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mium\Premium\Omair ALi\22-Jan-2025\"/>
    </mc:Choice>
  </mc:AlternateContent>
  <xr:revisionPtr revIDLastSave="0" documentId="13_ncr:1_{FE421940-2E31-4BDC-8656-A8A4E8337425}" xr6:coauthVersionLast="47" xr6:coauthVersionMax="47" xr10:uidLastSave="{00000000-0000-0000-0000-000000000000}"/>
  <bookViews>
    <workbookView xWindow="-120" yWindow="-120" windowWidth="20730" windowHeight="11040" tabRatio="677" activeTab="4" xr2:uid="{4B9BCB46-ADD3-40DE-A654-6DB395023A37}"/>
  </bookViews>
  <sheets>
    <sheet name="Comm Adj Cases" sheetId="1" r:id="rId1"/>
    <sheet name="working-premium" sheetId="3" r:id="rId2"/>
    <sheet name="tab" sheetId="2" r:id="rId3"/>
    <sheet name="policy" sheetId="4" r:id="rId4"/>
    <sheet name="working-commission" sheetId="5" r:id="rId5"/>
    <sheet name="Sheet5" sheetId="6" r:id="rId6"/>
    <sheet name="policy1" sheetId="7" r:id="rId7"/>
  </sheets>
  <definedNames>
    <definedName name="_xlnm._FilterDatabase" localSheetId="0" hidden="1">'Comm Adj Cases'!$A$1:$D$95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H2" i="5"/>
  <c r="G2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2" i="5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1" i="6"/>
  <c r="C96" i="3"/>
  <c r="D96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F2" i="3"/>
  <c r="D2" i="3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1" i="2"/>
  <c r="H2" i="3" l="1"/>
  <c r="C96" i="1" l="1"/>
  <c r="C192" i="1"/>
</calcChain>
</file>

<file path=xl/sharedStrings.xml><?xml version="1.0" encoding="utf-8"?>
<sst xmlns="http://schemas.openxmlformats.org/spreadsheetml/2006/main" count="1431" uniqueCount="246">
  <si>
    <t>POLICY_STRING</t>
  </si>
  <si>
    <t>LHR/LHR/D/MO/PC COMP/P/82878/01/2024</t>
  </si>
  <si>
    <t>LHR/LHR/D/MO/PC COMP/P/82883/01/2024</t>
  </si>
  <si>
    <t>LHR/LHR/D/MO/PC COMP/P/82884/01/2024</t>
  </si>
  <si>
    <t>LHR/LHR/D/MO/PC COMP/P/82900/01/2024</t>
  </si>
  <si>
    <t>LHR/LHR/D/MO/PC COMP/P/82901/01/2024</t>
  </si>
  <si>
    <t>LHR/LHR/D/MO/PC TPP/P/92010/06/2024</t>
  </si>
  <si>
    <t>LHR/LHR/D/MO/PC COMP/P/97180/09/2024</t>
  </si>
  <si>
    <t>LHR/LHR/D/MO/PC COMP/P/97646/09/2024</t>
  </si>
  <si>
    <t>LHR/LHR/D/MO/PC COMP/P/97649/09/2024</t>
  </si>
  <si>
    <t>LHR/LHR/D/MO/PC COMP/P/97913/09/2024</t>
  </si>
  <si>
    <t>LHR/LHR/D/MO/PC TPP/P/98624/09/2024</t>
  </si>
  <si>
    <t>LHR/LHR/D/MO/PC COMP/P/99034/10/2024</t>
  </si>
  <si>
    <t>LHR/LHR/D/MO/PC COMP/P/99118/10/2024</t>
  </si>
  <si>
    <t>LHR/LHR/D/MO/PC TPP/P/99133/10/2024</t>
  </si>
  <si>
    <t>LHR/LHR/D/MO/PC COMP/P/99312/10/2024</t>
  </si>
  <si>
    <t>LHR/LHR/D/MO/PC COMP/P/99348/10/2024</t>
  </si>
  <si>
    <t>LHR/LHR/D/MO/PC TPP/P/99350/10/2024</t>
  </si>
  <si>
    <t>LHR/LHR/D/MO/PC COMP/P/99372/10/2024</t>
  </si>
  <si>
    <t>LHR/LHR/D/MO/PC COMP/P/99402/10/2024</t>
  </si>
  <si>
    <t>LHR/LHR/D/MO/PC COMP/P/99403/10/2024</t>
  </si>
  <si>
    <t>LHR/LHR/D/MO/PC COMP/P/99600/10/2024</t>
  </si>
  <si>
    <t>LHR/LHR/D/MO/PC COMP/P/99601/10/2024</t>
  </si>
  <si>
    <t>LHR/LHR/D/MO/PC COMP/P/100396/10/2024</t>
  </si>
  <si>
    <t>LHR/LHR/D/MO/PC COMP/P/100397/10/2024</t>
  </si>
  <si>
    <t>LHR/LHR/D/MO/PC COMP/P/100399/10/2024</t>
  </si>
  <si>
    <t>LHR/LHR/D/MO/PC COMP/P/100400/10/2024</t>
  </si>
  <si>
    <t>LHR/LHR/D/MO/PC COMP/P/100680/10/2024</t>
  </si>
  <si>
    <t>LHR/LHR/D/MO/PC COMP/P/100804/10/2024</t>
  </si>
  <si>
    <t>LHR/LHR/D/MO/PC COMP/P/100806/10/2024</t>
  </si>
  <si>
    <t>LHR/LHR/D/MO/PC COMP/P/100815/10/2024</t>
  </si>
  <si>
    <t>LHR/LHR/D/MO/PC COMP/P/100857/10/2024</t>
  </si>
  <si>
    <t>LHR/LHR/D/MO/PC COMP/P/101052/10/2024</t>
  </si>
  <si>
    <t>LHR/LHR/D/MO/PC COMP/P/101066/10/2024</t>
  </si>
  <si>
    <t>LHR/LHR/D/MO/PC COMP/P/101067/10/2024</t>
  </si>
  <si>
    <t>LHR/LHR/D/MO/PC TPP/P/101378/11/2024</t>
  </si>
  <si>
    <t>LHR/LHR/D/MO/PC COMP/P/101446/11/2024</t>
  </si>
  <si>
    <t>LHR/LHR/D/MO/PC COMP/P/101448/11/2024</t>
  </si>
  <si>
    <t>LHR/LHR/D/MO/PC TPP/P/101471/11/2024</t>
  </si>
  <si>
    <t>LHR/LHR/D/MO/PC COMP/P/101570/11/2024</t>
  </si>
  <si>
    <t>LHR/LHR/D/MO/PC COMP/P/101591/11/2024</t>
  </si>
  <si>
    <t>LHR/LHR/D/MO/PC COMP/P/101668/11/2024</t>
  </si>
  <si>
    <t>LHR/LHR/D/MO/PC COMP/P/101674/11/2024</t>
  </si>
  <si>
    <t>LHR/LHR/D/MO/PC TPP/P/101906/11/2024</t>
  </si>
  <si>
    <t>LHR/LHR/D/MO/PC COMP/P/101965/11/2024</t>
  </si>
  <si>
    <t>LHR/LHR/D/MO/PC COMP/P/101966/11/2024</t>
  </si>
  <si>
    <t>LHR/LHR/D/MO/PC COMP/P/102023/11/2024</t>
  </si>
  <si>
    <t>LHR/LHR/D/MO/PC COMP/P/102025/11/2024</t>
  </si>
  <si>
    <t>LHR/LHR/D/MO/PC TPP/P/102032/11/2024</t>
  </si>
  <si>
    <t>LHR/LHR/D/MO/PC TPP/P/102126/11/2024</t>
  </si>
  <si>
    <t>LHR/LHR/D/MO/PC COMP/P/102129/11/2024</t>
  </si>
  <si>
    <t>LHR/LHR/D/MO/PC TPP/P/102313/11/2024</t>
  </si>
  <si>
    <t>LHR/LHR/D/MO/PC TPP/P/102427/11/2024</t>
  </si>
  <si>
    <t>LHR/LHR/D/MO/PC COMP/P/102466/11/2024</t>
  </si>
  <si>
    <t>LHR/LHR/D/MO/PC COMP/P/102467/11/2024</t>
  </si>
  <si>
    <t>LHR/LHR/D/MO/PC COMP/P/102571/11/2024</t>
  </si>
  <si>
    <t>LHR/LHR/D/MO/PC COMP/P/102573/11/2024</t>
  </si>
  <si>
    <t>LHR/LHR/D/MO/PC COMP/P/103015/11/2024</t>
  </si>
  <si>
    <t>LHR/LHR/D/MO/PC COMP/P/103016/11/2024</t>
  </si>
  <si>
    <t>LHR/LHR/D/MO/PC COMP/P/103017/11/2024</t>
  </si>
  <si>
    <t>LHR/LHR/D/MO/PC COMP/P/103092/11/2024</t>
  </si>
  <si>
    <t>LHR/LHR/D/MO/PC COMP/P/103393/12/2024</t>
  </si>
  <si>
    <t>LHR/LHR/D/MO/PC COMP/P/103394/12/2024</t>
  </si>
  <si>
    <t>LHR/LHR/D/MO/PC TPP/P/103451/12/2024</t>
  </si>
  <si>
    <t>LHR/LHR/D/MO/PC TPP/P/103453/12/2024</t>
  </si>
  <si>
    <t>LHR/LHR/D/MO/PC TPP/P/103454/12/2024</t>
  </si>
  <si>
    <t>LHR/LHR/D/MO/PC TPP/P/103455/12/2024</t>
  </si>
  <si>
    <t>LHR/LHR/D/MO/PC TPP/P/103457/12/2024</t>
  </si>
  <si>
    <t>LHR/LHR/D/MO/PC TPP/P/103574/12/2024</t>
  </si>
  <si>
    <t>LHR/LHR/D/MO/PC TPP/P/103575/12/2024</t>
  </si>
  <si>
    <t>LHR/LHR/D/MO/PC COMP/P/103638/12/2024</t>
  </si>
  <si>
    <t>LHR/LHR/D/MO/PC COMP/P/103640/12/2024</t>
  </si>
  <si>
    <t>LHR/LHR/D/MO/PC TPP/P/103878/12/2024</t>
  </si>
  <si>
    <t>LHR/LHR/D/MO/PC TPP/P/103879/12/2024</t>
  </si>
  <si>
    <t>LHR/LHR/D/MO/PC TPP/P/103972/12/2024</t>
  </si>
  <si>
    <t>LHR/LHR/D/MO/PC TPP/P/103973/12/2024</t>
  </si>
  <si>
    <t>LHR/LHR/D/MO/PC COMP/P/103996/12/2024</t>
  </si>
  <si>
    <t>LHR/LHR/D/MO/PC COMP/P/103997/12/2024</t>
  </si>
  <si>
    <t>LHR/LHR/D/MO/PC TPP/P/104076/12/2024</t>
  </si>
  <si>
    <t>LHR/LHR/D/MO/PC TPP/P/104123/12/2024</t>
  </si>
  <si>
    <t>LHR/LHR/D/MO/PC TPP/P/104125/12/2024</t>
  </si>
  <si>
    <t>LHR/LHR/D/MO/PC COMP/P/104287/12/2024</t>
  </si>
  <si>
    <t>LHR/LHR/D/MO/PC COMP/P/104310/12/2024</t>
  </si>
  <si>
    <t>LHR/LHR/D/MO/PC COMP/P/104606/12/2024</t>
  </si>
  <si>
    <t>LHR/LHR/D/MO/PC COMP/P/105055/12/2024</t>
  </si>
  <si>
    <t>LHR/LHR/D/MO/PC COMP/P/105056/12/2024</t>
  </si>
  <si>
    <t>LHR/LHR/D/MO/PC TPP/P/105088/12/2024</t>
  </si>
  <si>
    <t>LHR/LHR/D/MO/PC TPP/P/105101/12/2024</t>
  </si>
  <si>
    <t>LHR/LHR/D/MO/PC COMP/P/105208/01/2025</t>
  </si>
  <si>
    <t>LHR/LHR/D/MO/PC TPP/P/105413/01/2025</t>
  </si>
  <si>
    <t>LHR/LHR/D/MO/PC TPP/P/105415/01/2025</t>
  </si>
  <si>
    <t>LHR/LHR/D/MO/PC COMP/P/105423/01/2025</t>
  </si>
  <si>
    <t>LHR/LHR/D/MO/PC COMP/P/105960/01/2025</t>
  </si>
  <si>
    <t>LHR/LHR/D/MO/PC TPP/P/105966/01/2025</t>
  </si>
  <si>
    <t>LHR/LHR/D/MO/PC COMP/P/106031/01/2025</t>
  </si>
  <si>
    <t>Agency Code</t>
  </si>
  <si>
    <t>Sr.No</t>
  </si>
  <si>
    <t>PREMIUM</t>
  </si>
  <si>
    <t>COMISSION</t>
  </si>
  <si>
    <t>-01-2024</t>
  </si>
  <si>
    <t>-06-2024</t>
  </si>
  <si>
    <t>-09-2024</t>
  </si>
  <si>
    <t>-10-2024</t>
  </si>
  <si>
    <t>-11-2024</t>
  </si>
  <si>
    <t>-12-2024</t>
  </si>
  <si>
    <t>-01-2025</t>
  </si>
  <si>
    <t>POLICY NO.</t>
  </si>
  <si>
    <t>Assorted_code</t>
  </si>
  <si>
    <t>Premium</t>
  </si>
  <si>
    <t xml:space="preserve">   </t>
  </si>
  <si>
    <t>FUNC_ASSORTED_STRING(IA.ASSORTED_CODE)</t>
  </si>
  <si>
    <t>ASSORTED_CODE</t>
  </si>
  <si>
    <t>040000164687</t>
  </si>
  <si>
    <t>040000164704</t>
  </si>
  <si>
    <t>040000164680</t>
  </si>
  <si>
    <t>040000164686</t>
  </si>
  <si>
    <t>040000164703</t>
  </si>
  <si>
    <t>040000187542</t>
  </si>
  <si>
    <t>040000187545</t>
  </si>
  <si>
    <t>040000186398</t>
  </si>
  <si>
    <t>040000187546</t>
  </si>
  <si>
    <t>040000186628</t>
  </si>
  <si>
    <t>040000186346</t>
  </si>
  <si>
    <t>040000184682</t>
  </si>
  <si>
    <t>040000184395</t>
  </si>
  <si>
    <t>040000188002</t>
  </si>
  <si>
    <t>040000186322</t>
  </si>
  <si>
    <t>040000188282</t>
  </si>
  <si>
    <t>040000187991</t>
  </si>
  <si>
    <t>040000186627</t>
  </si>
  <si>
    <t>040000187854</t>
  </si>
  <si>
    <t>040000186036</t>
  </si>
  <si>
    <t>040000183859</t>
  </si>
  <si>
    <t>040000186274</t>
  </si>
  <si>
    <t>040000186055</t>
  </si>
  <si>
    <t>040000177370</t>
  </si>
  <si>
    <t>040000184391</t>
  </si>
  <si>
    <t>040000186397</t>
  </si>
  <si>
    <t>040000188281</t>
  </si>
  <si>
    <t>040000187989</t>
  </si>
  <si>
    <t>040000187541</t>
  </si>
  <si>
    <t>040000185478</t>
  </si>
  <si>
    <t>040000186324</t>
  </si>
  <si>
    <t>040000185937</t>
  </si>
  <si>
    <t>040000188045</t>
  </si>
  <si>
    <t>040000188267</t>
  </si>
  <si>
    <t>040000188634</t>
  </si>
  <si>
    <t>040000189406</t>
  </si>
  <si>
    <t>040000193311</t>
  </si>
  <si>
    <t>040000189404</t>
  </si>
  <si>
    <t>040000191074</t>
  </si>
  <si>
    <t>040000191248</t>
  </si>
  <si>
    <t>040000191956</t>
  </si>
  <si>
    <t>040000193091</t>
  </si>
  <si>
    <t>040000193141</t>
  </si>
  <si>
    <t>040000193159</t>
  </si>
  <si>
    <t>040000191631</t>
  </si>
  <si>
    <t>040000191338</t>
  </si>
  <si>
    <t>040000189741</t>
  </si>
  <si>
    <t>040000189941</t>
  </si>
  <si>
    <t>040000189942</t>
  </si>
  <si>
    <t>040000189413</t>
  </si>
  <si>
    <t>040000192190</t>
  </si>
  <si>
    <t>040000191072</t>
  </si>
  <si>
    <t>040000193567</t>
  </si>
  <si>
    <t>040000194191</t>
  </si>
  <si>
    <t>040000192162</t>
  </si>
  <si>
    <t>040000191958</t>
  </si>
  <si>
    <t>040000190548</t>
  </si>
  <si>
    <t>040000188721</t>
  </si>
  <si>
    <t>040000188750</t>
  </si>
  <si>
    <t>040000190060</t>
  </si>
  <si>
    <t>040000190062</t>
  </si>
  <si>
    <t>040000192536</t>
  </si>
  <si>
    <t>040000190626</t>
  </si>
  <si>
    <t>040000191769</t>
  </si>
  <si>
    <t>040000191793</t>
  </si>
  <si>
    <t>040000191249</t>
  </si>
  <si>
    <t>040000191630</t>
  </si>
  <si>
    <t>040000188985</t>
  </si>
  <si>
    <t>040000189248</t>
  </si>
  <si>
    <t>040000191792</t>
  </si>
  <si>
    <t>040000191885</t>
  </si>
  <si>
    <t>040000193558</t>
  </si>
  <si>
    <t>040000190547</t>
  </si>
  <si>
    <t>040000188723</t>
  </si>
  <si>
    <t>040000189528</t>
  </si>
  <si>
    <t>040000191075</t>
  </si>
  <si>
    <t>040000188887</t>
  </si>
  <si>
    <t>040000194269</t>
  </si>
  <si>
    <t>040000191768</t>
  </si>
  <si>
    <t>040000193090</t>
  </si>
  <si>
    <t>040000189531</t>
  </si>
  <si>
    <t>040000191000</t>
  </si>
  <si>
    <t>040000191076</t>
  </si>
  <si>
    <t>040000188865</t>
  </si>
  <si>
    <t>040000191333</t>
  </si>
  <si>
    <t>040000189875</t>
  </si>
  <si>
    <t>040000194200</t>
  </si>
  <si>
    <t>040000193556</t>
  </si>
  <si>
    <t>040000190999</t>
  </si>
  <si>
    <t>040000189328</t>
  </si>
  <si>
    <t>040000189329</t>
  </si>
  <si>
    <t>040000191078</t>
  </si>
  <si>
    <t>040000188976</t>
  </si>
  <si>
    <t>040000190545</t>
  </si>
  <si>
    <t>21Jan250071</t>
  </si>
  <si>
    <t>Commission</t>
  </si>
  <si>
    <t>AGENCY_CODE</t>
  </si>
  <si>
    <t>09000221</t>
  </si>
  <si>
    <t>09000818</t>
  </si>
  <si>
    <t>09000896</t>
  </si>
  <si>
    <t>09000918</t>
  </si>
  <si>
    <t>09000936</t>
  </si>
  <si>
    <t>09000517</t>
  </si>
  <si>
    <t>09000482</t>
  </si>
  <si>
    <t>09000878</t>
  </si>
  <si>
    <t>09000845</t>
  </si>
  <si>
    <t>09000813</t>
  </si>
  <si>
    <t>09000779</t>
  </si>
  <si>
    <t>09000433</t>
  </si>
  <si>
    <t>09000794</t>
  </si>
  <si>
    <t>09000728</t>
  </si>
  <si>
    <t>09000448</t>
  </si>
  <si>
    <t>09000877</t>
  </si>
  <si>
    <t>09000933</t>
  </si>
  <si>
    <t>09000923</t>
  </si>
  <si>
    <t>09000862</t>
  </si>
  <si>
    <t>09000919</t>
  </si>
  <si>
    <t>09000420</t>
  </si>
  <si>
    <t>09000437</t>
  </si>
  <si>
    <t>09000432</t>
  </si>
  <si>
    <t>09000795</t>
  </si>
  <si>
    <t>09000839</t>
  </si>
  <si>
    <t>09000440</t>
  </si>
  <si>
    <t>09000922</t>
  </si>
  <si>
    <t>09000485</t>
  </si>
  <si>
    <t>09000916</t>
  </si>
  <si>
    <t>09000752</t>
  </si>
  <si>
    <t>09000796</t>
  </si>
  <si>
    <t>09000508</t>
  </si>
  <si>
    <t>09000898</t>
  </si>
  <si>
    <t>09000928</t>
  </si>
  <si>
    <t>09000905</t>
  </si>
  <si>
    <t>09000707</t>
  </si>
  <si>
    <t>09000456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</si>
</sst>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0000000"/>
    <numFmt numFmtId="166" formatCode="_-* #,##0_-;\-* #,##0_-;_-* &quot;-&quot;??_-;_-@_-"/>
    <numFmt numFmtId="167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404040"/>
      <name val="Times New Roman"/>
      <family val="1"/>
    </font>
    <font>
      <sz val="11"/>
      <color theme="1"/>
      <name val="Aptos"/>
      <family val="2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165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64" fontId="1" fillId="0" borderId="1" xfId="1" applyFont="1" applyBorder="1"/>
    <xf numFmtId="164" fontId="0" fillId="0" borderId="1" xfId="1" applyFont="1" applyBorder="1" applyAlignment="1">
      <alignment vertical="top"/>
    </xf>
    <xf numFmtId="164" fontId="0" fillId="0" borderId="0" xfId="0" applyNumberFormat="1"/>
    <xf numFmtId="0" fontId="2" fillId="0" borderId="0" xfId="0" applyFont="1" applyAlignment="1">
      <alignment horizontal="center"/>
    </xf>
    <xf numFmtId="164" fontId="1" fillId="0" borderId="0" xfId="1" applyFont="1" applyBorder="1"/>
    <xf numFmtId="164" fontId="0" fillId="0" borderId="0" xfId="1" applyFont="1" applyBorder="1" applyAlignment="1">
      <alignment vertical="top"/>
    </xf>
    <xf numFmtId="166" fontId="2" fillId="0" borderId="1" xfId="1" applyNumberFormat="1" applyFont="1" applyBorder="1" applyAlignment="1">
      <alignment horizontal="center" vertical="top"/>
    </xf>
    <xf numFmtId="164" fontId="2" fillId="0" borderId="1" xfId="1" applyFont="1" applyBorder="1" applyAlignment="1">
      <alignment horizontal="center"/>
    </xf>
    <xf numFmtId="164" fontId="2" fillId="0" borderId="0" xfId="1" applyFont="1"/>
    <xf numFmtId="0" fontId="2" fillId="0" borderId="1" xfId="0" applyFont="1" applyBorder="1"/>
    <xf numFmtId="0" fontId="4" fillId="0" borderId="0" xfId="0" applyFont="1"/>
    <xf numFmtId="0" fontId="0" fillId="0" borderId="0" xfId="0" applyAlignment="1">
      <alignment vertical="top"/>
    </xf>
    <xf numFmtId="167" fontId="5" fillId="0" borderId="0" xfId="1" applyNumberFormat="1" applyFont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wrapText="1"/>
    </xf>
    <xf numFmtId="0" fontId="6" fillId="0" borderId="0" xfId="0" applyFont="1"/>
    <xf numFmtId="167" fontId="0" fillId="0" borderId="0" xfId="0" applyNumberFormat="1"/>
    <xf numFmtId="0" fontId="7" fillId="0" borderId="0" xfId="0" applyFont="1" applyAlignment="1">
      <alignment vertical="top"/>
    </xf>
    <xf numFmtId="164" fontId="0" fillId="0" borderId="1" xfId="1" applyFont="1" applyBorder="1" applyAlignment="1">
      <alignment horizontal="center" vertical="top"/>
    </xf>
    <xf numFmtId="164" fontId="8" fillId="0" borderId="1" xfId="1" applyFont="1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5E219-7FB3-4DD8-8B10-15A835F06D7E}">
  <dimension ref="A1:D192"/>
  <sheetViews>
    <sheetView topLeftCell="A184" workbookViewId="0">
      <selection activeCell="D98" sqref="D98"/>
    </sheetView>
  </sheetViews>
  <sheetFormatPr defaultRowHeight="15" x14ac:dyDescent="0.25"/>
  <cols>
    <col min="1" max="1" width="5.7109375" bestFit="1" customWidth="1"/>
    <col min="2" max="2" width="38.7109375" bestFit="1" customWidth="1"/>
    <col min="3" max="3" width="17.85546875" bestFit="1" customWidth="1"/>
    <col min="4" max="4" width="17.28515625" bestFit="1" customWidth="1"/>
  </cols>
  <sheetData>
    <row r="1" spans="1:4" x14ac:dyDescent="0.25">
      <c r="A1" s="6" t="s">
        <v>96</v>
      </c>
      <c r="B1" s="6" t="s">
        <v>0</v>
      </c>
      <c r="C1" s="14" t="s">
        <v>98</v>
      </c>
      <c r="D1" s="7" t="s">
        <v>95</v>
      </c>
    </row>
    <row r="2" spans="1:4" x14ac:dyDescent="0.25">
      <c r="A2" s="4">
        <v>1</v>
      </c>
      <c r="B2" s="3" t="s">
        <v>1</v>
      </c>
      <c r="C2" s="8">
        <v>4600</v>
      </c>
      <c r="D2" s="1">
        <v>9000521</v>
      </c>
    </row>
    <row r="3" spans="1:4" x14ac:dyDescent="0.25">
      <c r="A3" s="4">
        <v>2</v>
      </c>
      <c r="B3" s="2" t="s">
        <v>2</v>
      </c>
      <c r="C3" s="9">
        <v>6137</v>
      </c>
      <c r="D3" s="1">
        <v>9000728</v>
      </c>
    </row>
    <row r="4" spans="1:4" x14ac:dyDescent="0.25">
      <c r="A4" s="4">
        <v>3</v>
      </c>
      <c r="B4" s="2" t="s">
        <v>3</v>
      </c>
      <c r="C4" s="9">
        <v>4707</v>
      </c>
      <c r="D4" s="1">
        <v>9000780</v>
      </c>
    </row>
    <row r="5" spans="1:4" x14ac:dyDescent="0.25">
      <c r="A5" s="4">
        <v>4</v>
      </c>
      <c r="B5" s="2" t="s">
        <v>4</v>
      </c>
      <c r="C5" s="9">
        <v>8038</v>
      </c>
      <c r="D5" s="1">
        <v>9000794</v>
      </c>
    </row>
    <row r="6" spans="1:4" x14ac:dyDescent="0.25">
      <c r="A6" s="4">
        <v>5</v>
      </c>
      <c r="B6" s="2" t="s">
        <v>5</v>
      </c>
      <c r="C6" s="9">
        <v>500</v>
      </c>
      <c r="D6" s="1">
        <v>9000806</v>
      </c>
    </row>
    <row r="7" spans="1:4" x14ac:dyDescent="0.25">
      <c r="A7" s="4">
        <v>6</v>
      </c>
      <c r="B7" s="2" t="s">
        <v>6</v>
      </c>
      <c r="C7" s="9">
        <v>21900</v>
      </c>
      <c r="D7" s="1">
        <v>9000794</v>
      </c>
    </row>
    <row r="8" spans="1:4" x14ac:dyDescent="0.25">
      <c r="A8" s="4">
        <v>7</v>
      </c>
      <c r="B8" s="2" t="s">
        <v>7</v>
      </c>
      <c r="C8" s="9">
        <v>14500</v>
      </c>
      <c r="D8" s="1">
        <v>9000918</v>
      </c>
    </row>
    <row r="9" spans="1:4" x14ac:dyDescent="0.25">
      <c r="A9" s="4">
        <v>8</v>
      </c>
      <c r="B9" s="2" t="s">
        <v>8</v>
      </c>
      <c r="C9" s="9">
        <v>47725</v>
      </c>
      <c r="D9" s="1">
        <v>9000918</v>
      </c>
    </row>
    <row r="10" spans="1:4" x14ac:dyDescent="0.25">
      <c r="A10" s="4">
        <v>9</v>
      </c>
      <c r="B10" s="2" t="s">
        <v>9</v>
      </c>
      <c r="C10" s="9">
        <v>26324</v>
      </c>
      <c r="D10" s="1">
        <v>9000878</v>
      </c>
    </row>
    <row r="11" spans="1:4" x14ac:dyDescent="0.25">
      <c r="A11" s="4">
        <v>10</v>
      </c>
      <c r="B11" s="2" t="s">
        <v>10</v>
      </c>
      <c r="C11" s="9">
        <v>11390</v>
      </c>
      <c r="D11" s="1">
        <v>9000482</v>
      </c>
    </row>
    <row r="12" spans="1:4" x14ac:dyDescent="0.25">
      <c r="A12" s="4">
        <v>11</v>
      </c>
      <c r="B12" s="2" t="s">
        <v>11</v>
      </c>
      <c r="C12" s="9">
        <v>7894</v>
      </c>
      <c r="D12" s="1">
        <v>9000448</v>
      </c>
    </row>
    <row r="13" spans="1:4" x14ac:dyDescent="0.25">
      <c r="A13" s="4">
        <v>12</v>
      </c>
      <c r="B13" s="2" t="s">
        <v>12</v>
      </c>
      <c r="C13" s="9">
        <v>25773</v>
      </c>
      <c r="D13" s="1">
        <v>9000933</v>
      </c>
    </row>
    <row r="14" spans="1:4" x14ac:dyDescent="0.25">
      <c r="A14" s="4">
        <v>13</v>
      </c>
      <c r="B14" s="2" t="s">
        <v>13</v>
      </c>
      <c r="C14" s="9">
        <v>4884</v>
      </c>
      <c r="D14" s="1">
        <v>9000779</v>
      </c>
    </row>
    <row r="15" spans="1:4" x14ac:dyDescent="0.25">
      <c r="A15" s="4">
        <v>14</v>
      </c>
      <c r="B15" s="2" t="s">
        <v>14</v>
      </c>
      <c r="C15" s="9">
        <v>7900</v>
      </c>
      <c r="D15" s="1">
        <v>9000433</v>
      </c>
    </row>
    <row r="16" spans="1:4" x14ac:dyDescent="0.25">
      <c r="A16" s="4">
        <v>15</v>
      </c>
      <c r="B16" s="2" t="s">
        <v>15</v>
      </c>
      <c r="C16" s="9">
        <v>849</v>
      </c>
      <c r="D16" s="1">
        <v>9000918</v>
      </c>
    </row>
    <row r="17" spans="1:4" x14ac:dyDescent="0.25">
      <c r="A17" s="4">
        <v>16</v>
      </c>
      <c r="B17" s="2" t="s">
        <v>16</v>
      </c>
      <c r="C17" s="9">
        <v>19494</v>
      </c>
      <c r="D17" s="1">
        <v>9000794</v>
      </c>
    </row>
    <row r="18" spans="1:4" x14ac:dyDescent="0.25">
      <c r="A18" s="4">
        <v>17</v>
      </c>
      <c r="B18" s="2" t="s">
        <v>17</v>
      </c>
      <c r="C18" s="9">
        <v>7500</v>
      </c>
      <c r="D18" s="1">
        <v>9000877</v>
      </c>
    </row>
    <row r="19" spans="1:4" x14ac:dyDescent="0.25">
      <c r="A19" s="4">
        <v>18</v>
      </c>
      <c r="B19" s="2" t="s">
        <v>18</v>
      </c>
      <c r="C19" s="9">
        <v>4849</v>
      </c>
      <c r="D19" s="1">
        <v>9000517</v>
      </c>
    </row>
    <row r="20" spans="1:4" x14ac:dyDescent="0.25">
      <c r="A20" s="4">
        <v>19</v>
      </c>
      <c r="B20" s="2" t="s">
        <v>19</v>
      </c>
      <c r="C20" s="9">
        <v>21814</v>
      </c>
      <c r="D20" s="1">
        <v>9000878</v>
      </c>
    </row>
    <row r="21" spans="1:4" x14ac:dyDescent="0.25">
      <c r="A21" s="4">
        <v>20</v>
      </c>
      <c r="B21" s="2" t="s">
        <v>20</v>
      </c>
      <c r="C21" s="9">
        <v>60271</v>
      </c>
      <c r="D21" s="1">
        <v>9000918</v>
      </c>
    </row>
    <row r="22" spans="1:4" x14ac:dyDescent="0.25">
      <c r="A22" s="4">
        <v>21</v>
      </c>
      <c r="B22" s="2" t="s">
        <v>21</v>
      </c>
      <c r="C22" s="9">
        <v>15979</v>
      </c>
      <c r="D22" s="1">
        <v>9000936</v>
      </c>
    </row>
    <row r="23" spans="1:4" x14ac:dyDescent="0.25">
      <c r="A23" s="4">
        <v>22</v>
      </c>
      <c r="B23" s="2" t="s">
        <v>22</v>
      </c>
      <c r="C23" s="9">
        <v>24610</v>
      </c>
      <c r="D23" s="1">
        <v>9000936</v>
      </c>
    </row>
    <row r="24" spans="1:4" x14ac:dyDescent="0.25">
      <c r="A24" s="4">
        <v>23</v>
      </c>
      <c r="B24" s="2" t="s">
        <v>23</v>
      </c>
      <c r="C24" s="9">
        <v>5467</v>
      </c>
      <c r="D24" s="1">
        <v>9000728</v>
      </c>
    </row>
    <row r="25" spans="1:4" x14ac:dyDescent="0.25">
      <c r="A25" s="4">
        <v>24</v>
      </c>
      <c r="B25" s="2" t="s">
        <v>24</v>
      </c>
      <c r="C25" s="9">
        <v>5223</v>
      </c>
      <c r="D25" s="1">
        <v>9000818</v>
      </c>
    </row>
    <row r="26" spans="1:4" x14ac:dyDescent="0.25">
      <c r="A26" s="4">
        <v>25</v>
      </c>
      <c r="B26" s="2" t="s">
        <v>25</v>
      </c>
      <c r="C26" s="9">
        <v>5796</v>
      </c>
      <c r="D26" s="1">
        <v>9000896</v>
      </c>
    </row>
    <row r="27" spans="1:4" x14ac:dyDescent="0.25">
      <c r="A27" s="4">
        <v>26</v>
      </c>
      <c r="B27" s="2" t="s">
        <v>26</v>
      </c>
      <c r="C27" s="9">
        <v>3485</v>
      </c>
      <c r="D27" s="1">
        <v>9000896</v>
      </c>
    </row>
    <row r="28" spans="1:4" x14ac:dyDescent="0.25">
      <c r="A28" s="4">
        <v>27</v>
      </c>
      <c r="B28" s="2" t="s">
        <v>27</v>
      </c>
      <c r="C28" s="9">
        <v>1251</v>
      </c>
      <c r="D28" s="1">
        <v>9000813</v>
      </c>
    </row>
    <row r="29" spans="1:4" x14ac:dyDescent="0.25">
      <c r="A29" s="4">
        <v>28</v>
      </c>
      <c r="B29" s="2" t="s">
        <v>28</v>
      </c>
      <c r="C29" s="9">
        <v>5939</v>
      </c>
      <c r="D29" s="1">
        <v>9000482</v>
      </c>
    </row>
    <row r="30" spans="1:4" x14ac:dyDescent="0.25">
      <c r="A30" s="4">
        <v>29</v>
      </c>
      <c r="B30" s="2" t="s">
        <v>29</v>
      </c>
      <c r="C30" s="9">
        <v>3908</v>
      </c>
      <c r="D30" s="1">
        <v>9000482</v>
      </c>
    </row>
    <row r="31" spans="1:4" x14ac:dyDescent="0.25">
      <c r="A31" s="4">
        <v>30</v>
      </c>
      <c r="B31" s="2" t="s">
        <v>30</v>
      </c>
      <c r="C31" s="9">
        <v>32137</v>
      </c>
      <c r="D31" s="1">
        <v>9000918</v>
      </c>
    </row>
    <row r="32" spans="1:4" x14ac:dyDescent="0.25">
      <c r="A32" s="4">
        <v>31</v>
      </c>
      <c r="B32" s="2" t="s">
        <v>31</v>
      </c>
      <c r="C32" s="9">
        <v>4007</v>
      </c>
      <c r="D32" s="1">
        <v>9000896</v>
      </c>
    </row>
    <row r="33" spans="1:4" x14ac:dyDescent="0.25">
      <c r="A33" s="4">
        <v>32</v>
      </c>
      <c r="B33" s="2" t="s">
        <v>32</v>
      </c>
      <c r="C33" s="9">
        <v>48217</v>
      </c>
      <c r="D33" s="1">
        <v>9000923</v>
      </c>
    </row>
    <row r="34" spans="1:4" x14ac:dyDescent="0.25">
      <c r="A34" s="4">
        <v>33</v>
      </c>
      <c r="B34" s="2" t="s">
        <v>33</v>
      </c>
      <c r="C34" s="9">
        <v>28007</v>
      </c>
      <c r="D34" s="1">
        <v>9000845</v>
      </c>
    </row>
    <row r="35" spans="1:4" x14ac:dyDescent="0.25">
      <c r="A35" s="4">
        <v>34</v>
      </c>
      <c r="B35" s="2" t="s">
        <v>34</v>
      </c>
      <c r="C35" s="9">
        <v>21407</v>
      </c>
      <c r="D35" s="1">
        <v>9000845</v>
      </c>
    </row>
    <row r="36" spans="1:4" x14ac:dyDescent="0.25">
      <c r="A36" s="4">
        <v>35</v>
      </c>
      <c r="B36" s="2" t="s">
        <v>35</v>
      </c>
      <c r="C36" s="9">
        <v>22292</v>
      </c>
      <c r="D36" s="5">
        <v>9000862</v>
      </c>
    </row>
    <row r="37" spans="1:4" x14ac:dyDescent="0.25">
      <c r="A37" s="4">
        <v>36</v>
      </c>
      <c r="B37" s="2" t="s">
        <v>36</v>
      </c>
      <c r="C37" s="9">
        <v>36984</v>
      </c>
      <c r="D37" s="1">
        <v>9000918</v>
      </c>
    </row>
    <row r="38" spans="1:4" x14ac:dyDescent="0.25">
      <c r="A38" s="4">
        <v>37</v>
      </c>
      <c r="B38" s="2" t="s">
        <v>37</v>
      </c>
      <c r="C38" s="9">
        <v>42053</v>
      </c>
      <c r="D38" s="1">
        <v>9000918</v>
      </c>
    </row>
    <row r="39" spans="1:4" x14ac:dyDescent="0.25">
      <c r="A39" s="4">
        <v>38</v>
      </c>
      <c r="B39" s="2" t="s">
        <v>38</v>
      </c>
      <c r="C39" s="9">
        <v>19740</v>
      </c>
      <c r="D39" s="1">
        <v>9000752</v>
      </c>
    </row>
    <row r="40" spans="1:4" x14ac:dyDescent="0.25">
      <c r="A40" s="4">
        <v>39</v>
      </c>
      <c r="B40" s="2" t="s">
        <v>39</v>
      </c>
      <c r="C40" s="9">
        <v>30351</v>
      </c>
      <c r="D40" s="1">
        <v>9000918</v>
      </c>
    </row>
    <row r="41" spans="1:4" x14ac:dyDescent="0.25">
      <c r="A41" s="4">
        <v>40</v>
      </c>
      <c r="B41" s="2" t="s">
        <v>40</v>
      </c>
      <c r="C41" s="9">
        <v>12280</v>
      </c>
      <c r="D41" s="1">
        <v>9000918</v>
      </c>
    </row>
    <row r="42" spans="1:4" x14ac:dyDescent="0.25">
      <c r="A42" s="4">
        <v>41</v>
      </c>
      <c r="B42" s="2" t="s">
        <v>41</v>
      </c>
      <c r="C42" s="9">
        <v>8134</v>
      </c>
      <c r="D42" s="1">
        <v>9000845</v>
      </c>
    </row>
    <row r="43" spans="1:4" x14ac:dyDescent="0.25">
      <c r="A43" s="4">
        <v>42</v>
      </c>
      <c r="B43" s="2" t="s">
        <v>42</v>
      </c>
      <c r="C43" s="9">
        <v>10066</v>
      </c>
      <c r="D43" s="1">
        <v>9000845</v>
      </c>
    </row>
    <row r="44" spans="1:4" x14ac:dyDescent="0.25">
      <c r="A44" s="4">
        <v>43</v>
      </c>
      <c r="B44" s="2" t="s">
        <v>43</v>
      </c>
      <c r="C44" s="9">
        <v>12615</v>
      </c>
      <c r="D44" s="1">
        <v>9000440</v>
      </c>
    </row>
    <row r="45" spans="1:4" x14ac:dyDescent="0.25">
      <c r="A45" s="4">
        <v>44</v>
      </c>
      <c r="B45" s="2" t="s">
        <v>44</v>
      </c>
      <c r="C45" s="9">
        <v>21131</v>
      </c>
      <c r="D45" s="1">
        <v>9000845</v>
      </c>
    </row>
    <row r="46" spans="1:4" x14ac:dyDescent="0.25">
      <c r="A46" s="4">
        <v>45</v>
      </c>
      <c r="B46" s="2" t="s">
        <v>45</v>
      </c>
      <c r="C46" s="9">
        <v>51934</v>
      </c>
      <c r="D46" s="1">
        <v>9000923</v>
      </c>
    </row>
    <row r="47" spans="1:4" x14ac:dyDescent="0.25">
      <c r="A47" s="4">
        <v>46</v>
      </c>
      <c r="B47" s="2" t="s">
        <v>46</v>
      </c>
      <c r="C47" s="9">
        <v>20225</v>
      </c>
      <c r="D47" s="1">
        <v>9000845</v>
      </c>
    </row>
    <row r="48" spans="1:4" x14ac:dyDescent="0.25">
      <c r="A48" s="4">
        <v>47</v>
      </c>
      <c r="B48" s="2" t="s">
        <v>47</v>
      </c>
      <c r="C48" s="9">
        <v>12168</v>
      </c>
      <c r="D48" s="1">
        <v>9000845</v>
      </c>
    </row>
    <row r="49" spans="1:4" x14ac:dyDescent="0.25">
      <c r="A49" s="4">
        <v>48</v>
      </c>
      <c r="B49" s="2" t="s">
        <v>48</v>
      </c>
      <c r="C49" s="9">
        <v>27005</v>
      </c>
      <c r="D49" s="1">
        <v>9000795</v>
      </c>
    </row>
    <row r="50" spans="1:4" x14ac:dyDescent="0.25">
      <c r="A50" s="4">
        <v>49</v>
      </c>
      <c r="B50" s="2" t="s">
        <v>49</v>
      </c>
      <c r="C50" s="9">
        <v>27131</v>
      </c>
      <c r="D50" s="1">
        <v>9000928</v>
      </c>
    </row>
    <row r="51" spans="1:4" x14ac:dyDescent="0.25">
      <c r="A51" s="4">
        <v>50</v>
      </c>
      <c r="B51" s="2" t="s">
        <v>50</v>
      </c>
      <c r="C51" s="9">
        <v>17700</v>
      </c>
      <c r="D51" s="1">
        <v>9000794</v>
      </c>
    </row>
    <row r="52" spans="1:4" x14ac:dyDescent="0.25">
      <c r="A52" s="4">
        <v>51</v>
      </c>
      <c r="B52" s="2" t="s">
        <v>51</v>
      </c>
      <c r="C52" s="9">
        <v>12809</v>
      </c>
      <c r="D52" s="1">
        <v>9000440</v>
      </c>
    </row>
    <row r="53" spans="1:4" x14ac:dyDescent="0.25">
      <c r="A53" s="4">
        <v>52</v>
      </c>
      <c r="B53" s="2" t="s">
        <v>52</v>
      </c>
      <c r="C53" s="9">
        <v>1000</v>
      </c>
      <c r="D53" s="1">
        <v>9000456</v>
      </c>
    </row>
    <row r="54" spans="1:4" x14ac:dyDescent="0.25">
      <c r="A54" s="4">
        <v>53</v>
      </c>
      <c r="B54" s="2" t="s">
        <v>53</v>
      </c>
      <c r="C54" s="9">
        <v>27151</v>
      </c>
      <c r="D54" s="1">
        <v>9000845</v>
      </c>
    </row>
    <row r="55" spans="1:4" x14ac:dyDescent="0.25">
      <c r="A55" s="4">
        <v>54</v>
      </c>
      <c r="B55" s="2" t="s">
        <v>54</v>
      </c>
      <c r="C55" s="9">
        <v>7252</v>
      </c>
      <c r="D55" s="1">
        <v>9000845</v>
      </c>
    </row>
    <row r="56" spans="1:4" x14ac:dyDescent="0.25">
      <c r="A56" s="4">
        <v>55</v>
      </c>
      <c r="B56" s="2" t="s">
        <v>55</v>
      </c>
      <c r="C56" s="9">
        <v>15747</v>
      </c>
      <c r="D56" s="5">
        <v>9000485</v>
      </c>
    </row>
    <row r="57" spans="1:4" x14ac:dyDescent="0.25">
      <c r="A57" s="4">
        <v>56</v>
      </c>
      <c r="B57" s="2" t="s">
        <v>56</v>
      </c>
      <c r="C57" s="9">
        <v>9470</v>
      </c>
      <c r="D57" s="5">
        <v>9000485</v>
      </c>
    </row>
    <row r="58" spans="1:4" x14ac:dyDescent="0.25">
      <c r="A58" s="4">
        <v>57</v>
      </c>
      <c r="B58" s="2" t="s">
        <v>57</v>
      </c>
      <c r="C58" s="9">
        <v>10125</v>
      </c>
      <c r="D58" s="1">
        <v>9000818</v>
      </c>
    </row>
    <row r="59" spans="1:4" x14ac:dyDescent="0.25">
      <c r="A59" s="4">
        <v>58</v>
      </c>
      <c r="B59" s="2" t="s">
        <v>58</v>
      </c>
      <c r="C59" s="9">
        <v>15525</v>
      </c>
      <c r="D59" s="1">
        <v>9000818</v>
      </c>
    </row>
    <row r="60" spans="1:4" x14ac:dyDescent="0.25">
      <c r="A60" s="4">
        <v>59</v>
      </c>
      <c r="B60" s="2" t="s">
        <v>59</v>
      </c>
      <c r="C60" s="9">
        <v>9611</v>
      </c>
      <c r="D60" s="1">
        <v>9000896</v>
      </c>
    </row>
    <row r="61" spans="1:4" x14ac:dyDescent="0.25">
      <c r="A61" s="4">
        <v>60</v>
      </c>
      <c r="B61" s="2" t="s">
        <v>60</v>
      </c>
      <c r="C61" s="9">
        <v>3983</v>
      </c>
      <c r="D61" s="1">
        <v>9000508</v>
      </c>
    </row>
    <row r="62" spans="1:4" x14ac:dyDescent="0.25">
      <c r="A62" s="4">
        <v>61</v>
      </c>
      <c r="B62" s="2" t="s">
        <v>61</v>
      </c>
      <c r="C62" s="9">
        <v>45688</v>
      </c>
      <c r="D62" s="1">
        <v>9000845</v>
      </c>
    </row>
    <row r="63" spans="1:4" x14ac:dyDescent="0.25">
      <c r="A63" s="4">
        <v>62</v>
      </c>
      <c r="B63" s="2" t="s">
        <v>62</v>
      </c>
      <c r="C63" s="9">
        <v>8720</v>
      </c>
      <c r="D63" s="1">
        <v>9000845</v>
      </c>
    </row>
    <row r="64" spans="1:4" x14ac:dyDescent="0.25">
      <c r="A64" s="4">
        <v>63</v>
      </c>
      <c r="B64" s="2" t="s">
        <v>63</v>
      </c>
      <c r="C64" s="9">
        <v>11580</v>
      </c>
      <c r="D64" s="1">
        <v>9000919</v>
      </c>
    </row>
    <row r="65" spans="1:4" x14ac:dyDescent="0.25">
      <c r="A65" s="4">
        <v>64</v>
      </c>
      <c r="B65" s="2" t="s">
        <v>64</v>
      </c>
      <c r="C65" s="9">
        <v>10197</v>
      </c>
      <c r="D65" s="1">
        <v>9000919</v>
      </c>
    </row>
    <row r="66" spans="1:4" x14ac:dyDescent="0.25">
      <c r="A66" s="4">
        <v>65</v>
      </c>
      <c r="B66" s="2" t="s">
        <v>65</v>
      </c>
      <c r="C66" s="9">
        <v>9835</v>
      </c>
      <c r="D66" s="1">
        <v>9000919</v>
      </c>
    </row>
    <row r="67" spans="1:4" x14ac:dyDescent="0.25">
      <c r="A67" s="4">
        <v>66</v>
      </c>
      <c r="B67" s="2" t="s">
        <v>66</v>
      </c>
      <c r="C67" s="9">
        <v>9835</v>
      </c>
      <c r="D67" s="1">
        <v>9000919</v>
      </c>
    </row>
    <row r="68" spans="1:4" x14ac:dyDescent="0.25">
      <c r="A68" s="4">
        <v>67</v>
      </c>
      <c r="B68" s="2" t="s">
        <v>67</v>
      </c>
      <c r="C68" s="9">
        <v>9440</v>
      </c>
      <c r="D68" s="1">
        <v>9000919</v>
      </c>
    </row>
    <row r="69" spans="1:4" x14ac:dyDescent="0.25">
      <c r="A69" s="4">
        <v>68</v>
      </c>
      <c r="B69" s="2" t="s">
        <v>68</v>
      </c>
      <c r="C69" s="9">
        <v>4229</v>
      </c>
      <c r="D69" s="1">
        <v>9000433</v>
      </c>
    </row>
    <row r="70" spans="1:4" x14ac:dyDescent="0.25">
      <c r="A70" s="4">
        <v>69</v>
      </c>
      <c r="B70" s="2" t="s">
        <v>69</v>
      </c>
      <c r="C70" s="9">
        <v>4934</v>
      </c>
      <c r="D70" s="1">
        <v>9000433</v>
      </c>
    </row>
    <row r="71" spans="1:4" x14ac:dyDescent="0.25">
      <c r="A71" s="4">
        <v>70</v>
      </c>
      <c r="B71" s="2" t="s">
        <v>70</v>
      </c>
      <c r="C71" s="9">
        <v>28669</v>
      </c>
      <c r="D71" s="1">
        <v>9000918</v>
      </c>
    </row>
    <row r="72" spans="1:4" x14ac:dyDescent="0.25">
      <c r="A72" s="4">
        <v>71</v>
      </c>
      <c r="B72" s="2" t="s">
        <v>71</v>
      </c>
      <c r="C72" s="9">
        <v>43900</v>
      </c>
      <c r="D72" s="1">
        <v>9000839</v>
      </c>
    </row>
    <row r="73" spans="1:4" x14ac:dyDescent="0.25">
      <c r="A73" s="4">
        <v>72</v>
      </c>
      <c r="B73" s="2" t="s">
        <v>72</v>
      </c>
      <c r="C73" s="9">
        <v>13817</v>
      </c>
      <c r="D73" s="1">
        <v>9000928</v>
      </c>
    </row>
    <row r="74" spans="1:4" x14ac:dyDescent="0.25">
      <c r="A74" s="4">
        <v>73</v>
      </c>
      <c r="B74" s="2" t="s">
        <v>73</v>
      </c>
      <c r="C74" s="9">
        <v>9802</v>
      </c>
      <c r="D74" s="1">
        <v>9000795</v>
      </c>
    </row>
    <row r="75" spans="1:4" x14ac:dyDescent="0.25">
      <c r="A75" s="4">
        <v>74</v>
      </c>
      <c r="B75" s="2" t="s">
        <v>74</v>
      </c>
      <c r="C75" s="9">
        <v>41965</v>
      </c>
      <c r="D75" s="1">
        <v>9000752</v>
      </c>
    </row>
    <row r="76" spans="1:4" x14ac:dyDescent="0.25">
      <c r="A76" s="4">
        <v>75</v>
      </c>
      <c r="B76" s="2" t="s">
        <v>75</v>
      </c>
      <c r="C76" s="9">
        <v>11278</v>
      </c>
      <c r="D76" s="1">
        <v>9000752</v>
      </c>
    </row>
    <row r="77" spans="1:4" x14ac:dyDescent="0.25">
      <c r="A77" s="4">
        <v>76</v>
      </c>
      <c r="B77" s="2" t="s">
        <v>76</v>
      </c>
      <c r="C77" s="9">
        <v>41832</v>
      </c>
      <c r="D77" s="1">
        <v>9000905</v>
      </c>
    </row>
    <row r="78" spans="1:4" x14ac:dyDescent="0.25">
      <c r="A78" s="4">
        <v>77</v>
      </c>
      <c r="B78" s="2" t="s">
        <v>77</v>
      </c>
      <c r="C78" s="9">
        <v>35545</v>
      </c>
      <c r="D78" s="1">
        <v>9000898</v>
      </c>
    </row>
    <row r="79" spans="1:4" x14ac:dyDescent="0.25">
      <c r="A79" s="4">
        <v>78</v>
      </c>
      <c r="B79" s="2" t="s">
        <v>78</v>
      </c>
      <c r="C79" s="9">
        <v>35849</v>
      </c>
      <c r="D79" s="1">
        <v>9000437</v>
      </c>
    </row>
    <row r="80" spans="1:4" x14ac:dyDescent="0.25">
      <c r="A80" s="4">
        <v>79</v>
      </c>
      <c r="B80" s="2" t="s">
        <v>79</v>
      </c>
      <c r="C80" s="9">
        <v>14380</v>
      </c>
      <c r="D80" s="1">
        <v>9000420</v>
      </c>
    </row>
    <row r="81" spans="1:4" x14ac:dyDescent="0.25">
      <c r="A81" s="4">
        <v>80</v>
      </c>
      <c r="B81" s="2" t="s">
        <v>80</v>
      </c>
      <c r="C81" s="9">
        <v>12030</v>
      </c>
      <c r="D81" s="1">
        <v>9000420</v>
      </c>
    </row>
    <row r="82" spans="1:4" x14ac:dyDescent="0.25">
      <c r="A82" s="4">
        <v>81</v>
      </c>
      <c r="B82" s="2" t="s">
        <v>81</v>
      </c>
      <c r="C82" s="9">
        <v>21633</v>
      </c>
      <c r="D82" s="1">
        <v>9000916</v>
      </c>
    </row>
    <row r="83" spans="1:4" x14ac:dyDescent="0.25">
      <c r="A83" s="4">
        <v>82</v>
      </c>
      <c r="B83" s="2" t="s">
        <v>82</v>
      </c>
      <c r="C83" s="9">
        <v>8646</v>
      </c>
      <c r="D83" s="1">
        <v>9000922</v>
      </c>
    </row>
    <row r="84" spans="1:4" x14ac:dyDescent="0.25">
      <c r="A84" s="4">
        <v>83</v>
      </c>
      <c r="B84" s="2" t="s">
        <v>83</v>
      </c>
      <c r="C84" s="9">
        <v>41633</v>
      </c>
      <c r="D84" s="1">
        <v>9000918</v>
      </c>
    </row>
    <row r="85" spans="1:4" x14ac:dyDescent="0.25">
      <c r="A85" s="4">
        <v>84</v>
      </c>
      <c r="B85" s="2" t="s">
        <v>84</v>
      </c>
      <c r="C85" s="9">
        <v>5483</v>
      </c>
      <c r="D85" s="1">
        <v>9000541</v>
      </c>
    </row>
    <row r="86" spans="1:4" x14ac:dyDescent="0.25">
      <c r="A86" s="4">
        <v>85</v>
      </c>
      <c r="B86" s="2" t="s">
        <v>85</v>
      </c>
      <c r="C86" s="9">
        <v>18000</v>
      </c>
      <c r="D86" s="1">
        <v>9000918</v>
      </c>
    </row>
    <row r="87" spans="1:4" x14ac:dyDescent="0.25">
      <c r="A87" s="4">
        <v>86</v>
      </c>
      <c r="B87" s="2" t="s">
        <v>86</v>
      </c>
      <c r="C87" s="9">
        <v>15811</v>
      </c>
      <c r="D87" s="1">
        <v>9000437</v>
      </c>
    </row>
    <row r="88" spans="1:4" x14ac:dyDescent="0.25">
      <c r="A88" s="4">
        <v>87</v>
      </c>
      <c r="B88" s="2" t="s">
        <v>87</v>
      </c>
      <c r="C88" s="9">
        <v>19740</v>
      </c>
      <c r="D88" s="1">
        <v>9000432</v>
      </c>
    </row>
    <row r="89" spans="1:4" x14ac:dyDescent="0.25">
      <c r="A89" s="4">
        <v>88</v>
      </c>
      <c r="B89" s="2" t="s">
        <v>88</v>
      </c>
      <c r="C89" s="9">
        <v>30250</v>
      </c>
      <c r="D89" s="1">
        <v>9000918</v>
      </c>
    </row>
    <row r="90" spans="1:4" x14ac:dyDescent="0.25">
      <c r="A90" s="4">
        <v>89</v>
      </c>
      <c r="B90" s="2" t="s">
        <v>89</v>
      </c>
      <c r="C90" s="9">
        <v>9539</v>
      </c>
      <c r="D90" s="1">
        <v>9000420</v>
      </c>
    </row>
    <row r="91" spans="1:4" x14ac:dyDescent="0.25">
      <c r="A91" s="4">
        <v>90</v>
      </c>
      <c r="B91" s="2" t="s">
        <v>90</v>
      </c>
      <c r="C91" s="9">
        <v>9539</v>
      </c>
      <c r="D91" s="1">
        <v>9000420</v>
      </c>
    </row>
    <row r="92" spans="1:4" x14ac:dyDescent="0.25">
      <c r="A92" s="4">
        <v>91</v>
      </c>
      <c r="B92" s="2" t="s">
        <v>91</v>
      </c>
      <c r="C92" s="9">
        <v>10519</v>
      </c>
      <c r="D92" s="1">
        <v>9000485</v>
      </c>
    </row>
    <row r="93" spans="1:4" x14ac:dyDescent="0.25">
      <c r="A93" s="4">
        <v>92</v>
      </c>
      <c r="B93" s="2" t="s">
        <v>92</v>
      </c>
      <c r="C93" s="9">
        <v>1656</v>
      </c>
      <c r="D93" s="1">
        <v>9000918</v>
      </c>
    </row>
    <row r="94" spans="1:4" x14ac:dyDescent="0.25">
      <c r="A94" s="4">
        <v>93</v>
      </c>
      <c r="B94" s="2" t="s">
        <v>93</v>
      </c>
      <c r="C94" s="9">
        <v>9539</v>
      </c>
      <c r="D94" s="1">
        <v>9000420</v>
      </c>
    </row>
    <row r="95" spans="1:4" x14ac:dyDescent="0.25">
      <c r="A95" s="4">
        <v>94</v>
      </c>
      <c r="B95" s="2" t="s">
        <v>94</v>
      </c>
      <c r="C95" s="9">
        <v>42567</v>
      </c>
      <c r="D95" s="1">
        <v>9000918</v>
      </c>
    </row>
    <row r="96" spans="1:4" x14ac:dyDescent="0.25">
      <c r="C96" s="16">
        <f>SUM(C2:C95)</f>
        <v>1645044</v>
      </c>
    </row>
    <row r="97" spans="2:4" x14ac:dyDescent="0.25">
      <c r="B97" s="6" t="s">
        <v>0</v>
      </c>
      <c r="C97" s="15" t="s">
        <v>97</v>
      </c>
      <c r="D97" s="11"/>
    </row>
    <row r="98" spans="2:4" x14ac:dyDescent="0.25">
      <c r="B98" s="3" t="s">
        <v>1</v>
      </c>
      <c r="C98" s="8">
        <v>4600</v>
      </c>
      <c r="D98" s="12"/>
    </row>
    <row r="99" spans="2:4" x14ac:dyDescent="0.25">
      <c r="B99" s="2" t="s">
        <v>2</v>
      </c>
      <c r="C99" s="9">
        <v>6137</v>
      </c>
      <c r="D99" s="13"/>
    </row>
    <row r="100" spans="2:4" x14ac:dyDescent="0.25">
      <c r="B100" s="2" t="s">
        <v>3</v>
      </c>
      <c r="C100" s="9">
        <v>4707</v>
      </c>
      <c r="D100" s="13"/>
    </row>
    <row r="101" spans="2:4" x14ac:dyDescent="0.25">
      <c r="B101" s="2" t="s">
        <v>4</v>
      </c>
      <c r="C101" s="9">
        <v>8038</v>
      </c>
      <c r="D101" s="13"/>
    </row>
    <row r="102" spans="2:4" x14ac:dyDescent="0.25">
      <c r="B102" s="2" t="s">
        <v>5</v>
      </c>
      <c r="C102" s="9">
        <v>500</v>
      </c>
      <c r="D102" s="13"/>
    </row>
    <row r="103" spans="2:4" x14ac:dyDescent="0.25">
      <c r="B103" s="2" t="s">
        <v>6</v>
      </c>
      <c r="C103" s="9">
        <v>21900</v>
      </c>
      <c r="D103" s="13"/>
    </row>
    <row r="104" spans="2:4" x14ac:dyDescent="0.25">
      <c r="B104" s="2" t="s">
        <v>7</v>
      </c>
      <c r="C104" s="9">
        <v>14500</v>
      </c>
      <c r="D104" s="13"/>
    </row>
    <row r="105" spans="2:4" x14ac:dyDescent="0.25">
      <c r="B105" s="2" t="s">
        <v>8</v>
      </c>
      <c r="C105" s="9">
        <v>47725</v>
      </c>
      <c r="D105" s="13"/>
    </row>
    <row r="106" spans="2:4" x14ac:dyDescent="0.25">
      <c r="B106" s="2" t="s">
        <v>9</v>
      </c>
      <c r="C106" s="9">
        <v>26324</v>
      </c>
      <c r="D106" s="13"/>
    </row>
    <row r="107" spans="2:4" x14ac:dyDescent="0.25">
      <c r="B107" s="2" t="s">
        <v>10</v>
      </c>
      <c r="C107" s="9">
        <v>11390</v>
      </c>
      <c r="D107" s="13"/>
    </row>
    <row r="108" spans="2:4" x14ac:dyDescent="0.25">
      <c r="B108" s="2" t="s">
        <v>11</v>
      </c>
      <c r="C108" s="9">
        <v>7894</v>
      </c>
      <c r="D108" s="13"/>
    </row>
    <row r="109" spans="2:4" x14ac:dyDescent="0.25">
      <c r="B109" s="2" t="s">
        <v>12</v>
      </c>
      <c r="C109" s="9">
        <v>25773</v>
      </c>
      <c r="D109" s="13"/>
    </row>
    <row r="110" spans="2:4" x14ac:dyDescent="0.25">
      <c r="B110" s="2" t="s">
        <v>13</v>
      </c>
      <c r="C110" s="9">
        <v>4884</v>
      </c>
      <c r="D110" s="13"/>
    </row>
    <row r="111" spans="2:4" x14ac:dyDescent="0.25">
      <c r="B111" s="2" t="s">
        <v>14</v>
      </c>
      <c r="C111" s="9">
        <v>7900</v>
      </c>
      <c r="D111" s="13"/>
    </row>
    <row r="112" spans="2:4" x14ac:dyDescent="0.25">
      <c r="B112" s="2" t="s">
        <v>15</v>
      </c>
      <c r="C112" s="9">
        <v>849</v>
      </c>
      <c r="D112" s="13"/>
    </row>
    <row r="113" spans="2:4" x14ac:dyDescent="0.25">
      <c r="B113" s="2" t="s">
        <v>16</v>
      </c>
      <c r="C113" s="9">
        <v>19494</v>
      </c>
      <c r="D113" s="13"/>
    </row>
    <row r="114" spans="2:4" x14ac:dyDescent="0.25">
      <c r="B114" s="2" t="s">
        <v>17</v>
      </c>
      <c r="C114" s="9">
        <v>7500</v>
      </c>
      <c r="D114" s="13"/>
    </row>
    <row r="115" spans="2:4" x14ac:dyDescent="0.25">
      <c r="B115" s="2" t="s">
        <v>18</v>
      </c>
      <c r="C115" s="9">
        <v>4849</v>
      </c>
      <c r="D115" s="13"/>
    </row>
    <row r="116" spans="2:4" x14ac:dyDescent="0.25">
      <c r="B116" s="2" t="s">
        <v>19</v>
      </c>
      <c r="C116" s="9">
        <v>21814</v>
      </c>
      <c r="D116" s="13"/>
    </row>
    <row r="117" spans="2:4" x14ac:dyDescent="0.25">
      <c r="B117" s="2" t="s">
        <v>20</v>
      </c>
      <c r="C117" s="9">
        <v>60271</v>
      </c>
      <c r="D117" s="13"/>
    </row>
    <row r="118" spans="2:4" x14ac:dyDescent="0.25">
      <c r="B118" s="2" t="s">
        <v>21</v>
      </c>
      <c r="C118" s="9">
        <v>15979</v>
      </c>
      <c r="D118" s="13"/>
    </row>
    <row r="119" spans="2:4" x14ac:dyDescent="0.25">
      <c r="B119" s="2" t="s">
        <v>22</v>
      </c>
      <c r="C119" s="9">
        <v>24610</v>
      </c>
      <c r="D119" s="13"/>
    </row>
    <row r="120" spans="2:4" x14ac:dyDescent="0.25">
      <c r="B120" s="2" t="s">
        <v>23</v>
      </c>
      <c r="C120" s="9">
        <v>5467</v>
      </c>
      <c r="D120" s="13"/>
    </row>
    <row r="121" spans="2:4" x14ac:dyDescent="0.25">
      <c r="B121" s="2" t="s">
        <v>24</v>
      </c>
      <c r="C121" s="9">
        <v>5223</v>
      </c>
      <c r="D121" s="13"/>
    </row>
    <row r="122" spans="2:4" x14ac:dyDescent="0.25">
      <c r="B122" s="2" t="s">
        <v>25</v>
      </c>
      <c r="C122" s="9">
        <v>5796</v>
      </c>
      <c r="D122" s="13"/>
    </row>
    <row r="123" spans="2:4" x14ac:dyDescent="0.25">
      <c r="B123" s="2" t="s">
        <v>26</v>
      </c>
      <c r="C123" s="9">
        <v>3485</v>
      </c>
      <c r="D123" s="13"/>
    </row>
    <row r="124" spans="2:4" x14ac:dyDescent="0.25">
      <c r="B124" s="2" t="s">
        <v>27</v>
      </c>
      <c r="C124" s="9">
        <v>1251</v>
      </c>
      <c r="D124" s="13"/>
    </row>
    <row r="125" spans="2:4" x14ac:dyDescent="0.25">
      <c r="B125" s="2" t="s">
        <v>28</v>
      </c>
      <c r="C125" s="9">
        <v>5939</v>
      </c>
      <c r="D125" s="13"/>
    </row>
    <row r="126" spans="2:4" x14ac:dyDescent="0.25">
      <c r="B126" s="2" t="s">
        <v>29</v>
      </c>
      <c r="C126" s="9">
        <v>3908</v>
      </c>
      <c r="D126" s="13"/>
    </row>
    <row r="127" spans="2:4" x14ac:dyDescent="0.25">
      <c r="B127" s="2" t="s">
        <v>30</v>
      </c>
      <c r="C127" s="9">
        <v>32137</v>
      </c>
      <c r="D127" s="13"/>
    </row>
    <row r="128" spans="2:4" x14ac:dyDescent="0.25">
      <c r="B128" s="2" t="s">
        <v>31</v>
      </c>
      <c r="C128" s="9">
        <v>4007</v>
      </c>
      <c r="D128" s="13"/>
    </row>
    <row r="129" spans="2:4" x14ac:dyDescent="0.25">
      <c r="B129" s="2" t="s">
        <v>32</v>
      </c>
      <c r="C129" s="9">
        <v>48217</v>
      </c>
      <c r="D129" s="13"/>
    </row>
    <row r="130" spans="2:4" x14ac:dyDescent="0.25">
      <c r="B130" s="2" t="s">
        <v>33</v>
      </c>
      <c r="C130" s="9">
        <v>28007</v>
      </c>
      <c r="D130" s="13"/>
    </row>
    <row r="131" spans="2:4" x14ac:dyDescent="0.25">
      <c r="B131" s="2" t="s">
        <v>34</v>
      </c>
      <c r="C131" s="9">
        <v>21407</v>
      </c>
      <c r="D131" s="13"/>
    </row>
    <row r="132" spans="2:4" x14ac:dyDescent="0.25">
      <c r="B132" s="2" t="s">
        <v>35</v>
      </c>
      <c r="C132" s="9">
        <v>22292</v>
      </c>
      <c r="D132" s="13"/>
    </row>
    <row r="133" spans="2:4" x14ac:dyDescent="0.25">
      <c r="B133" s="2" t="s">
        <v>36</v>
      </c>
      <c r="C133" s="9">
        <v>36984</v>
      </c>
      <c r="D133" s="13"/>
    </row>
    <row r="134" spans="2:4" x14ac:dyDescent="0.25">
      <c r="B134" s="2" t="s">
        <v>37</v>
      </c>
      <c r="C134" s="9">
        <v>42053</v>
      </c>
      <c r="D134" s="13"/>
    </row>
    <row r="135" spans="2:4" x14ac:dyDescent="0.25">
      <c r="B135" s="2" t="s">
        <v>38</v>
      </c>
      <c r="C135" s="9">
        <v>19740</v>
      </c>
      <c r="D135" s="13"/>
    </row>
    <row r="136" spans="2:4" x14ac:dyDescent="0.25">
      <c r="B136" s="2" t="s">
        <v>39</v>
      </c>
      <c r="C136" s="9">
        <v>30351</v>
      </c>
      <c r="D136" s="13"/>
    </row>
    <row r="137" spans="2:4" x14ac:dyDescent="0.25">
      <c r="B137" s="2" t="s">
        <v>40</v>
      </c>
      <c r="C137" s="9">
        <v>12280</v>
      </c>
      <c r="D137" s="13"/>
    </row>
    <row r="138" spans="2:4" x14ac:dyDescent="0.25">
      <c r="B138" s="2" t="s">
        <v>41</v>
      </c>
      <c r="C138" s="9">
        <v>8134</v>
      </c>
      <c r="D138" s="13"/>
    </row>
    <row r="139" spans="2:4" x14ac:dyDescent="0.25">
      <c r="B139" s="2" t="s">
        <v>42</v>
      </c>
      <c r="C139" s="9">
        <v>10066</v>
      </c>
      <c r="D139" s="13"/>
    </row>
    <row r="140" spans="2:4" x14ac:dyDescent="0.25">
      <c r="B140" s="2" t="s">
        <v>43</v>
      </c>
      <c r="C140" s="9">
        <v>12615</v>
      </c>
      <c r="D140" s="13"/>
    </row>
    <row r="141" spans="2:4" x14ac:dyDescent="0.25">
      <c r="B141" s="2" t="s">
        <v>44</v>
      </c>
      <c r="C141" s="9">
        <v>21131</v>
      </c>
      <c r="D141" s="13"/>
    </row>
    <row r="142" spans="2:4" x14ac:dyDescent="0.25">
      <c r="B142" s="2" t="s">
        <v>45</v>
      </c>
      <c r="C142" s="9">
        <v>51934</v>
      </c>
      <c r="D142" s="13"/>
    </row>
    <row r="143" spans="2:4" x14ac:dyDescent="0.25">
      <c r="B143" s="2" t="s">
        <v>46</v>
      </c>
      <c r="C143" s="9">
        <v>20225</v>
      </c>
      <c r="D143" s="13"/>
    </row>
    <row r="144" spans="2:4" x14ac:dyDescent="0.25">
      <c r="B144" s="2" t="s">
        <v>47</v>
      </c>
      <c r="C144" s="9">
        <v>12168</v>
      </c>
      <c r="D144" s="13"/>
    </row>
    <row r="145" spans="2:4" x14ac:dyDescent="0.25">
      <c r="B145" s="2" t="s">
        <v>48</v>
      </c>
      <c r="C145" s="9">
        <v>27005</v>
      </c>
      <c r="D145" s="13"/>
    </row>
    <row r="146" spans="2:4" x14ac:dyDescent="0.25">
      <c r="B146" s="2" t="s">
        <v>49</v>
      </c>
      <c r="C146" s="9">
        <v>27131</v>
      </c>
      <c r="D146" s="13"/>
    </row>
    <row r="147" spans="2:4" x14ac:dyDescent="0.25">
      <c r="B147" s="2" t="s">
        <v>50</v>
      </c>
      <c r="C147" s="9">
        <v>17700</v>
      </c>
      <c r="D147" s="13"/>
    </row>
    <row r="148" spans="2:4" x14ac:dyDescent="0.25">
      <c r="B148" s="2" t="s">
        <v>51</v>
      </c>
      <c r="C148" s="9">
        <v>12809</v>
      </c>
      <c r="D148" s="13"/>
    </row>
    <row r="149" spans="2:4" x14ac:dyDescent="0.25">
      <c r="B149" s="2" t="s">
        <v>52</v>
      </c>
      <c r="C149" s="9">
        <v>1000</v>
      </c>
      <c r="D149" s="13"/>
    </row>
    <row r="150" spans="2:4" x14ac:dyDescent="0.25">
      <c r="B150" s="2" t="s">
        <v>53</v>
      </c>
      <c r="C150" s="9">
        <v>27151</v>
      </c>
      <c r="D150" s="13"/>
    </row>
    <row r="151" spans="2:4" x14ac:dyDescent="0.25">
      <c r="B151" s="2" t="s">
        <v>54</v>
      </c>
      <c r="C151" s="9">
        <v>7252</v>
      </c>
      <c r="D151" s="13"/>
    </row>
    <row r="152" spans="2:4" x14ac:dyDescent="0.25">
      <c r="B152" s="2" t="s">
        <v>55</v>
      </c>
      <c r="C152" s="9">
        <v>15747</v>
      </c>
      <c r="D152" s="13"/>
    </row>
    <row r="153" spans="2:4" x14ac:dyDescent="0.25">
      <c r="B153" s="2" t="s">
        <v>56</v>
      </c>
      <c r="C153" s="9">
        <v>9470</v>
      </c>
      <c r="D153" s="13"/>
    </row>
    <row r="154" spans="2:4" x14ac:dyDescent="0.25">
      <c r="B154" s="2" t="s">
        <v>57</v>
      </c>
      <c r="C154" s="9">
        <v>10125</v>
      </c>
      <c r="D154" s="13"/>
    </row>
    <row r="155" spans="2:4" x14ac:dyDescent="0.25">
      <c r="B155" s="2" t="s">
        <v>58</v>
      </c>
      <c r="C155" s="9">
        <v>15525</v>
      </c>
      <c r="D155" s="13"/>
    </row>
    <row r="156" spans="2:4" x14ac:dyDescent="0.25">
      <c r="B156" s="2" t="s">
        <v>59</v>
      </c>
      <c r="C156" s="9">
        <v>9611</v>
      </c>
      <c r="D156" s="13"/>
    </row>
    <row r="157" spans="2:4" x14ac:dyDescent="0.25">
      <c r="B157" s="2" t="s">
        <v>60</v>
      </c>
      <c r="C157" s="9">
        <v>3983</v>
      </c>
      <c r="D157" s="13"/>
    </row>
    <row r="158" spans="2:4" x14ac:dyDescent="0.25">
      <c r="B158" s="2" t="s">
        <v>61</v>
      </c>
      <c r="C158" s="9">
        <v>45688</v>
      </c>
      <c r="D158" s="13"/>
    </row>
    <row r="159" spans="2:4" x14ac:dyDescent="0.25">
      <c r="B159" s="2" t="s">
        <v>62</v>
      </c>
      <c r="C159" s="9">
        <v>8720</v>
      </c>
      <c r="D159" s="13"/>
    </row>
    <row r="160" spans="2:4" x14ac:dyDescent="0.25">
      <c r="B160" s="2" t="s">
        <v>63</v>
      </c>
      <c r="C160" s="9">
        <v>11580</v>
      </c>
      <c r="D160" s="13"/>
    </row>
    <row r="161" spans="2:4" x14ac:dyDescent="0.25">
      <c r="B161" s="2" t="s">
        <v>64</v>
      </c>
      <c r="C161" s="9">
        <v>10197</v>
      </c>
      <c r="D161" s="13"/>
    </row>
    <row r="162" spans="2:4" x14ac:dyDescent="0.25">
      <c r="B162" s="2" t="s">
        <v>65</v>
      </c>
      <c r="C162" s="9">
        <v>9835</v>
      </c>
      <c r="D162" s="13"/>
    </row>
    <row r="163" spans="2:4" x14ac:dyDescent="0.25">
      <c r="B163" s="2" t="s">
        <v>66</v>
      </c>
      <c r="C163" s="9">
        <v>9835</v>
      </c>
      <c r="D163" s="13"/>
    </row>
    <row r="164" spans="2:4" x14ac:dyDescent="0.25">
      <c r="B164" s="2" t="s">
        <v>67</v>
      </c>
      <c r="C164" s="9">
        <v>9440</v>
      </c>
      <c r="D164" s="13"/>
    </row>
    <row r="165" spans="2:4" x14ac:dyDescent="0.25">
      <c r="B165" s="2" t="s">
        <v>68</v>
      </c>
      <c r="C165" s="9">
        <v>4229</v>
      </c>
      <c r="D165" s="13"/>
    </row>
    <row r="166" spans="2:4" x14ac:dyDescent="0.25">
      <c r="B166" s="2" t="s">
        <v>69</v>
      </c>
      <c r="C166" s="9">
        <v>4934</v>
      </c>
      <c r="D166" s="13"/>
    </row>
    <row r="167" spans="2:4" x14ac:dyDescent="0.25">
      <c r="B167" s="2" t="s">
        <v>70</v>
      </c>
      <c r="C167" s="9">
        <v>28669</v>
      </c>
      <c r="D167" s="13"/>
    </row>
    <row r="168" spans="2:4" x14ac:dyDescent="0.25">
      <c r="B168" s="2" t="s">
        <v>71</v>
      </c>
      <c r="C168" s="9">
        <v>43900</v>
      </c>
      <c r="D168" s="13"/>
    </row>
    <row r="169" spans="2:4" x14ac:dyDescent="0.25">
      <c r="B169" s="2" t="s">
        <v>72</v>
      </c>
      <c r="C169" s="9">
        <v>13817</v>
      </c>
      <c r="D169" s="13"/>
    </row>
    <row r="170" spans="2:4" x14ac:dyDescent="0.25">
      <c r="B170" s="2" t="s">
        <v>73</v>
      </c>
      <c r="C170" s="9">
        <v>9802</v>
      </c>
      <c r="D170" s="13"/>
    </row>
    <row r="171" spans="2:4" x14ac:dyDescent="0.25">
      <c r="B171" s="2" t="s">
        <v>74</v>
      </c>
      <c r="C171" s="9">
        <v>41965</v>
      </c>
      <c r="D171" s="13"/>
    </row>
    <row r="172" spans="2:4" x14ac:dyDescent="0.25">
      <c r="B172" s="2" t="s">
        <v>75</v>
      </c>
      <c r="C172" s="9">
        <v>11278</v>
      </c>
      <c r="D172" s="13"/>
    </row>
    <row r="173" spans="2:4" x14ac:dyDescent="0.25">
      <c r="B173" s="2" t="s">
        <v>76</v>
      </c>
      <c r="C173" s="9">
        <v>41832</v>
      </c>
      <c r="D173" s="13"/>
    </row>
    <row r="174" spans="2:4" x14ac:dyDescent="0.25">
      <c r="B174" s="2" t="s">
        <v>77</v>
      </c>
      <c r="C174" s="9">
        <v>35545</v>
      </c>
      <c r="D174" s="13"/>
    </row>
    <row r="175" spans="2:4" x14ac:dyDescent="0.25">
      <c r="B175" s="2" t="s">
        <v>78</v>
      </c>
      <c r="C175" s="9">
        <v>35849</v>
      </c>
      <c r="D175" s="13"/>
    </row>
    <row r="176" spans="2:4" x14ac:dyDescent="0.25">
      <c r="B176" s="2" t="s">
        <v>79</v>
      </c>
      <c r="C176" s="9">
        <v>14380</v>
      </c>
      <c r="D176" s="13"/>
    </row>
    <row r="177" spans="2:4" x14ac:dyDescent="0.25">
      <c r="B177" s="2" t="s">
        <v>80</v>
      </c>
      <c r="C177" s="9">
        <v>12030</v>
      </c>
      <c r="D177" s="13"/>
    </row>
    <row r="178" spans="2:4" x14ac:dyDescent="0.25">
      <c r="B178" s="2" t="s">
        <v>81</v>
      </c>
      <c r="C178" s="9">
        <v>21633</v>
      </c>
      <c r="D178" s="13"/>
    </row>
    <row r="179" spans="2:4" x14ac:dyDescent="0.25">
      <c r="B179" s="2" t="s">
        <v>82</v>
      </c>
      <c r="C179" s="9">
        <v>8646</v>
      </c>
      <c r="D179" s="13"/>
    </row>
    <row r="180" spans="2:4" x14ac:dyDescent="0.25">
      <c r="B180" s="2" t="s">
        <v>83</v>
      </c>
      <c r="C180" s="9">
        <v>41633</v>
      </c>
      <c r="D180" s="13"/>
    </row>
    <row r="181" spans="2:4" x14ac:dyDescent="0.25">
      <c r="B181" s="2" t="s">
        <v>84</v>
      </c>
      <c r="C181" s="9">
        <v>5483</v>
      </c>
      <c r="D181" s="13"/>
    </row>
    <row r="182" spans="2:4" x14ac:dyDescent="0.25">
      <c r="B182" s="2" t="s">
        <v>85</v>
      </c>
      <c r="C182" s="9">
        <v>18000</v>
      </c>
      <c r="D182" s="13"/>
    </row>
    <row r="183" spans="2:4" x14ac:dyDescent="0.25">
      <c r="B183" s="2" t="s">
        <v>86</v>
      </c>
      <c r="C183" s="9">
        <v>15811</v>
      </c>
      <c r="D183" s="13"/>
    </row>
    <row r="184" spans="2:4" x14ac:dyDescent="0.25">
      <c r="B184" s="2" t="s">
        <v>87</v>
      </c>
      <c r="C184" s="9">
        <v>19740</v>
      </c>
      <c r="D184" s="13"/>
    </row>
    <row r="185" spans="2:4" x14ac:dyDescent="0.25">
      <c r="B185" s="2" t="s">
        <v>88</v>
      </c>
      <c r="C185" s="9">
        <v>30250</v>
      </c>
      <c r="D185" s="13"/>
    </row>
    <row r="186" spans="2:4" x14ac:dyDescent="0.25">
      <c r="B186" s="2" t="s">
        <v>89</v>
      </c>
      <c r="C186" s="9">
        <v>9539</v>
      </c>
      <c r="D186" s="13"/>
    </row>
    <row r="187" spans="2:4" x14ac:dyDescent="0.25">
      <c r="B187" s="2" t="s">
        <v>90</v>
      </c>
      <c r="C187" s="9">
        <v>9539</v>
      </c>
      <c r="D187" s="13"/>
    </row>
    <row r="188" spans="2:4" x14ac:dyDescent="0.25">
      <c r="B188" s="2" t="s">
        <v>91</v>
      </c>
      <c r="C188" s="9">
        <v>10519</v>
      </c>
      <c r="D188" s="13"/>
    </row>
    <row r="189" spans="2:4" x14ac:dyDescent="0.25">
      <c r="B189" s="2" t="s">
        <v>92</v>
      </c>
      <c r="C189" s="9">
        <v>1656</v>
      </c>
      <c r="D189" s="13"/>
    </row>
    <row r="190" spans="2:4" x14ac:dyDescent="0.25">
      <c r="B190" s="2" t="s">
        <v>93</v>
      </c>
      <c r="C190" s="9">
        <v>9539</v>
      </c>
      <c r="D190" s="13"/>
    </row>
    <row r="191" spans="2:4" x14ac:dyDescent="0.25">
      <c r="B191" s="2" t="s">
        <v>94</v>
      </c>
      <c r="C191" s="9">
        <v>42567</v>
      </c>
      <c r="D191" s="13"/>
    </row>
    <row r="192" spans="2:4" x14ac:dyDescent="0.25">
      <c r="C192" s="16">
        <f>SUM(C98:C191)</f>
        <v>1645044</v>
      </c>
      <c r="D192" s="10"/>
    </row>
  </sheetData>
  <autoFilter ref="A1:D95" xr:uid="{7C35E219-7FB3-4DD8-8B10-15A835F06D7E}"/>
  <conditionalFormatting sqref="B3:B95">
    <cfRule type="duplicateValues" dxfId="40" priority="8"/>
    <cfRule type="duplicateValues" dxfId="39" priority="9"/>
    <cfRule type="duplicateValues" dxfId="38" priority="10"/>
    <cfRule type="duplicateValues" dxfId="37" priority="11"/>
  </conditionalFormatting>
  <conditionalFormatting sqref="B64:B78">
    <cfRule type="duplicateValues" dxfId="36" priority="7"/>
  </conditionalFormatting>
  <conditionalFormatting sqref="B79:B95">
    <cfRule type="duplicateValues" dxfId="35" priority="12"/>
  </conditionalFormatting>
  <conditionalFormatting sqref="B99:B191">
    <cfRule type="duplicateValues" dxfId="34" priority="2"/>
    <cfRule type="duplicateValues" dxfId="33" priority="3"/>
    <cfRule type="duplicateValues" dxfId="32" priority="4"/>
    <cfRule type="duplicateValues" dxfId="31" priority="5"/>
  </conditionalFormatting>
  <conditionalFormatting sqref="B160:B174">
    <cfRule type="duplicateValues" dxfId="30" priority="1"/>
  </conditionalFormatting>
  <conditionalFormatting sqref="B175:B191">
    <cfRule type="duplicateValues" dxfId="29" priority="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55802-B3D3-45B7-80EB-F439C4EACAB3}">
  <dimension ref="A1:H96"/>
  <sheetViews>
    <sheetView topLeftCell="A95" workbookViewId="0">
      <selection activeCell="E82" sqref="E82"/>
    </sheetView>
  </sheetViews>
  <sheetFormatPr defaultRowHeight="15" x14ac:dyDescent="0.25"/>
  <cols>
    <col min="1" max="1" width="38.7109375" bestFit="1" customWidth="1"/>
    <col min="2" max="3" width="14" bestFit="1" customWidth="1"/>
    <col min="4" max="4" width="10.5703125" bestFit="1" customWidth="1"/>
    <col min="5" max="5" width="13.7109375" bestFit="1" customWidth="1"/>
    <col min="6" max="6" width="98.28515625" customWidth="1"/>
    <col min="7" max="7" width="89.140625" customWidth="1"/>
    <col min="8" max="8" width="79.85546875" customWidth="1"/>
  </cols>
  <sheetData>
    <row r="1" spans="1:8" x14ac:dyDescent="0.25">
      <c r="A1" s="7" t="s">
        <v>106</v>
      </c>
      <c r="B1" t="s">
        <v>107</v>
      </c>
      <c r="D1" s="17" t="s">
        <v>108</v>
      </c>
      <c r="E1" s="18" t="s">
        <v>206</v>
      </c>
    </row>
    <row r="2" spans="1:8" ht="96" customHeight="1" x14ac:dyDescent="0.25">
      <c r="A2" s="3" t="s">
        <v>1</v>
      </c>
      <c r="B2" s="19" t="str">
        <f>VLOOKUP(A2,policy!B:C,2,0)</f>
        <v>040000164680</v>
      </c>
      <c r="C2" s="8">
        <v>4600</v>
      </c>
      <c r="D2" s="20">
        <f>ROUND(C2,0)</f>
        <v>4600</v>
      </c>
      <c r="E2" s="18" t="s">
        <v>206</v>
      </c>
      <c r="F2" s="21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22" t="str">
        <f>"('"&amp;E2&amp;"','"&amp;B2&amp;"','"&amp;D2&amp;"',(select max(to_number(i.premium_rcv_detail_code))+1
from ins_premium_det i),'"&amp;D2&amp;"','"&amp;D2&amp;"','02', '11000003','00','Request by Mr. Omair Ali 22-Jan-2025 Premium');"</f>
        <v>('21Jan250071','040000164680','4600',(select max(to_number(i.premium_rcv_detail_code))+1
from ins_premium_det i),'4600','4600','02', '11000003','00','Request by Mr. Omair Ali 22-Jan-2025 Premium');</v>
      </c>
      <c r="H2" s="23" t="str">
        <f>F2&amp;G2</f>
        <v>insert into ins_premium_det (premium_rcv_code,assorted_code, rec_amount,premium_rcv_detail_code,remaining_amt, payrec, mode_code,coinsurance_code,class_cd,it_remarks) values('21Jan250071','040000164680','4600',(select max(to_number(i.premium_rcv_detail_code))+1
from ins_premium_det i),'4600','4600','02', '11000003','00','Request by Mr. Omair Ali 22-Jan-2025 Premium');</v>
      </c>
    </row>
    <row r="3" spans="1:8" ht="105" x14ac:dyDescent="0.25">
      <c r="A3" s="2" t="s">
        <v>2</v>
      </c>
      <c r="B3" s="19" t="str">
        <f>VLOOKUP(A3,policy!B:C,2,0)</f>
        <v>040000164686</v>
      </c>
      <c r="C3" s="9">
        <v>6137</v>
      </c>
      <c r="D3" s="20">
        <f t="shared" ref="D3:D66" si="1">ROUND(C3,0)</f>
        <v>6137</v>
      </c>
      <c r="E3" s="18" t="s">
        <v>206</v>
      </c>
      <c r="F3" s="21" t="str">
        <f t="shared" si="0"/>
        <v>insert into ins_premium_det (premium_rcv_code,assorted_code, rec_amount,premium_rcv_detail_code,remaining_amt, payrec, mode_code,coinsurance_code,class_cd,it_remarks) values</v>
      </c>
      <c r="G3" s="22" t="str">
        <f t="shared" ref="G3:G66" si="2">"('"&amp;E3&amp;"','"&amp;B3&amp;"','"&amp;D3&amp;"',(select max(to_number(i.premium_rcv_detail_code))+1
from ins_premium_det i),'"&amp;D3&amp;"','"&amp;D3&amp;"','02', '11000003','00','Request by Mr. Omair Ali 22-Jan-2025 Premium');"</f>
        <v>('21Jan250071','040000164686','6137',(select max(to_number(i.premium_rcv_detail_code))+1
from ins_premium_det i),'6137','6137','02', '11000003','00','Request by Mr. Omair Ali 22-Jan-2025 Premium');</v>
      </c>
      <c r="H3" s="23" t="str">
        <f t="shared" ref="H3:H66" si="3">F3&amp;G3</f>
        <v>insert into ins_premium_det (premium_rcv_code,assorted_code, rec_amount,premium_rcv_detail_code,remaining_amt, payrec, mode_code,coinsurance_code,class_cd,it_remarks) values('21Jan250071','040000164686','6137',(select max(to_number(i.premium_rcv_detail_code))+1
from ins_premium_det i),'6137','6137','02', '11000003','00','Request by Mr. Omair Ali 22-Jan-2025 Premium');</v>
      </c>
    </row>
    <row r="4" spans="1:8" ht="105" x14ac:dyDescent="0.25">
      <c r="A4" s="2" t="s">
        <v>3</v>
      </c>
      <c r="B4" s="19" t="str">
        <f>VLOOKUP(A4,policy!B:C,2,0)</f>
        <v>040000164687</v>
      </c>
      <c r="C4" s="9">
        <v>4707</v>
      </c>
      <c r="D4" s="20">
        <f t="shared" si="1"/>
        <v>4707</v>
      </c>
      <c r="E4" s="18" t="s">
        <v>206</v>
      </c>
      <c r="F4" s="21" t="str">
        <f t="shared" si="0"/>
        <v>insert into ins_premium_det (premium_rcv_code,assorted_code, rec_amount,premium_rcv_detail_code,remaining_amt, payrec, mode_code,coinsurance_code,class_cd,it_remarks) values</v>
      </c>
      <c r="G4" s="22" t="str">
        <f t="shared" si="2"/>
        <v>('21Jan250071','040000164687','4707',(select max(to_number(i.premium_rcv_detail_code))+1
from ins_premium_det i),'4707','4707','02', '11000003','00','Request by Mr. Omair Ali 22-Jan-2025 Premium');</v>
      </c>
      <c r="H4" s="23" t="str">
        <f t="shared" si="3"/>
        <v>insert into ins_premium_det (premium_rcv_code,assorted_code, rec_amount,premium_rcv_detail_code,remaining_amt, payrec, mode_code,coinsurance_code,class_cd,it_remarks) values('21Jan250071','040000164687','4707',(select max(to_number(i.premium_rcv_detail_code))+1
from ins_premium_det i),'4707','4707','02', '11000003','00','Request by Mr. Omair Ali 22-Jan-2025 Premium');</v>
      </c>
    </row>
    <row r="5" spans="1:8" ht="105" x14ac:dyDescent="0.25">
      <c r="A5" s="2" t="s">
        <v>4</v>
      </c>
      <c r="B5" s="19" t="str">
        <f>VLOOKUP(A5,policy!B:C,2,0)</f>
        <v>040000164703</v>
      </c>
      <c r="C5" s="9">
        <v>8038</v>
      </c>
      <c r="D5" s="20">
        <f t="shared" si="1"/>
        <v>8038</v>
      </c>
      <c r="E5" s="18" t="s">
        <v>206</v>
      </c>
      <c r="F5" s="21" t="str">
        <f t="shared" si="0"/>
        <v>insert into ins_premium_det (premium_rcv_code,assorted_code, rec_amount,premium_rcv_detail_code,remaining_amt, payrec, mode_code,coinsurance_code,class_cd,it_remarks) values</v>
      </c>
      <c r="G5" s="22" t="str">
        <f t="shared" si="2"/>
        <v>('21Jan250071','040000164703','8038',(select max(to_number(i.premium_rcv_detail_code))+1
from ins_premium_det i),'8038','8038','02', '11000003','00','Request by Mr. Omair Ali 22-Jan-2025 Premium');</v>
      </c>
      <c r="H5" s="23" t="str">
        <f t="shared" si="3"/>
        <v>insert into ins_premium_det (premium_rcv_code,assorted_code, rec_amount,premium_rcv_detail_code,remaining_amt, payrec, mode_code,coinsurance_code,class_cd,it_remarks) values('21Jan250071','040000164703','8038',(select max(to_number(i.premium_rcv_detail_code))+1
from ins_premium_det i),'8038','8038','02', '11000003','00','Request by Mr. Omair Ali 22-Jan-2025 Premium');</v>
      </c>
    </row>
    <row r="6" spans="1:8" ht="105" x14ac:dyDescent="0.25">
      <c r="A6" s="2" t="s">
        <v>5</v>
      </c>
      <c r="B6" s="19" t="str">
        <f>VLOOKUP(A6,policy!B:C,2,0)</f>
        <v>040000164704</v>
      </c>
      <c r="C6" s="9">
        <v>500</v>
      </c>
      <c r="D6" s="20">
        <f t="shared" si="1"/>
        <v>500</v>
      </c>
      <c r="E6" s="18" t="s">
        <v>206</v>
      </c>
      <c r="F6" s="21" t="str">
        <f t="shared" si="0"/>
        <v>insert into ins_premium_det (premium_rcv_code,assorted_code, rec_amount,premium_rcv_detail_code,remaining_amt, payrec, mode_code,coinsurance_code,class_cd,it_remarks) values</v>
      </c>
      <c r="G6" s="22" t="str">
        <f t="shared" si="2"/>
        <v>('21Jan250071','040000164704','500',(select max(to_number(i.premium_rcv_detail_code))+1
from ins_premium_det i),'500','500','02', '11000003','00','Request by Mr. Omair Ali 22-Jan-2025 Premium');</v>
      </c>
      <c r="H6" s="23" t="str">
        <f t="shared" si="3"/>
        <v>insert into ins_premium_det (premium_rcv_code,assorted_code, rec_amount,premium_rcv_detail_code,remaining_amt, payrec, mode_code,coinsurance_code,class_cd,it_remarks) values('21Jan250071','040000164704','500',(select max(to_number(i.premium_rcv_detail_code))+1
from ins_premium_det i),'500','500','02', '11000003','00','Request by Mr. Omair Ali 22-Jan-2025 Premium');</v>
      </c>
    </row>
    <row r="7" spans="1:8" ht="105" x14ac:dyDescent="0.25">
      <c r="A7" s="2" t="s">
        <v>6</v>
      </c>
      <c r="B7" s="19" t="str">
        <f>VLOOKUP(A7,policy!B:C,2,0)</f>
        <v>040000177370</v>
      </c>
      <c r="C7" s="9">
        <v>21900</v>
      </c>
      <c r="D7" s="20">
        <f t="shared" si="1"/>
        <v>21900</v>
      </c>
      <c r="E7" s="18" t="s">
        <v>206</v>
      </c>
      <c r="F7" s="21" t="str">
        <f t="shared" si="0"/>
        <v>insert into ins_premium_det (premium_rcv_code,assorted_code, rec_amount,premium_rcv_detail_code,remaining_amt, payrec, mode_code,coinsurance_code,class_cd,it_remarks) values</v>
      </c>
      <c r="G7" s="22" t="str">
        <f t="shared" si="2"/>
        <v>('21Jan250071','040000177370','21900',(select max(to_number(i.premium_rcv_detail_code))+1
from ins_premium_det i),'21900','21900','02', '11000003','00','Request by Mr. Omair Ali 22-Jan-2025 Premium');</v>
      </c>
      <c r="H7" s="23" t="str">
        <f t="shared" si="3"/>
        <v>insert into ins_premium_det (premium_rcv_code,assorted_code, rec_amount,premium_rcv_detail_code,remaining_amt, payrec, mode_code,coinsurance_code,class_cd,it_remarks) values('21Jan250071','040000177370','21900',(select max(to_number(i.premium_rcv_detail_code))+1
from ins_premium_det i),'21900','21900','02', '11000003','00','Request by Mr. Omair Ali 22-Jan-2025 Premium');</v>
      </c>
    </row>
    <row r="8" spans="1:8" ht="105" x14ac:dyDescent="0.25">
      <c r="A8" s="2" t="s">
        <v>7</v>
      </c>
      <c r="B8" s="19" t="str">
        <f>VLOOKUP(A8,policy!B:C,2,0)</f>
        <v>040000183859</v>
      </c>
      <c r="C8" s="9">
        <v>14500</v>
      </c>
      <c r="D8" s="20">
        <f t="shared" si="1"/>
        <v>14500</v>
      </c>
      <c r="E8" s="18" t="s">
        <v>206</v>
      </c>
      <c r="F8" s="21" t="str">
        <f t="shared" si="0"/>
        <v>insert into ins_premium_det (premium_rcv_code,assorted_code, rec_amount,premium_rcv_detail_code,remaining_amt, payrec, mode_code,coinsurance_code,class_cd,it_remarks) values</v>
      </c>
      <c r="G8" s="22" t="str">
        <f t="shared" si="2"/>
        <v>('21Jan250071','040000183859','14500',(select max(to_number(i.premium_rcv_detail_code))+1
from ins_premium_det i),'14500','14500','02', '11000003','00','Request by Mr. Omair Ali 22-Jan-2025 Premium');</v>
      </c>
      <c r="H8" s="23" t="str">
        <f t="shared" si="3"/>
        <v>insert into ins_premium_det (premium_rcv_code,assorted_code, rec_amount,premium_rcv_detail_code,remaining_amt, payrec, mode_code,coinsurance_code,class_cd,it_remarks) values('21Jan250071','040000183859','14500',(select max(to_number(i.premium_rcv_detail_code))+1
from ins_premium_det i),'14500','14500','02', '11000003','00','Request by Mr. Omair Ali 22-Jan-2025 Premium');</v>
      </c>
    </row>
    <row r="9" spans="1:8" ht="105" x14ac:dyDescent="0.25">
      <c r="A9" s="2" t="s">
        <v>8</v>
      </c>
      <c r="B9" s="19" t="str">
        <f>VLOOKUP(A9,policy!B:C,2,0)</f>
        <v>040000184391</v>
      </c>
      <c r="C9" s="9">
        <v>47725</v>
      </c>
      <c r="D9" s="20">
        <f t="shared" si="1"/>
        <v>47725</v>
      </c>
      <c r="E9" s="18" t="s">
        <v>206</v>
      </c>
      <c r="F9" s="21" t="str">
        <f t="shared" si="0"/>
        <v>insert into ins_premium_det (premium_rcv_code,assorted_code, rec_amount,premium_rcv_detail_code,remaining_amt, payrec, mode_code,coinsurance_code,class_cd,it_remarks) values</v>
      </c>
      <c r="G9" s="22" t="str">
        <f t="shared" si="2"/>
        <v>('21Jan250071','040000184391','47725',(select max(to_number(i.premium_rcv_detail_code))+1
from ins_premium_det i),'47725','47725','02', '11000003','00','Request by Mr. Omair Ali 22-Jan-2025 Premium');</v>
      </c>
      <c r="H9" s="23" t="str">
        <f t="shared" si="3"/>
        <v>insert into ins_premium_det (premium_rcv_code,assorted_code, rec_amount,premium_rcv_detail_code,remaining_amt, payrec, mode_code,coinsurance_code,class_cd,it_remarks) values('21Jan250071','040000184391','47725',(select max(to_number(i.premium_rcv_detail_code))+1
from ins_premium_det i),'47725','47725','02', '11000003','00','Request by Mr. Omair Ali 22-Jan-2025 Premium');</v>
      </c>
    </row>
    <row r="10" spans="1:8" ht="105" x14ac:dyDescent="0.25">
      <c r="A10" s="2" t="s">
        <v>9</v>
      </c>
      <c r="B10" s="19" t="str">
        <f>VLOOKUP(A10,policy!B:C,2,0)</f>
        <v>040000184395</v>
      </c>
      <c r="C10" s="9">
        <v>26324</v>
      </c>
      <c r="D10" s="20">
        <f t="shared" si="1"/>
        <v>26324</v>
      </c>
      <c r="E10" s="18" t="s">
        <v>206</v>
      </c>
      <c r="F10" s="21" t="str">
        <f t="shared" si="0"/>
        <v>insert into ins_premium_det (premium_rcv_code,assorted_code, rec_amount,premium_rcv_detail_code,remaining_amt, payrec, mode_code,coinsurance_code,class_cd,it_remarks) values</v>
      </c>
      <c r="G10" s="22" t="str">
        <f t="shared" si="2"/>
        <v>('21Jan250071','040000184395','26324',(select max(to_number(i.premium_rcv_detail_code))+1
from ins_premium_det i),'26324','26324','02', '11000003','00','Request by Mr. Omair Ali 22-Jan-2025 Premium');</v>
      </c>
      <c r="H10" s="23" t="str">
        <f t="shared" si="3"/>
        <v>insert into ins_premium_det (premium_rcv_code,assorted_code, rec_amount,premium_rcv_detail_code,remaining_amt, payrec, mode_code,coinsurance_code,class_cd,it_remarks) values('21Jan250071','040000184395','26324',(select max(to_number(i.premium_rcv_detail_code))+1
from ins_premium_det i),'26324','26324','02', '11000003','00','Request by Mr. Omair Ali 22-Jan-2025 Premium');</v>
      </c>
    </row>
    <row r="11" spans="1:8" ht="105" x14ac:dyDescent="0.25">
      <c r="A11" s="2" t="s">
        <v>10</v>
      </c>
      <c r="B11" s="19" t="str">
        <f>VLOOKUP(A11,policy!B:C,2,0)</f>
        <v>040000184682</v>
      </c>
      <c r="C11" s="9">
        <v>11390</v>
      </c>
      <c r="D11" s="20">
        <f t="shared" si="1"/>
        <v>11390</v>
      </c>
      <c r="E11" s="18" t="s">
        <v>206</v>
      </c>
      <c r="F11" s="21" t="str">
        <f t="shared" si="0"/>
        <v>insert into ins_premium_det (premium_rcv_code,assorted_code, rec_amount,premium_rcv_detail_code,remaining_amt, payrec, mode_code,coinsurance_code,class_cd,it_remarks) values</v>
      </c>
      <c r="G11" s="22" t="str">
        <f t="shared" si="2"/>
        <v>('21Jan250071','040000184682','11390',(select max(to_number(i.premium_rcv_detail_code))+1
from ins_premium_det i),'11390','11390','02', '11000003','00','Request by Mr. Omair Ali 22-Jan-2025 Premium');</v>
      </c>
      <c r="H11" s="23" t="str">
        <f t="shared" si="3"/>
        <v>insert into ins_premium_det (premium_rcv_code,assorted_code, rec_amount,premium_rcv_detail_code,remaining_amt, payrec, mode_code,coinsurance_code,class_cd,it_remarks) values('21Jan250071','040000184682','11390',(select max(to_number(i.premium_rcv_detail_code))+1
from ins_premium_det i),'11390','11390','02', '11000003','00','Request by Mr. Omair Ali 22-Jan-2025 Premium');</v>
      </c>
    </row>
    <row r="12" spans="1:8" ht="105" x14ac:dyDescent="0.25">
      <c r="A12" s="2" t="s">
        <v>11</v>
      </c>
      <c r="B12" s="19" t="str">
        <f>VLOOKUP(A12,policy!B:C,2,0)</f>
        <v>040000185478</v>
      </c>
      <c r="C12" s="9">
        <v>7894</v>
      </c>
      <c r="D12" s="20">
        <f t="shared" si="1"/>
        <v>7894</v>
      </c>
      <c r="E12" s="18" t="s">
        <v>206</v>
      </c>
      <c r="F12" s="21" t="str">
        <f t="shared" si="0"/>
        <v>insert into ins_premium_det (premium_rcv_code,assorted_code, rec_amount,premium_rcv_detail_code,remaining_amt, payrec, mode_code,coinsurance_code,class_cd,it_remarks) values</v>
      </c>
      <c r="G12" s="22" t="str">
        <f t="shared" si="2"/>
        <v>('21Jan250071','040000185478','7894',(select max(to_number(i.premium_rcv_detail_code))+1
from ins_premium_det i),'7894','7894','02', '11000003','00','Request by Mr. Omair Ali 22-Jan-2025 Premium');</v>
      </c>
      <c r="H12" s="23" t="str">
        <f t="shared" si="3"/>
        <v>insert into ins_premium_det (premium_rcv_code,assorted_code, rec_amount,premium_rcv_detail_code,remaining_amt, payrec, mode_code,coinsurance_code,class_cd,it_remarks) values('21Jan250071','040000185478','7894',(select max(to_number(i.premium_rcv_detail_code))+1
from ins_premium_det i),'7894','7894','02', '11000003','00','Request by Mr. Omair Ali 22-Jan-2025 Premium');</v>
      </c>
    </row>
    <row r="13" spans="1:8" ht="105" x14ac:dyDescent="0.25">
      <c r="A13" s="2" t="s">
        <v>12</v>
      </c>
      <c r="B13" s="19" t="str">
        <f>VLOOKUP(A13,policy!B:C,2,0)</f>
        <v>040000185937</v>
      </c>
      <c r="C13" s="9">
        <v>25773</v>
      </c>
      <c r="D13" s="20">
        <f t="shared" si="1"/>
        <v>25773</v>
      </c>
      <c r="E13" s="18" t="s">
        <v>206</v>
      </c>
      <c r="F13" s="21" t="str">
        <f t="shared" si="0"/>
        <v>insert into ins_premium_det (premium_rcv_code,assorted_code, rec_amount,premium_rcv_detail_code,remaining_amt, payrec, mode_code,coinsurance_code,class_cd,it_remarks) values</v>
      </c>
      <c r="G13" s="22" t="str">
        <f t="shared" si="2"/>
        <v>('21Jan250071','040000185937','25773',(select max(to_number(i.premium_rcv_detail_code))+1
from ins_premium_det i),'25773','25773','02', '11000003','00','Request by Mr. Omair Ali 22-Jan-2025 Premium');</v>
      </c>
      <c r="H13" s="23" t="str">
        <f t="shared" si="3"/>
        <v>insert into ins_premium_det (premium_rcv_code,assorted_code, rec_amount,premium_rcv_detail_code,remaining_amt, payrec, mode_code,coinsurance_code,class_cd,it_remarks) values('21Jan250071','040000185937','25773',(select max(to_number(i.premium_rcv_detail_code))+1
from ins_premium_det i),'25773','25773','02', '11000003','00','Request by Mr. Omair Ali 22-Jan-2025 Premium');</v>
      </c>
    </row>
    <row r="14" spans="1:8" ht="105" x14ac:dyDescent="0.25">
      <c r="A14" s="2" t="s">
        <v>13</v>
      </c>
      <c r="B14" s="19" t="str">
        <f>VLOOKUP(A14,policy!B:C,2,0)</f>
        <v>040000186036</v>
      </c>
      <c r="C14" s="9">
        <v>4884</v>
      </c>
      <c r="D14" s="20">
        <f t="shared" si="1"/>
        <v>4884</v>
      </c>
      <c r="E14" s="18" t="s">
        <v>206</v>
      </c>
      <c r="F14" s="21" t="str">
        <f t="shared" si="0"/>
        <v>insert into ins_premium_det (premium_rcv_code,assorted_code, rec_amount,premium_rcv_detail_code,remaining_amt, payrec, mode_code,coinsurance_code,class_cd,it_remarks) values</v>
      </c>
      <c r="G14" s="22" t="str">
        <f t="shared" si="2"/>
        <v>('21Jan250071','040000186036','4884',(select max(to_number(i.premium_rcv_detail_code))+1
from ins_premium_det i),'4884','4884','02', '11000003','00','Request by Mr. Omair Ali 22-Jan-2025 Premium');</v>
      </c>
      <c r="H14" s="23" t="str">
        <f t="shared" si="3"/>
        <v>insert into ins_premium_det (premium_rcv_code,assorted_code, rec_amount,premium_rcv_detail_code,remaining_amt, payrec, mode_code,coinsurance_code,class_cd,it_remarks) values('21Jan250071','040000186036','4884',(select max(to_number(i.premium_rcv_detail_code))+1
from ins_premium_det i),'4884','4884','02', '11000003','00','Request by Mr. Omair Ali 22-Jan-2025 Premium');</v>
      </c>
    </row>
    <row r="15" spans="1:8" ht="105" x14ac:dyDescent="0.25">
      <c r="A15" s="2" t="s">
        <v>14</v>
      </c>
      <c r="B15" s="19" t="str">
        <f>VLOOKUP(A15,policy!B:C,2,0)</f>
        <v>040000186055</v>
      </c>
      <c r="C15" s="9">
        <v>7900</v>
      </c>
      <c r="D15" s="20">
        <f t="shared" si="1"/>
        <v>7900</v>
      </c>
      <c r="E15" s="18" t="s">
        <v>206</v>
      </c>
      <c r="F15" s="21" t="str">
        <f t="shared" si="0"/>
        <v>insert into ins_premium_det (premium_rcv_code,assorted_code, rec_amount,premium_rcv_detail_code,remaining_amt, payrec, mode_code,coinsurance_code,class_cd,it_remarks) values</v>
      </c>
      <c r="G15" s="22" t="str">
        <f t="shared" si="2"/>
        <v>('21Jan250071','040000186055','7900',(select max(to_number(i.premium_rcv_detail_code))+1
from ins_premium_det i),'7900','7900','02', '11000003','00','Request by Mr. Omair Ali 22-Jan-2025 Premium');</v>
      </c>
      <c r="H15" s="23" t="str">
        <f t="shared" si="3"/>
        <v>insert into ins_premium_det (premium_rcv_code,assorted_code, rec_amount,premium_rcv_detail_code,remaining_amt, payrec, mode_code,coinsurance_code,class_cd,it_remarks) values('21Jan250071','040000186055','7900',(select max(to_number(i.premium_rcv_detail_code))+1
from ins_premium_det i),'7900','7900','02', '11000003','00','Request by Mr. Omair Ali 22-Jan-2025 Premium');</v>
      </c>
    </row>
    <row r="16" spans="1:8" ht="105" x14ac:dyDescent="0.25">
      <c r="A16" s="2" t="s">
        <v>15</v>
      </c>
      <c r="B16" s="19" t="str">
        <f>VLOOKUP(A16,policy!B:C,2,0)</f>
        <v>040000186274</v>
      </c>
      <c r="C16" s="9">
        <v>849</v>
      </c>
      <c r="D16" s="20">
        <f t="shared" si="1"/>
        <v>849</v>
      </c>
      <c r="E16" s="18" t="s">
        <v>206</v>
      </c>
      <c r="F16" s="21" t="str">
        <f t="shared" si="0"/>
        <v>insert into ins_premium_det (premium_rcv_code,assorted_code, rec_amount,premium_rcv_detail_code,remaining_amt, payrec, mode_code,coinsurance_code,class_cd,it_remarks) values</v>
      </c>
      <c r="G16" s="22" t="str">
        <f t="shared" si="2"/>
        <v>('21Jan250071','040000186274','849',(select max(to_number(i.premium_rcv_detail_code))+1
from ins_premium_det i),'849','849','02', '11000003','00','Request by Mr. Omair Ali 22-Jan-2025 Premium');</v>
      </c>
      <c r="H16" s="23" t="str">
        <f t="shared" si="3"/>
        <v>insert into ins_premium_det (premium_rcv_code,assorted_code, rec_amount,premium_rcv_detail_code,remaining_amt, payrec, mode_code,coinsurance_code,class_cd,it_remarks) values('21Jan250071','040000186274','849',(select max(to_number(i.premium_rcv_detail_code))+1
from ins_premium_det i),'849','849','02', '11000003','00','Request by Mr. Omair Ali 22-Jan-2025 Premium');</v>
      </c>
    </row>
    <row r="17" spans="1:8" ht="105" x14ac:dyDescent="0.25">
      <c r="A17" s="2" t="s">
        <v>16</v>
      </c>
      <c r="B17" s="19" t="str">
        <f>VLOOKUP(A17,policy!B:C,2,0)</f>
        <v>040000186322</v>
      </c>
      <c r="C17" s="9">
        <v>19494</v>
      </c>
      <c r="D17" s="20">
        <f t="shared" si="1"/>
        <v>19494</v>
      </c>
      <c r="E17" s="18" t="s">
        <v>206</v>
      </c>
      <c r="F17" s="21" t="str">
        <f t="shared" si="0"/>
        <v>insert into ins_premium_det (premium_rcv_code,assorted_code, rec_amount,premium_rcv_detail_code,remaining_amt, payrec, mode_code,coinsurance_code,class_cd,it_remarks) values</v>
      </c>
      <c r="G17" s="22" t="str">
        <f t="shared" si="2"/>
        <v>('21Jan250071','040000186322','19494',(select max(to_number(i.premium_rcv_detail_code))+1
from ins_premium_det i),'19494','19494','02', '11000003','00','Request by Mr. Omair Ali 22-Jan-2025 Premium');</v>
      </c>
      <c r="H17" s="23" t="str">
        <f t="shared" si="3"/>
        <v>insert into ins_premium_det (premium_rcv_code,assorted_code, rec_amount,premium_rcv_detail_code,remaining_amt, payrec, mode_code,coinsurance_code,class_cd,it_remarks) values('21Jan250071','040000186322','19494',(select max(to_number(i.premium_rcv_detail_code))+1
from ins_premium_det i),'19494','19494','02', '11000003','00','Request by Mr. Omair Ali 22-Jan-2025 Premium');</v>
      </c>
    </row>
    <row r="18" spans="1:8" ht="105" x14ac:dyDescent="0.25">
      <c r="A18" s="2" t="s">
        <v>17</v>
      </c>
      <c r="B18" s="19" t="str">
        <f>VLOOKUP(A18,policy!B:C,2,0)</f>
        <v>040000186324</v>
      </c>
      <c r="C18" s="9">
        <v>7500</v>
      </c>
      <c r="D18" s="20">
        <f t="shared" si="1"/>
        <v>7500</v>
      </c>
      <c r="E18" s="18" t="s">
        <v>206</v>
      </c>
      <c r="F18" s="21" t="str">
        <f t="shared" si="0"/>
        <v>insert into ins_premium_det (premium_rcv_code,assorted_code, rec_amount,premium_rcv_detail_code,remaining_amt, payrec, mode_code,coinsurance_code,class_cd,it_remarks) values</v>
      </c>
      <c r="G18" s="22" t="str">
        <f t="shared" si="2"/>
        <v>('21Jan250071','040000186324','7500',(select max(to_number(i.premium_rcv_detail_code))+1
from ins_premium_det i),'7500','7500','02', '11000003','00','Request by Mr. Omair Ali 22-Jan-2025 Premium');</v>
      </c>
      <c r="H18" s="23" t="str">
        <f t="shared" si="3"/>
        <v>insert into ins_premium_det (premium_rcv_code,assorted_code, rec_amount,premium_rcv_detail_code,remaining_amt, payrec, mode_code,coinsurance_code,class_cd,it_remarks) values('21Jan250071','040000186324','7500',(select max(to_number(i.premium_rcv_detail_code))+1
from ins_premium_det i),'7500','7500','02', '11000003','00','Request by Mr. Omair Ali 22-Jan-2025 Premium');</v>
      </c>
    </row>
    <row r="19" spans="1:8" ht="105" x14ac:dyDescent="0.25">
      <c r="A19" s="2" t="s">
        <v>18</v>
      </c>
      <c r="B19" s="19" t="str">
        <f>VLOOKUP(A19,policy!B:C,2,0)</f>
        <v>040000186346</v>
      </c>
      <c r="C19" s="9">
        <v>4849</v>
      </c>
      <c r="D19" s="20">
        <f t="shared" si="1"/>
        <v>4849</v>
      </c>
      <c r="E19" s="18" t="s">
        <v>206</v>
      </c>
      <c r="F19" s="21" t="str">
        <f t="shared" si="0"/>
        <v>insert into ins_premium_det (premium_rcv_code,assorted_code, rec_amount,premium_rcv_detail_code,remaining_amt, payrec, mode_code,coinsurance_code,class_cd,it_remarks) values</v>
      </c>
      <c r="G19" s="22" t="str">
        <f t="shared" si="2"/>
        <v>('21Jan250071','040000186346','4849',(select max(to_number(i.premium_rcv_detail_code))+1
from ins_premium_det i),'4849','4849','02', '11000003','00','Request by Mr. Omair Ali 22-Jan-2025 Premium');</v>
      </c>
      <c r="H19" s="23" t="str">
        <f t="shared" si="3"/>
        <v>insert into ins_premium_det (premium_rcv_code,assorted_code, rec_amount,premium_rcv_detail_code,remaining_amt, payrec, mode_code,coinsurance_code,class_cd,it_remarks) values('21Jan250071','040000186346','4849',(select max(to_number(i.premium_rcv_detail_code))+1
from ins_premium_det i),'4849','4849','02', '11000003','00','Request by Mr. Omair Ali 22-Jan-2025 Premium');</v>
      </c>
    </row>
    <row r="20" spans="1:8" ht="105" x14ac:dyDescent="0.25">
      <c r="A20" s="2" t="s">
        <v>19</v>
      </c>
      <c r="B20" s="19" t="str">
        <f>VLOOKUP(A20,policy!B:C,2,0)</f>
        <v>040000186397</v>
      </c>
      <c r="C20" s="9">
        <v>21814</v>
      </c>
      <c r="D20" s="20">
        <f t="shared" si="1"/>
        <v>21814</v>
      </c>
      <c r="E20" s="18" t="s">
        <v>206</v>
      </c>
      <c r="F20" s="21" t="str">
        <f t="shared" si="0"/>
        <v>insert into ins_premium_det (premium_rcv_code,assorted_code, rec_amount,premium_rcv_detail_code,remaining_amt, payrec, mode_code,coinsurance_code,class_cd,it_remarks) values</v>
      </c>
      <c r="G20" s="22" t="str">
        <f t="shared" si="2"/>
        <v>('21Jan250071','040000186397','21814',(select max(to_number(i.premium_rcv_detail_code))+1
from ins_premium_det i),'21814','21814','02', '11000003','00','Request by Mr. Omair Ali 22-Jan-2025 Premium');</v>
      </c>
      <c r="H20" s="23" t="str">
        <f t="shared" si="3"/>
        <v>insert into ins_premium_det (premium_rcv_code,assorted_code, rec_amount,premium_rcv_detail_code,remaining_amt, payrec, mode_code,coinsurance_code,class_cd,it_remarks) values('21Jan250071','040000186397','21814',(select max(to_number(i.premium_rcv_detail_code))+1
from ins_premium_det i),'21814','21814','02', '11000003','00','Request by Mr. Omair Ali 22-Jan-2025 Premium');</v>
      </c>
    </row>
    <row r="21" spans="1:8" ht="105" x14ac:dyDescent="0.25">
      <c r="A21" s="2" t="s">
        <v>20</v>
      </c>
      <c r="B21" s="19" t="str">
        <f>VLOOKUP(A21,policy!B:C,2,0)</f>
        <v>040000186398</v>
      </c>
      <c r="C21" s="9">
        <v>60271</v>
      </c>
      <c r="D21" s="20">
        <f t="shared" si="1"/>
        <v>60271</v>
      </c>
      <c r="E21" s="18" t="s">
        <v>206</v>
      </c>
      <c r="F21" s="21" t="str">
        <f t="shared" si="0"/>
        <v>insert into ins_premium_det (premium_rcv_code,assorted_code, rec_amount,premium_rcv_detail_code,remaining_amt, payrec, mode_code,coinsurance_code,class_cd,it_remarks) values</v>
      </c>
      <c r="G21" s="22" t="str">
        <f t="shared" si="2"/>
        <v>('21Jan250071','040000186398','60271',(select max(to_number(i.premium_rcv_detail_code))+1
from ins_premium_det i),'60271','60271','02', '11000003','00','Request by Mr. Omair Ali 22-Jan-2025 Premium');</v>
      </c>
      <c r="H21" s="23" t="str">
        <f t="shared" si="3"/>
        <v>insert into ins_premium_det (premium_rcv_code,assorted_code, rec_amount,premium_rcv_detail_code,remaining_amt, payrec, mode_code,coinsurance_code,class_cd,it_remarks) values('21Jan250071','040000186398','60271',(select max(to_number(i.premium_rcv_detail_code))+1
from ins_premium_det i),'60271','60271','02', '11000003','00','Request by Mr. Omair Ali 22-Jan-2025 Premium');</v>
      </c>
    </row>
    <row r="22" spans="1:8" ht="105" x14ac:dyDescent="0.25">
      <c r="A22" s="2" t="s">
        <v>21</v>
      </c>
      <c r="B22" s="19" t="str">
        <f>VLOOKUP(A22,policy!B:C,2,0)</f>
        <v>040000186627</v>
      </c>
      <c r="C22" s="9">
        <v>15979</v>
      </c>
      <c r="D22" s="20">
        <f t="shared" si="1"/>
        <v>15979</v>
      </c>
      <c r="E22" s="18" t="s">
        <v>206</v>
      </c>
      <c r="F22" s="21" t="str">
        <f t="shared" si="0"/>
        <v>insert into ins_premium_det (premium_rcv_code,assorted_code, rec_amount,premium_rcv_detail_code,remaining_amt, payrec, mode_code,coinsurance_code,class_cd,it_remarks) values</v>
      </c>
      <c r="G22" s="22" t="str">
        <f t="shared" si="2"/>
        <v>('21Jan250071','040000186627','15979',(select max(to_number(i.premium_rcv_detail_code))+1
from ins_premium_det i),'15979','15979','02', '11000003','00','Request by Mr. Omair Ali 22-Jan-2025 Premium');</v>
      </c>
      <c r="H22" s="23" t="str">
        <f t="shared" si="3"/>
        <v>insert into ins_premium_det (premium_rcv_code,assorted_code, rec_amount,premium_rcv_detail_code,remaining_amt, payrec, mode_code,coinsurance_code,class_cd,it_remarks) values('21Jan250071','040000186627','15979',(select max(to_number(i.premium_rcv_detail_code))+1
from ins_premium_det i),'15979','15979','02', '11000003','00','Request by Mr. Omair Ali 22-Jan-2025 Premium');</v>
      </c>
    </row>
    <row r="23" spans="1:8" ht="105" x14ac:dyDescent="0.25">
      <c r="A23" s="2" t="s">
        <v>22</v>
      </c>
      <c r="B23" s="19" t="str">
        <f>VLOOKUP(A23,policy!B:C,2,0)</f>
        <v>040000186628</v>
      </c>
      <c r="C23" s="9">
        <v>24610</v>
      </c>
      <c r="D23" s="20">
        <f t="shared" si="1"/>
        <v>24610</v>
      </c>
      <c r="E23" s="18" t="s">
        <v>206</v>
      </c>
      <c r="F23" s="21" t="str">
        <f t="shared" si="0"/>
        <v>insert into ins_premium_det (premium_rcv_code,assorted_code, rec_amount,premium_rcv_detail_code,remaining_amt, payrec, mode_code,coinsurance_code,class_cd,it_remarks) values</v>
      </c>
      <c r="G23" s="22" t="str">
        <f t="shared" si="2"/>
        <v>('21Jan250071','040000186628','24610',(select max(to_number(i.premium_rcv_detail_code))+1
from ins_premium_det i),'24610','24610','02', '11000003','00','Request by Mr. Omair Ali 22-Jan-2025 Premium');</v>
      </c>
      <c r="H23" s="23" t="str">
        <f t="shared" si="3"/>
        <v>insert into ins_premium_det (premium_rcv_code,assorted_code, rec_amount,premium_rcv_detail_code,remaining_amt, payrec, mode_code,coinsurance_code,class_cd,it_remarks) values('21Jan250071','040000186628','24610',(select max(to_number(i.premium_rcv_detail_code))+1
from ins_premium_det i),'24610','24610','02', '11000003','00','Request by Mr. Omair Ali 22-Jan-2025 Premium');</v>
      </c>
    </row>
    <row r="24" spans="1:8" ht="105" x14ac:dyDescent="0.25">
      <c r="A24" s="2" t="s">
        <v>23</v>
      </c>
      <c r="B24" s="19" t="str">
        <f>VLOOKUP(A24,policy!B:C,2,0)</f>
        <v>040000187541</v>
      </c>
      <c r="C24" s="9">
        <v>5467</v>
      </c>
      <c r="D24" s="20">
        <f t="shared" si="1"/>
        <v>5467</v>
      </c>
      <c r="E24" s="18" t="s">
        <v>206</v>
      </c>
      <c r="F24" s="21" t="str">
        <f t="shared" si="0"/>
        <v>insert into ins_premium_det (premium_rcv_code,assorted_code, rec_amount,premium_rcv_detail_code,remaining_amt, payrec, mode_code,coinsurance_code,class_cd,it_remarks) values</v>
      </c>
      <c r="G24" s="22" t="str">
        <f t="shared" si="2"/>
        <v>('21Jan250071','040000187541','5467',(select max(to_number(i.premium_rcv_detail_code))+1
from ins_premium_det i),'5467','5467','02', '11000003','00','Request by Mr. Omair Ali 22-Jan-2025 Premium');</v>
      </c>
      <c r="H24" s="23" t="str">
        <f t="shared" si="3"/>
        <v>insert into ins_premium_det (premium_rcv_code,assorted_code, rec_amount,premium_rcv_detail_code,remaining_amt, payrec, mode_code,coinsurance_code,class_cd,it_remarks) values('21Jan250071','040000187541','5467',(select max(to_number(i.premium_rcv_detail_code))+1
from ins_premium_det i),'5467','5467','02', '11000003','00','Request by Mr. Omair Ali 22-Jan-2025 Premium');</v>
      </c>
    </row>
    <row r="25" spans="1:8" ht="105" x14ac:dyDescent="0.25">
      <c r="A25" s="2" t="s">
        <v>24</v>
      </c>
      <c r="B25" s="19" t="str">
        <f>VLOOKUP(A25,policy!B:C,2,0)</f>
        <v>040000187542</v>
      </c>
      <c r="C25" s="9">
        <v>5223</v>
      </c>
      <c r="D25" s="20">
        <f t="shared" si="1"/>
        <v>5223</v>
      </c>
      <c r="E25" s="18" t="s">
        <v>206</v>
      </c>
      <c r="F25" s="21" t="str">
        <f t="shared" si="0"/>
        <v>insert into ins_premium_det (premium_rcv_code,assorted_code, rec_amount,premium_rcv_detail_code,remaining_amt, payrec, mode_code,coinsurance_code,class_cd,it_remarks) values</v>
      </c>
      <c r="G25" s="22" t="str">
        <f t="shared" si="2"/>
        <v>('21Jan250071','040000187542','5223',(select max(to_number(i.premium_rcv_detail_code))+1
from ins_premium_det i),'5223','5223','02', '11000003','00','Request by Mr. Omair Ali 22-Jan-2025 Premium');</v>
      </c>
      <c r="H25" s="23" t="str">
        <f t="shared" si="3"/>
        <v>insert into ins_premium_det (premium_rcv_code,assorted_code, rec_amount,premium_rcv_detail_code,remaining_amt, payrec, mode_code,coinsurance_code,class_cd,it_remarks) values('21Jan250071','040000187542','5223',(select max(to_number(i.premium_rcv_detail_code))+1
from ins_premium_det i),'5223','5223','02', '11000003','00','Request by Mr. Omair Ali 22-Jan-2025 Premium');</v>
      </c>
    </row>
    <row r="26" spans="1:8" ht="105" x14ac:dyDescent="0.25">
      <c r="A26" s="2" t="s">
        <v>25</v>
      </c>
      <c r="B26" s="19" t="str">
        <f>VLOOKUP(A26,policy!B:C,2,0)</f>
        <v>040000187545</v>
      </c>
      <c r="C26" s="9">
        <v>5796</v>
      </c>
      <c r="D26" s="20">
        <f t="shared" si="1"/>
        <v>5796</v>
      </c>
      <c r="E26" s="18" t="s">
        <v>206</v>
      </c>
      <c r="F26" s="21" t="str">
        <f t="shared" si="0"/>
        <v>insert into ins_premium_det (premium_rcv_code,assorted_code, rec_amount,premium_rcv_detail_code,remaining_amt, payrec, mode_code,coinsurance_code,class_cd,it_remarks) values</v>
      </c>
      <c r="G26" s="22" t="str">
        <f t="shared" si="2"/>
        <v>('21Jan250071','040000187545','5796',(select max(to_number(i.premium_rcv_detail_code))+1
from ins_premium_det i),'5796','5796','02', '11000003','00','Request by Mr. Omair Ali 22-Jan-2025 Premium');</v>
      </c>
      <c r="H26" s="23" t="str">
        <f t="shared" si="3"/>
        <v>insert into ins_premium_det (premium_rcv_code,assorted_code, rec_amount,premium_rcv_detail_code,remaining_amt, payrec, mode_code,coinsurance_code,class_cd,it_remarks) values('21Jan250071','040000187545','5796',(select max(to_number(i.premium_rcv_detail_code))+1
from ins_premium_det i),'5796','5796','02', '11000003','00','Request by Mr. Omair Ali 22-Jan-2025 Premium');</v>
      </c>
    </row>
    <row r="27" spans="1:8" ht="105" x14ac:dyDescent="0.25">
      <c r="A27" s="2" t="s">
        <v>26</v>
      </c>
      <c r="B27" s="19" t="str">
        <f>VLOOKUP(A27,policy!B:C,2,0)</f>
        <v>040000187546</v>
      </c>
      <c r="C27" s="9">
        <v>3485</v>
      </c>
      <c r="D27" s="20">
        <f t="shared" si="1"/>
        <v>3485</v>
      </c>
      <c r="E27" s="18" t="s">
        <v>206</v>
      </c>
      <c r="F27" s="21" t="str">
        <f t="shared" si="0"/>
        <v>insert into ins_premium_det (premium_rcv_code,assorted_code, rec_amount,premium_rcv_detail_code,remaining_amt, payrec, mode_code,coinsurance_code,class_cd,it_remarks) values</v>
      </c>
      <c r="G27" s="22" t="str">
        <f t="shared" si="2"/>
        <v>('21Jan250071','040000187546','3485',(select max(to_number(i.premium_rcv_detail_code))+1
from ins_premium_det i),'3485','3485','02', '11000003','00','Request by Mr. Omair Ali 22-Jan-2025 Premium');</v>
      </c>
      <c r="H27" s="23" t="str">
        <f t="shared" si="3"/>
        <v>insert into ins_premium_det (premium_rcv_code,assorted_code, rec_amount,premium_rcv_detail_code,remaining_amt, payrec, mode_code,coinsurance_code,class_cd,it_remarks) values('21Jan250071','040000187546','3485',(select max(to_number(i.premium_rcv_detail_code))+1
from ins_premium_det i),'3485','3485','02', '11000003','00','Request by Mr. Omair Ali 22-Jan-2025 Premium');</v>
      </c>
    </row>
    <row r="28" spans="1:8" ht="105" x14ac:dyDescent="0.25">
      <c r="A28" s="2" t="s">
        <v>27</v>
      </c>
      <c r="B28" s="19" t="str">
        <f>VLOOKUP(A28,policy!B:C,2,0)</f>
        <v>040000187854</v>
      </c>
      <c r="C28" s="9">
        <v>1251</v>
      </c>
      <c r="D28" s="20">
        <f t="shared" si="1"/>
        <v>1251</v>
      </c>
      <c r="E28" s="18" t="s">
        <v>206</v>
      </c>
      <c r="F28" s="21" t="str">
        <f t="shared" si="0"/>
        <v>insert into ins_premium_det (premium_rcv_code,assorted_code, rec_amount,premium_rcv_detail_code,remaining_amt, payrec, mode_code,coinsurance_code,class_cd,it_remarks) values</v>
      </c>
      <c r="G28" s="22" t="str">
        <f t="shared" si="2"/>
        <v>('21Jan250071','040000187854','1251',(select max(to_number(i.premium_rcv_detail_code))+1
from ins_premium_det i),'1251','1251','02', '11000003','00','Request by Mr. Omair Ali 22-Jan-2025 Premium');</v>
      </c>
      <c r="H28" s="23" t="str">
        <f t="shared" si="3"/>
        <v>insert into ins_premium_det (premium_rcv_code,assorted_code, rec_amount,premium_rcv_detail_code,remaining_amt, payrec, mode_code,coinsurance_code,class_cd,it_remarks) values('21Jan250071','040000187854','1251',(select max(to_number(i.premium_rcv_detail_code))+1
from ins_premium_det i),'1251','1251','02', '11000003','00','Request by Mr. Omair Ali 22-Jan-2025 Premium');</v>
      </c>
    </row>
    <row r="29" spans="1:8" ht="105" x14ac:dyDescent="0.25">
      <c r="A29" s="2" t="s">
        <v>28</v>
      </c>
      <c r="B29" s="19" t="str">
        <f>VLOOKUP(A29,policy!B:C,2,0)</f>
        <v>040000187989</v>
      </c>
      <c r="C29" s="9">
        <v>5939</v>
      </c>
      <c r="D29" s="20">
        <f t="shared" si="1"/>
        <v>5939</v>
      </c>
      <c r="E29" s="18" t="s">
        <v>206</v>
      </c>
      <c r="F29" s="21" t="str">
        <f t="shared" si="0"/>
        <v>insert into ins_premium_det (premium_rcv_code,assorted_code, rec_amount,premium_rcv_detail_code,remaining_amt, payrec, mode_code,coinsurance_code,class_cd,it_remarks) values</v>
      </c>
      <c r="G29" s="22" t="str">
        <f t="shared" si="2"/>
        <v>('21Jan250071','040000187989','5939',(select max(to_number(i.premium_rcv_detail_code))+1
from ins_premium_det i),'5939','5939','02', '11000003','00','Request by Mr. Omair Ali 22-Jan-2025 Premium');</v>
      </c>
      <c r="H29" s="23" t="str">
        <f t="shared" si="3"/>
        <v>insert into ins_premium_det (premium_rcv_code,assorted_code, rec_amount,premium_rcv_detail_code,remaining_amt, payrec, mode_code,coinsurance_code,class_cd,it_remarks) values('21Jan250071','040000187989','5939',(select max(to_number(i.premium_rcv_detail_code))+1
from ins_premium_det i),'5939','5939','02', '11000003','00','Request by Mr. Omair Ali 22-Jan-2025 Premium');</v>
      </c>
    </row>
    <row r="30" spans="1:8" ht="105" x14ac:dyDescent="0.25">
      <c r="A30" s="2" t="s">
        <v>29</v>
      </c>
      <c r="B30" s="19" t="str">
        <f>VLOOKUP(A30,policy!B:C,2,0)</f>
        <v>040000187991</v>
      </c>
      <c r="C30" s="9">
        <v>3908</v>
      </c>
      <c r="D30" s="20">
        <f t="shared" si="1"/>
        <v>3908</v>
      </c>
      <c r="E30" s="18" t="s">
        <v>206</v>
      </c>
      <c r="F30" s="21" t="str">
        <f t="shared" si="0"/>
        <v>insert into ins_premium_det (premium_rcv_code,assorted_code, rec_amount,premium_rcv_detail_code,remaining_amt, payrec, mode_code,coinsurance_code,class_cd,it_remarks) values</v>
      </c>
      <c r="G30" s="22" t="str">
        <f t="shared" si="2"/>
        <v>('21Jan250071','040000187991','3908',(select max(to_number(i.premium_rcv_detail_code))+1
from ins_premium_det i),'3908','3908','02', '11000003','00','Request by Mr. Omair Ali 22-Jan-2025 Premium');</v>
      </c>
      <c r="H30" s="23" t="str">
        <f t="shared" si="3"/>
        <v>insert into ins_premium_det (premium_rcv_code,assorted_code, rec_amount,premium_rcv_detail_code,remaining_amt, payrec, mode_code,coinsurance_code,class_cd,it_remarks) values('21Jan250071','040000187991','3908',(select max(to_number(i.premium_rcv_detail_code))+1
from ins_premium_det i),'3908','3908','02', '11000003','00','Request by Mr. Omair Ali 22-Jan-2025 Premium');</v>
      </c>
    </row>
    <row r="31" spans="1:8" ht="105" x14ac:dyDescent="0.25">
      <c r="A31" s="2" t="s">
        <v>30</v>
      </c>
      <c r="B31" s="19" t="str">
        <f>VLOOKUP(A31,policy!B:C,2,0)</f>
        <v>040000188002</v>
      </c>
      <c r="C31" s="9">
        <v>32137</v>
      </c>
      <c r="D31" s="20">
        <f t="shared" si="1"/>
        <v>32137</v>
      </c>
      <c r="E31" s="18" t="s">
        <v>206</v>
      </c>
      <c r="F31" s="21" t="str">
        <f t="shared" si="0"/>
        <v>insert into ins_premium_det (premium_rcv_code,assorted_code, rec_amount,premium_rcv_detail_code,remaining_amt, payrec, mode_code,coinsurance_code,class_cd,it_remarks) values</v>
      </c>
      <c r="G31" s="22" t="str">
        <f t="shared" si="2"/>
        <v>('21Jan250071','040000188002','32137',(select max(to_number(i.premium_rcv_detail_code))+1
from ins_premium_det i),'32137','32137','02', '11000003','00','Request by Mr. Omair Ali 22-Jan-2025 Premium');</v>
      </c>
      <c r="H31" s="23" t="str">
        <f t="shared" si="3"/>
        <v>insert into ins_premium_det (premium_rcv_code,assorted_code, rec_amount,premium_rcv_detail_code,remaining_amt, payrec, mode_code,coinsurance_code,class_cd,it_remarks) values('21Jan250071','040000188002','32137',(select max(to_number(i.premium_rcv_detail_code))+1
from ins_premium_det i),'32137','32137','02', '11000003','00','Request by Mr. Omair Ali 22-Jan-2025 Premium');</v>
      </c>
    </row>
    <row r="32" spans="1:8" ht="105" x14ac:dyDescent="0.25">
      <c r="A32" s="2" t="s">
        <v>31</v>
      </c>
      <c r="B32" s="19" t="str">
        <f>VLOOKUP(A32,policy!B:C,2,0)</f>
        <v>040000188045</v>
      </c>
      <c r="C32" s="9">
        <v>4007</v>
      </c>
      <c r="D32" s="20">
        <f t="shared" si="1"/>
        <v>4007</v>
      </c>
      <c r="E32" s="18" t="s">
        <v>206</v>
      </c>
      <c r="F32" s="21" t="str">
        <f t="shared" si="0"/>
        <v>insert into ins_premium_det (premium_rcv_code,assorted_code, rec_amount,premium_rcv_detail_code,remaining_amt, payrec, mode_code,coinsurance_code,class_cd,it_remarks) values</v>
      </c>
      <c r="G32" s="22" t="str">
        <f t="shared" si="2"/>
        <v>('21Jan250071','040000188045','4007',(select max(to_number(i.premium_rcv_detail_code))+1
from ins_premium_det i),'4007','4007','02', '11000003','00','Request by Mr. Omair Ali 22-Jan-2025 Premium');</v>
      </c>
      <c r="H32" s="23" t="str">
        <f t="shared" si="3"/>
        <v>insert into ins_premium_det (premium_rcv_code,assorted_code, rec_amount,premium_rcv_detail_code,remaining_amt, payrec, mode_code,coinsurance_code,class_cd,it_remarks) values('21Jan250071','040000188045','4007',(select max(to_number(i.premium_rcv_detail_code))+1
from ins_premium_det i),'4007','4007','02', '11000003','00','Request by Mr. Omair Ali 22-Jan-2025 Premium');</v>
      </c>
    </row>
    <row r="33" spans="1:8" ht="105" x14ac:dyDescent="0.25">
      <c r="A33" s="2" t="s">
        <v>32</v>
      </c>
      <c r="B33" s="19" t="str">
        <f>VLOOKUP(A33,policy!B:C,2,0)</f>
        <v>040000188267</v>
      </c>
      <c r="C33" s="9">
        <v>48217</v>
      </c>
      <c r="D33" s="20">
        <f t="shared" si="1"/>
        <v>48217</v>
      </c>
      <c r="E33" s="18" t="s">
        <v>206</v>
      </c>
      <c r="F33" s="21" t="str">
        <f t="shared" si="0"/>
        <v>insert into ins_premium_det (premium_rcv_code,assorted_code, rec_amount,premium_rcv_detail_code,remaining_amt, payrec, mode_code,coinsurance_code,class_cd,it_remarks) values</v>
      </c>
      <c r="G33" s="22" t="str">
        <f t="shared" si="2"/>
        <v>('21Jan250071','040000188267','48217',(select max(to_number(i.premium_rcv_detail_code))+1
from ins_premium_det i),'48217','48217','02', '11000003','00','Request by Mr. Omair Ali 22-Jan-2025 Premium');</v>
      </c>
      <c r="H33" s="23" t="str">
        <f t="shared" si="3"/>
        <v>insert into ins_premium_det (premium_rcv_code,assorted_code, rec_amount,premium_rcv_detail_code,remaining_amt, payrec, mode_code,coinsurance_code,class_cd,it_remarks) values('21Jan250071','040000188267','48217',(select max(to_number(i.premium_rcv_detail_code))+1
from ins_premium_det i),'48217','48217','02', '11000003','00','Request by Mr. Omair Ali 22-Jan-2025 Premium');</v>
      </c>
    </row>
    <row r="34" spans="1:8" ht="105" x14ac:dyDescent="0.25">
      <c r="A34" s="2" t="s">
        <v>33</v>
      </c>
      <c r="B34" s="19" t="str">
        <f>VLOOKUP(A34,policy!B:C,2,0)</f>
        <v>040000188281</v>
      </c>
      <c r="C34" s="9">
        <v>28007</v>
      </c>
      <c r="D34" s="20">
        <f t="shared" si="1"/>
        <v>28007</v>
      </c>
      <c r="E34" s="18" t="s">
        <v>206</v>
      </c>
      <c r="F34" s="21" t="str">
        <f t="shared" si="0"/>
        <v>insert into ins_premium_det (premium_rcv_code,assorted_code, rec_amount,premium_rcv_detail_code,remaining_amt, payrec, mode_code,coinsurance_code,class_cd,it_remarks) values</v>
      </c>
      <c r="G34" s="22" t="str">
        <f t="shared" si="2"/>
        <v>('21Jan250071','040000188281','28007',(select max(to_number(i.premium_rcv_detail_code))+1
from ins_premium_det i),'28007','28007','02', '11000003','00','Request by Mr. Omair Ali 22-Jan-2025 Premium');</v>
      </c>
      <c r="H34" s="23" t="str">
        <f t="shared" si="3"/>
        <v>insert into ins_premium_det (premium_rcv_code,assorted_code, rec_amount,premium_rcv_detail_code,remaining_amt, payrec, mode_code,coinsurance_code,class_cd,it_remarks) values('21Jan250071','040000188281','28007',(select max(to_number(i.premium_rcv_detail_code))+1
from ins_premium_det i),'28007','28007','02', '11000003','00','Request by Mr. Omair Ali 22-Jan-2025 Premium');</v>
      </c>
    </row>
    <row r="35" spans="1:8" ht="105" x14ac:dyDescent="0.25">
      <c r="A35" s="2" t="s">
        <v>34</v>
      </c>
      <c r="B35" s="19" t="str">
        <f>VLOOKUP(A35,policy!B:C,2,0)</f>
        <v>040000188282</v>
      </c>
      <c r="C35" s="9">
        <v>21407</v>
      </c>
      <c r="D35" s="20">
        <f t="shared" si="1"/>
        <v>21407</v>
      </c>
      <c r="E35" s="18" t="s">
        <v>206</v>
      </c>
      <c r="F35" s="21" t="str">
        <f t="shared" si="0"/>
        <v>insert into ins_premium_det (premium_rcv_code,assorted_code, rec_amount,premium_rcv_detail_code,remaining_amt, payrec, mode_code,coinsurance_code,class_cd,it_remarks) values</v>
      </c>
      <c r="G35" s="22" t="str">
        <f t="shared" si="2"/>
        <v>('21Jan250071','040000188282','21407',(select max(to_number(i.premium_rcv_detail_code))+1
from ins_premium_det i),'21407','21407','02', '11000003','00','Request by Mr. Omair Ali 22-Jan-2025 Premium');</v>
      </c>
      <c r="H35" s="23" t="str">
        <f t="shared" si="3"/>
        <v>insert into ins_premium_det (premium_rcv_code,assorted_code, rec_amount,premium_rcv_detail_code,remaining_amt, payrec, mode_code,coinsurance_code,class_cd,it_remarks) values('21Jan250071','040000188282','21407',(select max(to_number(i.premium_rcv_detail_code))+1
from ins_premium_det i),'21407','21407','02', '11000003','00','Request by Mr. Omair Ali 22-Jan-2025 Premium');</v>
      </c>
    </row>
    <row r="36" spans="1:8" ht="105" x14ac:dyDescent="0.25">
      <c r="A36" s="2" t="s">
        <v>35</v>
      </c>
      <c r="B36" s="19" t="str">
        <f>VLOOKUP(A36,policy!B:C,2,0)</f>
        <v>040000188634</v>
      </c>
      <c r="C36" s="9">
        <v>22292</v>
      </c>
      <c r="D36" s="20">
        <f t="shared" si="1"/>
        <v>22292</v>
      </c>
      <c r="E36" s="18" t="s">
        <v>206</v>
      </c>
      <c r="F36" s="21" t="str">
        <f t="shared" si="0"/>
        <v>insert into ins_premium_det (premium_rcv_code,assorted_code, rec_amount,premium_rcv_detail_code,remaining_amt, payrec, mode_code,coinsurance_code,class_cd,it_remarks) values</v>
      </c>
      <c r="G36" s="22" t="str">
        <f t="shared" si="2"/>
        <v>('21Jan250071','040000188634','22292',(select max(to_number(i.premium_rcv_detail_code))+1
from ins_premium_det i),'22292','22292','02', '11000003','00','Request by Mr. Omair Ali 22-Jan-2025 Premium');</v>
      </c>
      <c r="H36" s="23" t="str">
        <f t="shared" si="3"/>
        <v>insert into ins_premium_det (premium_rcv_code,assorted_code, rec_amount,premium_rcv_detail_code,remaining_amt, payrec, mode_code,coinsurance_code,class_cd,it_remarks) values('21Jan250071','040000188634','22292',(select max(to_number(i.premium_rcv_detail_code))+1
from ins_premium_det i),'22292','22292','02', '11000003','00','Request by Mr. Omair Ali 22-Jan-2025 Premium');</v>
      </c>
    </row>
    <row r="37" spans="1:8" ht="105" x14ac:dyDescent="0.25">
      <c r="A37" s="2" t="s">
        <v>36</v>
      </c>
      <c r="B37" s="19" t="str">
        <f>VLOOKUP(A37,policy!B:C,2,0)</f>
        <v>040000188721</v>
      </c>
      <c r="C37" s="9">
        <v>36984</v>
      </c>
      <c r="D37" s="20">
        <f t="shared" si="1"/>
        <v>36984</v>
      </c>
      <c r="E37" s="18" t="s">
        <v>206</v>
      </c>
      <c r="F37" s="21" t="str">
        <f t="shared" si="0"/>
        <v>insert into ins_premium_det (premium_rcv_code,assorted_code, rec_amount,premium_rcv_detail_code,remaining_amt, payrec, mode_code,coinsurance_code,class_cd,it_remarks) values</v>
      </c>
      <c r="G37" s="22" t="str">
        <f t="shared" si="2"/>
        <v>('21Jan250071','040000188721','36984',(select max(to_number(i.premium_rcv_detail_code))+1
from ins_premium_det i),'36984','36984','02', '11000003','00','Request by Mr. Omair Ali 22-Jan-2025 Premium');</v>
      </c>
      <c r="H37" s="23" t="str">
        <f t="shared" si="3"/>
        <v>insert into ins_premium_det (premium_rcv_code,assorted_code, rec_amount,premium_rcv_detail_code,remaining_amt, payrec, mode_code,coinsurance_code,class_cd,it_remarks) values('21Jan250071','040000188721','36984',(select max(to_number(i.premium_rcv_detail_code))+1
from ins_premium_det i),'36984','36984','02', '11000003','00','Request by Mr. Omair Ali 22-Jan-2025 Premium');</v>
      </c>
    </row>
    <row r="38" spans="1:8" ht="105" x14ac:dyDescent="0.25">
      <c r="A38" s="2" t="s">
        <v>37</v>
      </c>
      <c r="B38" s="19" t="str">
        <f>VLOOKUP(A38,policy!B:C,2,0)</f>
        <v>040000188723</v>
      </c>
      <c r="C38" s="9">
        <v>42053</v>
      </c>
      <c r="D38" s="20">
        <f t="shared" si="1"/>
        <v>42053</v>
      </c>
      <c r="E38" s="18" t="s">
        <v>206</v>
      </c>
      <c r="F38" s="21" t="str">
        <f t="shared" si="0"/>
        <v>insert into ins_premium_det (premium_rcv_code,assorted_code, rec_amount,premium_rcv_detail_code,remaining_amt, payrec, mode_code,coinsurance_code,class_cd,it_remarks) values</v>
      </c>
      <c r="G38" s="22" t="str">
        <f t="shared" si="2"/>
        <v>('21Jan250071','040000188723','42053',(select max(to_number(i.premium_rcv_detail_code))+1
from ins_premium_det i),'42053','42053','02', '11000003','00','Request by Mr. Omair Ali 22-Jan-2025 Premium');</v>
      </c>
      <c r="H38" s="23" t="str">
        <f t="shared" si="3"/>
        <v>insert into ins_premium_det (premium_rcv_code,assorted_code, rec_amount,premium_rcv_detail_code,remaining_amt, payrec, mode_code,coinsurance_code,class_cd,it_remarks) values('21Jan250071','040000188723','42053',(select max(to_number(i.premium_rcv_detail_code))+1
from ins_premium_det i),'42053','42053','02', '11000003','00','Request by Mr. Omair Ali 22-Jan-2025 Premium');</v>
      </c>
    </row>
    <row r="39" spans="1:8" ht="105" x14ac:dyDescent="0.25">
      <c r="A39" s="2" t="s">
        <v>38</v>
      </c>
      <c r="B39" s="19" t="str">
        <f>VLOOKUP(A39,policy!B:C,2,0)</f>
        <v>040000188750</v>
      </c>
      <c r="C39" s="9">
        <v>19740</v>
      </c>
      <c r="D39" s="20">
        <f t="shared" si="1"/>
        <v>19740</v>
      </c>
      <c r="E39" s="18" t="s">
        <v>206</v>
      </c>
      <c r="F39" s="21" t="str">
        <f t="shared" si="0"/>
        <v>insert into ins_premium_det (premium_rcv_code,assorted_code, rec_amount,premium_rcv_detail_code,remaining_amt, payrec, mode_code,coinsurance_code,class_cd,it_remarks) values</v>
      </c>
      <c r="G39" s="22" t="str">
        <f t="shared" si="2"/>
        <v>('21Jan250071','040000188750','19740',(select max(to_number(i.premium_rcv_detail_code))+1
from ins_premium_det i),'19740','19740','02', '11000003','00','Request by Mr. Omair Ali 22-Jan-2025 Premium');</v>
      </c>
      <c r="H39" s="23" t="str">
        <f t="shared" si="3"/>
        <v>insert into ins_premium_det (premium_rcv_code,assorted_code, rec_amount,premium_rcv_detail_code,remaining_amt, payrec, mode_code,coinsurance_code,class_cd,it_remarks) values('21Jan250071','040000188750','19740',(select max(to_number(i.premium_rcv_detail_code))+1
from ins_premium_det i),'19740','19740','02', '11000003','00','Request by Mr. Omair Ali 22-Jan-2025 Premium');</v>
      </c>
    </row>
    <row r="40" spans="1:8" ht="105" x14ac:dyDescent="0.25">
      <c r="A40" s="2" t="s">
        <v>39</v>
      </c>
      <c r="B40" s="19" t="str">
        <f>VLOOKUP(A40,policy!B:C,2,0)</f>
        <v>040000188865</v>
      </c>
      <c r="C40" s="9">
        <v>30351</v>
      </c>
      <c r="D40" s="20">
        <f t="shared" si="1"/>
        <v>30351</v>
      </c>
      <c r="E40" s="18" t="s">
        <v>206</v>
      </c>
      <c r="F40" s="21" t="str">
        <f t="shared" si="0"/>
        <v>insert into ins_premium_det (premium_rcv_code,assorted_code, rec_amount,premium_rcv_detail_code,remaining_amt, payrec, mode_code,coinsurance_code,class_cd,it_remarks) values</v>
      </c>
      <c r="G40" s="22" t="str">
        <f t="shared" si="2"/>
        <v>('21Jan250071','040000188865','30351',(select max(to_number(i.premium_rcv_detail_code))+1
from ins_premium_det i),'30351','30351','02', '11000003','00','Request by Mr. Omair Ali 22-Jan-2025 Premium');</v>
      </c>
      <c r="H40" s="23" t="str">
        <f t="shared" si="3"/>
        <v>insert into ins_premium_det (premium_rcv_code,assorted_code, rec_amount,premium_rcv_detail_code,remaining_amt, payrec, mode_code,coinsurance_code,class_cd,it_remarks) values('21Jan250071','040000188865','30351',(select max(to_number(i.premium_rcv_detail_code))+1
from ins_premium_det i),'30351','30351','02', '11000003','00','Request by Mr. Omair Ali 22-Jan-2025 Premium');</v>
      </c>
    </row>
    <row r="41" spans="1:8" ht="105" x14ac:dyDescent="0.25">
      <c r="A41" s="2" t="s">
        <v>40</v>
      </c>
      <c r="B41" s="19" t="str">
        <f>VLOOKUP(A41,policy!B:C,2,0)</f>
        <v>040000188887</v>
      </c>
      <c r="C41" s="9">
        <v>12280</v>
      </c>
      <c r="D41" s="20">
        <f t="shared" si="1"/>
        <v>12280</v>
      </c>
      <c r="E41" s="18" t="s">
        <v>206</v>
      </c>
      <c r="F41" s="21" t="str">
        <f t="shared" si="0"/>
        <v>insert into ins_premium_det (premium_rcv_code,assorted_code, rec_amount,premium_rcv_detail_code,remaining_amt, payrec, mode_code,coinsurance_code,class_cd,it_remarks) values</v>
      </c>
      <c r="G41" s="22" t="str">
        <f t="shared" si="2"/>
        <v>('21Jan250071','040000188887','12280',(select max(to_number(i.premium_rcv_detail_code))+1
from ins_premium_det i),'12280','12280','02', '11000003','00','Request by Mr. Omair Ali 22-Jan-2025 Premium');</v>
      </c>
      <c r="H41" s="23" t="str">
        <f t="shared" si="3"/>
        <v>insert into ins_premium_det (premium_rcv_code,assorted_code, rec_amount,premium_rcv_detail_code,remaining_amt, payrec, mode_code,coinsurance_code,class_cd,it_remarks) values('21Jan250071','040000188887','12280',(select max(to_number(i.premium_rcv_detail_code))+1
from ins_premium_det i),'12280','12280','02', '11000003','00','Request by Mr. Omair Ali 22-Jan-2025 Premium');</v>
      </c>
    </row>
    <row r="42" spans="1:8" ht="105" x14ac:dyDescent="0.25">
      <c r="A42" s="2" t="s">
        <v>41</v>
      </c>
      <c r="B42" s="19" t="str">
        <f>VLOOKUP(A42,policy!B:C,2,0)</f>
        <v>040000188976</v>
      </c>
      <c r="C42" s="9">
        <v>8134</v>
      </c>
      <c r="D42" s="20">
        <f t="shared" si="1"/>
        <v>8134</v>
      </c>
      <c r="E42" s="18" t="s">
        <v>206</v>
      </c>
      <c r="F42" s="21" t="str">
        <f t="shared" si="0"/>
        <v>insert into ins_premium_det (premium_rcv_code,assorted_code, rec_amount,premium_rcv_detail_code,remaining_amt, payrec, mode_code,coinsurance_code,class_cd,it_remarks) values</v>
      </c>
      <c r="G42" s="22" t="str">
        <f t="shared" si="2"/>
        <v>('21Jan250071','040000188976','8134',(select max(to_number(i.premium_rcv_detail_code))+1
from ins_premium_det i),'8134','8134','02', '11000003','00','Request by Mr. Omair Ali 22-Jan-2025 Premium');</v>
      </c>
      <c r="H42" s="23" t="str">
        <f t="shared" si="3"/>
        <v>insert into ins_premium_det (premium_rcv_code,assorted_code, rec_amount,premium_rcv_detail_code,remaining_amt, payrec, mode_code,coinsurance_code,class_cd,it_remarks) values('21Jan250071','040000188976','8134',(select max(to_number(i.premium_rcv_detail_code))+1
from ins_premium_det i),'8134','8134','02', '11000003','00','Request by Mr. Omair Ali 22-Jan-2025 Premium');</v>
      </c>
    </row>
    <row r="43" spans="1:8" ht="105" x14ac:dyDescent="0.25">
      <c r="A43" s="2" t="s">
        <v>42</v>
      </c>
      <c r="B43" s="19" t="str">
        <f>VLOOKUP(A43,policy!B:C,2,0)</f>
        <v>040000188985</v>
      </c>
      <c r="C43" s="9">
        <v>10066</v>
      </c>
      <c r="D43" s="20">
        <f t="shared" si="1"/>
        <v>10066</v>
      </c>
      <c r="E43" s="18" t="s">
        <v>206</v>
      </c>
      <c r="F43" s="21" t="str">
        <f t="shared" si="0"/>
        <v>insert into ins_premium_det (premium_rcv_code,assorted_code, rec_amount,premium_rcv_detail_code,remaining_amt, payrec, mode_code,coinsurance_code,class_cd,it_remarks) values</v>
      </c>
      <c r="G43" s="22" t="str">
        <f t="shared" si="2"/>
        <v>('21Jan250071','040000188985','10066',(select max(to_number(i.premium_rcv_detail_code))+1
from ins_premium_det i),'10066','10066','02', '11000003','00','Request by Mr. Omair Ali 22-Jan-2025 Premium');</v>
      </c>
      <c r="H43" s="23" t="str">
        <f t="shared" si="3"/>
        <v>insert into ins_premium_det (premium_rcv_code,assorted_code, rec_amount,premium_rcv_detail_code,remaining_amt, payrec, mode_code,coinsurance_code,class_cd,it_remarks) values('21Jan250071','040000188985','10066',(select max(to_number(i.premium_rcv_detail_code))+1
from ins_premium_det i),'10066','10066','02', '11000003','00','Request by Mr. Omair Ali 22-Jan-2025 Premium');</v>
      </c>
    </row>
    <row r="44" spans="1:8" ht="105" x14ac:dyDescent="0.25">
      <c r="A44" s="2" t="s">
        <v>43</v>
      </c>
      <c r="B44" s="19" t="str">
        <f>VLOOKUP(A44,policy!B:C,2,0)</f>
        <v>040000189248</v>
      </c>
      <c r="C44" s="9">
        <v>12615</v>
      </c>
      <c r="D44" s="20">
        <f t="shared" si="1"/>
        <v>12615</v>
      </c>
      <c r="E44" s="18" t="s">
        <v>206</v>
      </c>
      <c r="F44" s="21" t="str">
        <f t="shared" si="0"/>
        <v>insert into ins_premium_det (premium_rcv_code,assorted_code, rec_amount,premium_rcv_detail_code,remaining_amt, payrec, mode_code,coinsurance_code,class_cd,it_remarks) values</v>
      </c>
      <c r="G44" s="22" t="str">
        <f t="shared" si="2"/>
        <v>('21Jan250071','040000189248','12615',(select max(to_number(i.premium_rcv_detail_code))+1
from ins_premium_det i),'12615','12615','02', '11000003','00','Request by Mr. Omair Ali 22-Jan-2025 Premium');</v>
      </c>
      <c r="H44" s="23" t="str">
        <f t="shared" si="3"/>
        <v>insert into ins_premium_det (premium_rcv_code,assorted_code, rec_amount,premium_rcv_detail_code,remaining_amt, payrec, mode_code,coinsurance_code,class_cd,it_remarks) values('21Jan250071','040000189248','12615',(select max(to_number(i.premium_rcv_detail_code))+1
from ins_premium_det i),'12615','12615','02', '11000003','00','Request by Mr. Omair Ali 22-Jan-2025 Premium');</v>
      </c>
    </row>
    <row r="45" spans="1:8" ht="105" x14ac:dyDescent="0.25">
      <c r="A45" s="2" t="s">
        <v>44</v>
      </c>
      <c r="B45" s="19" t="str">
        <f>VLOOKUP(A45,policy!B:C,2,0)</f>
        <v>040000189328</v>
      </c>
      <c r="C45" s="9">
        <v>21131</v>
      </c>
      <c r="D45" s="20">
        <f t="shared" si="1"/>
        <v>21131</v>
      </c>
      <c r="E45" s="18" t="s">
        <v>206</v>
      </c>
      <c r="F45" s="21" t="str">
        <f t="shared" si="0"/>
        <v>insert into ins_premium_det (premium_rcv_code,assorted_code, rec_amount,premium_rcv_detail_code,remaining_amt, payrec, mode_code,coinsurance_code,class_cd,it_remarks) values</v>
      </c>
      <c r="G45" s="22" t="str">
        <f t="shared" si="2"/>
        <v>('21Jan250071','040000189328','21131',(select max(to_number(i.premium_rcv_detail_code))+1
from ins_premium_det i),'21131','21131','02', '11000003','00','Request by Mr. Omair Ali 22-Jan-2025 Premium');</v>
      </c>
      <c r="H45" s="23" t="str">
        <f t="shared" si="3"/>
        <v>insert into ins_premium_det (premium_rcv_code,assorted_code, rec_amount,premium_rcv_detail_code,remaining_amt, payrec, mode_code,coinsurance_code,class_cd,it_remarks) values('21Jan250071','040000189328','21131',(select max(to_number(i.premium_rcv_detail_code))+1
from ins_premium_det i),'21131','21131','02', '11000003','00','Request by Mr. Omair Ali 22-Jan-2025 Premium');</v>
      </c>
    </row>
    <row r="46" spans="1:8" ht="105" x14ac:dyDescent="0.25">
      <c r="A46" s="2" t="s">
        <v>45</v>
      </c>
      <c r="B46" s="19" t="str">
        <f>VLOOKUP(A46,policy!B:C,2,0)</f>
        <v>040000189329</v>
      </c>
      <c r="C46" s="9">
        <v>51934</v>
      </c>
      <c r="D46" s="20">
        <f t="shared" si="1"/>
        <v>51934</v>
      </c>
      <c r="E46" s="18" t="s">
        <v>206</v>
      </c>
      <c r="F46" s="21" t="str">
        <f t="shared" si="0"/>
        <v>insert into ins_premium_det (premium_rcv_code,assorted_code, rec_amount,premium_rcv_detail_code,remaining_amt, payrec, mode_code,coinsurance_code,class_cd,it_remarks) values</v>
      </c>
      <c r="G46" s="22" t="str">
        <f t="shared" si="2"/>
        <v>('21Jan250071','040000189329','51934',(select max(to_number(i.premium_rcv_detail_code))+1
from ins_premium_det i),'51934','51934','02', '11000003','00','Request by Mr. Omair Ali 22-Jan-2025 Premium');</v>
      </c>
      <c r="H46" s="23" t="str">
        <f t="shared" si="3"/>
        <v>insert into ins_premium_det (premium_rcv_code,assorted_code, rec_amount,premium_rcv_detail_code,remaining_amt, payrec, mode_code,coinsurance_code,class_cd,it_remarks) values('21Jan250071','040000189329','51934',(select max(to_number(i.premium_rcv_detail_code))+1
from ins_premium_det i),'51934','51934','02', '11000003','00','Request by Mr. Omair Ali 22-Jan-2025 Premium');</v>
      </c>
    </row>
    <row r="47" spans="1:8" ht="105" x14ac:dyDescent="0.25">
      <c r="A47" s="2" t="s">
        <v>46</v>
      </c>
      <c r="B47" s="19" t="str">
        <f>VLOOKUP(A47,policy!B:C,2,0)</f>
        <v>040000189404</v>
      </c>
      <c r="C47" s="9">
        <v>20225</v>
      </c>
      <c r="D47" s="20">
        <f t="shared" si="1"/>
        <v>20225</v>
      </c>
      <c r="E47" s="18" t="s">
        <v>206</v>
      </c>
      <c r="F47" s="21" t="str">
        <f t="shared" si="0"/>
        <v>insert into ins_premium_det (premium_rcv_code,assorted_code, rec_amount,premium_rcv_detail_code,remaining_amt, payrec, mode_code,coinsurance_code,class_cd,it_remarks) values</v>
      </c>
      <c r="G47" s="22" t="str">
        <f t="shared" si="2"/>
        <v>('21Jan250071','040000189404','20225',(select max(to_number(i.premium_rcv_detail_code))+1
from ins_premium_det i),'20225','20225','02', '11000003','00','Request by Mr. Omair Ali 22-Jan-2025 Premium');</v>
      </c>
      <c r="H47" s="23" t="str">
        <f t="shared" si="3"/>
        <v>insert into ins_premium_det (premium_rcv_code,assorted_code, rec_amount,premium_rcv_detail_code,remaining_amt, payrec, mode_code,coinsurance_code,class_cd,it_remarks) values('21Jan250071','040000189404','20225',(select max(to_number(i.premium_rcv_detail_code))+1
from ins_premium_det i),'20225','20225','02', '11000003','00','Request by Mr. Omair Ali 22-Jan-2025 Premium');</v>
      </c>
    </row>
    <row r="48" spans="1:8" ht="105" x14ac:dyDescent="0.25">
      <c r="A48" s="2" t="s">
        <v>47</v>
      </c>
      <c r="B48" s="19" t="str">
        <f>VLOOKUP(A48,policy!B:C,2,0)</f>
        <v>040000189406</v>
      </c>
      <c r="C48" s="9">
        <v>12168</v>
      </c>
      <c r="D48" s="20">
        <f t="shared" si="1"/>
        <v>12168</v>
      </c>
      <c r="E48" s="18" t="s">
        <v>206</v>
      </c>
      <c r="F48" s="21" t="str">
        <f t="shared" si="0"/>
        <v>insert into ins_premium_det (premium_rcv_code,assorted_code, rec_amount,premium_rcv_detail_code,remaining_amt, payrec, mode_code,coinsurance_code,class_cd,it_remarks) values</v>
      </c>
      <c r="G48" s="22" t="str">
        <f t="shared" si="2"/>
        <v>('21Jan250071','040000189406','12168',(select max(to_number(i.premium_rcv_detail_code))+1
from ins_premium_det i),'12168','12168','02', '11000003','00','Request by Mr. Omair Ali 22-Jan-2025 Premium');</v>
      </c>
      <c r="H48" s="23" t="str">
        <f t="shared" si="3"/>
        <v>insert into ins_premium_det (premium_rcv_code,assorted_code, rec_amount,premium_rcv_detail_code,remaining_amt, payrec, mode_code,coinsurance_code,class_cd,it_remarks) values('21Jan250071','040000189406','12168',(select max(to_number(i.premium_rcv_detail_code))+1
from ins_premium_det i),'12168','12168','02', '11000003','00','Request by Mr. Omair Ali 22-Jan-2025 Premium');</v>
      </c>
    </row>
    <row r="49" spans="1:8" ht="105" x14ac:dyDescent="0.25">
      <c r="A49" s="2" t="s">
        <v>48</v>
      </c>
      <c r="B49" s="19" t="str">
        <f>VLOOKUP(A49,policy!B:C,2,0)</f>
        <v>040000189413</v>
      </c>
      <c r="C49" s="9">
        <v>27005</v>
      </c>
      <c r="D49" s="20">
        <f t="shared" si="1"/>
        <v>27005</v>
      </c>
      <c r="E49" s="18" t="s">
        <v>206</v>
      </c>
      <c r="F49" s="21" t="str">
        <f t="shared" si="0"/>
        <v>insert into ins_premium_det (premium_rcv_code,assorted_code, rec_amount,premium_rcv_detail_code,remaining_amt, payrec, mode_code,coinsurance_code,class_cd,it_remarks) values</v>
      </c>
      <c r="G49" s="22" t="str">
        <f t="shared" si="2"/>
        <v>('21Jan250071','040000189413','27005',(select max(to_number(i.premium_rcv_detail_code))+1
from ins_premium_det i),'27005','27005','02', '11000003','00','Request by Mr. Omair Ali 22-Jan-2025 Premium');</v>
      </c>
      <c r="H49" s="23" t="str">
        <f t="shared" si="3"/>
        <v>insert into ins_premium_det (premium_rcv_code,assorted_code, rec_amount,premium_rcv_detail_code,remaining_amt, payrec, mode_code,coinsurance_code,class_cd,it_remarks) values('21Jan250071','040000189413','27005',(select max(to_number(i.premium_rcv_detail_code))+1
from ins_premium_det i),'27005','27005','02', '11000003','00','Request by Mr. Omair Ali 22-Jan-2025 Premium');</v>
      </c>
    </row>
    <row r="50" spans="1:8" ht="105" x14ac:dyDescent="0.25">
      <c r="A50" s="2" t="s">
        <v>49</v>
      </c>
      <c r="B50" s="19" t="str">
        <f>VLOOKUP(A50,policy!B:C,2,0)</f>
        <v>040000189528</v>
      </c>
      <c r="C50" s="9">
        <v>27131</v>
      </c>
      <c r="D50" s="20">
        <f t="shared" si="1"/>
        <v>27131</v>
      </c>
      <c r="E50" s="18" t="s">
        <v>206</v>
      </c>
      <c r="F50" s="21" t="str">
        <f t="shared" si="0"/>
        <v>insert into ins_premium_det (premium_rcv_code,assorted_code, rec_amount,premium_rcv_detail_code,remaining_amt, payrec, mode_code,coinsurance_code,class_cd,it_remarks) values</v>
      </c>
      <c r="G50" s="22" t="str">
        <f t="shared" si="2"/>
        <v>('21Jan250071','040000189528','27131',(select max(to_number(i.premium_rcv_detail_code))+1
from ins_premium_det i),'27131','27131','02', '11000003','00','Request by Mr. Omair Ali 22-Jan-2025 Premium');</v>
      </c>
      <c r="H50" s="23" t="str">
        <f t="shared" si="3"/>
        <v>insert into ins_premium_det (premium_rcv_code,assorted_code, rec_amount,premium_rcv_detail_code,remaining_amt, payrec, mode_code,coinsurance_code,class_cd,it_remarks) values('21Jan250071','040000189528','27131',(select max(to_number(i.premium_rcv_detail_code))+1
from ins_premium_det i),'27131','27131','02', '11000003','00','Request by Mr. Omair Ali 22-Jan-2025 Premium');</v>
      </c>
    </row>
    <row r="51" spans="1:8" ht="105" x14ac:dyDescent="0.25">
      <c r="A51" s="2" t="s">
        <v>50</v>
      </c>
      <c r="B51" s="19" t="str">
        <f>VLOOKUP(A51,policy!B:C,2,0)</f>
        <v>040000189531</v>
      </c>
      <c r="C51" s="9">
        <v>17700</v>
      </c>
      <c r="D51" s="20">
        <f t="shared" si="1"/>
        <v>17700</v>
      </c>
      <c r="E51" s="18" t="s">
        <v>206</v>
      </c>
      <c r="F51" s="21" t="str">
        <f t="shared" si="0"/>
        <v>insert into ins_premium_det (premium_rcv_code,assorted_code, rec_amount,premium_rcv_detail_code,remaining_amt, payrec, mode_code,coinsurance_code,class_cd,it_remarks) values</v>
      </c>
      <c r="G51" s="22" t="str">
        <f t="shared" si="2"/>
        <v>('21Jan250071','040000189531','17700',(select max(to_number(i.premium_rcv_detail_code))+1
from ins_premium_det i),'17700','17700','02', '11000003','00','Request by Mr. Omair Ali 22-Jan-2025 Premium');</v>
      </c>
      <c r="H51" s="23" t="str">
        <f t="shared" si="3"/>
        <v>insert into ins_premium_det (premium_rcv_code,assorted_code, rec_amount,premium_rcv_detail_code,remaining_amt, payrec, mode_code,coinsurance_code,class_cd,it_remarks) values('21Jan250071','040000189531','17700',(select max(to_number(i.premium_rcv_detail_code))+1
from ins_premium_det i),'17700','17700','02', '11000003','00','Request by Mr. Omair Ali 22-Jan-2025 Premium');</v>
      </c>
    </row>
    <row r="52" spans="1:8" ht="105" x14ac:dyDescent="0.25">
      <c r="A52" s="2" t="s">
        <v>51</v>
      </c>
      <c r="B52" s="19" t="str">
        <f>VLOOKUP(A52,policy!B:C,2,0)</f>
        <v>040000189741</v>
      </c>
      <c r="C52" s="9">
        <v>12809</v>
      </c>
      <c r="D52" s="20">
        <f t="shared" si="1"/>
        <v>12809</v>
      </c>
      <c r="E52" s="18" t="s">
        <v>206</v>
      </c>
      <c r="F52" s="21" t="str">
        <f t="shared" si="0"/>
        <v>insert into ins_premium_det (premium_rcv_code,assorted_code, rec_amount,premium_rcv_detail_code,remaining_amt, payrec, mode_code,coinsurance_code,class_cd,it_remarks) values</v>
      </c>
      <c r="G52" s="22" t="str">
        <f t="shared" si="2"/>
        <v>('21Jan250071','040000189741','12809',(select max(to_number(i.premium_rcv_detail_code))+1
from ins_premium_det i),'12809','12809','02', '11000003','00','Request by Mr. Omair Ali 22-Jan-2025 Premium');</v>
      </c>
      <c r="H52" s="23" t="str">
        <f t="shared" si="3"/>
        <v>insert into ins_premium_det (premium_rcv_code,assorted_code, rec_amount,premium_rcv_detail_code,remaining_amt, payrec, mode_code,coinsurance_code,class_cd,it_remarks) values('21Jan250071','040000189741','12809',(select max(to_number(i.premium_rcv_detail_code))+1
from ins_premium_det i),'12809','12809','02', '11000003','00','Request by Mr. Omair Ali 22-Jan-2025 Premium');</v>
      </c>
    </row>
    <row r="53" spans="1:8" ht="105" x14ac:dyDescent="0.25">
      <c r="A53" s="2" t="s">
        <v>52</v>
      </c>
      <c r="B53" s="19" t="str">
        <f>VLOOKUP(A53,policy!B:C,2,0)</f>
        <v>040000189875</v>
      </c>
      <c r="C53" s="9">
        <v>1000</v>
      </c>
      <c r="D53" s="20">
        <f t="shared" si="1"/>
        <v>1000</v>
      </c>
      <c r="E53" s="18" t="s">
        <v>206</v>
      </c>
      <c r="F53" s="21" t="str">
        <f t="shared" si="0"/>
        <v>insert into ins_premium_det (premium_rcv_code,assorted_code, rec_amount,premium_rcv_detail_code,remaining_amt, payrec, mode_code,coinsurance_code,class_cd,it_remarks) values</v>
      </c>
      <c r="G53" s="22" t="str">
        <f t="shared" si="2"/>
        <v>('21Jan250071','040000189875','1000',(select max(to_number(i.premium_rcv_detail_code))+1
from ins_premium_det i),'1000','1000','02', '11000003','00','Request by Mr. Omair Ali 22-Jan-2025 Premium');</v>
      </c>
      <c r="H53" s="23" t="str">
        <f t="shared" si="3"/>
        <v>insert into ins_premium_det (premium_rcv_code,assorted_code, rec_amount,premium_rcv_detail_code,remaining_amt, payrec, mode_code,coinsurance_code,class_cd,it_remarks) values('21Jan250071','040000189875','1000',(select max(to_number(i.premium_rcv_detail_code))+1
from ins_premium_det i),'1000','1000','02', '11000003','00','Request by Mr. Omair Ali 22-Jan-2025 Premium');</v>
      </c>
    </row>
    <row r="54" spans="1:8" ht="105" x14ac:dyDescent="0.25">
      <c r="A54" s="2" t="s">
        <v>53</v>
      </c>
      <c r="B54" s="19" t="str">
        <f>VLOOKUP(A54,policy!B:C,2,0)</f>
        <v>040000189941</v>
      </c>
      <c r="C54" s="9">
        <v>27151</v>
      </c>
      <c r="D54" s="20">
        <f t="shared" si="1"/>
        <v>27151</v>
      </c>
      <c r="E54" s="18" t="s">
        <v>206</v>
      </c>
      <c r="F54" s="21" t="str">
        <f t="shared" si="0"/>
        <v>insert into ins_premium_det (premium_rcv_code,assorted_code, rec_amount,premium_rcv_detail_code,remaining_amt, payrec, mode_code,coinsurance_code,class_cd,it_remarks) values</v>
      </c>
      <c r="G54" s="22" t="str">
        <f t="shared" si="2"/>
        <v>('21Jan250071','040000189941','27151',(select max(to_number(i.premium_rcv_detail_code))+1
from ins_premium_det i),'27151','27151','02', '11000003','00','Request by Mr. Omair Ali 22-Jan-2025 Premium');</v>
      </c>
      <c r="H54" s="23" t="str">
        <f t="shared" si="3"/>
        <v>insert into ins_premium_det (premium_rcv_code,assorted_code, rec_amount,premium_rcv_detail_code,remaining_amt, payrec, mode_code,coinsurance_code,class_cd,it_remarks) values('21Jan250071','040000189941','27151',(select max(to_number(i.premium_rcv_detail_code))+1
from ins_premium_det i),'27151','27151','02', '11000003','00','Request by Mr. Omair Ali 22-Jan-2025 Premium');</v>
      </c>
    </row>
    <row r="55" spans="1:8" ht="105" x14ac:dyDescent="0.25">
      <c r="A55" s="2" t="s">
        <v>54</v>
      </c>
      <c r="B55" s="19" t="str">
        <f>VLOOKUP(A55,policy!B:C,2,0)</f>
        <v>040000189942</v>
      </c>
      <c r="C55" s="9">
        <v>7252</v>
      </c>
      <c r="D55" s="20">
        <f t="shared" si="1"/>
        <v>7252</v>
      </c>
      <c r="E55" s="18" t="s">
        <v>206</v>
      </c>
      <c r="F55" s="21" t="str">
        <f t="shared" si="0"/>
        <v>insert into ins_premium_det (premium_rcv_code,assorted_code, rec_amount,premium_rcv_detail_code,remaining_amt, payrec, mode_code,coinsurance_code,class_cd,it_remarks) values</v>
      </c>
      <c r="G55" s="22" t="str">
        <f t="shared" si="2"/>
        <v>('21Jan250071','040000189942','7252',(select max(to_number(i.premium_rcv_detail_code))+1
from ins_premium_det i),'7252','7252','02', '11000003','00','Request by Mr. Omair Ali 22-Jan-2025 Premium');</v>
      </c>
      <c r="H55" s="23" t="str">
        <f t="shared" si="3"/>
        <v>insert into ins_premium_det (premium_rcv_code,assorted_code, rec_amount,premium_rcv_detail_code,remaining_amt, payrec, mode_code,coinsurance_code,class_cd,it_remarks) values('21Jan250071','040000189942','7252',(select max(to_number(i.premium_rcv_detail_code))+1
from ins_premium_det i),'7252','7252','02', '11000003','00','Request by Mr. Omair Ali 22-Jan-2025 Premium');</v>
      </c>
    </row>
    <row r="56" spans="1:8" ht="105" x14ac:dyDescent="0.25">
      <c r="A56" s="2" t="s">
        <v>55</v>
      </c>
      <c r="B56" s="19" t="str">
        <f>VLOOKUP(A56,policy!B:C,2,0)</f>
        <v>040000190060</v>
      </c>
      <c r="C56" s="9">
        <v>15747</v>
      </c>
      <c r="D56" s="20">
        <f t="shared" si="1"/>
        <v>15747</v>
      </c>
      <c r="E56" s="18" t="s">
        <v>206</v>
      </c>
      <c r="F56" s="21" t="str">
        <f t="shared" si="0"/>
        <v>insert into ins_premium_det (premium_rcv_code,assorted_code, rec_amount,premium_rcv_detail_code,remaining_amt, payrec, mode_code,coinsurance_code,class_cd,it_remarks) values</v>
      </c>
      <c r="G56" s="22" t="str">
        <f t="shared" si="2"/>
        <v>('21Jan250071','040000190060','15747',(select max(to_number(i.premium_rcv_detail_code))+1
from ins_premium_det i),'15747','15747','02', '11000003','00','Request by Mr. Omair Ali 22-Jan-2025 Premium');</v>
      </c>
      <c r="H56" s="23" t="str">
        <f t="shared" si="3"/>
        <v>insert into ins_premium_det (premium_rcv_code,assorted_code, rec_amount,premium_rcv_detail_code,remaining_amt, payrec, mode_code,coinsurance_code,class_cd,it_remarks) values('21Jan250071','040000190060','15747',(select max(to_number(i.premium_rcv_detail_code))+1
from ins_premium_det i),'15747','15747','02', '11000003','00','Request by Mr. Omair Ali 22-Jan-2025 Premium');</v>
      </c>
    </row>
    <row r="57" spans="1:8" ht="105" x14ac:dyDescent="0.25">
      <c r="A57" s="2" t="s">
        <v>56</v>
      </c>
      <c r="B57" s="19" t="str">
        <f>VLOOKUP(A57,policy!B:C,2,0)</f>
        <v>040000190062</v>
      </c>
      <c r="C57" s="9">
        <v>9470</v>
      </c>
      <c r="D57" s="20">
        <f t="shared" si="1"/>
        <v>9470</v>
      </c>
      <c r="E57" s="18" t="s">
        <v>206</v>
      </c>
      <c r="F57" s="21" t="str">
        <f t="shared" si="0"/>
        <v>insert into ins_premium_det (premium_rcv_code,assorted_code, rec_amount,premium_rcv_detail_code,remaining_amt, payrec, mode_code,coinsurance_code,class_cd,it_remarks) values</v>
      </c>
      <c r="G57" s="22" t="str">
        <f t="shared" si="2"/>
        <v>('21Jan250071','040000190062','9470',(select max(to_number(i.premium_rcv_detail_code))+1
from ins_premium_det i),'9470','9470','02', '11000003','00','Request by Mr. Omair Ali 22-Jan-2025 Premium');</v>
      </c>
      <c r="H57" s="23" t="str">
        <f t="shared" si="3"/>
        <v>insert into ins_premium_det (premium_rcv_code,assorted_code, rec_amount,premium_rcv_detail_code,remaining_amt, payrec, mode_code,coinsurance_code,class_cd,it_remarks) values('21Jan250071','040000190062','9470',(select max(to_number(i.premium_rcv_detail_code))+1
from ins_premium_det i),'9470','9470','02', '11000003','00','Request by Mr. Omair Ali 22-Jan-2025 Premium');</v>
      </c>
    </row>
    <row r="58" spans="1:8" ht="105" x14ac:dyDescent="0.25">
      <c r="A58" s="2" t="s">
        <v>57</v>
      </c>
      <c r="B58" s="19" t="str">
        <f>VLOOKUP(A58,policy!B:C,2,0)</f>
        <v>040000190545</v>
      </c>
      <c r="C58" s="9">
        <v>10125</v>
      </c>
      <c r="D58" s="20">
        <f t="shared" si="1"/>
        <v>10125</v>
      </c>
      <c r="E58" s="18" t="s">
        <v>206</v>
      </c>
      <c r="F58" s="21" t="str">
        <f t="shared" si="0"/>
        <v>insert into ins_premium_det (premium_rcv_code,assorted_code, rec_amount,premium_rcv_detail_code,remaining_amt, payrec, mode_code,coinsurance_code,class_cd,it_remarks) values</v>
      </c>
      <c r="G58" s="22" t="str">
        <f t="shared" si="2"/>
        <v>('21Jan250071','040000190545','10125',(select max(to_number(i.premium_rcv_detail_code))+1
from ins_premium_det i),'10125','10125','02', '11000003','00','Request by Mr. Omair Ali 22-Jan-2025 Premium');</v>
      </c>
      <c r="H58" s="23" t="str">
        <f t="shared" si="3"/>
        <v>insert into ins_premium_det (premium_rcv_code,assorted_code, rec_amount,premium_rcv_detail_code,remaining_amt, payrec, mode_code,coinsurance_code,class_cd,it_remarks) values('21Jan250071','040000190545','10125',(select max(to_number(i.premium_rcv_detail_code))+1
from ins_premium_det i),'10125','10125','02', '11000003','00','Request by Mr. Omair Ali 22-Jan-2025 Premium');</v>
      </c>
    </row>
    <row r="59" spans="1:8" ht="105" x14ac:dyDescent="0.25">
      <c r="A59" s="2" t="s">
        <v>58</v>
      </c>
      <c r="B59" s="19" t="str">
        <f>VLOOKUP(A59,policy!B:C,2,0)</f>
        <v>040000190547</v>
      </c>
      <c r="C59" s="9">
        <v>15525</v>
      </c>
      <c r="D59" s="20">
        <f t="shared" si="1"/>
        <v>15525</v>
      </c>
      <c r="E59" s="18" t="s">
        <v>206</v>
      </c>
      <c r="F59" s="21" t="str">
        <f t="shared" si="0"/>
        <v>insert into ins_premium_det (premium_rcv_code,assorted_code, rec_amount,premium_rcv_detail_code,remaining_amt, payrec, mode_code,coinsurance_code,class_cd,it_remarks) values</v>
      </c>
      <c r="G59" s="22" t="str">
        <f t="shared" si="2"/>
        <v>('21Jan250071','040000190547','15525',(select max(to_number(i.premium_rcv_detail_code))+1
from ins_premium_det i),'15525','15525','02', '11000003','00','Request by Mr. Omair Ali 22-Jan-2025 Premium');</v>
      </c>
      <c r="H59" s="23" t="str">
        <f t="shared" si="3"/>
        <v>insert into ins_premium_det (premium_rcv_code,assorted_code, rec_amount,premium_rcv_detail_code,remaining_amt, payrec, mode_code,coinsurance_code,class_cd,it_remarks) values('21Jan250071','040000190547','15525',(select max(to_number(i.premium_rcv_detail_code))+1
from ins_premium_det i),'15525','15525','02', '11000003','00','Request by Mr. Omair Ali 22-Jan-2025 Premium');</v>
      </c>
    </row>
    <row r="60" spans="1:8" ht="105" x14ac:dyDescent="0.25">
      <c r="A60" s="2" t="s">
        <v>59</v>
      </c>
      <c r="B60" s="19" t="str">
        <f>VLOOKUP(A60,policy!B:C,2,0)</f>
        <v>040000190548</v>
      </c>
      <c r="C60" s="9">
        <v>9611</v>
      </c>
      <c r="D60" s="20">
        <f t="shared" si="1"/>
        <v>9611</v>
      </c>
      <c r="E60" s="18" t="s">
        <v>206</v>
      </c>
      <c r="F60" s="21" t="str">
        <f t="shared" si="0"/>
        <v>insert into ins_premium_det (premium_rcv_code,assorted_code, rec_amount,premium_rcv_detail_code,remaining_amt, payrec, mode_code,coinsurance_code,class_cd,it_remarks) values</v>
      </c>
      <c r="G60" s="22" t="str">
        <f t="shared" si="2"/>
        <v>('21Jan250071','040000190548','9611',(select max(to_number(i.premium_rcv_detail_code))+1
from ins_premium_det i),'9611','9611','02', '11000003','00','Request by Mr. Omair Ali 22-Jan-2025 Premium');</v>
      </c>
      <c r="H60" s="23" t="str">
        <f t="shared" si="3"/>
        <v>insert into ins_premium_det (premium_rcv_code,assorted_code, rec_amount,premium_rcv_detail_code,remaining_amt, payrec, mode_code,coinsurance_code,class_cd,it_remarks) values('21Jan250071','040000190548','9611',(select max(to_number(i.premium_rcv_detail_code))+1
from ins_premium_det i),'9611','9611','02', '11000003','00','Request by Mr. Omair Ali 22-Jan-2025 Premium');</v>
      </c>
    </row>
    <row r="61" spans="1:8" ht="105" x14ac:dyDescent="0.25">
      <c r="A61" s="2" t="s">
        <v>60</v>
      </c>
      <c r="B61" s="19" t="str">
        <f>VLOOKUP(A61,policy!B:C,2,0)</f>
        <v>040000190626</v>
      </c>
      <c r="C61" s="9">
        <v>3983</v>
      </c>
      <c r="D61" s="20">
        <f t="shared" si="1"/>
        <v>3983</v>
      </c>
      <c r="E61" s="18" t="s">
        <v>206</v>
      </c>
      <c r="F61" s="21" t="str">
        <f t="shared" si="0"/>
        <v>insert into ins_premium_det (premium_rcv_code,assorted_code, rec_amount,premium_rcv_detail_code,remaining_amt, payrec, mode_code,coinsurance_code,class_cd,it_remarks) values</v>
      </c>
      <c r="G61" s="22" t="str">
        <f t="shared" si="2"/>
        <v>('21Jan250071','040000190626','3983',(select max(to_number(i.premium_rcv_detail_code))+1
from ins_premium_det i),'3983','3983','02', '11000003','00','Request by Mr. Omair Ali 22-Jan-2025 Premium');</v>
      </c>
      <c r="H61" s="23" t="str">
        <f t="shared" si="3"/>
        <v>insert into ins_premium_det (premium_rcv_code,assorted_code, rec_amount,premium_rcv_detail_code,remaining_amt, payrec, mode_code,coinsurance_code,class_cd,it_remarks) values('21Jan250071','040000190626','3983',(select max(to_number(i.premium_rcv_detail_code))+1
from ins_premium_det i),'3983','3983','02', '11000003','00','Request by Mr. Omair Ali 22-Jan-2025 Premium');</v>
      </c>
    </row>
    <row r="62" spans="1:8" ht="105" x14ac:dyDescent="0.25">
      <c r="A62" s="2" t="s">
        <v>61</v>
      </c>
      <c r="B62" s="19" t="str">
        <f>VLOOKUP(A62,policy!B:C,2,0)</f>
        <v>040000190999</v>
      </c>
      <c r="C62" s="9">
        <v>45688</v>
      </c>
      <c r="D62" s="20">
        <f t="shared" si="1"/>
        <v>45688</v>
      </c>
      <c r="E62" s="18" t="s">
        <v>206</v>
      </c>
      <c r="F62" s="21" t="str">
        <f t="shared" si="0"/>
        <v>insert into ins_premium_det (premium_rcv_code,assorted_code, rec_amount,premium_rcv_detail_code,remaining_amt, payrec, mode_code,coinsurance_code,class_cd,it_remarks) values</v>
      </c>
      <c r="G62" s="22" t="str">
        <f t="shared" si="2"/>
        <v>('21Jan250071','040000190999','45688',(select max(to_number(i.premium_rcv_detail_code))+1
from ins_premium_det i),'45688','45688','02', '11000003','00','Request by Mr. Omair Ali 22-Jan-2025 Premium');</v>
      </c>
      <c r="H62" s="23" t="str">
        <f t="shared" si="3"/>
        <v>insert into ins_premium_det (premium_rcv_code,assorted_code, rec_amount,premium_rcv_detail_code,remaining_amt, payrec, mode_code,coinsurance_code,class_cd,it_remarks) values('21Jan250071','040000190999','45688',(select max(to_number(i.premium_rcv_detail_code))+1
from ins_premium_det i),'45688','45688','02', '11000003','00','Request by Mr. Omair Ali 22-Jan-2025 Premium');</v>
      </c>
    </row>
    <row r="63" spans="1:8" ht="105" x14ac:dyDescent="0.25">
      <c r="A63" s="2" t="s">
        <v>62</v>
      </c>
      <c r="B63" s="19" t="str">
        <f>VLOOKUP(A63,policy!B:C,2,0)</f>
        <v>040000191000</v>
      </c>
      <c r="C63" s="9">
        <v>8720</v>
      </c>
      <c r="D63" s="20">
        <f t="shared" si="1"/>
        <v>8720</v>
      </c>
      <c r="E63" s="18" t="s">
        <v>206</v>
      </c>
      <c r="F63" s="21" t="str">
        <f t="shared" si="0"/>
        <v>insert into ins_premium_det (premium_rcv_code,assorted_code, rec_amount,premium_rcv_detail_code,remaining_amt, payrec, mode_code,coinsurance_code,class_cd,it_remarks) values</v>
      </c>
      <c r="G63" s="22" t="str">
        <f t="shared" si="2"/>
        <v>('21Jan250071','040000191000','8720',(select max(to_number(i.premium_rcv_detail_code))+1
from ins_premium_det i),'8720','8720','02', '11000003','00','Request by Mr. Omair Ali 22-Jan-2025 Premium');</v>
      </c>
      <c r="H63" s="23" t="str">
        <f t="shared" si="3"/>
        <v>insert into ins_premium_det (premium_rcv_code,assorted_code, rec_amount,premium_rcv_detail_code,remaining_amt, payrec, mode_code,coinsurance_code,class_cd,it_remarks) values('21Jan250071','040000191000','8720',(select max(to_number(i.premium_rcv_detail_code))+1
from ins_premium_det i),'8720','8720','02', '11000003','00','Request by Mr. Omair Ali 22-Jan-2025 Premium');</v>
      </c>
    </row>
    <row r="64" spans="1:8" ht="105" x14ac:dyDescent="0.25">
      <c r="A64" s="2" t="s">
        <v>63</v>
      </c>
      <c r="B64" s="19" t="str">
        <f>VLOOKUP(A64,policy!B:C,2,0)</f>
        <v>040000191072</v>
      </c>
      <c r="C64" s="9">
        <v>11580</v>
      </c>
      <c r="D64" s="20">
        <f t="shared" si="1"/>
        <v>11580</v>
      </c>
      <c r="E64" s="18" t="s">
        <v>206</v>
      </c>
      <c r="F64" s="21" t="str">
        <f t="shared" si="0"/>
        <v>insert into ins_premium_det (premium_rcv_code,assorted_code, rec_amount,premium_rcv_detail_code,remaining_amt, payrec, mode_code,coinsurance_code,class_cd,it_remarks) values</v>
      </c>
      <c r="G64" s="22" t="str">
        <f t="shared" si="2"/>
        <v>('21Jan250071','040000191072','11580',(select max(to_number(i.premium_rcv_detail_code))+1
from ins_premium_det i),'11580','11580','02', '11000003','00','Request by Mr. Omair Ali 22-Jan-2025 Premium');</v>
      </c>
      <c r="H64" s="23" t="str">
        <f t="shared" si="3"/>
        <v>insert into ins_premium_det (premium_rcv_code,assorted_code, rec_amount,premium_rcv_detail_code,remaining_amt, payrec, mode_code,coinsurance_code,class_cd,it_remarks) values('21Jan250071','040000191072','11580',(select max(to_number(i.premium_rcv_detail_code))+1
from ins_premium_det i),'11580','11580','02', '11000003','00','Request by Mr. Omair Ali 22-Jan-2025 Premium');</v>
      </c>
    </row>
    <row r="65" spans="1:8" ht="105" x14ac:dyDescent="0.25">
      <c r="A65" s="2" t="s">
        <v>64</v>
      </c>
      <c r="B65" s="19" t="str">
        <f>VLOOKUP(A65,policy!B:C,2,0)</f>
        <v>040000191074</v>
      </c>
      <c r="C65" s="9">
        <v>10197</v>
      </c>
      <c r="D65" s="20">
        <f t="shared" si="1"/>
        <v>10197</v>
      </c>
      <c r="E65" s="18" t="s">
        <v>206</v>
      </c>
      <c r="F65" s="21" t="str">
        <f t="shared" si="0"/>
        <v>insert into ins_premium_det (premium_rcv_code,assorted_code, rec_amount,premium_rcv_detail_code,remaining_amt, payrec, mode_code,coinsurance_code,class_cd,it_remarks) values</v>
      </c>
      <c r="G65" s="22" t="str">
        <f t="shared" si="2"/>
        <v>('21Jan250071','040000191074','10197',(select max(to_number(i.premium_rcv_detail_code))+1
from ins_premium_det i),'10197','10197','02', '11000003','00','Request by Mr. Omair Ali 22-Jan-2025 Premium');</v>
      </c>
      <c r="H65" s="23" t="str">
        <f t="shared" si="3"/>
        <v>insert into ins_premium_det (premium_rcv_code,assorted_code, rec_amount,premium_rcv_detail_code,remaining_amt, payrec, mode_code,coinsurance_code,class_cd,it_remarks) values('21Jan250071','040000191074','10197',(select max(to_number(i.premium_rcv_detail_code))+1
from ins_premium_det i),'10197','10197','02', '11000003','00','Request by Mr. Omair Ali 22-Jan-2025 Premium');</v>
      </c>
    </row>
    <row r="66" spans="1:8" ht="105" x14ac:dyDescent="0.25">
      <c r="A66" s="2" t="s">
        <v>65</v>
      </c>
      <c r="B66" s="19" t="str">
        <f>VLOOKUP(A66,policy!B:C,2,0)</f>
        <v>040000191075</v>
      </c>
      <c r="C66" s="9">
        <v>9835</v>
      </c>
      <c r="D66" s="20">
        <f t="shared" si="1"/>
        <v>9835</v>
      </c>
      <c r="E66" s="18" t="s">
        <v>206</v>
      </c>
      <c r="F66" s="21" t="str">
        <f t="shared" ref="F66:F95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22" t="str">
        <f t="shared" si="2"/>
        <v>('21Jan250071','040000191075','9835',(select max(to_number(i.premium_rcv_detail_code))+1
from ins_premium_det i),'9835','9835','02', '11000003','00','Request by Mr. Omair Ali 22-Jan-2025 Premium');</v>
      </c>
      <c r="H66" s="23" t="str">
        <f t="shared" si="3"/>
        <v>insert into ins_premium_det (premium_rcv_code,assorted_code, rec_amount,premium_rcv_detail_code,remaining_amt, payrec, mode_code,coinsurance_code,class_cd,it_remarks) values('21Jan250071','040000191075','9835',(select max(to_number(i.premium_rcv_detail_code))+1
from ins_premium_det i),'9835','9835','02', '11000003','00','Request by Mr. Omair Ali 22-Jan-2025 Premium');</v>
      </c>
    </row>
    <row r="67" spans="1:8" ht="105" x14ac:dyDescent="0.25">
      <c r="A67" s="2" t="s">
        <v>66</v>
      </c>
      <c r="B67" s="19" t="str">
        <f>VLOOKUP(A67,policy!B:C,2,0)</f>
        <v>040000191076</v>
      </c>
      <c r="C67" s="9">
        <v>9835</v>
      </c>
      <c r="D67" s="20">
        <f t="shared" ref="D67:D95" si="5">ROUND(C67,0)</f>
        <v>9835</v>
      </c>
      <c r="E67" s="18" t="s">
        <v>206</v>
      </c>
      <c r="F67" s="21" t="str">
        <f t="shared" si="4"/>
        <v>insert into ins_premium_det (premium_rcv_code,assorted_code, rec_amount,premium_rcv_detail_code,remaining_amt, payrec, mode_code,coinsurance_code,class_cd,it_remarks) values</v>
      </c>
      <c r="G67" s="22" t="str">
        <f t="shared" ref="G67:G95" si="6">"('"&amp;E67&amp;"','"&amp;B67&amp;"','"&amp;D67&amp;"',(select max(to_number(i.premium_rcv_detail_code))+1
from ins_premium_det i),'"&amp;D67&amp;"','"&amp;D67&amp;"','02', '11000003','00','Request by Mr. Omair Ali 22-Jan-2025 Premium');"</f>
        <v>('21Jan250071','040000191076','9835',(select max(to_number(i.premium_rcv_detail_code))+1
from ins_premium_det i),'9835','9835','02', '11000003','00','Request by Mr. Omair Ali 22-Jan-2025 Premium');</v>
      </c>
      <c r="H67" s="23" t="str">
        <f t="shared" ref="H67:H95" si="7">F67&amp;G67</f>
        <v>insert into ins_premium_det (premium_rcv_code,assorted_code, rec_amount,premium_rcv_detail_code,remaining_amt, payrec, mode_code,coinsurance_code,class_cd,it_remarks) values('21Jan250071','040000191076','9835',(select max(to_number(i.premium_rcv_detail_code))+1
from ins_premium_det i),'9835','9835','02', '11000003','00','Request by Mr. Omair Ali 22-Jan-2025 Premium');</v>
      </c>
    </row>
    <row r="68" spans="1:8" ht="105" x14ac:dyDescent="0.25">
      <c r="A68" s="2" t="s">
        <v>67</v>
      </c>
      <c r="B68" s="19" t="str">
        <f>VLOOKUP(A68,policy!B:C,2,0)</f>
        <v>040000191078</v>
      </c>
      <c r="C68" s="9">
        <v>9440</v>
      </c>
      <c r="D68" s="20">
        <f t="shared" si="5"/>
        <v>9440</v>
      </c>
      <c r="E68" s="18" t="s">
        <v>206</v>
      </c>
      <c r="F68" s="21" t="str">
        <f t="shared" si="4"/>
        <v>insert into ins_premium_det (premium_rcv_code,assorted_code, rec_amount,premium_rcv_detail_code,remaining_amt, payrec, mode_code,coinsurance_code,class_cd,it_remarks) values</v>
      </c>
      <c r="G68" s="22" t="str">
        <f t="shared" si="6"/>
        <v>('21Jan250071','040000191078','9440',(select max(to_number(i.premium_rcv_detail_code))+1
from ins_premium_det i),'9440','9440','02', '11000003','00','Request by Mr. Omair Ali 22-Jan-2025 Premium');</v>
      </c>
      <c r="H68" s="23" t="str">
        <f t="shared" si="7"/>
        <v>insert into ins_premium_det (premium_rcv_code,assorted_code, rec_amount,premium_rcv_detail_code,remaining_amt, payrec, mode_code,coinsurance_code,class_cd,it_remarks) values('21Jan250071','040000191078','9440',(select max(to_number(i.premium_rcv_detail_code))+1
from ins_premium_det i),'9440','9440','02', '11000003','00','Request by Mr. Omair Ali 22-Jan-2025 Premium');</v>
      </c>
    </row>
    <row r="69" spans="1:8" ht="105" x14ac:dyDescent="0.25">
      <c r="A69" s="2" t="s">
        <v>68</v>
      </c>
      <c r="B69" s="19" t="str">
        <f>VLOOKUP(A69,policy!B:C,2,0)</f>
        <v>040000191248</v>
      </c>
      <c r="C69" s="9">
        <v>4229</v>
      </c>
      <c r="D69" s="20">
        <f t="shared" si="5"/>
        <v>4229</v>
      </c>
      <c r="E69" s="18" t="s">
        <v>206</v>
      </c>
      <c r="F69" s="21" t="str">
        <f t="shared" si="4"/>
        <v>insert into ins_premium_det (premium_rcv_code,assorted_code, rec_amount,premium_rcv_detail_code,remaining_amt, payrec, mode_code,coinsurance_code,class_cd,it_remarks) values</v>
      </c>
      <c r="G69" s="22" t="str">
        <f t="shared" si="6"/>
        <v>('21Jan250071','040000191248','4229',(select max(to_number(i.premium_rcv_detail_code))+1
from ins_premium_det i),'4229','4229','02', '11000003','00','Request by Mr. Omair Ali 22-Jan-2025 Premium');</v>
      </c>
      <c r="H69" s="23" t="str">
        <f t="shared" si="7"/>
        <v>insert into ins_premium_det (premium_rcv_code,assorted_code, rec_amount,premium_rcv_detail_code,remaining_amt, payrec, mode_code,coinsurance_code,class_cd,it_remarks) values('21Jan250071','040000191248','4229',(select max(to_number(i.premium_rcv_detail_code))+1
from ins_premium_det i),'4229','4229','02', '11000003','00','Request by Mr. Omair Ali 22-Jan-2025 Premium');</v>
      </c>
    </row>
    <row r="70" spans="1:8" ht="105" x14ac:dyDescent="0.25">
      <c r="A70" s="2" t="s">
        <v>69</v>
      </c>
      <c r="B70" s="19" t="str">
        <f>VLOOKUP(A70,policy!B:C,2,0)</f>
        <v>040000191249</v>
      </c>
      <c r="C70" s="9">
        <v>4934</v>
      </c>
      <c r="D70" s="20">
        <f t="shared" si="5"/>
        <v>4934</v>
      </c>
      <c r="E70" s="18" t="s">
        <v>206</v>
      </c>
      <c r="F70" s="21" t="str">
        <f t="shared" si="4"/>
        <v>insert into ins_premium_det (premium_rcv_code,assorted_code, rec_amount,premium_rcv_detail_code,remaining_amt, payrec, mode_code,coinsurance_code,class_cd,it_remarks) values</v>
      </c>
      <c r="G70" s="22" t="str">
        <f t="shared" si="6"/>
        <v>('21Jan250071','040000191249','4934',(select max(to_number(i.premium_rcv_detail_code))+1
from ins_premium_det i),'4934','4934','02', '11000003','00','Request by Mr. Omair Ali 22-Jan-2025 Premium');</v>
      </c>
      <c r="H70" s="23" t="str">
        <f t="shared" si="7"/>
        <v>insert into ins_premium_det (premium_rcv_code,assorted_code, rec_amount,premium_rcv_detail_code,remaining_amt, payrec, mode_code,coinsurance_code,class_cd,it_remarks) values('21Jan250071','040000191249','4934',(select max(to_number(i.premium_rcv_detail_code))+1
from ins_premium_det i),'4934','4934','02', '11000003','00','Request by Mr. Omair Ali 22-Jan-2025 Premium');</v>
      </c>
    </row>
    <row r="71" spans="1:8" ht="105" x14ac:dyDescent="0.25">
      <c r="A71" s="2" t="s">
        <v>70</v>
      </c>
      <c r="B71" s="19" t="str">
        <f>VLOOKUP(A71,policy!B:C,2,0)</f>
        <v>040000191333</v>
      </c>
      <c r="C71" s="9">
        <v>28669</v>
      </c>
      <c r="D71" s="20">
        <f t="shared" si="5"/>
        <v>28669</v>
      </c>
      <c r="E71" s="18" t="s">
        <v>206</v>
      </c>
      <c r="F71" s="21" t="str">
        <f t="shared" si="4"/>
        <v>insert into ins_premium_det (premium_rcv_code,assorted_code, rec_amount,premium_rcv_detail_code,remaining_amt, payrec, mode_code,coinsurance_code,class_cd,it_remarks) values</v>
      </c>
      <c r="G71" s="22" t="str">
        <f t="shared" si="6"/>
        <v>('21Jan250071','040000191333','28669',(select max(to_number(i.premium_rcv_detail_code))+1
from ins_premium_det i),'28669','28669','02', '11000003','00','Request by Mr. Omair Ali 22-Jan-2025 Premium');</v>
      </c>
      <c r="H71" s="23" t="str">
        <f t="shared" si="7"/>
        <v>insert into ins_premium_det (premium_rcv_code,assorted_code, rec_amount,premium_rcv_detail_code,remaining_amt, payrec, mode_code,coinsurance_code,class_cd,it_remarks) values('21Jan250071','040000191333','28669',(select max(to_number(i.premium_rcv_detail_code))+1
from ins_premium_det i),'28669','28669','02', '11000003','00','Request by Mr. Omair Ali 22-Jan-2025 Premium');</v>
      </c>
    </row>
    <row r="72" spans="1:8" ht="105" x14ac:dyDescent="0.25">
      <c r="A72" s="2" t="s">
        <v>71</v>
      </c>
      <c r="B72" s="19" t="str">
        <f>VLOOKUP(A72,policy!B:C,2,0)</f>
        <v>040000191338</v>
      </c>
      <c r="C72" s="9">
        <v>43900</v>
      </c>
      <c r="D72" s="20">
        <f t="shared" si="5"/>
        <v>43900</v>
      </c>
      <c r="E72" s="18" t="s">
        <v>206</v>
      </c>
      <c r="F72" s="21" t="str">
        <f t="shared" si="4"/>
        <v>insert into ins_premium_det (premium_rcv_code,assorted_code, rec_amount,premium_rcv_detail_code,remaining_amt, payrec, mode_code,coinsurance_code,class_cd,it_remarks) values</v>
      </c>
      <c r="G72" s="22" t="str">
        <f t="shared" si="6"/>
        <v>('21Jan250071','040000191338','43900',(select max(to_number(i.premium_rcv_detail_code))+1
from ins_premium_det i),'43900','43900','02', '11000003','00','Request by Mr. Omair Ali 22-Jan-2025 Premium');</v>
      </c>
      <c r="H72" s="23" t="str">
        <f t="shared" si="7"/>
        <v>insert into ins_premium_det (premium_rcv_code,assorted_code, rec_amount,premium_rcv_detail_code,remaining_amt, payrec, mode_code,coinsurance_code,class_cd,it_remarks) values('21Jan250071','040000191338','43900',(select max(to_number(i.premium_rcv_detail_code))+1
from ins_premium_det i),'43900','43900','02', '11000003','00','Request by Mr. Omair Ali 22-Jan-2025 Premium');</v>
      </c>
    </row>
    <row r="73" spans="1:8" ht="105" x14ac:dyDescent="0.25">
      <c r="A73" s="2" t="s">
        <v>72</v>
      </c>
      <c r="B73" s="19" t="str">
        <f>VLOOKUP(A73,policy!B:C,2,0)</f>
        <v>040000191630</v>
      </c>
      <c r="C73" s="9">
        <v>13817</v>
      </c>
      <c r="D73" s="20">
        <f t="shared" si="5"/>
        <v>13817</v>
      </c>
      <c r="E73" s="18" t="s">
        <v>206</v>
      </c>
      <c r="F73" s="21" t="str">
        <f t="shared" si="4"/>
        <v>insert into ins_premium_det (premium_rcv_code,assorted_code, rec_amount,premium_rcv_detail_code,remaining_amt, payrec, mode_code,coinsurance_code,class_cd,it_remarks) values</v>
      </c>
      <c r="G73" s="22" t="str">
        <f t="shared" si="6"/>
        <v>('21Jan250071','040000191630','13817',(select max(to_number(i.premium_rcv_detail_code))+1
from ins_premium_det i),'13817','13817','02', '11000003','00','Request by Mr. Omair Ali 22-Jan-2025 Premium');</v>
      </c>
      <c r="H73" s="23" t="str">
        <f t="shared" si="7"/>
        <v>insert into ins_premium_det (premium_rcv_code,assorted_code, rec_amount,premium_rcv_detail_code,remaining_amt, payrec, mode_code,coinsurance_code,class_cd,it_remarks) values('21Jan250071','040000191630','13817',(select max(to_number(i.premium_rcv_detail_code))+1
from ins_premium_det i),'13817','13817','02', '11000003','00','Request by Mr. Omair Ali 22-Jan-2025 Premium');</v>
      </c>
    </row>
    <row r="74" spans="1:8" ht="105" x14ac:dyDescent="0.25">
      <c r="A74" s="2" t="s">
        <v>73</v>
      </c>
      <c r="B74" s="19" t="str">
        <f>VLOOKUP(A74,policy!B:C,2,0)</f>
        <v>040000191631</v>
      </c>
      <c r="C74" s="9">
        <v>9802</v>
      </c>
      <c r="D74" s="20">
        <f t="shared" si="5"/>
        <v>9802</v>
      </c>
      <c r="E74" s="18" t="s">
        <v>206</v>
      </c>
      <c r="F74" s="21" t="str">
        <f t="shared" si="4"/>
        <v>insert into ins_premium_det (premium_rcv_code,assorted_code, rec_amount,premium_rcv_detail_code,remaining_amt, payrec, mode_code,coinsurance_code,class_cd,it_remarks) values</v>
      </c>
      <c r="G74" s="22" t="str">
        <f t="shared" si="6"/>
        <v>('21Jan250071','040000191631','9802',(select max(to_number(i.premium_rcv_detail_code))+1
from ins_premium_det i),'9802','9802','02', '11000003','00','Request by Mr. Omair Ali 22-Jan-2025 Premium');</v>
      </c>
      <c r="H74" s="23" t="str">
        <f t="shared" si="7"/>
        <v>insert into ins_premium_det (premium_rcv_code,assorted_code, rec_amount,premium_rcv_detail_code,remaining_amt, payrec, mode_code,coinsurance_code,class_cd,it_remarks) values('21Jan250071','040000191631','9802',(select max(to_number(i.premium_rcv_detail_code))+1
from ins_premium_det i),'9802','9802','02', '11000003','00','Request by Mr. Omair Ali 22-Jan-2025 Premium');</v>
      </c>
    </row>
    <row r="75" spans="1:8" ht="105" x14ac:dyDescent="0.25">
      <c r="A75" s="2" t="s">
        <v>74</v>
      </c>
      <c r="B75" s="19" t="str">
        <f>VLOOKUP(A75,policy!B:C,2,0)</f>
        <v>040000191768</v>
      </c>
      <c r="C75" s="9">
        <v>41965</v>
      </c>
      <c r="D75" s="20">
        <f t="shared" si="5"/>
        <v>41965</v>
      </c>
      <c r="E75" s="18" t="s">
        <v>206</v>
      </c>
      <c r="F75" s="21" t="str">
        <f t="shared" si="4"/>
        <v>insert into ins_premium_det (premium_rcv_code,assorted_code, rec_amount,premium_rcv_detail_code,remaining_amt, payrec, mode_code,coinsurance_code,class_cd,it_remarks) values</v>
      </c>
      <c r="G75" s="22" t="str">
        <f t="shared" si="6"/>
        <v>('21Jan250071','040000191768','41965',(select max(to_number(i.premium_rcv_detail_code))+1
from ins_premium_det i),'41965','41965','02', '11000003','00','Request by Mr. Omair Ali 22-Jan-2025 Premium');</v>
      </c>
      <c r="H75" s="23" t="str">
        <f t="shared" si="7"/>
        <v>insert into ins_premium_det (premium_rcv_code,assorted_code, rec_amount,premium_rcv_detail_code,remaining_amt, payrec, mode_code,coinsurance_code,class_cd,it_remarks) values('21Jan250071','040000191768','41965',(select max(to_number(i.premium_rcv_detail_code))+1
from ins_premium_det i),'41965','41965','02', '11000003','00','Request by Mr. Omair Ali 22-Jan-2025 Premium');</v>
      </c>
    </row>
    <row r="76" spans="1:8" ht="105" x14ac:dyDescent="0.25">
      <c r="A76" s="2" t="s">
        <v>75</v>
      </c>
      <c r="B76" s="19" t="str">
        <f>VLOOKUP(A76,policy!B:C,2,0)</f>
        <v>040000191769</v>
      </c>
      <c r="C76" s="9">
        <v>11278</v>
      </c>
      <c r="D76" s="20">
        <f t="shared" si="5"/>
        <v>11278</v>
      </c>
      <c r="E76" s="18" t="s">
        <v>206</v>
      </c>
      <c r="F76" s="21" t="str">
        <f t="shared" si="4"/>
        <v>insert into ins_premium_det (premium_rcv_code,assorted_code, rec_amount,premium_rcv_detail_code,remaining_amt, payrec, mode_code,coinsurance_code,class_cd,it_remarks) values</v>
      </c>
      <c r="G76" s="22" t="str">
        <f t="shared" si="6"/>
        <v>('21Jan250071','040000191769','11278',(select max(to_number(i.premium_rcv_detail_code))+1
from ins_premium_det i),'11278','11278','02', '11000003','00','Request by Mr. Omair Ali 22-Jan-2025 Premium');</v>
      </c>
      <c r="H76" s="23" t="str">
        <f t="shared" si="7"/>
        <v>insert into ins_premium_det (premium_rcv_code,assorted_code, rec_amount,premium_rcv_detail_code,remaining_amt, payrec, mode_code,coinsurance_code,class_cd,it_remarks) values('21Jan250071','040000191769','11278',(select max(to_number(i.premium_rcv_detail_code))+1
from ins_premium_det i),'11278','11278','02', '11000003','00','Request by Mr. Omair Ali 22-Jan-2025 Premium');</v>
      </c>
    </row>
    <row r="77" spans="1:8" ht="105" x14ac:dyDescent="0.25">
      <c r="A77" s="2" t="s">
        <v>76</v>
      </c>
      <c r="B77" s="19" t="str">
        <f>VLOOKUP(A77,policy!B:C,2,0)</f>
        <v>040000191792</v>
      </c>
      <c r="C77" s="9">
        <v>41832</v>
      </c>
      <c r="D77" s="20">
        <f t="shared" si="5"/>
        <v>41832</v>
      </c>
      <c r="E77" s="18" t="s">
        <v>206</v>
      </c>
      <c r="F77" s="21" t="str">
        <f t="shared" si="4"/>
        <v>insert into ins_premium_det (premium_rcv_code,assorted_code, rec_amount,premium_rcv_detail_code,remaining_amt, payrec, mode_code,coinsurance_code,class_cd,it_remarks) values</v>
      </c>
      <c r="G77" s="22" t="str">
        <f t="shared" si="6"/>
        <v>('21Jan250071','040000191792','41832',(select max(to_number(i.premium_rcv_detail_code))+1
from ins_premium_det i),'41832','41832','02', '11000003','00','Request by Mr. Omair Ali 22-Jan-2025 Premium');</v>
      </c>
      <c r="H77" s="23" t="str">
        <f t="shared" si="7"/>
        <v>insert into ins_premium_det (premium_rcv_code,assorted_code, rec_amount,premium_rcv_detail_code,remaining_amt, payrec, mode_code,coinsurance_code,class_cd,it_remarks) values('21Jan250071','040000191792','41832',(select max(to_number(i.premium_rcv_detail_code))+1
from ins_premium_det i),'41832','41832','02', '11000003','00','Request by Mr. Omair Ali 22-Jan-2025 Premium');</v>
      </c>
    </row>
    <row r="78" spans="1:8" ht="105" x14ac:dyDescent="0.25">
      <c r="A78" s="2" t="s">
        <v>77</v>
      </c>
      <c r="B78" s="19" t="str">
        <f>VLOOKUP(A78,policy!B:C,2,0)</f>
        <v>040000191793</v>
      </c>
      <c r="C78" s="9">
        <v>35545</v>
      </c>
      <c r="D78" s="20">
        <f t="shared" si="5"/>
        <v>35545</v>
      </c>
      <c r="E78" s="18" t="s">
        <v>206</v>
      </c>
      <c r="F78" s="21" t="str">
        <f t="shared" si="4"/>
        <v>insert into ins_premium_det (premium_rcv_code,assorted_code, rec_amount,premium_rcv_detail_code,remaining_amt, payrec, mode_code,coinsurance_code,class_cd,it_remarks) values</v>
      </c>
      <c r="G78" s="22" t="str">
        <f t="shared" si="6"/>
        <v>('21Jan250071','040000191793','35545',(select max(to_number(i.premium_rcv_detail_code))+1
from ins_premium_det i),'35545','35545','02', '11000003','00','Request by Mr. Omair Ali 22-Jan-2025 Premium');</v>
      </c>
      <c r="H78" s="23" t="str">
        <f t="shared" si="7"/>
        <v>insert into ins_premium_det (premium_rcv_code,assorted_code, rec_amount,premium_rcv_detail_code,remaining_amt, payrec, mode_code,coinsurance_code,class_cd,it_remarks) values('21Jan250071','040000191793','35545',(select max(to_number(i.premium_rcv_detail_code))+1
from ins_premium_det i),'35545','35545','02', '11000003','00','Request by Mr. Omair Ali 22-Jan-2025 Premium');</v>
      </c>
    </row>
    <row r="79" spans="1:8" ht="105" x14ac:dyDescent="0.25">
      <c r="A79" s="2" t="s">
        <v>78</v>
      </c>
      <c r="B79" s="19" t="str">
        <f>VLOOKUP(A79,policy!B:C,2,0)</f>
        <v>040000191885</v>
      </c>
      <c r="C79" s="9">
        <v>35849</v>
      </c>
      <c r="D79" s="20">
        <f t="shared" si="5"/>
        <v>35849</v>
      </c>
      <c r="E79" s="18" t="s">
        <v>206</v>
      </c>
      <c r="F79" s="21" t="str">
        <f t="shared" si="4"/>
        <v>insert into ins_premium_det (premium_rcv_code,assorted_code, rec_amount,premium_rcv_detail_code,remaining_amt, payrec, mode_code,coinsurance_code,class_cd,it_remarks) values</v>
      </c>
      <c r="G79" s="22" t="str">
        <f t="shared" si="6"/>
        <v>('21Jan250071','040000191885','35849',(select max(to_number(i.premium_rcv_detail_code))+1
from ins_premium_det i),'35849','35849','02', '11000003','00','Request by Mr. Omair Ali 22-Jan-2025 Premium');</v>
      </c>
      <c r="H79" s="23" t="str">
        <f t="shared" si="7"/>
        <v>insert into ins_premium_det (premium_rcv_code,assorted_code, rec_amount,premium_rcv_detail_code,remaining_amt, payrec, mode_code,coinsurance_code,class_cd,it_remarks) values('21Jan250071','040000191885','35849',(select max(to_number(i.premium_rcv_detail_code))+1
from ins_premium_det i),'35849','35849','02', '11000003','00','Request by Mr. Omair Ali 22-Jan-2025 Premium');</v>
      </c>
    </row>
    <row r="80" spans="1:8" ht="105" x14ac:dyDescent="0.25">
      <c r="A80" s="2" t="s">
        <v>79</v>
      </c>
      <c r="B80" s="19" t="str">
        <f>VLOOKUP(A80,policy!B:C,2,0)</f>
        <v>040000191956</v>
      </c>
      <c r="C80" s="9">
        <v>14380</v>
      </c>
      <c r="D80" s="20">
        <f t="shared" si="5"/>
        <v>14380</v>
      </c>
      <c r="E80" s="18" t="s">
        <v>206</v>
      </c>
      <c r="F80" s="21" t="str">
        <f t="shared" si="4"/>
        <v>insert into ins_premium_det (premium_rcv_code,assorted_code, rec_amount,premium_rcv_detail_code,remaining_amt, payrec, mode_code,coinsurance_code,class_cd,it_remarks) values</v>
      </c>
      <c r="G80" s="22" t="str">
        <f t="shared" si="6"/>
        <v>('21Jan250071','040000191956','14380',(select max(to_number(i.premium_rcv_detail_code))+1
from ins_premium_det i),'14380','14380','02', '11000003','00','Request by Mr. Omair Ali 22-Jan-2025 Premium');</v>
      </c>
      <c r="H80" s="23" t="str">
        <f t="shared" si="7"/>
        <v>insert into ins_premium_det (premium_rcv_code,assorted_code, rec_amount,premium_rcv_detail_code,remaining_amt, payrec, mode_code,coinsurance_code,class_cd,it_remarks) values('21Jan250071','040000191956','14380',(select max(to_number(i.premium_rcv_detail_code))+1
from ins_premium_det i),'14380','14380','02', '11000003','00','Request by Mr. Omair Ali 22-Jan-2025 Premium');</v>
      </c>
    </row>
    <row r="81" spans="1:8" ht="105" x14ac:dyDescent="0.25">
      <c r="A81" s="2" t="s">
        <v>80</v>
      </c>
      <c r="B81" s="19" t="str">
        <f>VLOOKUP(A81,policy!B:C,2,0)</f>
        <v>040000191958</v>
      </c>
      <c r="C81" s="9">
        <v>12030</v>
      </c>
      <c r="D81" s="20">
        <f t="shared" si="5"/>
        <v>12030</v>
      </c>
      <c r="E81" s="18" t="s">
        <v>206</v>
      </c>
      <c r="F81" s="21" t="str">
        <f t="shared" si="4"/>
        <v>insert into ins_premium_det (premium_rcv_code,assorted_code, rec_amount,premium_rcv_detail_code,remaining_amt, payrec, mode_code,coinsurance_code,class_cd,it_remarks) values</v>
      </c>
      <c r="G81" s="22" t="str">
        <f t="shared" si="6"/>
        <v>('21Jan250071','040000191958','12030',(select max(to_number(i.premium_rcv_detail_code))+1
from ins_premium_det i),'12030','12030','02', '11000003','00','Request by Mr. Omair Ali 22-Jan-2025 Premium');</v>
      </c>
      <c r="H81" s="23" t="str">
        <f t="shared" si="7"/>
        <v>insert into ins_premium_det (premium_rcv_code,assorted_code, rec_amount,premium_rcv_detail_code,remaining_amt, payrec, mode_code,coinsurance_code,class_cd,it_remarks) values('21Jan250071','040000191958','12030',(select max(to_number(i.premium_rcv_detail_code))+1
from ins_premium_det i),'12030','12030','02', '11000003','00','Request by Mr. Omair Ali 22-Jan-2025 Premium');</v>
      </c>
    </row>
    <row r="82" spans="1:8" ht="105" x14ac:dyDescent="0.25">
      <c r="A82" s="2" t="s">
        <v>81</v>
      </c>
      <c r="B82" s="19" t="str">
        <f>VLOOKUP(A82,policy!B:C,2,0)</f>
        <v>040000192162</v>
      </c>
      <c r="C82" s="9">
        <v>21633</v>
      </c>
      <c r="D82" s="20">
        <f t="shared" si="5"/>
        <v>21633</v>
      </c>
      <c r="E82" s="18" t="s">
        <v>206</v>
      </c>
      <c r="F82" s="21" t="str">
        <f t="shared" si="4"/>
        <v>insert into ins_premium_det (premium_rcv_code,assorted_code, rec_amount,premium_rcv_detail_code,remaining_amt, payrec, mode_code,coinsurance_code,class_cd,it_remarks) values</v>
      </c>
      <c r="G82" s="22" t="str">
        <f t="shared" si="6"/>
        <v>('21Jan250071','040000192162','21633',(select max(to_number(i.premium_rcv_detail_code))+1
from ins_premium_det i),'21633','21633','02', '11000003','00','Request by Mr. Omair Ali 22-Jan-2025 Premium');</v>
      </c>
      <c r="H82" s="23" t="str">
        <f t="shared" si="7"/>
        <v>insert into ins_premium_det (premium_rcv_code,assorted_code, rec_amount,premium_rcv_detail_code,remaining_amt, payrec, mode_code,coinsurance_code,class_cd,it_remarks) values('21Jan250071','040000192162','21633',(select max(to_number(i.premium_rcv_detail_code))+1
from ins_premium_det i),'21633','21633','02', '11000003','00','Request by Mr. Omair Ali 22-Jan-2025 Premium');</v>
      </c>
    </row>
    <row r="83" spans="1:8" ht="105" x14ac:dyDescent="0.25">
      <c r="A83" s="2" t="s">
        <v>82</v>
      </c>
      <c r="B83" s="19" t="str">
        <f>VLOOKUP(A83,policy!B:C,2,0)</f>
        <v>040000192190</v>
      </c>
      <c r="C83" s="9">
        <v>8646</v>
      </c>
      <c r="D83" s="20">
        <f t="shared" si="5"/>
        <v>8646</v>
      </c>
      <c r="E83" s="18" t="s">
        <v>206</v>
      </c>
      <c r="F83" s="21" t="str">
        <f t="shared" si="4"/>
        <v>insert into ins_premium_det (premium_rcv_code,assorted_code, rec_amount,premium_rcv_detail_code,remaining_amt, payrec, mode_code,coinsurance_code,class_cd,it_remarks) values</v>
      </c>
      <c r="G83" s="22" t="str">
        <f t="shared" si="6"/>
        <v>('21Jan250071','040000192190','8646',(select max(to_number(i.premium_rcv_detail_code))+1
from ins_premium_det i),'8646','8646','02', '11000003','00','Request by Mr. Omair Ali 22-Jan-2025 Premium');</v>
      </c>
      <c r="H83" s="23" t="str">
        <f t="shared" si="7"/>
        <v>insert into ins_premium_det (premium_rcv_code,assorted_code, rec_amount,premium_rcv_detail_code,remaining_amt, payrec, mode_code,coinsurance_code,class_cd,it_remarks) values('21Jan250071','040000192190','8646',(select max(to_number(i.premium_rcv_detail_code))+1
from ins_premium_det i),'8646','8646','02', '11000003','00','Request by Mr. Omair Ali 22-Jan-2025 Premium');</v>
      </c>
    </row>
    <row r="84" spans="1:8" ht="105" x14ac:dyDescent="0.25">
      <c r="A84" s="2" t="s">
        <v>83</v>
      </c>
      <c r="B84" s="19" t="str">
        <f>VLOOKUP(A84,policy!B:C,2,0)</f>
        <v>040000192536</v>
      </c>
      <c r="C84" s="9">
        <v>41633</v>
      </c>
      <c r="D84" s="20">
        <f t="shared" si="5"/>
        <v>41633</v>
      </c>
      <c r="E84" s="18" t="s">
        <v>206</v>
      </c>
      <c r="F84" s="21" t="str">
        <f t="shared" si="4"/>
        <v>insert into ins_premium_det (premium_rcv_code,assorted_code, rec_amount,premium_rcv_detail_code,remaining_amt, payrec, mode_code,coinsurance_code,class_cd,it_remarks) values</v>
      </c>
      <c r="G84" s="22" t="str">
        <f t="shared" si="6"/>
        <v>('21Jan250071','040000192536','41633',(select max(to_number(i.premium_rcv_detail_code))+1
from ins_premium_det i),'41633','41633','02', '11000003','00','Request by Mr. Omair Ali 22-Jan-2025 Premium');</v>
      </c>
      <c r="H84" s="23" t="str">
        <f t="shared" si="7"/>
        <v>insert into ins_premium_det (premium_rcv_code,assorted_code, rec_amount,premium_rcv_detail_code,remaining_amt, payrec, mode_code,coinsurance_code,class_cd,it_remarks) values('21Jan250071','040000192536','41633',(select max(to_number(i.premium_rcv_detail_code))+1
from ins_premium_det i),'41633','41633','02', '11000003','00','Request by Mr. Omair Ali 22-Jan-2025 Premium');</v>
      </c>
    </row>
    <row r="85" spans="1:8" ht="105" x14ac:dyDescent="0.25">
      <c r="A85" s="2" t="s">
        <v>84</v>
      </c>
      <c r="B85" s="19" t="str">
        <f>VLOOKUP(A85,policy!B:C,2,0)</f>
        <v>040000193090</v>
      </c>
      <c r="C85" s="9">
        <v>5483</v>
      </c>
      <c r="D85" s="20">
        <f t="shared" si="5"/>
        <v>5483</v>
      </c>
      <c r="E85" s="18" t="s">
        <v>206</v>
      </c>
      <c r="F85" s="21" t="str">
        <f t="shared" si="4"/>
        <v>insert into ins_premium_det (premium_rcv_code,assorted_code, rec_amount,premium_rcv_detail_code,remaining_amt, payrec, mode_code,coinsurance_code,class_cd,it_remarks) values</v>
      </c>
      <c r="G85" s="22" t="str">
        <f t="shared" si="6"/>
        <v>('21Jan250071','040000193090','5483',(select max(to_number(i.premium_rcv_detail_code))+1
from ins_premium_det i),'5483','5483','02', '11000003','00','Request by Mr. Omair Ali 22-Jan-2025 Premium');</v>
      </c>
      <c r="H85" s="23" t="str">
        <f t="shared" si="7"/>
        <v>insert into ins_premium_det (premium_rcv_code,assorted_code, rec_amount,premium_rcv_detail_code,remaining_amt, payrec, mode_code,coinsurance_code,class_cd,it_remarks) values('21Jan250071','040000193090','5483',(select max(to_number(i.premium_rcv_detail_code))+1
from ins_premium_det i),'5483','5483','02', '11000003','00','Request by Mr. Omair Ali 22-Jan-2025 Premium');</v>
      </c>
    </row>
    <row r="86" spans="1:8" ht="105" x14ac:dyDescent="0.25">
      <c r="A86" s="2" t="s">
        <v>85</v>
      </c>
      <c r="B86" s="19" t="str">
        <f>VLOOKUP(A86,policy!B:C,2,0)</f>
        <v>040000193091</v>
      </c>
      <c r="C86" s="9">
        <v>18000</v>
      </c>
      <c r="D86" s="20">
        <f t="shared" si="5"/>
        <v>18000</v>
      </c>
      <c r="E86" s="18" t="s">
        <v>206</v>
      </c>
      <c r="F86" s="21" t="str">
        <f t="shared" si="4"/>
        <v>insert into ins_premium_det (premium_rcv_code,assorted_code, rec_amount,premium_rcv_detail_code,remaining_amt, payrec, mode_code,coinsurance_code,class_cd,it_remarks) values</v>
      </c>
      <c r="G86" s="22" t="str">
        <f t="shared" si="6"/>
        <v>('21Jan250071','040000193091','18000',(select max(to_number(i.premium_rcv_detail_code))+1
from ins_premium_det i),'18000','18000','02', '11000003','00','Request by Mr. Omair Ali 22-Jan-2025 Premium');</v>
      </c>
      <c r="H86" s="23" t="str">
        <f t="shared" si="7"/>
        <v>insert into ins_premium_det (premium_rcv_code,assorted_code, rec_amount,premium_rcv_detail_code,remaining_amt, payrec, mode_code,coinsurance_code,class_cd,it_remarks) values('21Jan250071','040000193091','18000',(select max(to_number(i.premium_rcv_detail_code))+1
from ins_premium_det i),'18000','18000','02', '11000003','00','Request by Mr. Omair Ali 22-Jan-2025 Premium');</v>
      </c>
    </row>
    <row r="87" spans="1:8" ht="105" x14ac:dyDescent="0.25">
      <c r="A87" s="2" t="s">
        <v>86</v>
      </c>
      <c r="B87" s="19" t="str">
        <f>VLOOKUP(A87,policy!B:C,2,0)</f>
        <v>040000193141</v>
      </c>
      <c r="C87" s="9">
        <v>15811</v>
      </c>
      <c r="D87" s="20">
        <f t="shared" si="5"/>
        <v>15811</v>
      </c>
      <c r="E87" s="18" t="s">
        <v>206</v>
      </c>
      <c r="F87" s="21" t="str">
        <f t="shared" si="4"/>
        <v>insert into ins_premium_det (premium_rcv_code,assorted_code, rec_amount,premium_rcv_detail_code,remaining_amt, payrec, mode_code,coinsurance_code,class_cd,it_remarks) values</v>
      </c>
      <c r="G87" s="22" t="str">
        <f t="shared" si="6"/>
        <v>('21Jan250071','040000193141','15811',(select max(to_number(i.premium_rcv_detail_code))+1
from ins_premium_det i),'15811','15811','02', '11000003','00','Request by Mr. Omair Ali 22-Jan-2025 Premium');</v>
      </c>
      <c r="H87" s="23" t="str">
        <f t="shared" si="7"/>
        <v>insert into ins_premium_det (premium_rcv_code,assorted_code, rec_amount,premium_rcv_detail_code,remaining_amt, payrec, mode_code,coinsurance_code,class_cd,it_remarks) values('21Jan250071','040000193141','15811',(select max(to_number(i.premium_rcv_detail_code))+1
from ins_premium_det i),'15811','15811','02', '11000003','00','Request by Mr. Omair Ali 22-Jan-2025 Premium');</v>
      </c>
    </row>
    <row r="88" spans="1:8" ht="105" x14ac:dyDescent="0.25">
      <c r="A88" s="2" t="s">
        <v>87</v>
      </c>
      <c r="B88" s="19" t="str">
        <f>VLOOKUP(A88,policy!B:C,2,0)</f>
        <v>040000193159</v>
      </c>
      <c r="C88" s="9">
        <v>19740</v>
      </c>
      <c r="D88" s="20">
        <f t="shared" si="5"/>
        <v>19740</v>
      </c>
      <c r="E88" s="18" t="s">
        <v>206</v>
      </c>
      <c r="F88" s="21" t="str">
        <f t="shared" si="4"/>
        <v>insert into ins_premium_det (premium_rcv_code,assorted_code, rec_amount,premium_rcv_detail_code,remaining_amt, payrec, mode_code,coinsurance_code,class_cd,it_remarks) values</v>
      </c>
      <c r="G88" s="22" t="str">
        <f t="shared" si="6"/>
        <v>('21Jan250071','040000193159','19740',(select max(to_number(i.premium_rcv_detail_code))+1
from ins_premium_det i),'19740','19740','02', '11000003','00','Request by Mr. Omair Ali 22-Jan-2025 Premium');</v>
      </c>
      <c r="H88" s="23" t="str">
        <f t="shared" si="7"/>
        <v>insert into ins_premium_det (premium_rcv_code,assorted_code, rec_amount,premium_rcv_detail_code,remaining_amt, payrec, mode_code,coinsurance_code,class_cd,it_remarks) values('21Jan250071','040000193159','19740',(select max(to_number(i.premium_rcv_detail_code))+1
from ins_premium_det i),'19740','19740','02', '11000003','00','Request by Mr. Omair Ali 22-Jan-2025 Premium');</v>
      </c>
    </row>
    <row r="89" spans="1:8" ht="105" x14ac:dyDescent="0.25">
      <c r="A89" s="2" t="s">
        <v>88</v>
      </c>
      <c r="B89" s="19" t="str">
        <f>VLOOKUP(A89,policy!B:C,2,0)</f>
        <v>040000193311</v>
      </c>
      <c r="C89" s="9">
        <v>30250</v>
      </c>
      <c r="D89" s="20">
        <f t="shared" si="5"/>
        <v>30250</v>
      </c>
      <c r="E89" s="18" t="s">
        <v>206</v>
      </c>
      <c r="F89" s="21" t="str">
        <f t="shared" si="4"/>
        <v>insert into ins_premium_det (premium_rcv_code,assorted_code, rec_amount,premium_rcv_detail_code,remaining_amt, payrec, mode_code,coinsurance_code,class_cd,it_remarks) values</v>
      </c>
      <c r="G89" s="22" t="str">
        <f t="shared" si="6"/>
        <v>('21Jan250071','040000193311','30250',(select max(to_number(i.premium_rcv_detail_code))+1
from ins_premium_det i),'30250','30250','02', '11000003','00','Request by Mr. Omair Ali 22-Jan-2025 Premium');</v>
      </c>
      <c r="H89" s="23" t="str">
        <f t="shared" si="7"/>
        <v>insert into ins_premium_det (premium_rcv_code,assorted_code, rec_amount,premium_rcv_detail_code,remaining_amt, payrec, mode_code,coinsurance_code,class_cd,it_remarks) values('21Jan250071','040000193311','30250',(select max(to_number(i.premium_rcv_detail_code))+1
from ins_premium_det i),'30250','30250','02', '11000003','00','Request by Mr. Omair Ali 22-Jan-2025 Premium');</v>
      </c>
    </row>
    <row r="90" spans="1:8" ht="105" x14ac:dyDescent="0.25">
      <c r="A90" s="2" t="s">
        <v>89</v>
      </c>
      <c r="B90" s="19" t="str">
        <f>VLOOKUP(A90,policy!B:C,2,0)</f>
        <v>040000193556</v>
      </c>
      <c r="C90" s="9">
        <v>9539</v>
      </c>
      <c r="D90" s="20">
        <f t="shared" si="5"/>
        <v>9539</v>
      </c>
      <c r="E90" s="18" t="s">
        <v>206</v>
      </c>
      <c r="F90" s="21" t="str">
        <f t="shared" si="4"/>
        <v>insert into ins_premium_det (premium_rcv_code,assorted_code, rec_amount,premium_rcv_detail_code,remaining_amt, payrec, mode_code,coinsurance_code,class_cd,it_remarks) values</v>
      </c>
      <c r="G90" s="22" t="str">
        <f t="shared" si="6"/>
        <v>('21Jan250071','040000193556','9539',(select max(to_number(i.premium_rcv_detail_code))+1
from ins_premium_det i),'9539','9539','02', '11000003','00','Request by Mr. Omair Ali 22-Jan-2025 Premium');</v>
      </c>
      <c r="H90" s="23" t="str">
        <f t="shared" si="7"/>
        <v>insert into ins_premium_det (premium_rcv_code,assorted_code, rec_amount,premium_rcv_detail_code,remaining_amt, payrec, mode_code,coinsurance_code,class_cd,it_remarks) values('21Jan250071','040000193556','9539',(select max(to_number(i.premium_rcv_detail_code))+1
from ins_premium_det i),'9539','9539','02', '11000003','00','Request by Mr. Omair Ali 22-Jan-2025 Premium');</v>
      </c>
    </row>
    <row r="91" spans="1:8" ht="105" x14ac:dyDescent="0.25">
      <c r="A91" s="2" t="s">
        <v>90</v>
      </c>
      <c r="B91" s="19" t="str">
        <f>VLOOKUP(A91,policy!B:C,2,0)</f>
        <v>040000193558</v>
      </c>
      <c r="C91" s="9">
        <v>9539</v>
      </c>
      <c r="D91" s="20">
        <f t="shared" si="5"/>
        <v>9539</v>
      </c>
      <c r="E91" s="18" t="s">
        <v>206</v>
      </c>
      <c r="F91" s="21" t="str">
        <f t="shared" si="4"/>
        <v>insert into ins_premium_det (premium_rcv_code,assorted_code, rec_amount,premium_rcv_detail_code,remaining_amt, payrec, mode_code,coinsurance_code,class_cd,it_remarks) values</v>
      </c>
      <c r="G91" s="22" t="str">
        <f t="shared" si="6"/>
        <v>('21Jan250071','040000193558','9539',(select max(to_number(i.premium_rcv_detail_code))+1
from ins_premium_det i),'9539','9539','02', '11000003','00','Request by Mr. Omair Ali 22-Jan-2025 Premium');</v>
      </c>
      <c r="H91" s="23" t="str">
        <f t="shared" si="7"/>
        <v>insert into ins_premium_det (premium_rcv_code,assorted_code, rec_amount,premium_rcv_detail_code,remaining_amt, payrec, mode_code,coinsurance_code,class_cd,it_remarks) values('21Jan250071','040000193558','9539',(select max(to_number(i.premium_rcv_detail_code))+1
from ins_premium_det i),'9539','9539','02', '11000003','00','Request by Mr. Omair Ali 22-Jan-2025 Premium');</v>
      </c>
    </row>
    <row r="92" spans="1:8" ht="105" x14ac:dyDescent="0.25">
      <c r="A92" s="2" t="s">
        <v>91</v>
      </c>
      <c r="B92" s="19" t="str">
        <f>VLOOKUP(A92,policy!B:C,2,0)</f>
        <v>040000193567</v>
      </c>
      <c r="C92" s="9">
        <v>10519</v>
      </c>
      <c r="D92" s="20">
        <f t="shared" si="5"/>
        <v>10519</v>
      </c>
      <c r="E92" s="18" t="s">
        <v>206</v>
      </c>
      <c r="F92" s="21" t="str">
        <f t="shared" si="4"/>
        <v>insert into ins_premium_det (premium_rcv_code,assorted_code, rec_amount,premium_rcv_detail_code,remaining_amt, payrec, mode_code,coinsurance_code,class_cd,it_remarks) values</v>
      </c>
      <c r="G92" s="22" t="str">
        <f t="shared" si="6"/>
        <v>('21Jan250071','040000193567','10519',(select max(to_number(i.premium_rcv_detail_code))+1
from ins_premium_det i),'10519','10519','02', '11000003','00','Request by Mr. Omair Ali 22-Jan-2025 Premium');</v>
      </c>
      <c r="H92" s="23" t="str">
        <f t="shared" si="7"/>
        <v>insert into ins_premium_det (premium_rcv_code,assorted_code, rec_amount,premium_rcv_detail_code,remaining_amt, payrec, mode_code,coinsurance_code,class_cd,it_remarks) values('21Jan250071','040000193567','10519',(select max(to_number(i.premium_rcv_detail_code))+1
from ins_premium_det i),'10519','10519','02', '11000003','00','Request by Mr. Omair Ali 22-Jan-2025 Premium');</v>
      </c>
    </row>
    <row r="93" spans="1:8" ht="105" x14ac:dyDescent="0.25">
      <c r="A93" s="2" t="s">
        <v>92</v>
      </c>
      <c r="B93" s="19" t="str">
        <f>VLOOKUP(A93,policy!B:C,2,0)</f>
        <v>040000194191</v>
      </c>
      <c r="C93" s="9">
        <v>1656</v>
      </c>
      <c r="D93" s="20">
        <f t="shared" si="5"/>
        <v>1656</v>
      </c>
      <c r="E93" s="18" t="s">
        <v>206</v>
      </c>
      <c r="F93" s="21" t="str">
        <f t="shared" si="4"/>
        <v>insert into ins_premium_det (premium_rcv_code,assorted_code, rec_amount,premium_rcv_detail_code,remaining_amt, payrec, mode_code,coinsurance_code,class_cd,it_remarks) values</v>
      </c>
      <c r="G93" s="22" t="str">
        <f t="shared" si="6"/>
        <v>('21Jan250071','040000194191','1656',(select max(to_number(i.premium_rcv_detail_code))+1
from ins_premium_det i),'1656','1656','02', '11000003','00','Request by Mr. Omair Ali 22-Jan-2025 Premium');</v>
      </c>
      <c r="H93" s="23" t="str">
        <f t="shared" si="7"/>
        <v>insert into ins_premium_det (premium_rcv_code,assorted_code, rec_amount,premium_rcv_detail_code,remaining_amt, payrec, mode_code,coinsurance_code,class_cd,it_remarks) values('21Jan250071','040000194191','1656',(select max(to_number(i.premium_rcv_detail_code))+1
from ins_premium_det i),'1656','1656','02', '11000003','00','Request by Mr. Omair Ali 22-Jan-2025 Premium');</v>
      </c>
    </row>
    <row r="94" spans="1:8" ht="105" x14ac:dyDescent="0.25">
      <c r="A94" s="2" t="s">
        <v>93</v>
      </c>
      <c r="B94" s="19" t="str">
        <f>VLOOKUP(A94,policy!B:C,2,0)</f>
        <v>040000194200</v>
      </c>
      <c r="C94" s="9">
        <v>9539</v>
      </c>
      <c r="D94" s="20">
        <f t="shared" si="5"/>
        <v>9539</v>
      </c>
      <c r="E94" s="18" t="s">
        <v>206</v>
      </c>
      <c r="F94" s="21" t="str">
        <f t="shared" si="4"/>
        <v>insert into ins_premium_det (premium_rcv_code,assorted_code, rec_amount,premium_rcv_detail_code,remaining_amt, payrec, mode_code,coinsurance_code,class_cd,it_remarks) values</v>
      </c>
      <c r="G94" s="22" t="str">
        <f t="shared" si="6"/>
        <v>('21Jan250071','040000194200','9539',(select max(to_number(i.premium_rcv_detail_code))+1
from ins_premium_det i),'9539','9539','02', '11000003','00','Request by Mr. Omair Ali 22-Jan-2025 Premium');</v>
      </c>
      <c r="H94" s="23" t="str">
        <f t="shared" si="7"/>
        <v>insert into ins_premium_det (premium_rcv_code,assorted_code, rec_amount,premium_rcv_detail_code,remaining_amt, payrec, mode_code,coinsurance_code,class_cd,it_remarks) values('21Jan250071','040000194200','9539',(select max(to_number(i.premium_rcv_detail_code))+1
from ins_premium_det i),'9539','9539','02', '11000003','00','Request by Mr. Omair Ali 22-Jan-2025 Premium');</v>
      </c>
    </row>
    <row r="95" spans="1:8" ht="105" x14ac:dyDescent="0.25">
      <c r="A95" s="2" t="s">
        <v>94</v>
      </c>
      <c r="B95" s="19" t="str">
        <f>VLOOKUP(A95,policy!B:C,2,0)</f>
        <v>040000194269</v>
      </c>
      <c r="C95" s="9">
        <v>42567</v>
      </c>
      <c r="D95" s="20">
        <f t="shared" si="5"/>
        <v>42567</v>
      </c>
      <c r="E95" s="18" t="s">
        <v>206</v>
      </c>
      <c r="F95" s="21" t="str">
        <f t="shared" si="4"/>
        <v>insert into ins_premium_det (premium_rcv_code,assorted_code, rec_amount,premium_rcv_detail_code,remaining_amt, payrec, mode_code,coinsurance_code,class_cd,it_remarks) values</v>
      </c>
      <c r="G95" s="22" t="str">
        <f t="shared" si="6"/>
        <v>('21Jan250071','040000194269','42567',(select max(to_number(i.premium_rcv_detail_code))+1
from ins_premium_det i),'42567','42567','02', '11000003','00','Request by Mr. Omair Ali 22-Jan-2025 Premium');</v>
      </c>
      <c r="H95" s="23" t="str">
        <f t="shared" si="7"/>
        <v>insert into ins_premium_det (premium_rcv_code,assorted_code, rec_amount,premium_rcv_detail_code,remaining_amt, payrec, mode_code,coinsurance_code,class_cd,it_remarks) values('21Jan250071','040000194269','42567',(select max(to_number(i.premium_rcv_detail_code))+1
from ins_premium_det i),'42567','42567','02', '11000003','00','Request by Mr. Omair Ali 22-Jan-2025 Premium');</v>
      </c>
    </row>
    <row r="96" spans="1:8" x14ac:dyDescent="0.25">
      <c r="C96" s="25">
        <f>SUM(C2:C95)</f>
        <v>1645044</v>
      </c>
      <c r="D96" s="25">
        <f>SUM(D2:D95)</f>
        <v>1645044</v>
      </c>
    </row>
  </sheetData>
  <conditionalFormatting sqref="A1">
    <cfRule type="duplicateValues" dxfId="28" priority="7"/>
  </conditionalFormatting>
  <conditionalFormatting sqref="B2:B95">
    <cfRule type="duplicateValues" dxfId="27" priority="8"/>
    <cfRule type="duplicateValues" dxfId="26" priority="9"/>
    <cfRule type="duplicateValues" dxfId="25" priority="10"/>
  </conditionalFormatting>
  <conditionalFormatting sqref="A3:A95">
    <cfRule type="duplicateValues" dxfId="24" priority="2"/>
    <cfRule type="duplicateValues" dxfId="23" priority="3"/>
    <cfRule type="duplicateValues" dxfId="22" priority="4"/>
    <cfRule type="duplicateValues" dxfId="21" priority="5"/>
  </conditionalFormatting>
  <conditionalFormatting sqref="A64:A78">
    <cfRule type="duplicateValues" dxfId="20" priority="1"/>
  </conditionalFormatting>
  <conditionalFormatting sqref="A79:A95">
    <cfRule type="duplicateValues" dxfId="19" priority="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97FA1-0FF9-4CB8-B6EF-4CF3C810D1BE}">
  <dimension ref="A1:E94"/>
  <sheetViews>
    <sheetView topLeftCell="A74" workbookViewId="0">
      <selection activeCell="E74" sqref="E74"/>
    </sheetView>
  </sheetViews>
  <sheetFormatPr defaultRowHeight="15" x14ac:dyDescent="0.25"/>
  <cols>
    <col min="1" max="1" width="39.7109375" bestFit="1" customWidth="1"/>
  </cols>
  <sheetData>
    <row r="1" spans="1:5" x14ac:dyDescent="0.25">
      <c r="A1" s="3" t="s">
        <v>1</v>
      </c>
      <c r="B1" t="s">
        <v>99</v>
      </c>
      <c r="D1">
        <v>82878</v>
      </c>
      <c r="E1" t="str">
        <f>"ia.assorted_string like '%"&amp;D1&amp;B1&amp;"%' or"</f>
        <v>ia.assorted_string like '%82878-01-2024%' or</v>
      </c>
    </row>
    <row r="2" spans="1:5" x14ac:dyDescent="0.25">
      <c r="A2" s="2" t="s">
        <v>2</v>
      </c>
      <c r="B2" t="s">
        <v>99</v>
      </c>
      <c r="D2">
        <v>82883</v>
      </c>
      <c r="E2" t="str">
        <f t="shared" ref="E2:E65" si="0">"ia.assorted_string like '%"&amp;D2&amp;B2&amp;"%' or"</f>
        <v>ia.assorted_string like '%82883-01-2024%' or</v>
      </c>
    </row>
    <row r="3" spans="1:5" x14ac:dyDescent="0.25">
      <c r="A3" s="2" t="s">
        <v>3</v>
      </c>
      <c r="B3" t="s">
        <v>99</v>
      </c>
      <c r="D3">
        <v>82884</v>
      </c>
      <c r="E3" t="str">
        <f t="shared" si="0"/>
        <v>ia.assorted_string like '%82884-01-2024%' or</v>
      </c>
    </row>
    <row r="4" spans="1:5" x14ac:dyDescent="0.25">
      <c r="A4" s="2" t="s">
        <v>4</v>
      </c>
      <c r="B4" t="s">
        <v>99</v>
      </c>
      <c r="D4">
        <v>82900</v>
      </c>
      <c r="E4" t="str">
        <f t="shared" si="0"/>
        <v>ia.assorted_string like '%82900-01-2024%' or</v>
      </c>
    </row>
    <row r="5" spans="1:5" x14ac:dyDescent="0.25">
      <c r="A5" s="2" t="s">
        <v>5</v>
      </c>
      <c r="B5" t="s">
        <v>99</v>
      </c>
      <c r="D5">
        <v>82901</v>
      </c>
      <c r="E5" t="str">
        <f t="shared" si="0"/>
        <v>ia.assorted_string like '%82901-01-2024%' or</v>
      </c>
    </row>
    <row r="6" spans="1:5" x14ac:dyDescent="0.25">
      <c r="A6" s="2" t="s">
        <v>6</v>
      </c>
      <c r="B6" t="s">
        <v>100</v>
      </c>
      <c r="D6">
        <v>92010</v>
      </c>
      <c r="E6" t="str">
        <f t="shared" si="0"/>
        <v>ia.assorted_string like '%92010-06-2024%' or</v>
      </c>
    </row>
    <row r="7" spans="1:5" x14ac:dyDescent="0.25">
      <c r="A7" s="2" t="s">
        <v>7</v>
      </c>
      <c r="B7" t="s">
        <v>101</v>
      </c>
      <c r="D7">
        <v>97180</v>
      </c>
      <c r="E7" t="str">
        <f t="shared" si="0"/>
        <v>ia.assorted_string like '%97180-09-2024%' or</v>
      </c>
    </row>
    <row r="8" spans="1:5" x14ac:dyDescent="0.25">
      <c r="A8" s="2" t="s">
        <v>8</v>
      </c>
      <c r="B8" t="s">
        <v>101</v>
      </c>
      <c r="D8">
        <v>97646</v>
      </c>
      <c r="E8" t="str">
        <f t="shared" si="0"/>
        <v>ia.assorted_string like '%97646-09-2024%' or</v>
      </c>
    </row>
    <row r="9" spans="1:5" x14ac:dyDescent="0.25">
      <c r="A9" s="2" t="s">
        <v>9</v>
      </c>
      <c r="B9" t="s">
        <v>101</v>
      </c>
      <c r="D9">
        <v>97649</v>
      </c>
      <c r="E9" t="str">
        <f t="shared" si="0"/>
        <v>ia.assorted_string like '%97649-09-2024%' or</v>
      </c>
    </row>
    <row r="10" spans="1:5" x14ac:dyDescent="0.25">
      <c r="A10" s="2" t="s">
        <v>10</v>
      </c>
      <c r="B10" t="s">
        <v>101</v>
      </c>
      <c r="D10">
        <v>97913</v>
      </c>
      <c r="E10" t="str">
        <f t="shared" si="0"/>
        <v>ia.assorted_string like '%97913-09-2024%' or</v>
      </c>
    </row>
    <row r="11" spans="1:5" x14ac:dyDescent="0.25">
      <c r="A11" s="2" t="s">
        <v>11</v>
      </c>
      <c r="B11" t="s">
        <v>101</v>
      </c>
      <c r="D11">
        <v>98624</v>
      </c>
      <c r="E11" t="str">
        <f t="shared" si="0"/>
        <v>ia.assorted_string like '%98624-09-2024%' or</v>
      </c>
    </row>
    <row r="12" spans="1:5" x14ac:dyDescent="0.25">
      <c r="A12" s="2" t="s">
        <v>12</v>
      </c>
      <c r="B12" t="s">
        <v>102</v>
      </c>
      <c r="D12">
        <v>99034</v>
      </c>
      <c r="E12" t="str">
        <f t="shared" si="0"/>
        <v>ia.assorted_string like '%99034-10-2024%' or</v>
      </c>
    </row>
    <row r="13" spans="1:5" x14ac:dyDescent="0.25">
      <c r="A13" s="2" t="s">
        <v>13</v>
      </c>
      <c r="B13" t="s">
        <v>102</v>
      </c>
      <c r="D13">
        <v>99118</v>
      </c>
      <c r="E13" t="str">
        <f t="shared" si="0"/>
        <v>ia.assorted_string like '%99118-10-2024%' or</v>
      </c>
    </row>
    <row r="14" spans="1:5" x14ac:dyDescent="0.25">
      <c r="A14" s="2" t="s">
        <v>14</v>
      </c>
      <c r="B14" t="s">
        <v>102</v>
      </c>
      <c r="D14">
        <v>99133</v>
      </c>
      <c r="E14" t="str">
        <f t="shared" si="0"/>
        <v>ia.assorted_string like '%99133-10-2024%' or</v>
      </c>
    </row>
    <row r="15" spans="1:5" x14ac:dyDescent="0.25">
      <c r="A15" s="2" t="s">
        <v>15</v>
      </c>
      <c r="B15" t="s">
        <v>102</v>
      </c>
      <c r="D15">
        <v>99312</v>
      </c>
      <c r="E15" t="str">
        <f t="shared" si="0"/>
        <v>ia.assorted_string like '%99312-10-2024%' or</v>
      </c>
    </row>
    <row r="16" spans="1:5" x14ac:dyDescent="0.25">
      <c r="A16" s="2" t="s">
        <v>16</v>
      </c>
      <c r="B16" t="s">
        <v>102</v>
      </c>
      <c r="D16">
        <v>99348</v>
      </c>
      <c r="E16" t="str">
        <f t="shared" si="0"/>
        <v>ia.assorted_string like '%99348-10-2024%' or</v>
      </c>
    </row>
    <row r="17" spans="1:5" x14ac:dyDescent="0.25">
      <c r="A17" s="2" t="s">
        <v>17</v>
      </c>
      <c r="B17" t="s">
        <v>102</v>
      </c>
      <c r="D17">
        <v>99350</v>
      </c>
      <c r="E17" t="str">
        <f t="shared" si="0"/>
        <v>ia.assorted_string like '%99350-10-2024%' or</v>
      </c>
    </row>
    <row r="18" spans="1:5" x14ac:dyDescent="0.25">
      <c r="A18" s="2" t="s">
        <v>18</v>
      </c>
      <c r="B18" t="s">
        <v>102</v>
      </c>
      <c r="D18">
        <v>99372</v>
      </c>
      <c r="E18" t="str">
        <f t="shared" si="0"/>
        <v>ia.assorted_string like '%99372-10-2024%' or</v>
      </c>
    </row>
    <row r="19" spans="1:5" x14ac:dyDescent="0.25">
      <c r="A19" s="2" t="s">
        <v>19</v>
      </c>
      <c r="B19" t="s">
        <v>102</v>
      </c>
      <c r="D19">
        <v>99402</v>
      </c>
      <c r="E19" t="str">
        <f t="shared" si="0"/>
        <v>ia.assorted_string like '%99402-10-2024%' or</v>
      </c>
    </row>
    <row r="20" spans="1:5" x14ac:dyDescent="0.25">
      <c r="A20" s="2" t="s">
        <v>20</v>
      </c>
      <c r="B20" t="s">
        <v>102</v>
      </c>
      <c r="D20">
        <v>99403</v>
      </c>
      <c r="E20" t="str">
        <f t="shared" si="0"/>
        <v>ia.assorted_string like '%99403-10-2024%' or</v>
      </c>
    </row>
    <row r="21" spans="1:5" x14ac:dyDescent="0.25">
      <c r="A21" s="2" t="s">
        <v>21</v>
      </c>
      <c r="B21" t="s">
        <v>102</v>
      </c>
      <c r="D21">
        <v>99600</v>
      </c>
      <c r="E21" t="str">
        <f t="shared" si="0"/>
        <v>ia.assorted_string like '%99600-10-2024%' or</v>
      </c>
    </row>
    <row r="22" spans="1:5" x14ac:dyDescent="0.25">
      <c r="A22" s="2" t="s">
        <v>22</v>
      </c>
      <c r="B22" t="s">
        <v>102</v>
      </c>
      <c r="D22">
        <v>99601</v>
      </c>
      <c r="E22" t="str">
        <f t="shared" si="0"/>
        <v>ia.assorted_string like '%99601-10-2024%' or</v>
      </c>
    </row>
    <row r="23" spans="1:5" x14ac:dyDescent="0.25">
      <c r="A23" s="2" t="s">
        <v>23</v>
      </c>
      <c r="B23" t="s">
        <v>102</v>
      </c>
      <c r="D23">
        <v>100396</v>
      </c>
      <c r="E23" t="str">
        <f t="shared" si="0"/>
        <v>ia.assorted_string like '%100396-10-2024%' or</v>
      </c>
    </row>
    <row r="24" spans="1:5" x14ac:dyDescent="0.25">
      <c r="A24" s="2" t="s">
        <v>24</v>
      </c>
      <c r="B24" t="s">
        <v>102</v>
      </c>
      <c r="D24">
        <v>100397</v>
      </c>
      <c r="E24" t="str">
        <f t="shared" si="0"/>
        <v>ia.assorted_string like '%100397-10-2024%' or</v>
      </c>
    </row>
    <row r="25" spans="1:5" x14ac:dyDescent="0.25">
      <c r="A25" s="2" t="s">
        <v>25</v>
      </c>
      <c r="B25" t="s">
        <v>102</v>
      </c>
      <c r="D25">
        <v>100399</v>
      </c>
      <c r="E25" t="str">
        <f t="shared" si="0"/>
        <v>ia.assorted_string like '%100399-10-2024%' or</v>
      </c>
    </row>
    <row r="26" spans="1:5" x14ac:dyDescent="0.25">
      <c r="A26" s="2" t="s">
        <v>26</v>
      </c>
      <c r="B26" t="s">
        <v>102</v>
      </c>
      <c r="D26">
        <v>100400</v>
      </c>
      <c r="E26" t="str">
        <f t="shared" si="0"/>
        <v>ia.assorted_string like '%100400-10-2024%' or</v>
      </c>
    </row>
    <row r="27" spans="1:5" x14ac:dyDescent="0.25">
      <c r="A27" s="2" t="s">
        <v>27</v>
      </c>
      <c r="B27" t="s">
        <v>102</v>
      </c>
      <c r="D27">
        <v>100680</v>
      </c>
      <c r="E27" t="str">
        <f t="shared" si="0"/>
        <v>ia.assorted_string like '%100680-10-2024%' or</v>
      </c>
    </row>
    <row r="28" spans="1:5" x14ac:dyDescent="0.25">
      <c r="A28" s="2" t="s">
        <v>28</v>
      </c>
      <c r="B28" t="s">
        <v>102</v>
      </c>
      <c r="D28">
        <v>100804</v>
      </c>
      <c r="E28" t="str">
        <f t="shared" si="0"/>
        <v>ia.assorted_string like '%100804-10-2024%' or</v>
      </c>
    </row>
    <row r="29" spans="1:5" x14ac:dyDescent="0.25">
      <c r="A29" s="2" t="s">
        <v>29</v>
      </c>
      <c r="B29" t="s">
        <v>102</v>
      </c>
      <c r="D29">
        <v>100806</v>
      </c>
      <c r="E29" t="str">
        <f t="shared" si="0"/>
        <v>ia.assorted_string like '%100806-10-2024%' or</v>
      </c>
    </row>
    <row r="30" spans="1:5" x14ac:dyDescent="0.25">
      <c r="A30" s="2" t="s">
        <v>30</v>
      </c>
      <c r="B30" t="s">
        <v>102</v>
      </c>
      <c r="D30">
        <v>100815</v>
      </c>
      <c r="E30" t="str">
        <f t="shared" si="0"/>
        <v>ia.assorted_string like '%100815-10-2024%' or</v>
      </c>
    </row>
    <row r="31" spans="1:5" x14ac:dyDescent="0.25">
      <c r="A31" s="2" t="s">
        <v>31</v>
      </c>
      <c r="B31" t="s">
        <v>102</v>
      </c>
      <c r="D31">
        <v>100857</v>
      </c>
      <c r="E31" t="str">
        <f t="shared" si="0"/>
        <v>ia.assorted_string like '%100857-10-2024%' or</v>
      </c>
    </row>
    <row r="32" spans="1:5" x14ac:dyDescent="0.25">
      <c r="A32" s="2" t="s">
        <v>32</v>
      </c>
      <c r="B32" t="s">
        <v>102</v>
      </c>
      <c r="D32">
        <v>101052</v>
      </c>
      <c r="E32" t="str">
        <f t="shared" si="0"/>
        <v>ia.assorted_string like '%101052-10-2024%' or</v>
      </c>
    </row>
    <row r="33" spans="1:5" x14ac:dyDescent="0.25">
      <c r="A33" s="2" t="s">
        <v>33</v>
      </c>
      <c r="B33" t="s">
        <v>102</v>
      </c>
      <c r="D33">
        <v>101066</v>
      </c>
      <c r="E33" t="str">
        <f t="shared" si="0"/>
        <v>ia.assorted_string like '%101066-10-2024%' or</v>
      </c>
    </row>
    <row r="34" spans="1:5" x14ac:dyDescent="0.25">
      <c r="A34" s="2" t="s">
        <v>34</v>
      </c>
      <c r="B34" t="s">
        <v>102</v>
      </c>
      <c r="D34">
        <v>101067</v>
      </c>
      <c r="E34" t="str">
        <f t="shared" si="0"/>
        <v>ia.assorted_string like '%101067-10-2024%' or</v>
      </c>
    </row>
    <row r="35" spans="1:5" x14ac:dyDescent="0.25">
      <c r="A35" s="2" t="s">
        <v>35</v>
      </c>
      <c r="B35" t="s">
        <v>103</v>
      </c>
      <c r="D35">
        <v>101378</v>
      </c>
      <c r="E35" t="str">
        <f t="shared" si="0"/>
        <v>ia.assorted_string like '%101378-11-2024%' or</v>
      </c>
    </row>
    <row r="36" spans="1:5" x14ac:dyDescent="0.25">
      <c r="A36" s="2" t="s">
        <v>36</v>
      </c>
      <c r="B36" t="s">
        <v>103</v>
      </c>
      <c r="D36">
        <v>101446</v>
      </c>
      <c r="E36" t="str">
        <f t="shared" si="0"/>
        <v>ia.assorted_string like '%101446-11-2024%' or</v>
      </c>
    </row>
    <row r="37" spans="1:5" x14ac:dyDescent="0.25">
      <c r="A37" s="2" t="s">
        <v>37</v>
      </c>
      <c r="B37" t="s">
        <v>103</v>
      </c>
      <c r="D37">
        <v>101448</v>
      </c>
      <c r="E37" t="str">
        <f t="shared" si="0"/>
        <v>ia.assorted_string like '%101448-11-2024%' or</v>
      </c>
    </row>
    <row r="38" spans="1:5" x14ac:dyDescent="0.25">
      <c r="A38" s="2" t="s">
        <v>38</v>
      </c>
      <c r="B38" t="s">
        <v>103</v>
      </c>
      <c r="D38">
        <v>101471</v>
      </c>
      <c r="E38" t="str">
        <f t="shared" si="0"/>
        <v>ia.assorted_string like '%101471-11-2024%' or</v>
      </c>
    </row>
    <row r="39" spans="1:5" x14ac:dyDescent="0.25">
      <c r="A39" s="2" t="s">
        <v>39</v>
      </c>
      <c r="B39" t="s">
        <v>103</v>
      </c>
      <c r="D39">
        <v>101570</v>
      </c>
      <c r="E39" t="str">
        <f t="shared" si="0"/>
        <v>ia.assorted_string like '%101570-11-2024%' or</v>
      </c>
    </row>
    <row r="40" spans="1:5" x14ac:dyDescent="0.25">
      <c r="A40" s="2" t="s">
        <v>40</v>
      </c>
      <c r="B40" t="s">
        <v>103</v>
      </c>
      <c r="D40">
        <v>101591</v>
      </c>
      <c r="E40" t="str">
        <f t="shared" si="0"/>
        <v>ia.assorted_string like '%101591-11-2024%' or</v>
      </c>
    </row>
    <row r="41" spans="1:5" x14ac:dyDescent="0.25">
      <c r="A41" s="2" t="s">
        <v>41</v>
      </c>
      <c r="B41" t="s">
        <v>103</v>
      </c>
      <c r="D41">
        <v>101668</v>
      </c>
      <c r="E41" t="str">
        <f t="shared" si="0"/>
        <v>ia.assorted_string like '%101668-11-2024%' or</v>
      </c>
    </row>
    <row r="42" spans="1:5" x14ac:dyDescent="0.25">
      <c r="A42" s="2" t="s">
        <v>42</v>
      </c>
      <c r="B42" t="s">
        <v>103</v>
      </c>
      <c r="D42">
        <v>101674</v>
      </c>
      <c r="E42" t="str">
        <f t="shared" si="0"/>
        <v>ia.assorted_string like '%101674-11-2024%' or</v>
      </c>
    </row>
    <row r="43" spans="1:5" x14ac:dyDescent="0.25">
      <c r="A43" s="2" t="s">
        <v>43</v>
      </c>
      <c r="B43" t="s">
        <v>103</v>
      </c>
      <c r="D43">
        <v>101906</v>
      </c>
      <c r="E43" t="str">
        <f t="shared" si="0"/>
        <v>ia.assorted_string like '%101906-11-2024%' or</v>
      </c>
    </row>
    <row r="44" spans="1:5" x14ac:dyDescent="0.25">
      <c r="A44" s="2" t="s">
        <v>44</v>
      </c>
      <c r="B44" t="s">
        <v>103</v>
      </c>
      <c r="D44">
        <v>101965</v>
      </c>
      <c r="E44" t="str">
        <f t="shared" si="0"/>
        <v>ia.assorted_string like '%101965-11-2024%' or</v>
      </c>
    </row>
    <row r="45" spans="1:5" x14ac:dyDescent="0.25">
      <c r="A45" s="2" t="s">
        <v>45</v>
      </c>
      <c r="B45" t="s">
        <v>103</v>
      </c>
      <c r="D45">
        <v>101966</v>
      </c>
      <c r="E45" t="str">
        <f t="shared" si="0"/>
        <v>ia.assorted_string like '%101966-11-2024%' or</v>
      </c>
    </row>
    <row r="46" spans="1:5" x14ac:dyDescent="0.25">
      <c r="A46" s="2" t="s">
        <v>46</v>
      </c>
      <c r="B46" t="s">
        <v>103</v>
      </c>
      <c r="D46">
        <v>102023</v>
      </c>
      <c r="E46" t="str">
        <f t="shared" si="0"/>
        <v>ia.assorted_string like '%102023-11-2024%' or</v>
      </c>
    </row>
    <row r="47" spans="1:5" x14ac:dyDescent="0.25">
      <c r="A47" s="2" t="s">
        <v>47</v>
      </c>
      <c r="B47" t="s">
        <v>103</v>
      </c>
      <c r="D47">
        <v>102025</v>
      </c>
      <c r="E47" t="str">
        <f t="shared" si="0"/>
        <v>ia.assorted_string like '%102025-11-2024%' or</v>
      </c>
    </row>
    <row r="48" spans="1:5" x14ac:dyDescent="0.25">
      <c r="A48" s="2" t="s">
        <v>48</v>
      </c>
      <c r="B48" t="s">
        <v>103</v>
      </c>
      <c r="D48">
        <v>102032</v>
      </c>
      <c r="E48" t="str">
        <f t="shared" si="0"/>
        <v>ia.assorted_string like '%102032-11-2024%' or</v>
      </c>
    </row>
    <row r="49" spans="1:5" x14ac:dyDescent="0.25">
      <c r="A49" s="2" t="s">
        <v>49</v>
      </c>
      <c r="B49" t="s">
        <v>103</v>
      </c>
      <c r="D49">
        <v>102126</v>
      </c>
      <c r="E49" t="str">
        <f t="shared" si="0"/>
        <v>ia.assorted_string like '%102126-11-2024%' or</v>
      </c>
    </row>
    <row r="50" spans="1:5" x14ac:dyDescent="0.25">
      <c r="A50" s="2" t="s">
        <v>50</v>
      </c>
      <c r="B50" t="s">
        <v>103</v>
      </c>
      <c r="D50">
        <v>102129</v>
      </c>
      <c r="E50" t="str">
        <f t="shared" si="0"/>
        <v>ia.assorted_string like '%102129-11-2024%' or</v>
      </c>
    </row>
    <row r="51" spans="1:5" x14ac:dyDescent="0.25">
      <c r="A51" s="2" t="s">
        <v>51</v>
      </c>
      <c r="B51" t="s">
        <v>103</v>
      </c>
      <c r="D51">
        <v>102313</v>
      </c>
      <c r="E51" t="str">
        <f t="shared" si="0"/>
        <v>ia.assorted_string like '%102313-11-2024%' or</v>
      </c>
    </row>
    <row r="52" spans="1:5" x14ac:dyDescent="0.25">
      <c r="A52" s="2" t="s">
        <v>52</v>
      </c>
      <c r="B52" t="s">
        <v>103</v>
      </c>
      <c r="D52">
        <v>102427</v>
      </c>
      <c r="E52" t="str">
        <f t="shared" si="0"/>
        <v>ia.assorted_string like '%102427-11-2024%' or</v>
      </c>
    </row>
    <row r="53" spans="1:5" x14ac:dyDescent="0.25">
      <c r="A53" s="2" t="s">
        <v>53</v>
      </c>
      <c r="B53" t="s">
        <v>103</v>
      </c>
      <c r="D53">
        <v>102466</v>
      </c>
      <c r="E53" t="str">
        <f t="shared" si="0"/>
        <v>ia.assorted_string like '%102466-11-2024%' or</v>
      </c>
    </row>
    <row r="54" spans="1:5" x14ac:dyDescent="0.25">
      <c r="A54" s="2" t="s">
        <v>54</v>
      </c>
      <c r="B54" t="s">
        <v>103</v>
      </c>
      <c r="D54">
        <v>102467</v>
      </c>
      <c r="E54" t="str">
        <f t="shared" si="0"/>
        <v>ia.assorted_string like '%102467-11-2024%' or</v>
      </c>
    </row>
    <row r="55" spans="1:5" x14ac:dyDescent="0.25">
      <c r="A55" s="2" t="s">
        <v>55</v>
      </c>
      <c r="B55" t="s">
        <v>103</v>
      </c>
      <c r="D55">
        <v>102571</v>
      </c>
      <c r="E55" t="str">
        <f t="shared" si="0"/>
        <v>ia.assorted_string like '%102571-11-2024%' or</v>
      </c>
    </row>
    <row r="56" spans="1:5" x14ac:dyDescent="0.25">
      <c r="A56" s="2" t="s">
        <v>56</v>
      </c>
      <c r="B56" t="s">
        <v>103</v>
      </c>
      <c r="D56">
        <v>102573</v>
      </c>
      <c r="E56" t="str">
        <f t="shared" si="0"/>
        <v>ia.assorted_string like '%102573-11-2024%' or</v>
      </c>
    </row>
    <row r="57" spans="1:5" x14ac:dyDescent="0.25">
      <c r="A57" s="2" t="s">
        <v>57</v>
      </c>
      <c r="B57" t="s">
        <v>103</v>
      </c>
      <c r="D57">
        <v>103015</v>
      </c>
      <c r="E57" t="str">
        <f t="shared" si="0"/>
        <v>ia.assorted_string like '%103015-11-2024%' or</v>
      </c>
    </row>
    <row r="58" spans="1:5" x14ac:dyDescent="0.25">
      <c r="A58" s="2" t="s">
        <v>58</v>
      </c>
      <c r="B58" t="s">
        <v>103</v>
      </c>
      <c r="D58">
        <v>103016</v>
      </c>
      <c r="E58" t="str">
        <f t="shared" si="0"/>
        <v>ia.assorted_string like '%103016-11-2024%' or</v>
      </c>
    </row>
    <row r="59" spans="1:5" x14ac:dyDescent="0.25">
      <c r="A59" s="2" t="s">
        <v>59</v>
      </c>
      <c r="B59" t="s">
        <v>103</v>
      </c>
      <c r="D59">
        <v>103017</v>
      </c>
      <c r="E59" t="str">
        <f t="shared" si="0"/>
        <v>ia.assorted_string like '%103017-11-2024%' or</v>
      </c>
    </row>
    <row r="60" spans="1:5" x14ac:dyDescent="0.25">
      <c r="A60" s="2" t="s">
        <v>60</v>
      </c>
      <c r="B60" t="s">
        <v>103</v>
      </c>
      <c r="D60">
        <v>103092</v>
      </c>
      <c r="E60" t="str">
        <f t="shared" si="0"/>
        <v>ia.assorted_string like '%103092-11-2024%' or</v>
      </c>
    </row>
    <row r="61" spans="1:5" x14ac:dyDescent="0.25">
      <c r="A61" s="2" t="s">
        <v>61</v>
      </c>
      <c r="B61" t="s">
        <v>104</v>
      </c>
      <c r="D61">
        <v>103393</v>
      </c>
      <c r="E61" t="str">
        <f t="shared" si="0"/>
        <v>ia.assorted_string like '%103393-12-2024%' or</v>
      </c>
    </row>
    <row r="62" spans="1:5" x14ac:dyDescent="0.25">
      <c r="A62" s="2" t="s">
        <v>62</v>
      </c>
      <c r="B62" t="s">
        <v>104</v>
      </c>
      <c r="D62">
        <v>103394</v>
      </c>
      <c r="E62" t="str">
        <f t="shared" si="0"/>
        <v>ia.assorted_string like '%103394-12-2024%' or</v>
      </c>
    </row>
    <row r="63" spans="1:5" x14ac:dyDescent="0.25">
      <c r="A63" s="2" t="s">
        <v>63</v>
      </c>
      <c r="B63" t="s">
        <v>104</v>
      </c>
      <c r="D63">
        <v>103451</v>
      </c>
      <c r="E63" t="str">
        <f t="shared" si="0"/>
        <v>ia.assorted_string like '%103451-12-2024%' or</v>
      </c>
    </row>
    <row r="64" spans="1:5" x14ac:dyDescent="0.25">
      <c r="A64" s="2" t="s">
        <v>64</v>
      </c>
      <c r="B64" t="s">
        <v>104</v>
      </c>
      <c r="D64">
        <v>103453</v>
      </c>
      <c r="E64" t="str">
        <f t="shared" si="0"/>
        <v>ia.assorted_string like '%103453-12-2024%' or</v>
      </c>
    </row>
    <row r="65" spans="1:5" x14ac:dyDescent="0.25">
      <c r="A65" s="2" t="s">
        <v>65</v>
      </c>
      <c r="B65" t="s">
        <v>104</v>
      </c>
      <c r="D65">
        <v>103454</v>
      </c>
      <c r="E65" t="str">
        <f t="shared" si="0"/>
        <v>ia.assorted_string like '%103454-12-2024%' or</v>
      </c>
    </row>
    <row r="66" spans="1:5" x14ac:dyDescent="0.25">
      <c r="A66" s="2" t="s">
        <v>66</v>
      </c>
      <c r="B66" t="s">
        <v>104</v>
      </c>
      <c r="D66">
        <v>103455</v>
      </c>
      <c r="E66" t="str">
        <f t="shared" ref="E66:E94" si="1">"ia.assorted_string like '%"&amp;D66&amp;B66&amp;"%' or"</f>
        <v>ia.assorted_string like '%103455-12-2024%' or</v>
      </c>
    </row>
    <row r="67" spans="1:5" x14ac:dyDescent="0.25">
      <c r="A67" s="2" t="s">
        <v>67</v>
      </c>
      <c r="B67" t="s">
        <v>104</v>
      </c>
      <c r="D67">
        <v>103457</v>
      </c>
      <c r="E67" t="str">
        <f t="shared" si="1"/>
        <v>ia.assorted_string like '%103457-12-2024%' or</v>
      </c>
    </row>
    <row r="68" spans="1:5" x14ac:dyDescent="0.25">
      <c r="A68" s="2" t="s">
        <v>68</v>
      </c>
      <c r="B68" t="s">
        <v>104</v>
      </c>
      <c r="D68">
        <v>103574</v>
      </c>
      <c r="E68" t="str">
        <f t="shared" si="1"/>
        <v>ia.assorted_string like '%103574-12-2024%' or</v>
      </c>
    </row>
    <row r="69" spans="1:5" x14ac:dyDescent="0.25">
      <c r="A69" s="2" t="s">
        <v>69</v>
      </c>
      <c r="B69" t="s">
        <v>104</v>
      </c>
      <c r="D69">
        <v>103575</v>
      </c>
      <c r="E69" t="str">
        <f t="shared" si="1"/>
        <v>ia.assorted_string like '%103575-12-2024%' or</v>
      </c>
    </row>
    <row r="70" spans="1:5" x14ac:dyDescent="0.25">
      <c r="A70" s="2" t="s">
        <v>70</v>
      </c>
      <c r="B70" t="s">
        <v>104</v>
      </c>
      <c r="D70">
        <v>103638</v>
      </c>
      <c r="E70" t="str">
        <f t="shared" si="1"/>
        <v>ia.assorted_string like '%103638-12-2024%' or</v>
      </c>
    </row>
    <row r="71" spans="1:5" x14ac:dyDescent="0.25">
      <c r="A71" s="2" t="s">
        <v>71</v>
      </c>
      <c r="B71" t="s">
        <v>104</v>
      </c>
      <c r="D71">
        <v>103640</v>
      </c>
      <c r="E71" t="str">
        <f t="shared" si="1"/>
        <v>ia.assorted_string like '%103640-12-2024%' or</v>
      </c>
    </row>
    <row r="72" spans="1:5" x14ac:dyDescent="0.25">
      <c r="A72" s="2" t="s">
        <v>72</v>
      </c>
      <c r="B72" t="s">
        <v>104</v>
      </c>
      <c r="D72">
        <v>103878</v>
      </c>
      <c r="E72" t="str">
        <f t="shared" si="1"/>
        <v>ia.assorted_string like '%103878-12-2024%' or</v>
      </c>
    </row>
    <row r="73" spans="1:5" x14ac:dyDescent="0.25">
      <c r="A73" s="2" t="s">
        <v>73</v>
      </c>
      <c r="B73" t="s">
        <v>104</v>
      </c>
      <c r="D73">
        <v>103879</v>
      </c>
      <c r="E73" t="str">
        <f t="shared" si="1"/>
        <v>ia.assorted_string like '%103879-12-2024%' or</v>
      </c>
    </row>
    <row r="74" spans="1:5" x14ac:dyDescent="0.25">
      <c r="A74" s="2" t="s">
        <v>74</v>
      </c>
      <c r="B74" t="s">
        <v>104</v>
      </c>
      <c r="D74">
        <v>103972</v>
      </c>
      <c r="E74" t="str">
        <f t="shared" si="1"/>
        <v>ia.assorted_string like '%103972-12-2024%' or</v>
      </c>
    </row>
    <row r="75" spans="1:5" x14ac:dyDescent="0.25">
      <c r="A75" s="2" t="s">
        <v>75</v>
      </c>
      <c r="B75" t="s">
        <v>104</v>
      </c>
      <c r="D75">
        <v>103973</v>
      </c>
      <c r="E75" t="str">
        <f t="shared" si="1"/>
        <v>ia.assorted_string like '%103973-12-2024%' or</v>
      </c>
    </row>
    <row r="76" spans="1:5" x14ac:dyDescent="0.25">
      <c r="A76" s="2" t="s">
        <v>76</v>
      </c>
      <c r="B76" t="s">
        <v>104</v>
      </c>
      <c r="D76">
        <v>103996</v>
      </c>
      <c r="E76" t="str">
        <f t="shared" si="1"/>
        <v>ia.assorted_string like '%103996-12-2024%' or</v>
      </c>
    </row>
    <row r="77" spans="1:5" x14ac:dyDescent="0.25">
      <c r="A77" s="2" t="s">
        <v>77</v>
      </c>
      <c r="B77" t="s">
        <v>104</v>
      </c>
      <c r="D77">
        <v>103997</v>
      </c>
      <c r="E77" t="str">
        <f t="shared" si="1"/>
        <v>ia.assorted_string like '%103997-12-2024%' or</v>
      </c>
    </row>
    <row r="78" spans="1:5" x14ac:dyDescent="0.25">
      <c r="A78" s="2" t="s">
        <v>78</v>
      </c>
      <c r="B78" t="s">
        <v>104</v>
      </c>
      <c r="D78">
        <v>104076</v>
      </c>
      <c r="E78" t="str">
        <f t="shared" si="1"/>
        <v>ia.assorted_string like '%104076-12-2024%' or</v>
      </c>
    </row>
    <row r="79" spans="1:5" x14ac:dyDescent="0.25">
      <c r="A79" s="2" t="s">
        <v>79</v>
      </c>
      <c r="B79" t="s">
        <v>104</v>
      </c>
      <c r="D79">
        <v>104123</v>
      </c>
      <c r="E79" t="str">
        <f t="shared" si="1"/>
        <v>ia.assorted_string like '%104123-12-2024%' or</v>
      </c>
    </row>
    <row r="80" spans="1:5" x14ac:dyDescent="0.25">
      <c r="A80" s="2" t="s">
        <v>80</v>
      </c>
      <c r="B80" t="s">
        <v>104</v>
      </c>
      <c r="D80">
        <v>104125</v>
      </c>
      <c r="E80" t="str">
        <f t="shared" si="1"/>
        <v>ia.assorted_string like '%104125-12-2024%' or</v>
      </c>
    </row>
    <row r="81" spans="1:5" x14ac:dyDescent="0.25">
      <c r="A81" s="2" t="s">
        <v>81</v>
      </c>
      <c r="B81" t="s">
        <v>104</v>
      </c>
      <c r="D81">
        <v>104287</v>
      </c>
      <c r="E81" t="str">
        <f t="shared" si="1"/>
        <v>ia.assorted_string like '%104287-12-2024%' or</v>
      </c>
    </row>
    <row r="82" spans="1:5" x14ac:dyDescent="0.25">
      <c r="A82" s="2" t="s">
        <v>82</v>
      </c>
      <c r="B82" t="s">
        <v>104</v>
      </c>
      <c r="D82">
        <v>104310</v>
      </c>
      <c r="E82" t="str">
        <f t="shared" si="1"/>
        <v>ia.assorted_string like '%104310-12-2024%' or</v>
      </c>
    </row>
    <row r="83" spans="1:5" x14ac:dyDescent="0.25">
      <c r="A83" s="2" t="s">
        <v>83</v>
      </c>
      <c r="B83" t="s">
        <v>104</v>
      </c>
      <c r="D83">
        <v>104606</v>
      </c>
      <c r="E83" t="str">
        <f t="shared" si="1"/>
        <v>ia.assorted_string like '%104606-12-2024%' or</v>
      </c>
    </row>
    <row r="84" spans="1:5" x14ac:dyDescent="0.25">
      <c r="A84" s="2" t="s">
        <v>84</v>
      </c>
      <c r="B84" t="s">
        <v>104</v>
      </c>
      <c r="D84">
        <v>105055</v>
      </c>
      <c r="E84" t="str">
        <f t="shared" si="1"/>
        <v>ia.assorted_string like '%105055-12-2024%' or</v>
      </c>
    </row>
    <row r="85" spans="1:5" x14ac:dyDescent="0.25">
      <c r="A85" s="2" t="s">
        <v>85</v>
      </c>
      <c r="B85" t="s">
        <v>104</v>
      </c>
      <c r="D85">
        <v>105056</v>
      </c>
      <c r="E85" t="str">
        <f t="shared" si="1"/>
        <v>ia.assorted_string like '%105056-12-2024%' or</v>
      </c>
    </row>
    <row r="86" spans="1:5" x14ac:dyDescent="0.25">
      <c r="A86" s="2" t="s">
        <v>86</v>
      </c>
      <c r="B86" t="s">
        <v>104</v>
      </c>
      <c r="D86">
        <v>105088</v>
      </c>
      <c r="E86" t="str">
        <f t="shared" si="1"/>
        <v>ia.assorted_string like '%105088-12-2024%' or</v>
      </c>
    </row>
    <row r="87" spans="1:5" x14ac:dyDescent="0.25">
      <c r="A87" s="2" t="s">
        <v>87</v>
      </c>
      <c r="B87" t="s">
        <v>104</v>
      </c>
      <c r="D87">
        <v>105101</v>
      </c>
      <c r="E87" t="str">
        <f t="shared" si="1"/>
        <v>ia.assorted_string like '%105101-12-2024%' or</v>
      </c>
    </row>
    <row r="88" spans="1:5" x14ac:dyDescent="0.25">
      <c r="A88" s="2" t="s">
        <v>88</v>
      </c>
      <c r="B88" t="s">
        <v>105</v>
      </c>
      <c r="D88">
        <v>105208</v>
      </c>
      <c r="E88" t="str">
        <f t="shared" si="1"/>
        <v>ia.assorted_string like '%105208-01-2025%' or</v>
      </c>
    </row>
    <row r="89" spans="1:5" x14ac:dyDescent="0.25">
      <c r="A89" s="2" t="s">
        <v>89</v>
      </c>
      <c r="B89" t="s">
        <v>105</v>
      </c>
      <c r="D89">
        <v>105413</v>
      </c>
      <c r="E89" t="str">
        <f t="shared" si="1"/>
        <v>ia.assorted_string like '%105413-01-2025%' or</v>
      </c>
    </row>
    <row r="90" spans="1:5" x14ac:dyDescent="0.25">
      <c r="A90" s="2" t="s">
        <v>90</v>
      </c>
      <c r="B90" t="s">
        <v>105</v>
      </c>
      <c r="D90">
        <v>105415</v>
      </c>
      <c r="E90" t="str">
        <f t="shared" si="1"/>
        <v>ia.assorted_string like '%105415-01-2025%' or</v>
      </c>
    </row>
    <row r="91" spans="1:5" x14ac:dyDescent="0.25">
      <c r="A91" s="2" t="s">
        <v>91</v>
      </c>
      <c r="B91" t="s">
        <v>105</v>
      </c>
      <c r="D91">
        <v>105423</v>
      </c>
      <c r="E91" t="str">
        <f t="shared" si="1"/>
        <v>ia.assorted_string like '%105423-01-2025%' or</v>
      </c>
    </row>
    <row r="92" spans="1:5" x14ac:dyDescent="0.25">
      <c r="A92" s="2" t="s">
        <v>92</v>
      </c>
      <c r="B92" t="s">
        <v>105</v>
      </c>
      <c r="D92">
        <v>105960</v>
      </c>
      <c r="E92" t="str">
        <f t="shared" si="1"/>
        <v>ia.assorted_string like '%105960-01-2025%' or</v>
      </c>
    </row>
    <row r="93" spans="1:5" x14ac:dyDescent="0.25">
      <c r="A93" s="2" t="s">
        <v>93</v>
      </c>
      <c r="B93" t="s">
        <v>105</v>
      </c>
      <c r="D93">
        <v>105966</v>
      </c>
      <c r="E93" t="str">
        <f t="shared" si="1"/>
        <v>ia.assorted_string like '%105966-01-2025%' or</v>
      </c>
    </row>
    <row r="94" spans="1:5" x14ac:dyDescent="0.25">
      <c r="A94" s="2" t="s">
        <v>94</v>
      </c>
      <c r="B94" t="s">
        <v>105</v>
      </c>
      <c r="D94">
        <v>106031</v>
      </c>
      <c r="E94" t="str">
        <f t="shared" si="1"/>
        <v>ia.assorted_string like '%106031-01-2025%' or</v>
      </c>
    </row>
  </sheetData>
  <conditionalFormatting sqref="A2:A94">
    <cfRule type="duplicateValues" dxfId="18" priority="8"/>
    <cfRule type="duplicateValues" dxfId="17" priority="9"/>
    <cfRule type="duplicateValues" dxfId="16" priority="10"/>
    <cfRule type="duplicateValues" dxfId="15" priority="11"/>
  </conditionalFormatting>
  <conditionalFormatting sqref="A63:A77">
    <cfRule type="duplicateValues" dxfId="14" priority="7"/>
  </conditionalFormatting>
  <conditionalFormatting sqref="A78:A94">
    <cfRule type="duplicateValues" dxfId="13" priority="1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D4A4D-3866-4135-BE84-5A9343B65E51}">
  <dimension ref="A1:C95"/>
  <sheetViews>
    <sheetView workbookViewId="0">
      <selection activeCell="G10" sqref="G10"/>
    </sheetView>
  </sheetViews>
  <sheetFormatPr defaultColWidth="7.85546875" defaultRowHeight="15" x14ac:dyDescent="0.25"/>
  <cols>
    <col min="1" max="1" width="3" bestFit="1" customWidth="1"/>
    <col min="2" max="2" width="40" bestFit="1" customWidth="1"/>
    <col min="3" max="3" width="15" bestFit="1" customWidth="1"/>
  </cols>
  <sheetData>
    <row r="1" spans="1:3" s="24" customFormat="1" ht="12" x14ac:dyDescent="0.2">
      <c r="A1" s="24" t="s">
        <v>109</v>
      </c>
      <c r="B1" s="24" t="s">
        <v>110</v>
      </c>
      <c r="C1" s="24" t="s">
        <v>111</v>
      </c>
    </row>
    <row r="2" spans="1:3" x14ac:dyDescent="0.25">
      <c r="A2">
        <v>1</v>
      </c>
      <c r="B2" t="s">
        <v>3</v>
      </c>
      <c r="C2" t="s">
        <v>112</v>
      </c>
    </row>
    <row r="3" spans="1:3" x14ac:dyDescent="0.25">
      <c r="A3">
        <v>2</v>
      </c>
      <c r="B3" t="s">
        <v>5</v>
      </c>
      <c r="C3" t="s">
        <v>113</v>
      </c>
    </row>
    <row r="4" spans="1:3" x14ac:dyDescent="0.25">
      <c r="A4">
        <v>3</v>
      </c>
      <c r="B4" t="s">
        <v>1</v>
      </c>
      <c r="C4" t="s">
        <v>114</v>
      </c>
    </row>
    <row r="5" spans="1:3" x14ac:dyDescent="0.25">
      <c r="A5">
        <v>4</v>
      </c>
      <c r="B5" t="s">
        <v>2</v>
      </c>
      <c r="C5" t="s">
        <v>115</v>
      </c>
    </row>
    <row r="6" spans="1:3" x14ac:dyDescent="0.25">
      <c r="A6">
        <v>5</v>
      </c>
      <c r="B6" t="s">
        <v>4</v>
      </c>
      <c r="C6" t="s">
        <v>116</v>
      </c>
    </row>
    <row r="7" spans="1:3" x14ac:dyDescent="0.25">
      <c r="A7">
        <v>6</v>
      </c>
      <c r="B7" t="s">
        <v>24</v>
      </c>
      <c r="C7" t="s">
        <v>117</v>
      </c>
    </row>
    <row r="8" spans="1:3" x14ac:dyDescent="0.25">
      <c r="A8">
        <v>7</v>
      </c>
      <c r="B8" t="s">
        <v>25</v>
      </c>
      <c r="C8" t="s">
        <v>118</v>
      </c>
    </row>
    <row r="9" spans="1:3" x14ac:dyDescent="0.25">
      <c r="A9">
        <v>8</v>
      </c>
      <c r="B9" t="s">
        <v>20</v>
      </c>
      <c r="C9" t="s">
        <v>119</v>
      </c>
    </row>
    <row r="10" spans="1:3" x14ac:dyDescent="0.25">
      <c r="A10">
        <v>9</v>
      </c>
      <c r="B10" t="s">
        <v>26</v>
      </c>
      <c r="C10" t="s">
        <v>120</v>
      </c>
    </row>
    <row r="11" spans="1:3" x14ac:dyDescent="0.25">
      <c r="A11">
        <v>10</v>
      </c>
      <c r="B11" t="s">
        <v>22</v>
      </c>
      <c r="C11" t="s">
        <v>121</v>
      </c>
    </row>
    <row r="12" spans="1:3" x14ac:dyDescent="0.25">
      <c r="A12">
        <v>11</v>
      </c>
      <c r="B12" t="s">
        <v>18</v>
      </c>
      <c r="C12" t="s">
        <v>122</v>
      </c>
    </row>
    <row r="13" spans="1:3" x14ac:dyDescent="0.25">
      <c r="A13">
        <v>12</v>
      </c>
      <c r="B13" t="s">
        <v>10</v>
      </c>
      <c r="C13" t="s">
        <v>123</v>
      </c>
    </row>
    <row r="14" spans="1:3" x14ac:dyDescent="0.25">
      <c r="A14">
        <v>13</v>
      </c>
      <c r="B14" t="s">
        <v>9</v>
      </c>
      <c r="C14" t="s">
        <v>124</v>
      </c>
    </row>
    <row r="15" spans="1:3" x14ac:dyDescent="0.25">
      <c r="A15">
        <v>14</v>
      </c>
      <c r="B15" t="s">
        <v>30</v>
      </c>
      <c r="C15" t="s">
        <v>125</v>
      </c>
    </row>
    <row r="16" spans="1:3" x14ac:dyDescent="0.25">
      <c r="A16">
        <v>15</v>
      </c>
      <c r="B16" t="s">
        <v>16</v>
      </c>
      <c r="C16" t="s">
        <v>126</v>
      </c>
    </row>
    <row r="17" spans="1:3" x14ac:dyDescent="0.25">
      <c r="A17">
        <v>16</v>
      </c>
      <c r="B17" t="s">
        <v>34</v>
      </c>
      <c r="C17" t="s">
        <v>127</v>
      </c>
    </row>
    <row r="18" spans="1:3" x14ac:dyDescent="0.25">
      <c r="A18">
        <v>17</v>
      </c>
      <c r="B18" t="s">
        <v>29</v>
      </c>
      <c r="C18" t="s">
        <v>128</v>
      </c>
    </row>
    <row r="19" spans="1:3" x14ac:dyDescent="0.25">
      <c r="A19">
        <v>18</v>
      </c>
      <c r="B19" t="s">
        <v>21</v>
      </c>
      <c r="C19" t="s">
        <v>129</v>
      </c>
    </row>
    <row r="20" spans="1:3" x14ac:dyDescent="0.25">
      <c r="A20">
        <v>19</v>
      </c>
      <c r="B20" t="s">
        <v>27</v>
      </c>
      <c r="C20" t="s">
        <v>130</v>
      </c>
    </row>
    <row r="21" spans="1:3" x14ac:dyDescent="0.25">
      <c r="A21">
        <v>20</v>
      </c>
      <c r="B21" t="s">
        <v>13</v>
      </c>
      <c r="C21" t="s">
        <v>131</v>
      </c>
    </row>
    <row r="22" spans="1:3" x14ac:dyDescent="0.25">
      <c r="A22">
        <v>21</v>
      </c>
      <c r="B22" t="s">
        <v>7</v>
      </c>
      <c r="C22" t="s">
        <v>132</v>
      </c>
    </row>
    <row r="23" spans="1:3" x14ac:dyDescent="0.25">
      <c r="A23">
        <v>22</v>
      </c>
      <c r="B23" t="s">
        <v>15</v>
      </c>
      <c r="C23" t="s">
        <v>133</v>
      </c>
    </row>
    <row r="24" spans="1:3" x14ac:dyDescent="0.25">
      <c r="A24">
        <v>23</v>
      </c>
      <c r="B24" t="s">
        <v>14</v>
      </c>
      <c r="C24" t="s">
        <v>134</v>
      </c>
    </row>
    <row r="25" spans="1:3" x14ac:dyDescent="0.25">
      <c r="A25">
        <v>24</v>
      </c>
      <c r="B25" t="s">
        <v>6</v>
      </c>
      <c r="C25" t="s">
        <v>135</v>
      </c>
    </row>
    <row r="26" spans="1:3" x14ac:dyDescent="0.25">
      <c r="A26">
        <v>25</v>
      </c>
      <c r="B26" t="s">
        <v>8</v>
      </c>
      <c r="C26" t="s">
        <v>136</v>
      </c>
    </row>
    <row r="27" spans="1:3" x14ac:dyDescent="0.25">
      <c r="A27">
        <v>26</v>
      </c>
      <c r="B27" t="s">
        <v>19</v>
      </c>
      <c r="C27" t="s">
        <v>137</v>
      </c>
    </row>
    <row r="28" spans="1:3" x14ac:dyDescent="0.25">
      <c r="A28">
        <v>27</v>
      </c>
      <c r="B28" t="s">
        <v>33</v>
      </c>
      <c r="C28" t="s">
        <v>138</v>
      </c>
    </row>
    <row r="29" spans="1:3" x14ac:dyDescent="0.25">
      <c r="A29">
        <v>28</v>
      </c>
      <c r="B29" t="s">
        <v>28</v>
      </c>
      <c r="C29" t="s">
        <v>139</v>
      </c>
    </row>
    <row r="30" spans="1:3" x14ac:dyDescent="0.25">
      <c r="A30">
        <v>29</v>
      </c>
      <c r="B30" t="s">
        <v>23</v>
      </c>
      <c r="C30" t="s">
        <v>140</v>
      </c>
    </row>
    <row r="31" spans="1:3" x14ac:dyDescent="0.25">
      <c r="A31">
        <v>30</v>
      </c>
      <c r="B31" t="s">
        <v>11</v>
      </c>
      <c r="C31" t="s">
        <v>141</v>
      </c>
    </row>
    <row r="32" spans="1:3" x14ac:dyDescent="0.25">
      <c r="A32">
        <v>31</v>
      </c>
      <c r="B32" t="s">
        <v>17</v>
      </c>
      <c r="C32" t="s">
        <v>142</v>
      </c>
    </row>
    <row r="33" spans="1:3" x14ac:dyDescent="0.25">
      <c r="A33">
        <v>32</v>
      </c>
      <c r="B33" t="s">
        <v>12</v>
      </c>
      <c r="C33" t="s">
        <v>143</v>
      </c>
    </row>
    <row r="34" spans="1:3" x14ac:dyDescent="0.25">
      <c r="A34">
        <v>33</v>
      </c>
      <c r="B34" t="s">
        <v>31</v>
      </c>
      <c r="C34" t="s">
        <v>144</v>
      </c>
    </row>
    <row r="35" spans="1:3" x14ac:dyDescent="0.25">
      <c r="A35">
        <v>34</v>
      </c>
      <c r="B35" t="s">
        <v>32</v>
      </c>
      <c r="C35" t="s">
        <v>145</v>
      </c>
    </row>
    <row r="36" spans="1:3" x14ac:dyDescent="0.25">
      <c r="A36">
        <v>35</v>
      </c>
      <c r="B36" t="s">
        <v>35</v>
      </c>
      <c r="C36" t="s">
        <v>146</v>
      </c>
    </row>
    <row r="37" spans="1:3" x14ac:dyDescent="0.25">
      <c r="A37">
        <v>36</v>
      </c>
      <c r="B37" t="s">
        <v>47</v>
      </c>
      <c r="C37" t="s">
        <v>147</v>
      </c>
    </row>
    <row r="38" spans="1:3" x14ac:dyDescent="0.25">
      <c r="A38">
        <v>37</v>
      </c>
      <c r="B38" t="s">
        <v>88</v>
      </c>
      <c r="C38" t="s">
        <v>148</v>
      </c>
    </row>
    <row r="39" spans="1:3" x14ac:dyDescent="0.25">
      <c r="A39">
        <v>38</v>
      </c>
      <c r="B39" t="s">
        <v>46</v>
      </c>
      <c r="C39" t="s">
        <v>149</v>
      </c>
    </row>
    <row r="40" spans="1:3" x14ac:dyDescent="0.25">
      <c r="A40">
        <v>39</v>
      </c>
      <c r="B40" t="s">
        <v>64</v>
      </c>
      <c r="C40" t="s">
        <v>150</v>
      </c>
    </row>
    <row r="41" spans="1:3" x14ac:dyDescent="0.25">
      <c r="A41">
        <v>40</v>
      </c>
      <c r="B41" t="s">
        <v>68</v>
      </c>
      <c r="C41" t="s">
        <v>151</v>
      </c>
    </row>
    <row r="42" spans="1:3" x14ac:dyDescent="0.25">
      <c r="A42">
        <v>41</v>
      </c>
      <c r="B42" t="s">
        <v>79</v>
      </c>
      <c r="C42" t="s">
        <v>152</v>
      </c>
    </row>
    <row r="43" spans="1:3" x14ac:dyDescent="0.25">
      <c r="A43">
        <v>42</v>
      </c>
      <c r="B43" t="s">
        <v>85</v>
      </c>
      <c r="C43" t="s">
        <v>153</v>
      </c>
    </row>
    <row r="44" spans="1:3" x14ac:dyDescent="0.25">
      <c r="A44">
        <v>43</v>
      </c>
      <c r="B44" t="s">
        <v>86</v>
      </c>
      <c r="C44" t="s">
        <v>154</v>
      </c>
    </row>
    <row r="45" spans="1:3" x14ac:dyDescent="0.25">
      <c r="A45">
        <v>44</v>
      </c>
      <c r="B45" t="s">
        <v>87</v>
      </c>
      <c r="C45" t="s">
        <v>155</v>
      </c>
    </row>
    <row r="46" spans="1:3" x14ac:dyDescent="0.25">
      <c r="A46">
        <v>45</v>
      </c>
      <c r="B46" t="s">
        <v>73</v>
      </c>
      <c r="C46" t="s">
        <v>156</v>
      </c>
    </row>
    <row r="47" spans="1:3" x14ac:dyDescent="0.25">
      <c r="A47">
        <v>46</v>
      </c>
      <c r="B47" t="s">
        <v>71</v>
      </c>
      <c r="C47" t="s">
        <v>157</v>
      </c>
    </row>
    <row r="48" spans="1:3" x14ac:dyDescent="0.25">
      <c r="A48">
        <v>47</v>
      </c>
      <c r="B48" t="s">
        <v>51</v>
      </c>
      <c r="C48" t="s">
        <v>158</v>
      </c>
    </row>
    <row r="49" spans="1:3" x14ac:dyDescent="0.25">
      <c r="A49">
        <v>48</v>
      </c>
      <c r="B49" t="s">
        <v>53</v>
      </c>
      <c r="C49" t="s">
        <v>159</v>
      </c>
    </row>
    <row r="50" spans="1:3" x14ac:dyDescent="0.25">
      <c r="A50">
        <v>49</v>
      </c>
      <c r="B50" t="s">
        <v>54</v>
      </c>
      <c r="C50" t="s">
        <v>160</v>
      </c>
    </row>
    <row r="51" spans="1:3" x14ac:dyDescent="0.25">
      <c r="A51">
        <v>50</v>
      </c>
      <c r="B51" t="s">
        <v>48</v>
      </c>
      <c r="C51" t="s">
        <v>161</v>
      </c>
    </row>
    <row r="52" spans="1:3" x14ac:dyDescent="0.25">
      <c r="A52">
        <v>51</v>
      </c>
      <c r="B52" t="s">
        <v>82</v>
      </c>
      <c r="C52" t="s">
        <v>162</v>
      </c>
    </row>
    <row r="53" spans="1:3" x14ac:dyDescent="0.25">
      <c r="A53">
        <v>52</v>
      </c>
      <c r="B53" t="s">
        <v>63</v>
      </c>
      <c r="C53" t="s">
        <v>163</v>
      </c>
    </row>
    <row r="54" spans="1:3" x14ac:dyDescent="0.25">
      <c r="A54">
        <v>53</v>
      </c>
      <c r="B54" t="s">
        <v>91</v>
      </c>
      <c r="C54" t="s">
        <v>164</v>
      </c>
    </row>
    <row r="55" spans="1:3" x14ac:dyDescent="0.25">
      <c r="A55">
        <v>54</v>
      </c>
      <c r="B55" t="s">
        <v>92</v>
      </c>
      <c r="C55" t="s">
        <v>165</v>
      </c>
    </row>
    <row r="56" spans="1:3" x14ac:dyDescent="0.25">
      <c r="A56">
        <v>55</v>
      </c>
      <c r="B56" t="s">
        <v>81</v>
      </c>
      <c r="C56" t="s">
        <v>166</v>
      </c>
    </row>
    <row r="57" spans="1:3" x14ac:dyDescent="0.25">
      <c r="A57">
        <v>56</v>
      </c>
      <c r="B57" t="s">
        <v>80</v>
      </c>
      <c r="C57" t="s">
        <v>167</v>
      </c>
    </row>
    <row r="58" spans="1:3" x14ac:dyDescent="0.25">
      <c r="A58">
        <v>57</v>
      </c>
      <c r="B58" t="s">
        <v>59</v>
      </c>
      <c r="C58" t="s">
        <v>168</v>
      </c>
    </row>
    <row r="59" spans="1:3" x14ac:dyDescent="0.25">
      <c r="A59">
        <v>58</v>
      </c>
      <c r="B59" t="s">
        <v>36</v>
      </c>
      <c r="C59" t="s">
        <v>169</v>
      </c>
    </row>
    <row r="60" spans="1:3" x14ac:dyDescent="0.25">
      <c r="A60">
        <v>59</v>
      </c>
      <c r="B60" t="s">
        <v>38</v>
      </c>
      <c r="C60" t="s">
        <v>170</v>
      </c>
    </row>
    <row r="61" spans="1:3" x14ac:dyDescent="0.25">
      <c r="A61">
        <v>60</v>
      </c>
      <c r="B61" t="s">
        <v>55</v>
      </c>
      <c r="C61" t="s">
        <v>171</v>
      </c>
    </row>
    <row r="62" spans="1:3" x14ac:dyDescent="0.25">
      <c r="A62">
        <v>61</v>
      </c>
      <c r="B62" t="s">
        <v>56</v>
      </c>
      <c r="C62" t="s">
        <v>172</v>
      </c>
    </row>
    <row r="63" spans="1:3" x14ac:dyDescent="0.25">
      <c r="A63">
        <v>62</v>
      </c>
      <c r="B63" t="s">
        <v>83</v>
      </c>
      <c r="C63" t="s">
        <v>173</v>
      </c>
    </row>
    <row r="64" spans="1:3" x14ac:dyDescent="0.25">
      <c r="A64">
        <v>63</v>
      </c>
      <c r="B64" t="s">
        <v>60</v>
      </c>
      <c r="C64" t="s">
        <v>174</v>
      </c>
    </row>
    <row r="65" spans="1:3" x14ac:dyDescent="0.25">
      <c r="A65">
        <v>64</v>
      </c>
      <c r="B65" t="s">
        <v>75</v>
      </c>
      <c r="C65" t="s">
        <v>175</v>
      </c>
    </row>
    <row r="66" spans="1:3" x14ac:dyDescent="0.25">
      <c r="A66">
        <v>65</v>
      </c>
      <c r="B66" t="s">
        <v>77</v>
      </c>
      <c r="C66" t="s">
        <v>176</v>
      </c>
    </row>
    <row r="67" spans="1:3" x14ac:dyDescent="0.25">
      <c r="A67">
        <v>66</v>
      </c>
      <c r="B67" t="s">
        <v>69</v>
      </c>
      <c r="C67" t="s">
        <v>177</v>
      </c>
    </row>
    <row r="68" spans="1:3" x14ac:dyDescent="0.25">
      <c r="A68">
        <v>67</v>
      </c>
      <c r="B68" t="s">
        <v>72</v>
      </c>
      <c r="C68" t="s">
        <v>178</v>
      </c>
    </row>
    <row r="69" spans="1:3" x14ac:dyDescent="0.25">
      <c r="A69">
        <v>68</v>
      </c>
      <c r="B69" t="s">
        <v>42</v>
      </c>
      <c r="C69" t="s">
        <v>179</v>
      </c>
    </row>
    <row r="70" spans="1:3" x14ac:dyDescent="0.25">
      <c r="A70">
        <v>69</v>
      </c>
      <c r="B70" t="s">
        <v>43</v>
      </c>
      <c r="C70" t="s">
        <v>180</v>
      </c>
    </row>
    <row r="71" spans="1:3" x14ac:dyDescent="0.25">
      <c r="A71">
        <v>70</v>
      </c>
      <c r="B71" t="s">
        <v>76</v>
      </c>
      <c r="C71" t="s">
        <v>181</v>
      </c>
    </row>
    <row r="72" spans="1:3" x14ac:dyDescent="0.25">
      <c r="A72">
        <v>71</v>
      </c>
      <c r="B72" t="s">
        <v>78</v>
      </c>
      <c r="C72" t="s">
        <v>182</v>
      </c>
    </row>
    <row r="73" spans="1:3" x14ac:dyDescent="0.25">
      <c r="A73">
        <v>72</v>
      </c>
      <c r="B73" t="s">
        <v>90</v>
      </c>
      <c r="C73" t="s">
        <v>183</v>
      </c>
    </row>
    <row r="74" spans="1:3" x14ac:dyDescent="0.25">
      <c r="A74">
        <v>73</v>
      </c>
      <c r="B74" t="s">
        <v>58</v>
      </c>
      <c r="C74" t="s">
        <v>184</v>
      </c>
    </row>
    <row r="75" spans="1:3" x14ac:dyDescent="0.25">
      <c r="A75">
        <v>74</v>
      </c>
      <c r="B75" t="s">
        <v>37</v>
      </c>
      <c r="C75" t="s">
        <v>185</v>
      </c>
    </row>
    <row r="76" spans="1:3" x14ac:dyDescent="0.25">
      <c r="A76">
        <v>75</v>
      </c>
      <c r="B76" t="s">
        <v>49</v>
      </c>
      <c r="C76" t="s">
        <v>186</v>
      </c>
    </row>
    <row r="77" spans="1:3" x14ac:dyDescent="0.25">
      <c r="A77">
        <v>76</v>
      </c>
      <c r="B77" t="s">
        <v>65</v>
      </c>
      <c r="C77" t="s">
        <v>187</v>
      </c>
    </row>
    <row r="78" spans="1:3" x14ac:dyDescent="0.25">
      <c r="A78">
        <v>77</v>
      </c>
      <c r="B78" t="s">
        <v>40</v>
      </c>
      <c r="C78" t="s">
        <v>188</v>
      </c>
    </row>
    <row r="79" spans="1:3" x14ac:dyDescent="0.25">
      <c r="A79">
        <v>78</v>
      </c>
      <c r="B79" t="s">
        <v>94</v>
      </c>
      <c r="C79" t="s">
        <v>189</v>
      </c>
    </row>
    <row r="80" spans="1:3" x14ac:dyDescent="0.25">
      <c r="A80">
        <v>79</v>
      </c>
      <c r="B80" t="s">
        <v>74</v>
      </c>
      <c r="C80" t="s">
        <v>190</v>
      </c>
    </row>
    <row r="81" spans="1:3" x14ac:dyDescent="0.25">
      <c r="A81">
        <v>80</v>
      </c>
      <c r="B81" t="s">
        <v>84</v>
      </c>
      <c r="C81" t="s">
        <v>191</v>
      </c>
    </row>
    <row r="82" spans="1:3" x14ac:dyDescent="0.25">
      <c r="A82">
        <v>81</v>
      </c>
      <c r="B82" t="s">
        <v>50</v>
      </c>
      <c r="C82" t="s">
        <v>192</v>
      </c>
    </row>
    <row r="83" spans="1:3" x14ac:dyDescent="0.25">
      <c r="A83">
        <v>82</v>
      </c>
      <c r="B83" t="s">
        <v>62</v>
      </c>
      <c r="C83" t="s">
        <v>193</v>
      </c>
    </row>
    <row r="84" spans="1:3" x14ac:dyDescent="0.25">
      <c r="A84">
        <v>83</v>
      </c>
      <c r="B84" t="s">
        <v>66</v>
      </c>
      <c r="C84" t="s">
        <v>194</v>
      </c>
    </row>
    <row r="85" spans="1:3" x14ac:dyDescent="0.25">
      <c r="A85">
        <v>84</v>
      </c>
      <c r="B85" t="s">
        <v>39</v>
      </c>
      <c r="C85" t="s">
        <v>195</v>
      </c>
    </row>
    <row r="86" spans="1:3" x14ac:dyDescent="0.25">
      <c r="A86">
        <v>85</v>
      </c>
      <c r="B86" t="s">
        <v>70</v>
      </c>
      <c r="C86" t="s">
        <v>196</v>
      </c>
    </row>
    <row r="87" spans="1:3" x14ac:dyDescent="0.25">
      <c r="A87">
        <v>86</v>
      </c>
      <c r="B87" t="s">
        <v>52</v>
      </c>
      <c r="C87" t="s">
        <v>197</v>
      </c>
    </row>
    <row r="88" spans="1:3" x14ac:dyDescent="0.25">
      <c r="A88">
        <v>87</v>
      </c>
      <c r="B88" t="s">
        <v>93</v>
      </c>
      <c r="C88" t="s">
        <v>198</v>
      </c>
    </row>
    <row r="89" spans="1:3" x14ac:dyDescent="0.25">
      <c r="A89">
        <v>88</v>
      </c>
      <c r="B89" t="s">
        <v>89</v>
      </c>
      <c r="C89" t="s">
        <v>199</v>
      </c>
    </row>
    <row r="90" spans="1:3" x14ac:dyDescent="0.25">
      <c r="A90">
        <v>89</v>
      </c>
      <c r="B90" t="s">
        <v>61</v>
      </c>
      <c r="C90" t="s">
        <v>200</v>
      </c>
    </row>
    <row r="91" spans="1:3" x14ac:dyDescent="0.25">
      <c r="A91">
        <v>90</v>
      </c>
      <c r="B91" t="s">
        <v>44</v>
      </c>
      <c r="C91" t="s">
        <v>201</v>
      </c>
    </row>
    <row r="92" spans="1:3" x14ac:dyDescent="0.25">
      <c r="A92">
        <v>91</v>
      </c>
      <c r="B92" t="s">
        <v>45</v>
      </c>
      <c r="C92" t="s">
        <v>202</v>
      </c>
    </row>
    <row r="93" spans="1:3" x14ac:dyDescent="0.25">
      <c r="A93">
        <v>92</v>
      </c>
      <c r="B93" t="s">
        <v>67</v>
      </c>
      <c r="C93" t="s">
        <v>203</v>
      </c>
    </row>
    <row r="94" spans="1:3" x14ac:dyDescent="0.25">
      <c r="A94">
        <v>93</v>
      </c>
      <c r="B94" t="s">
        <v>41</v>
      </c>
      <c r="C94" t="s">
        <v>204</v>
      </c>
    </row>
    <row r="95" spans="1:3" x14ac:dyDescent="0.25">
      <c r="A95">
        <v>94</v>
      </c>
      <c r="B95" t="s">
        <v>57</v>
      </c>
      <c r="C95" t="s">
        <v>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6E15-53ED-4909-843C-D0B5D411D1D5}">
  <dimension ref="A1:H95"/>
  <sheetViews>
    <sheetView tabSelected="1" topLeftCell="G1" workbookViewId="0">
      <selection activeCell="H3" sqref="H3"/>
    </sheetView>
  </sheetViews>
  <sheetFormatPr defaultRowHeight="15" x14ac:dyDescent="0.25"/>
  <cols>
    <col min="1" max="1" width="39.7109375" bestFit="1" customWidth="1"/>
    <col min="2" max="2" width="14.5703125" bestFit="1" customWidth="1"/>
    <col min="3" max="3" width="12.42578125" bestFit="1" customWidth="1"/>
    <col min="4" max="4" width="12" bestFit="1" customWidth="1"/>
    <col min="5" max="5" width="10.140625" bestFit="1" customWidth="1"/>
    <col min="6" max="6" width="90.140625" customWidth="1"/>
    <col min="7" max="7" width="98.5703125" customWidth="1"/>
    <col min="8" max="8" width="89.42578125" customWidth="1"/>
  </cols>
  <sheetData>
    <row r="1" spans="1:8" x14ac:dyDescent="0.25">
      <c r="A1" s="7" t="s">
        <v>106</v>
      </c>
      <c r="B1" t="s">
        <v>107</v>
      </c>
      <c r="C1" s="17" t="s">
        <v>207</v>
      </c>
      <c r="D1" s="18" t="s">
        <v>206</v>
      </c>
      <c r="E1" s="26"/>
    </row>
    <row r="2" spans="1:8" ht="119.25" customHeight="1" x14ac:dyDescent="0.25">
      <c r="A2" s="3" t="s">
        <v>1</v>
      </c>
      <c r="B2" s="27" t="str">
        <f>VLOOKUP(A2,policy1!B:C,2,0)</f>
        <v>040000164680</v>
      </c>
      <c r="C2" s="8">
        <v>4600</v>
      </c>
      <c r="D2" s="18" t="s">
        <v>206</v>
      </c>
      <c r="E2" s="28" t="str">
        <f>VLOOKUP(A2,policy1!B:D,3,0)</f>
        <v>09000221</v>
      </c>
      <c r="F2" s="29" t="str">
        <f t="shared" ref="F2:F65" si="0">"insert into ins_premium_det (premium_rcv_code,assorted_code, rec_amount,premium_rcv_detail_code,remaining_amt, payrec, mode_code,paid_to_code,class_cd) values"</f>
        <v>insert into ins_premium_det (premium_rcv_code,assorted_code, rec_amount,premium_rcv_detail_code,remaining_amt, payrec, mode_code,paid_to_code,class_cd) values</v>
      </c>
      <c r="G2" s="30" t="str">
        <f t="shared" ref="G2:G65" si="1">"('"&amp;D1&amp;"','"&amp;B2&amp;"','"&amp;C2&amp;"',(select max(to_number(i.premium_rcv_detail_code))+1 from ins_premium_det i),'"&amp;C2&amp;"','"&amp;C2&amp;"','03', '"&amp;E2&amp;"','00');"</f>
        <v>('21Jan250071','040000164680','4600',(select max(to_number(i.premium_rcv_detail_code))+1 from ins_premium_det i),'4600','4600','03', '09000221','00');</v>
      </c>
      <c r="H2" s="31" t="str">
        <f t="shared" ref="H2:H65" si="2">F2&amp;G2</f>
        <v>insert into ins_premium_det (premium_rcv_code,assorted_code, rec_amount,premium_rcv_detail_code,remaining_amt, payrec, mode_code,paid_to_code,class_cd) values('21Jan250071','040000164680','4600',(select max(to_number(i.premium_rcv_detail_code))+1 from ins_premium_det i),'4600','4600','03', '09000221','00');</v>
      </c>
    </row>
    <row r="3" spans="1:8" ht="75" x14ac:dyDescent="0.25">
      <c r="A3" s="2" t="s">
        <v>2</v>
      </c>
      <c r="B3" s="27" t="str">
        <f>VLOOKUP(A3,policy1!B:C,2,0)</f>
        <v>040000164686</v>
      </c>
      <c r="C3" s="9">
        <v>6137</v>
      </c>
      <c r="D3" s="18" t="s">
        <v>206</v>
      </c>
      <c r="E3" s="28" t="str">
        <f>VLOOKUP(A3,policy1!B:D,3,0)</f>
        <v>09000221</v>
      </c>
      <c r="F3" s="29" t="str">
        <f t="shared" si="0"/>
        <v>insert into ins_premium_det (premium_rcv_code,assorted_code, rec_amount,premium_rcv_detail_code,remaining_amt, payrec, mode_code,paid_to_code,class_cd) values</v>
      </c>
      <c r="G3" s="30" t="str">
        <f t="shared" si="1"/>
        <v>('21Jan250071','040000164686','6137',(select max(to_number(i.premium_rcv_detail_code))+1 from ins_premium_det i),'6137','6137','03', '09000221','00');</v>
      </c>
      <c r="H3" s="31" t="str">
        <f t="shared" si="2"/>
        <v>insert into ins_premium_det (premium_rcv_code,assorted_code, rec_amount,premium_rcv_detail_code,remaining_amt, payrec, mode_code,paid_to_code,class_cd) values('21Jan250071','040000164686','6137',(select max(to_number(i.premium_rcv_detail_code))+1 from ins_premium_det i),'6137','6137','03', '09000221','00');</v>
      </c>
    </row>
    <row r="4" spans="1:8" ht="75" x14ac:dyDescent="0.25">
      <c r="A4" s="2" t="s">
        <v>3</v>
      </c>
      <c r="B4" s="27" t="str">
        <f>VLOOKUP(A4,policy1!B:C,2,0)</f>
        <v>040000164687</v>
      </c>
      <c r="C4" s="9">
        <v>4707</v>
      </c>
      <c r="D4" s="18" t="s">
        <v>206</v>
      </c>
      <c r="E4" s="28" t="str">
        <f>VLOOKUP(A4,policy1!B:D,3,0)</f>
        <v>09000221</v>
      </c>
      <c r="F4" s="29" t="str">
        <f t="shared" si="0"/>
        <v>insert into ins_premium_det (premium_rcv_code,assorted_code, rec_amount,premium_rcv_detail_code,remaining_amt, payrec, mode_code,paid_to_code,class_cd) values</v>
      </c>
      <c r="G4" s="30" t="str">
        <f t="shared" si="1"/>
        <v>('21Jan250071','040000164687','4707',(select max(to_number(i.premium_rcv_detail_code))+1 from ins_premium_det i),'4707','4707','03', '09000221','00');</v>
      </c>
      <c r="H4" s="31" t="str">
        <f t="shared" si="2"/>
        <v>insert into ins_premium_det (premium_rcv_code,assorted_code, rec_amount,premium_rcv_detail_code,remaining_amt, payrec, mode_code,paid_to_code,class_cd) values('21Jan250071','040000164687','4707',(select max(to_number(i.premium_rcv_detail_code))+1 from ins_premium_det i),'4707','4707','03', '09000221','00');</v>
      </c>
    </row>
    <row r="5" spans="1:8" ht="75" x14ac:dyDescent="0.25">
      <c r="A5" s="2" t="s">
        <v>4</v>
      </c>
      <c r="B5" s="27" t="str">
        <f>VLOOKUP(A5,policy1!B:C,2,0)</f>
        <v>040000164703</v>
      </c>
      <c r="C5" s="9">
        <v>8038</v>
      </c>
      <c r="D5" s="18" t="s">
        <v>206</v>
      </c>
      <c r="E5" s="28" t="str">
        <f>VLOOKUP(A5,policy1!B:D,3,0)</f>
        <v>09000221</v>
      </c>
      <c r="F5" s="29" t="str">
        <f t="shared" si="0"/>
        <v>insert into ins_premium_det (premium_rcv_code,assorted_code, rec_amount,premium_rcv_detail_code,remaining_amt, payrec, mode_code,paid_to_code,class_cd) values</v>
      </c>
      <c r="G5" s="30" t="str">
        <f t="shared" si="1"/>
        <v>('21Jan250071','040000164703','8038',(select max(to_number(i.premium_rcv_detail_code))+1 from ins_premium_det i),'8038','8038','03', '09000221','00');</v>
      </c>
      <c r="H5" s="31" t="str">
        <f t="shared" si="2"/>
        <v>insert into ins_premium_det (premium_rcv_code,assorted_code, rec_amount,premium_rcv_detail_code,remaining_amt, payrec, mode_code,paid_to_code,class_cd) values('21Jan250071','040000164703','8038',(select max(to_number(i.premium_rcv_detail_code))+1 from ins_premium_det i),'8038','8038','03', '09000221','00');</v>
      </c>
    </row>
    <row r="6" spans="1:8" ht="75" x14ac:dyDescent="0.25">
      <c r="A6" s="2" t="s">
        <v>5</v>
      </c>
      <c r="B6" s="27" t="str">
        <f>VLOOKUP(A6,policy1!B:C,2,0)</f>
        <v>040000164704</v>
      </c>
      <c r="C6" s="9">
        <v>500</v>
      </c>
      <c r="D6" s="18" t="s">
        <v>206</v>
      </c>
      <c r="E6" s="28" t="str">
        <f>VLOOKUP(A6,policy1!B:D,3,0)</f>
        <v>09000221</v>
      </c>
      <c r="F6" s="29" t="str">
        <f t="shared" si="0"/>
        <v>insert into ins_premium_det (premium_rcv_code,assorted_code, rec_amount,premium_rcv_detail_code,remaining_amt, payrec, mode_code,paid_to_code,class_cd) values</v>
      </c>
      <c r="G6" s="30" t="str">
        <f t="shared" si="1"/>
        <v>('21Jan250071','040000164704','500',(select max(to_number(i.premium_rcv_detail_code))+1 from ins_premium_det i),'500','500','03', '09000221','00');</v>
      </c>
      <c r="H6" s="31" t="str">
        <f t="shared" si="2"/>
        <v>insert into ins_premium_det (premium_rcv_code,assorted_code, rec_amount,premium_rcv_detail_code,remaining_amt, payrec, mode_code,paid_to_code,class_cd) values('21Jan250071','040000164704','500',(select max(to_number(i.premium_rcv_detail_code))+1 from ins_premium_det i),'500','500','03', '09000221','00');</v>
      </c>
    </row>
    <row r="7" spans="1:8" ht="75" x14ac:dyDescent="0.25">
      <c r="A7" s="2" t="s">
        <v>6</v>
      </c>
      <c r="B7" s="27" t="str">
        <f>VLOOKUP(A7,policy1!B:C,2,0)</f>
        <v>040000177370</v>
      </c>
      <c r="C7" s="9">
        <v>21900</v>
      </c>
      <c r="D7" s="18" t="s">
        <v>206</v>
      </c>
      <c r="E7" s="28" t="str">
        <f>VLOOKUP(A7,policy1!B:D,3,0)</f>
        <v>09000794</v>
      </c>
      <c r="F7" s="29" t="str">
        <f t="shared" si="0"/>
        <v>insert into ins_premium_det (premium_rcv_code,assorted_code, rec_amount,premium_rcv_detail_code,remaining_amt, payrec, mode_code,paid_to_code,class_cd) values</v>
      </c>
      <c r="G7" s="30" t="str">
        <f t="shared" si="1"/>
        <v>('21Jan250071','040000177370','21900',(select max(to_number(i.premium_rcv_detail_code))+1 from ins_premium_det i),'21900','21900','03', '09000794','00');</v>
      </c>
      <c r="H7" s="31" t="str">
        <f t="shared" si="2"/>
        <v>insert into ins_premium_det (premium_rcv_code,assorted_code, rec_amount,premium_rcv_detail_code,remaining_amt, payrec, mode_code,paid_to_code,class_cd) values('21Jan250071','040000177370','21900',(select max(to_number(i.premium_rcv_detail_code))+1 from ins_premium_det i),'21900','21900','03', '09000794','00');</v>
      </c>
    </row>
    <row r="8" spans="1:8" ht="75" x14ac:dyDescent="0.25">
      <c r="A8" s="2" t="s">
        <v>7</v>
      </c>
      <c r="B8" s="27" t="str">
        <f>VLOOKUP(A8,policy1!B:C,2,0)</f>
        <v>040000183859</v>
      </c>
      <c r="C8" s="9">
        <v>14500</v>
      </c>
      <c r="D8" s="18" t="s">
        <v>206</v>
      </c>
      <c r="E8" s="28" t="str">
        <f>VLOOKUP(A8,policy1!B:D,3,0)</f>
        <v>09000918</v>
      </c>
      <c r="F8" s="29" t="str">
        <f t="shared" si="0"/>
        <v>insert into ins_premium_det (premium_rcv_code,assorted_code, rec_amount,premium_rcv_detail_code,remaining_amt, payrec, mode_code,paid_to_code,class_cd) values</v>
      </c>
      <c r="G8" s="30" t="str">
        <f t="shared" si="1"/>
        <v>('21Jan250071','040000183859','14500',(select max(to_number(i.premium_rcv_detail_code))+1 from ins_premium_det i),'14500','14500','03', '09000918','00');</v>
      </c>
      <c r="H8" s="31" t="str">
        <f t="shared" si="2"/>
        <v>insert into ins_premium_det (premium_rcv_code,assorted_code, rec_amount,premium_rcv_detail_code,remaining_amt, payrec, mode_code,paid_to_code,class_cd) values('21Jan250071','040000183859','14500',(select max(to_number(i.premium_rcv_detail_code))+1 from ins_premium_det i),'14500','14500','03', '09000918','00');</v>
      </c>
    </row>
    <row r="9" spans="1:8" ht="75" x14ac:dyDescent="0.25">
      <c r="A9" s="2" t="s">
        <v>8</v>
      </c>
      <c r="B9" s="27" t="str">
        <f>VLOOKUP(A9,policy1!B:C,2,0)</f>
        <v>040000184391</v>
      </c>
      <c r="C9" s="9">
        <v>47725</v>
      </c>
      <c r="D9" s="18" t="s">
        <v>206</v>
      </c>
      <c r="E9" s="28" t="str">
        <f>VLOOKUP(A9,policy1!B:D,3,0)</f>
        <v>09000918</v>
      </c>
      <c r="F9" s="29" t="str">
        <f t="shared" si="0"/>
        <v>insert into ins_premium_det (premium_rcv_code,assorted_code, rec_amount,premium_rcv_detail_code,remaining_amt, payrec, mode_code,paid_to_code,class_cd) values</v>
      </c>
      <c r="G9" s="30" t="str">
        <f t="shared" si="1"/>
        <v>('21Jan250071','040000184391','47725',(select max(to_number(i.premium_rcv_detail_code))+1 from ins_premium_det i),'47725','47725','03', '09000918','00');</v>
      </c>
      <c r="H9" s="31" t="str">
        <f t="shared" si="2"/>
        <v>insert into ins_premium_det (premium_rcv_code,assorted_code, rec_amount,premium_rcv_detail_code,remaining_amt, payrec, mode_code,paid_to_code,class_cd) values('21Jan250071','040000184391','47725',(select max(to_number(i.premium_rcv_detail_code))+1 from ins_premium_det i),'47725','47725','03', '09000918','00');</v>
      </c>
    </row>
    <row r="10" spans="1:8" ht="75" x14ac:dyDescent="0.25">
      <c r="A10" s="2" t="s">
        <v>9</v>
      </c>
      <c r="B10" s="27" t="str">
        <f>VLOOKUP(A10,policy1!B:C,2,0)</f>
        <v>040000184395</v>
      </c>
      <c r="C10" s="9">
        <v>26324</v>
      </c>
      <c r="D10" s="18" t="s">
        <v>206</v>
      </c>
      <c r="E10" s="28" t="str">
        <f>VLOOKUP(A10,policy1!B:D,3,0)</f>
        <v>09000878</v>
      </c>
      <c r="F10" s="29" t="str">
        <f t="shared" si="0"/>
        <v>insert into ins_premium_det (premium_rcv_code,assorted_code, rec_amount,premium_rcv_detail_code,remaining_amt, payrec, mode_code,paid_to_code,class_cd) values</v>
      </c>
      <c r="G10" s="30" t="str">
        <f t="shared" si="1"/>
        <v>('21Jan250071','040000184395','26324',(select max(to_number(i.premium_rcv_detail_code))+1 from ins_premium_det i),'26324','26324','03', '09000878','00');</v>
      </c>
      <c r="H10" s="31" t="str">
        <f t="shared" si="2"/>
        <v>insert into ins_premium_det (premium_rcv_code,assorted_code, rec_amount,premium_rcv_detail_code,remaining_amt, payrec, mode_code,paid_to_code,class_cd) values('21Jan250071','040000184395','26324',(select max(to_number(i.premium_rcv_detail_code))+1 from ins_premium_det i),'26324','26324','03', '09000878','00');</v>
      </c>
    </row>
    <row r="11" spans="1:8" ht="75" x14ac:dyDescent="0.25">
      <c r="A11" s="2" t="s">
        <v>10</v>
      </c>
      <c r="B11" s="27" t="str">
        <f>VLOOKUP(A11,policy1!B:C,2,0)</f>
        <v>040000184682</v>
      </c>
      <c r="C11" s="9">
        <v>11390</v>
      </c>
      <c r="D11" s="18" t="s">
        <v>206</v>
      </c>
      <c r="E11" s="28" t="str">
        <f>VLOOKUP(A11,policy1!B:D,3,0)</f>
        <v>09000482</v>
      </c>
      <c r="F11" s="29" t="str">
        <f t="shared" si="0"/>
        <v>insert into ins_premium_det (premium_rcv_code,assorted_code, rec_amount,premium_rcv_detail_code,remaining_amt, payrec, mode_code,paid_to_code,class_cd) values</v>
      </c>
      <c r="G11" s="30" t="str">
        <f t="shared" si="1"/>
        <v>('21Jan250071','040000184682','11390',(select max(to_number(i.premium_rcv_detail_code))+1 from ins_premium_det i),'11390','11390','03', '09000482','00');</v>
      </c>
      <c r="H11" s="31" t="str">
        <f t="shared" si="2"/>
        <v>insert into ins_premium_det (premium_rcv_code,assorted_code, rec_amount,premium_rcv_detail_code,remaining_amt, payrec, mode_code,paid_to_code,class_cd) values('21Jan250071','040000184682','11390',(select max(to_number(i.premium_rcv_detail_code))+1 from ins_premium_det i),'11390','11390','03', '09000482','00');</v>
      </c>
    </row>
    <row r="12" spans="1:8" ht="75" x14ac:dyDescent="0.25">
      <c r="A12" s="2" t="s">
        <v>11</v>
      </c>
      <c r="B12" s="27" t="str">
        <f>VLOOKUP(A12,policy1!B:C,2,0)</f>
        <v>040000185478</v>
      </c>
      <c r="C12" s="9">
        <v>7894</v>
      </c>
      <c r="D12" s="18" t="s">
        <v>206</v>
      </c>
      <c r="E12" s="28" t="str">
        <f>VLOOKUP(A12,policy1!B:D,3,0)</f>
        <v>09000448</v>
      </c>
      <c r="F12" s="29" t="str">
        <f t="shared" si="0"/>
        <v>insert into ins_premium_det (premium_rcv_code,assorted_code, rec_amount,premium_rcv_detail_code,remaining_amt, payrec, mode_code,paid_to_code,class_cd) values</v>
      </c>
      <c r="G12" s="30" t="str">
        <f t="shared" si="1"/>
        <v>('21Jan250071','040000185478','7894',(select max(to_number(i.premium_rcv_detail_code))+1 from ins_premium_det i),'7894','7894','03', '09000448','00');</v>
      </c>
      <c r="H12" s="31" t="str">
        <f t="shared" si="2"/>
        <v>insert into ins_premium_det (premium_rcv_code,assorted_code, rec_amount,premium_rcv_detail_code,remaining_amt, payrec, mode_code,paid_to_code,class_cd) values('21Jan250071','040000185478','7894',(select max(to_number(i.premium_rcv_detail_code))+1 from ins_premium_det i),'7894','7894','03', '09000448','00');</v>
      </c>
    </row>
    <row r="13" spans="1:8" ht="75" x14ac:dyDescent="0.25">
      <c r="A13" s="2" t="s">
        <v>12</v>
      </c>
      <c r="B13" s="27" t="str">
        <f>VLOOKUP(A13,policy1!B:C,2,0)</f>
        <v>040000185937</v>
      </c>
      <c r="C13" s="9">
        <v>25773</v>
      </c>
      <c r="D13" s="18" t="s">
        <v>206</v>
      </c>
      <c r="E13" s="28" t="str">
        <f>VLOOKUP(A13,policy1!B:D,3,0)</f>
        <v>09000933</v>
      </c>
      <c r="F13" s="29" t="str">
        <f t="shared" si="0"/>
        <v>insert into ins_premium_det (premium_rcv_code,assorted_code, rec_amount,premium_rcv_detail_code,remaining_amt, payrec, mode_code,paid_to_code,class_cd) values</v>
      </c>
      <c r="G13" s="30" t="str">
        <f t="shared" si="1"/>
        <v>('21Jan250071','040000185937','25773',(select max(to_number(i.premium_rcv_detail_code))+1 from ins_premium_det i),'25773','25773','03', '09000933','00');</v>
      </c>
      <c r="H13" s="31" t="str">
        <f t="shared" si="2"/>
        <v>insert into ins_premium_det (premium_rcv_code,assorted_code, rec_amount,premium_rcv_detail_code,remaining_amt, payrec, mode_code,paid_to_code,class_cd) values('21Jan250071','040000185937','25773',(select max(to_number(i.premium_rcv_detail_code))+1 from ins_premium_det i),'25773','25773','03', '09000933','00');</v>
      </c>
    </row>
    <row r="14" spans="1:8" ht="75" x14ac:dyDescent="0.25">
      <c r="A14" s="2" t="s">
        <v>13</v>
      </c>
      <c r="B14" s="27" t="str">
        <f>VLOOKUP(A14,policy1!B:C,2,0)</f>
        <v>040000186036</v>
      </c>
      <c r="C14" s="9">
        <v>4884</v>
      </c>
      <c r="D14" s="18" t="s">
        <v>206</v>
      </c>
      <c r="E14" s="28" t="str">
        <f>VLOOKUP(A14,policy1!B:D,3,0)</f>
        <v>09000779</v>
      </c>
      <c r="F14" s="29" t="str">
        <f t="shared" si="0"/>
        <v>insert into ins_premium_det (premium_rcv_code,assorted_code, rec_amount,premium_rcv_detail_code,remaining_amt, payrec, mode_code,paid_to_code,class_cd) values</v>
      </c>
      <c r="G14" s="30" t="str">
        <f t="shared" si="1"/>
        <v>('21Jan250071','040000186036','4884',(select max(to_number(i.premium_rcv_detail_code))+1 from ins_premium_det i),'4884','4884','03', '09000779','00');</v>
      </c>
      <c r="H14" s="31" t="str">
        <f t="shared" si="2"/>
        <v>insert into ins_premium_det (premium_rcv_code,assorted_code, rec_amount,premium_rcv_detail_code,remaining_amt, payrec, mode_code,paid_to_code,class_cd) values('21Jan250071','040000186036','4884',(select max(to_number(i.premium_rcv_detail_code))+1 from ins_premium_det i),'4884','4884','03', '09000779','00');</v>
      </c>
    </row>
    <row r="15" spans="1:8" ht="75" x14ac:dyDescent="0.25">
      <c r="A15" s="2" t="s">
        <v>14</v>
      </c>
      <c r="B15" s="27" t="str">
        <f>VLOOKUP(A15,policy1!B:C,2,0)</f>
        <v>040000186055</v>
      </c>
      <c r="C15" s="9">
        <v>7900</v>
      </c>
      <c r="D15" s="18" t="s">
        <v>206</v>
      </c>
      <c r="E15" s="28" t="str">
        <f>VLOOKUP(A15,policy1!B:D,3,0)</f>
        <v>09000433</v>
      </c>
      <c r="F15" s="29" t="str">
        <f t="shared" si="0"/>
        <v>insert into ins_premium_det (premium_rcv_code,assorted_code, rec_amount,premium_rcv_detail_code,remaining_amt, payrec, mode_code,paid_to_code,class_cd) values</v>
      </c>
      <c r="G15" s="30" t="str">
        <f t="shared" si="1"/>
        <v>('21Jan250071','040000186055','7900',(select max(to_number(i.premium_rcv_detail_code))+1 from ins_premium_det i),'7900','7900','03', '09000433','00');</v>
      </c>
      <c r="H15" s="31" t="str">
        <f t="shared" si="2"/>
        <v>insert into ins_premium_det (premium_rcv_code,assorted_code, rec_amount,premium_rcv_detail_code,remaining_amt, payrec, mode_code,paid_to_code,class_cd) values('21Jan250071','040000186055','7900',(select max(to_number(i.premium_rcv_detail_code))+1 from ins_premium_det i),'7900','7900','03', '09000433','00');</v>
      </c>
    </row>
    <row r="16" spans="1:8" ht="75" x14ac:dyDescent="0.25">
      <c r="A16" s="2" t="s">
        <v>15</v>
      </c>
      <c r="B16" s="27" t="str">
        <f>VLOOKUP(A16,policy1!B:C,2,0)</f>
        <v>040000186274</v>
      </c>
      <c r="C16" s="9">
        <v>849</v>
      </c>
      <c r="D16" s="18" t="s">
        <v>206</v>
      </c>
      <c r="E16" s="28" t="str">
        <f>VLOOKUP(A16,policy1!B:D,3,0)</f>
        <v>09000918</v>
      </c>
      <c r="F16" s="29" t="str">
        <f t="shared" si="0"/>
        <v>insert into ins_premium_det (premium_rcv_code,assorted_code, rec_amount,premium_rcv_detail_code,remaining_amt, payrec, mode_code,paid_to_code,class_cd) values</v>
      </c>
      <c r="G16" s="30" t="str">
        <f t="shared" si="1"/>
        <v>('21Jan250071','040000186274','849',(select max(to_number(i.premium_rcv_detail_code))+1 from ins_premium_det i),'849','849','03', '09000918','00');</v>
      </c>
      <c r="H16" s="31" t="str">
        <f t="shared" si="2"/>
        <v>insert into ins_premium_det (premium_rcv_code,assorted_code, rec_amount,premium_rcv_detail_code,remaining_amt, payrec, mode_code,paid_to_code,class_cd) values('21Jan250071','040000186274','849',(select max(to_number(i.premium_rcv_detail_code))+1 from ins_premium_det i),'849','849','03', '09000918','00');</v>
      </c>
    </row>
    <row r="17" spans="1:8" ht="75" x14ac:dyDescent="0.25">
      <c r="A17" s="2" t="s">
        <v>16</v>
      </c>
      <c r="B17" s="27" t="str">
        <f>VLOOKUP(A17,policy1!B:C,2,0)</f>
        <v>040000186322</v>
      </c>
      <c r="C17" s="9">
        <v>19494</v>
      </c>
      <c r="D17" s="18" t="s">
        <v>206</v>
      </c>
      <c r="E17" s="28" t="str">
        <f>VLOOKUP(A17,policy1!B:D,3,0)</f>
        <v>09000221</v>
      </c>
      <c r="F17" s="29" t="str">
        <f t="shared" si="0"/>
        <v>insert into ins_premium_det (premium_rcv_code,assorted_code, rec_amount,premium_rcv_detail_code,remaining_amt, payrec, mode_code,paid_to_code,class_cd) values</v>
      </c>
      <c r="G17" s="30" t="str">
        <f t="shared" si="1"/>
        <v>('21Jan250071','040000186322','19494',(select max(to_number(i.premium_rcv_detail_code))+1 from ins_premium_det i),'19494','19494','03', '09000221','00');</v>
      </c>
      <c r="H17" s="31" t="str">
        <f t="shared" si="2"/>
        <v>insert into ins_premium_det (premium_rcv_code,assorted_code, rec_amount,premium_rcv_detail_code,remaining_amt, payrec, mode_code,paid_to_code,class_cd) values('21Jan250071','040000186322','19494',(select max(to_number(i.premium_rcv_detail_code))+1 from ins_premium_det i),'19494','19494','03', '09000221','00');</v>
      </c>
    </row>
    <row r="18" spans="1:8" ht="75" x14ac:dyDescent="0.25">
      <c r="A18" s="2" t="s">
        <v>17</v>
      </c>
      <c r="B18" s="27" t="str">
        <f>VLOOKUP(A18,policy1!B:C,2,0)</f>
        <v>040000186324</v>
      </c>
      <c r="C18" s="9">
        <v>7500</v>
      </c>
      <c r="D18" s="18" t="s">
        <v>206</v>
      </c>
      <c r="E18" s="28" t="str">
        <f>VLOOKUP(A18,policy1!B:D,3,0)</f>
        <v>09000877</v>
      </c>
      <c r="F18" s="29" t="str">
        <f t="shared" si="0"/>
        <v>insert into ins_premium_det (premium_rcv_code,assorted_code, rec_amount,premium_rcv_detail_code,remaining_amt, payrec, mode_code,paid_to_code,class_cd) values</v>
      </c>
      <c r="G18" s="30" t="str">
        <f t="shared" si="1"/>
        <v>('21Jan250071','040000186324','7500',(select max(to_number(i.premium_rcv_detail_code))+1 from ins_premium_det i),'7500','7500','03', '09000877','00');</v>
      </c>
      <c r="H18" s="31" t="str">
        <f t="shared" si="2"/>
        <v>insert into ins_premium_det (premium_rcv_code,assorted_code, rec_amount,premium_rcv_detail_code,remaining_amt, payrec, mode_code,paid_to_code,class_cd) values('21Jan250071','040000186324','7500',(select max(to_number(i.premium_rcv_detail_code))+1 from ins_premium_det i),'7500','7500','03', '09000877','00');</v>
      </c>
    </row>
    <row r="19" spans="1:8" ht="75" x14ac:dyDescent="0.25">
      <c r="A19" s="2" t="s">
        <v>18</v>
      </c>
      <c r="B19" s="27" t="str">
        <f>VLOOKUP(A19,policy1!B:C,2,0)</f>
        <v>040000186346</v>
      </c>
      <c r="C19" s="9">
        <v>4849</v>
      </c>
      <c r="D19" s="18" t="s">
        <v>206</v>
      </c>
      <c r="E19" s="28" t="str">
        <f>VLOOKUP(A19,policy1!B:D,3,0)</f>
        <v>09000517</v>
      </c>
      <c r="F19" s="29" t="str">
        <f t="shared" si="0"/>
        <v>insert into ins_premium_det (premium_rcv_code,assorted_code, rec_amount,premium_rcv_detail_code,remaining_amt, payrec, mode_code,paid_to_code,class_cd) values</v>
      </c>
      <c r="G19" s="30" t="str">
        <f t="shared" si="1"/>
        <v>('21Jan250071','040000186346','4849',(select max(to_number(i.premium_rcv_detail_code))+1 from ins_premium_det i),'4849','4849','03', '09000517','00');</v>
      </c>
      <c r="H19" s="31" t="str">
        <f t="shared" si="2"/>
        <v>insert into ins_premium_det (premium_rcv_code,assorted_code, rec_amount,premium_rcv_detail_code,remaining_amt, payrec, mode_code,paid_to_code,class_cd) values('21Jan250071','040000186346','4849',(select max(to_number(i.premium_rcv_detail_code))+1 from ins_premium_det i),'4849','4849','03', '09000517','00');</v>
      </c>
    </row>
    <row r="20" spans="1:8" ht="75" x14ac:dyDescent="0.25">
      <c r="A20" s="2" t="s">
        <v>19</v>
      </c>
      <c r="B20" s="27" t="str">
        <f>VLOOKUP(A20,policy1!B:C,2,0)</f>
        <v>040000186397</v>
      </c>
      <c r="C20" s="9">
        <v>21814</v>
      </c>
      <c r="D20" s="18" t="s">
        <v>206</v>
      </c>
      <c r="E20" s="28" t="str">
        <f>VLOOKUP(A20,policy1!B:D,3,0)</f>
        <v>09000878</v>
      </c>
      <c r="F20" s="29" t="str">
        <f t="shared" si="0"/>
        <v>insert into ins_premium_det (premium_rcv_code,assorted_code, rec_amount,premium_rcv_detail_code,remaining_amt, payrec, mode_code,paid_to_code,class_cd) values</v>
      </c>
      <c r="G20" s="30" t="str">
        <f t="shared" si="1"/>
        <v>('21Jan250071','040000186397','21814',(select max(to_number(i.premium_rcv_detail_code))+1 from ins_premium_det i),'21814','21814','03', '09000878','00');</v>
      </c>
      <c r="H20" s="31" t="str">
        <f t="shared" si="2"/>
        <v>insert into ins_premium_det (premium_rcv_code,assorted_code, rec_amount,premium_rcv_detail_code,remaining_amt, payrec, mode_code,paid_to_code,class_cd) values('21Jan250071','040000186397','21814',(select max(to_number(i.premium_rcv_detail_code))+1 from ins_premium_det i),'21814','21814','03', '09000878','00');</v>
      </c>
    </row>
    <row r="21" spans="1:8" ht="75" x14ac:dyDescent="0.25">
      <c r="A21" s="2" t="s">
        <v>20</v>
      </c>
      <c r="B21" s="27" t="str">
        <f>VLOOKUP(A21,policy1!B:C,2,0)</f>
        <v>040000186398</v>
      </c>
      <c r="C21" s="9">
        <v>60271</v>
      </c>
      <c r="D21" s="18" t="s">
        <v>206</v>
      </c>
      <c r="E21" s="28" t="str">
        <f>VLOOKUP(A21,policy1!B:D,3,0)</f>
        <v>09000918</v>
      </c>
      <c r="F21" s="29" t="str">
        <f t="shared" si="0"/>
        <v>insert into ins_premium_det (premium_rcv_code,assorted_code, rec_amount,premium_rcv_detail_code,remaining_amt, payrec, mode_code,paid_to_code,class_cd) values</v>
      </c>
      <c r="G21" s="30" t="str">
        <f t="shared" si="1"/>
        <v>('21Jan250071','040000186398','60271',(select max(to_number(i.premium_rcv_detail_code))+1 from ins_premium_det i),'60271','60271','03', '09000918','00');</v>
      </c>
      <c r="H21" s="31" t="str">
        <f t="shared" si="2"/>
        <v>insert into ins_premium_det (premium_rcv_code,assorted_code, rec_amount,premium_rcv_detail_code,remaining_amt, payrec, mode_code,paid_to_code,class_cd) values('21Jan250071','040000186398','60271',(select max(to_number(i.premium_rcv_detail_code))+1 from ins_premium_det i),'60271','60271','03', '09000918','00');</v>
      </c>
    </row>
    <row r="22" spans="1:8" ht="75" x14ac:dyDescent="0.25">
      <c r="A22" s="2" t="s">
        <v>21</v>
      </c>
      <c r="B22" s="27" t="str">
        <f>VLOOKUP(A22,policy1!B:C,2,0)</f>
        <v>040000186627</v>
      </c>
      <c r="C22" s="9">
        <v>15979</v>
      </c>
      <c r="D22" s="18" t="s">
        <v>206</v>
      </c>
      <c r="E22" s="28" t="str">
        <f>VLOOKUP(A22,policy1!B:D,3,0)</f>
        <v>09000936</v>
      </c>
      <c r="F22" s="29" t="str">
        <f t="shared" si="0"/>
        <v>insert into ins_premium_det (premium_rcv_code,assorted_code, rec_amount,premium_rcv_detail_code,remaining_amt, payrec, mode_code,paid_to_code,class_cd) values</v>
      </c>
      <c r="G22" s="30" t="str">
        <f t="shared" si="1"/>
        <v>('21Jan250071','040000186627','15979',(select max(to_number(i.premium_rcv_detail_code))+1 from ins_premium_det i),'15979','15979','03', '09000936','00');</v>
      </c>
      <c r="H22" s="31" t="str">
        <f t="shared" si="2"/>
        <v>insert into ins_premium_det (premium_rcv_code,assorted_code, rec_amount,premium_rcv_detail_code,remaining_amt, payrec, mode_code,paid_to_code,class_cd) values('21Jan250071','040000186627','15979',(select max(to_number(i.premium_rcv_detail_code))+1 from ins_premium_det i),'15979','15979','03', '09000936','00');</v>
      </c>
    </row>
    <row r="23" spans="1:8" ht="75" x14ac:dyDescent="0.25">
      <c r="A23" s="2" t="s">
        <v>22</v>
      </c>
      <c r="B23" s="27" t="str">
        <f>VLOOKUP(A23,policy1!B:C,2,0)</f>
        <v>040000186628</v>
      </c>
      <c r="C23" s="9">
        <v>24610</v>
      </c>
      <c r="D23" s="18" t="s">
        <v>206</v>
      </c>
      <c r="E23" s="28" t="str">
        <f>VLOOKUP(A23,policy1!B:D,3,0)</f>
        <v>09000936</v>
      </c>
      <c r="F23" s="29" t="str">
        <f t="shared" si="0"/>
        <v>insert into ins_premium_det (premium_rcv_code,assorted_code, rec_amount,premium_rcv_detail_code,remaining_amt, payrec, mode_code,paid_to_code,class_cd) values</v>
      </c>
      <c r="G23" s="30" t="str">
        <f t="shared" si="1"/>
        <v>('21Jan250071','040000186628','24610',(select max(to_number(i.premium_rcv_detail_code))+1 from ins_premium_det i),'24610','24610','03', '09000936','00');</v>
      </c>
      <c r="H23" s="31" t="str">
        <f t="shared" si="2"/>
        <v>insert into ins_premium_det (premium_rcv_code,assorted_code, rec_amount,premium_rcv_detail_code,remaining_amt, payrec, mode_code,paid_to_code,class_cd) values('21Jan250071','040000186628','24610',(select max(to_number(i.premium_rcv_detail_code))+1 from ins_premium_det i),'24610','24610','03', '09000936','00');</v>
      </c>
    </row>
    <row r="24" spans="1:8" ht="75" x14ac:dyDescent="0.25">
      <c r="A24" s="2" t="s">
        <v>23</v>
      </c>
      <c r="B24" s="27" t="str">
        <f>VLOOKUP(A24,policy1!B:C,2,0)</f>
        <v>040000187541</v>
      </c>
      <c r="C24" s="9">
        <v>5467</v>
      </c>
      <c r="D24" s="18" t="s">
        <v>206</v>
      </c>
      <c r="E24" s="28" t="str">
        <f>VLOOKUP(A24,policy1!B:D,3,0)</f>
        <v>09000728</v>
      </c>
      <c r="F24" s="29" t="str">
        <f t="shared" si="0"/>
        <v>insert into ins_premium_det (premium_rcv_code,assorted_code, rec_amount,premium_rcv_detail_code,remaining_amt, payrec, mode_code,paid_to_code,class_cd) values</v>
      </c>
      <c r="G24" s="30" t="str">
        <f t="shared" si="1"/>
        <v>('21Jan250071','040000187541','5467',(select max(to_number(i.premium_rcv_detail_code))+1 from ins_premium_det i),'5467','5467','03', '09000728','00');</v>
      </c>
      <c r="H24" s="31" t="str">
        <f t="shared" si="2"/>
        <v>insert into ins_premium_det (premium_rcv_code,assorted_code, rec_amount,premium_rcv_detail_code,remaining_amt, payrec, mode_code,paid_to_code,class_cd) values('21Jan250071','040000187541','5467',(select max(to_number(i.premium_rcv_detail_code))+1 from ins_premium_det i),'5467','5467','03', '09000728','00');</v>
      </c>
    </row>
    <row r="25" spans="1:8" ht="75" x14ac:dyDescent="0.25">
      <c r="A25" s="2" t="s">
        <v>24</v>
      </c>
      <c r="B25" s="27" t="str">
        <f>VLOOKUP(A25,policy1!B:C,2,0)</f>
        <v>040000187542</v>
      </c>
      <c r="C25" s="9">
        <v>5223</v>
      </c>
      <c r="D25" s="18" t="s">
        <v>206</v>
      </c>
      <c r="E25" s="28" t="str">
        <f>VLOOKUP(A25,policy1!B:D,3,0)</f>
        <v>09000818</v>
      </c>
      <c r="F25" s="29" t="str">
        <f t="shared" si="0"/>
        <v>insert into ins_premium_det (premium_rcv_code,assorted_code, rec_amount,premium_rcv_detail_code,remaining_amt, payrec, mode_code,paid_to_code,class_cd) values</v>
      </c>
      <c r="G25" s="30" t="str">
        <f t="shared" si="1"/>
        <v>('21Jan250071','040000187542','5223',(select max(to_number(i.premium_rcv_detail_code))+1 from ins_premium_det i),'5223','5223','03', '09000818','00');</v>
      </c>
      <c r="H25" s="31" t="str">
        <f t="shared" si="2"/>
        <v>insert into ins_premium_det (premium_rcv_code,assorted_code, rec_amount,premium_rcv_detail_code,remaining_amt, payrec, mode_code,paid_to_code,class_cd) values('21Jan250071','040000187542','5223',(select max(to_number(i.premium_rcv_detail_code))+1 from ins_premium_det i),'5223','5223','03', '09000818','00');</v>
      </c>
    </row>
    <row r="26" spans="1:8" ht="75" x14ac:dyDescent="0.25">
      <c r="A26" s="2" t="s">
        <v>25</v>
      </c>
      <c r="B26" s="27" t="str">
        <f>VLOOKUP(A26,policy1!B:C,2,0)</f>
        <v>040000187545</v>
      </c>
      <c r="C26" s="9">
        <v>5796</v>
      </c>
      <c r="D26" s="18" t="s">
        <v>206</v>
      </c>
      <c r="E26" s="28" t="str">
        <f>VLOOKUP(A26,policy1!B:D,3,0)</f>
        <v>09000896</v>
      </c>
      <c r="F26" s="29" t="str">
        <f t="shared" si="0"/>
        <v>insert into ins_premium_det (premium_rcv_code,assorted_code, rec_amount,premium_rcv_detail_code,remaining_amt, payrec, mode_code,paid_to_code,class_cd) values</v>
      </c>
      <c r="G26" s="30" t="str">
        <f t="shared" si="1"/>
        <v>('21Jan250071','040000187545','5796',(select max(to_number(i.premium_rcv_detail_code))+1 from ins_premium_det i),'5796','5796','03', '09000896','00');</v>
      </c>
      <c r="H26" s="31" t="str">
        <f t="shared" si="2"/>
        <v>insert into ins_premium_det (premium_rcv_code,assorted_code, rec_amount,premium_rcv_detail_code,remaining_amt, payrec, mode_code,paid_to_code,class_cd) values('21Jan250071','040000187545','5796',(select max(to_number(i.premium_rcv_detail_code))+1 from ins_premium_det i),'5796','5796','03', '09000896','00');</v>
      </c>
    </row>
    <row r="27" spans="1:8" ht="75" x14ac:dyDescent="0.25">
      <c r="A27" s="2" t="s">
        <v>26</v>
      </c>
      <c r="B27" s="27" t="str">
        <f>VLOOKUP(A27,policy1!B:C,2,0)</f>
        <v>040000187546</v>
      </c>
      <c r="C27" s="9">
        <v>3485</v>
      </c>
      <c r="D27" s="18" t="s">
        <v>206</v>
      </c>
      <c r="E27" s="28" t="str">
        <f>VLOOKUP(A27,policy1!B:D,3,0)</f>
        <v>09000896</v>
      </c>
      <c r="F27" s="29" t="str">
        <f t="shared" si="0"/>
        <v>insert into ins_premium_det (premium_rcv_code,assorted_code, rec_amount,premium_rcv_detail_code,remaining_amt, payrec, mode_code,paid_to_code,class_cd) values</v>
      </c>
      <c r="G27" s="30" t="str">
        <f t="shared" si="1"/>
        <v>('21Jan250071','040000187546','3485',(select max(to_number(i.premium_rcv_detail_code))+1 from ins_premium_det i),'3485','3485','03', '09000896','00');</v>
      </c>
      <c r="H27" s="31" t="str">
        <f t="shared" si="2"/>
        <v>insert into ins_premium_det (premium_rcv_code,assorted_code, rec_amount,premium_rcv_detail_code,remaining_amt, payrec, mode_code,paid_to_code,class_cd) values('21Jan250071','040000187546','3485',(select max(to_number(i.premium_rcv_detail_code))+1 from ins_premium_det i),'3485','3485','03', '09000896','00');</v>
      </c>
    </row>
    <row r="28" spans="1:8" ht="75" x14ac:dyDescent="0.25">
      <c r="A28" s="2" t="s">
        <v>27</v>
      </c>
      <c r="B28" s="27" t="str">
        <f>VLOOKUP(A28,policy1!B:C,2,0)</f>
        <v>040000187854</v>
      </c>
      <c r="C28" s="9">
        <v>1251</v>
      </c>
      <c r="D28" s="18" t="s">
        <v>206</v>
      </c>
      <c r="E28" s="28" t="str">
        <f>VLOOKUP(A28,policy1!B:D,3,0)</f>
        <v>09000813</v>
      </c>
      <c r="F28" s="29" t="str">
        <f t="shared" si="0"/>
        <v>insert into ins_premium_det (premium_rcv_code,assorted_code, rec_amount,premium_rcv_detail_code,remaining_amt, payrec, mode_code,paid_to_code,class_cd) values</v>
      </c>
      <c r="G28" s="30" t="str">
        <f t="shared" si="1"/>
        <v>('21Jan250071','040000187854','1251',(select max(to_number(i.premium_rcv_detail_code))+1 from ins_premium_det i),'1251','1251','03', '09000813','00');</v>
      </c>
      <c r="H28" s="31" t="str">
        <f t="shared" si="2"/>
        <v>insert into ins_premium_det (premium_rcv_code,assorted_code, rec_amount,premium_rcv_detail_code,remaining_amt, payrec, mode_code,paid_to_code,class_cd) values('21Jan250071','040000187854','1251',(select max(to_number(i.premium_rcv_detail_code))+1 from ins_premium_det i),'1251','1251','03', '09000813','00');</v>
      </c>
    </row>
    <row r="29" spans="1:8" ht="75" x14ac:dyDescent="0.25">
      <c r="A29" s="2" t="s">
        <v>28</v>
      </c>
      <c r="B29" s="27" t="str">
        <f>VLOOKUP(A29,policy1!B:C,2,0)</f>
        <v>040000187989</v>
      </c>
      <c r="C29" s="9">
        <v>5939</v>
      </c>
      <c r="D29" s="18" t="s">
        <v>206</v>
      </c>
      <c r="E29" s="28" t="str">
        <f>VLOOKUP(A29,policy1!B:D,3,0)</f>
        <v>09000482</v>
      </c>
      <c r="F29" s="29" t="str">
        <f t="shared" si="0"/>
        <v>insert into ins_premium_det (premium_rcv_code,assorted_code, rec_amount,premium_rcv_detail_code,remaining_amt, payrec, mode_code,paid_to_code,class_cd) values</v>
      </c>
      <c r="G29" s="30" t="str">
        <f t="shared" si="1"/>
        <v>('21Jan250071','040000187989','5939',(select max(to_number(i.premium_rcv_detail_code))+1 from ins_premium_det i),'5939','5939','03', '09000482','00');</v>
      </c>
      <c r="H29" s="31" t="str">
        <f t="shared" si="2"/>
        <v>insert into ins_premium_det (premium_rcv_code,assorted_code, rec_amount,premium_rcv_detail_code,remaining_amt, payrec, mode_code,paid_to_code,class_cd) values('21Jan250071','040000187989','5939',(select max(to_number(i.premium_rcv_detail_code))+1 from ins_premium_det i),'5939','5939','03', '09000482','00');</v>
      </c>
    </row>
    <row r="30" spans="1:8" ht="75" x14ac:dyDescent="0.25">
      <c r="A30" s="2" t="s">
        <v>29</v>
      </c>
      <c r="B30" s="27" t="str">
        <f>VLOOKUP(A30,policy1!B:C,2,0)</f>
        <v>040000187991</v>
      </c>
      <c r="C30" s="9">
        <v>3908</v>
      </c>
      <c r="D30" s="18" t="s">
        <v>206</v>
      </c>
      <c r="E30" s="28" t="str">
        <f>VLOOKUP(A30,policy1!B:D,3,0)</f>
        <v>09000482</v>
      </c>
      <c r="F30" s="29" t="str">
        <f t="shared" si="0"/>
        <v>insert into ins_premium_det (premium_rcv_code,assorted_code, rec_amount,premium_rcv_detail_code,remaining_amt, payrec, mode_code,paid_to_code,class_cd) values</v>
      </c>
      <c r="G30" s="30" t="str">
        <f t="shared" si="1"/>
        <v>('21Jan250071','040000187991','3908',(select max(to_number(i.premium_rcv_detail_code))+1 from ins_premium_det i),'3908','3908','03', '09000482','00');</v>
      </c>
      <c r="H30" s="31" t="str">
        <f t="shared" si="2"/>
        <v>insert into ins_premium_det (premium_rcv_code,assorted_code, rec_amount,premium_rcv_detail_code,remaining_amt, payrec, mode_code,paid_to_code,class_cd) values('21Jan250071','040000187991','3908',(select max(to_number(i.premium_rcv_detail_code))+1 from ins_premium_det i),'3908','3908','03', '09000482','00');</v>
      </c>
    </row>
    <row r="31" spans="1:8" ht="75" x14ac:dyDescent="0.25">
      <c r="A31" s="2" t="s">
        <v>30</v>
      </c>
      <c r="B31" s="27" t="str">
        <f>VLOOKUP(A31,policy1!B:C,2,0)</f>
        <v>040000188002</v>
      </c>
      <c r="C31" s="9">
        <v>32137</v>
      </c>
      <c r="D31" s="18" t="s">
        <v>206</v>
      </c>
      <c r="E31" s="28" t="str">
        <f>VLOOKUP(A31,policy1!B:D,3,0)</f>
        <v>09000918</v>
      </c>
      <c r="F31" s="29" t="str">
        <f t="shared" si="0"/>
        <v>insert into ins_premium_det (premium_rcv_code,assorted_code, rec_amount,premium_rcv_detail_code,remaining_amt, payrec, mode_code,paid_to_code,class_cd) values</v>
      </c>
      <c r="G31" s="30" t="str">
        <f t="shared" si="1"/>
        <v>('21Jan250071','040000188002','32137',(select max(to_number(i.premium_rcv_detail_code))+1 from ins_premium_det i),'32137','32137','03', '09000918','00');</v>
      </c>
      <c r="H31" s="31" t="str">
        <f t="shared" si="2"/>
        <v>insert into ins_premium_det (premium_rcv_code,assorted_code, rec_amount,premium_rcv_detail_code,remaining_amt, payrec, mode_code,paid_to_code,class_cd) values('21Jan250071','040000188002','32137',(select max(to_number(i.premium_rcv_detail_code))+1 from ins_premium_det i),'32137','32137','03', '09000918','00');</v>
      </c>
    </row>
    <row r="32" spans="1:8" ht="75" x14ac:dyDescent="0.25">
      <c r="A32" s="2" t="s">
        <v>31</v>
      </c>
      <c r="B32" s="27" t="str">
        <f>VLOOKUP(A32,policy1!B:C,2,0)</f>
        <v>040000188045</v>
      </c>
      <c r="C32" s="9">
        <v>4007</v>
      </c>
      <c r="D32" s="18" t="s">
        <v>206</v>
      </c>
      <c r="E32" s="28" t="str">
        <f>VLOOKUP(A32,policy1!B:D,3,0)</f>
        <v>09000896</v>
      </c>
      <c r="F32" s="29" t="str">
        <f t="shared" si="0"/>
        <v>insert into ins_premium_det (premium_rcv_code,assorted_code, rec_amount,premium_rcv_detail_code,remaining_amt, payrec, mode_code,paid_to_code,class_cd) values</v>
      </c>
      <c r="G32" s="30" t="str">
        <f t="shared" si="1"/>
        <v>('21Jan250071','040000188045','4007',(select max(to_number(i.premium_rcv_detail_code))+1 from ins_premium_det i),'4007','4007','03', '09000896','00');</v>
      </c>
      <c r="H32" s="31" t="str">
        <f t="shared" si="2"/>
        <v>insert into ins_premium_det (premium_rcv_code,assorted_code, rec_amount,premium_rcv_detail_code,remaining_amt, payrec, mode_code,paid_to_code,class_cd) values('21Jan250071','040000188045','4007',(select max(to_number(i.premium_rcv_detail_code))+1 from ins_premium_det i),'4007','4007','03', '09000896','00');</v>
      </c>
    </row>
    <row r="33" spans="1:8" ht="75" x14ac:dyDescent="0.25">
      <c r="A33" s="2" t="s">
        <v>32</v>
      </c>
      <c r="B33" s="27" t="str">
        <f>VLOOKUP(A33,policy1!B:C,2,0)</f>
        <v>040000188267</v>
      </c>
      <c r="C33" s="9">
        <v>48217</v>
      </c>
      <c r="D33" s="18" t="s">
        <v>206</v>
      </c>
      <c r="E33" s="28" t="str">
        <f>VLOOKUP(A33,policy1!B:D,3,0)</f>
        <v>09000923</v>
      </c>
      <c r="F33" s="29" t="str">
        <f t="shared" si="0"/>
        <v>insert into ins_premium_det (premium_rcv_code,assorted_code, rec_amount,premium_rcv_detail_code,remaining_amt, payrec, mode_code,paid_to_code,class_cd) values</v>
      </c>
      <c r="G33" s="30" t="str">
        <f t="shared" si="1"/>
        <v>('21Jan250071','040000188267','48217',(select max(to_number(i.premium_rcv_detail_code))+1 from ins_premium_det i),'48217','48217','03', '09000923','00');</v>
      </c>
      <c r="H33" s="31" t="str">
        <f t="shared" si="2"/>
        <v>insert into ins_premium_det (premium_rcv_code,assorted_code, rec_amount,premium_rcv_detail_code,remaining_amt, payrec, mode_code,paid_to_code,class_cd) values('21Jan250071','040000188267','48217',(select max(to_number(i.premium_rcv_detail_code))+1 from ins_premium_det i),'48217','48217','03', '09000923','00');</v>
      </c>
    </row>
    <row r="34" spans="1:8" ht="75" x14ac:dyDescent="0.25">
      <c r="A34" s="2" t="s">
        <v>33</v>
      </c>
      <c r="B34" s="27" t="str">
        <f>VLOOKUP(A34,policy1!B:C,2,0)</f>
        <v>040000188281</v>
      </c>
      <c r="C34" s="9">
        <v>28007</v>
      </c>
      <c r="D34" s="18" t="s">
        <v>206</v>
      </c>
      <c r="E34" s="28" t="str">
        <f>VLOOKUP(A34,policy1!B:D,3,0)</f>
        <v>09000845</v>
      </c>
      <c r="F34" s="29" t="str">
        <f t="shared" si="0"/>
        <v>insert into ins_premium_det (premium_rcv_code,assorted_code, rec_amount,premium_rcv_detail_code,remaining_amt, payrec, mode_code,paid_to_code,class_cd) values</v>
      </c>
      <c r="G34" s="30" t="str">
        <f t="shared" si="1"/>
        <v>('21Jan250071','040000188281','28007',(select max(to_number(i.premium_rcv_detail_code))+1 from ins_premium_det i),'28007','28007','03', '09000845','00');</v>
      </c>
      <c r="H34" s="31" t="str">
        <f t="shared" si="2"/>
        <v>insert into ins_premium_det (premium_rcv_code,assorted_code, rec_amount,premium_rcv_detail_code,remaining_amt, payrec, mode_code,paid_to_code,class_cd) values('21Jan250071','040000188281','28007',(select max(to_number(i.premium_rcv_detail_code))+1 from ins_premium_det i),'28007','28007','03', '09000845','00');</v>
      </c>
    </row>
    <row r="35" spans="1:8" ht="75" x14ac:dyDescent="0.25">
      <c r="A35" s="2" t="s">
        <v>34</v>
      </c>
      <c r="B35" s="27" t="str">
        <f>VLOOKUP(A35,policy1!B:C,2,0)</f>
        <v>040000188282</v>
      </c>
      <c r="C35" s="9">
        <v>21407</v>
      </c>
      <c r="D35" s="18" t="s">
        <v>206</v>
      </c>
      <c r="E35" s="28" t="str">
        <f>VLOOKUP(A35,policy1!B:D,3,0)</f>
        <v>09000845</v>
      </c>
      <c r="F35" s="29" t="str">
        <f t="shared" si="0"/>
        <v>insert into ins_premium_det (premium_rcv_code,assorted_code, rec_amount,premium_rcv_detail_code,remaining_amt, payrec, mode_code,paid_to_code,class_cd) values</v>
      </c>
      <c r="G35" s="30" t="str">
        <f t="shared" si="1"/>
        <v>('21Jan250071','040000188282','21407',(select max(to_number(i.premium_rcv_detail_code))+1 from ins_premium_det i),'21407','21407','03', '09000845','00');</v>
      </c>
      <c r="H35" s="31" t="str">
        <f t="shared" si="2"/>
        <v>insert into ins_premium_det (premium_rcv_code,assorted_code, rec_amount,premium_rcv_detail_code,remaining_amt, payrec, mode_code,paid_to_code,class_cd) values('21Jan250071','040000188282','21407',(select max(to_number(i.premium_rcv_detail_code))+1 from ins_premium_det i),'21407','21407','03', '09000845','00');</v>
      </c>
    </row>
    <row r="36" spans="1:8" ht="75" x14ac:dyDescent="0.25">
      <c r="A36" s="2" t="s">
        <v>35</v>
      </c>
      <c r="B36" s="27" t="str">
        <f>VLOOKUP(A36,policy1!B:C,2,0)</f>
        <v>040000188634</v>
      </c>
      <c r="C36" s="9">
        <v>22292</v>
      </c>
      <c r="D36" s="18" t="s">
        <v>206</v>
      </c>
      <c r="E36" s="28" t="str">
        <f>VLOOKUP(A36,policy1!B:D,3,0)</f>
        <v>09000862</v>
      </c>
      <c r="F36" s="29" t="str">
        <f t="shared" si="0"/>
        <v>insert into ins_premium_det (premium_rcv_code,assorted_code, rec_amount,premium_rcv_detail_code,remaining_amt, payrec, mode_code,paid_to_code,class_cd) values</v>
      </c>
      <c r="G36" s="30" t="str">
        <f t="shared" si="1"/>
        <v>('21Jan250071','040000188634','22292',(select max(to_number(i.premium_rcv_detail_code))+1 from ins_premium_det i),'22292','22292','03', '09000862','00');</v>
      </c>
      <c r="H36" s="31" t="str">
        <f t="shared" si="2"/>
        <v>insert into ins_premium_det (premium_rcv_code,assorted_code, rec_amount,premium_rcv_detail_code,remaining_amt, payrec, mode_code,paid_to_code,class_cd) values('21Jan250071','040000188634','22292',(select max(to_number(i.premium_rcv_detail_code))+1 from ins_premium_det i),'22292','22292','03', '09000862','00');</v>
      </c>
    </row>
    <row r="37" spans="1:8" ht="75" x14ac:dyDescent="0.25">
      <c r="A37" s="2" t="s">
        <v>36</v>
      </c>
      <c r="B37" s="27" t="str">
        <f>VLOOKUP(A37,policy1!B:C,2,0)</f>
        <v>040000188721</v>
      </c>
      <c r="C37" s="9">
        <v>36984</v>
      </c>
      <c r="D37" s="18" t="s">
        <v>206</v>
      </c>
      <c r="E37" s="28" t="str">
        <f>VLOOKUP(A37,policy1!B:D,3,0)</f>
        <v>09000918</v>
      </c>
      <c r="F37" s="29" t="str">
        <f t="shared" si="0"/>
        <v>insert into ins_premium_det (premium_rcv_code,assorted_code, rec_amount,premium_rcv_detail_code,remaining_amt, payrec, mode_code,paid_to_code,class_cd) values</v>
      </c>
      <c r="G37" s="30" t="str">
        <f t="shared" si="1"/>
        <v>('21Jan250071','040000188721','36984',(select max(to_number(i.premium_rcv_detail_code))+1 from ins_premium_det i),'36984','36984','03', '09000918','00');</v>
      </c>
      <c r="H37" s="31" t="str">
        <f t="shared" si="2"/>
        <v>insert into ins_premium_det (premium_rcv_code,assorted_code, rec_amount,premium_rcv_detail_code,remaining_amt, payrec, mode_code,paid_to_code,class_cd) values('21Jan250071','040000188721','36984',(select max(to_number(i.premium_rcv_detail_code))+1 from ins_premium_det i),'36984','36984','03', '09000918','00');</v>
      </c>
    </row>
    <row r="38" spans="1:8" ht="75" x14ac:dyDescent="0.25">
      <c r="A38" s="2" t="s">
        <v>37</v>
      </c>
      <c r="B38" s="27" t="str">
        <f>VLOOKUP(A38,policy1!B:C,2,0)</f>
        <v>040000188723</v>
      </c>
      <c r="C38" s="9">
        <v>42053</v>
      </c>
      <c r="D38" s="18" t="s">
        <v>206</v>
      </c>
      <c r="E38" s="28" t="str">
        <f>VLOOKUP(A38,policy1!B:D,3,0)</f>
        <v>09000918</v>
      </c>
      <c r="F38" s="29" t="str">
        <f t="shared" si="0"/>
        <v>insert into ins_premium_det (premium_rcv_code,assorted_code, rec_amount,premium_rcv_detail_code,remaining_amt, payrec, mode_code,paid_to_code,class_cd) values</v>
      </c>
      <c r="G38" s="30" t="str">
        <f t="shared" si="1"/>
        <v>('21Jan250071','040000188723','42053',(select max(to_number(i.premium_rcv_detail_code))+1 from ins_premium_det i),'42053','42053','03', '09000918','00');</v>
      </c>
      <c r="H38" s="31" t="str">
        <f t="shared" si="2"/>
        <v>insert into ins_premium_det (premium_rcv_code,assorted_code, rec_amount,premium_rcv_detail_code,remaining_amt, payrec, mode_code,paid_to_code,class_cd) values('21Jan250071','040000188723','42053',(select max(to_number(i.premium_rcv_detail_code))+1 from ins_premium_det i),'42053','42053','03', '09000918','00');</v>
      </c>
    </row>
    <row r="39" spans="1:8" ht="75" x14ac:dyDescent="0.25">
      <c r="A39" s="2" t="s">
        <v>38</v>
      </c>
      <c r="B39" s="27" t="str">
        <f>VLOOKUP(A39,policy1!B:C,2,0)</f>
        <v>040000188750</v>
      </c>
      <c r="C39" s="9">
        <v>19740</v>
      </c>
      <c r="D39" s="18" t="s">
        <v>206</v>
      </c>
      <c r="E39" s="28" t="str">
        <f>VLOOKUP(A39,policy1!B:D,3,0)</f>
        <v>09000752</v>
      </c>
      <c r="F39" s="29" t="str">
        <f t="shared" si="0"/>
        <v>insert into ins_premium_det (premium_rcv_code,assorted_code, rec_amount,premium_rcv_detail_code,remaining_amt, payrec, mode_code,paid_to_code,class_cd) values</v>
      </c>
      <c r="G39" s="30" t="str">
        <f t="shared" si="1"/>
        <v>('21Jan250071','040000188750','19740',(select max(to_number(i.premium_rcv_detail_code))+1 from ins_premium_det i),'19740','19740','03', '09000752','00');</v>
      </c>
      <c r="H39" s="31" t="str">
        <f t="shared" si="2"/>
        <v>insert into ins_premium_det (premium_rcv_code,assorted_code, rec_amount,premium_rcv_detail_code,remaining_amt, payrec, mode_code,paid_to_code,class_cd) values('21Jan250071','040000188750','19740',(select max(to_number(i.premium_rcv_detail_code))+1 from ins_premium_det i),'19740','19740','03', '09000752','00');</v>
      </c>
    </row>
    <row r="40" spans="1:8" ht="75" x14ac:dyDescent="0.25">
      <c r="A40" s="2" t="s">
        <v>39</v>
      </c>
      <c r="B40" s="27" t="str">
        <f>VLOOKUP(A40,policy1!B:C,2,0)</f>
        <v>040000188865</v>
      </c>
      <c r="C40" s="9">
        <v>30351</v>
      </c>
      <c r="D40" s="18" t="s">
        <v>206</v>
      </c>
      <c r="E40" s="28" t="str">
        <f>VLOOKUP(A40,policy1!B:D,3,0)</f>
        <v>09000918</v>
      </c>
      <c r="F40" s="29" t="str">
        <f t="shared" si="0"/>
        <v>insert into ins_premium_det (premium_rcv_code,assorted_code, rec_amount,premium_rcv_detail_code,remaining_amt, payrec, mode_code,paid_to_code,class_cd) values</v>
      </c>
      <c r="G40" s="30" t="str">
        <f t="shared" si="1"/>
        <v>('21Jan250071','040000188865','30351',(select max(to_number(i.premium_rcv_detail_code))+1 from ins_premium_det i),'30351','30351','03', '09000918','00');</v>
      </c>
      <c r="H40" s="31" t="str">
        <f t="shared" si="2"/>
        <v>insert into ins_premium_det (premium_rcv_code,assorted_code, rec_amount,premium_rcv_detail_code,remaining_amt, payrec, mode_code,paid_to_code,class_cd) values('21Jan250071','040000188865','30351',(select max(to_number(i.premium_rcv_detail_code))+1 from ins_premium_det i),'30351','30351','03', '09000918','00');</v>
      </c>
    </row>
    <row r="41" spans="1:8" ht="75" x14ac:dyDescent="0.25">
      <c r="A41" s="2" t="s">
        <v>40</v>
      </c>
      <c r="B41" s="27" t="str">
        <f>VLOOKUP(A41,policy1!B:C,2,0)</f>
        <v>040000188887</v>
      </c>
      <c r="C41" s="9">
        <v>12280</v>
      </c>
      <c r="D41" s="18" t="s">
        <v>206</v>
      </c>
      <c r="E41" s="28" t="str">
        <f>VLOOKUP(A41,policy1!B:D,3,0)</f>
        <v>09000918</v>
      </c>
      <c r="F41" s="29" t="str">
        <f t="shared" si="0"/>
        <v>insert into ins_premium_det (premium_rcv_code,assorted_code, rec_amount,premium_rcv_detail_code,remaining_amt, payrec, mode_code,paid_to_code,class_cd) values</v>
      </c>
      <c r="G41" s="30" t="str">
        <f t="shared" si="1"/>
        <v>('21Jan250071','040000188887','12280',(select max(to_number(i.premium_rcv_detail_code))+1 from ins_premium_det i),'12280','12280','03', '09000918','00');</v>
      </c>
      <c r="H41" s="31" t="str">
        <f t="shared" si="2"/>
        <v>insert into ins_premium_det (premium_rcv_code,assorted_code, rec_amount,premium_rcv_detail_code,remaining_amt, payrec, mode_code,paid_to_code,class_cd) values('21Jan250071','040000188887','12280',(select max(to_number(i.premium_rcv_detail_code))+1 from ins_premium_det i),'12280','12280','03', '09000918','00');</v>
      </c>
    </row>
    <row r="42" spans="1:8" ht="75" x14ac:dyDescent="0.25">
      <c r="A42" s="2" t="s">
        <v>41</v>
      </c>
      <c r="B42" s="27" t="str">
        <f>VLOOKUP(A42,policy1!B:C,2,0)</f>
        <v>040000188976</v>
      </c>
      <c r="C42" s="9">
        <v>8134</v>
      </c>
      <c r="D42" s="18" t="s">
        <v>206</v>
      </c>
      <c r="E42" s="28" t="str">
        <f>VLOOKUP(A42,policy1!B:D,3,0)</f>
        <v>09000845</v>
      </c>
      <c r="F42" s="29" t="str">
        <f t="shared" si="0"/>
        <v>insert into ins_premium_det (premium_rcv_code,assorted_code, rec_amount,premium_rcv_detail_code,remaining_amt, payrec, mode_code,paid_to_code,class_cd) values</v>
      </c>
      <c r="G42" s="30" t="str">
        <f t="shared" si="1"/>
        <v>('21Jan250071','040000188976','8134',(select max(to_number(i.premium_rcv_detail_code))+1 from ins_premium_det i),'8134','8134','03', '09000845','00');</v>
      </c>
      <c r="H42" s="31" t="str">
        <f t="shared" si="2"/>
        <v>insert into ins_premium_det (premium_rcv_code,assorted_code, rec_amount,premium_rcv_detail_code,remaining_amt, payrec, mode_code,paid_to_code,class_cd) values('21Jan250071','040000188976','8134',(select max(to_number(i.premium_rcv_detail_code))+1 from ins_premium_det i),'8134','8134','03', '09000845','00');</v>
      </c>
    </row>
    <row r="43" spans="1:8" ht="75" x14ac:dyDescent="0.25">
      <c r="A43" s="2" t="s">
        <v>42</v>
      </c>
      <c r="B43" s="27" t="str">
        <f>VLOOKUP(A43,policy1!B:C,2,0)</f>
        <v>040000188985</v>
      </c>
      <c r="C43" s="9">
        <v>10066</v>
      </c>
      <c r="D43" s="18" t="s">
        <v>206</v>
      </c>
      <c r="E43" s="28" t="str">
        <f>VLOOKUP(A43,policy1!B:D,3,0)</f>
        <v>09000845</v>
      </c>
      <c r="F43" s="29" t="str">
        <f t="shared" si="0"/>
        <v>insert into ins_premium_det (premium_rcv_code,assorted_code, rec_amount,premium_rcv_detail_code,remaining_amt, payrec, mode_code,paid_to_code,class_cd) values</v>
      </c>
      <c r="G43" s="30" t="str">
        <f t="shared" si="1"/>
        <v>('21Jan250071','040000188985','10066',(select max(to_number(i.premium_rcv_detail_code))+1 from ins_premium_det i),'10066','10066','03', '09000845','00');</v>
      </c>
      <c r="H43" s="31" t="str">
        <f t="shared" si="2"/>
        <v>insert into ins_premium_det (premium_rcv_code,assorted_code, rec_amount,premium_rcv_detail_code,remaining_amt, payrec, mode_code,paid_to_code,class_cd) values('21Jan250071','040000188985','10066',(select max(to_number(i.premium_rcv_detail_code))+1 from ins_premium_det i),'10066','10066','03', '09000845','00');</v>
      </c>
    </row>
    <row r="44" spans="1:8" ht="75" x14ac:dyDescent="0.25">
      <c r="A44" s="2" t="s">
        <v>43</v>
      </c>
      <c r="B44" s="27" t="str">
        <f>VLOOKUP(A44,policy1!B:C,2,0)</f>
        <v>040000189248</v>
      </c>
      <c r="C44" s="9">
        <v>12615</v>
      </c>
      <c r="D44" s="18" t="s">
        <v>206</v>
      </c>
      <c r="E44" s="28" t="str">
        <f>VLOOKUP(A44,policy1!B:D,3,0)</f>
        <v>09000440</v>
      </c>
      <c r="F44" s="29" t="str">
        <f t="shared" si="0"/>
        <v>insert into ins_premium_det (premium_rcv_code,assorted_code, rec_amount,premium_rcv_detail_code,remaining_amt, payrec, mode_code,paid_to_code,class_cd) values</v>
      </c>
      <c r="G44" s="30" t="str">
        <f t="shared" si="1"/>
        <v>('21Jan250071','040000189248','12615',(select max(to_number(i.premium_rcv_detail_code))+1 from ins_premium_det i),'12615','12615','03', '09000440','00');</v>
      </c>
      <c r="H44" s="31" t="str">
        <f t="shared" si="2"/>
        <v>insert into ins_premium_det (premium_rcv_code,assorted_code, rec_amount,premium_rcv_detail_code,remaining_amt, payrec, mode_code,paid_to_code,class_cd) values('21Jan250071','040000189248','12615',(select max(to_number(i.premium_rcv_detail_code))+1 from ins_premium_det i),'12615','12615','03', '09000440','00');</v>
      </c>
    </row>
    <row r="45" spans="1:8" ht="75" x14ac:dyDescent="0.25">
      <c r="A45" s="2" t="s">
        <v>44</v>
      </c>
      <c r="B45" s="27" t="str">
        <f>VLOOKUP(A45,policy1!B:C,2,0)</f>
        <v>040000189328</v>
      </c>
      <c r="C45" s="9">
        <v>21131</v>
      </c>
      <c r="D45" s="18" t="s">
        <v>206</v>
      </c>
      <c r="E45" s="28" t="str">
        <f>VLOOKUP(A45,policy1!B:D,3,0)</f>
        <v>09000845</v>
      </c>
      <c r="F45" s="29" t="str">
        <f t="shared" si="0"/>
        <v>insert into ins_premium_det (premium_rcv_code,assorted_code, rec_amount,premium_rcv_detail_code,remaining_amt, payrec, mode_code,paid_to_code,class_cd) values</v>
      </c>
      <c r="G45" s="30" t="str">
        <f t="shared" si="1"/>
        <v>('21Jan250071','040000189328','21131',(select max(to_number(i.premium_rcv_detail_code))+1 from ins_premium_det i),'21131','21131','03', '09000845','00');</v>
      </c>
      <c r="H45" s="31" t="str">
        <f t="shared" si="2"/>
        <v>insert into ins_premium_det (premium_rcv_code,assorted_code, rec_amount,premium_rcv_detail_code,remaining_amt, payrec, mode_code,paid_to_code,class_cd) values('21Jan250071','040000189328','21131',(select max(to_number(i.premium_rcv_detail_code))+1 from ins_premium_det i),'21131','21131','03', '09000845','00');</v>
      </c>
    </row>
    <row r="46" spans="1:8" ht="75" x14ac:dyDescent="0.25">
      <c r="A46" s="2" t="s">
        <v>45</v>
      </c>
      <c r="B46" s="27" t="str">
        <f>VLOOKUP(A46,policy1!B:C,2,0)</f>
        <v>040000189329</v>
      </c>
      <c r="C46" s="9">
        <v>51934</v>
      </c>
      <c r="D46" s="18" t="s">
        <v>206</v>
      </c>
      <c r="E46" s="28" t="str">
        <f>VLOOKUP(A46,policy1!B:D,3,0)</f>
        <v>09000923</v>
      </c>
      <c r="F46" s="29" t="str">
        <f t="shared" si="0"/>
        <v>insert into ins_premium_det (premium_rcv_code,assorted_code, rec_amount,premium_rcv_detail_code,remaining_amt, payrec, mode_code,paid_to_code,class_cd) values</v>
      </c>
      <c r="G46" s="30" t="str">
        <f t="shared" si="1"/>
        <v>('21Jan250071','040000189329','51934',(select max(to_number(i.premium_rcv_detail_code))+1 from ins_premium_det i),'51934','51934','03', '09000923','00');</v>
      </c>
      <c r="H46" s="31" t="str">
        <f t="shared" si="2"/>
        <v>insert into ins_premium_det (premium_rcv_code,assorted_code, rec_amount,premium_rcv_detail_code,remaining_amt, payrec, mode_code,paid_to_code,class_cd) values('21Jan250071','040000189329','51934',(select max(to_number(i.premium_rcv_detail_code))+1 from ins_premium_det i),'51934','51934','03', '09000923','00');</v>
      </c>
    </row>
    <row r="47" spans="1:8" ht="75" x14ac:dyDescent="0.25">
      <c r="A47" s="2" t="s">
        <v>46</v>
      </c>
      <c r="B47" s="27" t="str">
        <f>VLOOKUP(A47,policy1!B:C,2,0)</f>
        <v>040000189404</v>
      </c>
      <c r="C47" s="9">
        <v>20225</v>
      </c>
      <c r="D47" s="18" t="s">
        <v>206</v>
      </c>
      <c r="E47" s="28" t="str">
        <f>VLOOKUP(A47,policy1!B:D,3,0)</f>
        <v>09000845</v>
      </c>
      <c r="F47" s="29" t="str">
        <f t="shared" si="0"/>
        <v>insert into ins_premium_det (premium_rcv_code,assorted_code, rec_amount,premium_rcv_detail_code,remaining_amt, payrec, mode_code,paid_to_code,class_cd) values</v>
      </c>
      <c r="G47" s="30" t="str">
        <f t="shared" si="1"/>
        <v>('21Jan250071','040000189404','20225',(select max(to_number(i.premium_rcv_detail_code))+1 from ins_premium_det i),'20225','20225','03', '09000845','00');</v>
      </c>
      <c r="H47" s="31" t="str">
        <f t="shared" si="2"/>
        <v>insert into ins_premium_det (premium_rcv_code,assorted_code, rec_amount,premium_rcv_detail_code,remaining_amt, payrec, mode_code,paid_to_code,class_cd) values('21Jan250071','040000189404','20225',(select max(to_number(i.premium_rcv_detail_code))+1 from ins_premium_det i),'20225','20225','03', '09000845','00');</v>
      </c>
    </row>
    <row r="48" spans="1:8" ht="75" x14ac:dyDescent="0.25">
      <c r="A48" s="2" t="s">
        <v>47</v>
      </c>
      <c r="B48" s="27" t="str">
        <f>VLOOKUP(A48,policy1!B:C,2,0)</f>
        <v>040000189406</v>
      </c>
      <c r="C48" s="9">
        <v>12168</v>
      </c>
      <c r="D48" s="18" t="s">
        <v>206</v>
      </c>
      <c r="E48" s="28" t="str">
        <f>VLOOKUP(A48,policy1!B:D,3,0)</f>
        <v>09000845</v>
      </c>
      <c r="F48" s="29" t="str">
        <f t="shared" si="0"/>
        <v>insert into ins_premium_det (premium_rcv_code,assorted_code, rec_amount,premium_rcv_detail_code,remaining_amt, payrec, mode_code,paid_to_code,class_cd) values</v>
      </c>
      <c r="G48" s="30" t="str">
        <f t="shared" si="1"/>
        <v>('21Jan250071','040000189406','12168',(select max(to_number(i.premium_rcv_detail_code))+1 from ins_premium_det i),'12168','12168','03', '09000845','00');</v>
      </c>
      <c r="H48" s="31" t="str">
        <f t="shared" si="2"/>
        <v>insert into ins_premium_det (premium_rcv_code,assorted_code, rec_amount,premium_rcv_detail_code,remaining_amt, payrec, mode_code,paid_to_code,class_cd) values('21Jan250071','040000189406','12168',(select max(to_number(i.premium_rcv_detail_code))+1 from ins_premium_det i),'12168','12168','03', '09000845','00');</v>
      </c>
    </row>
    <row r="49" spans="1:8" ht="75" x14ac:dyDescent="0.25">
      <c r="A49" s="2" t="s">
        <v>48</v>
      </c>
      <c r="B49" s="27" t="str">
        <f>VLOOKUP(A49,policy1!B:C,2,0)</f>
        <v>040000189413</v>
      </c>
      <c r="C49" s="9">
        <v>27005</v>
      </c>
      <c r="D49" s="18" t="s">
        <v>206</v>
      </c>
      <c r="E49" s="28" t="str">
        <f>VLOOKUP(A49,policy1!B:D,3,0)</f>
        <v>09000795</v>
      </c>
      <c r="F49" s="29" t="str">
        <f t="shared" si="0"/>
        <v>insert into ins_premium_det (premium_rcv_code,assorted_code, rec_amount,premium_rcv_detail_code,remaining_amt, payrec, mode_code,paid_to_code,class_cd) values</v>
      </c>
      <c r="G49" s="30" t="str">
        <f t="shared" si="1"/>
        <v>('21Jan250071','040000189413','27005',(select max(to_number(i.premium_rcv_detail_code))+1 from ins_premium_det i),'27005','27005','03', '09000795','00');</v>
      </c>
      <c r="H49" s="31" t="str">
        <f t="shared" si="2"/>
        <v>insert into ins_premium_det (premium_rcv_code,assorted_code, rec_amount,premium_rcv_detail_code,remaining_amt, payrec, mode_code,paid_to_code,class_cd) values('21Jan250071','040000189413','27005',(select max(to_number(i.premium_rcv_detail_code))+1 from ins_premium_det i),'27005','27005','03', '09000795','00');</v>
      </c>
    </row>
    <row r="50" spans="1:8" ht="75" x14ac:dyDescent="0.25">
      <c r="A50" s="2" t="s">
        <v>49</v>
      </c>
      <c r="B50" s="27" t="str">
        <f>VLOOKUP(A50,policy1!B:C,2,0)</f>
        <v>040000189528</v>
      </c>
      <c r="C50" s="9">
        <v>27131</v>
      </c>
      <c r="D50" s="18" t="s">
        <v>206</v>
      </c>
      <c r="E50" s="28" t="str">
        <f>VLOOKUP(A50,policy1!B:D,3,0)</f>
        <v>09000928</v>
      </c>
      <c r="F50" s="29" t="str">
        <f t="shared" si="0"/>
        <v>insert into ins_premium_det (premium_rcv_code,assorted_code, rec_amount,premium_rcv_detail_code,remaining_amt, payrec, mode_code,paid_to_code,class_cd) values</v>
      </c>
      <c r="G50" s="30" t="str">
        <f t="shared" si="1"/>
        <v>('21Jan250071','040000189528','27131',(select max(to_number(i.premium_rcv_detail_code))+1 from ins_premium_det i),'27131','27131','03', '09000928','00');</v>
      </c>
      <c r="H50" s="31" t="str">
        <f t="shared" si="2"/>
        <v>insert into ins_premium_det (premium_rcv_code,assorted_code, rec_amount,premium_rcv_detail_code,remaining_amt, payrec, mode_code,paid_to_code,class_cd) values('21Jan250071','040000189528','27131',(select max(to_number(i.premium_rcv_detail_code))+1 from ins_premium_det i),'27131','27131','03', '09000928','00');</v>
      </c>
    </row>
    <row r="51" spans="1:8" ht="75" x14ac:dyDescent="0.25">
      <c r="A51" s="2" t="s">
        <v>50</v>
      </c>
      <c r="B51" s="27" t="str">
        <f>VLOOKUP(A51,policy1!B:C,2,0)</f>
        <v>040000189531</v>
      </c>
      <c r="C51" s="9">
        <v>17700</v>
      </c>
      <c r="D51" s="18" t="s">
        <v>206</v>
      </c>
      <c r="E51" s="28" t="str">
        <f>VLOOKUP(A51,policy1!B:D,3,0)</f>
        <v>09000221</v>
      </c>
      <c r="F51" s="29" t="str">
        <f t="shared" si="0"/>
        <v>insert into ins_premium_det (premium_rcv_code,assorted_code, rec_amount,premium_rcv_detail_code,remaining_amt, payrec, mode_code,paid_to_code,class_cd) values</v>
      </c>
      <c r="G51" s="30" t="str">
        <f t="shared" si="1"/>
        <v>('21Jan250071','040000189531','17700',(select max(to_number(i.premium_rcv_detail_code))+1 from ins_premium_det i),'17700','17700','03', '09000221','00');</v>
      </c>
      <c r="H51" s="31" t="str">
        <f t="shared" si="2"/>
        <v>insert into ins_premium_det (premium_rcv_code,assorted_code, rec_amount,premium_rcv_detail_code,remaining_amt, payrec, mode_code,paid_to_code,class_cd) values('21Jan250071','040000189531','17700',(select max(to_number(i.premium_rcv_detail_code))+1 from ins_premium_det i),'17700','17700','03', '09000221','00');</v>
      </c>
    </row>
    <row r="52" spans="1:8" ht="75" x14ac:dyDescent="0.25">
      <c r="A52" s="2" t="s">
        <v>51</v>
      </c>
      <c r="B52" s="27" t="str">
        <f>VLOOKUP(A52,policy1!B:C,2,0)</f>
        <v>040000189741</v>
      </c>
      <c r="C52" s="9">
        <v>12809</v>
      </c>
      <c r="D52" s="18" t="s">
        <v>206</v>
      </c>
      <c r="E52" s="28" t="str">
        <f>VLOOKUP(A52,policy1!B:D,3,0)</f>
        <v>09000440</v>
      </c>
      <c r="F52" s="29" t="str">
        <f t="shared" si="0"/>
        <v>insert into ins_premium_det (premium_rcv_code,assorted_code, rec_amount,premium_rcv_detail_code,remaining_amt, payrec, mode_code,paid_to_code,class_cd) values</v>
      </c>
      <c r="G52" s="30" t="str">
        <f t="shared" si="1"/>
        <v>('21Jan250071','040000189741','12809',(select max(to_number(i.premium_rcv_detail_code))+1 from ins_premium_det i),'12809','12809','03', '09000440','00');</v>
      </c>
      <c r="H52" s="31" t="str">
        <f t="shared" si="2"/>
        <v>insert into ins_premium_det (premium_rcv_code,assorted_code, rec_amount,premium_rcv_detail_code,remaining_amt, payrec, mode_code,paid_to_code,class_cd) values('21Jan250071','040000189741','12809',(select max(to_number(i.premium_rcv_detail_code))+1 from ins_premium_det i),'12809','12809','03', '09000440','00');</v>
      </c>
    </row>
    <row r="53" spans="1:8" ht="75" x14ac:dyDescent="0.25">
      <c r="A53" s="2" t="s">
        <v>52</v>
      </c>
      <c r="B53" s="27" t="str">
        <f>VLOOKUP(A53,policy1!B:C,2,0)</f>
        <v>040000189875</v>
      </c>
      <c r="C53" s="9">
        <v>1000</v>
      </c>
      <c r="D53" s="18" t="s">
        <v>206</v>
      </c>
      <c r="E53" s="28" t="str">
        <f>VLOOKUP(A53,policy1!B:D,3,0)</f>
        <v>09000456</v>
      </c>
      <c r="F53" s="29" t="str">
        <f t="shared" si="0"/>
        <v>insert into ins_premium_det (premium_rcv_code,assorted_code, rec_amount,premium_rcv_detail_code,remaining_amt, payrec, mode_code,paid_to_code,class_cd) values</v>
      </c>
      <c r="G53" s="30" t="str">
        <f t="shared" si="1"/>
        <v>('21Jan250071','040000189875','1000',(select max(to_number(i.premium_rcv_detail_code))+1 from ins_premium_det i),'1000','1000','03', '09000456','00');</v>
      </c>
      <c r="H53" s="31" t="str">
        <f t="shared" si="2"/>
        <v>insert into ins_premium_det (premium_rcv_code,assorted_code, rec_amount,premium_rcv_detail_code,remaining_amt, payrec, mode_code,paid_to_code,class_cd) values('21Jan250071','040000189875','1000',(select max(to_number(i.premium_rcv_detail_code))+1 from ins_premium_det i),'1000','1000','03', '09000456','00');</v>
      </c>
    </row>
    <row r="54" spans="1:8" ht="75" x14ac:dyDescent="0.25">
      <c r="A54" s="2" t="s">
        <v>53</v>
      </c>
      <c r="B54" s="27" t="str">
        <f>VLOOKUP(A54,policy1!B:C,2,0)</f>
        <v>040000189941</v>
      </c>
      <c r="C54" s="9">
        <v>27151</v>
      </c>
      <c r="D54" s="18" t="s">
        <v>206</v>
      </c>
      <c r="E54" s="28" t="str">
        <f>VLOOKUP(A54,policy1!B:D,3,0)</f>
        <v>09000845</v>
      </c>
      <c r="F54" s="29" t="str">
        <f t="shared" si="0"/>
        <v>insert into ins_premium_det (premium_rcv_code,assorted_code, rec_amount,premium_rcv_detail_code,remaining_amt, payrec, mode_code,paid_to_code,class_cd) values</v>
      </c>
      <c r="G54" s="30" t="str">
        <f t="shared" si="1"/>
        <v>('21Jan250071','040000189941','27151',(select max(to_number(i.premium_rcv_detail_code))+1 from ins_premium_det i),'27151','27151','03', '09000845','00');</v>
      </c>
      <c r="H54" s="31" t="str">
        <f t="shared" si="2"/>
        <v>insert into ins_premium_det (premium_rcv_code,assorted_code, rec_amount,premium_rcv_detail_code,remaining_amt, payrec, mode_code,paid_to_code,class_cd) values('21Jan250071','040000189941','27151',(select max(to_number(i.premium_rcv_detail_code))+1 from ins_premium_det i),'27151','27151','03', '09000845','00');</v>
      </c>
    </row>
    <row r="55" spans="1:8" ht="75" x14ac:dyDescent="0.25">
      <c r="A55" s="2" t="s">
        <v>54</v>
      </c>
      <c r="B55" s="27" t="str">
        <f>VLOOKUP(A55,policy1!B:C,2,0)</f>
        <v>040000189942</v>
      </c>
      <c r="C55" s="9">
        <v>7252</v>
      </c>
      <c r="D55" s="18" t="s">
        <v>206</v>
      </c>
      <c r="E55" s="28" t="str">
        <f>VLOOKUP(A55,policy1!B:D,3,0)</f>
        <v>09000845</v>
      </c>
      <c r="F55" s="29" t="str">
        <f t="shared" si="0"/>
        <v>insert into ins_premium_det (premium_rcv_code,assorted_code, rec_amount,premium_rcv_detail_code,remaining_amt, payrec, mode_code,paid_to_code,class_cd) values</v>
      </c>
      <c r="G55" s="30" t="str">
        <f t="shared" si="1"/>
        <v>('21Jan250071','040000189942','7252',(select max(to_number(i.premium_rcv_detail_code))+1 from ins_premium_det i),'7252','7252','03', '09000845','00');</v>
      </c>
      <c r="H55" s="31" t="str">
        <f t="shared" si="2"/>
        <v>insert into ins_premium_det (premium_rcv_code,assorted_code, rec_amount,premium_rcv_detail_code,remaining_amt, payrec, mode_code,paid_to_code,class_cd) values('21Jan250071','040000189942','7252',(select max(to_number(i.premium_rcv_detail_code))+1 from ins_premium_det i),'7252','7252','03', '09000845','00');</v>
      </c>
    </row>
    <row r="56" spans="1:8" ht="75" x14ac:dyDescent="0.25">
      <c r="A56" s="2" t="s">
        <v>55</v>
      </c>
      <c r="B56" s="27" t="str">
        <f>VLOOKUP(A56,policy1!B:C,2,0)</f>
        <v>040000190060</v>
      </c>
      <c r="C56" s="9">
        <v>15747</v>
      </c>
      <c r="D56" s="18" t="s">
        <v>206</v>
      </c>
      <c r="E56" s="28" t="str">
        <f>VLOOKUP(A56,policy1!B:D,3,0)</f>
        <v>09000796</v>
      </c>
      <c r="F56" s="29" t="str">
        <f t="shared" si="0"/>
        <v>insert into ins_premium_det (premium_rcv_code,assorted_code, rec_amount,premium_rcv_detail_code,remaining_amt, payrec, mode_code,paid_to_code,class_cd) values</v>
      </c>
      <c r="G56" s="30" t="str">
        <f t="shared" si="1"/>
        <v>('21Jan250071','040000190060','15747',(select max(to_number(i.premium_rcv_detail_code))+1 from ins_premium_det i),'15747','15747','03', '09000796','00');</v>
      </c>
      <c r="H56" s="31" t="str">
        <f t="shared" si="2"/>
        <v>insert into ins_premium_det (premium_rcv_code,assorted_code, rec_amount,premium_rcv_detail_code,remaining_amt, payrec, mode_code,paid_to_code,class_cd) values('21Jan250071','040000190060','15747',(select max(to_number(i.premium_rcv_detail_code))+1 from ins_premium_det i),'15747','15747','03', '09000796','00');</v>
      </c>
    </row>
    <row r="57" spans="1:8" ht="75" x14ac:dyDescent="0.25">
      <c r="A57" s="2" t="s">
        <v>56</v>
      </c>
      <c r="B57" s="27" t="str">
        <f>VLOOKUP(A57,policy1!B:C,2,0)</f>
        <v>040000190062</v>
      </c>
      <c r="C57" s="9">
        <v>9470</v>
      </c>
      <c r="D57" s="18" t="s">
        <v>206</v>
      </c>
      <c r="E57" s="28" t="str">
        <f>VLOOKUP(A57,policy1!B:D,3,0)</f>
        <v>09000796</v>
      </c>
      <c r="F57" s="29" t="str">
        <f t="shared" si="0"/>
        <v>insert into ins_premium_det (premium_rcv_code,assorted_code, rec_amount,premium_rcv_detail_code,remaining_amt, payrec, mode_code,paid_to_code,class_cd) values</v>
      </c>
      <c r="G57" s="30" t="str">
        <f t="shared" si="1"/>
        <v>('21Jan250071','040000190062','9470',(select max(to_number(i.premium_rcv_detail_code))+1 from ins_premium_det i),'9470','9470','03', '09000796','00');</v>
      </c>
      <c r="H57" s="31" t="str">
        <f t="shared" si="2"/>
        <v>insert into ins_premium_det (premium_rcv_code,assorted_code, rec_amount,premium_rcv_detail_code,remaining_amt, payrec, mode_code,paid_to_code,class_cd) values('21Jan250071','040000190062','9470',(select max(to_number(i.premium_rcv_detail_code))+1 from ins_premium_det i),'9470','9470','03', '09000796','00');</v>
      </c>
    </row>
    <row r="58" spans="1:8" ht="75" x14ac:dyDescent="0.25">
      <c r="A58" s="2" t="s">
        <v>57</v>
      </c>
      <c r="B58" s="27" t="str">
        <f>VLOOKUP(A58,policy1!B:C,2,0)</f>
        <v>040000190545</v>
      </c>
      <c r="C58" s="9">
        <v>10125</v>
      </c>
      <c r="D58" s="18" t="s">
        <v>206</v>
      </c>
      <c r="E58" s="28" t="str">
        <f>VLOOKUP(A58,policy1!B:D,3,0)</f>
        <v>09000818</v>
      </c>
      <c r="F58" s="29" t="str">
        <f t="shared" si="0"/>
        <v>insert into ins_premium_det (premium_rcv_code,assorted_code, rec_amount,premium_rcv_detail_code,remaining_amt, payrec, mode_code,paid_to_code,class_cd) values</v>
      </c>
      <c r="G58" s="30" t="str">
        <f t="shared" si="1"/>
        <v>('21Jan250071','040000190545','10125',(select max(to_number(i.premium_rcv_detail_code))+1 from ins_premium_det i),'10125','10125','03', '09000818','00');</v>
      </c>
      <c r="H58" s="31" t="str">
        <f t="shared" si="2"/>
        <v>insert into ins_premium_det (premium_rcv_code,assorted_code, rec_amount,premium_rcv_detail_code,remaining_amt, payrec, mode_code,paid_to_code,class_cd) values('21Jan250071','040000190545','10125',(select max(to_number(i.premium_rcv_detail_code))+1 from ins_premium_det i),'10125','10125','03', '09000818','00');</v>
      </c>
    </row>
    <row r="59" spans="1:8" ht="75" x14ac:dyDescent="0.25">
      <c r="A59" s="2" t="s">
        <v>58</v>
      </c>
      <c r="B59" s="27" t="str">
        <f>VLOOKUP(A59,policy1!B:C,2,0)</f>
        <v>040000190547</v>
      </c>
      <c r="C59" s="9">
        <v>15525</v>
      </c>
      <c r="D59" s="18" t="s">
        <v>206</v>
      </c>
      <c r="E59" s="28" t="str">
        <f>VLOOKUP(A59,policy1!B:D,3,0)</f>
        <v>09000818</v>
      </c>
      <c r="F59" s="29" t="str">
        <f t="shared" si="0"/>
        <v>insert into ins_premium_det (premium_rcv_code,assorted_code, rec_amount,premium_rcv_detail_code,remaining_amt, payrec, mode_code,paid_to_code,class_cd) values</v>
      </c>
      <c r="G59" s="30" t="str">
        <f t="shared" si="1"/>
        <v>('21Jan250071','040000190547','15525',(select max(to_number(i.premium_rcv_detail_code))+1 from ins_premium_det i),'15525','15525','03', '09000818','00');</v>
      </c>
      <c r="H59" s="31" t="str">
        <f t="shared" si="2"/>
        <v>insert into ins_premium_det (premium_rcv_code,assorted_code, rec_amount,premium_rcv_detail_code,remaining_amt, payrec, mode_code,paid_to_code,class_cd) values('21Jan250071','040000190547','15525',(select max(to_number(i.premium_rcv_detail_code))+1 from ins_premium_det i),'15525','15525','03', '09000818','00');</v>
      </c>
    </row>
    <row r="60" spans="1:8" ht="75" x14ac:dyDescent="0.25">
      <c r="A60" s="2" t="s">
        <v>59</v>
      </c>
      <c r="B60" s="27" t="str">
        <f>VLOOKUP(A60,policy1!B:C,2,0)</f>
        <v>040000190548</v>
      </c>
      <c r="C60" s="9">
        <v>9611</v>
      </c>
      <c r="D60" s="18" t="s">
        <v>206</v>
      </c>
      <c r="E60" s="28" t="str">
        <f>VLOOKUP(A60,policy1!B:D,3,0)</f>
        <v>09000896</v>
      </c>
      <c r="F60" s="29" t="str">
        <f t="shared" si="0"/>
        <v>insert into ins_premium_det (premium_rcv_code,assorted_code, rec_amount,premium_rcv_detail_code,remaining_amt, payrec, mode_code,paid_to_code,class_cd) values</v>
      </c>
      <c r="G60" s="30" t="str">
        <f t="shared" si="1"/>
        <v>('21Jan250071','040000190548','9611',(select max(to_number(i.premium_rcv_detail_code))+1 from ins_premium_det i),'9611','9611','03', '09000896','00');</v>
      </c>
      <c r="H60" s="31" t="str">
        <f t="shared" si="2"/>
        <v>insert into ins_premium_det (premium_rcv_code,assorted_code, rec_amount,premium_rcv_detail_code,remaining_amt, payrec, mode_code,paid_to_code,class_cd) values('21Jan250071','040000190548','9611',(select max(to_number(i.premium_rcv_detail_code))+1 from ins_premium_det i),'9611','9611','03', '09000896','00');</v>
      </c>
    </row>
    <row r="61" spans="1:8" ht="75" x14ac:dyDescent="0.25">
      <c r="A61" s="2" t="s">
        <v>60</v>
      </c>
      <c r="B61" s="27" t="str">
        <f>VLOOKUP(A61,policy1!B:C,2,0)</f>
        <v>040000190626</v>
      </c>
      <c r="C61" s="9">
        <v>3983</v>
      </c>
      <c r="D61" s="18" t="s">
        <v>206</v>
      </c>
      <c r="E61" s="28" t="str">
        <f>VLOOKUP(A61,policy1!B:D,3,0)</f>
        <v>09000508</v>
      </c>
      <c r="F61" s="29" t="str">
        <f t="shared" si="0"/>
        <v>insert into ins_premium_det (premium_rcv_code,assorted_code, rec_amount,premium_rcv_detail_code,remaining_amt, payrec, mode_code,paid_to_code,class_cd) values</v>
      </c>
      <c r="G61" s="30" t="str">
        <f t="shared" si="1"/>
        <v>('21Jan250071','040000190626','3983',(select max(to_number(i.premium_rcv_detail_code))+1 from ins_premium_det i),'3983','3983','03', '09000508','00');</v>
      </c>
      <c r="H61" s="31" t="str">
        <f t="shared" si="2"/>
        <v>insert into ins_premium_det (premium_rcv_code,assorted_code, rec_amount,premium_rcv_detail_code,remaining_amt, payrec, mode_code,paid_to_code,class_cd) values('21Jan250071','040000190626','3983',(select max(to_number(i.premium_rcv_detail_code))+1 from ins_premium_det i),'3983','3983','03', '09000508','00');</v>
      </c>
    </row>
    <row r="62" spans="1:8" ht="75" x14ac:dyDescent="0.25">
      <c r="A62" s="2" t="s">
        <v>61</v>
      </c>
      <c r="B62" s="27" t="str">
        <f>VLOOKUP(A62,policy1!B:C,2,0)</f>
        <v>040000190999</v>
      </c>
      <c r="C62" s="9">
        <v>45688</v>
      </c>
      <c r="D62" s="18" t="s">
        <v>206</v>
      </c>
      <c r="E62" s="28" t="str">
        <f>VLOOKUP(A62,policy1!B:D,3,0)</f>
        <v>09000845</v>
      </c>
      <c r="F62" s="29" t="str">
        <f t="shared" si="0"/>
        <v>insert into ins_premium_det (premium_rcv_code,assorted_code, rec_amount,premium_rcv_detail_code,remaining_amt, payrec, mode_code,paid_to_code,class_cd) values</v>
      </c>
      <c r="G62" s="30" t="str">
        <f t="shared" si="1"/>
        <v>('21Jan250071','040000190999','45688',(select max(to_number(i.premium_rcv_detail_code))+1 from ins_premium_det i),'45688','45688','03', '09000845','00');</v>
      </c>
      <c r="H62" s="31" t="str">
        <f t="shared" si="2"/>
        <v>insert into ins_premium_det (premium_rcv_code,assorted_code, rec_amount,premium_rcv_detail_code,remaining_amt, payrec, mode_code,paid_to_code,class_cd) values('21Jan250071','040000190999','45688',(select max(to_number(i.premium_rcv_detail_code))+1 from ins_premium_det i),'45688','45688','03', '09000845','00');</v>
      </c>
    </row>
    <row r="63" spans="1:8" ht="75" x14ac:dyDescent="0.25">
      <c r="A63" s="2" t="s">
        <v>62</v>
      </c>
      <c r="B63" s="27" t="str">
        <f>VLOOKUP(A63,policy1!B:C,2,0)</f>
        <v>040000191000</v>
      </c>
      <c r="C63" s="9">
        <v>8720</v>
      </c>
      <c r="D63" s="18" t="s">
        <v>206</v>
      </c>
      <c r="E63" s="28" t="str">
        <f>VLOOKUP(A63,policy1!B:D,3,0)</f>
        <v>09000845</v>
      </c>
      <c r="F63" s="29" t="str">
        <f t="shared" si="0"/>
        <v>insert into ins_premium_det (premium_rcv_code,assorted_code, rec_amount,premium_rcv_detail_code,remaining_amt, payrec, mode_code,paid_to_code,class_cd) values</v>
      </c>
      <c r="G63" s="30" t="str">
        <f t="shared" si="1"/>
        <v>('21Jan250071','040000191000','8720',(select max(to_number(i.premium_rcv_detail_code))+1 from ins_premium_det i),'8720','8720','03', '09000845','00');</v>
      </c>
      <c r="H63" s="31" t="str">
        <f t="shared" si="2"/>
        <v>insert into ins_premium_det (premium_rcv_code,assorted_code, rec_amount,premium_rcv_detail_code,remaining_amt, payrec, mode_code,paid_to_code,class_cd) values('21Jan250071','040000191000','8720',(select max(to_number(i.premium_rcv_detail_code))+1 from ins_premium_det i),'8720','8720','03', '09000845','00');</v>
      </c>
    </row>
    <row r="64" spans="1:8" ht="75" x14ac:dyDescent="0.25">
      <c r="A64" s="2" t="s">
        <v>63</v>
      </c>
      <c r="B64" s="27" t="str">
        <f>VLOOKUP(A64,policy1!B:C,2,0)</f>
        <v>040000191072</v>
      </c>
      <c r="C64" s="9">
        <v>11580</v>
      </c>
      <c r="D64" s="18" t="s">
        <v>206</v>
      </c>
      <c r="E64" s="28" t="str">
        <f>VLOOKUP(A64,policy1!B:D,3,0)</f>
        <v>09000919</v>
      </c>
      <c r="F64" s="29" t="str">
        <f t="shared" si="0"/>
        <v>insert into ins_premium_det (premium_rcv_code,assorted_code, rec_amount,premium_rcv_detail_code,remaining_amt, payrec, mode_code,paid_to_code,class_cd) values</v>
      </c>
      <c r="G64" s="30" t="str">
        <f t="shared" si="1"/>
        <v>('21Jan250071','040000191072','11580',(select max(to_number(i.premium_rcv_detail_code))+1 from ins_premium_det i),'11580','11580','03', '09000919','00');</v>
      </c>
      <c r="H64" s="31" t="str">
        <f t="shared" si="2"/>
        <v>insert into ins_premium_det (premium_rcv_code,assorted_code, rec_amount,premium_rcv_detail_code,remaining_amt, payrec, mode_code,paid_to_code,class_cd) values('21Jan250071','040000191072','11580',(select max(to_number(i.premium_rcv_detail_code))+1 from ins_premium_det i),'11580','11580','03', '09000919','00');</v>
      </c>
    </row>
    <row r="65" spans="1:8" ht="75" x14ac:dyDescent="0.25">
      <c r="A65" s="2" t="s">
        <v>64</v>
      </c>
      <c r="B65" s="27" t="str">
        <f>VLOOKUP(A65,policy1!B:C,2,0)</f>
        <v>040000191074</v>
      </c>
      <c r="C65" s="9">
        <v>10197</v>
      </c>
      <c r="D65" s="18" t="s">
        <v>206</v>
      </c>
      <c r="E65" s="28" t="str">
        <f>VLOOKUP(A65,policy1!B:D,3,0)</f>
        <v>09000919</v>
      </c>
      <c r="F65" s="29" t="str">
        <f t="shared" si="0"/>
        <v>insert into ins_premium_det (premium_rcv_code,assorted_code, rec_amount,premium_rcv_detail_code,remaining_amt, payrec, mode_code,paid_to_code,class_cd) values</v>
      </c>
      <c r="G65" s="30" t="str">
        <f t="shared" si="1"/>
        <v>('21Jan250071','040000191074','10197',(select max(to_number(i.premium_rcv_detail_code))+1 from ins_premium_det i),'10197','10197','03', '09000919','00');</v>
      </c>
      <c r="H65" s="31" t="str">
        <f t="shared" si="2"/>
        <v>insert into ins_premium_det (premium_rcv_code,assorted_code, rec_amount,premium_rcv_detail_code,remaining_amt, payrec, mode_code,paid_to_code,class_cd) values('21Jan250071','040000191074','10197',(select max(to_number(i.premium_rcv_detail_code))+1 from ins_premium_det i),'10197','10197','03', '09000919','00');</v>
      </c>
    </row>
    <row r="66" spans="1:8" ht="75" x14ac:dyDescent="0.25">
      <c r="A66" s="2" t="s">
        <v>65</v>
      </c>
      <c r="B66" s="27" t="str">
        <f>VLOOKUP(A66,policy1!B:C,2,0)</f>
        <v>040000191075</v>
      </c>
      <c r="C66" s="9">
        <v>9835</v>
      </c>
      <c r="D66" s="18" t="s">
        <v>206</v>
      </c>
      <c r="E66" s="28" t="str">
        <f>VLOOKUP(A66,policy1!B:D,3,0)</f>
        <v>09000919</v>
      </c>
      <c r="F66" s="29" t="str">
        <f t="shared" ref="F66:F95" si="3">"insert into ins_premium_det (premium_rcv_code,assorted_code, rec_amount,premium_rcv_detail_code,remaining_amt, payrec, mode_code,paid_to_code,class_cd) values"</f>
        <v>insert into ins_premium_det (premium_rcv_code,assorted_code, rec_amount,premium_rcv_detail_code,remaining_amt, payrec, mode_code,paid_to_code,class_cd) values</v>
      </c>
      <c r="G66" s="30" t="str">
        <f t="shared" ref="G66:G95" si="4">"('"&amp;D65&amp;"','"&amp;B66&amp;"','"&amp;C66&amp;"',(select max(to_number(i.premium_rcv_detail_code))+1 from ins_premium_det i),'"&amp;C66&amp;"','"&amp;C66&amp;"','03', '"&amp;E66&amp;"','00');"</f>
        <v>('21Jan250071','040000191075','9835',(select max(to_number(i.premium_rcv_detail_code))+1 from ins_premium_det i),'9835','9835','03', '09000919','00');</v>
      </c>
      <c r="H66" s="31" t="str">
        <f t="shared" ref="H66:H95" si="5">F66&amp;G66</f>
        <v>insert into ins_premium_det (premium_rcv_code,assorted_code, rec_amount,premium_rcv_detail_code,remaining_amt, payrec, mode_code,paid_to_code,class_cd) values('21Jan250071','040000191075','9835',(select max(to_number(i.premium_rcv_detail_code))+1 from ins_premium_det i),'9835','9835','03', '09000919','00');</v>
      </c>
    </row>
    <row r="67" spans="1:8" ht="75" x14ac:dyDescent="0.25">
      <c r="A67" s="2" t="s">
        <v>66</v>
      </c>
      <c r="B67" s="27" t="str">
        <f>VLOOKUP(A67,policy1!B:C,2,0)</f>
        <v>040000191076</v>
      </c>
      <c r="C67" s="9">
        <v>9835</v>
      </c>
      <c r="D67" s="18" t="s">
        <v>206</v>
      </c>
      <c r="E67" s="28" t="str">
        <f>VLOOKUP(A67,policy1!B:D,3,0)</f>
        <v>09000919</v>
      </c>
      <c r="F67" s="29" t="str">
        <f t="shared" si="3"/>
        <v>insert into ins_premium_det (premium_rcv_code,assorted_code, rec_amount,premium_rcv_detail_code,remaining_amt, payrec, mode_code,paid_to_code,class_cd) values</v>
      </c>
      <c r="G67" s="30" t="str">
        <f t="shared" si="4"/>
        <v>('21Jan250071','040000191076','9835',(select max(to_number(i.premium_rcv_detail_code))+1 from ins_premium_det i),'9835','9835','03', '09000919','00');</v>
      </c>
      <c r="H67" s="31" t="str">
        <f t="shared" si="5"/>
        <v>insert into ins_premium_det (premium_rcv_code,assorted_code, rec_amount,premium_rcv_detail_code,remaining_amt, payrec, mode_code,paid_to_code,class_cd) values('21Jan250071','040000191076','9835',(select max(to_number(i.premium_rcv_detail_code))+1 from ins_premium_det i),'9835','9835','03', '09000919','00');</v>
      </c>
    </row>
    <row r="68" spans="1:8" ht="75" x14ac:dyDescent="0.25">
      <c r="A68" s="2" t="s">
        <v>67</v>
      </c>
      <c r="B68" s="27" t="str">
        <f>VLOOKUP(A68,policy1!B:C,2,0)</f>
        <v>040000191078</v>
      </c>
      <c r="C68" s="9">
        <v>9440</v>
      </c>
      <c r="D68" s="18" t="s">
        <v>206</v>
      </c>
      <c r="E68" s="28" t="str">
        <f>VLOOKUP(A68,policy1!B:D,3,0)</f>
        <v>09000919</v>
      </c>
      <c r="F68" s="29" t="str">
        <f t="shared" si="3"/>
        <v>insert into ins_premium_det (premium_rcv_code,assorted_code, rec_amount,premium_rcv_detail_code,remaining_amt, payrec, mode_code,paid_to_code,class_cd) values</v>
      </c>
      <c r="G68" s="30" t="str">
        <f t="shared" si="4"/>
        <v>('21Jan250071','040000191078','9440',(select max(to_number(i.premium_rcv_detail_code))+1 from ins_premium_det i),'9440','9440','03', '09000919','00');</v>
      </c>
      <c r="H68" s="31" t="str">
        <f t="shared" si="5"/>
        <v>insert into ins_premium_det (premium_rcv_code,assorted_code, rec_amount,premium_rcv_detail_code,remaining_amt, payrec, mode_code,paid_to_code,class_cd) values('21Jan250071','040000191078','9440',(select max(to_number(i.premium_rcv_detail_code))+1 from ins_premium_det i),'9440','9440','03', '09000919','00');</v>
      </c>
    </row>
    <row r="69" spans="1:8" ht="75" x14ac:dyDescent="0.25">
      <c r="A69" s="2" t="s">
        <v>68</v>
      </c>
      <c r="B69" s="27" t="str">
        <f>VLOOKUP(A69,policy1!B:C,2,0)</f>
        <v>040000191248</v>
      </c>
      <c r="C69" s="9">
        <v>4229</v>
      </c>
      <c r="D69" s="18" t="s">
        <v>206</v>
      </c>
      <c r="E69" s="28" t="str">
        <f>VLOOKUP(A69,policy1!B:D,3,0)</f>
        <v>09000433</v>
      </c>
      <c r="F69" s="29" t="str">
        <f t="shared" si="3"/>
        <v>insert into ins_premium_det (premium_rcv_code,assorted_code, rec_amount,premium_rcv_detail_code,remaining_amt, payrec, mode_code,paid_to_code,class_cd) values</v>
      </c>
      <c r="G69" s="30" t="str">
        <f t="shared" si="4"/>
        <v>('21Jan250071','040000191248','4229',(select max(to_number(i.premium_rcv_detail_code))+1 from ins_premium_det i),'4229','4229','03', '09000433','00');</v>
      </c>
      <c r="H69" s="31" t="str">
        <f t="shared" si="5"/>
        <v>insert into ins_premium_det (premium_rcv_code,assorted_code, rec_amount,premium_rcv_detail_code,remaining_amt, payrec, mode_code,paid_to_code,class_cd) values('21Jan250071','040000191248','4229',(select max(to_number(i.premium_rcv_detail_code))+1 from ins_premium_det i),'4229','4229','03', '09000433','00');</v>
      </c>
    </row>
    <row r="70" spans="1:8" ht="75" x14ac:dyDescent="0.25">
      <c r="A70" s="2" t="s">
        <v>69</v>
      </c>
      <c r="B70" s="27" t="str">
        <f>VLOOKUP(A70,policy1!B:C,2,0)</f>
        <v>040000191249</v>
      </c>
      <c r="C70" s="9">
        <v>4934</v>
      </c>
      <c r="D70" s="18" t="s">
        <v>206</v>
      </c>
      <c r="E70" s="28" t="str">
        <f>VLOOKUP(A70,policy1!B:D,3,0)</f>
        <v>09000433</v>
      </c>
      <c r="F70" s="29" t="str">
        <f t="shared" si="3"/>
        <v>insert into ins_premium_det (premium_rcv_code,assorted_code, rec_amount,premium_rcv_detail_code,remaining_amt, payrec, mode_code,paid_to_code,class_cd) values</v>
      </c>
      <c r="G70" s="30" t="str">
        <f t="shared" si="4"/>
        <v>('21Jan250071','040000191249','4934',(select max(to_number(i.premium_rcv_detail_code))+1 from ins_premium_det i),'4934','4934','03', '09000433','00');</v>
      </c>
      <c r="H70" s="31" t="str">
        <f t="shared" si="5"/>
        <v>insert into ins_premium_det (premium_rcv_code,assorted_code, rec_amount,premium_rcv_detail_code,remaining_amt, payrec, mode_code,paid_to_code,class_cd) values('21Jan250071','040000191249','4934',(select max(to_number(i.premium_rcv_detail_code))+1 from ins_premium_det i),'4934','4934','03', '09000433','00');</v>
      </c>
    </row>
    <row r="71" spans="1:8" ht="75" x14ac:dyDescent="0.25">
      <c r="A71" s="2" t="s">
        <v>70</v>
      </c>
      <c r="B71" s="27" t="str">
        <f>VLOOKUP(A71,policy1!B:C,2,0)</f>
        <v>040000191333</v>
      </c>
      <c r="C71" s="9">
        <v>28669</v>
      </c>
      <c r="D71" s="18" t="s">
        <v>206</v>
      </c>
      <c r="E71" s="28" t="str">
        <f>VLOOKUP(A71,policy1!B:D,3,0)</f>
        <v>09000918</v>
      </c>
      <c r="F71" s="29" t="str">
        <f t="shared" si="3"/>
        <v>insert into ins_premium_det (premium_rcv_code,assorted_code, rec_amount,premium_rcv_detail_code,remaining_amt, payrec, mode_code,paid_to_code,class_cd) values</v>
      </c>
      <c r="G71" s="30" t="str">
        <f t="shared" si="4"/>
        <v>('21Jan250071','040000191333','28669',(select max(to_number(i.premium_rcv_detail_code))+1 from ins_premium_det i),'28669','28669','03', '09000918','00');</v>
      </c>
      <c r="H71" s="31" t="str">
        <f t="shared" si="5"/>
        <v>insert into ins_premium_det (premium_rcv_code,assorted_code, rec_amount,premium_rcv_detail_code,remaining_amt, payrec, mode_code,paid_to_code,class_cd) values('21Jan250071','040000191333','28669',(select max(to_number(i.premium_rcv_detail_code))+1 from ins_premium_det i),'28669','28669','03', '09000918','00');</v>
      </c>
    </row>
    <row r="72" spans="1:8" ht="75" x14ac:dyDescent="0.25">
      <c r="A72" s="2" t="s">
        <v>71</v>
      </c>
      <c r="B72" s="27" t="str">
        <f>VLOOKUP(A72,policy1!B:C,2,0)</f>
        <v>040000191338</v>
      </c>
      <c r="C72" s="9">
        <v>43900</v>
      </c>
      <c r="D72" s="18" t="s">
        <v>206</v>
      </c>
      <c r="E72" s="28" t="str">
        <f>VLOOKUP(A72,policy1!B:D,3,0)</f>
        <v>09000839</v>
      </c>
      <c r="F72" s="29" t="str">
        <f t="shared" si="3"/>
        <v>insert into ins_premium_det (premium_rcv_code,assorted_code, rec_amount,premium_rcv_detail_code,remaining_amt, payrec, mode_code,paid_to_code,class_cd) values</v>
      </c>
      <c r="G72" s="30" t="str">
        <f t="shared" si="4"/>
        <v>('21Jan250071','040000191338','43900',(select max(to_number(i.premium_rcv_detail_code))+1 from ins_premium_det i),'43900','43900','03', '09000839','00');</v>
      </c>
      <c r="H72" s="31" t="str">
        <f t="shared" si="5"/>
        <v>insert into ins_premium_det (premium_rcv_code,assorted_code, rec_amount,premium_rcv_detail_code,remaining_amt, payrec, mode_code,paid_to_code,class_cd) values('21Jan250071','040000191338','43900',(select max(to_number(i.premium_rcv_detail_code))+1 from ins_premium_det i),'43900','43900','03', '09000839','00');</v>
      </c>
    </row>
    <row r="73" spans="1:8" ht="75" x14ac:dyDescent="0.25">
      <c r="A73" s="2" t="s">
        <v>72</v>
      </c>
      <c r="B73" s="27" t="str">
        <f>VLOOKUP(A73,policy1!B:C,2,0)</f>
        <v>040000191630</v>
      </c>
      <c r="C73" s="9">
        <v>13817</v>
      </c>
      <c r="D73" s="18" t="s">
        <v>206</v>
      </c>
      <c r="E73" s="28" t="str">
        <f>VLOOKUP(A73,policy1!B:D,3,0)</f>
        <v>09000928</v>
      </c>
      <c r="F73" s="29" t="str">
        <f t="shared" si="3"/>
        <v>insert into ins_premium_det (premium_rcv_code,assorted_code, rec_amount,premium_rcv_detail_code,remaining_amt, payrec, mode_code,paid_to_code,class_cd) values</v>
      </c>
      <c r="G73" s="30" t="str">
        <f t="shared" si="4"/>
        <v>('21Jan250071','040000191630','13817',(select max(to_number(i.premium_rcv_detail_code))+1 from ins_premium_det i),'13817','13817','03', '09000928','00');</v>
      </c>
      <c r="H73" s="31" t="str">
        <f t="shared" si="5"/>
        <v>insert into ins_premium_det (premium_rcv_code,assorted_code, rec_amount,premium_rcv_detail_code,remaining_amt, payrec, mode_code,paid_to_code,class_cd) values('21Jan250071','040000191630','13817',(select max(to_number(i.premium_rcv_detail_code))+1 from ins_premium_det i),'13817','13817','03', '09000928','00');</v>
      </c>
    </row>
    <row r="74" spans="1:8" ht="75" x14ac:dyDescent="0.25">
      <c r="A74" s="2" t="s">
        <v>73</v>
      </c>
      <c r="B74" s="27" t="str">
        <f>VLOOKUP(A74,policy1!B:C,2,0)</f>
        <v>040000191631</v>
      </c>
      <c r="C74" s="9">
        <v>9802</v>
      </c>
      <c r="D74" s="18" t="s">
        <v>206</v>
      </c>
      <c r="E74" s="28" t="str">
        <f>VLOOKUP(A74,policy1!B:D,3,0)</f>
        <v>09000795</v>
      </c>
      <c r="F74" s="29" t="str">
        <f t="shared" si="3"/>
        <v>insert into ins_premium_det (premium_rcv_code,assorted_code, rec_amount,premium_rcv_detail_code,remaining_amt, payrec, mode_code,paid_to_code,class_cd) values</v>
      </c>
      <c r="G74" s="30" t="str">
        <f t="shared" si="4"/>
        <v>('21Jan250071','040000191631','9802',(select max(to_number(i.premium_rcv_detail_code))+1 from ins_premium_det i),'9802','9802','03', '09000795','00');</v>
      </c>
      <c r="H74" s="31" t="str">
        <f t="shared" si="5"/>
        <v>insert into ins_premium_det (premium_rcv_code,assorted_code, rec_amount,premium_rcv_detail_code,remaining_amt, payrec, mode_code,paid_to_code,class_cd) values('21Jan250071','040000191631','9802',(select max(to_number(i.premium_rcv_detail_code))+1 from ins_premium_det i),'9802','9802','03', '09000795','00');</v>
      </c>
    </row>
    <row r="75" spans="1:8" ht="75" x14ac:dyDescent="0.25">
      <c r="A75" s="2" t="s">
        <v>74</v>
      </c>
      <c r="B75" s="27" t="str">
        <f>VLOOKUP(A75,policy1!B:C,2,0)</f>
        <v>040000191768</v>
      </c>
      <c r="C75" s="9">
        <v>41965</v>
      </c>
      <c r="D75" s="18" t="s">
        <v>206</v>
      </c>
      <c r="E75" s="28" t="str">
        <f>VLOOKUP(A75,policy1!B:D,3,0)</f>
        <v>09000752</v>
      </c>
      <c r="F75" s="29" t="str">
        <f t="shared" si="3"/>
        <v>insert into ins_premium_det (premium_rcv_code,assorted_code, rec_amount,premium_rcv_detail_code,remaining_amt, payrec, mode_code,paid_to_code,class_cd) values</v>
      </c>
      <c r="G75" s="30" t="str">
        <f t="shared" si="4"/>
        <v>('21Jan250071','040000191768','41965',(select max(to_number(i.premium_rcv_detail_code))+1 from ins_premium_det i),'41965','41965','03', '09000752','00');</v>
      </c>
      <c r="H75" s="31" t="str">
        <f t="shared" si="5"/>
        <v>insert into ins_premium_det (premium_rcv_code,assorted_code, rec_amount,premium_rcv_detail_code,remaining_amt, payrec, mode_code,paid_to_code,class_cd) values('21Jan250071','040000191768','41965',(select max(to_number(i.premium_rcv_detail_code))+1 from ins_premium_det i),'41965','41965','03', '09000752','00');</v>
      </c>
    </row>
    <row r="76" spans="1:8" ht="75" x14ac:dyDescent="0.25">
      <c r="A76" s="2" t="s">
        <v>75</v>
      </c>
      <c r="B76" s="27" t="str">
        <f>VLOOKUP(A76,policy1!B:C,2,0)</f>
        <v>040000191769</v>
      </c>
      <c r="C76" s="9">
        <v>11278</v>
      </c>
      <c r="D76" s="18" t="s">
        <v>206</v>
      </c>
      <c r="E76" s="28" t="str">
        <f>VLOOKUP(A76,policy1!B:D,3,0)</f>
        <v>09000752</v>
      </c>
      <c r="F76" s="29" t="str">
        <f t="shared" si="3"/>
        <v>insert into ins_premium_det (premium_rcv_code,assorted_code, rec_amount,premium_rcv_detail_code,remaining_amt, payrec, mode_code,paid_to_code,class_cd) values</v>
      </c>
      <c r="G76" s="30" t="str">
        <f t="shared" si="4"/>
        <v>('21Jan250071','040000191769','11278',(select max(to_number(i.premium_rcv_detail_code))+1 from ins_premium_det i),'11278','11278','03', '09000752','00');</v>
      </c>
      <c r="H76" s="31" t="str">
        <f t="shared" si="5"/>
        <v>insert into ins_premium_det (premium_rcv_code,assorted_code, rec_amount,premium_rcv_detail_code,remaining_amt, payrec, mode_code,paid_to_code,class_cd) values('21Jan250071','040000191769','11278',(select max(to_number(i.premium_rcv_detail_code))+1 from ins_premium_det i),'11278','11278','03', '09000752','00');</v>
      </c>
    </row>
    <row r="77" spans="1:8" ht="75" x14ac:dyDescent="0.25">
      <c r="A77" s="2" t="s">
        <v>76</v>
      </c>
      <c r="B77" s="27" t="str">
        <f>VLOOKUP(A77,policy1!B:C,2,0)</f>
        <v>040000191792</v>
      </c>
      <c r="C77" s="9">
        <v>41832</v>
      </c>
      <c r="D77" s="18" t="s">
        <v>206</v>
      </c>
      <c r="E77" s="28" t="str">
        <f>VLOOKUP(A77,policy1!B:D,3,0)</f>
        <v>09000905</v>
      </c>
      <c r="F77" s="29" t="str">
        <f t="shared" si="3"/>
        <v>insert into ins_premium_det (premium_rcv_code,assorted_code, rec_amount,premium_rcv_detail_code,remaining_amt, payrec, mode_code,paid_to_code,class_cd) values</v>
      </c>
      <c r="G77" s="30" t="str">
        <f t="shared" si="4"/>
        <v>('21Jan250071','040000191792','41832',(select max(to_number(i.premium_rcv_detail_code))+1 from ins_premium_det i),'41832','41832','03', '09000905','00');</v>
      </c>
      <c r="H77" s="31" t="str">
        <f t="shared" si="5"/>
        <v>insert into ins_premium_det (premium_rcv_code,assorted_code, rec_amount,premium_rcv_detail_code,remaining_amt, payrec, mode_code,paid_to_code,class_cd) values('21Jan250071','040000191792','41832',(select max(to_number(i.premium_rcv_detail_code))+1 from ins_premium_det i),'41832','41832','03', '09000905','00');</v>
      </c>
    </row>
    <row r="78" spans="1:8" ht="75" x14ac:dyDescent="0.25">
      <c r="A78" s="2" t="s">
        <v>77</v>
      </c>
      <c r="B78" s="27" t="str">
        <f>VLOOKUP(A78,policy1!B:C,2,0)</f>
        <v>040000191793</v>
      </c>
      <c r="C78" s="9">
        <v>35545</v>
      </c>
      <c r="D78" s="18" t="s">
        <v>206</v>
      </c>
      <c r="E78" s="28" t="str">
        <f>VLOOKUP(A78,policy1!B:D,3,0)</f>
        <v>09000898</v>
      </c>
      <c r="F78" s="29" t="str">
        <f t="shared" si="3"/>
        <v>insert into ins_premium_det (premium_rcv_code,assorted_code, rec_amount,premium_rcv_detail_code,remaining_amt, payrec, mode_code,paid_to_code,class_cd) values</v>
      </c>
      <c r="G78" s="30" t="str">
        <f t="shared" si="4"/>
        <v>('21Jan250071','040000191793','35545',(select max(to_number(i.premium_rcv_detail_code))+1 from ins_premium_det i),'35545','35545','03', '09000898','00');</v>
      </c>
      <c r="H78" s="31" t="str">
        <f t="shared" si="5"/>
        <v>insert into ins_premium_det (premium_rcv_code,assorted_code, rec_amount,premium_rcv_detail_code,remaining_amt, payrec, mode_code,paid_to_code,class_cd) values('21Jan250071','040000191793','35545',(select max(to_number(i.premium_rcv_detail_code))+1 from ins_premium_det i),'35545','35545','03', '09000898','00');</v>
      </c>
    </row>
    <row r="79" spans="1:8" ht="75" x14ac:dyDescent="0.25">
      <c r="A79" s="2" t="s">
        <v>78</v>
      </c>
      <c r="B79" s="27" t="str">
        <f>VLOOKUP(A79,policy1!B:C,2,0)</f>
        <v>040000191885</v>
      </c>
      <c r="C79" s="9">
        <v>35849</v>
      </c>
      <c r="D79" s="18" t="s">
        <v>206</v>
      </c>
      <c r="E79" s="28" t="str">
        <f>VLOOKUP(A79,policy1!B:D,3,0)</f>
        <v>09000437</v>
      </c>
      <c r="F79" s="29" t="str">
        <f t="shared" si="3"/>
        <v>insert into ins_premium_det (premium_rcv_code,assorted_code, rec_amount,premium_rcv_detail_code,remaining_amt, payrec, mode_code,paid_to_code,class_cd) values</v>
      </c>
      <c r="G79" s="30" t="str">
        <f t="shared" si="4"/>
        <v>('21Jan250071','040000191885','35849',(select max(to_number(i.premium_rcv_detail_code))+1 from ins_premium_det i),'35849','35849','03', '09000437','00');</v>
      </c>
      <c r="H79" s="31" t="str">
        <f t="shared" si="5"/>
        <v>insert into ins_premium_det (premium_rcv_code,assorted_code, rec_amount,premium_rcv_detail_code,remaining_amt, payrec, mode_code,paid_to_code,class_cd) values('21Jan250071','040000191885','35849',(select max(to_number(i.premium_rcv_detail_code))+1 from ins_premium_det i),'35849','35849','03', '09000437','00');</v>
      </c>
    </row>
    <row r="80" spans="1:8" ht="75" x14ac:dyDescent="0.25">
      <c r="A80" s="2" t="s">
        <v>79</v>
      </c>
      <c r="B80" s="27" t="str">
        <f>VLOOKUP(A80,policy1!B:C,2,0)</f>
        <v>040000191956</v>
      </c>
      <c r="C80" s="9">
        <v>14380</v>
      </c>
      <c r="D80" s="18" t="s">
        <v>206</v>
      </c>
      <c r="E80" s="28" t="str">
        <f>VLOOKUP(A80,policy1!B:D,3,0)</f>
        <v>09000420</v>
      </c>
      <c r="F80" s="29" t="str">
        <f t="shared" si="3"/>
        <v>insert into ins_premium_det (premium_rcv_code,assorted_code, rec_amount,premium_rcv_detail_code,remaining_amt, payrec, mode_code,paid_to_code,class_cd) values</v>
      </c>
      <c r="G80" s="30" t="str">
        <f t="shared" si="4"/>
        <v>('21Jan250071','040000191956','14380',(select max(to_number(i.premium_rcv_detail_code))+1 from ins_premium_det i),'14380','14380','03', '09000420','00');</v>
      </c>
      <c r="H80" s="31" t="str">
        <f t="shared" si="5"/>
        <v>insert into ins_premium_det (premium_rcv_code,assorted_code, rec_amount,premium_rcv_detail_code,remaining_amt, payrec, mode_code,paid_to_code,class_cd) values('21Jan250071','040000191956','14380',(select max(to_number(i.premium_rcv_detail_code))+1 from ins_premium_det i),'14380','14380','03', '09000420','00');</v>
      </c>
    </row>
    <row r="81" spans="1:8" ht="75" x14ac:dyDescent="0.25">
      <c r="A81" s="2" t="s">
        <v>80</v>
      </c>
      <c r="B81" s="27" t="str">
        <f>VLOOKUP(A81,policy1!B:C,2,0)</f>
        <v>040000191958</v>
      </c>
      <c r="C81" s="9">
        <v>12030</v>
      </c>
      <c r="D81" s="18" t="s">
        <v>206</v>
      </c>
      <c r="E81" s="28" t="str">
        <f>VLOOKUP(A81,policy1!B:D,3,0)</f>
        <v>09000420</v>
      </c>
      <c r="F81" s="29" t="str">
        <f t="shared" si="3"/>
        <v>insert into ins_premium_det (premium_rcv_code,assorted_code, rec_amount,premium_rcv_detail_code,remaining_amt, payrec, mode_code,paid_to_code,class_cd) values</v>
      </c>
      <c r="G81" s="30" t="str">
        <f t="shared" si="4"/>
        <v>('21Jan250071','040000191958','12030',(select max(to_number(i.premium_rcv_detail_code))+1 from ins_premium_det i),'12030','12030','03', '09000420','00');</v>
      </c>
      <c r="H81" s="31" t="str">
        <f t="shared" si="5"/>
        <v>insert into ins_premium_det (premium_rcv_code,assorted_code, rec_amount,premium_rcv_detail_code,remaining_amt, payrec, mode_code,paid_to_code,class_cd) values('21Jan250071','040000191958','12030',(select max(to_number(i.premium_rcv_detail_code))+1 from ins_premium_det i),'12030','12030','03', '09000420','00');</v>
      </c>
    </row>
    <row r="82" spans="1:8" ht="75" x14ac:dyDescent="0.25">
      <c r="A82" s="2" t="s">
        <v>81</v>
      </c>
      <c r="B82" s="27" t="str">
        <f>VLOOKUP(A82,policy1!B:C,2,0)</f>
        <v>040000192162</v>
      </c>
      <c r="C82" s="9">
        <v>21633</v>
      </c>
      <c r="D82" s="18" t="s">
        <v>206</v>
      </c>
      <c r="E82" s="28" t="str">
        <f>VLOOKUP(A82,policy1!B:D,3,0)</f>
        <v>09000916</v>
      </c>
      <c r="F82" s="29" t="str">
        <f t="shared" si="3"/>
        <v>insert into ins_premium_det (premium_rcv_code,assorted_code, rec_amount,premium_rcv_detail_code,remaining_amt, payrec, mode_code,paid_to_code,class_cd) values</v>
      </c>
      <c r="G82" s="30" t="str">
        <f t="shared" si="4"/>
        <v>('21Jan250071','040000192162','21633',(select max(to_number(i.premium_rcv_detail_code))+1 from ins_premium_det i),'21633','21633','03', '09000916','00');</v>
      </c>
      <c r="H82" s="31" t="str">
        <f t="shared" si="5"/>
        <v>insert into ins_premium_det (premium_rcv_code,assorted_code, rec_amount,premium_rcv_detail_code,remaining_amt, payrec, mode_code,paid_to_code,class_cd) values('21Jan250071','040000192162','21633',(select max(to_number(i.premium_rcv_detail_code))+1 from ins_premium_det i),'21633','21633','03', '09000916','00');</v>
      </c>
    </row>
    <row r="83" spans="1:8" ht="75" x14ac:dyDescent="0.25">
      <c r="A83" s="2" t="s">
        <v>82</v>
      </c>
      <c r="B83" s="27" t="str">
        <f>VLOOKUP(A83,policy1!B:C,2,0)</f>
        <v>040000192190</v>
      </c>
      <c r="C83" s="9">
        <v>8646</v>
      </c>
      <c r="D83" s="18" t="s">
        <v>206</v>
      </c>
      <c r="E83" s="28" t="str">
        <f>VLOOKUP(A83,policy1!B:D,3,0)</f>
        <v>09000922</v>
      </c>
      <c r="F83" s="29" t="str">
        <f t="shared" si="3"/>
        <v>insert into ins_premium_det (premium_rcv_code,assorted_code, rec_amount,premium_rcv_detail_code,remaining_amt, payrec, mode_code,paid_to_code,class_cd) values</v>
      </c>
      <c r="G83" s="30" t="str">
        <f t="shared" si="4"/>
        <v>('21Jan250071','040000192190','8646',(select max(to_number(i.premium_rcv_detail_code))+1 from ins_premium_det i),'8646','8646','03', '09000922','00');</v>
      </c>
      <c r="H83" s="31" t="str">
        <f t="shared" si="5"/>
        <v>insert into ins_premium_det (premium_rcv_code,assorted_code, rec_amount,premium_rcv_detail_code,remaining_amt, payrec, mode_code,paid_to_code,class_cd) values('21Jan250071','040000192190','8646',(select max(to_number(i.premium_rcv_detail_code))+1 from ins_premium_det i),'8646','8646','03', '09000922','00');</v>
      </c>
    </row>
    <row r="84" spans="1:8" ht="75" x14ac:dyDescent="0.25">
      <c r="A84" s="2" t="s">
        <v>83</v>
      </c>
      <c r="B84" s="27" t="str">
        <f>VLOOKUP(A84,policy1!B:C,2,0)</f>
        <v>040000192536</v>
      </c>
      <c r="C84" s="9">
        <v>41633</v>
      </c>
      <c r="D84" s="18" t="s">
        <v>206</v>
      </c>
      <c r="E84" s="28" t="str">
        <f>VLOOKUP(A84,policy1!B:D,3,0)</f>
        <v>09000918</v>
      </c>
      <c r="F84" s="29" t="str">
        <f t="shared" si="3"/>
        <v>insert into ins_premium_det (premium_rcv_code,assorted_code, rec_amount,premium_rcv_detail_code,remaining_amt, payrec, mode_code,paid_to_code,class_cd) values</v>
      </c>
      <c r="G84" s="30" t="str">
        <f t="shared" si="4"/>
        <v>('21Jan250071','040000192536','41633',(select max(to_number(i.premium_rcv_detail_code))+1 from ins_premium_det i),'41633','41633','03', '09000918','00');</v>
      </c>
      <c r="H84" s="31" t="str">
        <f t="shared" si="5"/>
        <v>insert into ins_premium_det (premium_rcv_code,assorted_code, rec_amount,premium_rcv_detail_code,remaining_amt, payrec, mode_code,paid_to_code,class_cd) values('21Jan250071','040000192536','41633',(select max(to_number(i.premium_rcv_detail_code))+1 from ins_premium_det i),'41633','41633','03', '09000918','00');</v>
      </c>
    </row>
    <row r="85" spans="1:8" ht="75" x14ac:dyDescent="0.25">
      <c r="A85" s="2" t="s">
        <v>84</v>
      </c>
      <c r="B85" s="27" t="str">
        <f>VLOOKUP(A85,policy1!B:C,2,0)</f>
        <v>040000193090</v>
      </c>
      <c r="C85" s="9">
        <v>5483</v>
      </c>
      <c r="D85" s="18" t="s">
        <v>206</v>
      </c>
      <c r="E85" s="28" t="str">
        <f>VLOOKUP(A85,policy1!B:D,3,0)</f>
        <v>09000707</v>
      </c>
      <c r="F85" s="29" t="str">
        <f t="shared" si="3"/>
        <v>insert into ins_premium_det (premium_rcv_code,assorted_code, rec_amount,premium_rcv_detail_code,remaining_amt, payrec, mode_code,paid_to_code,class_cd) values</v>
      </c>
      <c r="G85" s="30" t="str">
        <f t="shared" si="4"/>
        <v>('21Jan250071','040000193090','5483',(select max(to_number(i.premium_rcv_detail_code))+1 from ins_premium_det i),'5483','5483','03', '09000707','00');</v>
      </c>
      <c r="H85" s="31" t="str">
        <f t="shared" si="5"/>
        <v>insert into ins_premium_det (premium_rcv_code,assorted_code, rec_amount,premium_rcv_detail_code,remaining_amt, payrec, mode_code,paid_to_code,class_cd) values('21Jan250071','040000193090','5483',(select max(to_number(i.premium_rcv_detail_code))+1 from ins_premium_det i),'5483','5483','03', '09000707','00');</v>
      </c>
    </row>
    <row r="86" spans="1:8" ht="75" x14ac:dyDescent="0.25">
      <c r="A86" s="2" t="s">
        <v>85</v>
      </c>
      <c r="B86" s="27" t="str">
        <f>VLOOKUP(A86,policy1!B:C,2,0)</f>
        <v>040000193091</v>
      </c>
      <c r="C86" s="9">
        <v>18000</v>
      </c>
      <c r="D86" s="18" t="s">
        <v>206</v>
      </c>
      <c r="E86" s="28" t="str">
        <f>VLOOKUP(A86,policy1!B:D,3,0)</f>
        <v>09000918</v>
      </c>
      <c r="F86" s="29" t="str">
        <f t="shared" si="3"/>
        <v>insert into ins_premium_det (premium_rcv_code,assorted_code, rec_amount,premium_rcv_detail_code,remaining_amt, payrec, mode_code,paid_to_code,class_cd) values</v>
      </c>
      <c r="G86" s="30" t="str">
        <f t="shared" si="4"/>
        <v>('21Jan250071','040000193091','18000',(select max(to_number(i.premium_rcv_detail_code))+1 from ins_premium_det i),'18000','18000','03', '09000918','00');</v>
      </c>
      <c r="H86" s="31" t="str">
        <f t="shared" si="5"/>
        <v>insert into ins_premium_det (premium_rcv_code,assorted_code, rec_amount,premium_rcv_detail_code,remaining_amt, payrec, mode_code,paid_to_code,class_cd) values('21Jan250071','040000193091','18000',(select max(to_number(i.premium_rcv_detail_code))+1 from ins_premium_det i),'18000','18000','03', '09000918','00');</v>
      </c>
    </row>
    <row r="87" spans="1:8" ht="75" x14ac:dyDescent="0.25">
      <c r="A87" s="2" t="s">
        <v>86</v>
      </c>
      <c r="B87" s="27" t="str">
        <f>VLOOKUP(A87,policy1!B:C,2,0)</f>
        <v>040000193141</v>
      </c>
      <c r="C87" s="9">
        <v>15811</v>
      </c>
      <c r="D87" s="18" t="s">
        <v>206</v>
      </c>
      <c r="E87" s="28" t="str">
        <f>VLOOKUP(A87,policy1!B:D,3,0)</f>
        <v>09000437</v>
      </c>
      <c r="F87" s="29" t="str">
        <f t="shared" si="3"/>
        <v>insert into ins_premium_det (premium_rcv_code,assorted_code, rec_amount,premium_rcv_detail_code,remaining_amt, payrec, mode_code,paid_to_code,class_cd) values</v>
      </c>
      <c r="G87" s="30" t="str">
        <f t="shared" si="4"/>
        <v>('21Jan250071','040000193141','15811',(select max(to_number(i.premium_rcv_detail_code))+1 from ins_premium_det i),'15811','15811','03', '09000437','00');</v>
      </c>
      <c r="H87" s="31" t="str">
        <f t="shared" si="5"/>
        <v>insert into ins_premium_det (premium_rcv_code,assorted_code, rec_amount,premium_rcv_detail_code,remaining_amt, payrec, mode_code,paid_to_code,class_cd) values('21Jan250071','040000193141','15811',(select max(to_number(i.premium_rcv_detail_code))+1 from ins_premium_det i),'15811','15811','03', '09000437','00');</v>
      </c>
    </row>
    <row r="88" spans="1:8" ht="75" x14ac:dyDescent="0.25">
      <c r="A88" s="2" t="s">
        <v>87</v>
      </c>
      <c r="B88" s="27" t="str">
        <f>VLOOKUP(A88,policy1!B:C,2,0)</f>
        <v>040000193159</v>
      </c>
      <c r="C88" s="9">
        <v>19740</v>
      </c>
      <c r="D88" s="18" t="s">
        <v>206</v>
      </c>
      <c r="E88" s="28" t="str">
        <f>VLOOKUP(A88,policy1!B:D,3,0)</f>
        <v>09000432</v>
      </c>
      <c r="F88" s="29" t="str">
        <f t="shared" si="3"/>
        <v>insert into ins_premium_det (premium_rcv_code,assorted_code, rec_amount,premium_rcv_detail_code,remaining_amt, payrec, mode_code,paid_to_code,class_cd) values</v>
      </c>
      <c r="G88" s="30" t="str">
        <f t="shared" si="4"/>
        <v>('21Jan250071','040000193159','19740',(select max(to_number(i.premium_rcv_detail_code))+1 from ins_premium_det i),'19740','19740','03', '09000432','00');</v>
      </c>
      <c r="H88" s="31" t="str">
        <f t="shared" si="5"/>
        <v>insert into ins_premium_det (premium_rcv_code,assorted_code, rec_amount,premium_rcv_detail_code,remaining_amt, payrec, mode_code,paid_to_code,class_cd) values('21Jan250071','040000193159','19740',(select max(to_number(i.premium_rcv_detail_code))+1 from ins_premium_det i),'19740','19740','03', '09000432','00');</v>
      </c>
    </row>
    <row r="89" spans="1:8" ht="75" x14ac:dyDescent="0.25">
      <c r="A89" s="2" t="s">
        <v>88</v>
      </c>
      <c r="B89" s="27" t="str">
        <f>VLOOKUP(A89,policy1!B:C,2,0)</f>
        <v>040000193311</v>
      </c>
      <c r="C89" s="9">
        <v>30250</v>
      </c>
      <c r="D89" s="18" t="s">
        <v>206</v>
      </c>
      <c r="E89" s="28" t="str">
        <f>VLOOKUP(A89,policy1!B:D,3,0)</f>
        <v>09000918</v>
      </c>
      <c r="F89" s="29" t="str">
        <f t="shared" si="3"/>
        <v>insert into ins_premium_det (premium_rcv_code,assorted_code, rec_amount,premium_rcv_detail_code,remaining_amt, payrec, mode_code,paid_to_code,class_cd) values</v>
      </c>
      <c r="G89" s="30" t="str">
        <f t="shared" si="4"/>
        <v>('21Jan250071','040000193311','30250',(select max(to_number(i.premium_rcv_detail_code))+1 from ins_premium_det i),'30250','30250','03', '09000918','00');</v>
      </c>
      <c r="H89" s="31" t="str">
        <f t="shared" si="5"/>
        <v>insert into ins_premium_det (premium_rcv_code,assorted_code, rec_amount,premium_rcv_detail_code,remaining_amt, payrec, mode_code,paid_to_code,class_cd) values('21Jan250071','040000193311','30250',(select max(to_number(i.premium_rcv_detail_code))+1 from ins_premium_det i),'30250','30250','03', '09000918','00');</v>
      </c>
    </row>
    <row r="90" spans="1:8" ht="75" x14ac:dyDescent="0.25">
      <c r="A90" s="2" t="s">
        <v>89</v>
      </c>
      <c r="B90" s="27" t="str">
        <f>VLOOKUP(A90,policy1!B:C,2,0)</f>
        <v>040000193556</v>
      </c>
      <c r="C90" s="9">
        <v>9539</v>
      </c>
      <c r="D90" s="18" t="s">
        <v>206</v>
      </c>
      <c r="E90" s="28" t="str">
        <f>VLOOKUP(A90,policy1!B:D,3,0)</f>
        <v>09000420</v>
      </c>
      <c r="F90" s="29" t="str">
        <f t="shared" si="3"/>
        <v>insert into ins_premium_det (premium_rcv_code,assorted_code, rec_amount,premium_rcv_detail_code,remaining_amt, payrec, mode_code,paid_to_code,class_cd) values</v>
      </c>
      <c r="G90" s="30" t="str">
        <f t="shared" si="4"/>
        <v>('21Jan250071','040000193556','9539',(select max(to_number(i.premium_rcv_detail_code))+1 from ins_premium_det i),'9539','9539','03', '09000420','00');</v>
      </c>
      <c r="H90" s="31" t="str">
        <f t="shared" si="5"/>
        <v>insert into ins_premium_det (premium_rcv_code,assorted_code, rec_amount,premium_rcv_detail_code,remaining_amt, payrec, mode_code,paid_to_code,class_cd) values('21Jan250071','040000193556','9539',(select max(to_number(i.premium_rcv_detail_code))+1 from ins_premium_det i),'9539','9539','03', '09000420','00');</v>
      </c>
    </row>
    <row r="91" spans="1:8" ht="75" x14ac:dyDescent="0.25">
      <c r="A91" s="2" t="s">
        <v>90</v>
      </c>
      <c r="B91" s="27" t="str">
        <f>VLOOKUP(A91,policy1!B:C,2,0)</f>
        <v>040000193558</v>
      </c>
      <c r="C91" s="9">
        <v>9539</v>
      </c>
      <c r="D91" s="18" t="s">
        <v>206</v>
      </c>
      <c r="E91" s="28" t="str">
        <f>VLOOKUP(A91,policy1!B:D,3,0)</f>
        <v>09000420</v>
      </c>
      <c r="F91" s="29" t="str">
        <f t="shared" si="3"/>
        <v>insert into ins_premium_det (premium_rcv_code,assorted_code, rec_amount,premium_rcv_detail_code,remaining_amt, payrec, mode_code,paid_to_code,class_cd) values</v>
      </c>
      <c r="G91" s="30" t="str">
        <f t="shared" si="4"/>
        <v>('21Jan250071','040000193558','9539',(select max(to_number(i.premium_rcv_detail_code))+1 from ins_premium_det i),'9539','9539','03', '09000420','00');</v>
      </c>
      <c r="H91" s="31" t="str">
        <f t="shared" si="5"/>
        <v>insert into ins_premium_det (premium_rcv_code,assorted_code, rec_amount,premium_rcv_detail_code,remaining_amt, payrec, mode_code,paid_to_code,class_cd) values('21Jan250071','040000193558','9539',(select max(to_number(i.premium_rcv_detail_code))+1 from ins_premium_det i),'9539','9539','03', '09000420','00');</v>
      </c>
    </row>
    <row r="92" spans="1:8" ht="75" x14ac:dyDescent="0.25">
      <c r="A92" s="2" t="s">
        <v>91</v>
      </c>
      <c r="B92" s="27" t="str">
        <f>VLOOKUP(A92,policy1!B:C,2,0)</f>
        <v>040000193567</v>
      </c>
      <c r="C92" s="9">
        <v>10519</v>
      </c>
      <c r="D92" s="18" t="s">
        <v>206</v>
      </c>
      <c r="E92" s="28" t="str">
        <f>VLOOKUP(A92,policy1!B:D,3,0)</f>
        <v>09000485</v>
      </c>
      <c r="F92" s="29" t="str">
        <f t="shared" si="3"/>
        <v>insert into ins_premium_det (premium_rcv_code,assorted_code, rec_amount,premium_rcv_detail_code,remaining_amt, payrec, mode_code,paid_to_code,class_cd) values</v>
      </c>
      <c r="G92" s="30" t="str">
        <f t="shared" si="4"/>
        <v>('21Jan250071','040000193567','10519',(select max(to_number(i.premium_rcv_detail_code))+1 from ins_premium_det i),'10519','10519','03', '09000485','00');</v>
      </c>
      <c r="H92" s="31" t="str">
        <f t="shared" si="5"/>
        <v>insert into ins_premium_det (premium_rcv_code,assorted_code, rec_amount,premium_rcv_detail_code,remaining_amt, payrec, mode_code,paid_to_code,class_cd) values('21Jan250071','040000193567','10519',(select max(to_number(i.premium_rcv_detail_code))+1 from ins_premium_det i),'10519','10519','03', '09000485','00');</v>
      </c>
    </row>
    <row r="93" spans="1:8" ht="75" x14ac:dyDescent="0.25">
      <c r="A93" s="2" t="s">
        <v>92</v>
      </c>
      <c r="B93" s="27" t="str">
        <f>VLOOKUP(A93,policy1!B:C,2,0)</f>
        <v>040000194191</v>
      </c>
      <c r="C93" s="9">
        <v>1656</v>
      </c>
      <c r="D93" s="18" t="s">
        <v>206</v>
      </c>
      <c r="E93" s="28" t="str">
        <f>VLOOKUP(A93,policy1!B:D,3,0)</f>
        <v>09000918</v>
      </c>
      <c r="F93" s="29" t="str">
        <f t="shared" si="3"/>
        <v>insert into ins_premium_det (premium_rcv_code,assorted_code, rec_amount,premium_rcv_detail_code,remaining_amt, payrec, mode_code,paid_to_code,class_cd) values</v>
      </c>
      <c r="G93" s="30" t="str">
        <f t="shared" si="4"/>
        <v>('21Jan250071','040000194191','1656',(select max(to_number(i.premium_rcv_detail_code))+1 from ins_premium_det i),'1656','1656','03', '09000918','00');</v>
      </c>
      <c r="H93" s="31" t="str">
        <f t="shared" si="5"/>
        <v>insert into ins_premium_det (premium_rcv_code,assorted_code, rec_amount,premium_rcv_detail_code,remaining_amt, payrec, mode_code,paid_to_code,class_cd) values('21Jan250071','040000194191','1656',(select max(to_number(i.premium_rcv_detail_code))+1 from ins_premium_det i),'1656','1656','03', '09000918','00');</v>
      </c>
    </row>
    <row r="94" spans="1:8" ht="75" x14ac:dyDescent="0.25">
      <c r="A94" s="2" t="s">
        <v>93</v>
      </c>
      <c r="B94" s="27" t="str">
        <f>VLOOKUP(A94,policy1!B:C,2,0)</f>
        <v>040000194200</v>
      </c>
      <c r="C94" s="9">
        <v>9539</v>
      </c>
      <c r="D94" s="18" t="s">
        <v>206</v>
      </c>
      <c r="E94" s="28" t="str">
        <f>VLOOKUP(A94,policy1!B:D,3,0)</f>
        <v>09000420</v>
      </c>
      <c r="F94" s="29" t="str">
        <f t="shared" si="3"/>
        <v>insert into ins_premium_det (premium_rcv_code,assorted_code, rec_amount,premium_rcv_detail_code,remaining_amt, payrec, mode_code,paid_to_code,class_cd) values</v>
      </c>
      <c r="G94" s="30" t="str">
        <f t="shared" si="4"/>
        <v>('21Jan250071','040000194200','9539',(select max(to_number(i.premium_rcv_detail_code))+1 from ins_premium_det i),'9539','9539','03', '09000420','00');</v>
      </c>
      <c r="H94" s="31" t="str">
        <f t="shared" si="5"/>
        <v>insert into ins_premium_det (premium_rcv_code,assorted_code, rec_amount,premium_rcv_detail_code,remaining_amt, payrec, mode_code,paid_to_code,class_cd) values('21Jan250071','040000194200','9539',(select max(to_number(i.premium_rcv_detail_code))+1 from ins_premium_det i),'9539','9539','03', '09000420','00');</v>
      </c>
    </row>
    <row r="95" spans="1:8" ht="75" x14ac:dyDescent="0.25">
      <c r="A95" s="2" t="s">
        <v>94</v>
      </c>
      <c r="B95" s="27" t="str">
        <f>VLOOKUP(A95,policy1!B:C,2,0)</f>
        <v>040000194269</v>
      </c>
      <c r="C95" s="9">
        <v>42567</v>
      </c>
      <c r="D95" s="18" t="s">
        <v>206</v>
      </c>
      <c r="E95" s="28" t="str">
        <f>VLOOKUP(A95,policy1!B:D,3,0)</f>
        <v>09000918</v>
      </c>
      <c r="F95" s="29" t="str">
        <f t="shared" si="3"/>
        <v>insert into ins_premium_det (premium_rcv_code,assorted_code, rec_amount,premium_rcv_detail_code,remaining_amt, payrec, mode_code,paid_to_code,class_cd) values</v>
      </c>
      <c r="G95" s="30" t="str">
        <f t="shared" si="4"/>
        <v>('21Jan250071','040000194269','42567',(select max(to_number(i.premium_rcv_detail_code))+1 from ins_premium_det i),'42567','42567','03', '09000918','00');</v>
      </c>
      <c r="H95" s="31" t="str">
        <f t="shared" si="5"/>
        <v>insert into ins_premium_det (premium_rcv_code,assorted_code, rec_amount,premium_rcv_detail_code,remaining_amt, payrec, mode_code,paid_to_code,class_cd) values('21Jan250071','040000194269','42567',(select max(to_number(i.premium_rcv_detail_code))+1 from ins_premium_det i),'42567','42567','03', '09000918','00');</v>
      </c>
    </row>
  </sheetData>
  <conditionalFormatting sqref="A1">
    <cfRule type="duplicateValues" dxfId="12" priority="7"/>
  </conditionalFormatting>
  <conditionalFormatting sqref="A3:A95">
    <cfRule type="duplicateValues" dxfId="11" priority="2"/>
    <cfRule type="duplicateValues" dxfId="10" priority="3"/>
    <cfRule type="duplicateValues" dxfId="9" priority="4"/>
    <cfRule type="duplicateValues" dxfId="8" priority="5"/>
  </conditionalFormatting>
  <conditionalFormatting sqref="A64:A78">
    <cfRule type="duplicateValues" dxfId="7" priority="1"/>
  </conditionalFormatting>
  <conditionalFormatting sqref="A79:A95">
    <cfRule type="duplicateValues" dxfId="6" priority="6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A90E0-6FF2-4D25-8935-515AB296B79A}">
  <dimension ref="A1:E94"/>
  <sheetViews>
    <sheetView workbookViewId="0">
      <selection activeCell="K12" sqref="K12"/>
    </sheetView>
  </sheetViews>
  <sheetFormatPr defaultRowHeight="15" x14ac:dyDescent="0.25"/>
  <cols>
    <col min="1" max="1" width="39.7109375" bestFit="1" customWidth="1"/>
  </cols>
  <sheetData>
    <row r="1" spans="1:5" x14ac:dyDescent="0.25">
      <c r="A1" s="3" t="s">
        <v>1</v>
      </c>
      <c r="B1" t="s">
        <v>99</v>
      </c>
      <c r="D1">
        <v>82878</v>
      </c>
      <c r="E1" t="str">
        <f t="shared" ref="E1:E64" si="0">"ia.assorted_string like '%"&amp;D1&amp;B1&amp;"%' or"</f>
        <v>ia.assorted_string like '%82878-01-2024%' or</v>
      </c>
    </row>
    <row r="2" spans="1:5" x14ac:dyDescent="0.25">
      <c r="A2" s="2" t="s">
        <v>2</v>
      </c>
      <c r="B2" t="s">
        <v>99</v>
      </c>
      <c r="D2">
        <v>82883</v>
      </c>
      <c r="E2" t="str">
        <f t="shared" si="0"/>
        <v>ia.assorted_string like '%82883-01-2024%' or</v>
      </c>
    </row>
    <row r="3" spans="1:5" x14ac:dyDescent="0.25">
      <c r="A3" s="2" t="s">
        <v>3</v>
      </c>
      <c r="B3" t="s">
        <v>99</v>
      </c>
      <c r="D3">
        <v>82884</v>
      </c>
      <c r="E3" t="str">
        <f t="shared" si="0"/>
        <v>ia.assorted_string like '%82884-01-2024%' or</v>
      </c>
    </row>
    <row r="4" spans="1:5" x14ac:dyDescent="0.25">
      <c r="A4" s="2" t="s">
        <v>4</v>
      </c>
      <c r="B4" t="s">
        <v>99</v>
      </c>
      <c r="D4">
        <v>82900</v>
      </c>
      <c r="E4" t="str">
        <f t="shared" si="0"/>
        <v>ia.assorted_string like '%82900-01-2024%' or</v>
      </c>
    </row>
    <row r="5" spans="1:5" x14ac:dyDescent="0.25">
      <c r="A5" s="2" t="s">
        <v>5</v>
      </c>
      <c r="B5" t="s">
        <v>99</v>
      </c>
      <c r="D5">
        <v>82901</v>
      </c>
      <c r="E5" t="str">
        <f t="shared" si="0"/>
        <v>ia.assorted_string like '%82901-01-2024%' or</v>
      </c>
    </row>
    <row r="6" spans="1:5" x14ac:dyDescent="0.25">
      <c r="A6" s="2" t="s">
        <v>6</v>
      </c>
      <c r="B6" t="s">
        <v>100</v>
      </c>
      <c r="D6">
        <v>92010</v>
      </c>
      <c r="E6" t="str">
        <f t="shared" si="0"/>
        <v>ia.assorted_string like '%92010-06-2024%' or</v>
      </c>
    </row>
    <row r="7" spans="1:5" x14ac:dyDescent="0.25">
      <c r="A7" s="2" t="s">
        <v>7</v>
      </c>
      <c r="B7" t="s">
        <v>101</v>
      </c>
      <c r="D7">
        <v>97180</v>
      </c>
      <c r="E7" t="str">
        <f t="shared" si="0"/>
        <v>ia.assorted_string like '%97180-09-2024%' or</v>
      </c>
    </row>
    <row r="8" spans="1:5" x14ac:dyDescent="0.25">
      <c r="A8" s="2" t="s">
        <v>8</v>
      </c>
      <c r="B8" t="s">
        <v>101</v>
      </c>
      <c r="D8">
        <v>97646</v>
      </c>
      <c r="E8" t="str">
        <f t="shared" si="0"/>
        <v>ia.assorted_string like '%97646-09-2024%' or</v>
      </c>
    </row>
    <row r="9" spans="1:5" x14ac:dyDescent="0.25">
      <c r="A9" s="2" t="s">
        <v>9</v>
      </c>
      <c r="B9" t="s">
        <v>101</v>
      </c>
      <c r="D9">
        <v>97649</v>
      </c>
      <c r="E9" t="str">
        <f t="shared" si="0"/>
        <v>ia.assorted_string like '%97649-09-2024%' or</v>
      </c>
    </row>
    <row r="10" spans="1:5" x14ac:dyDescent="0.25">
      <c r="A10" s="2" t="s">
        <v>10</v>
      </c>
      <c r="B10" t="s">
        <v>101</v>
      </c>
      <c r="D10">
        <v>97913</v>
      </c>
      <c r="E10" t="str">
        <f t="shared" si="0"/>
        <v>ia.assorted_string like '%97913-09-2024%' or</v>
      </c>
    </row>
    <row r="11" spans="1:5" x14ac:dyDescent="0.25">
      <c r="A11" s="2" t="s">
        <v>11</v>
      </c>
      <c r="B11" t="s">
        <v>101</v>
      </c>
      <c r="D11">
        <v>98624</v>
      </c>
      <c r="E11" t="str">
        <f t="shared" si="0"/>
        <v>ia.assorted_string like '%98624-09-2024%' or</v>
      </c>
    </row>
    <row r="12" spans="1:5" x14ac:dyDescent="0.25">
      <c r="A12" s="2" t="s">
        <v>12</v>
      </c>
      <c r="B12" t="s">
        <v>102</v>
      </c>
      <c r="D12">
        <v>99034</v>
      </c>
      <c r="E12" t="str">
        <f t="shared" si="0"/>
        <v>ia.assorted_string like '%99034-10-2024%' or</v>
      </c>
    </row>
    <row r="13" spans="1:5" x14ac:dyDescent="0.25">
      <c r="A13" s="2" t="s">
        <v>13</v>
      </c>
      <c r="B13" t="s">
        <v>102</v>
      </c>
      <c r="D13">
        <v>99118</v>
      </c>
      <c r="E13" t="str">
        <f t="shared" si="0"/>
        <v>ia.assorted_string like '%99118-10-2024%' or</v>
      </c>
    </row>
    <row r="14" spans="1:5" x14ac:dyDescent="0.25">
      <c r="A14" s="2" t="s">
        <v>14</v>
      </c>
      <c r="B14" t="s">
        <v>102</v>
      </c>
      <c r="D14">
        <v>99133</v>
      </c>
      <c r="E14" t="str">
        <f t="shared" si="0"/>
        <v>ia.assorted_string like '%99133-10-2024%' or</v>
      </c>
    </row>
    <row r="15" spans="1:5" x14ac:dyDescent="0.25">
      <c r="A15" s="2" t="s">
        <v>15</v>
      </c>
      <c r="B15" t="s">
        <v>102</v>
      </c>
      <c r="D15">
        <v>99312</v>
      </c>
      <c r="E15" t="str">
        <f t="shared" si="0"/>
        <v>ia.assorted_string like '%99312-10-2024%' or</v>
      </c>
    </row>
    <row r="16" spans="1:5" x14ac:dyDescent="0.25">
      <c r="A16" s="2" t="s">
        <v>16</v>
      </c>
      <c r="B16" t="s">
        <v>102</v>
      </c>
      <c r="D16">
        <v>99348</v>
      </c>
      <c r="E16" t="str">
        <f t="shared" si="0"/>
        <v>ia.assorted_string like '%99348-10-2024%' or</v>
      </c>
    </row>
    <row r="17" spans="1:5" x14ac:dyDescent="0.25">
      <c r="A17" s="2" t="s">
        <v>17</v>
      </c>
      <c r="B17" t="s">
        <v>102</v>
      </c>
      <c r="D17">
        <v>99350</v>
      </c>
      <c r="E17" t="str">
        <f t="shared" si="0"/>
        <v>ia.assorted_string like '%99350-10-2024%' or</v>
      </c>
    </row>
    <row r="18" spans="1:5" x14ac:dyDescent="0.25">
      <c r="A18" s="2" t="s">
        <v>18</v>
      </c>
      <c r="B18" t="s">
        <v>102</v>
      </c>
      <c r="D18">
        <v>99372</v>
      </c>
      <c r="E18" t="str">
        <f t="shared" si="0"/>
        <v>ia.assorted_string like '%99372-10-2024%' or</v>
      </c>
    </row>
    <row r="19" spans="1:5" x14ac:dyDescent="0.25">
      <c r="A19" s="2" t="s">
        <v>19</v>
      </c>
      <c r="B19" t="s">
        <v>102</v>
      </c>
      <c r="D19">
        <v>99402</v>
      </c>
      <c r="E19" t="str">
        <f t="shared" si="0"/>
        <v>ia.assorted_string like '%99402-10-2024%' or</v>
      </c>
    </row>
    <row r="20" spans="1:5" x14ac:dyDescent="0.25">
      <c r="A20" s="2" t="s">
        <v>20</v>
      </c>
      <c r="B20" t="s">
        <v>102</v>
      </c>
      <c r="D20">
        <v>99403</v>
      </c>
      <c r="E20" t="str">
        <f t="shared" si="0"/>
        <v>ia.assorted_string like '%99403-10-2024%' or</v>
      </c>
    </row>
    <row r="21" spans="1:5" x14ac:dyDescent="0.25">
      <c r="A21" s="2" t="s">
        <v>21</v>
      </c>
      <c r="B21" t="s">
        <v>102</v>
      </c>
      <c r="D21">
        <v>99600</v>
      </c>
      <c r="E21" t="str">
        <f t="shared" si="0"/>
        <v>ia.assorted_string like '%99600-10-2024%' or</v>
      </c>
    </row>
    <row r="22" spans="1:5" x14ac:dyDescent="0.25">
      <c r="A22" s="2" t="s">
        <v>22</v>
      </c>
      <c r="B22" t="s">
        <v>102</v>
      </c>
      <c r="D22">
        <v>99601</v>
      </c>
      <c r="E22" t="str">
        <f t="shared" si="0"/>
        <v>ia.assorted_string like '%99601-10-2024%' or</v>
      </c>
    </row>
    <row r="23" spans="1:5" x14ac:dyDescent="0.25">
      <c r="A23" s="2" t="s">
        <v>23</v>
      </c>
      <c r="B23" t="s">
        <v>102</v>
      </c>
      <c r="D23">
        <v>100396</v>
      </c>
      <c r="E23" t="str">
        <f t="shared" si="0"/>
        <v>ia.assorted_string like '%100396-10-2024%' or</v>
      </c>
    </row>
    <row r="24" spans="1:5" x14ac:dyDescent="0.25">
      <c r="A24" s="2" t="s">
        <v>24</v>
      </c>
      <c r="B24" t="s">
        <v>102</v>
      </c>
      <c r="D24">
        <v>100397</v>
      </c>
      <c r="E24" t="str">
        <f t="shared" si="0"/>
        <v>ia.assorted_string like '%100397-10-2024%' or</v>
      </c>
    </row>
    <row r="25" spans="1:5" x14ac:dyDescent="0.25">
      <c r="A25" s="2" t="s">
        <v>25</v>
      </c>
      <c r="B25" t="s">
        <v>102</v>
      </c>
      <c r="D25">
        <v>100399</v>
      </c>
      <c r="E25" t="str">
        <f t="shared" si="0"/>
        <v>ia.assorted_string like '%100399-10-2024%' or</v>
      </c>
    </row>
    <row r="26" spans="1:5" x14ac:dyDescent="0.25">
      <c r="A26" s="2" t="s">
        <v>26</v>
      </c>
      <c r="B26" t="s">
        <v>102</v>
      </c>
      <c r="D26">
        <v>100400</v>
      </c>
      <c r="E26" t="str">
        <f t="shared" si="0"/>
        <v>ia.assorted_string like '%100400-10-2024%' or</v>
      </c>
    </row>
    <row r="27" spans="1:5" x14ac:dyDescent="0.25">
      <c r="A27" s="2" t="s">
        <v>27</v>
      </c>
      <c r="B27" t="s">
        <v>102</v>
      </c>
      <c r="D27">
        <v>100680</v>
      </c>
      <c r="E27" t="str">
        <f t="shared" si="0"/>
        <v>ia.assorted_string like '%100680-10-2024%' or</v>
      </c>
    </row>
    <row r="28" spans="1:5" x14ac:dyDescent="0.25">
      <c r="A28" s="2" t="s">
        <v>28</v>
      </c>
      <c r="B28" t="s">
        <v>102</v>
      </c>
      <c r="D28">
        <v>100804</v>
      </c>
      <c r="E28" t="str">
        <f t="shared" si="0"/>
        <v>ia.assorted_string like '%100804-10-2024%' or</v>
      </c>
    </row>
    <row r="29" spans="1:5" x14ac:dyDescent="0.25">
      <c r="A29" s="2" t="s">
        <v>29</v>
      </c>
      <c r="B29" t="s">
        <v>102</v>
      </c>
      <c r="D29">
        <v>100806</v>
      </c>
      <c r="E29" t="str">
        <f t="shared" si="0"/>
        <v>ia.assorted_string like '%100806-10-2024%' or</v>
      </c>
    </row>
    <row r="30" spans="1:5" x14ac:dyDescent="0.25">
      <c r="A30" s="2" t="s">
        <v>30</v>
      </c>
      <c r="B30" t="s">
        <v>102</v>
      </c>
      <c r="D30">
        <v>100815</v>
      </c>
      <c r="E30" t="str">
        <f t="shared" si="0"/>
        <v>ia.assorted_string like '%100815-10-2024%' or</v>
      </c>
    </row>
    <row r="31" spans="1:5" x14ac:dyDescent="0.25">
      <c r="A31" s="2" t="s">
        <v>31</v>
      </c>
      <c r="B31" t="s">
        <v>102</v>
      </c>
      <c r="D31">
        <v>100857</v>
      </c>
      <c r="E31" t="str">
        <f t="shared" si="0"/>
        <v>ia.assorted_string like '%100857-10-2024%' or</v>
      </c>
    </row>
    <row r="32" spans="1:5" x14ac:dyDescent="0.25">
      <c r="A32" s="2" t="s">
        <v>32</v>
      </c>
      <c r="B32" t="s">
        <v>102</v>
      </c>
      <c r="D32">
        <v>101052</v>
      </c>
      <c r="E32" t="str">
        <f t="shared" si="0"/>
        <v>ia.assorted_string like '%101052-10-2024%' or</v>
      </c>
    </row>
    <row r="33" spans="1:5" x14ac:dyDescent="0.25">
      <c r="A33" s="2" t="s">
        <v>33</v>
      </c>
      <c r="B33" t="s">
        <v>102</v>
      </c>
      <c r="D33">
        <v>101066</v>
      </c>
      <c r="E33" t="str">
        <f t="shared" si="0"/>
        <v>ia.assorted_string like '%101066-10-2024%' or</v>
      </c>
    </row>
    <row r="34" spans="1:5" x14ac:dyDescent="0.25">
      <c r="A34" s="2" t="s">
        <v>34</v>
      </c>
      <c r="B34" t="s">
        <v>102</v>
      </c>
      <c r="D34">
        <v>101067</v>
      </c>
      <c r="E34" t="str">
        <f t="shared" si="0"/>
        <v>ia.assorted_string like '%101067-10-2024%' or</v>
      </c>
    </row>
    <row r="35" spans="1:5" x14ac:dyDescent="0.25">
      <c r="A35" s="2" t="s">
        <v>35</v>
      </c>
      <c r="B35" t="s">
        <v>103</v>
      </c>
      <c r="D35">
        <v>101378</v>
      </c>
      <c r="E35" t="str">
        <f t="shared" si="0"/>
        <v>ia.assorted_string like '%101378-11-2024%' or</v>
      </c>
    </row>
    <row r="36" spans="1:5" x14ac:dyDescent="0.25">
      <c r="A36" s="2" t="s">
        <v>36</v>
      </c>
      <c r="B36" t="s">
        <v>103</v>
      </c>
      <c r="D36">
        <v>101446</v>
      </c>
      <c r="E36" t="str">
        <f t="shared" si="0"/>
        <v>ia.assorted_string like '%101446-11-2024%' or</v>
      </c>
    </row>
    <row r="37" spans="1:5" x14ac:dyDescent="0.25">
      <c r="A37" s="2" t="s">
        <v>37</v>
      </c>
      <c r="B37" t="s">
        <v>103</v>
      </c>
      <c r="D37">
        <v>101448</v>
      </c>
      <c r="E37" t="str">
        <f t="shared" si="0"/>
        <v>ia.assorted_string like '%101448-11-2024%' or</v>
      </c>
    </row>
    <row r="38" spans="1:5" x14ac:dyDescent="0.25">
      <c r="A38" s="2" t="s">
        <v>38</v>
      </c>
      <c r="B38" t="s">
        <v>103</v>
      </c>
      <c r="D38">
        <v>101471</v>
      </c>
      <c r="E38" t="str">
        <f t="shared" si="0"/>
        <v>ia.assorted_string like '%101471-11-2024%' or</v>
      </c>
    </row>
    <row r="39" spans="1:5" x14ac:dyDescent="0.25">
      <c r="A39" s="2" t="s">
        <v>39</v>
      </c>
      <c r="B39" t="s">
        <v>103</v>
      </c>
      <c r="D39">
        <v>101570</v>
      </c>
      <c r="E39" t="str">
        <f t="shared" si="0"/>
        <v>ia.assorted_string like '%101570-11-2024%' or</v>
      </c>
    </row>
    <row r="40" spans="1:5" x14ac:dyDescent="0.25">
      <c r="A40" s="2" t="s">
        <v>40</v>
      </c>
      <c r="B40" t="s">
        <v>103</v>
      </c>
      <c r="D40">
        <v>101591</v>
      </c>
      <c r="E40" t="str">
        <f t="shared" si="0"/>
        <v>ia.assorted_string like '%101591-11-2024%' or</v>
      </c>
    </row>
    <row r="41" spans="1:5" x14ac:dyDescent="0.25">
      <c r="A41" s="2" t="s">
        <v>41</v>
      </c>
      <c r="B41" t="s">
        <v>103</v>
      </c>
      <c r="D41">
        <v>101668</v>
      </c>
      <c r="E41" t="str">
        <f t="shared" si="0"/>
        <v>ia.assorted_string like '%101668-11-2024%' or</v>
      </c>
    </row>
    <row r="42" spans="1:5" x14ac:dyDescent="0.25">
      <c r="A42" s="2" t="s">
        <v>42</v>
      </c>
      <c r="B42" t="s">
        <v>103</v>
      </c>
      <c r="D42">
        <v>101674</v>
      </c>
      <c r="E42" t="str">
        <f t="shared" si="0"/>
        <v>ia.assorted_string like '%101674-11-2024%' or</v>
      </c>
    </row>
    <row r="43" spans="1:5" x14ac:dyDescent="0.25">
      <c r="A43" s="2" t="s">
        <v>43</v>
      </c>
      <c r="B43" t="s">
        <v>103</v>
      </c>
      <c r="D43">
        <v>101906</v>
      </c>
      <c r="E43" t="str">
        <f t="shared" si="0"/>
        <v>ia.assorted_string like '%101906-11-2024%' or</v>
      </c>
    </row>
    <row r="44" spans="1:5" x14ac:dyDescent="0.25">
      <c r="A44" s="2" t="s">
        <v>44</v>
      </c>
      <c r="B44" t="s">
        <v>103</v>
      </c>
      <c r="D44">
        <v>101965</v>
      </c>
      <c r="E44" t="str">
        <f t="shared" si="0"/>
        <v>ia.assorted_string like '%101965-11-2024%' or</v>
      </c>
    </row>
    <row r="45" spans="1:5" x14ac:dyDescent="0.25">
      <c r="A45" s="2" t="s">
        <v>45</v>
      </c>
      <c r="B45" t="s">
        <v>103</v>
      </c>
      <c r="D45">
        <v>101966</v>
      </c>
      <c r="E45" t="str">
        <f t="shared" si="0"/>
        <v>ia.assorted_string like '%101966-11-2024%' or</v>
      </c>
    </row>
    <row r="46" spans="1:5" x14ac:dyDescent="0.25">
      <c r="A46" s="2" t="s">
        <v>46</v>
      </c>
      <c r="B46" t="s">
        <v>103</v>
      </c>
      <c r="D46">
        <v>102023</v>
      </c>
      <c r="E46" t="str">
        <f t="shared" si="0"/>
        <v>ia.assorted_string like '%102023-11-2024%' or</v>
      </c>
    </row>
    <row r="47" spans="1:5" x14ac:dyDescent="0.25">
      <c r="A47" s="2" t="s">
        <v>47</v>
      </c>
      <c r="B47" t="s">
        <v>103</v>
      </c>
      <c r="D47">
        <v>102025</v>
      </c>
      <c r="E47" t="str">
        <f t="shared" si="0"/>
        <v>ia.assorted_string like '%102025-11-2024%' or</v>
      </c>
    </row>
    <row r="48" spans="1:5" x14ac:dyDescent="0.25">
      <c r="A48" s="2" t="s">
        <v>48</v>
      </c>
      <c r="B48" t="s">
        <v>103</v>
      </c>
      <c r="D48">
        <v>102032</v>
      </c>
      <c r="E48" t="str">
        <f t="shared" si="0"/>
        <v>ia.assorted_string like '%102032-11-2024%' or</v>
      </c>
    </row>
    <row r="49" spans="1:5" x14ac:dyDescent="0.25">
      <c r="A49" s="2" t="s">
        <v>49</v>
      </c>
      <c r="B49" t="s">
        <v>103</v>
      </c>
      <c r="D49">
        <v>102126</v>
      </c>
      <c r="E49" t="str">
        <f t="shared" si="0"/>
        <v>ia.assorted_string like '%102126-11-2024%' or</v>
      </c>
    </row>
    <row r="50" spans="1:5" x14ac:dyDescent="0.25">
      <c r="A50" s="2" t="s">
        <v>50</v>
      </c>
      <c r="B50" t="s">
        <v>103</v>
      </c>
      <c r="D50">
        <v>102129</v>
      </c>
      <c r="E50" t="str">
        <f t="shared" si="0"/>
        <v>ia.assorted_string like '%102129-11-2024%' or</v>
      </c>
    </row>
    <row r="51" spans="1:5" x14ac:dyDescent="0.25">
      <c r="A51" s="2" t="s">
        <v>51</v>
      </c>
      <c r="B51" t="s">
        <v>103</v>
      </c>
      <c r="D51">
        <v>102313</v>
      </c>
      <c r="E51" t="str">
        <f t="shared" si="0"/>
        <v>ia.assorted_string like '%102313-11-2024%' or</v>
      </c>
    </row>
    <row r="52" spans="1:5" x14ac:dyDescent="0.25">
      <c r="A52" s="2" t="s">
        <v>52</v>
      </c>
      <c r="B52" t="s">
        <v>103</v>
      </c>
      <c r="D52">
        <v>102427</v>
      </c>
      <c r="E52" t="str">
        <f t="shared" si="0"/>
        <v>ia.assorted_string like '%102427-11-2024%' or</v>
      </c>
    </row>
    <row r="53" spans="1:5" x14ac:dyDescent="0.25">
      <c r="A53" s="2" t="s">
        <v>53</v>
      </c>
      <c r="B53" t="s">
        <v>103</v>
      </c>
      <c r="D53">
        <v>102466</v>
      </c>
      <c r="E53" t="str">
        <f t="shared" si="0"/>
        <v>ia.assorted_string like '%102466-11-2024%' or</v>
      </c>
    </row>
    <row r="54" spans="1:5" x14ac:dyDescent="0.25">
      <c r="A54" s="2" t="s">
        <v>54</v>
      </c>
      <c r="B54" t="s">
        <v>103</v>
      </c>
      <c r="D54">
        <v>102467</v>
      </c>
      <c r="E54" t="str">
        <f t="shared" si="0"/>
        <v>ia.assorted_string like '%102467-11-2024%' or</v>
      </c>
    </row>
    <row r="55" spans="1:5" x14ac:dyDescent="0.25">
      <c r="A55" s="2" t="s">
        <v>55</v>
      </c>
      <c r="B55" t="s">
        <v>103</v>
      </c>
      <c r="D55">
        <v>102571</v>
      </c>
      <c r="E55" t="str">
        <f t="shared" si="0"/>
        <v>ia.assorted_string like '%102571-11-2024%' or</v>
      </c>
    </row>
    <row r="56" spans="1:5" x14ac:dyDescent="0.25">
      <c r="A56" s="2" t="s">
        <v>56</v>
      </c>
      <c r="B56" t="s">
        <v>103</v>
      </c>
      <c r="D56">
        <v>102573</v>
      </c>
      <c r="E56" t="str">
        <f t="shared" si="0"/>
        <v>ia.assorted_string like '%102573-11-2024%' or</v>
      </c>
    </row>
    <row r="57" spans="1:5" x14ac:dyDescent="0.25">
      <c r="A57" s="2" t="s">
        <v>57</v>
      </c>
      <c r="B57" t="s">
        <v>103</v>
      </c>
      <c r="D57">
        <v>103015</v>
      </c>
      <c r="E57" t="str">
        <f t="shared" si="0"/>
        <v>ia.assorted_string like '%103015-11-2024%' or</v>
      </c>
    </row>
    <row r="58" spans="1:5" x14ac:dyDescent="0.25">
      <c r="A58" s="2" t="s">
        <v>58</v>
      </c>
      <c r="B58" t="s">
        <v>103</v>
      </c>
      <c r="D58">
        <v>103016</v>
      </c>
      <c r="E58" t="str">
        <f t="shared" si="0"/>
        <v>ia.assorted_string like '%103016-11-2024%' or</v>
      </c>
    </row>
    <row r="59" spans="1:5" x14ac:dyDescent="0.25">
      <c r="A59" s="2" t="s">
        <v>59</v>
      </c>
      <c r="B59" t="s">
        <v>103</v>
      </c>
      <c r="D59">
        <v>103017</v>
      </c>
      <c r="E59" t="str">
        <f t="shared" si="0"/>
        <v>ia.assorted_string like '%103017-11-2024%' or</v>
      </c>
    </row>
    <row r="60" spans="1:5" x14ac:dyDescent="0.25">
      <c r="A60" s="2" t="s">
        <v>60</v>
      </c>
      <c r="B60" t="s">
        <v>103</v>
      </c>
      <c r="D60">
        <v>103092</v>
      </c>
      <c r="E60" t="str">
        <f t="shared" si="0"/>
        <v>ia.assorted_string like '%103092-11-2024%' or</v>
      </c>
    </row>
    <row r="61" spans="1:5" x14ac:dyDescent="0.25">
      <c r="A61" s="2" t="s">
        <v>61</v>
      </c>
      <c r="B61" t="s">
        <v>104</v>
      </c>
      <c r="D61">
        <v>103393</v>
      </c>
      <c r="E61" t="str">
        <f t="shared" si="0"/>
        <v>ia.assorted_string like '%103393-12-2024%' or</v>
      </c>
    </row>
    <row r="62" spans="1:5" x14ac:dyDescent="0.25">
      <c r="A62" s="2" t="s">
        <v>62</v>
      </c>
      <c r="B62" t="s">
        <v>104</v>
      </c>
      <c r="D62">
        <v>103394</v>
      </c>
      <c r="E62" t="str">
        <f t="shared" si="0"/>
        <v>ia.assorted_string like '%103394-12-2024%' or</v>
      </c>
    </row>
    <row r="63" spans="1:5" x14ac:dyDescent="0.25">
      <c r="A63" s="2" t="s">
        <v>63</v>
      </c>
      <c r="B63" t="s">
        <v>104</v>
      </c>
      <c r="D63">
        <v>103451</v>
      </c>
      <c r="E63" t="str">
        <f t="shared" si="0"/>
        <v>ia.assorted_string like '%103451-12-2024%' or</v>
      </c>
    </row>
    <row r="64" spans="1:5" x14ac:dyDescent="0.25">
      <c r="A64" s="2" t="s">
        <v>64</v>
      </c>
      <c r="B64" t="s">
        <v>104</v>
      </c>
      <c r="D64">
        <v>103453</v>
      </c>
      <c r="E64" t="str">
        <f t="shared" si="0"/>
        <v>ia.assorted_string like '%103453-12-2024%' or</v>
      </c>
    </row>
    <row r="65" spans="1:5" x14ac:dyDescent="0.25">
      <c r="A65" s="2" t="s">
        <v>65</v>
      </c>
      <c r="B65" t="s">
        <v>104</v>
      </c>
      <c r="D65">
        <v>103454</v>
      </c>
      <c r="E65" t="str">
        <f t="shared" ref="E65:E94" si="1">"ia.assorted_string like '%"&amp;D65&amp;B65&amp;"%' or"</f>
        <v>ia.assorted_string like '%103454-12-2024%' or</v>
      </c>
    </row>
    <row r="66" spans="1:5" x14ac:dyDescent="0.25">
      <c r="A66" s="2" t="s">
        <v>66</v>
      </c>
      <c r="B66" t="s">
        <v>104</v>
      </c>
      <c r="D66">
        <v>103455</v>
      </c>
      <c r="E66" t="str">
        <f t="shared" si="1"/>
        <v>ia.assorted_string like '%103455-12-2024%' or</v>
      </c>
    </row>
    <row r="67" spans="1:5" x14ac:dyDescent="0.25">
      <c r="A67" s="2" t="s">
        <v>67</v>
      </c>
      <c r="B67" t="s">
        <v>104</v>
      </c>
      <c r="D67">
        <v>103457</v>
      </c>
      <c r="E67" t="str">
        <f t="shared" si="1"/>
        <v>ia.assorted_string like '%103457-12-2024%' or</v>
      </c>
    </row>
    <row r="68" spans="1:5" x14ac:dyDescent="0.25">
      <c r="A68" s="2" t="s">
        <v>68</v>
      </c>
      <c r="B68" t="s">
        <v>104</v>
      </c>
      <c r="D68">
        <v>103574</v>
      </c>
      <c r="E68" t="str">
        <f t="shared" si="1"/>
        <v>ia.assorted_string like '%103574-12-2024%' or</v>
      </c>
    </row>
    <row r="69" spans="1:5" x14ac:dyDescent="0.25">
      <c r="A69" s="2" t="s">
        <v>69</v>
      </c>
      <c r="B69" t="s">
        <v>104</v>
      </c>
      <c r="D69">
        <v>103575</v>
      </c>
      <c r="E69" t="str">
        <f t="shared" si="1"/>
        <v>ia.assorted_string like '%103575-12-2024%' or</v>
      </c>
    </row>
    <row r="70" spans="1:5" x14ac:dyDescent="0.25">
      <c r="A70" s="2" t="s">
        <v>70</v>
      </c>
      <c r="B70" t="s">
        <v>104</v>
      </c>
      <c r="D70">
        <v>103638</v>
      </c>
      <c r="E70" t="str">
        <f t="shared" si="1"/>
        <v>ia.assorted_string like '%103638-12-2024%' or</v>
      </c>
    </row>
    <row r="71" spans="1:5" x14ac:dyDescent="0.25">
      <c r="A71" s="2" t="s">
        <v>71</v>
      </c>
      <c r="B71" t="s">
        <v>104</v>
      </c>
      <c r="D71">
        <v>103640</v>
      </c>
      <c r="E71" t="str">
        <f t="shared" si="1"/>
        <v>ia.assorted_string like '%103640-12-2024%' or</v>
      </c>
    </row>
    <row r="72" spans="1:5" x14ac:dyDescent="0.25">
      <c r="A72" s="2" t="s">
        <v>72</v>
      </c>
      <c r="B72" t="s">
        <v>104</v>
      </c>
      <c r="D72">
        <v>103878</v>
      </c>
      <c r="E72" t="str">
        <f t="shared" si="1"/>
        <v>ia.assorted_string like '%103878-12-2024%' or</v>
      </c>
    </row>
    <row r="73" spans="1:5" x14ac:dyDescent="0.25">
      <c r="A73" s="2" t="s">
        <v>73</v>
      </c>
      <c r="B73" t="s">
        <v>104</v>
      </c>
      <c r="D73">
        <v>103879</v>
      </c>
      <c r="E73" t="str">
        <f t="shared" si="1"/>
        <v>ia.assorted_string like '%103879-12-2024%' or</v>
      </c>
    </row>
    <row r="74" spans="1:5" x14ac:dyDescent="0.25">
      <c r="A74" s="2" t="s">
        <v>74</v>
      </c>
      <c r="B74" t="s">
        <v>104</v>
      </c>
      <c r="D74">
        <v>103972</v>
      </c>
      <c r="E74" t="str">
        <f t="shared" si="1"/>
        <v>ia.assorted_string like '%103972-12-2024%' or</v>
      </c>
    </row>
    <row r="75" spans="1:5" x14ac:dyDescent="0.25">
      <c r="A75" s="2" t="s">
        <v>75</v>
      </c>
      <c r="B75" t="s">
        <v>104</v>
      </c>
      <c r="D75">
        <v>103973</v>
      </c>
      <c r="E75" t="str">
        <f t="shared" si="1"/>
        <v>ia.assorted_string like '%103973-12-2024%' or</v>
      </c>
    </row>
    <row r="76" spans="1:5" x14ac:dyDescent="0.25">
      <c r="A76" s="2" t="s">
        <v>76</v>
      </c>
      <c r="B76" t="s">
        <v>104</v>
      </c>
      <c r="D76">
        <v>103996</v>
      </c>
      <c r="E76" t="str">
        <f t="shared" si="1"/>
        <v>ia.assorted_string like '%103996-12-2024%' or</v>
      </c>
    </row>
    <row r="77" spans="1:5" x14ac:dyDescent="0.25">
      <c r="A77" s="2" t="s">
        <v>77</v>
      </c>
      <c r="B77" t="s">
        <v>104</v>
      </c>
      <c r="D77">
        <v>103997</v>
      </c>
      <c r="E77" t="str">
        <f t="shared" si="1"/>
        <v>ia.assorted_string like '%103997-12-2024%' or</v>
      </c>
    </row>
    <row r="78" spans="1:5" x14ac:dyDescent="0.25">
      <c r="A78" s="2" t="s">
        <v>78</v>
      </c>
      <c r="B78" t="s">
        <v>104</v>
      </c>
      <c r="D78">
        <v>104076</v>
      </c>
      <c r="E78" t="str">
        <f t="shared" si="1"/>
        <v>ia.assorted_string like '%104076-12-2024%' or</v>
      </c>
    </row>
    <row r="79" spans="1:5" x14ac:dyDescent="0.25">
      <c r="A79" s="2" t="s">
        <v>79</v>
      </c>
      <c r="B79" t="s">
        <v>104</v>
      </c>
      <c r="D79">
        <v>104123</v>
      </c>
      <c r="E79" t="str">
        <f t="shared" si="1"/>
        <v>ia.assorted_string like '%104123-12-2024%' or</v>
      </c>
    </row>
    <row r="80" spans="1:5" x14ac:dyDescent="0.25">
      <c r="A80" s="2" t="s">
        <v>80</v>
      </c>
      <c r="B80" t="s">
        <v>104</v>
      </c>
      <c r="D80">
        <v>104125</v>
      </c>
      <c r="E80" t="str">
        <f t="shared" si="1"/>
        <v>ia.assorted_string like '%104125-12-2024%' or</v>
      </c>
    </row>
    <row r="81" spans="1:5" x14ac:dyDescent="0.25">
      <c r="A81" s="2" t="s">
        <v>81</v>
      </c>
      <c r="B81" t="s">
        <v>104</v>
      </c>
      <c r="D81">
        <v>104287</v>
      </c>
      <c r="E81" t="str">
        <f t="shared" si="1"/>
        <v>ia.assorted_string like '%104287-12-2024%' or</v>
      </c>
    </row>
    <row r="82" spans="1:5" x14ac:dyDescent="0.25">
      <c r="A82" s="2" t="s">
        <v>82</v>
      </c>
      <c r="B82" t="s">
        <v>104</v>
      </c>
      <c r="D82">
        <v>104310</v>
      </c>
      <c r="E82" t="str">
        <f t="shared" si="1"/>
        <v>ia.assorted_string like '%104310-12-2024%' or</v>
      </c>
    </row>
    <row r="83" spans="1:5" x14ac:dyDescent="0.25">
      <c r="A83" s="2" t="s">
        <v>83</v>
      </c>
      <c r="B83" t="s">
        <v>104</v>
      </c>
      <c r="D83">
        <v>104606</v>
      </c>
      <c r="E83" t="str">
        <f t="shared" si="1"/>
        <v>ia.assorted_string like '%104606-12-2024%' or</v>
      </c>
    </row>
    <row r="84" spans="1:5" x14ac:dyDescent="0.25">
      <c r="A84" s="2" t="s">
        <v>84</v>
      </c>
      <c r="B84" t="s">
        <v>104</v>
      </c>
      <c r="D84">
        <v>105055</v>
      </c>
      <c r="E84" t="str">
        <f t="shared" si="1"/>
        <v>ia.assorted_string like '%105055-12-2024%' or</v>
      </c>
    </row>
    <row r="85" spans="1:5" x14ac:dyDescent="0.25">
      <c r="A85" s="2" t="s">
        <v>85</v>
      </c>
      <c r="B85" t="s">
        <v>104</v>
      </c>
      <c r="D85">
        <v>105056</v>
      </c>
      <c r="E85" t="str">
        <f t="shared" si="1"/>
        <v>ia.assorted_string like '%105056-12-2024%' or</v>
      </c>
    </row>
    <row r="86" spans="1:5" x14ac:dyDescent="0.25">
      <c r="A86" s="2" t="s">
        <v>86</v>
      </c>
      <c r="B86" t="s">
        <v>104</v>
      </c>
      <c r="D86">
        <v>105088</v>
      </c>
      <c r="E86" t="str">
        <f t="shared" si="1"/>
        <v>ia.assorted_string like '%105088-12-2024%' or</v>
      </c>
    </row>
    <row r="87" spans="1:5" x14ac:dyDescent="0.25">
      <c r="A87" s="2" t="s">
        <v>87</v>
      </c>
      <c r="B87" t="s">
        <v>104</v>
      </c>
      <c r="D87">
        <v>105101</v>
      </c>
      <c r="E87" t="str">
        <f t="shared" si="1"/>
        <v>ia.assorted_string like '%105101-12-2024%' or</v>
      </c>
    </row>
    <row r="88" spans="1:5" x14ac:dyDescent="0.25">
      <c r="A88" s="2" t="s">
        <v>88</v>
      </c>
      <c r="B88" t="s">
        <v>105</v>
      </c>
      <c r="D88">
        <v>105208</v>
      </c>
      <c r="E88" t="str">
        <f t="shared" si="1"/>
        <v>ia.assorted_string like '%105208-01-2025%' or</v>
      </c>
    </row>
    <row r="89" spans="1:5" x14ac:dyDescent="0.25">
      <c r="A89" s="2" t="s">
        <v>89</v>
      </c>
      <c r="B89" t="s">
        <v>105</v>
      </c>
      <c r="D89">
        <v>105413</v>
      </c>
      <c r="E89" t="str">
        <f t="shared" si="1"/>
        <v>ia.assorted_string like '%105413-01-2025%' or</v>
      </c>
    </row>
    <row r="90" spans="1:5" x14ac:dyDescent="0.25">
      <c r="A90" s="2" t="s">
        <v>90</v>
      </c>
      <c r="B90" t="s">
        <v>105</v>
      </c>
      <c r="D90">
        <v>105415</v>
      </c>
      <c r="E90" t="str">
        <f t="shared" si="1"/>
        <v>ia.assorted_string like '%105415-01-2025%' or</v>
      </c>
    </row>
    <row r="91" spans="1:5" x14ac:dyDescent="0.25">
      <c r="A91" s="2" t="s">
        <v>91</v>
      </c>
      <c r="B91" t="s">
        <v>105</v>
      </c>
      <c r="D91">
        <v>105423</v>
      </c>
      <c r="E91" t="str">
        <f t="shared" si="1"/>
        <v>ia.assorted_string like '%105423-01-2025%' or</v>
      </c>
    </row>
    <row r="92" spans="1:5" x14ac:dyDescent="0.25">
      <c r="A92" s="2" t="s">
        <v>92</v>
      </c>
      <c r="B92" t="s">
        <v>105</v>
      </c>
      <c r="D92">
        <v>105960</v>
      </c>
      <c r="E92" t="str">
        <f t="shared" si="1"/>
        <v>ia.assorted_string like '%105960-01-2025%' or</v>
      </c>
    </row>
    <row r="93" spans="1:5" x14ac:dyDescent="0.25">
      <c r="A93" s="2" t="s">
        <v>93</v>
      </c>
      <c r="B93" t="s">
        <v>105</v>
      </c>
      <c r="D93">
        <v>105966</v>
      </c>
      <c r="E93" t="str">
        <f t="shared" si="1"/>
        <v>ia.assorted_string like '%105966-01-2025%' or</v>
      </c>
    </row>
    <row r="94" spans="1:5" x14ac:dyDescent="0.25">
      <c r="A94" s="2" t="s">
        <v>94</v>
      </c>
      <c r="B94" t="s">
        <v>105</v>
      </c>
      <c r="D94">
        <v>106031</v>
      </c>
      <c r="E94" t="str">
        <f t="shared" si="1"/>
        <v>ia.assorted_string like '%106031-01-2025%' or</v>
      </c>
    </row>
  </sheetData>
  <conditionalFormatting sqref="A2:A94">
    <cfRule type="duplicateValues" dxfId="5" priority="8"/>
    <cfRule type="duplicateValues" dxfId="4" priority="9"/>
    <cfRule type="duplicateValues" dxfId="3" priority="10"/>
    <cfRule type="duplicateValues" dxfId="2" priority="11"/>
  </conditionalFormatting>
  <conditionalFormatting sqref="A63:A77">
    <cfRule type="duplicateValues" dxfId="1" priority="7"/>
  </conditionalFormatting>
  <conditionalFormatting sqref="A78:A94">
    <cfRule type="duplicateValues" dxfId="0" priority="1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697CB-7DAB-4942-90F9-CE831CF5D11A}">
  <dimension ref="A1:D95"/>
  <sheetViews>
    <sheetView workbookViewId="0">
      <selection sqref="A1:XFD1048576"/>
    </sheetView>
  </sheetViews>
  <sheetFormatPr defaultColWidth="7.85546875" defaultRowHeight="15" x14ac:dyDescent="0.25"/>
  <cols>
    <col min="1" max="1" width="3" bestFit="1" customWidth="1"/>
    <col min="2" max="2" width="40" bestFit="1" customWidth="1"/>
    <col min="3" max="3" width="15" bestFit="1" customWidth="1"/>
    <col min="4" max="4" width="12.7109375" customWidth="1"/>
  </cols>
  <sheetData>
    <row r="1" spans="1:4" s="24" customFormat="1" ht="12" x14ac:dyDescent="0.2">
      <c r="A1" s="24" t="s">
        <v>109</v>
      </c>
      <c r="B1" s="24" t="s">
        <v>110</v>
      </c>
      <c r="C1" s="24" t="s">
        <v>111</v>
      </c>
      <c r="D1" s="24" t="s">
        <v>208</v>
      </c>
    </row>
    <row r="2" spans="1:4" x14ac:dyDescent="0.25">
      <c r="A2">
        <v>1</v>
      </c>
      <c r="B2" t="s">
        <v>3</v>
      </c>
      <c r="C2" t="s">
        <v>112</v>
      </c>
      <c r="D2" t="s">
        <v>209</v>
      </c>
    </row>
    <row r="3" spans="1:4" x14ac:dyDescent="0.25">
      <c r="A3">
        <v>2</v>
      </c>
      <c r="B3" t="s">
        <v>5</v>
      </c>
      <c r="C3" t="s">
        <v>113</v>
      </c>
      <c r="D3" t="s">
        <v>209</v>
      </c>
    </row>
    <row r="4" spans="1:4" x14ac:dyDescent="0.25">
      <c r="A4">
        <v>3</v>
      </c>
      <c r="B4" t="s">
        <v>1</v>
      </c>
      <c r="C4" t="s">
        <v>114</v>
      </c>
      <c r="D4" t="s">
        <v>209</v>
      </c>
    </row>
    <row r="5" spans="1:4" x14ac:dyDescent="0.25">
      <c r="A5">
        <v>4</v>
      </c>
      <c r="B5" t="s">
        <v>2</v>
      </c>
      <c r="C5" t="s">
        <v>115</v>
      </c>
      <c r="D5" t="s">
        <v>209</v>
      </c>
    </row>
    <row r="6" spans="1:4" x14ac:dyDescent="0.25">
      <c r="A6">
        <v>5</v>
      </c>
      <c r="B6" t="s">
        <v>4</v>
      </c>
      <c r="C6" t="s">
        <v>116</v>
      </c>
      <c r="D6" t="s">
        <v>209</v>
      </c>
    </row>
    <row r="7" spans="1:4" x14ac:dyDescent="0.25">
      <c r="A7">
        <v>6</v>
      </c>
      <c r="B7" t="s">
        <v>24</v>
      </c>
      <c r="C7" t="s">
        <v>117</v>
      </c>
      <c r="D7" t="s">
        <v>210</v>
      </c>
    </row>
    <row r="8" spans="1:4" x14ac:dyDescent="0.25">
      <c r="A8">
        <v>7</v>
      </c>
      <c r="B8" t="s">
        <v>25</v>
      </c>
      <c r="C8" t="s">
        <v>118</v>
      </c>
      <c r="D8" t="s">
        <v>211</v>
      </c>
    </row>
    <row r="9" spans="1:4" x14ac:dyDescent="0.25">
      <c r="A9">
        <v>8</v>
      </c>
      <c r="B9" t="s">
        <v>20</v>
      </c>
      <c r="C9" t="s">
        <v>119</v>
      </c>
      <c r="D9" t="s">
        <v>212</v>
      </c>
    </row>
    <row r="10" spans="1:4" x14ac:dyDescent="0.25">
      <c r="A10">
        <v>9</v>
      </c>
      <c r="B10" t="s">
        <v>26</v>
      </c>
      <c r="C10" t="s">
        <v>120</v>
      </c>
      <c r="D10" t="s">
        <v>211</v>
      </c>
    </row>
    <row r="11" spans="1:4" x14ac:dyDescent="0.25">
      <c r="A11">
        <v>10</v>
      </c>
      <c r="B11" t="s">
        <v>22</v>
      </c>
      <c r="C11" t="s">
        <v>121</v>
      </c>
      <c r="D11" t="s">
        <v>213</v>
      </c>
    </row>
    <row r="12" spans="1:4" x14ac:dyDescent="0.25">
      <c r="A12">
        <v>11</v>
      </c>
      <c r="B12" t="s">
        <v>18</v>
      </c>
      <c r="C12" t="s">
        <v>122</v>
      </c>
      <c r="D12" t="s">
        <v>214</v>
      </c>
    </row>
    <row r="13" spans="1:4" x14ac:dyDescent="0.25">
      <c r="A13">
        <v>12</v>
      </c>
      <c r="B13" t="s">
        <v>10</v>
      </c>
      <c r="C13" t="s">
        <v>123</v>
      </c>
      <c r="D13" t="s">
        <v>215</v>
      </c>
    </row>
    <row r="14" spans="1:4" x14ac:dyDescent="0.25">
      <c r="A14">
        <v>13</v>
      </c>
      <c r="B14" t="s">
        <v>9</v>
      </c>
      <c r="C14" t="s">
        <v>124</v>
      </c>
      <c r="D14" t="s">
        <v>216</v>
      </c>
    </row>
    <row r="15" spans="1:4" x14ac:dyDescent="0.25">
      <c r="A15">
        <v>14</v>
      </c>
      <c r="B15" t="s">
        <v>30</v>
      </c>
      <c r="C15" t="s">
        <v>125</v>
      </c>
      <c r="D15" t="s">
        <v>212</v>
      </c>
    </row>
    <row r="16" spans="1:4" x14ac:dyDescent="0.25">
      <c r="A16">
        <v>15</v>
      </c>
      <c r="B16" t="s">
        <v>16</v>
      </c>
      <c r="C16" t="s">
        <v>126</v>
      </c>
      <c r="D16" t="s">
        <v>209</v>
      </c>
    </row>
    <row r="17" spans="1:4" x14ac:dyDescent="0.25">
      <c r="A17">
        <v>16</v>
      </c>
      <c r="B17" t="s">
        <v>34</v>
      </c>
      <c r="C17" t="s">
        <v>127</v>
      </c>
      <c r="D17" t="s">
        <v>217</v>
      </c>
    </row>
    <row r="18" spans="1:4" x14ac:dyDescent="0.25">
      <c r="A18">
        <v>17</v>
      </c>
      <c r="B18" t="s">
        <v>29</v>
      </c>
      <c r="C18" t="s">
        <v>128</v>
      </c>
      <c r="D18" t="s">
        <v>215</v>
      </c>
    </row>
    <row r="19" spans="1:4" x14ac:dyDescent="0.25">
      <c r="A19">
        <v>18</v>
      </c>
      <c r="B19" t="s">
        <v>21</v>
      </c>
      <c r="C19" t="s">
        <v>129</v>
      </c>
      <c r="D19" t="s">
        <v>213</v>
      </c>
    </row>
    <row r="20" spans="1:4" x14ac:dyDescent="0.25">
      <c r="A20">
        <v>19</v>
      </c>
      <c r="B20" t="s">
        <v>27</v>
      </c>
      <c r="C20" t="s">
        <v>130</v>
      </c>
      <c r="D20" t="s">
        <v>218</v>
      </c>
    </row>
    <row r="21" spans="1:4" x14ac:dyDescent="0.25">
      <c r="A21">
        <v>20</v>
      </c>
      <c r="B21" t="s">
        <v>13</v>
      </c>
      <c r="C21" t="s">
        <v>131</v>
      </c>
      <c r="D21" t="s">
        <v>219</v>
      </c>
    </row>
    <row r="22" spans="1:4" x14ac:dyDescent="0.25">
      <c r="A22">
        <v>21</v>
      </c>
      <c r="B22" t="s">
        <v>7</v>
      </c>
      <c r="C22" t="s">
        <v>132</v>
      </c>
      <c r="D22" t="s">
        <v>212</v>
      </c>
    </row>
    <row r="23" spans="1:4" x14ac:dyDescent="0.25">
      <c r="A23">
        <v>22</v>
      </c>
      <c r="B23" t="s">
        <v>15</v>
      </c>
      <c r="C23" t="s">
        <v>133</v>
      </c>
      <c r="D23" t="s">
        <v>212</v>
      </c>
    </row>
    <row r="24" spans="1:4" x14ac:dyDescent="0.25">
      <c r="A24">
        <v>23</v>
      </c>
      <c r="B24" t="s">
        <v>14</v>
      </c>
      <c r="C24" t="s">
        <v>134</v>
      </c>
      <c r="D24" t="s">
        <v>220</v>
      </c>
    </row>
    <row r="25" spans="1:4" x14ac:dyDescent="0.25">
      <c r="A25">
        <v>24</v>
      </c>
      <c r="B25" t="s">
        <v>6</v>
      </c>
      <c r="C25" t="s">
        <v>135</v>
      </c>
      <c r="D25" t="s">
        <v>221</v>
      </c>
    </row>
    <row r="26" spans="1:4" x14ac:dyDescent="0.25">
      <c r="A26">
        <v>25</v>
      </c>
      <c r="B26" t="s">
        <v>8</v>
      </c>
      <c r="C26" t="s">
        <v>136</v>
      </c>
      <c r="D26" t="s">
        <v>212</v>
      </c>
    </row>
    <row r="27" spans="1:4" x14ac:dyDescent="0.25">
      <c r="A27">
        <v>26</v>
      </c>
      <c r="B27" t="s">
        <v>19</v>
      </c>
      <c r="C27" t="s">
        <v>137</v>
      </c>
      <c r="D27" t="s">
        <v>216</v>
      </c>
    </row>
    <row r="28" spans="1:4" x14ac:dyDescent="0.25">
      <c r="A28">
        <v>27</v>
      </c>
      <c r="B28" t="s">
        <v>33</v>
      </c>
      <c r="C28" t="s">
        <v>138</v>
      </c>
      <c r="D28" t="s">
        <v>217</v>
      </c>
    </row>
    <row r="29" spans="1:4" x14ac:dyDescent="0.25">
      <c r="A29">
        <v>28</v>
      </c>
      <c r="B29" t="s">
        <v>28</v>
      </c>
      <c r="C29" t="s">
        <v>139</v>
      </c>
      <c r="D29" t="s">
        <v>215</v>
      </c>
    </row>
    <row r="30" spans="1:4" x14ac:dyDescent="0.25">
      <c r="A30">
        <v>29</v>
      </c>
      <c r="B30" t="s">
        <v>23</v>
      </c>
      <c r="C30" t="s">
        <v>140</v>
      </c>
      <c r="D30" t="s">
        <v>222</v>
      </c>
    </row>
    <row r="31" spans="1:4" x14ac:dyDescent="0.25">
      <c r="A31">
        <v>30</v>
      </c>
      <c r="B31" t="s">
        <v>11</v>
      </c>
      <c r="C31" t="s">
        <v>141</v>
      </c>
      <c r="D31" t="s">
        <v>223</v>
      </c>
    </row>
    <row r="32" spans="1:4" x14ac:dyDescent="0.25">
      <c r="A32">
        <v>31</v>
      </c>
      <c r="B32" t="s">
        <v>17</v>
      </c>
      <c r="C32" t="s">
        <v>142</v>
      </c>
      <c r="D32" t="s">
        <v>224</v>
      </c>
    </row>
    <row r="33" spans="1:4" x14ac:dyDescent="0.25">
      <c r="A33">
        <v>32</v>
      </c>
      <c r="B33" t="s">
        <v>12</v>
      </c>
      <c r="C33" t="s">
        <v>143</v>
      </c>
      <c r="D33" t="s">
        <v>225</v>
      </c>
    </row>
    <row r="34" spans="1:4" x14ac:dyDescent="0.25">
      <c r="A34">
        <v>33</v>
      </c>
      <c r="B34" t="s">
        <v>31</v>
      </c>
      <c r="C34" t="s">
        <v>144</v>
      </c>
      <c r="D34" t="s">
        <v>211</v>
      </c>
    </row>
    <row r="35" spans="1:4" x14ac:dyDescent="0.25">
      <c r="A35">
        <v>34</v>
      </c>
      <c r="B35" t="s">
        <v>32</v>
      </c>
      <c r="C35" t="s">
        <v>145</v>
      </c>
      <c r="D35" t="s">
        <v>226</v>
      </c>
    </row>
    <row r="36" spans="1:4" x14ac:dyDescent="0.25">
      <c r="A36">
        <v>35</v>
      </c>
      <c r="B36" t="s">
        <v>35</v>
      </c>
      <c r="C36" t="s">
        <v>146</v>
      </c>
      <c r="D36" t="s">
        <v>227</v>
      </c>
    </row>
    <row r="37" spans="1:4" x14ac:dyDescent="0.25">
      <c r="A37">
        <v>36</v>
      </c>
      <c r="B37" t="s">
        <v>47</v>
      </c>
      <c r="C37" t="s">
        <v>147</v>
      </c>
      <c r="D37" t="s">
        <v>217</v>
      </c>
    </row>
    <row r="38" spans="1:4" x14ac:dyDescent="0.25">
      <c r="A38">
        <v>37</v>
      </c>
      <c r="B38" t="s">
        <v>88</v>
      </c>
      <c r="C38" t="s">
        <v>148</v>
      </c>
      <c r="D38" t="s">
        <v>212</v>
      </c>
    </row>
    <row r="39" spans="1:4" x14ac:dyDescent="0.25">
      <c r="A39">
        <v>38</v>
      </c>
      <c r="B39" t="s">
        <v>46</v>
      </c>
      <c r="C39" t="s">
        <v>149</v>
      </c>
      <c r="D39" t="s">
        <v>217</v>
      </c>
    </row>
    <row r="40" spans="1:4" x14ac:dyDescent="0.25">
      <c r="A40">
        <v>39</v>
      </c>
      <c r="B40" t="s">
        <v>64</v>
      </c>
      <c r="C40" t="s">
        <v>150</v>
      </c>
      <c r="D40" t="s">
        <v>228</v>
      </c>
    </row>
    <row r="41" spans="1:4" x14ac:dyDescent="0.25">
      <c r="A41">
        <v>40</v>
      </c>
      <c r="B41" t="s">
        <v>68</v>
      </c>
      <c r="C41" t="s">
        <v>151</v>
      </c>
      <c r="D41" t="s">
        <v>220</v>
      </c>
    </row>
    <row r="42" spans="1:4" x14ac:dyDescent="0.25">
      <c r="A42">
        <v>41</v>
      </c>
      <c r="B42" t="s">
        <v>79</v>
      </c>
      <c r="C42" t="s">
        <v>152</v>
      </c>
      <c r="D42" t="s">
        <v>229</v>
      </c>
    </row>
    <row r="43" spans="1:4" x14ac:dyDescent="0.25">
      <c r="A43">
        <v>42</v>
      </c>
      <c r="B43" t="s">
        <v>85</v>
      </c>
      <c r="C43" t="s">
        <v>153</v>
      </c>
      <c r="D43" t="s">
        <v>212</v>
      </c>
    </row>
    <row r="44" spans="1:4" x14ac:dyDescent="0.25">
      <c r="A44">
        <v>43</v>
      </c>
      <c r="B44" t="s">
        <v>86</v>
      </c>
      <c r="C44" t="s">
        <v>154</v>
      </c>
      <c r="D44" t="s">
        <v>230</v>
      </c>
    </row>
    <row r="45" spans="1:4" x14ac:dyDescent="0.25">
      <c r="A45">
        <v>44</v>
      </c>
      <c r="B45" t="s">
        <v>87</v>
      </c>
      <c r="C45" t="s">
        <v>155</v>
      </c>
      <c r="D45" t="s">
        <v>231</v>
      </c>
    </row>
    <row r="46" spans="1:4" x14ac:dyDescent="0.25">
      <c r="A46">
        <v>45</v>
      </c>
      <c r="B46" t="s">
        <v>73</v>
      </c>
      <c r="C46" t="s">
        <v>156</v>
      </c>
      <c r="D46" t="s">
        <v>232</v>
      </c>
    </row>
    <row r="47" spans="1:4" x14ac:dyDescent="0.25">
      <c r="A47">
        <v>46</v>
      </c>
      <c r="B47" t="s">
        <v>71</v>
      </c>
      <c r="C47" t="s">
        <v>157</v>
      </c>
      <c r="D47" t="s">
        <v>233</v>
      </c>
    </row>
    <row r="48" spans="1:4" x14ac:dyDescent="0.25">
      <c r="A48">
        <v>47</v>
      </c>
      <c r="B48" t="s">
        <v>51</v>
      </c>
      <c r="C48" t="s">
        <v>158</v>
      </c>
      <c r="D48" t="s">
        <v>234</v>
      </c>
    </row>
    <row r="49" spans="1:4" x14ac:dyDescent="0.25">
      <c r="A49">
        <v>48</v>
      </c>
      <c r="B49" t="s">
        <v>53</v>
      </c>
      <c r="C49" t="s">
        <v>159</v>
      </c>
      <c r="D49" t="s">
        <v>217</v>
      </c>
    </row>
    <row r="50" spans="1:4" x14ac:dyDescent="0.25">
      <c r="A50">
        <v>49</v>
      </c>
      <c r="B50" t="s">
        <v>54</v>
      </c>
      <c r="C50" t="s">
        <v>160</v>
      </c>
      <c r="D50" t="s">
        <v>217</v>
      </c>
    </row>
    <row r="51" spans="1:4" x14ac:dyDescent="0.25">
      <c r="A51">
        <v>50</v>
      </c>
      <c r="B51" t="s">
        <v>48</v>
      </c>
      <c r="C51" t="s">
        <v>161</v>
      </c>
      <c r="D51" t="s">
        <v>232</v>
      </c>
    </row>
    <row r="52" spans="1:4" x14ac:dyDescent="0.25">
      <c r="A52">
        <v>51</v>
      </c>
      <c r="B52" t="s">
        <v>82</v>
      </c>
      <c r="C52" t="s">
        <v>162</v>
      </c>
      <c r="D52" t="s">
        <v>235</v>
      </c>
    </row>
    <row r="53" spans="1:4" x14ac:dyDescent="0.25">
      <c r="A53">
        <v>52</v>
      </c>
      <c r="B53" t="s">
        <v>63</v>
      </c>
      <c r="C53" t="s">
        <v>163</v>
      </c>
      <c r="D53" t="s">
        <v>228</v>
      </c>
    </row>
    <row r="54" spans="1:4" x14ac:dyDescent="0.25">
      <c r="A54">
        <v>53</v>
      </c>
      <c r="B54" t="s">
        <v>91</v>
      </c>
      <c r="C54" t="s">
        <v>164</v>
      </c>
      <c r="D54" t="s">
        <v>236</v>
      </c>
    </row>
    <row r="55" spans="1:4" x14ac:dyDescent="0.25">
      <c r="A55">
        <v>54</v>
      </c>
      <c r="B55" t="s">
        <v>92</v>
      </c>
      <c r="C55" t="s">
        <v>165</v>
      </c>
      <c r="D55" t="s">
        <v>212</v>
      </c>
    </row>
    <row r="56" spans="1:4" x14ac:dyDescent="0.25">
      <c r="A56">
        <v>55</v>
      </c>
      <c r="B56" t="s">
        <v>81</v>
      </c>
      <c r="C56" t="s">
        <v>166</v>
      </c>
      <c r="D56" t="s">
        <v>237</v>
      </c>
    </row>
    <row r="57" spans="1:4" x14ac:dyDescent="0.25">
      <c r="A57">
        <v>56</v>
      </c>
      <c r="B57" t="s">
        <v>80</v>
      </c>
      <c r="C57" t="s">
        <v>167</v>
      </c>
      <c r="D57" t="s">
        <v>229</v>
      </c>
    </row>
    <row r="58" spans="1:4" x14ac:dyDescent="0.25">
      <c r="A58">
        <v>57</v>
      </c>
      <c r="B58" t="s">
        <v>59</v>
      </c>
      <c r="C58" t="s">
        <v>168</v>
      </c>
      <c r="D58" t="s">
        <v>211</v>
      </c>
    </row>
    <row r="59" spans="1:4" x14ac:dyDescent="0.25">
      <c r="A59">
        <v>58</v>
      </c>
      <c r="B59" t="s">
        <v>36</v>
      </c>
      <c r="C59" t="s">
        <v>169</v>
      </c>
      <c r="D59" t="s">
        <v>212</v>
      </c>
    </row>
    <row r="60" spans="1:4" x14ac:dyDescent="0.25">
      <c r="A60">
        <v>59</v>
      </c>
      <c r="B60" t="s">
        <v>38</v>
      </c>
      <c r="C60" t="s">
        <v>170</v>
      </c>
      <c r="D60" t="s">
        <v>238</v>
      </c>
    </row>
    <row r="61" spans="1:4" x14ac:dyDescent="0.25">
      <c r="A61">
        <v>60</v>
      </c>
      <c r="B61" t="s">
        <v>55</v>
      </c>
      <c r="C61" t="s">
        <v>171</v>
      </c>
      <c r="D61" t="s">
        <v>239</v>
      </c>
    </row>
    <row r="62" spans="1:4" x14ac:dyDescent="0.25">
      <c r="A62">
        <v>61</v>
      </c>
      <c r="B62" t="s">
        <v>56</v>
      </c>
      <c r="C62" t="s">
        <v>172</v>
      </c>
      <c r="D62" t="s">
        <v>239</v>
      </c>
    </row>
    <row r="63" spans="1:4" x14ac:dyDescent="0.25">
      <c r="A63">
        <v>62</v>
      </c>
      <c r="B63" t="s">
        <v>83</v>
      </c>
      <c r="C63" t="s">
        <v>173</v>
      </c>
      <c r="D63" t="s">
        <v>212</v>
      </c>
    </row>
    <row r="64" spans="1:4" x14ac:dyDescent="0.25">
      <c r="A64">
        <v>63</v>
      </c>
      <c r="B64" t="s">
        <v>60</v>
      </c>
      <c r="C64" t="s">
        <v>174</v>
      </c>
      <c r="D64" t="s">
        <v>240</v>
      </c>
    </row>
    <row r="65" spans="1:4" x14ac:dyDescent="0.25">
      <c r="A65">
        <v>64</v>
      </c>
      <c r="B65" t="s">
        <v>75</v>
      </c>
      <c r="C65" t="s">
        <v>175</v>
      </c>
      <c r="D65" t="s">
        <v>238</v>
      </c>
    </row>
    <row r="66" spans="1:4" x14ac:dyDescent="0.25">
      <c r="A66">
        <v>65</v>
      </c>
      <c r="B66" t="s">
        <v>77</v>
      </c>
      <c r="C66" t="s">
        <v>176</v>
      </c>
      <c r="D66" t="s">
        <v>241</v>
      </c>
    </row>
    <row r="67" spans="1:4" x14ac:dyDescent="0.25">
      <c r="A67">
        <v>66</v>
      </c>
      <c r="B67" t="s">
        <v>69</v>
      </c>
      <c r="C67" t="s">
        <v>177</v>
      </c>
      <c r="D67" t="s">
        <v>220</v>
      </c>
    </row>
    <row r="68" spans="1:4" x14ac:dyDescent="0.25">
      <c r="A68">
        <v>67</v>
      </c>
      <c r="B68" t="s">
        <v>72</v>
      </c>
      <c r="C68" t="s">
        <v>178</v>
      </c>
      <c r="D68" t="s">
        <v>242</v>
      </c>
    </row>
    <row r="69" spans="1:4" x14ac:dyDescent="0.25">
      <c r="A69">
        <v>68</v>
      </c>
      <c r="B69" t="s">
        <v>42</v>
      </c>
      <c r="C69" t="s">
        <v>179</v>
      </c>
      <c r="D69" t="s">
        <v>217</v>
      </c>
    </row>
    <row r="70" spans="1:4" x14ac:dyDescent="0.25">
      <c r="A70">
        <v>69</v>
      </c>
      <c r="B70" t="s">
        <v>43</v>
      </c>
      <c r="C70" t="s">
        <v>180</v>
      </c>
      <c r="D70" t="s">
        <v>234</v>
      </c>
    </row>
    <row r="71" spans="1:4" x14ac:dyDescent="0.25">
      <c r="A71">
        <v>70</v>
      </c>
      <c r="B71" t="s">
        <v>76</v>
      </c>
      <c r="C71" t="s">
        <v>181</v>
      </c>
      <c r="D71" t="s">
        <v>243</v>
      </c>
    </row>
    <row r="72" spans="1:4" x14ac:dyDescent="0.25">
      <c r="A72">
        <v>71</v>
      </c>
      <c r="B72" t="s">
        <v>78</v>
      </c>
      <c r="C72" t="s">
        <v>182</v>
      </c>
      <c r="D72" t="s">
        <v>230</v>
      </c>
    </row>
    <row r="73" spans="1:4" x14ac:dyDescent="0.25">
      <c r="A73">
        <v>72</v>
      </c>
      <c r="B73" t="s">
        <v>90</v>
      </c>
      <c r="C73" t="s">
        <v>183</v>
      </c>
      <c r="D73" t="s">
        <v>229</v>
      </c>
    </row>
    <row r="74" spans="1:4" x14ac:dyDescent="0.25">
      <c r="A74">
        <v>73</v>
      </c>
      <c r="B74" t="s">
        <v>58</v>
      </c>
      <c r="C74" t="s">
        <v>184</v>
      </c>
      <c r="D74" t="s">
        <v>210</v>
      </c>
    </row>
    <row r="75" spans="1:4" x14ac:dyDescent="0.25">
      <c r="A75">
        <v>74</v>
      </c>
      <c r="B75" t="s">
        <v>37</v>
      </c>
      <c r="C75" t="s">
        <v>185</v>
      </c>
      <c r="D75" t="s">
        <v>212</v>
      </c>
    </row>
    <row r="76" spans="1:4" x14ac:dyDescent="0.25">
      <c r="A76">
        <v>75</v>
      </c>
      <c r="B76" t="s">
        <v>49</v>
      </c>
      <c r="C76" t="s">
        <v>186</v>
      </c>
      <c r="D76" t="s">
        <v>242</v>
      </c>
    </row>
    <row r="77" spans="1:4" x14ac:dyDescent="0.25">
      <c r="A77">
        <v>76</v>
      </c>
      <c r="B77" t="s">
        <v>65</v>
      </c>
      <c r="C77" t="s">
        <v>187</v>
      </c>
      <c r="D77" t="s">
        <v>228</v>
      </c>
    </row>
    <row r="78" spans="1:4" x14ac:dyDescent="0.25">
      <c r="A78">
        <v>77</v>
      </c>
      <c r="B78" t="s">
        <v>40</v>
      </c>
      <c r="C78" t="s">
        <v>188</v>
      </c>
      <c r="D78" t="s">
        <v>212</v>
      </c>
    </row>
    <row r="79" spans="1:4" x14ac:dyDescent="0.25">
      <c r="A79">
        <v>78</v>
      </c>
      <c r="B79" t="s">
        <v>94</v>
      </c>
      <c r="C79" t="s">
        <v>189</v>
      </c>
      <c r="D79" t="s">
        <v>212</v>
      </c>
    </row>
    <row r="80" spans="1:4" x14ac:dyDescent="0.25">
      <c r="A80">
        <v>79</v>
      </c>
      <c r="B80" t="s">
        <v>74</v>
      </c>
      <c r="C80" t="s">
        <v>190</v>
      </c>
      <c r="D80" t="s">
        <v>238</v>
      </c>
    </row>
    <row r="81" spans="1:4" x14ac:dyDescent="0.25">
      <c r="A81">
        <v>80</v>
      </c>
      <c r="B81" t="s">
        <v>84</v>
      </c>
      <c r="C81" t="s">
        <v>191</v>
      </c>
      <c r="D81" t="s">
        <v>244</v>
      </c>
    </row>
    <row r="82" spans="1:4" x14ac:dyDescent="0.25">
      <c r="A82">
        <v>81</v>
      </c>
      <c r="B82" t="s">
        <v>50</v>
      </c>
      <c r="C82" t="s">
        <v>192</v>
      </c>
      <c r="D82" t="s">
        <v>209</v>
      </c>
    </row>
    <row r="83" spans="1:4" x14ac:dyDescent="0.25">
      <c r="A83">
        <v>82</v>
      </c>
      <c r="B83" t="s">
        <v>62</v>
      </c>
      <c r="C83" t="s">
        <v>193</v>
      </c>
      <c r="D83" t="s">
        <v>217</v>
      </c>
    </row>
    <row r="84" spans="1:4" x14ac:dyDescent="0.25">
      <c r="A84">
        <v>83</v>
      </c>
      <c r="B84" t="s">
        <v>66</v>
      </c>
      <c r="C84" t="s">
        <v>194</v>
      </c>
      <c r="D84" t="s">
        <v>228</v>
      </c>
    </row>
    <row r="85" spans="1:4" x14ac:dyDescent="0.25">
      <c r="A85">
        <v>84</v>
      </c>
      <c r="B85" t="s">
        <v>39</v>
      </c>
      <c r="C85" t="s">
        <v>195</v>
      </c>
      <c r="D85" t="s">
        <v>212</v>
      </c>
    </row>
    <row r="86" spans="1:4" x14ac:dyDescent="0.25">
      <c r="A86">
        <v>85</v>
      </c>
      <c r="B86" t="s">
        <v>70</v>
      </c>
      <c r="C86" t="s">
        <v>196</v>
      </c>
      <c r="D86" t="s">
        <v>212</v>
      </c>
    </row>
    <row r="87" spans="1:4" x14ac:dyDescent="0.25">
      <c r="A87">
        <v>86</v>
      </c>
      <c r="B87" t="s">
        <v>52</v>
      </c>
      <c r="C87" t="s">
        <v>197</v>
      </c>
      <c r="D87" t="s">
        <v>245</v>
      </c>
    </row>
    <row r="88" spans="1:4" x14ac:dyDescent="0.25">
      <c r="A88">
        <v>87</v>
      </c>
      <c r="B88" t="s">
        <v>93</v>
      </c>
      <c r="C88" t="s">
        <v>198</v>
      </c>
      <c r="D88" t="s">
        <v>229</v>
      </c>
    </row>
    <row r="89" spans="1:4" x14ac:dyDescent="0.25">
      <c r="A89">
        <v>88</v>
      </c>
      <c r="B89" t="s">
        <v>89</v>
      </c>
      <c r="C89" t="s">
        <v>199</v>
      </c>
      <c r="D89" t="s">
        <v>229</v>
      </c>
    </row>
    <row r="90" spans="1:4" x14ac:dyDescent="0.25">
      <c r="A90">
        <v>89</v>
      </c>
      <c r="B90" t="s">
        <v>61</v>
      </c>
      <c r="C90" t="s">
        <v>200</v>
      </c>
      <c r="D90" t="s">
        <v>217</v>
      </c>
    </row>
    <row r="91" spans="1:4" x14ac:dyDescent="0.25">
      <c r="A91">
        <v>90</v>
      </c>
      <c r="B91" t="s">
        <v>44</v>
      </c>
      <c r="C91" t="s">
        <v>201</v>
      </c>
      <c r="D91" t="s">
        <v>217</v>
      </c>
    </row>
    <row r="92" spans="1:4" x14ac:dyDescent="0.25">
      <c r="A92">
        <v>91</v>
      </c>
      <c r="B92" t="s">
        <v>45</v>
      </c>
      <c r="C92" t="s">
        <v>202</v>
      </c>
      <c r="D92" t="s">
        <v>226</v>
      </c>
    </row>
    <row r="93" spans="1:4" x14ac:dyDescent="0.25">
      <c r="A93">
        <v>92</v>
      </c>
      <c r="B93" t="s">
        <v>67</v>
      </c>
      <c r="C93" t="s">
        <v>203</v>
      </c>
      <c r="D93" t="s">
        <v>228</v>
      </c>
    </row>
    <row r="94" spans="1:4" x14ac:dyDescent="0.25">
      <c r="A94">
        <v>93</v>
      </c>
      <c r="B94" t="s">
        <v>41</v>
      </c>
      <c r="C94" t="s">
        <v>204</v>
      </c>
      <c r="D94" t="s">
        <v>217</v>
      </c>
    </row>
    <row r="95" spans="1:4" x14ac:dyDescent="0.25">
      <c r="A95">
        <v>94</v>
      </c>
      <c r="B95" t="s">
        <v>57</v>
      </c>
      <c r="C95" t="s">
        <v>205</v>
      </c>
      <c r="D95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Comm Adj Cases</vt:lpstr>
      <vt:lpstr>working-premium</vt:lpstr>
      <vt:lpstr>tab</vt:lpstr>
      <vt:lpstr>policy</vt:lpstr>
      <vt:lpstr>working-commission</vt:lpstr>
      <vt:lpstr>Sheet5</vt:lpstr>
      <vt:lpstr>policy1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STL User15</dc:creator>
  <cp:lastModifiedBy>IT User Software</cp:lastModifiedBy>
  <dcterms:created xsi:type="dcterms:W3CDTF">2025-01-22T04:55:07Z</dcterms:created>
  <dcterms:modified xsi:type="dcterms:W3CDTF">2025-01-22T10:05:06Z</dcterms:modified>
</cp:coreProperties>
</file>