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remium\Premium\Omair ALi\22-Oct-2024\"/>
    </mc:Choice>
  </mc:AlternateContent>
  <xr:revisionPtr revIDLastSave="0" documentId="13_ncr:1_{64EC0D1A-571B-4212-BD2A-E1C6D13C9716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Invoice" sheetId="1" state="hidden" r:id="rId1"/>
    <sheet name="Summary" sheetId="3" state="hidden" r:id="rId2"/>
    <sheet name="Detail" sheetId="2" state="hidden" r:id="rId3"/>
    <sheet name="Sheet2" sheetId="5" r:id="rId4"/>
    <sheet name="working" sheetId="6" r:id="rId5"/>
    <sheet name="Sheet4" sheetId="7" r:id="rId6"/>
    <sheet name="policy" sheetId="8" r:id="rId7"/>
    <sheet name="Sheet1" sheetId="4" state="hidden" r:id="rId8"/>
  </sheets>
  <definedNames>
    <definedName name="_xlnm._FilterDatabase" localSheetId="2" hidden="1">Detail!$A$2:$T$1018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9" i="6" l="1"/>
  <c r="E1019" i="6" s="1"/>
  <c r="C1019" i="6"/>
  <c r="G1017" i="6"/>
  <c r="H1017" i="6" s="1"/>
  <c r="G1016" i="6"/>
  <c r="H1016" i="6" s="1"/>
  <c r="G1015" i="6"/>
  <c r="H1015" i="6" s="1"/>
  <c r="G1014" i="6"/>
  <c r="H1014" i="6" s="1"/>
  <c r="G1013" i="6"/>
  <c r="H1013" i="6" s="1"/>
  <c r="G1012" i="6"/>
  <c r="H1012" i="6" s="1"/>
  <c r="G1011" i="6"/>
  <c r="H1011" i="6" s="1"/>
  <c r="G1010" i="6"/>
  <c r="H1010" i="6" s="1"/>
  <c r="G1009" i="6"/>
  <c r="H1009" i="6" s="1"/>
  <c r="G1008" i="6"/>
  <c r="H1008" i="6" s="1"/>
  <c r="G1007" i="6"/>
  <c r="H1007" i="6" s="1"/>
  <c r="G1006" i="6"/>
  <c r="H1006" i="6" s="1"/>
  <c r="G1005" i="6"/>
  <c r="H1005" i="6" s="1"/>
  <c r="G1004" i="6"/>
  <c r="H1004" i="6" s="1"/>
  <c r="G1003" i="6"/>
  <c r="H1003" i="6" s="1"/>
  <c r="G1002" i="6"/>
  <c r="H1002" i="6" s="1"/>
  <c r="G1001" i="6"/>
  <c r="H1001" i="6" s="1"/>
  <c r="G1000" i="6"/>
  <c r="H1000" i="6" s="1"/>
  <c r="G999" i="6"/>
  <c r="H999" i="6" s="1"/>
  <c r="G998" i="6"/>
  <c r="H998" i="6" s="1"/>
  <c r="G997" i="6"/>
  <c r="H997" i="6" s="1"/>
  <c r="G996" i="6"/>
  <c r="H996" i="6" s="1"/>
  <c r="G995" i="6"/>
  <c r="H995" i="6" s="1"/>
  <c r="G994" i="6"/>
  <c r="H994" i="6" s="1"/>
  <c r="G993" i="6"/>
  <c r="H993" i="6" s="1"/>
  <c r="G992" i="6"/>
  <c r="H992" i="6" s="1"/>
  <c r="G991" i="6"/>
  <c r="H991" i="6" s="1"/>
  <c r="G990" i="6"/>
  <c r="H990" i="6" s="1"/>
  <c r="G989" i="6"/>
  <c r="H989" i="6" s="1"/>
  <c r="G988" i="6"/>
  <c r="H988" i="6" s="1"/>
  <c r="G987" i="6"/>
  <c r="H987" i="6" s="1"/>
  <c r="G986" i="6"/>
  <c r="H986" i="6" s="1"/>
  <c r="G985" i="6"/>
  <c r="H985" i="6" s="1"/>
  <c r="G984" i="6"/>
  <c r="H984" i="6" s="1"/>
  <c r="G983" i="6"/>
  <c r="H983" i="6" s="1"/>
  <c r="G982" i="6"/>
  <c r="H982" i="6" s="1"/>
  <c r="G981" i="6"/>
  <c r="H981" i="6" s="1"/>
  <c r="G980" i="6"/>
  <c r="H980" i="6" s="1"/>
  <c r="G979" i="6"/>
  <c r="H979" i="6" s="1"/>
  <c r="G978" i="6"/>
  <c r="H978" i="6" s="1"/>
  <c r="G977" i="6"/>
  <c r="H977" i="6" s="1"/>
  <c r="G976" i="6"/>
  <c r="H976" i="6" s="1"/>
  <c r="G975" i="6"/>
  <c r="H975" i="6" s="1"/>
  <c r="G974" i="6"/>
  <c r="H974" i="6" s="1"/>
  <c r="G973" i="6"/>
  <c r="H973" i="6" s="1"/>
  <c r="G972" i="6"/>
  <c r="H972" i="6" s="1"/>
  <c r="G971" i="6"/>
  <c r="H971" i="6" s="1"/>
  <c r="G970" i="6"/>
  <c r="H970" i="6" s="1"/>
  <c r="G969" i="6"/>
  <c r="H969" i="6" s="1"/>
  <c r="G968" i="6"/>
  <c r="H968" i="6" s="1"/>
  <c r="G967" i="6"/>
  <c r="H967" i="6" s="1"/>
  <c r="G966" i="6"/>
  <c r="H966" i="6" s="1"/>
  <c r="G965" i="6"/>
  <c r="H965" i="6" s="1"/>
  <c r="G964" i="6"/>
  <c r="H964" i="6" s="1"/>
  <c r="G963" i="6"/>
  <c r="H963" i="6" s="1"/>
  <c r="G962" i="6"/>
  <c r="H962" i="6" s="1"/>
  <c r="G961" i="6"/>
  <c r="H961" i="6" s="1"/>
  <c r="G960" i="6"/>
  <c r="H960" i="6" s="1"/>
  <c r="G959" i="6"/>
  <c r="H959" i="6" s="1"/>
  <c r="G958" i="6"/>
  <c r="H958" i="6" s="1"/>
  <c r="G957" i="6"/>
  <c r="H957" i="6" s="1"/>
  <c r="G956" i="6"/>
  <c r="H956" i="6" s="1"/>
  <c r="G955" i="6"/>
  <c r="H955" i="6" s="1"/>
  <c r="G954" i="6"/>
  <c r="H954" i="6" s="1"/>
  <c r="G953" i="6"/>
  <c r="H953" i="6" s="1"/>
  <c r="G952" i="6"/>
  <c r="H952" i="6" s="1"/>
  <c r="G951" i="6"/>
  <c r="H951" i="6" s="1"/>
  <c r="G950" i="6"/>
  <c r="H950" i="6" s="1"/>
  <c r="G949" i="6"/>
  <c r="H949" i="6" s="1"/>
  <c r="G948" i="6"/>
  <c r="H948" i="6" s="1"/>
  <c r="G947" i="6"/>
  <c r="H947" i="6" s="1"/>
  <c r="G946" i="6"/>
  <c r="H946" i="6" s="1"/>
  <c r="G945" i="6"/>
  <c r="H945" i="6" s="1"/>
  <c r="G944" i="6"/>
  <c r="H944" i="6" s="1"/>
  <c r="G943" i="6"/>
  <c r="H943" i="6" s="1"/>
  <c r="G942" i="6"/>
  <c r="H942" i="6" s="1"/>
  <c r="G941" i="6"/>
  <c r="H941" i="6" s="1"/>
  <c r="G940" i="6"/>
  <c r="H940" i="6" s="1"/>
  <c r="G939" i="6"/>
  <c r="H939" i="6" s="1"/>
  <c r="G938" i="6"/>
  <c r="H938" i="6" s="1"/>
  <c r="G937" i="6"/>
  <c r="H937" i="6" s="1"/>
  <c r="G936" i="6"/>
  <c r="H936" i="6" s="1"/>
  <c r="G935" i="6"/>
  <c r="H935" i="6" s="1"/>
  <c r="G934" i="6"/>
  <c r="H934" i="6" s="1"/>
  <c r="G933" i="6"/>
  <c r="H933" i="6" s="1"/>
  <c r="G932" i="6"/>
  <c r="H932" i="6" s="1"/>
  <c r="G931" i="6"/>
  <c r="H931" i="6" s="1"/>
  <c r="G930" i="6"/>
  <c r="H930" i="6" s="1"/>
  <c r="G929" i="6"/>
  <c r="H929" i="6" s="1"/>
  <c r="G928" i="6"/>
  <c r="H928" i="6" s="1"/>
  <c r="G927" i="6"/>
  <c r="H927" i="6" s="1"/>
  <c r="G926" i="6"/>
  <c r="H926" i="6" s="1"/>
  <c r="G925" i="6"/>
  <c r="H925" i="6" s="1"/>
  <c r="G924" i="6"/>
  <c r="H924" i="6" s="1"/>
  <c r="G923" i="6"/>
  <c r="H923" i="6" s="1"/>
  <c r="G922" i="6"/>
  <c r="H922" i="6" s="1"/>
  <c r="G921" i="6"/>
  <c r="H921" i="6" s="1"/>
  <c r="G920" i="6"/>
  <c r="H920" i="6" s="1"/>
  <c r="G919" i="6"/>
  <c r="H919" i="6" s="1"/>
  <c r="G918" i="6"/>
  <c r="H918" i="6" s="1"/>
  <c r="G917" i="6"/>
  <c r="H917" i="6" s="1"/>
  <c r="G916" i="6"/>
  <c r="H916" i="6" s="1"/>
  <c r="G915" i="6"/>
  <c r="H915" i="6" s="1"/>
  <c r="G914" i="6"/>
  <c r="H914" i="6" s="1"/>
  <c r="G913" i="6"/>
  <c r="H913" i="6" s="1"/>
  <c r="G912" i="6"/>
  <c r="H912" i="6" s="1"/>
  <c r="G911" i="6"/>
  <c r="H911" i="6" s="1"/>
  <c r="G910" i="6"/>
  <c r="H910" i="6" s="1"/>
  <c r="G909" i="6"/>
  <c r="H909" i="6" s="1"/>
  <c r="G908" i="6"/>
  <c r="H908" i="6" s="1"/>
  <c r="G907" i="6"/>
  <c r="H907" i="6" s="1"/>
  <c r="G906" i="6"/>
  <c r="H906" i="6" s="1"/>
  <c r="G905" i="6"/>
  <c r="H905" i="6" s="1"/>
  <c r="G904" i="6"/>
  <c r="H904" i="6" s="1"/>
  <c r="G903" i="6"/>
  <c r="H903" i="6" s="1"/>
  <c r="G902" i="6"/>
  <c r="H902" i="6" s="1"/>
  <c r="G901" i="6"/>
  <c r="H901" i="6" s="1"/>
  <c r="G900" i="6"/>
  <c r="H900" i="6" s="1"/>
  <c r="G899" i="6"/>
  <c r="H899" i="6" s="1"/>
  <c r="G898" i="6"/>
  <c r="H898" i="6" s="1"/>
  <c r="G897" i="6"/>
  <c r="H897" i="6" s="1"/>
  <c r="G896" i="6"/>
  <c r="H896" i="6" s="1"/>
  <c r="G895" i="6"/>
  <c r="H895" i="6" s="1"/>
  <c r="G894" i="6"/>
  <c r="H894" i="6" s="1"/>
  <c r="G893" i="6"/>
  <c r="H893" i="6" s="1"/>
  <c r="G892" i="6"/>
  <c r="H892" i="6" s="1"/>
  <c r="G891" i="6"/>
  <c r="H891" i="6" s="1"/>
  <c r="G890" i="6"/>
  <c r="H890" i="6" s="1"/>
  <c r="G889" i="6"/>
  <c r="H889" i="6" s="1"/>
  <c r="G888" i="6"/>
  <c r="H888" i="6" s="1"/>
  <c r="G887" i="6"/>
  <c r="H887" i="6" s="1"/>
  <c r="G886" i="6"/>
  <c r="H886" i="6" s="1"/>
  <c r="G885" i="6"/>
  <c r="H885" i="6" s="1"/>
  <c r="G884" i="6"/>
  <c r="H884" i="6" s="1"/>
  <c r="G883" i="6"/>
  <c r="H883" i="6" s="1"/>
  <c r="G882" i="6"/>
  <c r="H882" i="6" s="1"/>
  <c r="G881" i="6"/>
  <c r="H881" i="6" s="1"/>
  <c r="G880" i="6"/>
  <c r="H880" i="6" s="1"/>
  <c r="G879" i="6"/>
  <c r="H879" i="6" s="1"/>
  <c r="G878" i="6"/>
  <c r="H878" i="6" s="1"/>
  <c r="G877" i="6"/>
  <c r="H877" i="6" s="1"/>
  <c r="G876" i="6"/>
  <c r="H876" i="6" s="1"/>
  <c r="G875" i="6"/>
  <c r="H875" i="6" s="1"/>
  <c r="G874" i="6"/>
  <c r="H874" i="6" s="1"/>
  <c r="G873" i="6"/>
  <c r="H873" i="6" s="1"/>
  <c r="G872" i="6"/>
  <c r="H872" i="6" s="1"/>
  <c r="G871" i="6"/>
  <c r="H871" i="6" s="1"/>
  <c r="G870" i="6"/>
  <c r="H870" i="6" s="1"/>
  <c r="G869" i="6"/>
  <c r="H869" i="6" s="1"/>
  <c r="G868" i="6"/>
  <c r="H868" i="6" s="1"/>
  <c r="G867" i="6"/>
  <c r="H867" i="6" s="1"/>
  <c r="G866" i="6"/>
  <c r="H866" i="6" s="1"/>
  <c r="G865" i="6"/>
  <c r="H865" i="6" s="1"/>
  <c r="G864" i="6"/>
  <c r="H864" i="6" s="1"/>
  <c r="G863" i="6"/>
  <c r="H863" i="6" s="1"/>
  <c r="G862" i="6"/>
  <c r="H862" i="6" s="1"/>
  <c r="G861" i="6"/>
  <c r="H861" i="6" s="1"/>
  <c r="G860" i="6"/>
  <c r="H860" i="6" s="1"/>
  <c r="G859" i="6"/>
  <c r="H859" i="6" s="1"/>
  <c r="G858" i="6"/>
  <c r="H858" i="6" s="1"/>
  <c r="G857" i="6"/>
  <c r="H857" i="6" s="1"/>
  <c r="G856" i="6"/>
  <c r="H856" i="6" s="1"/>
  <c r="G855" i="6"/>
  <c r="H855" i="6" s="1"/>
  <c r="G854" i="6"/>
  <c r="H854" i="6" s="1"/>
  <c r="G853" i="6"/>
  <c r="H853" i="6" s="1"/>
  <c r="G852" i="6"/>
  <c r="H852" i="6" s="1"/>
  <c r="G851" i="6"/>
  <c r="H851" i="6" s="1"/>
  <c r="G850" i="6"/>
  <c r="H850" i="6" s="1"/>
  <c r="G849" i="6"/>
  <c r="H849" i="6" s="1"/>
  <c r="G848" i="6"/>
  <c r="H848" i="6" s="1"/>
  <c r="G847" i="6"/>
  <c r="H847" i="6" s="1"/>
  <c r="G846" i="6"/>
  <c r="H846" i="6" s="1"/>
  <c r="G845" i="6"/>
  <c r="H845" i="6" s="1"/>
  <c r="G844" i="6"/>
  <c r="H844" i="6" s="1"/>
  <c r="G843" i="6"/>
  <c r="H843" i="6" s="1"/>
  <c r="G842" i="6"/>
  <c r="H842" i="6" s="1"/>
  <c r="G841" i="6"/>
  <c r="H841" i="6" s="1"/>
  <c r="G840" i="6"/>
  <c r="H840" i="6" s="1"/>
  <c r="G839" i="6"/>
  <c r="H839" i="6" s="1"/>
  <c r="G838" i="6"/>
  <c r="H838" i="6" s="1"/>
  <c r="G837" i="6"/>
  <c r="H837" i="6" s="1"/>
  <c r="G836" i="6"/>
  <c r="H836" i="6" s="1"/>
  <c r="G835" i="6"/>
  <c r="H835" i="6" s="1"/>
  <c r="G834" i="6"/>
  <c r="H834" i="6" s="1"/>
  <c r="G833" i="6"/>
  <c r="H833" i="6" s="1"/>
  <c r="G832" i="6"/>
  <c r="H832" i="6" s="1"/>
  <c r="G831" i="6"/>
  <c r="H831" i="6" s="1"/>
  <c r="G830" i="6"/>
  <c r="H830" i="6" s="1"/>
  <c r="G829" i="6"/>
  <c r="H829" i="6" s="1"/>
  <c r="G828" i="6"/>
  <c r="H828" i="6" s="1"/>
  <c r="G827" i="6"/>
  <c r="H827" i="6" s="1"/>
  <c r="G826" i="6"/>
  <c r="H826" i="6" s="1"/>
  <c r="G825" i="6"/>
  <c r="H825" i="6" s="1"/>
  <c r="G824" i="6"/>
  <c r="H824" i="6" s="1"/>
  <c r="G823" i="6"/>
  <c r="H823" i="6" s="1"/>
  <c r="G822" i="6"/>
  <c r="H822" i="6" s="1"/>
  <c r="G821" i="6"/>
  <c r="H821" i="6" s="1"/>
  <c r="G820" i="6"/>
  <c r="H820" i="6" s="1"/>
  <c r="G819" i="6"/>
  <c r="H819" i="6" s="1"/>
  <c r="G818" i="6"/>
  <c r="H818" i="6" s="1"/>
  <c r="G817" i="6"/>
  <c r="H817" i="6" s="1"/>
  <c r="G816" i="6"/>
  <c r="H816" i="6" s="1"/>
  <c r="G815" i="6"/>
  <c r="H815" i="6" s="1"/>
  <c r="G814" i="6"/>
  <c r="H814" i="6" s="1"/>
  <c r="G813" i="6"/>
  <c r="H813" i="6" s="1"/>
  <c r="G812" i="6"/>
  <c r="H812" i="6" s="1"/>
  <c r="G811" i="6"/>
  <c r="H811" i="6" s="1"/>
  <c r="G810" i="6"/>
  <c r="H810" i="6" s="1"/>
  <c r="G809" i="6"/>
  <c r="H809" i="6" s="1"/>
  <c r="G808" i="6"/>
  <c r="H808" i="6" s="1"/>
  <c r="G807" i="6"/>
  <c r="H807" i="6" s="1"/>
  <c r="G806" i="6"/>
  <c r="H806" i="6" s="1"/>
  <c r="G805" i="6"/>
  <c r="H805" i="6" s="1"/>
  <c r="G804" i="6"/>
  <c r="H804" i="6" s="1"/>
  <c r="G803" i="6"/>
  <c r="H803" i="6" s="1"/>
  <c r="G802" i="6"/>
  <c r="H802" i="6" s="1"/>
  <c r="G801" i="6"/>
  <c r="H801" i="6" s="1"/>
  <c r="G800" i="6"/>
  <c r="H800" i="6" s="1"/>
  <c r="G799" i="6"/>
  <c r="H799" i="6" s="1"/>
  <c r="G798" i="6"/>
  <c r="H798" i="6" s="1"/>
  <c r="G797" i="6"/>
  <c r="H797" i="6" s="1"/>
  <c r="G796" i="6"/>
  <c r="H796" i="6" s="1"/>
  <c r="G795" i="6"/>
  <c r="H795" i="6" s="1"/>
  <c r="G794" i="6"/>
  <c r="H794" i="6" s="1"/>
  <c r="G793" i="6"/>
  <c r="H793" i="6" s="1"/>
  <c r="G792" i="6"/>
  <c r="H792" i="6" s="1"/>
  <c r="G791" i="6"/>
  <c r="H791" i="6" s="1"/>
  <c r="G790" i="6"/>
  <c r="H790" i="6" s="1"/>
  <c r="G789" i="6"/>
  <c r="H789" i="6" s="1"/>
  <c r="G788" i="6"/>
  <c r="H788" i="6" s="1"/>
  <c r="G787" i="6"/>
  <c r="H787" i="6" s="1"/>
  <c r="G786" i="6"/>
  <c r="H786" i="6" s="1"/>
  <c r="G785" i="6"/>
  <c r="H785" i="6" s="1"/>
  <c r="G784" i="6"/>
  <c r="H784" i="6" s="1"/>
  <c r="G783" i="6"/>
  <c r="H783" i="6" s="1"/>
  <c r="G782" i="6"/>
  <c r="H782" i="6" s="1"/>
  <c r="G781" i="6"/>
  <c r="H781" i="6" s="1"/>
  <c r="G780" i="6"/>
  <c r="H780" i="6" s="1"/>
  <c r="G779" i="6"/>
  <c r="H779" i="6" s="1"/>
  <c r="G778" i="6"/>
  <c r="H778" i="6" s="1"/>
  <c r="G777" i="6"/>
  <c r="H777" i="6" s="1"/>
  <c r="G776" i="6"/>
  <c r="H776" i="6" s="1"/>
  <c r="G775" i="6"/>
  <c r="H775" i="6" s="1"/>
  <c r="G774" i="6"/>
  <c r="H774" i="6" s="1"/>
  <c r="G773" i="6"/>
  <c r="H773" i="6" s="1"/>
  <c r="G772" i="6"/>
  <c r="H772" i="6" s="1"/>
  <c r="G771" i="6"/>
  <c r="H771" i="6" s="1"/>
  <c r="G770" i="6"/>
  <c r="H770" i="6" s="1"/>
  <c r="G769" i="6"/>
  <c r="H769" i="6" s="1"/>
  <c r="G768" i="6"/>
  <c r="H768" i="6" s="1"/>
  <c r="G767" i="6"/>
  <c r="H767" i="6" s="1"/>
  <c r="G766" i="6"/>
  <c r="H766" i="6" s="1"/>
  <c r="G765" i="6"/>
  <c r="H765" i="6" s="1"/>
  <c r="G764" i="6"/>
  <c r="H764" i="6" s="1"/>
  <c r="G763" i="6"/>
  <c r="H763" i="6" s="1"/>
  <c r="G762" i="6"/>
  <c r="H762" i="6" s="1"/>
  <c r="G761" i="6"/>
  <c r="H761" i="6" s="1"/>
  <c r="G760" i="6"/>
  <c r="H760" i="6" s="1"/>
  <c r="G759" i="6"/>
  <c r="H759" i="6" s="1"/>
  <c r="G758" i="6"/>
  <c r="H758" i="6" s="1"/>
  <c r="G757" i="6"/>
  <c r="H757" i="6" s="1"/>
  <c r="G756" i="6"/>
  <c r="H756" i="6" s="1"/>
  <c r="G755" i="6"/>
  <c r="H755" i="6" s="1"/>
  <c r="G754" i="6"/>
  <c r="H754" i="6" s="1"/>
  <c r="G753" i="6"/>
  <c r="H753" i="6" s="1"/>
  <c r="G752" i="6"/>
  <c r="H752" i="6" s="1"/>
  <c r="G751" i="6"/>
  <c r="H751" i="6" s="1"/>
  <c r="G750" i="6"/>
  <c r="H750" i="6" s="1"/>
  <c r="G749" i="6"/>
  <c r="H749" i="6" s="1"/>
  <c r="G748" i="6"/>
  <c r="H748" i="6" s="1"/>
  <c r="G747" i="6"/>
  <c r="H747" i="6" s="1"/>
  <c r="G746" i="6"/>
  <c r="H746" i="6" s="1"/>
  <c r="G745" i="6"/>
  <c r="H745" i="6" s="1"/>
  <c r="G744" i="6"/>
  <c r="H744" i="6" s="1"/>
  <c r="G743" i="6"/>
  <c r="H743" i="6" s="1"/>
  <c r="G742" i="6"/>
  <c r="H742" i="6" s="1"/>
  <c r="G741" i="6"/>
  <c r="H741" i="6" s="1"/>
  <c r="G740" i="6"/>
  <c r="H740" i="6" s="1"/>
  <c r="G739" i="6"/>
  <c r="H739" i="6" s="1"/>
  <c r="G738" i="6"/>
  <c r="H738" i="6" s="1"/>
  <c r="G737" i="6"/>
  <c r="H737" i="6" s="1"/>
  <c r="G736" i="6"/>
  <c r="H736" i="6" s="1"/>
  <c r="G735" i="6"/>
  <c r="H735" i="6" s="1"/>
  <c r="G734" i="6"/>
  <c r="H734" i="6" s="1"/>
  <c r="G733" i="6"/>
  <c r="H733" i="6" s="1"/>
  <c r="G732" i="6"/>
  <c r="H732" i="6" s="1"/>
  <c r="G731" i="6"/>
  <c r="H731" i="6" s="1"/>
  <c r="G730" i="6"/>
  <c r="H730" i="6" s="1"/>
  <c r="G729" i="6"/>
  <c r="H729" i="6" s="1"/>
  <c r="G728" i="6"/>
  <c r="H728" i="6" s="1"/>
  <c r="G727" i="6"/>
  <c r="H727" i="6" s="1"/>
  <c r="G726" i="6"/>
  <c r="H726" i="6" s="1"/>
  <c r="G725" i="6"/>
  <c r="H725" i="6" s="1"/>
  <c r="G724" i="6"/>
  <c r="H724" i="6" s="1"/>
  <c r="G723" i="6"/>
  <c r="H723" i="6" s="1"/>
  <c r="G722" i="6"/>
  <c r="H722" i="6" s="1"/>
  <c r="G721" i="6"/>
  <c r="H721" i="6" s="1"/>
  <c r="G720" i="6"/>
  <c r="H720" i="6" s="1"/>
  <c r="G719" i="6"/>
  <c r="H719" i="6" s="1"/>
  <c r="G718" i="6"/>
  <c r="H718" i="6" s="1"/>
  <c r="G717" i="6"/>
  <c r="H717" i="6" s="1"/>
  <c r="G716" i="6"/>
  <c r="H716" i="6" s="1"/>
  <c r="G715" i="6"/>
  <c r="H715" i="6" s="1"/>
  <c r="G714" i="6"/>
  <c r="H714" i="6" s="1"/>
  <c r="G713" i="6"/>
  <c r="H713" i="6" s="1"/>
  <c r="G712" i="6"/>
  <c r="H712" i="6" s="1"/>
  <c r="G711" i="6"/>
  <c r="H711" i="6" s="1"/>
  <c r="G710" i="6"/>
  <c r="H710" i="6" s="1"/>
  <c r="G709" i="6"/>
  <c r="H709" i="6" s="1"/>
  <c r="G708" i="6"/>
  <c r="H708" i="6" s="1"/>
  <c r="G707" i="6"/>
  <c r="H707" i="6" s="1"/>
  <c r="G706" i="6"/>
  <c r="H706" i="6" s="1"/>
  <c r="G705" i="6"/>
  <c r="H705" i="6" s="1"/>
  <c r="G704" i="6"/>
  <c r="H704" i="6" s="1"/>
  <c r="G703" i="6"/>
  <c r="H703" i="6" s="1"/>
  <c r="G702" i="6"/>
  <c r="H702" i="6" s="1"/>
  <c r="G701" i="6"/>
  <c r="H701" i="6" s="1"/>
  <c r="G700" i="6"/>
  <c r="H700" i="6" s="1"/>
  <c r="G699" i="6"/>
  <c r="H699" i="6" s="1"/>
  <c r="G698" i="6"/>
  <c r="H698" i="6" s="1"/>
  <c r="G697" i="6"/>
  <c r="H697" i="6" s="1"/>
  <c r="G696" i="6"/>
  <c r="H696" i="6" s="1"/>
  <c r="G695" i="6"/>
  <c r="H695" i="6" s="1"/>
  <c r="G694" i="6"/>
  <c r="H694" i="6" s="1"/>
  <c r="G693" i="6"/>
  <c r="H693" i="6" s="1"/>
  <c r="G692" i="6"/>
  <c r="H692" i="6" s="1"/>
  <c r="G691" i="6"/>
  <c r="H691" i="6" s="1"/>
  <c r="G690" i="6"/>
  <c r="H690" i="6" s="1"/>
  <c r="G689" i="6"/>
  <c r="H689" i="6" s="1"/>
  <c r="G688" i="6"/>
  <c r="H688" i="6" s="1"/>
  <c r="G687" i="6"/>
  <c r="H687" i="6" s="1"/>
  <c r="G686" i="6"/>
  <c r="H686" i="6" s="1"/>
  <c r="G685" i="6"/>
  <c r="H685" i="6" s="1"/>
  <c r="G684" i="6"/>
  <c r="H684" i="6" s="1"/>
  <c r="G683" i="6"/>
  <c r="H683" i="6" s="1"/>
  <c r="G682" i="6"/>
  <c r="H682" i="6" s="1"/>
  <c r="G681" i="6"/>
  <c r="H681" i="6" s="1"/>
  <c r="G680" i="6"/>
  <c r="H680" i="6" s="1"/>
  <c r="G679" i="6"/>
  <c r="H679" i="6" s="1"/>
  <c r="G678" i="6"/>
  <c r="H678" i="6" s="1"/>
  <c r="G677" i="6"/>
  <c r="H677" i="6" s="1"/>
  <c r="G676" i="6"/>
  <c r="H676" i="6" s="1"/>
  <c r="G675" i="6"/>
  <c r="H675" i="6" s="1"/>
  <c r="G674" i="6"/>
  <c r="H674" i="6" s="1"/>
  <c r="G673" i="6"/>
  <c r="H673" i="6" s="1"/>
  <c r="G672" i="6"/>
  <c r="H672" i="6" s="1"/>
  <c r="G671" i="6"/>
  <c r="H671" i="6" s="1"/>
  <c r="G670" i="6"/>
  <c r="H670" i="6" s="1"/>
  <c r="G669" i="6"/>
  <c r="H669" i="6" s="1"/>
  <c r="G668" i="6"/>
  <c r="H668" i="6" s="1"/>
  <c r="G667" i="6"/>
  <c r="H667" i="6" s="1"/>
  <c r="G666" i="6"/>
  <c r="H666" i="6" s="1"/>
  <c r="G665" i="6"/>
  <c r="H665" i="6" s="1"/>
  <c r="G664" i="6"/>
  <c r="H664" i="6" s="1"/>
  <c r="G663" i="6"/>
  <c r="H663" i="6" s="1"/>
  <c r="G662" i="6"/>
  <c r="H662" i="6" s="1"/>
  <c r="G661" i="6"/>
  <c r="H661" i="6" s="1"/>
  <c r="G660" i="6"/>
  <c r="H660" i="6" s="1"/>
  <c r="G659" i="6"/>
  <c r="H659" i="6" s="1"/>
  <c r="G658" i="6"/>
  <c r="H658" i="6" s="1"/>
  <c r="G657" i="6"/>
  <c r="H657" i="6" s="1"/>
  <c r="G656" i="6"/>
  <c r="H656" i="6" s="1"/>
  <c r="G655" i="6"/>
  <c r="H655" i="6" s="1"/>
  <c r="G654" i="6"/>
  <c r="H654" i="6" s="1"/>
  <c r="G653" i="6"/>
  <c r="H653" i="6" s="1"/>
  <c r="G652" i="6"/>
  <c r="H652" i="6" s="1"/>
  <c r="G651" i="6"/>
  <c r="H651" i="6" s="1"/>
  <c r="G650" i="6"/>
  <c r="H650" i="6" s="1"/>
  <c r="G649" i="6"/>
  <c r="H649" i="6" s="1"/>
  <c r="G648" i="6"/>
  <c r="H648" i="6" s="1"/>
  <c r="G647" i="6"/>
  <c r="H647" i="6" s="1"/>
  <c r="G646" i="6"/>
  <c r="H646" i="6" s="1"/>
  <c r="G645" i="6"/>
  <c r="H645" i="6" s="1"/>
  <c r="G644" i="6"/>
  <c r="H644" i="6" s="1"/>
  <c r="G643" i="6"/>
  <c r="H643" i="6" s="1"/>
  <c r="G642" i="6"/>
  <c r="H642" i="6" s="1"/>
  <c r="G641" i="6"/>
  <c r="H641" i="6" s="1"/>
  <c r="G640" i="6"/>
  <c r="H640" i="6" s="1"/>
  <c r="G639" i="6"/>
  <c r="H639" i="6" s="1"/>
  <c r="G638" i="6"/>
  <c r="H638" i="6" s="1"/>
  <c r="G637" i="6"/>
  <c r="H637" i="6" s="1"/>
  <c r="G636" i="6"/>
  <c r="H636" i="6" s="1"/>
  <c r="G635" i="6"/>
  <c r="H635" i="6" s="1"/>
  <c r="G634" i="6"/>
  <c r="H634" i="6" s="1"/>
  <c r="G633" i="6"/>
  <c r="H633" i="6" s="1"/>
  <c r="G632" i="6"/>
  <c r="H632" i="6" s="1"/>
  <c r="G631" i="6"/>
  <c r="H631" i="6" s="1"/>
  <c r="G630" i="6"/>
  <c r="H630" i="6" s="1"/>
  <c r="G629" i="6"/>
  <c r="H629" i="6" s="1"/>
  <c r="G628" i="6"/>
  <c r="H628" i="6" s="1"/>
  <c r="G627" i="6"/>
  <c r="H627" i="6" s="1"/>
  <c r="G626" i="6"/>
  <c r="H626" i="6" s="1"/>
  <c r="G625" i="6"/>
  <c r="H625" i="6" s="1"/>
  <c r="G624" i="6"/>
  <c r="H624" i="6" s="1"/>
  <c r="G623" i="6"/>
  <c r="H623" i="6" s="1"/>
  <c r="G622" i="6"/>
  <c r="H622" i="6" s="1"/>
  <c r="G621" i="6"/>
  <c r="H621" i="6" s="1"/>
  <c r="G620" i="6"/>
  <c r="H620" i="6" s="1"/>
  <c r="G619" i="6"/>
  <c r="H619" i="6" s="1"/>
  <c r="G618" i="6"/>
  <c r="H618" i="6" s="1"/>
  <c r="G617" i="6"/>
  <c r="H617" i="6" s="1"/>
  <c r="G616" i="6"/>
  <c r="H616" i="6" s="1"/>
  <c r="G615" i="6"/>
  <c r="H615" i="6" s="1"/>
  <c r="G614" i="6"/>
  <c r="H614" i="6" s="1"/>
  <c r="G613" i="6"/>
  <c r="H613" i="6" s="1"/>
  <c r="G612" i="6"/>
  <c r="H612" i="6" s="1"/>
  <c r="G611" i="6"/>
  <c r="H611" i="6" s="1"/>
  <c r="G610" i="6"/>
  <c r="H610" i="6" s="1"/>
  <c r="G609" i="6"/>
  <c r="H609" i="6" s="1"/>
  <c r="G608" i="6"/>
  <c r="H608" i="6" s="1"/>
  <c r="G607" i="6"/>
  <c r="H607" i="6" s="1"/>
  <c r="G606" i="6"/>
  <c r="H606" i="6" s="1"/>
  <c r="G605" i="6"/>
  <c r="H605" i="6" s="1"/>
  <c r="G604" i="6"/>
  <c r="H604" i="6" s="1"/>
  <c r="G603" i="6"/>
  <c r="H603" i="6" s="1"/>
  <c r="G602" i="6"/>
  <c r="H602" i="6" s="1"/>
  <c r="G601" i="6"/>
  <c r="H601" i="6" s="1"/>
  <c r="G600" i="6"/>
  <c r="H600" i="6" s="1"/>
  <c r="G599" i="6"/>
  <c r="H599" i="6" s="1"/>
  <c r="G598" i="6"/>
  <c r="H598" i="6" s="1"/>
  <c r="G597" i="6"/>
  <c r="H597" i="6" s="1"/>
  <c r="G596" i="6"/>
  <c r="H596" i="6" s="1"/>
  <c r="G595" i="6"/>
  <c r="H595" i="6" s="1"/>
  <c r="G594" i="6"/>
  <c r="H594" i="6" s="1"/>
  <c r="G593" i="6"/>
  <c r="H593" i="6" s="1"/>
  <c r="G592" i="6"/>
  <c r="H592" i="6" s="1"/>
  <c r="G591" i="6"/>
  <c r="H591" i="6" s="1"/>
  <c r="G590" i="6"/>
  <c r="H590" i="6" s="1"/>
  <c r="G589" i="6"/>
  <c r="H589" i="6" s="1"/>
  <c r="G588" i="6"/>
  <c r="H588" i="6" s="1"/>
  <c r="G587" i="6"/>
  <c r="H587" i="6" s="1"/>
  <c r="G586" i="6"/>
  <c r="H586" i="6" s="1"/>
  <c r="G585" i="6"/>
  <c r="H585" i="6" s="1"/>
  <c r="G584" i="6"/>
  <c r="H584" i="6" s="1"/>
  <c r="G583" i="6"/>
  <c r="H583" i="6" s="1"/>
  <c r="G582" i="6"/>
  <c r="H582" i="6" s="1"/>
  <c r="G581" i="6"/>
  <c r="H581" i="6" s="1"/>
  <c r="G580" i="6"/>
  <c r="H580" i="6" s="1"/>
  <c r="G579" i="6"/>
  <c r="H579" i="6" s="1"/>
  <c r="G578" i="6"/>
  <c r="H578" i="6" s="1"/>
  <c r="G577" i="6"/>
  <c r="H577" i="6" s="1"/>
  <c r="G576" i="6"/>
  <c r="H576" i="6" s="1"/>
  <c r="G575" i="6"/>
  <c r="H575" i="6" s="1"/>
  <c r="G574" i="6"/>
  <c r="H574" i="6" s="1"/>
  <c r="G573" i="6"/>
  <c r="H573" i="6" s="1"/>
  <c r="G572" i="6"/>
  <c r="H572" i="6" s="1"/>
  <c r="G571" i="6"/>
  <c r="H571" i="6" s="1"/>
  <c r="G570" i="6"/>
  <c r="H570" i="6" s="1"/>
  <c r="G569" i="6"/>
  <c r="H569" i="6" s="1"/>
  <c r="G568" i="6"/>
  <c r="H568" i="6" s="1"/>
  <c r="G567" i="6"/>
  <c r="H567" i="6" s="1"/>
  <c r="G566" i="6"/>
  <c r="H566" i="6" s="1"/>
  <c r="G565" i="6"/>
  <c r="H565" i="6" s="1"/>
  <c r="G564" i="6"/>
  <c r="H564" i="6" s="1"/>
  <c r="G563" i="6"/>
  <c r="H563" i="6" s="1"/>
  <c r="G562" i="6"/>
  <c r="H562" i="6" s="1"/>
  <c r="G561" i="6"/>
  <c r="H561" i="6" s="1"/>
  <c r="G560" i="6"/>
  <c r="H560" i="6" s="1"/>
  <c r="G559" i="6"/>
  <c r="H559" i="6" s="1"/>
  <c r="G558" i="6"/>
  <c r="H558" i="6" s="1"/>
  <c r="G557" i="6"/>
  <c r="H557" i="6" s="1"/>
  <c r="G556" i="6"/>
  <c r="H556" i="6" s="1"/>
  <c r="G555" i="6"/>
  <c r="H555" i="6" s="1"/>
  <c r="G554" i="6"/>
  <c r="H554" i="6" s="1"/>
  <c r="G553" i="6"/>
  <c r="H553" i="6" s="1"/>
  <c r="G552" i="6"/>
  <c r="H552" i="6" s="1"/>
  <c r="G551" i="6"/>
  <c r="H551" i="6" s="1"/>
  <c r="G550" i="6"/>
  <c r="H550" i="6" s="1"/>
  <c r="G549" i="6"/>
  <c r="H549" i="6" s="1"/>
  <c r="G548" i="6"/>
  <c r="H548" i="6" s="1"/>
  <c r="G547" i="6"/>
  <c r="H547" i="6" s="1"/>
  <c r="G546" i="6"/>
  <c r="H546" i="6" s="1"/>
  <c r="G545" i="6"/>
  <c r="H545" i="6" s="1"/>
  <c r="G544" i="6"/>
  <c r="H544" i="6" s="1"/>
  <c r="G543" i="6"/>
  <c r="H543" i="6" s="1"/>
  <c r="G542" i="6"/>
  <c r="H542" i="6" s="1"/>
  <c r="G541" i="6"/>
  <c r="H541" i="6" s="1"/>
  <c r="G540" i="6"/>
  <c r="H540" i="6" s="1"/>
  <c r="G539" i="6"/>
  <c r="H539" i="6" s="1"/>
  <c r="G538" i="6"/>
  <c r="H538" i="6" s="1"/>
  <c r="G537" i="6"/>
  <c r="H537" i="6" s="1"/>
  <c r="G536" i="6"/>
  <c r="H536" i="6" s="1"/>
  <c r="G535" i="6"/>
  <c r="H535" i="6" s="1"/>
  <c r="G534" i="6"/>
  <c r="H534" i="6" s="1"/>
  <c r="G533" i="6"/>
  <c r="H533" i="6" s="1"/>
  <c r="G532" i="6"/>
  <c r="H532" i="6" s="1"/>
  <c r="G531" i="6"/>
  <c r="H531" i="6" s="1"/>
  <c r="G530" i="6"/>
  <c r="H530" i="6" s="1"/>
  <c r="G529" i="6"/>
  <c r="H529" i="6" s="1"/>
  <c r="G528" i="6"/>
  <c r="H528" i="6" s="1"/>
  <c r="G527" i="6"/>
  <c r="H527" i="6" s="1"/>
  <c r="G526" i="6"/>
  <c r="H526" i="6" s="1"/>
  <c r="G525" i="6"/>
  <c r="H525" i="6" s="1"/>
  <c r="G524" i="6"/>
  <c r="H524" i="6" s="1"/>
  <c r="G523" i="6"/>
  <c r="H523" i="6" s="1"/>
  <c r="G522" i="6"/>
  <c r="H522" i="6" s="1"/>
  <c r="G521" i="6"/>
  <c r="H521" i="6" s="1"/>
  <c r="G520" i="6"/>
  <c r="H520" i="6" s="1"/>
  <c r="G519" i="6"/>
  <c r="H519" i="6" s="1"/>
  <c r="G518" i="6"/>
  <c r="H518" i="6" s="1"/>
  <c r="G517" i="6"/>
  <c r="H517" i="6" s="1"/>
  <c r="G516" i="6"/>
  <c r="H516" i="6" s="1"/>
  <c r="G515" i="6"/>
  <c r="H515" i="6" s="1"/>
  <c r="G514" i="6"/>
  <c r="H514" i="6" s="1"/>
  <c r="G513" i="6"/>
  <c r="H513" i="6" s="1"/>
  <c r="G512" i="6"/>
  <c r="H512" i="6" s="1"/>
  <c r="G511" i="6"/>
  <c r="H511" i="6" s="1"/>
  <c r="G510" i="6"/>
  <c r="H510" i="6" s="1"/>
  <c r="G509" i="6"/>
  <c r="H509" i="6" s="1"/>
  <c r="G508" i="6"/>
  <c r="H508" i="6" s="1"/>
  <c r="G507" i="6"/>
  <c r="H507" i="6" s="1"/>
  <c r="G506" i="6"/>
  <c r="H506" i="6" s="1"/>
  <c r="G505" i="6"/>
  <c r="H505" i="6" s="1"/>
  <c r="G504" i="6"/>
  <c r="H504" i="6" s="1"/>
  <c r="G503" i="6"/>
  <c r="H503" i="6" s="1"/>
  <c r="G502" i="6"/>
  <c r="H502" i="6" s="1"/>
  <c r="G501" i="6"/>
  <c r="H501" i="6" s="1"/>
  <c r="G500" i="6"/>
  <c r="H500" i="6" s="1"/>
  <c r="G499" i="6"/>
  <c r="H499" i="6" s="1"/>
  <c r="G498" i="6"/>
  <c r="H498" i="6" s="1"/>
  <c r="G497" i="6"/>
  <c r="H497" i="6" s="1"/>
  <c r="G496" i="6"/>
  <c r="H496" i="6" s="1"/>
  <c r="G495" i="6"/>
  <c r="H495" i="6" s="1"/>
  <c r="G494" i="6"/>
  <c r="H494" i="6" s="1"/>
  <c r="G493" i="6"/>
  <c r="H493" i="6" s="1"/>
  <c r="G492" i="6"/>
  <c r="H492" i="6" s="1"/>
  <c r="G491" i="6"/>
  <c r="H491" i="6" s="1"/>
  <c r="G490" i="6"/>
  <c r="H490" i="6" s="1"/>
  <c r="G489" i="6"/>
  <c r="H489" i="6" s="1"/>
  <c r="G488" i="6"/>
  <c r="H488" i="6" s="1"/>
  <c r="G487" i="6"/>
  <c r="H487" i="6" s="1"/>
  <c r="G486" i="6"/>
  <c r="H486" i="6" s="1"/>
  <c r="G485" i="6"/>
  <c r="H485" i="6" s="1"/>
  <c r="G484" i="6"/>
  <c r="H484" i="6" s="1"/>
  <c r="G483" i="6"/>
  <c r="H483" i="6" s="1"/>
  <c r="G482" i="6"/>
  <c r="H482" i="6" s="1"/>
  <c r="G481" i="6"/>
  <c r="H481" i="6" s="1"/>
  <c r="G480" i="6"/>
  <c r="H480" i="6" s="1"/>
  <c r="G479" i="6"/>
  <c r="H479" i="6" s="1"/>
  <c r="G478" i="6"/>
  <c r="H478" i="6" s="1"/>
  <c r="G477" i="6"/>
  <c r="H477" i="6" s="1"/>
  <c r="G476" i="6"/>
  <c r="H476" i="6" s="1"/>
  <c r="G475" i="6"/>
  <c r="H475" i="6" s="1"/>
  <c r="G474" i="6"/>
  <c r="H474" i="6" s="1"/>
  <c r="G473" i="6"/>
  <c r="H473" i="6" s="1"/>
  <c r="G472" i="6"/>
  <c r="H472" i="6" s="1"/>
  <c r="G471" i="6"/>
  <c r="H471" i="6" s="1"/>
  <c r="G470" i="6"/>
  <c r="H470" i="6" s="1"/>
  <c r="G469" i="6"/>
  <c r="H469" i="6" s="1"/>
  <c r="G468" i="6"/>
  <c r="H468" i="6" s="1"/>
  <c r="G467" i="6"/>
  <c r="H467" i="6" s="1"/>
  <c r="G466" i="6"/>
  <c r="H466" i="6" s="1"/>
  <c r="G465" i="6"/>
  <c r="H465" i="6" s="1"/>
  <c r="G464" i="6"/>
  <c r="H464" i="6" s="1"/>
  <c r="G463" i="6"/>
  <c r="H463" i="6" s="1"/>
  <c r="G462" i="6"/>
  <c r="H462" i="6" s="1"/>
  <c r="G461" i="6"/>
  <c r="H461" i="6" s="1"/>
  <c r="G460" i="6"/>
  <c r="H460" i="6" s="1"/>
  <c r="G459" i="6"/>
  <c r="H459" i="6" s="1"/>
  <c r="G458" i="6"/>
  <c r="H458" i="6" s="1"/>
  <c r="G457" i="6"/>
  <c r="H457" i="6" s="1"/>
  <c r="G456" i="6"/>
  <c r="H456" i="6" s="1"/>
  <c r="G455" i="6"/>
  <c r="H455" i="6" s="1"/>
  <c r="G454" i="6"/>
  <c r="H454" i="6" s="1"/>
  <c r="G453" i="6"/>
  <c r="H453" i="6" s="1"/>
  <c r="G452" i="6"/>
  <c r="H452" i="6" s="1"/>
  <c r="G451" i="6"/>
  <c r="H451" i="6" s="1"/>
  <c r="G450" i="6"/>
  <c r="H450" i="6" s="1"/>
  <c r="G449" i="6"/>
  <c r="H449" i="6" s="1"/>
  <c r="G448" i="6"/>
  <c r="H448" i="6" s="1"/>
  <c r="G447" i="6"/>
  <c r="H447" i="6" s="1"/>
  <c r="G446" i="6"/>
  <c r="H446" i="6" s="1"/>
  <c r="G445" i="6"/>
  <c r="H445" i="6" s="1"/>
  <c r="G444" i="6"/>
  <c r="H444" i="6" s="1"/>
  <c r="G443" i="6"/>
  <c r="H443" i="6" s="1"/>
  <c r="G442" i="6"/>
  <c r="H442" i="6" s="1"/>
  <c r="G441" i="6"/>
  <c r="H441" i="6" s="1"/>
  <c r="G440" i="6"/>
  <c r="H440" i="6" s="1"/>
  <c r="G439" i="6"/>
  <c r="H439" i="6" s="1"/>
  <c r="G438" i="6"/>
  <c r="H438" i="6" s="1"/>
  <c r="G437" i="6"/>
  <c r="H437" i="6" s="1"/>
  <c r="G436" i="6"/>
  <c r="H436" i="6" s="1"/>
  <c r="G435" i="6"/>
  <c r="H435" i="6" s="1"/>
  <c r="G434" i="6"/>
  <c r="H434" i="6" s="1"/>
  <c r="G433" i="6"/>
  <c r="H433" i="6" s="1"/>
  <c r="G432" i="6"/>
  <c r="H432" i="6" s="1"/>
  <c r="G431" i="6"/>
  <c r="H431" i="6" s="1"/>
  <c r="G430" i="6"/>
  <c r="H430" i="6" s="1"/>
  <c r="G429" i="6"/>
  <c r="H429" i="6" s="1"/>
  <c r="G428" i="6"/>
  <c r="H428" i="6" s="1"/>
  <c r="G427" i="6"/>
  <c r="H427" i="6" s="1"/>
  <c r="G426" i="6"/>
  <c r="H426" i="6" s="1"/>
  <c r="G425" i="6"/>
  <c r="H425" i="6" s="1"/>
  <c r="G424" i="6"/>
  <c r="H424" i="6" s="1"/>
  <c r="G423" i="6"/>
  <c r="H423" i="6" s="1"/>
  <c r="G422" i="6"/>
  <c r="H422" i="6" s="1"/>
  <c r="G421" i="6"/>
  <c r="H421" i="6" s="1"/>
  <c r="G420" i="6"/>
  <c r="H420" i="6" s="1"/>
  <c r="G419" i="6"/>
  <c r="H419" i="6" s="1"/>
  <c r="G418" i="6"/>
  <c r="H418" i="6" s="1"/>
  <c r="G417" i="6"/>
  <c r="H417" i="6" s="1"/>
  <c r="G416" i="6"/>
  <c r="H416" i="6" s="1"/>
  <c r="G415" i="6"/>
  <c r="H415" i="6" s="1"/>
  <c r="G414" i="6"/>
  <c r="H414" i="6" s="1"/>
  <c r="G413" i="6"/>
  <c r="H413" i="6" s="1"/>
  <c r="G412" i="6"/>
  <c r="H412" i="6" s="1"/>
  <c r="G411" i="6"/>
  <c r="H411" i="6" s="1"/>
  <c r="G410" i="6"/>
  <c r="H410" i="6" s="1"/>
  <c r="G409" i="6"/>
  <c r="H409" i="6" s="1"/>
  <c r="G408" i="6"/>
  <c r="H408" i="6" s="1"/>
  <c r="G407" i="6"/>
  <c r="H407" i="6" s="1"/>
  <c r="G406" i="6"/>
  <c r="H406" i="6" s="1"/>
  <c r="G405" i="6"/>
  <c r="H405" i="6" s="1"/>
  <c r="G404" i="6"/>
  <c r="H404" i="6" s="1"/>
  <c r="G403" i="6"/>
  <c r="H403" i="6" s="1"/>
  <c r="G402" i="6"/>
  <c r="H402" i="6" s="1"/>
  <c r="G401" i="6"/>
  <c r="H401" i="6" s="1"/>
  <c r="G400" i="6"/>
  <c r="H400" i="6" s="1"/>
  <c r="G399" i="6"/>
  <c r="H399" i="6" s="1"/>
  <c r="G398" i="6"/>
  <c r="H398" i="6" s="1"/>
  <c r="G397" i="6"/>
  <c r="H397" i="6" s="1"/>
  <c r="G396" i="6"/>
  <c r="H396" i="6" s="1"/>
  <c r="G395" i="6"/>
  <c r="H395" i="6" s="1"/>
  <c r="G394" i="6"/>
  <c r="H394" i="6" s="1"/>
  <c r="G393" i="6"/>
  <c r="H393" i="6" s="1"/>
  <c r="G392" i="6"/>
  <c r="H392" i="6" s="1"/>
  <c r="G391" i="6"/>
  <c r="H391" i="6" s="1"/>
  <c r="G390" i="6"/>
  <c r="H390" i="6" s="1"/>
  <c r="G389" i="6"/>
  <c r="H389" i="6" s="1"/>
  <c r="G388" i="6"/>
  <c r="H388" i="6" s="1"/>
  <c r="G387" i="6"/>
  <c r="H387" i="6" s="1"/>
  <c r="G386" i="6"/>
  <c r="H386" i="6" s="1"/>
  <c r="G385" i="6"/>
  <c r="H385" i="6" s="1"/>
  <c r="G384" i="6"/>
  <c r="H384" i="6" s="1"/>
  <c r="G383" i="6"/>
  <c r="H383" i="6" s="1"/>
  <c r="G382" i="6"/>
  <c r="H382" i="6" s="1"/>
  <c r="G381" i="6"/>
  <c r="H381" i="6" s="1"/>
  <c r="G380" i="6"/>
  <c r="H380" i="6" s="1"/>
  <c r="G379" i="6"/>
  <c r="H379" i="6" s="1"/>
  <c r="G378" i="6"/>
  <c r="H378" i="6" s="1"/>
  <c r="G377" i="6"/>
  <c r="H377" i="6" s="1"/>
  <c r="G376" i="6"/>
  <c r="H376" i="6" s="1"/>
  <c r="G375" i="6"/>
  <c r="H375" i="6" s="1"/>
  <c r="G374" i="6"/>
  <c r="H374" i="6" s="1"/>
  <c r="G373" i="6"/>
  <c r="H373" i="6" s="1"/>
  <c r="G372" i="6"/>
  <c r="H372" i="6" s="1"/>
  <c r="G371" i="6"/>
  <c r="H371" i="6" s="1"/>
  <c r="G370" i="6"/>
  <c r="H370" i="6" s="1"/>
  <c r="G369" i="6"/>
  <c r="H369" i="6" s="1"/>
  <c r="G368" i="6"/>
  <c r="H368" i="6" s="1"/>
  <c r="G367" i="6"/>
  <c r="H367" i="6" s="1"/>
  <c r="G366" i="6"/>
  <c r="H366" i="6" s="1"/>
  <c r="G365" i="6"/>
  <c r="H365" i="6" s="1"/>
  <c r="G364" i="6"/>
  <c r="H364" i="6" s="1"/>
  <c r="G363" i="6"/>
  <c r="H363" i="6" s="1"/>
  <c r="G362" i="6"/>
  <c r="H362" i="6" s="1"/>
  <c r="G361" i="6"/>
  <c r="H361" i="6" s="1"/>
  <c r="G360" i="6"/>
  <c r="H360" i="6" s="1"/>
  <c r="G359" i="6"/>
  <c r="H359" i="6" s="1"/>
  <c r="G358" i="6"/>
  <c r="H358" i="6" s="1"/>
  <c r="G357" i="6"/>
  <c r="H357" i="6" s="1"/>
  <c r="G356" i="6"/>
  <c r="H356" i="6" s="1"/>
  <c r="G355" i="6"/>
  <c r="H355" i="6" s="1"/>
  <c r="G354" i="6"/>
  <c r="H354" i="6" s="1"/>
  <c r="G353" i="6"/>
  <c r="H353" i="6" s="1"/>
  <c r="G352" i="6"/>
  <c r="H352" i="6" s="1"/>
  <c r="G351" i="6"/>
  <c r="H351" i="6" s="1"/>
  <c r="G350" i="6"/>
  <c r="H350" i="6" s="1"/>
  <c r="G349" i="6"/>
  <c r="H349" i="6" s="1"/>
  <c r="G348" i="6"/>
  <c r="H348" i="6" s="1"/>
  <c r="G347" i="6"/>
  <c r="H347" i="6" s="1"/>
  <c r="G346" i="6"/>
  <c r="H346" i="6" s="1"/>
  <c r="G345" i="6"/>
  <c r="H345" i="6" s="1"/>
  <c r="G344" i="6"/>
  <c r="H344" i="6" s="1"/>
  <c r="G343" i="6"/>
  <c r="H343" i="6" s="1"/>
  <c r="G342" i="6"/>
  <c r="H342" i="6" s="1"/>
  <c r="G341" i="6"/>
  <c r="H341" i="6" s="1"/>
  <c r="G340" i="6"/>
  <c r="H340" i="6" s="1"/>
  <c r="G339" i="6"/>
  <c r="H339" i="6" s="1"/>
  <c r="G338" i="6"/>
  <c r="H338" i="6" s="1"/>
  <c r="G337" i="6"/>
  <c r="H337" i="6" s="1"/>
  <c r="G336" i="6"/>
  <c r="H336" i="6" s="1"/>
  <c r="G335" i="6"/>
  <c r="H335" i="6" s="1"/>
  <c r="G334" i="6"/>
  <c r="H334" i="6" s="1"/>
  <c r="G333" i="6"/>
  <c r="H333" i="6" s="1"/>
  <c r="G332" i="6"/>
  <c r="H332" i="6" s="1"/>
  <c r="G331" i="6"/>
  <c r="H331" i="6" s="1"/>
  <c r="G330" i="6"/>
  <c r="H330" i="6" s="1"/>
  <c r="G329" i="6"/>
  <c r="H329" i="6" s="1"/>
  <c r="G328" i="6"/>
  <c r="H328" i="6" s="1"/>
  <c r="G327" i="6"/>
  <c r="H327" i="6" s="1"/>
  <c r="G326" i="6"/>
  <c r="H326" i="6" s="1"/>
  <c r="G325" i="6"/>
  <c r="H325" i="6" s="1"/>
  <c r="G324" i="6"/>
  <c r="H324" i="6" s="1"/>
  <c r="G323" i="6"/>
  <c r="H323" i="6" s="1"/>
  <c r="G322" i="6"/>
  <c r="H322" i="6" s="1"/>
  <c r="G321" i="6"/>
  <c r="H321" i="6" s="1"/>
  <c r="G320" i="6"/>
  <c r="H320" i="6" s="1"/>
  <c r="G319" i="6"/>
  <c r="H319" i="6" s="1"/>
  <c r="G318" i="6"/>
  <c r="H318" i="6" s="1"/>
  <c r="G317" i="6"/>
  <c r="H317" i="6" s="1"/>
  <c r="G316" i="6"/>
  <c r="H316" i="6" s="1"/>
  <c r="G315" i="6"/>
  <c r="H315" i="6" s="1"/>
  <c r="G314" i="6"/>
  <c r="H314" i="6" s="1"/>
  <c r="G313" i="6"/>
  <c r="H313" i="6" s="1"/>
  <c r="G312" i="6"/>
  <c r="H312" i="6" s="1"/>
  <c r="G311" i="6"/>
  <c r="H311" i="6" s="1"/>
  <c r="G310" i="6"/>
  <c r="H310" i="6" s="1"/>
  <c r="G309" i="6"/>
  <c r="H309" i="6" s="1"/>
  <c r="G308" i="6"/>
  <c r="H308" i="6" s="1"/>
  <c r="G307" i="6"/>
  <c r="H307" i="6" s="1"/>
  <c r="G306" i="6"/>
  <c r="H306" i="6" s="1"/>
  <c r="G305" i="6"/>
  <c r="H305" i="6" s="1"/>
  <c r="G304" i="6"/>
  <c r="H304" i="6" s="1"/>
  <c r="G303" i="6"/>
  <c r="H303" i="6" s="1"/>
  <c r="G302" i="6"/>
  <c r="H302" i="6" s="1"/>
  <c r="G301" i="6"/>
  <c r="H301" i="6" s="1"/>
  <c r="G300" i="6"/>
  <c r="H300" i="6" s="1"/>
  <c r="G299" i="6"/>
  <c r="H299" i="6" s="1"/>
  <c r="G298" i="6"/>
  <c r="H298" i="6" s="1"/>
  <c r="G297" i="6"/>
  <c r="H297" i="6" s="1"/>
  <c r="G296" i="6"/>
  <c r="H296" i="6" s="1"/>
  <c r="G295" i="6"/>
  <c r="H295" i="6" s="1"/>
  <c r="G294" i="6"/>
  <c r="H294" i="6" s="1"/>
  <c r="G293" i="6"/>
  <c r="H293" i="6" s="1"/>
  <c r="G292" i="6"/>
  <c r="H292" i="6" s="1"/>
  <c r="G291" i="6"/>
  <c r="H291" i="6" s="1"/>
  <c r="G290" i="6"/>
  <c r="H290" i="6" s="1"/>
  <c r="G289" i="6"/>
  <c r="H289" i="6" s="1"/>
  <c r="G288" i="6"/>
  <c r="H288" i="6" s="1"/>
  <c r="G287" i="6"/>
  <c r="H287" i="6" s="1"/>
  <c r="G286" i="6"/>
  <c r="H286" i="6" s="1"/>
  <c r="G285" i="6"/>
  <c r="H285" i="6" s="1"/>
  <c r="G284" i="6"/>
  <c r="H284" i="6" s="1"/>
  <c r="G283" i="6"/>
  <c r="H283" i="6" s="1"/>
  <c r="G282" i="6"/>
  <c r="H282" i="6" s="1"/>
  <c r="G281" i="6"/>
  <c r="H281" i="6" s="1"/>
  <c r="G280" i="6"/>
  <c r="H280" i="6" s="1"/>
  <c r="G279" i="6"/>
  <c r="H279" i="6" s="1"/>
  <c r="G278" i="6"/>
  <c r="H278" i="6" s="1"/>
  <c r="G277" i="6"/>
  <c r="H277" i="6" s="1"/>
  <c r="G276" i="6"/>
  <c r="H276" i="6" s="1"/>
  <c r="G275" i="6"/>
  <c r="H275" i="6" s="1"/>
  <c r="G274" i="6"/>
  <c r="H274" i="6" s="1"/>
  <c r="G273" i="6"/>
  <c r="H273" i="6" s="1"/>
  <c r="G272" i="6"/>
  <c r="H272" i="6" s="1"/>
  <c r="G271" i="6"/>
  <c r="H271" i="6" s="1"/>
  <c r="G270" i="6"/>
  <c r="H270" i="6" s="1"/>
  <c r="G269" i="6"/>
  <c r="H269" i="6" s="1"/>
  <c r="G268" i="6"/>
  <c r="H268" i="6" s="1"/>
  <c r="G267" i="6"/>
  <c r="H267" i="6" s="1"/>
  <c r="G266" i="6"/>
  <c r="H266" i="6" s="1"/>
  <c r="G265" i="6"/>
  <c r="H265" i="6" s="1"/>
  <c r="G264" i="6"/>
  <c r="H264" i="6" s="1"/>
  <c r="G263" i="6"/>
  <c r="H263" i="6" s="1"/>
  <c r="G262" i="6"/>
  <c r="H262" i="6" s="1"/>
  <c r="G261" i="6"/>
  <c r="H261" i="6" s="1"/>
  <c r="G260" i="6"/>
  <c r="H260" i="6" s="1"/>
  <c r="G259" i="6"/>
  <c r="H259" i="6" s="1"/>
  <c r="G258" i="6"/>
  <c r="H258" i="6" s="1"/>
  <c r="G257" i="6"/>
  <c r="H257" i="6" s="1"/>
  <c r="G256" i="6"/>
  <c r="H256" i="6" s="1"/>
  <c r="G255" i="6"/>
  <c r="H255" i="6" s="1"/>
  <c r="G254" i="6"/>
  <c r="H254" i="6" s="1"/>
  <c r="G253" i="6"/>
  <c r="H253" i="6" s="1"/>
  <c r="G252" i="6"/>
  <c r="H252" i="6" s="1"/>
  <c r="G251" i="6"/>
  <c r="H251" i="6" s="1"/>
  <c r="G250" i="6"/>
  <c r="H250" i="6" s="1"/>
  <c r="G249" i="6"/>
  <c r="H249" i="6" s="1"/>
  <c r="G248" i="6"/>
  <c r="H248" i="6" s="1"/>
  <c r="G247" i="6"/>
  <c r="H247" i="6" s="1"/>
  <c r="G246" i="6"/>
  <c r="H246" i="6" s="1"/>
  <c r="G245" i="6"/>
  <c r="H245" i="6" s="1"/>
  <c r="G244" i="6"/>
  <c r="H244" i="6" s="1"/>
  <c r="G243" i="6"/>
  <c r="H243" i="6" s="1"/>
  <c r="G242" i="6"/>
  <c r="H242" i="6" s="1"/>
  <c r="G241" i="6"/>
  <c r="H241" i="6" s="1"/>
  <c r="G240" i="6"/>
  <c r="H240" i="6" s="1"/>
  <c r="G239" i="6"/>
  <c r="H239" i="6" s="1"/>
  <c r="G238" i="6"/>
  <c r="H238" i="6" s="1"/>
  <c r="G237" i="6"/>
  <c r="H237" i="6" s="1"/>
  <c r="G236" i="6"/>
  <c r="H236" i="6" s="1"/>
  <c r="G235" i="6"/>
  <c r="H235" i="6" s="1"/>
  <c r="G234" i="6"/>
  <c r="H234" i="6" s="1"/>
  <c r="G233" i="6"/>
  <c r="H233" i="6" s="1"/>
  <c r="G232" i="6"/>
  <c r="H232" i="6" s="1"/>
  <c r="G231" i="6"/>
  <c r="H231" i="6" s="1"/>
  <c r="G230" i="6"/>
  <c r="H230" i="6" s="1"/>
  <c r="G229" i="6"/>
  <c r="H229" i="6" s="1"/>
  <c r="G228" i="6"/>
  <c r="H228" i="6" s="1"/>
  <c r="G227" i="6"/>
  <c r="H227" i="6" s="1"/>
  <c r="G226" i="6"/>
  <c r="H226" i="6" s="1"/>
  <c r="G225" i="6"/>
  <c r="H225" i="6" s="1"/>
  <c r="G224" i="6"/>
  <c r="H224" i="6" s="1"/>
  <c r="G223" i="6"/>
  <c r="H223" i="6" s="1"/>
  <c r="G222" i="6"/>
  <c r="H222" i="6" s="1"/>
  <c r="G221" i="6"/>
  <c r="H221" i="6" s="1"/>
  <c r="G220" i="6"/>
  <c r="H220" i="6" s="1"/>
  <c r="G219" i="6"/>
  <c r="H219" i="6" s="1"/>
  <c r="G218" i="6"/>
  <c r="H218" i="6" s="1"/>
  <c r="G217" i="6"/>
  <c r="H217" i="6" s="1"/>
  <c r="G216" i="6"/>
  <c r="H216" i="6" s="1"/>
  <c r="G215" i="6"/>
  <c r="H215" i="6" s="1"/>
  <c r="G214" i="6"/>
  <c r="H214" i="6" s="1"/>
  <c r="G213" i="6"/>
  <c r="H213" i="6" s="1"/>
  <c r="G212" i="6"/>
  <c r="H212" i="6" s="1"/>
  <c r="G211" i="6"/>
  <c r="H211" i="6" s="1"/>
  <c r="G210" i="6"/>
  <c r="H210" i="6" s="1"/>
  <c r="G209" i="6"/>
  <c r="H209" i="6" s="1"/>
  <c r="G208" i="6"/>
  <c r="H208" i="6" s="1"/>
  <c r="G207" i="6"/>
  <c r="H207" i="6" s="1"/>
  <c r="G206" i="6"/>
  <c r="H206" i="6" s="1"/>
  <c r="G205" i="6"/>
  <c r="H205" i="6" s="1"/>
  <c r="G204" i="6"/>
  <c r="H204" i="6" s="1"/>
  <c r="G203" i="6"/>
  <c r="H203" i="6" s="1"/>
  <c r="G202" i="6"/>
  <c r="H202" i="6" s="1"/>
  <c r="G201" i="6"/>
  <c r="H201" i="6" s="1"/>
  <c r="G200" i="6"/>
  <c r="H200" i="6" s="1"/>
  <c r="G199" i="6"/>
  <c r="H199" i="6" s="1"/>
  <c r="G198" i="6"/>
  <c r="H198" i="6" s="1"/>
  <c r="G197" i="6"/>
  <c r="H197" i="6" s="1"/>
  <c r="G196" i="6"/>
  <c r="H196" i="6" s="1"/>
  <c r="G195" i="6"/>
  <c r="H195" i="6" s="1"/>
  <c r="G194" i="6"/>
  <c r="H194" i="6" s="1"/>
  <c r="G193" i="6"/>
  <c r="H193" i="6" s="1"/>
  <c r="G192" i="6"/>
  <c r="H192" i="6" s="1"/>
  <c r="G191" i="6"/>
  <c r="H191" i="6" s="1"/>
  <c r="G190" i="6"/>
  <c r="H190" i="6" s="1"/>
  <c r="G189" i="6"/>
  <c r="H189" i="6" s="1"/>
  <c r="G188" i="6"/>
  <c r="H188" i="6" s="1"/>
  <c r="G187" i="6"/>
  <c r="H187" i="6" s="1"/>
  <c r="G186" i="6"/>
  <c r="H186" i="6" s="1"/>
  <c r="G185" i="6"/>
  <c r="H185" i="6" s="1"/>
  <c r="G184" i="6"/>
  <c r="H184" i="6" s="1"/>
  <c r="G183" i="6"/>
  <c r="H183" i="6" s="1"/>
  <c r="G182" i="6"/>
  <c r="H182" i="6" s="1"/>
  <c r="G181" i="6"/>
  <c r="H181" i="6" s="1"/>
  <c r="G180" i="6"/>
  <c r="H180" i="6" s="1"/>
  <c r="G179" i="6"/>
  <c r="H179" i="6" s="1"/>
  <c r="G178" i="6"/>
  <c r="H178" i="6" s="1"/>
  <c r="G177" i="6"/>
  <c r="H177" i="6" s="1"/>
  <c r="G176" i="6"/>
  <c r="H176" i="6" s="1"/>
  <c r="G175" i="6"/>
  <c r="H175" i="6" s="1"/>
  <c r="G174" i="6"/>
  <c r="H174" i="6" s="1"/>
  <c r="G173" i="6"/>
  <c r="H173" i="6" s="1"/>
  <c r="G172" i="6"/>
  <c r="H172" i="6" s="1"/>
  <c r="G171" i="6"/>
  <c r="H171" i="6" s="1"/>
  <c r="G170" i="6"/>
  <c r="H170" i="6" s="1"/>
  <c r="G169" i="6"/>
  <c r="H169" i="6" s="1"/>
  <c r="G168" i="6"/>
  <c r="H168" i="6" s="1"/>
  <c r="G167" i="6"/>
  <c r="H167" i="6" s="1"/>
  <c r="G166" i="6"/>
  <c r="H166" i="6" s="1"/>
  <c r="G165" i="6"/>
  <c r="H165" i="6" s="1"/>
  <c r="G164" i="6"/>
  <c r="H164" i="6" s="1"/>
  <c r="G163" i="6"/>
  <c r="H163" i="6" s="1"/>
  <c r="G162" i="6"/>
  <c r="H162" i="6" s="1"/>
  <c r="G161" i="6"/>
  <c r="H161" i="6" s="1"/>
  <c r="G160" i="6"/>
  <c r="H160" i="6" s="1"/>
  <c r="G159" i="6"/>
  <c r="H159" i="6" s="1"/>
  <c r="G158" i="6"/>
  <c r="H158" i="6" s="1"/>
  <c r="G157" i="6"/>
  <c r="H157" i="6" s="1"/>
  <c r="G156" i="6"/>
  <c r="H156" i="6" s="1"/>
  <c r="G155" i="6"/>
  <c r="H155" i="6" s="1"/>
  <c r="G154" i="6"/>
  <c r="H154" i="6" s="1"/>
  <c r="G153" i="6"/>
  <c r="H153" i="6" s="1"/>
  <c r="G152" i="6"/>
  <c r="H152" i="6" s="1"/>
  <c r="G151" i="6"/>
  <c r="H151" i="6" s="1"/>
  <c r="G150" i="6"/>
  <c r="H150" i="6" s="1"/>
  <c r="G149" i="6"/>
  <c r="H149" i="6" s="1"/>
  <c r="G148" i="6"/>
  <c r="H148" i="6" s="1"/>
  <c r="G147" i="6"/>
  <c r="H147" i="6" s="1"/>
  <c r="G146" i="6"/>
  <c r="H146" i="6" s="1"/>
  <c r="G145" i="6"/>
  <c r="H145" i="6" s="1"/>
  <c r="G144" i="6"/>
  <c r="H144" i="6" s="1"/>
  <c r="G143" i="6"/>
  <c r="H143" i="6" s="1"/>
  <c r="G142" i="6"/>
  <c r="H142" i="6" s="1"/>
  <c r="G141" i="6"/>
  <c r="H141" i="6" s="1"/>
  <c r="G140" i="6"/>
  <c r="H140" i="6" s="1"/>
  <c r="G139" i="6"/>
  <c r="H139" i="6" s="1"/>
  <c r="G138" i="6"/>
  <c r="H138" i="6" s="1"/>
  <c r="G137" i="6"/>
  <c r="H137" i="6" s="1"/>
  <c r="G136" i="6"/>
  <c r="H136" i="6" s="1"/>
  <c r="G135" i="6"/>
  <c r="H135" i="6" s="1"/>
  <c r="G134" i="6"/>
  <c r="H134" i="6" s="1"/>
  <c r="G133" i="6"/>
  <c r="H133" i="6" s="1"/>
  <c r="G132" i="6"/>
  <c r="H132" i="6" s="1"/>
  <c r="G131" i="6"/>
  <c r="H131" i="6" s="1"/>
  <c r="G130" i="6"/>
  <c r="H130" i="6" s="1"/>
  <c r="G129" i="6"/>
  <c r="H129" i="6" s="1"/>
  <c r="G128" i="6"/>
  <c r="H128" i="6" s="1"/>
  <c r="G127" i="6"/>
  <c r="H127" i="6" s="1"/>
  <c r="G126" i="6"/>
  <c r="H126" i="6" s="1"/>
  <c r="G125" i="6"/>
  <c r="H125" i="6" s="1"/>
  <c r="G124" i="6"/>
  <c r="H124" i="6" s="1"/>
  <c r="G123" i="6"/>
  <c r="H123" i="6" s="1"/>
  <c r="G122" i="6"/>
  <c r="H122" i="6" s="1"/>
  <c r="G121" i="6"/>
  <c r="H121" i="6" s="1"/>
  <c r="G120" i="6"/>
  <c r="H120" i="6" s="1"/>
  <c r="G119" i="6"/>
  <c r="H119" i="6" s="1"/>
  <c r="G118" i="6"/>
  <c r="H118" i="6" s="1"/>
  <c r="G117" i="6"/>
  <c r="H117" i="6" s="1"/>
  <c r="G116" i="6"/>
  <c r="H116" i="6" s="1"/>
  <c r="G115" i="6"/>
  <c r="H115" i="6" s="1"/>
  <c r="G114" i="6"/>
  <c r="H114" i="6" s="1"/>
  <c r="G113" i="6"/>
  <c r="H113" i="6" s="1"/>
  <c r="G112" i="6"/>
  <c r="H112" i="6" s="1"/>
  <c r="G111" i="6"/>
  <c r="H111" i="6" s="1"/>
  <c r="G110" i="6"/>
  <c r="H110" i="6" s="1"/>
  <c r="G109" i="6"/>
  <c r="H109" i="6" s="1"/>
  <c r="G108" i="6"/>
  <c r="H108" i="6" s="1"/>
  <c r="G107" i="6"/>
  <c r="H107" i="6" s="1"/>
  <c r="G106" i="6"/>
  <c r="H106" i="6" s="1"/>
  <c r="G105" i="6"/>
  <c r="H105" i="6" s="1"/>
  <c r="G104" i="6"/>
  <c r="H104" i="6" s="1"/>
  <c r="G103" i="6"/>
  <c r="H103" i="6" s="1"/>
  <c r="G102" i="6"/>
  <c r="H102" i="6" s="1"/>
  <c r="G101" i="6"/>
  <c r="H101" i="6" s="1"/>
  <c r="G100" i="6"/>
  <c r="H100" i="6" s="1"/>
  <c r="G99" i="6"/>
  <c r="H99" i="6" s="1"/>
  <c r="G98" i="6"/>
  <c r="H98" i="6" s="1"/>
  <c r="G97" i="6"/>
  <c r="H97" i="6" s="1"/>
  <c r="G96" i="6"/>
  <c r="H96" i="6" s="1"/>
  <c r="G95" i="6"/>
  <c r="H95" i="6" s="1"/>
  <c r="G94" i="6"/>
  <c r="H94" i="6" s="1"/>
  <c r="G93" i="6"/>
  <c r="H93" i="6" s="1"/>
  <c r="G92" i="6"/>
  <c r="H92" i="6" s="1"/>
  <c r="G91" i="6"/>
  <c r="H91" i="6" s="1"/>
  <c r="G90" i="6"/>
  <c r="H90" i="6" s="1"/>
  <c r="G89" i="6"/>
  <c r="H89" i="6" s="1"/>
  <c r="G88" i="6"/>
  <c r="H88" i="6" s="1"/>
  <c r="G87" i="6"/>
  <c r="H87" i="6" s="1"/>
  <c r="G86" i="6"/>
  <c r="H86" i="6" s="1"/>
  <c r="G85" i="6"/>
  <c r="H85" i="6" s="1"/>
  <c r="G84" i="6"/>
  <c r="H84" i="6" s="1"/>
  <c r="G83" i="6"/>
  <c r="H83" i="6" s="1"/>
  <c r="G82" i="6"/>
  <c r="H82" i="6" s="1"/>
  <c r="G81" i="6"/>
  <c r="H81" i="6" s="1"/>
  <c r="G80" i="6"/>
  <c r="H80" i="6" s="1"/>
  <c r="G79" i="6"/>
  <c r="H79" i="6" s="1"/>
  <c r="G78" i="6"/>
  <c r="H78" i="6" s="1"/>
  <c r="G77" i="6"/>
  <c r="H77" i="6" s="1"/>
  <c r="G76" i="6"/>
  <c r="H76" i="6" s="1"/>
  <c r="G75" i="6"/>
  <c r="H75" i="6" s="1"/>
  <c r="G74" i="6"/>
  <c r="H74" i="6" s="1"/>
  <c r="G73" i="6"/>
  <c r="H73" i="6" s="1"/>
  <c r="G72" i="6"/>
  <c r="H72" i="6" s="1"/>
  <c r="G71" i="6"/>
  <c r="H71" i="6" s="1"/>
  <c r="G70" i="6"/>
  <c r="H70" i="6" s="1"/>
  <c r="G69" i="6"/>
  <c r="H69" i="6" s="1"/>
  <c r="G68" i="6"/>
  <c r="H68" i="6" s="1"/>
  <c r="G67" i="6"/>
  <c r="H67" i="6" s="1"/>
  <c r="G66" i="6"/>
  <c r="H66" i="6" s="1"/>
  <c r="G65" i="6"/>
  <c r="H65" i="6" s="1"/>
  <c r="G64" i="6"/>
  <c r="H64" i="6" s="1"/>
  <c r="G63" i="6"/>
  <c r="H63" i="6" s="1"/>
  <c r="G62" i="6"/>
  <c r="H62" i="6" s="1"/>
  <c r="G61" i="6"/>
  <c r="H61" i="6" s="1"/>
  <c r="G60" i="6"/>
  <c r="H60" i="6" s="1"/>
  <c r="G59" i="6"/>
  <c r="H59" i="6" s="1"/>
  <c r="G58" i="6"/>
  <c r="H58" i="6" s="1"/>
  <c r="G57" i="6"/>
  <c r="H57" i="6" s="1"/>
  <c r="G56" i="6"/>
  <c r="H56" i="6" s="1"/>
  <c r="G55" i="6"/>
  <c r="H55" i="6" s="1"/>
  <c r="G54" i="6"/>
  <c r="H54" i="6" s="1"/>
  <c r="G53" i="6"/>
  <c r="H53" i="6" s="1"/>
  <c r="G52" i="6"/>
  <c r="H52" i="6" s="1"/>
  <c r="G51" i="6"/>
  <c r="H51" i="6" s="1"/>
  <c r="G50" i="6"/>
  <c r="H50" i="6" s="1"/>
  <c r="G49" i="6"/>
  <c r="H49" i="6" s="1"/>
  <c r="G48" i="6"/>
  <c r="H48" i="6" s="1"/>
  <c r="G47" i="6"/>
  <c r="H47" i="6" s="1"/>
  <c r="G46" i="6"/>
  <c r="H46" i="6" s="1"/>
  <c r="G45" i="6"/>
  <c r="H45" i="6" s="1"/>
  <c r="G44" i="6"/>
  <c r="H44" i="6" s="1"/>
  <c r="G43" i="6"/>
  <c r="H43" i="6" s="1"/>
  <c r="G42" i="6"/>
  <c r="H42" i="6" s="1"/>
  <c r="G41" i="6"/>
  <c r="H41" i="6" s="1"/>
  <c r="G40" i="6"/>
  <c r="H40" i="6" s="1"/>
  <c r="G39" i="6"/>
  <c r="H39" i="6" s="1"/>
  <c r="G38" i="6"/>
  <c r="H38" i="6" s="1"/>
  <c r="G37" i="6"/>
  <c r="H37" i="6" s="1"/>
  <c r="G36" i="6"/>
  <c r="H36" i="6" s="1"/>
  <c r="G35" i="6"/>
  <c r="H35" i="6" s="1"/>
  <c r="G34" i="6"/>
  <c r="H34" i="6" s="1"/>
  <c r="G33" i="6"/>
  <c r="H33" i="6" s="1"/>
  <c r="G32" i="6"/>
  <c r="H32" i="6" s="1"/>
  <c r="G31" i="6"/>
  <c r="H31" i="6" s="1"/>
  <c r="G30" i="6"/>
  <c r="H30" i="6" s="1"/>
  <c r="G29" i="6"/>
  <c r="H29" i="6" s="1"/>
  <c r="G28" i="6"/>
  <c r="H28" i="6" s="1"/>
  <c r="G27" i="6"/>
  <c r="H27" i="6" s="1"/>
  <c r="G26" i="6"/>
  <c r="H26" i="6" s="1"/>
  <c r="G25" i="6"/>
  <c r="H25" i="6" s="1"/>
  <c r="G24" i="6"/>
  <c r="H24" i="6" s="1"/>
  <c r="G23" i="6"/>
  <c r="H23" i="6" s="1"/>
  <c r="G22" i="6"/>
  <c r="H22" i="6" s="1"/>
  <c r="G21" i="6"/>
  <c r="H21" i="6" s="1"/>
  <c r="G20" i="6"/>
  <c r="H20" i="6" s="1"/>
  <c r="G19" i="6"/>
  <c r="H19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G9" i="6"/>
  <c r="H9" i="6" s="1"/>
  <c r="G8" i="6"/>
  <c r="H8" i="6" s="1"/>
  <c r="G7" i="6"/>
  <c r="H7" i="6" s="1"/>
  <c r="G6" i="6"/>
  <c r="H6" i="6" s="1"/>
  <c r="G5" i="6"/>
  <c r="H5" i="6" s="1"/>
  <c r="G4" i="6"/>
  <c r="H4" i="6" s="1"/>
  <c r="G3" i="6"/>
  <c r="H3" i="6" s="1"/>
  <c r="G2" i="6"/>
  <c r="F1017" i="6"/>
  <c r="F1016" i="6"/>
  <c r="F1015" i="6"/>
  <c r="F1014" i="6"/>
  <c r="F1013" i="6"/>
  <c r="F1012" i="6"/>
  <c r="F1011" i="6"/>
  <c r="F1010" i="6"/>
  <c r="F1009" i="6"/>
  <c r="F1008" i="6"/>
  <c r="F1007" i="6"/>
  <c r="F1006" i="6"/>
  <c r="F1005" i="6"/>
  <c r="F1004" i="6"/>
  <c r="F1003" i="6"/>
  <c r="F1002" i="6"/>
  <c r="F1001" i="6"/>
  <c r="F1000" i="6"/>
  <c r="F999" i="6"/>
  <c r="F998" i="6"/>
  <c r="F997" i="6"/>
  <c r="F996" i="6"/>
  <c r="F995" i="6"/>
  <c r="F994" i="6"/>
  <c r="F993" i="6"/>
  <c r="F992" i="6"/>
  <c r="F991" i="6"/>
  <c r="F990" i="6"/>
  <c r="F989" i="6"/>
  <c r="F988" i="6"/>
  <c r="F987" i="6"/>
  <c r="F986" i="6"/>
  <c r="F985" i="6"/>
  <c r="F984" i="6"/>
  <c r="F983" i="6"/>
  <c r="F982" i="6"/>
  <c r="F981" i="6"/>
  <c r="F980" i="6"/>
  <c r="F979" i="6"/>
  <c r="F978" i="6"/>
  <c r="F977" i="6"/>
  <c r="F976" i="6"/>
  <c r="F975" i="6"/>
  <c r="F974" i="6"/>
  <c r="F973" i="6"/>
  <c r="F972" i="6"/>
  <c r="F971" i="6"/>
  <c r="F970" i="6"/>
  <c r="F969" i="6"/>
  <c r="F968" i="6"/>
  <c r="F967" i="6"/>
  <c r="F966" i="6"/>
  <c r="F965" i="6"/>
  <c r="F964" i="6"/>
  <c r="F963" i="6"/>
  <c r="F962" i="6"/>
  <c r="F961" i="6"/>
  <c r="F960" i="6"/>
  <c r="F959" i="6"/>
  <c r="F958" i="6"/>
  <c r="F957" i="6"/>
  <c r="F956" i="6"/>
  <c r="F955" i="6"/>
  <c r="F954" i="6"/>
  <c r="F953" i="6"/>
  <c r="F952" i="6"/>
  <c r="F951" i="6"/>
  <c r="F950" i="6"/>
  <c r="F949" i="6"/>
  <c r="F948" i="6"/>
  <c r="F947" i="6"/>
  <c r="F946" i="6"/>
  <c r="F945" i="6"/>
  <c r="F944" i="6"/>
  <c r="F943" i="6"/>
  <c r="F942" i="6"/>
  <c r="F941" i="6"/>
  <c r="F940" i="6"/>
  <c r="F939" i="6"/>
  <c r="F938" i="6"/>
  <c r="F937" i="6"/>
  <c r="F936" i="6"/>
  <c r="F935" i="6"/>
  <c r="F934" i="6"/>
  <c r="F933" i="6"/>
  <c r="F932" i="6"/>
  <c r="F931" i="6"/>
  <c r="F930" i="6"/>
  <c r="F929" i="6"/>
  <c r="F928" i="6"/>
  <c r="F927" i="6"/>
  <c r="F926" i="6"/>
  <c r="F925" i="6"/>
  <c r="F924" i="6"/>
  <c r="F923" i="6"/>
  <c r="F922" i="6"/>
  <c r="F921" i="6"/>
  <c r="F920" i="6"/>
  <c r="F919" i="6"/>
  <c r="F918" i="6"/>
  <c r="F917" i="6"/>
  <c r="F916" i="6"/>
  <c r="F915" i="6"/>
  <c r="F914" i="6"/>
  <c r="F913" i="6"/>
  <c r="F912" i="6"/>
  <c r="F911" i="6"/>
  <c r="F910" i="6"/>
  <c r="F909" i="6"/>
  <c r="F908" i="6"/>
  <c r="F907" i="6"/>
  <c r="F906" i="6"/>
  <c r="F905" i="6"/>
  <c r="F904" i="6"/>
  <c r="F903" i="6"/>
  <c r="F902" i="6"/>
  <c r="F901" i="6"/>
  <c r="F900" i="6"/>
  <c r="F899" i="6"/>
  <c r="F898" i="6"/>
  <c r="F897" i="6"/>
  <c r="F896" i="6"/>
  <c r="F895" i="6"/>
  <c r="F894" i="6"/>
  <c r="F893" i="6"/>
  <c r="F892" i="6"/>
  <c r="F891" i="6"/>
  <c r="F890" i="6"/>
  <c r="F889" i="6"/>
  <c r="F888" i="6"/>
  <c r="F887" i="6"/>
  <c r="F886" i="6"/>
  <c r="F885" i="6"/>
  <c r="F884" i="6"/>
  <c r="F883" i="6"/>
  <c r="F882" i="6"/>
  <c r="F881" i="6"/>
  <c r="F880" i="6"/>
  <c r="F879" i="6"/>
  <c r="F878" i="6"/>
  <c r="F877" i="6"/>
  <c r="F876" i="6"/>
  <c r="F875" i="6"/>
  <c r="F874" i="6"/>
  <c r="F873" i="6"/>
  <c r="F872" i="6"/>
  <c r="F871" i="6"/>
  <c r="F870" i="6"/>
  <c r="F869" i="6"/>
  <c r="F868" i="6"/>
  <c r="F867" i="6"/>
  <c r="F866" i="6"/>
  <c r="F865" i="6"/>
  <c r="F864" i="6"/>
  <c r="F863" i="6"/>
  <c r="F862" i="6"/>
  <c r="F861" i="6"/>
  <c r="F860" i="6"/>
  <c r="F859" i="6"/>
  <c r="F858" i="6"/>
  <c r="F857" i="6"/>
  <c r="F856" i="6"/>
  <c r="F855" i="6"/>
  <c r="F854" i="6"/>
  <c r="F853" i="6"/>
  <c r="F852" i="6"/>
  <c r="F851" i="6"/>
  <c r="F850" i="6"/>
  <c r="F849" i="6"/>
  <c r="F848" i="6"/>
  <c r="F847" i="6"/>
  <c r="F846" i="6"/>
  <c r="F845" i="6"/>
  <c r="F844" i="6"/>
  <c r="F843" i="6"/>
  <c r="F842" i="6"/>
  <c r="F841" i="6"/>
  <c r="F840" i="6"/>
  <c r="F839" i="6"/>
  <c r="F838" i="6"/>
  <c r="F837" i="6"/>
  <c r="F836" i="6"/>
  <c r="F835" i="6"/>
  <c r="F834" i="6"/>
  <c r="F833" i="6"/>
  <c r="F832" i="6"/>
  <c r="F831" i="6"/>
  <c r="F830" i="6"/>
  <c r="F829" i="6"/>
  <c r="F828" i="6"/>
  <c r="F827" i="6"/>
  <c r="F826" i="6"/>
  <c r="F825" i="6"/>
  <c r="F824" i="6"/>
  <c r="F823" i="6"/>
  <c r="F822" i="6"/>
  <c r="F821" i="6"/>
  <c r="F820" i="6"/>
  <c r="F819" i="6"/>
  <c r="F818" i="6"/>
  <c r="F817" i="6"/>
  <c r="F816" i="6"/>
  <c r="F815" i="6"/>
  <c r="F814" i="6"/>
  <c r="F813" i="6"/>
  <c r="F812" i="6"/>
  <c r="F811" i="6"/>
  <c r="F810" i="6"/>
  <c r="F809" i="6"/>
  <c r="F808" i="6"/>
  <c r="F807" i="6"/>
  <c r="F806" i="6"/>
  <c r="F805" i="6"/>
  <c r="F804" i="6"/>
  <c r="F803" i="6"/>
  <c r="F802" i="6"/>
  <c r="F801" i="6"/>
  <c r="F800" i="6"/>
  <c r="F799" i="6"/>
  <c r="F798" i="6"/>
  <c r="F797" i="6"/>
  <c r="F796" i="6"/>
  <c r="F795" i="6"/>
  <c r="F794" i="6"/>
  <c r="F793" i="6"/>
  <c r="F792" i="6"/>
  <c r="F791" i="6"/>
  <c r="F790" i="6"/>
  <c r="F789" i="6"/>
  <c r="F788" i="6"/>
  <c r="F787" i="6"/>
  <c r="F786" i="6"/>
  <c r="F785" i="6"/>
  <c r="F784" i="6"/>
  <c r="F783" i="6"/>
  <c r="F782" i="6"/>
  <c r="F781" i="6"/>
  <c r="F780" i="6"/>
  <c r="F779" i="6"/>
  <c r="F778" i="6"/>
  <c r="F777" i="6"/>
  <c r="F776" i="6"/>
  <c r="F775" i="6"/>
  <c r="F774" i="6"/>
  <c r="F773" i="6"/>
  <c r="F772" i="6"/>
  <c r="F771" i="6"/>
  <c r="F770" i="6"/>
  <c r="F769" i="6"/>
  <c r="F768" i="6"/>
  <c r="F767" i="6"/>
  <c r="F766" i="6"/>
  <c r="F765" i="6"/>
  <c r="F764" i="6"/>
  <c r="F763" i="6"/>
  <c r="F762" i="6"/>
  <c r="F761" i="6"/>
  <c r="F760" i="6"/>
  <c r="F759" i="6"/>
  <c r="F758" i="6"/>
  <c r="F757" i="6"/>
  <c r="F756" i="6"/>
  <c r="F755" i="6"/>
  <c r="F754" i="6"/>
  <c r="F753" i="6"/>
  <c r="F752" i="6"/>
  <c r="F751" i="6"/>
  <c r="F750" i="6"/>
  <c r="F749" i="6"/>
  <c r="F748" i="6"/>
  <c r="F747" i="6"/>
  <c r="F746" i="6"/>
  <c r="F745" i="6"/>
  <c r="F744" i="6"/>
  <c r="F743" i="6"/>
  <c r="F742" i="6"/>
  <c r="F741" i="6"/>
  <c r="F740" i="6"/>
  <c r="F739" i="6"/>
  <c r="F738" i="6"/>
  <c r="F737" i="6"/>
  <c r="F736" i="6"/>
  <c r="F735" i="6"/>
  <c r="F734" i="6"/>
  <c r="F733" i="6"/>
  <c r="F732" i="6"/>
  <c r="F731" i="6"/>
  <c r="F730" i="6"/>
  <c r="F729" i="6"/>
  <c r="F728" i="6"/>
  <c r="F727" i="6"/>
  <c r="F726" i="6"/>
  <c r="F725" i="6"/>
  <c r="F724" i="6"/>
  <c r="F723" i="6"/>
  <c r="F722" i="6"/>
  <c r="F721" i="6"/>
  <c r="F720" i="6"/>
  <c r="F719" i="6"/>
  <c r="F718" i="6"/>
  <c r="F717" i="6"/>
  <c r="F716" i="6"/>
  <c r="F715" i="6"/>
  <c r="F714" i="6"/>
  <c r="F713" i="6"/>
  <c r="F712" i="6"/>
  <c r="F711" i="6"/>
  <c r="F710" i="6"/>
  <c r="F709" i="6"/>
  <c r="F708" i="6"/>
  <c r="F707" i="6"/>
  <c r="F706" i="6"/>
  <c r="F705" i="6"/>
  <c r="F704" i="6"/>
  <c r="F703" i="6"/>
  <c r="F702" i="6"/>
  <c r="F701" i="6"/>
  <c r="F700" i="6"/>
  <c r="F699" i="6"/>
  <c r="F698" i="6"/>
  <c r="F697" i="6"/>
  <c r="F696" i="6"/>
  <c r="F695" i="6"/>
  <c r="F694" i="6"/>
  <c r="F693" i="6"/>
  <c r="F692" i="6"/>
  <c r="F691" i="6"/>
  <c r="F690" i="6"/>
  <c r="F689" i="6"/>
  <c r="F688" i="6"/>
  <c r="F687" i="6"/>
  <c r="F686" i="6"/>
  <c r="F685" i="6"/>
  <c r="F684" i="6"/>
  <c r="F683" i="6"/>
  <c r="F682" i="6"/>
  <c r="F681" i="6"/>
  <c r="F680" i="6"/>
  <c r="F679" i="6"/>
  <c r="F678" i="6"/>
  <c r="F677" i="6"/>
  <c r="F676" i="6"/>
  <c r="F675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F654" i="6"/>
  <c r="F653" i="6"/>
  <c r="F652" i="6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F603" i="6"/>
  <c r="F602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2" i="6"/>
  <c r="F2" i="6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" i="7"/>
  <c r="H2" i="6" l="1"/>
  <c r="B1018" i="5" l="1"/>
  <c r="K36" i="2"/>
  <c r="L36" i="2" s="1"/>
  <c r="I36" i="2" s="1"/>
  <c r="I121" i="2"/>
  <c r="R121" i="2" s="1"/>
  <c r="K121" i="2"/>
  <c r="L121" i="2" s="1"/>
  <c r="I118" i="2"/>
  <c r="H118" i="2"/>
  <c r="I116" i="2"/>
  <c r="S116" i="2" s="1"/>
  <c r="H116" i="2"/>
  <c r="K118" i="2"/>
  <c r="L118" i="2" s="1"/>
  <c r="K117" i="2"/>
  <c r="L117" i="2" s="1"/>
  <c r="I117" i="2" s="1"/>
  <c r="K116" i="2"/>
  <c r="L116" i="2" s="1"/>
  <c r="I113" i="2"/>
  <c r="H113" i="2"/>
  <c r="I112" i="2"/>
  <c r="R112" i="2" s="1"/>
  <c r="I109" i="2"/>
  <c r="H109" i="2"/>
  <c r="I108" i="2"/>
  <c r="R108" i="2" s="1"/>
  <c r="I105" i="2"/>
  <c r="H105" i="2"/>
  <c r="K114" i="2"/>
  <c r="L114" i="2" s="1"/>
  <c r="I114" i="2" s="1"/>
  <c r="K113" i="2"/>
  <c r="L113" i="2" s="1"/>
  <c r="K112" i="2"/>
  <c r="L112" i="2" s="1"/>
  <c r="K111" i="2"/>
  <c r="L111" i="2" s="1"/>
  <c r="I111" i="2" s="1"/>
  <c r="K110" i="2"/>
  <c r="L110" i="2" s="1"/>
  <c r="I110" i="2" s="1"/>
  <c r="K109" i="2"/>
  <c r="L109" i="2" s="1"/>
  <c r="K108" i="2"/>
  <c r="L108" i="2" s="1"/>
  <c r="K107" i="2"/>
  <c r="L107" i="2" s="1"/>
  <c r="I107" i="2" s="1"/>
  <c r="K106" i="2"/>
  <c r="L106" i="2" s="1"/>
  <c r="I106" i="2" s="1"/>
  <c r="K105" i="2"/>
  <c r="L105" i="2" s="1"/>
  <c r="K101" i="2"/>
  <c r="L101" i="2" s="1"/>
  <c r="I101" i="2" s="1"/>
  <c r="H97" i="2"/>
  <c r="I96" i="2"/>
  <c r="H96" i="2"/>
  <c r="H93" i="2"/>
  <c r="I92" i="2"/>
  <c r="S92" i="2" s="1"/>
  <c r="H92" i="2"/>
  <c r="K97" i="2"/>
  <c r="L97" i="2" s="1"/>
  <c r="I97" i="2" s="1"/>
  <c r="K96" i="2"/>
  <c r="L96" i="2" s="1"/>
  <c r="K95" i="2"/>
  <c r="L95" i="2" s="1"/>
  <c r="I95" i="2" s="1"/>
  <c r="K94" i="2"/>
  <c r="L94" i="2" s="1"/>
  <c r="I94" i="2" s="1"/>
  <c r="R94" i="2" s="1"/>
  <c r="K93" i="2"/>
  <c r="L93" i="2" s="1"/>
  <c r="I93" i="2" s="1"/>
  <c r="K92" i="2"/>
  <c r="L92" i="2" s="1"/>
  <c r="I89" i="2"/>
  <c r="H89" i="2"/>
  <c r="K89" i="2"/>
  <c r="L89" i="2" s="1"/>
  <c r="K73" i="2"/>
  <c r="L73" i="2" s="1"/>
  <c r="I73" i="2" s="1"/>
  <c r="K72" i="2"/>
  <c r="L72" i="2" s="1"/>
  <c r="I72" i="2" s="1"/>
  <c r="I67" i="2"/>
  <c r="S67" i="2" s="1"/>
  <c r="K67" i="2"/>
  <c r="L67" i="2" s="1"/>
  <c r="I54" i="2"/>
  <c r="R54" i="2" s="1"/>
  <c r="H54" i="2"/>
  <c r="K54" i="2"/>
  <c r="L54" i="2" s="1"/>
  <c r="K42" i="2"/>
  <c r="L42" i="2" s="1"/>
  <c r="I42" i="2" s="1"/>
  <c r="K32" i="2"/>
  <c r="L32" i="2" s="1"/>
  <c r="I32" i="2" s="1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4" i="2"/>
  <c r="R118" i="2"/>
  <c r="R113" i="2"/>
  <c r="R109" i="2"/>
  <c r="R105" i="2"/>
  <c r="R96" i="2"/>
  <c r="R92" i="2"/>
  <c r="R89" i="2"/>
  <c r="R67" i="2"/>
  <c r="K3" i="2"/>
  <c r="L3" i="2" s="1"/>
  <c r="I3" i="2" s="1"/>
  <c r="R3" i="2" s="1"/>
  <c r="K4" i="2"/>
  <c r="K5" i="2"/>
  <c r="K6" i="2"/>
  <c r="L6" i="2" s="1"/>
  <c r="I6" i="2" s="1"/>
  <c r="R6" i="2" s="1"/>
  <c r="K7" i="2"/>
  <c r="L7" i="2" s="1"/>
  <c r="I7" i="2" s="1"/>
  <c r="K8" i="2"/>
  <c r="K9" i="2"/>
  <c r="L9" i="2" s="1"/>
  <c r="I9" i="2" s="1"/>
  <c r="R9" i="2" s="1"/>
  <c r="K10" i="2"/>
  <c r="L10" i="2" s="1"/>
  <c r="I10" i="2" s="1"/>
  <c r="R10" i="2" s="1"/>
  <c r="K11" i="2"/>
  <c r="L11" i="2" s="1"/>
  <c r="I11" i="2" s="1"/>
  <c r="R11" i="2" s="1"/>
  <c r="K12" i="2"/>
  <c r="K13" i="2"/>
  <c r="L13" i="2" s="1"/>
  <c r="I13" i="2" s="1"/>
  <c r="R13" i="2" s="1"/>
  <c r="K14" i="2"/>
  <c r="L14" i="2" s="1"/>
  <c r="I14" i="2" s="1"/>
  <c r="R14" i="2" s="1"/>
  <c r="K15" i="2"/>
  <c r="L15" i="2" s="1"/>
  <c r="I15" i="2" s="1"/>
  <c r="K16" i="2"/>
  <c r="K17" i="2"/>
  <c r="L17" i="2" s="1"/>
  <c r="I17" i="2" s="1"/>
  <c r="R17" i="2" s="1"/>
  <c r="K18" i="2"/>
  <c r="L18" i="2" s="1"/>
  <c r="I18" i="2" s="1"/>
  <c r="R18" i="2" s="1"/>
  <c r="K19" i="2"/>
  <c r="L19" i="2" s="1"/>
  <c r="I19" i="2" s="1"/>
  <c r="R19" i="2" s="1"/>
  <c r="K20" i="2"/>
  <c r="K21" i="2"/>
  <c r="K22" i="2"/>
  <c r="L22" i="2" s="1"/>
  <c r="I22" i="2" s="1"/>
  <c r="R22" i="2" s="1"/>
  <c r="K23" i="2"/>
  <c r="L23" i="2" s="1"/>
  <c r="I23" i="2" s="1"/>
  <c r="R23" i="2" s="1"/>
  <c r="K24" i="2"/>
  <c r="K25" i="2"/>
  <c r="L25" i="2" s="1"/>
  <c r="I25" i="2" s="1"/>
  <c r="R25" i="2" s="1"/>
  <c r="K26" i="2"/>
  <c r="L26" i="2" s="1"/>
  <c r="I26" i="2" s="1"/>
  <c r="R26" i="2" s="1"/>
  <c r="K27" i="2"/>
  <c r="L27" i="2" s="1"/>
  <c r="K28" i="2"/>
  <c r="K29" i="2"/>
  <c r="L29" i="2" s="1"/>
  <c r="I29" i="2" s="1"/>
  <c r="S29" i="2" s="1"/>
  <c r="K30" i="2"/>
  <c r="L30" i="2" s="1"/>
  <c r="I30" i="2" s="1"/>
  <c r="S30" i="2" s="1"/>
  <c r="K31" i="2"/>
  <c r="L31" i="2" s="1"/>
  <c r="I31" i="2" s="1"/>
  <c r="R31" i="2" s="1"/>
  <c r="K33" i="2"/>
  <c r="K34" i="2"/>
  <c r="L34" i="2" s="1"/>
  <c r="I34" i="2" s="1"/>
  <c r="R34" i="2" s="1"/>
  <c r="K35" i="2"/>
  <c r="L35" i="2" s="1"/>
  <c r="I35" i="2" s="1"/>
  <c r="R35" i="2" s="1"/>
  <c r="K37" i="2"/>
  <c r="L37" i="2"/>
  <c r="I37" i="2" s="1"/>
  <c r="S37" i="2" s="1"/>
  <c r="K38" i="2"/>
  <c r="K39" i="2"/>
  <c r="K40" i="2"/>
  <c r="L40" i="2"/>
  <c r="I40" i="2" s="1"/>
  <c r="S40" i="2" s="1"/>
  <c r="K41" i="2"/>
  <c r="L41" i="2" s="1"/>
  <c r="I41" i="2" s="1"/>
  <c r="S41" i="2" s="1"/>
  <c r="K43" i="2"/>
  <c r="K44" i="2"/>
  <c r="L44" i="2" s="1"/>
  <c r="I44" i="2" s="1"/>
  <c r="R44" i="2" s="1"/>
  <c r="K45" i="2"/>
  <c r="L45" i="2" s="1"/>
  <c r="I45" i="2" s="1"/>
  <c r="R45" i="2" s="1"/>
  <c r="K46" i="2"/>
  <c r="L46" i="2" s="1"/>
  <c r="I46" i="2" s="1"/>
  <c r="R46" i="2" s="1"/>
  <c r="K47" i="2"/>
  <c r="K48" i="2"/>
  <c r="L48" i="2" s="1"/>
  <c r="I48" i="2" s="1"/>
  <c r="R48" i="2" s="1"/>
  <c r="K49" i="2"/>
  <c r="L49" i="2" s="1"/>
  <c r="I49" i="2" s="1"/>
  <c r="K50" i="2"/>
  <c r="L50" i="2" s="1"/>
  <c r="I50" i="2" s="1"/>
  <c r="K51" i="2"/>
  <c r="K52" i="2"/>
  <c r="L52" i="2" s="1"/>
  <c r="I52" i="2" s="1"/>
  <c r="R52" i="2" s="1"/>
  <c r="K53" i="2"/>
  <c r="L53" i="2" s="1"/>
  <c r="I53" i="2" s="1"/>
  <c r="R53" i="2" s="1"/>
  <c r="K55" i="2"/>
  <c r="L55" i="2" s="1"/>
  <c r="I55" i="2" s="1"/>
  <c r="R55" i="2" s="1"/>
  <c r="K56" i="2"/>
  <c r="K57" i="2"/>
  <c r="L57" i="2" s="1"/>
  <c r="I57" i="2" s="1"/>
  <c r="S57" i="2" s="1"/>
  <c r="K58" i="2"/>
  <c r="L58" i="2" s="1"/>
  <c r="I58" i="2" s="1"/>
  <c r="S58" i="2" s="1"/>
  <c r="K59" i="2"/>
  <c r="L59" i="2" s="1"/>
  <c r="I59" i="2" s="1"/>
  <c r="R59" i="2" s="1"/>
  <c r="K60" i="2"/>
  <c r="K61" i="2"/>
  <c r="K62" i="2"/>
  <c r="L62" i="2" s="1"/>
  <c r="I62" i="2" s="1"/>
  <c r="R62" i="2" s="1"/>
  <c r="K63" i="2"/>
  <c r="L63" i="2" s="1"/>
  <c r="I63" i="2" s="1"/>
  <c r="R63" i="2" s="1"/>
  <c r="K64" i="2"/>
  <c r="K65" i="2"/>
  <c r="L65" i="2" s="1"/>
  <c r="I65" i="2" s="1"/>
  <c r="K66" i="2"/>
  <c r="L66" i="2" s="1"/>
  <c r="I66" i="2" s="1"/>
  <c r="R66" i="2" s="1"/>
  <c r="K68" i="2"/>
  <c r="L68" i="2" s="1"/>
  <c r="I68" i="2" s="1"/>
  <c r="S68" i="2" s="1"/>
  <c r="K69" i="2"/>
  <c r="K70" i="2"/>
  <c r="L70" i="2" s="1"/>
  <c r="I70" i="2" s="1"/>
  <c r="R70" i="2" s="1"/>
  <c r="K71" i="2"/>
  <c r="L71" i="2" s="1"/>
  <c r="I71" i="2" s="1"/>
  <c r="R71" i="2" s="1"/>
  <c r="K74" i="2"/>
  <c r="L74" i="2" s="1"/>
  <c r="I74" i="2" s="1"/>
  <c r="K75" i="2"/>
  <c r="K76" i="2"/>
  <c r="L76" i="2" s="1"/>
  <c r="I76" i="2" s="1"/>
  <c r="R76" i="2" s="1"/>
  <c r="K77" i="2"/>
  <c r="L77" i="2" s="1"/>
  <c r="I77" i="2" s="1"/>
  <c r="R77" i="2" s="1"/>
  <c r="K78" i="2"/>
  <c r="L78" i="2" s="1"/>
  <c r="K79" i="2"/>
  <c r="K80" i="2"/>
  <c r="L80" i="2" s="1"/>
  <c r="I80" i="2" s="1"/>
  <c r="R80" i="2" s="1"/>
  <c r="K81" i="2"/>
  <c r="L81" i="2" s="1"/>
  <c r="I81" i="2" s="1"/>
  <c r="R81" i="2" s="1"/>
  <c r="K82" i="2"/>
  <c r="L82" i="2" s="1"/>
  <c r="I82" i="2" s="1"/>
  <c r="R82" i="2" s="1"/>
  <c r="K83" i="2"/>
  <c r="K84" i="2"/>
  <c r="L84" i="2" s="1"/>
  <c r="I84" i="2" s="1"/>
  <c r="R84" i="2" s="1"/>
  <c r="K85" i="2"/>
  <c r="L85" i="2"/>
  <c r="I85" i="2" s="1"/>
  <c r="R85" i="2" s="1"/>
  <c r="K86" i="2"/>
  <c r="L86" i="2" s="1"/>
  <c r="I86" i="2" s="1"/>
  <c r="R86" i="2" s="1"/>
  <c r="K87" i="2"/>
  <c r="K88" i="2"/>
  <c r="L88" i="2" s="1"/>
  <c r="I88" i="2" s="1"/>
  <c r="R88" i="2" s="1"/>
  <c r="K90" i="2"/>
  <c r="L90" i="2" s="1"/>
  <c r="I90" i="2" s="1"/>
  <c r="R90" i="2" s="1"/>
  <c r="K91" i="2"/>
  <c r="L91" i="2" s="1"/>
  <c r="I91" i="2" s="1"/>
  <c r="R91" i="2" s="1"/>
  <c r="K98" i="2"/>
  <c r="K99" i="2"/>
  <c r="K100" i="2"/>
  <c r="L100" i="2" s="1"/>
  <c r="I100" i="2" s="1"/>
  <c r="S100" i="2" s="1"/>
  <c r="K102" i="2"/>
  <c r="L102" i="2" s="1"/>
  <c r="I102" i="2" s="1"/>
  <c r="R102" i="2" s="1"/>
  <c r="K103" i="2"/>
  <c r="K104" i="2"/>
  <c r="L104" i="2"/>
  <c r="I104" i="2" s="1"/>
  <c r="R104" i="2" s="1"/>
  <c r="K115" i="2"/>
  <c r="L115" i="2" s="1"/>
  <c r="I115" i="2" s="1"/>
  <c r="R115" i="2" s="1"/>
  <c r="K119" i="2"/>
  <c r="L119" i="2"/>
  <c r="I119" i="2" s="1"/>
  <c r="S119" i="2" s="1"/>
  <c r="K120" i="2"/>
  <c r="K122" i="2"/>
  <c r="L122" i="2" s="1"/>
  <c r="I122" i="2" s="1"/>
  <c r="R122" i="2" s="1"/>
  <c r="K123" i="2"/>
  <c r="L123" i="2" s="1"/>
  <c r="I123" i="2" s="1"/>
  <c r="R123" i="2" s="1"/>
  <c r="K124" i="2"/>
  <c r="L124" i="2" s="1"/>
  <c r="I124" i="2" s="1"/>
  <c r="K125" i="2"/>
  <c r="K126" i="2"/>
  <c r="L126" i="2" s="1"/>
  <c r="I126" i="2" s="1"/>
  <c r="R126" i="2" s="1"/>
  <c r="K127" i="2"/>
  <c r="L127" i="2" s="1"/>
  <c r="I127" i="2" s="1"/>
  <c r="R127" i="2" s="1"/>
  <c r="K128" i="2"/>
  <c r="L128" i="2" s="1"/>
  <c r="K129" i="2"/>
  <c r="K130" i="2"/>
  <c r="L130" i="2" s="1"/>
  <c r="I130" i="2" s="1"/>
  <c r="R130" i="2" s="1"/>
  <c r="K131" i="2"/>
  <c r="L131" i="2" s="1"/>
  <c r="I131" i="2" s="1"/>
  <c r="R131" i="2" s="1"/>
  <c r="K132" i="2"/>
  <c r="L132" i="2" s="1"/>
  <c r="I132" i="2" s="1"/>
  <c r="S132" i="2" s="1"/>
  <c r="K133" i="2"/>
  <c r="K134" i="2"/>
  <c r="L134" i="2" s="1"/>
  <c r="I134" i="2" s="1"/>
  <c r="R134" i="2" s="1"/>
  <c r="K135" i="2"/>
  <c r="L135" i="2"/>
  <c r="I135" i="2" s="1"/>
  <c r="R135" i="2" s="1"/>
  <c r="K136" i="2"/>
  <c r="L136" i="2" s="1"/>
  <c r="I136" i="2" s="1"/>
  <c r="S136" i="2" s="1"/>
  <c r="K137" i="2"/>
  <c r="K138" i="2"/>
  <c r="L138" i="2" s="1"/>
  <c r="I138" i="2" s="1"/>
  <c r="R138" i="2" s="1"/>
  <c r="K139" i="2"/>
  <c r="L139" i="2" s="1"/>
  <c r="I139" i="2" s="1"/>
  <c r="R139" i="2" s="1"/>
  <c r="K140" i="2"/>
  <c r="L140" i="2" s="1"/>
  <c r="I140" i="2" s="1"/>
  <c r="S140" i="2" s="1"/>
  <c r="K141" i="2"/>
  <c r="K142" i="2"/>
  <c r="L142" i="2" s="1"/>
  <c r="I142" i="2" s="1"/>
  <c r="R142" i="2" s="1"/>
  <c r="K143" i="2"/>
  <c r="L143" i="2" s="1"/>
  <c r="I143" i="2" s="1"/>
  <c r="R143" i="2" s="1"/>
  <c r="K144" i="2"/>
  <c r="L144" i="2" s="1"/>
  <c r="I144" i="2" s="1"/>
  <c r="R144" i="2" s="1"/>
  <c r="K145" i="2"/>
  <c r="K146" i="2"/>
  <c r="L146" i="2" s="1"/>
  <c r="I146" i="2" s="1"/>
  <c r="R146" i="2" s="1"/>
  <c r="K147" i="2"/>
  <c r="L147" i="2" s="1"/>
  <c r="I147" i="2" s="1"/>
  <c r="R147" i="2" s="1"/>
  <c r="K148" i="2"/>
  <c r="L148" i="2" s="1"/>
  <c r="I148" i="2" s="1"/>
  <c r="S148" i="2" s="1"/>
  <c r="K149" i="2"/>
  <c r="K150" i="2"/>
  <c r="L150" i="2" s="1"/>
  <c r="I150" i="2" s="1"/>
  <c r="R150" i="2" s="1"/>
  <c r="K151" i="2"/>
  <c r="L151" i="2" s="1"/>
  <c r="I151" i="2" s="1"/>
  <c r="R151" i="2" s="1"/>
  <c r="K152" i="2"/>
  <c r="L152" i="2" s="1"/>
  <c r="I152" i="2" s="1"/>
  <c r="S152" i="2" s="1"/>
  <c r="K153" i="2"/>
  <c r="K154" i="2"/>
  <c r="L154" i="2" s="1"/>
  <c r="I154" i="2" s="1"/>
  <c r="K155" i="2"/>
  <c r="L155" i="2" s="1"/>
  <c r="I155" i="2" s="1"/>
  <c r="R155" i="2" s="1"/>
  <c r="K156" i="2"/>
  <c r="L156" i="2" s="1"/>
  <c r="I156" i="2" s="1"/>
  <c r="R156" i="2" s="1"/>
  <c r="K180" i="2"/>
  <c r="K237" i="2"/>
  <c r="L237" i="2" s="1"/>
  <c r="I237" i="2" s="1"/>
  <c r="R237" i="2" s="1"/>
  <c r="K714" i="2"/>
  <c r="L714" i="2" s="1"/>
  <c r="I714" i="2" s="1"/>
  <c r="K899" i="2"/>
  <c r="L899" i="2" s="1"/>
  <c r="I899" i="2" s="1"/>
  <c r="S899" i="2" s="1"/>
  <c r="K993" i="2"/>
  <c r="H119" i="2"/>
  <c r="M119" i="2" s="1"/>
  <c r="H82" i="2"/>
  <c r="M82" i="2" s="1"/>
  <c r="H78" i="2"/>
  <c r="M78" i="2" s="1"/>
  <c r="H41" i="2"/>
  <c r="I128" i="2"/>
  <c r="S128" i="2" s="1"/>
  <c r="I78" i="2"/>
  <c r="R78" i="2" s="1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18" i="2"/>
  <c r="S113" i="2"/>
  <c r="S109" i="2"/>
  <c r="S105" i="2"/>
  <c r="S96" i="2"/>
  <c r="S89" i="2"/>
  <c r="S54" i="2"/>
  <c r="S97" i="2" l="1"/>
  <c r="R97" i="2"/>
  <c r="R42" i="2"/>
  <c r="S42" i="2"/>
  <c r="S93" i="2"/>
  <c r="R93" i="2"/>
  <c r="R106" i="2"/>
  <c r="S106" i="2"/>
  <c r="R110" i="2"/>
  <c r="S110" i="2"/>
  <c r="R114" i="2"/>
  <c r="S114" i="2"/>
  <c r="S72" i="2"/>
  <c r="R72" i="2"/>
  <c r="R95" i="2"/>
  <c r="S95" i="2"/>
  <c r="S107" i="2"/>
  <c r="R107" i="2"/>
  <c r="R111" i="2"/>
  <c r="S111" i="2"/>
  <c r="R73" i="2"/>
  <c r="S73" i="2"/>
  <c r="R101" i="2"/>
  <c r="S101" i="2"/>
  <c r="R117" i="2"/>
  <c r="S117" i="2"/>
  <c r="S36" i="2"/>
  <c r="R36" i="2"/>
  <c r="S121" i="2"/>
  <c r="H11" i="2"/>
  <c r="R100" i="2"/>
  <c r="R116" i="2"/>
  <c r="H72" i="2"/>
  <c r="H95" i="2"/>
  <c r="H117" i="2"/>
  <c r="H36" i="2"/>
  <c r="H94" i="2"/>
  <c r="H42" i="2"/>
  <c r="H73" i="2"/>
  <c r="H101" i="2"/>
  <c r="H107" i="2"/>
  <c r="H111" i="2"/>
  <c r="S108" i="2"/>
  <c r="S112" i="2"/>
  <c r="H136" i="2"/>
  <c r="M11" i="2"/>
  <c r="H67" i="2"/>
  <c r="H106" i="2"/>
  <c r="H108" i="2"/>
  <c r="H110" i="2"/>
  <c r="H112" i="2"/>
  <c r="H114" i="2"/>
  <c r="H121" i="2"/>
  <c r="S94" i="2"/>
  <c r="H102" i="2"/>
  <c r="M102" i="2" s="1"/>
  <c r="H152" i="2"/>
  <c r="M152" i="2" s="1"/>
  <c r="H63" i="2"/>
  <c r="M63" i="2" s="1"/>
  <c r="H59" i="2"/>
  <c r="M59" i="2" s="1"/>
  <c r="R132" i="2"/>
  <c r="H23" i="2"/>
  <c r="M23" i="2" s="1"/>
  <c r="H132" i="2"/>
  <c r="M132" i="2" s="1"/>
  <c r="M41" i="2"/>
  <c r="R136" i="2"/>
  <c r="R152" i="2"/>
  <c r="S15" i="2"/>
  <c r="R15" i="2"/>
  <c r="S50" i="2"/>
  <c r="R50" i="2"/>
  <c r="S124" i="2"/>
  <c r="R124" i="2"/>
  <c r="S65" i="2"/>
  <c r="R65" i="2"/>
  <c r="S74" i="2"/>
  <c r="R74" i="2"/>
  <c r="S49" i="2"/>
  <c r="R49" i="2"/>
  <c r="S7" i="2"/>
  <c r="R7" i="2"/>
  <c r="R32" i="2"/>
  <c r="S32" i="2"/>
  <c r="S78" i="2"/>
  <c r="R119" i="2"/>
  <c r="R899" i="2"/>
  <c r="R30" i="2"/>
  <c r="R58" i="2"/>
  <c r="R68" i="2"/>
  <c r="R148" i="2"/>
  <c r="H32" i="2"/>
  <c r="H7" i="2"/>
  <c r="M7" i="2" s="1"/>
  <c r="H148" i="2"/>
  <c r="M148" i="2" s="1"/>
  <c r="R40" i="2"/>
  <c r="R128" i="2"/>
  <c r="R140" i="2"/>
  <c r="R29" i="2"/>
  <c r="R37" i="2"/>
  <c r="R41" i="2"/>
  <c r="R57" i="2"/>
  <c r="S31" i="2"/>
  <c r="S22" i="2"/>
  <c r="S11" i="2"/>
  <c r="S131" i="2"/>
  <c r="S139" i="2"/>
  <c r="S86" i="2"/>
  <c r="S59" i="2"/>
  <c r="S46" i="2"/>
  <c r="S23" i="2"/>
  <c r="S14" i="2"/>
  <c r="S123" i="2"/>
  <c r="S85" i="2"/>
  <c r="S55" i="2"/>
  <c r="S19" i="2"/>
  <c r="M136" i="2"/>
  <c r="H27" i="2"/>
  <c r="M27" i="2" s="1"/>
  <c r="S147" i="2"/>
  <c r="H46" i="2"/>
  <c r="M46" i="2" s="1"/>
  <c r="S144" i="2"/>
  <c r="S13" i="2"/>
  <c r="S156" i="2"/>
  <c r="S66" i="2"/>
  <c r="L79" i="2"/>
  <c r="I79" i="2" s="1"/>
  <c r="L64" i="2"/>
  <c r="I64" i="2" s="1"/>
  <c r="R64" i="2" s="1"/>
  <c r="L43" i="2"/>
  <c r="I43" i="2" s="1"/>
  <c r="S77" i="2"/>
  <c r="L98" i="2"/>
  <c r="I98" i="2" s="1"/>
  <c r="L60" i="2"/>
  <c r="I60" i="2" s="1"/>
  <c r="L38" i="2"/>
  <c r="I38" i="2" s="1"/>
  <c r="L20" i="2"/>
  <c r="I20" i="2" s="1"/>
  <c r="R20" i="2" s="1"/>
  <c r="L4" i="2"/>
  <c r="I4" i="2" s="1"/>
  <c r="R4" i="2" s="1"/>
  <c r="L69" i="2"/>
  <c r="I69" i="2" s="1"/>
  <c r="R69" i="2" s="1"/>
  <c r="L8" i="2"/>
  <c r="I8" i="2" s="1"/>
  <c r="R8" i="2" s="1"/>
  <c r="S91" i="2"/>
  <c r="L993" i="2"/>
  <c r="I993" i="2" s="1"/>
  <c r="R993" i="2" s="1"/>
  <c r="L180" i="2"/>
  <c r="I180" i="2" s="1"/>
  <c r="L153" i="2"/>
  <c r="I153" i="2" s="1"/>
  <c r="R153" i="2" s="1"/>
  <c r="L149" i="2"/>
  <c r="I149" i="2" s="1"/>
  <c r="R149" i="2" s="1"/>
  <c r="L145" i="2"/>
  <c r="I145" i="2" s="1"/>
  <c r="L141" i="2"/>
  <c r="I141" i="2" s="1"/>
  <c r="R141" i="2" s="1"/>
  <c r="L137" i="2"/>
  <c r="I137" i="2" s="1"/>
  <c r="R137" i="2" s="1"/>
  <c r="L133" i="2"/>
  <c r="I133" i="2" s="1"/>
  <c r="L129" i="2"/>
  <c r="I129" i="2" s="1"/>
  <c r="L125" i="2"/>
  <c r="I125" i="2" s="1"/>
  <c r="R125" i="2" s="1"/>
  <c r="L87" i="2"/>
  <c r="I87" i="2" s="1"/>
  <c r="R87" i="2" s="1"/>
  <c r="L56" i="2"/>
  <c r="I56" i="2" s="1"/>
  <c r="L33" i="2"/>
  <c r="I33" i="2" s="1"/>
  <c r="R33" i="2" s="1"/>
  <c r="L16" i="2"/>
  <c r="I16" i="2" s="1"/>
  <c r="L103" i="2"/>
  <c r="I103" i="2" s="1"/>
  <c r="L75" i="2"/>
  <c r="I75" i="2" s="1"/>
  <c r="R75" i="2" s="1"/>
  <c r="L24" i="2"/>
  <c r="I24" i="2" s="1"/>
  <c r="L120" i="2"/>
  <c r="I120" i="2" s="1"/>
  <c r="L99" i="2"/>
  <c r="I99" i="2" s="1"/>
  <c r="R99" i="2" s="1"/>
  <c r="L83" i="2"/>
  <c r="I83" i="2" s="1"/>
  <c r="L61" i="2"/>
  <c r="I61" i="2" s="1"/>
  <c r="L51" i="2"/>
  <c r="I51" i="2" s="1"/>
  <c r="R51" i="2" s="1"/>
  <c r="L47" i="2"/>
  <c r="I47" i="2" s="1"/>
  <c r="L39" i="2"/>
  <c r="I39" i="2" s="1"/>
  <c r="R39" i="2" s="1"/>
  <c r="L28" i="2"/>
  <c r="I28" i="2" s="1"/>
  <c r="L21" i="2"/>
  <c r="I21" i="2" s="1"/>
  <c r="L12" i="2"/>
  <c r="I12" i="2" s="1"/>
  <c r="L5" i="2"/>
  <c r="I5" i="2" s="1"/>
  <c r="R5" i="2" s="1"/>
  <c r="S63" i="2"/>
  <c r="S82" i="2"/>
  <c r="S102" i="2"/>
  <c r="S146" i="2"/>
  <c r="S17" i="2"/>
  <c r="S25" i="2"/>
  <c r="S34" i="2"/>
  <c r="S70" i="2"/>
  <c r="S126" i="2"/>
  <c r="S134" i="2"/>
  <c r="S142" i="2"/>
  <c r="S150" i="2"/>
  <c r="S237" i="2"/>
  <c r="S10" i="2"/>
  <c r="S18" i="2"/>
  <c r="S26" i="2"/>
  <c r="S35" i="2"/>
  <c r="S45" i="2"/>
  <c r="S53" i="2"/>
  <c r="S62" i="2"/>
  <c r="S71" i="2"/>
  <c r="S81" i="2"/>
  <c r="S90" i="2"/>
  <c r="S115" i="2"/>
  <c r="S127" i="2"/>
  <c r="S135" i="2"/>
  <c r="S143" i="2"/>
  <c r="S151" i="2"/>
  <c r="S714" i="2"/>
  <c r="S122" i="2"/>
  <c r="H15" i="2"/>
  <c r="M15" i="2" s="1"/>
  <c r="H31" i="2"/>
  <c r="M31" i="2" s="1"/>
  <c r="H50" i="2"/>
  <c r="M50" i="2" s="1"/>
  <c r="H68" i="2"/>
  <c r="M68" i="2" s="1"/>
  <c r="H86" i="2"/>
  <c r="M86" i="2" s="1"/>
  <c r="H124" i="2"/>
  <c r="M124" i="2" s="1"/>
  <c r="H140" i="2"/>
  <c r="M140" i="2" s="1"/>
  <c r="H156" i="2"/>
  <c r="M156" i="2" s="1"/>
  <c r="S154" i="2"/>
  <c r="S155" i="2"/>
  <c r="S6" i="2"/>
  <c r="S130" i="2"/>
  <c r="S138" i="2"/>
  <c r="H3" i="2"/>
  <c r="M3" i="2" s="1"/>
  <c r="H19" i="2"/>
  <c r="M19" i="2" s="1"/>
  <c r="H37" i="2"/>
  <c r="M37" i="2" s="1"/>
  <c r="H55" i="2"/>
  <c r="M55" i="2" s="1"/>
  <c r="H74" i="2"/>
  <c r="M74" i="2" s="1"/>
  <c r="H91" i="2"/>
  <c r="M91" i="2" s="1"/>
  <c r="H128" i="2"/>
  <c r="M128" i="2" s="1"/>
  <c r="H144" i="2"/>
  <c r="M144" i="2" s="1"/>
  <c r="H899" i="2"/>
  <c r="M899" i="2" s="1"/>
  <c r="S3" i="2"/>
  <c r="S153" i="2"/>
  <c r="H4" i="2"/>
  <c r="M4" i="2" s="1"/>
  <c r="H8" i="2"/>
  <c r="M8" i="2" s="1"/>
  <c r="H12" i="2"/>
  <c r="M12" i="2" s="1"/>
  <c r="H16" i="2"/>
  <c r="M16" i="2" s="1"/>
  <c r="H20" i="2"/>
  <c r="M20" i="2" s="1"/>
  <c r="H24" i="2"/>
  <c r="M24" i="2" s="1"/>
  <c r="H28" i="2"/>
  <c r="M28" i="2" s="1"/>
  <c r="H33" i="2"/>
  <c r="M33" i="2" s="1"/>
  <c r="H38" i="2"/>
  <c r="M38" i="2" s="1"/>
  <c r="H43" i="2"/>
  <c r="M43" i="2" s="1"/>
  <c r="H47" i="2"/>
  <c r="M47" i="2" s="1"/>
  <c r="H51" i="2"/>
  <c r="M51" i="2" s="1"/>
  <c r="H56" i="2"/>
  <c r="M56" i="2" s="1"/>
  <c r="H60" i="2"/>
  <c r="M60" i="2" s="1"/>
  <c r="H64" i="2"/>
  <c r="M64" i="2" s="1"/>
  <c r="H69" i="2"/>
  <c r="M69" i="2" s="1"/>
  <c r="H75" i="2"/>
  <c r="M75" i="2" s="1"/>
  <c r="H79" i="2"/>
  <c r="M79" i="2" s="1"/>
  <c r="H83" i="2"/>
  <c r="M83" i="2" s="1"/>
  <c r="H87" i="2"/>
  <c r="M87" i="2" s="1"/>
  <c r="H98" i="2"/>
  <c r="M98" i="2" s="1"/>
  <c r="H103" i="2"/>
  <c r="M103" i="2" s="1"/>
  <c r="H120" i="2"/>
  <c r="M120" i="2" s="1"/>
  <c r="H125" i="2"/>
  <c r="M125" i="2" s="1"/>
  <c r="H129" i="2"/>
  <c r="M129" i="2" s="1"/>
  <c r="H133" i="2"/>
  <c r="M133" i="2" s="1"/>
  <c r="H137" i="2"/>
  <c r="M137" i="2" s="1"/>
  <c r="H141" i="2"/>
  <c r="M141" i="2" s="1"/>
  <c r="H145" i="2"/>
  <c r="M145" i="2" s="1"/>
  <c r="H149" i="2"/>
  <c r="M149" i="2" s="1"/>
  <c r="H153" i="2"/>
  <c r="M153" i="2" s="1"/>
  <c r="H180" i="2"/>
  <c r="M180" i="2" s="1"/>
  <c r="H993" i="2"/>
  <c r="M993" i="2" s="1"/>
  <c r="H5" i="2"/>
  <c r="M5" i="2" s="1"/>
  <c r="H9" i="2"/>
  <c r="M9" i="2" s="1"/>
  <c r="H13" i="2"/>
  <c r="M13" i="2" s="1"/>
  <c r="H17" i="2"/>
  <c r="M17" i="2" s="1"/>
  <c r="H21" i="2"/>
  <c r="M21" i="2" s="1"/>
  <c r="H25" i="2"/>
  <c r="M25" i="2" s="1"/>
  <c r="H29" i="2"/>
  <c r="M29" i="2" s="1"/>
  <c r="H34" i="2"/>
  <c r="M34" i="2" s="1"/>
  <c r="H39" i="2"/>
  <c r="M39" i="2" s="1"/>
  <c r="H44" i="2"/>
  <c r="M44" i="2" s="1"/>
  <c r="H48" i="2"/>
  <c r="M48" i="2" s="1"/>
  <c r="H52" i="2"/>
  <c r="M52" i="2" s="1"/>
  <c r="H57" i="2"/>
  <c r="M57" i="2" s="1"/>
  <c r="H61" i="2"/>
  <c r="M61" i="2" s="1"/>
  <c r="H65" i="2"/>
  <c r="M65" i="2" s="1"/>
  <c r="H70" i="2"/>
  <c r="M70" i="2" s="1"/>
  <c r="H76" i="2"/>
  <c r="M76" i="2" s="1"/>
  <c r="H80" i="2"/>
  <c r="M80" i="2" s="1"/>
  <c r="H84" i="2"/>
  <c r="M84" i="2" s="1"/>
  <c r="H88" i="2"/>
  <c r="M88" i="2" s="1"/>
  <c r="H99" i="2"/>
  <c r="M99" i="2" s="1"/>
  <c r="H104" i="2"/>
  <c r="M104" i="2" s="1"/>
  <c r="H122" i="2"/>
  <c r="M122" i="2" s="1"/>
  <c r="H126" i="2"/>
  <c r="M126" i="2" s="1"/>
  <c r="H130" i="2"/>
  <c r="M130" i="2" s="1"/>
  <c r="H134" i="2"/>
  <c r="M134" i="2" s="1"/>
  <c r="H138" i="2"/>
  <c r="M138" i="2" s="1"/>
  <c r="H142" i="2"/>
  <c r="M142" i="2" s="1"/>
  <c r="H146" i="2"/>
  <c r="M146" i="2" s="1"/>
  <c r="H150" i="2"/>
  <c r="M150" i="2" s="1"/>
  <c r="H154" i="2"/>
  <c r="M154" i="2" s="1"/>
  <c r="H237" i="2"/>
  <c r="M237" i="2" s="1"/>
  <c r="H6" i="2"/>
  <c r="M6" i="2" s="1"/>
  <c r="H10" i="2"/>
  <c r="M10" i="2" s="1"/>
  <c r="H14" i="2"/>
  <c r="M14" i="2" s="1"/>
  <c r="H18" i="2"/>
  <c r="M18" i="2" s="1"/>
  <c r="H22" i="2"/>
  <c r="M22" i="2" s="1"/>
  <c r="H26" i="2"/>
  <c r="M26" i="2" s="1"/>
  <c r="H30" i="2"/>
  <c r="M30" i="2" s="1"/>
  <c r="H35" i="2"/>
  <c r="M35" i="2" s="1"/>
  <c r="H40" i="2"/>
  <c r="M40" i="2" s="1"/>
  <c r="H45" i="2"/>
  <c r="M45" i="2" s="1"/>
  <c r="H49" i="2"/>
  <c r="M49" i="2" s="1"/>
  <c r="H53" i="2"/>
  <c r="M53" i="2" s="1"/>
  <c r="H58" i="2"/>
  <c r="M58" i="2" s="1"/>
  <c r="H62" i="2"/>
  <c r="M62" i="2" s="1"/>
  <c r="H66" i="2"/>
  <c r="M66" i="2" s="1"/>
  <c r="H71" i="2"/>
  <c r="M71" i="2" s="1"/>
  <c r="H77" i="2"/>
  <c r="M77" i="2" s="1"/>
  <c r="H81" i="2"/>
  <c r="M81" i="2" s="1"/>
  <c r="H85" i="2"/>
  <c r="M85" i="2" s="1"/>
  <c r="H90" i="2"/>
  <c r="M90" i="2" s="1"/>
  <c r="H100" i="2"/>
  <c r="M100" i="2" s="1"/>
  <c r="H115" i="2"/>
  <c r="M115" i="2" s="1"/>
  <c r="H123" i="2"/>
  <c r="M123" i="2" s="1"/>
  <c r="H127" i="2"/>
  <c r="M127" i="2" s="1"/>
  <c r="H131" i="2"/>
  <c r="M131" i="2" s="1"/>
  <c r="H135" i="2"/>
  <c r="M135" i="2" s="1"/>
  <c r="H139" i="2"/>
  <c r="M139" i="2" s="1"/>
  <c r="H143" i="2"/>
  <c r="M143" i="2" s="1"/>
  <c r="H147" i="2"/>
  <c r="M147" i="2" s="1"/>
  <c r="H151" i="2"/>
  <c r="M151" i="2" s="1"/>
  <c r="H155" i="2"/>
  <c r="M155" i="2" s="1"/>
  <c r="H714" i="2"/>
  <c r="M714" i="2" s="1"/>
  <c r="S99" i="2"/>
  <c r="S44" i="2"/>
  <c r="S48" i="2"/>
  <c r="S52" i="2"/>
  <c r="S76" i="2"/>
  <c r="S80" i="2"/>
  <c r="S84" i="2"/>
  <c r="S88" i="2"/>
  <c r="S104" i="2"/>
  <c r="S9" i="2"/>
  <c r="I27" i="2"/>
  <c r="R27" i="2" s="1"/>
  <c r="T1" i="2"/>
  <c r="A1" i="2"/>
  <c r="J21" i="1" s="1"/>
  <c r="S75" i="2" l="1"/>
  <c r="S20" i="2"/>
  <c r="S33" i="2"/>
  <c r="S12" i="2"/>
  <c r="R12" i="2"/>
  <c r="S83" i="2"/>
  <c r="R83" i="2"/>
  <c r="S145" i="2"/>
  <c r="R145" i="2"/>
  <c r="S60" i="2"/>
  <c r="R60" i="2"/>
  <c r="S141" i="2"/>
  <c r="S21" i="2"/>
  <c r="R21" i="2"/>
  <c r="S56" i="2"/>
  <c r="R56" i="2"/>
  <c r="S133" i="2"/>
  <c r="R133" i="2"/>
  <c r="S98" i="2"/>
  <c r="R98" i="2"/>
  <c r="S16" i="2"/>
  <c r="R16" i="2"/>
  <c r="S180" i="2"/>
  <c r="R180" i="2"/>
  <c r="S43" i="2"/>
  <c r="R43" i="2"/>
  <c r="S47" i="2"/>
  <c r="R47" i="2"/>
  <c r="S24" i="2"/>
  <c r="R24" i="2"/>
  <c r="S129" i="2"/>
  <c r="R129" i="2"/>
  <c r="S28" i="2"/>
  <c r="R28" i="2"/>
  <c r="S61" i="2"/>
  <c r="R61" i="2"/>
  <c r="S120" i="2"/>
  <c r="R120" i="2"/>
  <c r="S103" i="2"/>
  <c r="R103" i="2"/>
  <c r="S38" i="2"/>
  <c r="R38" i="2"/>
  <c r="S79" i="2"/>
  <c r="R79" i="2"/>
  <c r="S993" i="2"/>
  <c r="S69" i="2"/>
  <c r="S64" i="2"/>
  <c r="S87" i="2"/>
  <c r="S5" i="2"/>
  <c r="S8" i="2"/>
  <c r="S51" i="2"/>
  <c r="S4" i="2"/>
  <c r="S39" i="2"/>
  <c r="S137" i="2"/>
  <c r="S125" i="2"/>
  <c r="S149" i="2"/>
  <c r="S27" i="2"/>
  <c r="I1" i="2"/>
  <c r="K27" i="1" s="1"/>
  <c r="H1" i="2"/>
  <c r="K31" i="1" s="1"/>
  <c r="S1" i="2" l="1"/>
  <c r="K29" i="1" s="1"/>
  <c r="R1" i="2"/>
  <c r="K28" i="1" s="1"/>
  <c r="K30" i="1"/>
  <c r="F36" i="1" l="1"/>
  <c r="C34" i="1" s="1"/>
</calcChain>
</file>

<file path=xl/sharedStrings.xml><?xml version="1.0" encoding="utf-8"?>
<sst xmlns="http://schemas.openxmlformats.org/spreadsheetml/2006/main" count="13307" uniqueCount="3674">
  <si>
    <t>Participant Name</t>
  </si>
  <si>
    <t>Address</t>
  </si>
  <si>
    <t>Computation</t>
  </si>
  <si>
    <t>PAK SUZUKI MOTOR COMPANY LIMITED.</t>
  </si>
  <si>
    <t>DSU-13 PAKISTAN STEEL INDUSTRIAL ESTATE, BIN QASIM, KARACHI -75000.</t>
  </si>
  <si>
    <t>Expiry Date :</t>
  </si>
  <si>
    <t>To be advised</t>
  </si>
  <si>
    <t>Effective Date:</t>
  </si>
  <si>
    <t>Date Of Issue:</t>
  </si>
  <si>
    <t>Make:</t>
  </si>
  <si>
    <t>Suzuki Motorcycle</t>
  </si>
  <si>
    <t>No of Bikes</t>
  </si>
  <si>
    <t>Gross Contribution</t>
  </si>
  <si>
    <t>F.I.F   1%</t>
  </si>
  <si>
    <t>Stamp Duty</t>
  </si>
  <si>
    <t>Net Contribution</t>
  </si>
  <si>
    <t>/- be cheque in favour of M/s. Salaam Takaful Limited.</t>
  </si>
  <si>
    <t>Policy #</t>
  </si>
  <si>
    <t>Dealer</t>
  </si>
  <si>
    <t>Period From</t>
  </si>
  <si>
    <t>Period To</t>
  </si>
  <si>
    <t>Insured Name</t>
  </si>
  <si>
    <t>Vehicle Info</t>
  </si>
  <si>
    <t>Net</t>
  </si>
  <si>
    <t>Gross</t>
  </si>
  <si>
    <t>Engine</t>
  </si>
  <si>
    <t>Issue date</t>
  </si>
  <si>
    <t>Policy Name</t>
  </si>
  <si>
    <t>SumCovered</t>
  </si>
  <si>
    <t>F.I.F 1%</t>
  </si>
  <si>
    <t>A R Suzuki</t>
  </si>
  <si>
    <t>TR Suzuki</t>
  </si>
  <si>
    <t>UR Suzuki</t>
  </si>
  <si>
    <t xml:space="preserve">	Suzuki Defence Motors</t>
  </si>
  <si>
    <t>FSD Suzuki</t>
  </si>
  <si>
    <t>UP Suzuki</t>
  </si>
  <si>
    <t>South</t>
  </si>
  <si>
    <t>GT Suzuki</t>
  </si>
  <si>
    <t>Khalil Motor</t>
  </si>
  <si>
    <t>Suzuki Mandviwalla Motors</t>
  </si>
  <si>
    <t>Grand Total</t>
  </si>
  <si>
    <t>Net Premium</t>
  </si>
  <si>
    <t>No. Of Policies</t>
  </si>
  <si>
    <t>Showroom</t>
  </si>
  <si>
    <t>Policy</t>
  </si>
  <si>
    <t>As Per Schedule</t>
  </si>
  <si>
    <t>Risk Covered</t>
  </si>
  <si>
    <t>MOTORCYCLE COMPREHENSIVE</t>
  </si>
  <si>
    <t xml:space="preserve">Payment Of PKR. Rs. </t>
  </si>
  <si>
    <t>KR Suzuki</t>
  </si>
  <si>
    <t>GR Suzuki</t>
  </si>
  <si>
    <t>Suzuki Falcon Motors</t>
  </si>
  <si>
    <t>Suzuki Zeeshan Autos</t>
  </si>
  <si>
    <t>Suzuki R.Y.Khan</t>
  </si>
  <si>
    <t>MS Suzuki</t>
  </si>
  <si>
    <t>Suzuki Canal Motors Faisalabad Branch</t>
  </si>
  <si>
    <t>MUHAMMAD SHAHZAD</t>
  </si>
  <si>
    <t>MUHAMMAD USMAN</t>
  </si>
  <si>
    <t>MOTORCYCLE  COMPREHENSIVE</t>
  </si>
  <si>
    <t>MUHAMMAD IMRAN</t>
  </si>
  <si>
    <t>MUHAMMAD ASIF</t>
  </si>
  <si>
    <t>SUZUKI-GD-110S</t>
  </si>
  <si>
    <t>SUZUKI-GS 150</t>
  </si>
  <si>
    <t>SUZUKI-GR150 EURO II</t>
  </si>
  <si>
    <t>SUZUKI-GSX 125</t>
  </si>
  <si>
    <t>SUZUKI-GS-150</t>
  </si>
  <si>
    <t>CR Suzuki</t>
  </si>
  <si>
    <t>WR Suzuki</t>
  </si>
  <si>
    <t>ABDUL REHMAN</t>
  </si>
  <si>
    <t>MUHAMMAD WAQAS</t>
  </si>
  <si>
    <t>MR Suzuki</t>
  </si>
  <si>
    <t>Gujrat Suzuki</t>
  </si>
  <si>
    <t>Sethi Motors</t>
  </si>
  <si>
    <t>SG Suzuki</t>
  </si>
  <si>
    <t>ABDULLAH</t>
  </si>
  <si>
    <t>UMAR FAROOQ</t>
  </si>
  <si>
    <t>MUHAMMAD ALI</t>
  </si>
  <si>
    <t>MUHAMMAD AMIR</t>
  </si>
  <si>
    <t>MUHAMMAD RIAZ</t>
  </si>
  <si>
    <t>MUHAMMAD UMAIR</t>
  </si>
  <si>
    <t>SR Suzuki</t>
  </si>
  <si>
    <t>Suzuki Ravi Motors</t>
  </si>
  <si>
    <t>ALI RAZA</t>
  </si>
  <si>
    <t>MUHAMMAD WASEEM</t>
  </si>
  <si>
    <t>MUHAMMAD ZEESHAN</t>
  </si>
  <si>
    <t>MUHAMMAD SHOAIB</t>
  </si>
  <si>
    <t>MUHAMMAD NADEEM</t>
  </si>
  <si>
    <t>MUHAMAMD SALEEM</t>
  </si>
  <si>
    <t>GHULAM MUSTAFA</t>
  </si>
  <si>
    <t>MUHAMMAD KAMRAN</t>
  </si>
  <si>
    <t>Endorsement</t>
  </si>
  <si>
    <t>Gujranwala Suzuki</t>
  </si>
  <si>
    <t>TS Suzuki</t>
  </si>
  <si>
    <t>Muhammad Asif</t>
  </si>
  <si>
    <t>TANVEER AHMAD</t>
  </si>
  <si>
    <t>MUHAMMAD UZAIR</t>
  </si>
  <si>
    <t>MUHAMMAD ZAFAR</t>
  </si>
  <si>
    <t>ALTAF HUSSAIN</t>
  </si>
  <si>
    <t>MOHSIN ALI</t>
  </si>
  <si>
    <t>MUHAMMAD YASIR</t>
  </si>
  <si>
    <t>ARSALAN</t>
  </si>
  <si>
    <t>IRFAN</t>
  </si>
  <si>
    <t>SHAHZAD ALI</t>
  </si>
  <si>
    <t>S ASIF ALI</t>
  </si>
  <si>
    <t>MUSTAFA</t>
  </si>
  <si>
    <t>MUHAMMAD ABUBAKAR</t>
  </si>
  <si>
    <t>MUHAMMAD YOUSUF</t>
  </si>
  <si>
    <t>ABDUL HASEEB</t>
  </si>
  <si>
    <t>BILAL</t>
  </si>
  <si>
    <t>ZAHID IQBAL</t>
  </si>
  <si>
    <t>AHMAD ALI</t>
  </si>
  <si>
    <t>SHAHID HUSSAIN</t>
  </si>
  <si>
    <t>ABDUL RASHEED</t>
  </si>
  <si>
    <t>MUHAMMAD ARIF</t>
  </si>
  <si>
    <t>MUHAMMAD ADEEL</t>
  </si>
  <si>
    <t>MUHAMMAD AZAM</t>
  </si>
  <si>
    <t>MUHAMMAD YOUSAF</t>
  </si>
  <si>
    <t>UMAIR</t>
  </si>
  <si>
    <t>UMAIR ALI</t>
  </si>
  <si>
    <t>ADNAN ALI</t>
  </si>
  <si>
    <t>MUHAMMAD IBRAHIM</t>
  </si>
  <si>
    <t>MUHAMMAD JUNAID</t>
  </si>
  <si>
    <t>HAIDER ALI</t>
  </si>
  <si>
    <t>NAVEED AHMAD</t>
  </si>
  <si>
    <t>ZAFAR IQBAL</t>
  </si>
  <si>
    <t>RIZWAN</t>
  </si>
  <si>
    <t>RIAZ AHMAD</t>
  </si>
  <si>
    <t>MUHAMMAD SALEEM</t>
  </si>
  <si>
    <t>SUZUKI-SUZUKI 110</t>
  </si>
  <si>
    <t>145596</t>
  </si>
  <si>
    <t>KHI/HO/D/MO/MC COMP/P/94363/08/2024</t>
  </si>
  <si>
    <t>KHI/HO/D/MO/MC COMP/P/94364/08/2024</t>
  </si>
  <si>
    <t>KHI/HO/D/MO/MC COMP/P/94373/08/2024</t>
  </si>
  <si>
    <t>KHI/HO/D/MO/MC COMP/P/94374/08/2024</t>
  </si>
  <si>
    <t>KHI/HO/D/MO/MC COMP/P/94375/08/2024</t>
  </si>
  <si>
    <t>KHI/HO/D/MO/MC COMP/P/94379/08/2024</t>
  </si>
  <si>
    <t>KHI/HO/D/MO/MC COMP/P/94380/08/2024</t>
  </si>
  <si>
    <t>KHI/HO/D/MO/MC COMP/P/94382/08/2024</t>
  </si>
  <si>
    <t>KHI/HO/D/MO/MC COMP/P/94383/08/2024</t>
  </si>
  <si>
    <t>KHI/HO/D/MO/MC COMP/P/94385/08/2024</t>
  </si>
  <si>
    <t>KHI/HO/D/MO/MC COMP/P/94386/08/2024</t>
  </si>
  <si>
    <t>KHI/HO/D/MO/MC COMP/P/94388/08/2024</t>
  </si>
  <si>
    <t>KHI/HO/D/MO/MC COMP/P/94389/08/2024</t>
  </si>
  <si>
    <t>KHI/HO/D/MO/MC COMP/P/94391/08/2024</t>
  </si>
  <si>
    <t>KHI/HO/D/MO/MC COMP/P/94392/08/2024</t>
  </si>
  <si>
    <t>KHI/HO/D/MO/MC COMP/P/94396/08/2024</t>
  </si>
  <si>
    <t>KHI/HO/D/MO/MC COMP/P/94397/08/2024</t>
  </si>
  <si>
    <t>KHI/HO/D/MO/MC COMP/P/94398/08/2024</t>
  </si>
  <si>
    <t>KHI/HO/D/MO/MC COMP/P/94405/08/2024</t>
  </si>
  <si>
    <t>KHI/HO/D/MO/MC COMP/P/94411/08/2024</t>
  </si>
  <si>
    <t>KHI/HO/D/MO/MC COMP/P/94412/08/2024</t>
  </si>
  <si>
    <t>KHI/HO/D/MO/MC COMP/P/94416/08/2024</t>
  </si>
  <si>
    <t>KHI/HO/D/MO/MC COMP/P/94417/08/2024</t>
  </si>
  <si>
    <t>KHI/HO/D/MO/MC COMP/P/94422/08/2024</t>
  </si>
  <si>
    <t>KHI/HO/D/MO/MC COMP/P/94423/08/2024</t>
  </si>
  <si>
    <t>KHI/HO/D/MO/MC COMP/P/94432/08/2024</t>
  </si>
  <si>
    <t>KHI/HO/D/MO/MC COMP/P/94433/08/2024</t>
  </si>
  <si>
    <t>KHI/HO/D/MO/MC COMP/P/94437/08/2024</t>
  </si>
  <si>
    <t>KHI/HO/D/MO/MC COMP/P/94438/08/2024</t>
  </si>
  <si>
    <t>KHI/HO/D/MO/MC COMP/P/94439/08/2024</t>
  </si>
  <si>
    <t>KHI/HO/D/MO/MC COMP/P/94461/08/2024</t>
  </si>
  <si>
    <t>KHI/HO/D/MO/MC COMP/P/94462/08/2024</t>
  </si>
  <si>
    <t>KHI/HO/D/MO/MC COMP/P/94463/08/2024</t>
  </si>
  <si>
    <t>KHI/HO/D/MO/MC COMP/P/94464/08/2024</t>
  </si>
  <si>
    <t>KHI/HO/D/MO/MC COMP/P/94465/08/2024</t>
  </si>
  <si>
    <t>KHI/HO/D/MO/MC COMP/P/94467/08/2024</t>
  </si>
  <si>
    <t>KHI/HO/D/MO/MC COMP/P/94468/08/2024</t>
  </si>
  <si>
    <t>KHI/HO/D/MO/MC COMP/P/94469/08/2024</t>
  </si>
  <si>
    <t>KHI/HO/D/MO/MC COMP/P/94470/08/2024</t>
  </si>
  <si>
    <t>KHI/HO/D/MO/MC COMP/P/94472/08/2024</t>
  </si>
  <si>
    <t>KHI/HO/D/MO/MC COMP/P/94473/08/2024</t>
  </si>
  <si>
    <t>KHI/HO/D/MO/MC COMP/P/94474/08/2024</t>
  </si>
  <si>
    <t>KHI/HO/D/MO/MC COMP/P/94475/08/2024</t>
  </si>
  <si>
    <t>KHI/HO/D/MO/MC COMP/P/94476/08/2024</t>
  </si>
  <si>
    <t>KHI/HO/D/MO/MC COMP/P/94486/08/2024</t>
  </si>
  <si>
    <t>KHI/HO/D/MO/MC COMP/P/94492/08/2024</t>
  </si>
  <si>
    <t>KHI/HO/D/MO/MC COMP/P/94493/08/2024</t>
  </si>
  <si>
    <t>KHI/HO/D/MO/MC COMP/P/94497/08/2024</t>
  </si>
  <si>
    <t>KHI/HO/D/MO/MC COMP/P/94498/08/2024</t>
  </si>
  <si>
    <t>KHI/HO/D/MO/MC COMP/P/94510/08/2024</t>
  </si>
  <si>
    <t>KHI/HO/D/MO/MC COMP/P/94511/08/2024</t>
  </si>
  <si>
    <t>KHI/HO/D/MO/MC COMP/P/94515/08/2024</t>
  </si>
  <si>
    <t>KHI/HO/D/MO/MC COMP/P/94516/08/2024</t>
  </si>
  <si>
    <t>KHI/HO/D/MO/MC COMP/P/94517/08/2024</t>
  </si>
  <si>
    <t>KHI/HO/D/MO/MC COMP/P/94518/08/2024</t>
  </si>
  <si>
    <t>KHI/HO/D/MO/MC COMP/P/94519/08/2024</t>
  </si>
  <si>
    <t>KHI/HO/D/MO/MC COMP/P/94520/08/2024</t>
  </si>
  <si>
    <t>KHI/HO/D/MO/MC COMP/P/94521/08/2024</t>
  </si>
  <si>
    <t>KHI/HO/D/MO/MC COMP/P/94522/08/2024</t>
  </si>
  <si>
    <t>KHI/HO/D/MO/MC COMP/P/94523/08/2024</t>
  </si>
  <si>
    <t>KHI/HO/D/MO/MC COMP/P/94524/08/2024</t>
  </si>
  <si>
    <t>KHI/HO/D/MO/MC COMP/P/94525/08/2024</t>
  </si>
  <si>
    <t>KHI/HO/D/MO/MC COMP/P/94526/08/2024</t>
  </si>
  <si>
    <t>KHI/HO/D/MO/MC COMP/P/94527/08/2024</t>
  </si>
  <si>
    <t>KHI/HO/D/MO/MC COMP/P/94528/08/2024</t>
  </si>
  <si>
    <t>KHI/HO/D/MO/MC COMP/P/94529/08/2024</t>
  </si>
  <si>
    <t>KHI/HO/D/MO/MC COMP/P/94530/08/2024</t>
  </si>
  <si>
    <t>KHI/HO/D/MO/MC COMP/P/94531/08/2024</t>
  </si>
  <si>
    <t>KHI/HO/D/MO/MC COMP/P/94532/08/2024</t>
  </si>
  <si>
    <t>KHI/HO/D/MO/MC COMP/P/94533/08/2024</t>
  </si>
  <si>
    <t>KHI/HO/D/MO/MC COMP/P/94536/08/2024</t>
  </si>
  <si>
    <t>KHI/HO/D/MO/MC COMP/P/94537/08/2024</t>
  </si>
  <si>
    <t>KHI/HO/D/MO/MC COMP/P/94538/08/2024</t>
  </si>
  <si>
    <t>KHI/HO/D/MO/MC COMP/P/94539/08/2024</t>
  </si>
  <si>
    <t>KHI/HO/D/MO/MC COMP/P/94541/08/2024</t>
  </si>
  <si>
    <t>KHI/HO/D/MO/MC COMP/P/94542/08/2024</t>
  </si>
  <si>
    <t>KHI/HO/D/MO/MC COMP/P/94543/08/2024</t>
  </si>
  <si>
    <t>KHI/HO/D/MO/MC COMP/P/94544/08/2024</t>
  </si>
  <si>
    <t>KHI/HO/D/MO/MC COMP/P/94545/08/2024</t>
  </si>
  <si>
    <t>KHI/HO/D/MO/MC COMP/P/94546/08/2024</t>
  </si>
  <si>
    <t>KHI/HO/D/MO/MC COMP/P/94547/08/2024</t>
  </si>
  <si>
    <t>KHI/HO/D/MO/MC COMP/P/94548/08/2024</t>
  </si>
  <si>
    <t>KHI/HO/D/MO/MC COMP/P/94549/08/2024</t>
  </si>
  <si>
    <t>KHI/HO/D/MO/MC COMP/P/94550/08/2024</t>
  </si>
  <si>
    <t>KHI/HO/D/MO/MC COMP/P/94551/08/2024</t>
  </si>
  <si>
    <t>KHI/HO/D/MO/MC COMP/P/94552/08/2024</t>
  </si>
  <si>
    <t>KHI/HO/D/MO/MC COMP/P/94553/08/2024</t>
  </si>
  <si>
    <t>KHI/HO/D/MO/MC COMP/P/94554/08/2024</t>
  </si>
  <si>
    <t>KHI/HO/D/MO/MC COMP/P/94555/08/2024</t>
  </si>
  <si>
    <t>KHI/HO/D/MO/MC COMP/P/94556/08/2024</t>
  </si>
  <si>
    <t>KHI/HO/D/MO/MC COMP/P/94557/08/2024</t>
  </si>
  <si>
    <t>KHI/HO/D/MO/MC COMP/P/94558/08/2024</t>
  </si>
  <si>
    <t>KHI/HO/D/MO/MC COMP/P/94559/08/2024</t>
  </si>
  <si>
    <t>KHI/HO/D/MO/MC COMP/P/94560/08/2024</t>
  </si>
  <si>
    <t>KHI/HO/D/MO/MC COMP/P/94561/08/2024</t>
  </si>
  <si>
    <t>KHI/HO/D/MO/MC COMP/P/94591/08/2024</t>
  </si>
  <si>
    <t>KHI/HO/D/MO/MC COMP/P/94592/08/2024</t>
  </si>
  <si>
    <t>KHI/HO/D/MO/MC COMP/P/94593/08/2024</t>
  </si>
  <si>
    <t>KHI/HO/D/MO/MC COMP/P/94594/08/2024</t>
  </si>
  <si>
    <t>KHI/HO/D/MO/MC COMP/P/94595/08/2024</t>
  </si>
  <si>
    <t>KHI/HO/D/MO/MC COMP/P/94598/08/2024</t>
  </si>
  <si>
    <t>KHI/HO/D/MO/MC COMP/P/94599/08/2024</t>
  </si>
  <si>
    <t>KHI/HO/D/MO/MC COMP/P/94601/08/2024</t>
  </si>
  <si>
    <t>KHI/HO/D/MO/MC COMP/P/94604/08/2024</t>
  </si>
  <si>
    <t>KHI/HO/D/MO/MC COMP/P/94618/08/2024</t>
  </si>
  <si>
    <t>KHI/HO/D/MO/MC COMP/P/94623/08/2024</t>
  </si>
  <si>
    <t>KHI/HO/D/MO/MC COMP/P/94625/08/2024</t>
  </si>
  <si>
    <t>KHI/HO/D/MO/MC COMP/P/94627/08/2024</t>
  </si>
  <si>
    <t>KHI/HO/D/MO/MC COMP/P/94628/08/2024</t>
  </si>
  <si>
    <t>KHI/HO/D/MO/MC COMP/P/94629/08/2024</t>
  </si>
  <si>
    <t>KHI/HO/D/MO/MC COMP/P/94631/08/2024</t>
  </si>
  <si>
    <t>KHI/HO/D/MO/MC COMP/P/94633/08/2024</t>
  </si>
  <si>
    <t>KHI/HO/D/MO/MC COMP/P/94634/08/2024</t>
  </si>
  <si>
    <t>KHI/HO/D/MO/MC COMP/P/94636/08/2024</t>
  </si>
  <si>
    <t>KHI/HO/D/MO/MC COMP/P/94638/08/2024</t>
  </si>
  <si>
    <t>KHI/HO/D/MO/MC COMP/P/94641/08/2024</t>
  </si>
  <si>
    <t>KHI/HO/D/MO/MC COMP/P/94646/08/2024</t>
  </si>
  <si>
    <t>KHI/HO/D/MO/MC COMP/P/94650/08/2024</t>
  </si>
  <si>
    <t>KHI/HO/D/MO/MC COMP/P/94653/08/2024</t>
  </si>
  <si>
    <t>KHI/HO/D/MO/MC COMP/P/94658/08/2024</t>
  </si>
  <si>
    <t>KHI/HO/D/MO/MC COMP/P/94659/08/2024</t>
  </si>
  <si>
    <t>KHI/HO/D/MO/MC COMP/P/94660/08/2024</t>
  </si>
  <si>
    <t>KHI/HO/D/MO/MC COMP/P/94661/08/2024</t>
  </si>
  <si>
    <t>KHI/HO/D/MO/MC COMP/P/94662/08/2024</t>
  </si>
  <si>
    <t>KHI/HO/D/MO/MC COMP/P/94663/08/2024</t>
  </si>
  <si>
    <t>KHI/HO/D/MO/MC COMP/P/94664/08/2024</t>
  </si>
  <si>
    <t>KHI/HO/D/MO/MC COMP/P/94665/08/2024</t>
  </si>
  <si>
    <t>KHI/HO/D/MO/MC COMP/P/94666/08/2024</t>
  </si>
  <si>
    <t>KHI/HO/D/MO/MC COMP/P/94668/08/2024</t>
  </si>
  <si>
    <t>KHI/HO/D/MO/MC COMP/P/94669/08/2024</t>
  </si>
  <si>
    <t>KHI/HO/D/MO/MC COMP/P/94670/08/2024</t>
  </si>
  <si>
    <t>KHI/HO/D/MO/MC COMP/P/94671/08/2024</t>
  </si>
  <si>
    <t>KHI/HO/D/MO/MC COMP/P/94672/08/2024</t>
  </si>
  <si>
    <t>KHI/HO/D/MO/MC COMP/P/94673/08/2024</t>
  </si>
  <si>
    <t>KHI/HO/D/MO/MC COMP/P/94674/08/2024</t>
  </si>
  <si>
    <t>KHI/HO/D/MO/MC COMP/P/94675/08/2024</t>
  </si>
  <si>
    <t>KHI/HO/D/MO/MC COMP/P/94676/08/2024</t>
  </si>
  <si>
    <t>KHI/HO/D/MO/MC COMP/P/94677/08/2024</t>
  </si>
  <si>
    <t>KHI/HO/D/MO/MC COMP/P/94678/08/2024</t>
  </si>
  <si>
    <t>KHI/HO/D/MO/MC COMP/P/94679/08/2024</t>
  </si>
  <si>
    <t>KHI/HO/D/MO/MC COMP/P/94680/08/2024</t>
  </si>
  <si>
    <t>KHI/HO/D/MO/MC COMP/P/94681/08/2024</t>
  </si>
  <si>
    <t>KHI/HO/D/MO/MC COMP/P/94682/08/2024</t>
  </si>
  <si>
    <t>KHI/HO/D/MO/MC COMP/P/94683/08/2024</t>
  </si>
  <si>
    <t>KHI/HO/D/MO/MC COMP/P/94684/08/2024</t>
  </si>
  <si>
    <t>KHI/HO/D/MO/MC COMP/P/94685/08/2024</t>
  </si>
  <si>
    <t>KHI/HO/D/MO/MC COMP/P/94686/08/2024</t>
  </si>
  <si>
    <t>KHI/HO/D/MO/MC COMP/P/94687/08/2024</t>
  </si>
  <si>
    <t>KHI/HO/D/MO/MC COMP/P/94688/08/2024</t>
  </si>
  <si>
    <t>KHI/HO/D/MO/MC COMP/P/94689/08/2024</t>
  </si>
  <si>
    <t>KHI/HO/D/MO/MC COMP/P/94690/08/2024</t>
  </si>
  <si>
    <t>KHI/HO/D/MO/MC COMP/P/94691/08/2024</t>
  </si>
  <si>
    <t>KHI/HO/D/MO/MC COMP/P/94692/08/2024</t>
  </si>
  <si>
    <t>KHI/HO/D/MO/MC COMP/P/94693/08/2024</t>
  </si>
  <si>
    <t>KHI/HO/D/MO/MC COMP/P/94706/08/2024</t>
  </si>
  <si>
    <t>KHI/HO/D/MO/MC COMP/P/94711/08/2024</t>
  </si>
  <si>
    <t>KHI/HO/D/MO/MC COMP/P/94715/08/2024</t>
  </si>
  <si>
    <t>KHI/HO/D/MO/MC COMP/P/94717/08/2024</t>
  </si>
  <si>
    <t>KHI/HO/D/MO/MC COMP/P/94718/08/2024</t>
  </si>
  <si>
    <t>KHI/HO/D/MO/MC COMP/P/94721/08/2024</t>
  </si>
  <si>
    <t>KHI/HO/D/MO/MC COMP/P/94724/08/2024</t>
  </si>
  <si>
    <t>KHI/HO/D/MO/MC COMP/P/94727/08/2024</t>
  </si>
  <si>
    <t>KHI/HO/D/MO/MC COMP/P/94728/08/2024</t>
  </si>
  <si>
    <t>KHI/HO/D/MO/MC COMP/P/94729/08/2024</t>
  </si>
  <si>
    <t>KHI/HO/D/MO/MC COMP/P/94730/08/2024</t>
  </si>
  <si>
    <t>KHI/HO/D/MO/MC COMP/P/94732/08/2024</t>
  </si>
  <si>
    <t>KHI/HO/D/MO/MC COMP/P/94733/08/2024</t>
  </si>
  <si>
    <t>KHI/HO/D/MO/MC COMP/P/94734/08/2024</t>
  </si>
  <si>
    <t>KHI/HO/D/MO/MC COMP/P/94735/08/2024</t>
  </si>
  <si>
    <t>KHI/HO/D/MO/MC COMP/P/94737/08/2024</t>
  </si>
  <si>
    <t>KHI/HO/D/MO/MC COMP/P/94738/08/2024</t>
  </si>
  <si>
    <t>KHI/HO/D/MO/MC COMP/P/94740/08/2024</t>
  </si>
  <si>
    <t>KHI/HO/D/MO/MC COMP/P/94741/08/2024</t>
  </si>
  <si>
    <t>KHI/HO/D/MO/MC COMP/P/94742/08/2024</t>
  </si>
  <si>
    <t>KHI/HO/D/MO/MC COMP/P/94744/08/2024</t>
  </si>
  <si>
    <t>KHI/HO/D/MO/MC COMP/P/94745/08/2024</t>
  </si>
  <si>
    <t>KHI/HO/D/MO/MC COMP/P/94749/08/2024</t>
  </si>
  <si>
    <t>KHI/HO/D/MO/MC COMP/P/94752/08/2024</t>
  </si>
  <si>
    <t>KHI/HO/D/MO/MC COMP/P/94758/08/2024</t>
  </si>
  <si>
    <t>KHI/HO/D/MO/MC COMP/P/94766/08/2024</t>
  </si>
  <si>
    <t>KHI/HO/D/MO/MC COMP/P/94767/08/2024</t>
  </si>
  <si>
    <t>KHI/HO/D/MO/MC COMP/P/94768/08/2024</t>
  </si>
  <si>
    <t>KHI/HO/D/MO/MC COMP/P/94769/08/2024</t>
  </si>
  <si>
    <t>KHI/HO/D/MO/MC COMP/P/94775/08/2024</t>
  </si>
  <si>
    <t>KHI/HO/D/MO/MC COMP/P/94776/08/2024</t>
  </si>
  <si>
    <t>KHI/HO/D/MO/MC COMP/P/94777/08/2024</t>
  </si>
  <si>
    <t>KHI/HO/D/MO/MC COMP/P/94778/08/2024</t>
  </si>
  <si>
    <t>KHI/HO/D/MO/MC COMP/P/94797/08/2024</t>
  </si>
  <si>
    <t>KHI/HO/D/MO/MC COMP/P/94800/08/2024</t>
  </si>
  <si>
    <t>KHI/HO/D/MO/MC COMP/P/94802/08/2024</t>
  </si>
  <si>
    <t>KHI/HO/D/MO/MC COMP/P/94803/08/2024</t>
  </si>
  <si>
    <t>KHI/HO/D/MO/MC COMP/P/94805/08/2024</t>
  </si>
  <si>
    <t>KHI/HO/D/MO/MC COMP/P/94806/08/2024</t>
  </si>
  <si>
    <t>KHI/HO/D/MO/MC COMP/P/94810/08/2024</t>
  </si>
  <si>
    <t>KHI/HO/D/MO/MC COMP/P/94811/08/2024</t>
  </si>
  <si>
    <t>KHI/HO/D/MO/MC COMP/P/94812/08/2024</t>
  </si>
  <si>
    <t>KHI/HO/D/MO/MC COMP/P/94813/08/2024</t>
  </si>
  <si>
    <t>KHI/HO/D/MO/MC COMP/P/94814/08/2024</t>
  </si>
  <si>
    <t>KHI/HO/D/MO/MC COMP/P/94815/08/2024</t>
  </si>
  <si>
    <t>KHI/HO/D/MO/MC COMP/P/94816/08/2024</t>
  </si>
  <si>
    <t>KHI/HO/D/MO/MC COMP/P/94827/08/2024</t>
  </si>
  <si>
    <t>KHI/HO/D/MO/MC COMP/P/94829/08/2024</t>
  </si>
  <si>
    <t>KHI/HO/D/MO/MC COMP/P/94833/08/2024</t>
  </si>
  <si>
    <t>KHI/HO/D/MO/MC COMP/P/94834/08/2024</t>
  </si>
  <si>
    <t>KHI/HO/D/MO/MC COMP/P/94835/08/2024</t>
  </si>
  <si>
    <t>KHI/HO/D/MO/MC COMP/P/94837/08/2024</t>
  </si>
  <si>
    <t>KHI/HO/D/MO/MC COMP/P/94840/08/2024</t>
  </si>
  <si>
    <t>KHI/HO/D/MO/MC COMP/P/94846/08/2024</t>
  </si>
  <si>
    <t>KHI/HO/D/MO/MC COMP/P/94847/08/2024</t>
  </si>
  <si>
    <t>KHI/HO/D/MO/MC COMP/P/94858/08/2024</t>
  </si>
  <si>
    <t>KHI/HO/D/MO/MC COMP/P/94859/08/2024</t>
  </si>
  <si>
    <t>KHI/HO/D/MO/MC COMP/P/94860/08/2024</t>
  </si>
  <si>
    <t>KHI/HO/D/MO/MC COMP/P/94861/08/2024</t>
  </si>
  <si>
    <t>KHI/HO/D/MO/MC COMP/P/94862/08/2024</t>
  </si>
  <si>
    <t>KHI/HO/D/MO/MC COMP/P/94873/08/2024</t>
  </si>
  <si>
    <t>KHI/HO/D/MO/MC COMP/P/94874/08/2024</t>
  </si>
  <si>
    <t>KHI/HO/D/MO/MC COMP/P/94875/08/2024</t>
  </si>
  <si>
    <t>KHI/HO/D/MO/MC COMP/P/94878/08/2024</t>
  </si>
  <si>
    <t>KHI/HO/D/MO/MC COMP/P/94881/08/2024</t>
  </si>
  <si>
    <t>KHI/HO/D/MO/MC COMP/P/94882/08/2024</t>
  </si>
  <si>
    <t>KHI/HO/D/MO/MC COMP/P/94884/08/2024</t>
  </si>
  <si>
    <t>KHI/HO/D/MO/MC COMP/P/94885/08/2024</t>
  </si>
  <si>
    <t>KHI/HO/D/MO/MC COMP/P/94887/08/2024</t>
  </si>
  <si>
    <t>KHI/HO/D/MO/MC COMP/P/94890/08/2024</t>
  </si>
  <si>
    <t>KHI/HO/D/MO/MC COMP/P/94895/08/2024</t>
  </si>
  <si>
    <t>KHI/HO/D/MO/MC COMP/P/94896/08/2024</t>
  </si>
  <si>
    <t>KHI/HO/D/MO/MC COMP/P/94897/08/2024</t>
  </si>
  <si>
    <t>KHI/HO/D/MO/MC COMP/P/94898/08/2024</t>
  </si>
  <si>
    <t>KHI/HO/D/MO/MC COMP/P/94899/08/2024</t>
  </si>
  <si>
    <t>KHI/HO/D/MO/MC COMP/P/94900/08/2024</t>
  </si>
  <si>
    <t>KHI/HO/D/MO/MC COMP/P/94901/08/2024</t>
  </si>
  <si>
    <t>KHI/HO/D/MO/MC COMP/P/94902/08/2024</t>
  </si>
  <si>
    <t>KHI/HO/D/MO/MC COMP/P/94903/08/2024</t>
  </si>
  <si>
    <t>KHI/HO/D/MO/MC COMP/P/94906/08/2024</t>
  </si>
  <si>
    <t>KHI/HO/D/MO/MC COMP/P/94907/08/2024</t>
  </si>
  <si>
    <t>KHI/HO/D/MO/MC COMP/P/94908/08/2024</t>
  </si>
  <si>
    <t>KHI/HO/D/MO/MC COMP/P/94914/08/2024</t>
  </si>
  <si>
    <t>KHI/HO/D/MO/MC COMP/P/94921/08/2024</t>
  </si>
  <si>
    <t>KHI/HO/D/MO/MC COMP/P/94924/08/2024</t>
  </si>
  <si>
    <t>KHI/HO/D/MO/MC COMP/P/94927/08/2024</t>
  </si>
  <si>
    <t>KHI/HO/D/MO/MC COMP/P/94928/08/2024</t>
  </si>
  <si>
    <t>KHI/HO/D/MO/MC COMP/P/94930/08/2024</t>
  </si>
  <si>
    <t>KHI/HO/D/MO/MC COMP/P/94931/08/2024</t>
  </si>
  <si>
    <t>KHI/HO/D/MO/MC COMP/P/94932/08/2024</t>
  </si>
  <si>
    <t>KHI/HO/D/MO/MC COMP/P/94933/08/2024</t>
  </si>
  <si>
    <t>KHI/HO/D/MO/MC COMP/P/94934/08/2024</t>
  </si>
  <si>
    <t>KHI/HO/D/MO/MC COMP/P/94937/08/2024</t>
  </si>
  <si>
    <t>KHI/HO/D/MO/MC COMP/P/94939/08/2024</t>
  </si>
  <si>
    <t>KHI/HO/D/MO/MC COMP/P/94940/08/2024</t>
  </si>
  <si>
    <t>KHI/HO/D/MO/MC COMP/P/94941/08/2024</t>
  </si>
  <si>
    <t>KHI/HO/D/MO/MC COMP/P/94943/08/2024</t>
  </si>
  <si>
    <t>KHI/HO/D/MO/MC COMP/P/94945/08/2024</t>
  </si>
  <si>
    <t>KHI/HO/D/MO/MC COMP/P/94947/08/2024</t>
  </si>
  <si>
    <t>KHI/HO/D/MO/MC COMP/P/94948/08/2024</t>
  </si>
  <si>
    <t>KHI/HO/D/MO/MC COMP/P/94949/08/2024</t>
  </si>
  <si>
    <t>KHI/HO/D/MO/MC COMP/P/94950/08/2024</t>
  </si>
  <si>
    <t>KHI/HO/D/MO/MC COMP/P/94951/08/2024</t>
  </si>
  <si>
    <t>KHI/HO/D/MO/MC COMP/P/94952/08/2024</t>
  </si>
  <si>
    <t>KHI/HO/D/MO/MC COMP/P/94953/08/2024</t>
  </si>
  <si>
    <t>KHI/HO/D/MO/MC COMP/P/94972/08/2024</t>
  </si>
  <si>
    <t>KHI/HO/D/MO/MC COMP/P/94973/08/2024</t>
  </si>
  <si>
    <t>KHI/HO/D/MO/MC COMP/P/94975/08/2024</t>
  </si>
  <si>
    <t>KHI/HO/D/MO/MC COMP/P/94976/08/2024</t>
  </si>
  <si>
    <t>KHI/HO/D/MO/MC COMP/P/94977/08/2024</t>
  </si>
  <si>
    <t>KHI/HO/D/MO/MC COMP/P/94978/08/2024</t>
  </si>
  <si>
    <t>KHI/HO/D/MO/MC COMP/P/94980/08/2024</t>
  </si>
  <si>
    <t>KHI/HO/D/MO/MC COMP/P/94981/08/2024</t>
  </si>
  <si>
    <t>KHI/HO/D/MO/MC COMP/P/94982/08/2024</t>
  </si>
  <si>
    <t>KHI/HO/D/MO/MC COMP/P/94983/08/2024</t>
  </si>
  <si>
    <t>KHI/HO/D/MO/MC COMP/P/94984/08/2024</t>
  </si>
  <si>
    <t>KHI/HO/D/MO/MC COMP/P/94985/08/2024</t>
  </si>
  <si>
    <t>KHI/HO/D/MO/MC COMP/P/94986/08/2024</t>
  </si>
  <si>
    <t>KHI/HO/D/MO/MC COMP/P/94987/08/2024</t>
  </si>
  <si>
    <t>KHI/HO/D/MO/MC COMP/P/94988/08/2024</t>
  </si>
  <si>
    <t>KHI/HO/D/MO/MC COMP/P/94989/08/2024</t>
  </si>
  <si>
    <t>KHI/HO/D/MO/MC COMP/P/94990/08/2024</t>
  </si>
  <si>
    <t>KHI/HO/D/MO/MC COMP/P/94991/08/2024</t>
  </si>
  <si>
    <t>KHI/HO/D/MO/MC COMP/P/94993/08/2024</t>
  </si>
  <si>
    <t>KHI/HO/D/MO/MC COMP/P/94999/08/2024</t>
  </si>
  <si>
    <t>KHI/HO/D/MO/MC COMP/P/95000/08/2024</t>
  </si>
  <si>
    <t>KHI/HO/D/MO/MC COMP/P/95002/08/2024</t>
  </si>
  <si>
    <t>KHI/HO/D/MO/MC COMP/P/95003/08/2024</t>
  </si>
  <si>
    <t>KHI/HO/D/MO/MC COMP/P/95007/08/2024</t>
  </si>
  <si>
    <t>KHI/HO/D/MO/MC COMP/P/95008/08/2024</t>
  </si>
  <si>
    <t>KHI/HO/D/MO/MC COMP/P/95010/08/2024</t>
  </si>
  <si>
    <t>KHI/HO/D/MO/MC COMP/P/95011/08/2024</t>
  </si>
  <si>
    <t>KHI/HO/D/MO/MC COMP/P/95014/08/2024</t>
  </si>
  <si>
    <t>KHI/HO/D/MO/MC COMP/P/95015/08/2024</t>
  </si>
  <si>
    <t>KHI/HO/D/MO/MC COMP/P/95016/08/2024</t>
  </si>
  <si>
    <t>KHI/HO/D/MO/MC COMP/P/95018/08/2024</t>
  </si>
  <si>
    <t>KHI/HO/D/MO/MC COMP/P/95019/08/2024</t>
  </si>
  <si>
    <t>KHI/HO/D/MO/MC COMP/P/95020/08/2024</t>
  </si>
  <si>
    <t>KHI/HO/D/MO/MC COMP/P/95022/08/2024</t>
  </si>
  <si>
    <t>KHI/HO/D/MO/MC COMP/P/95023/08/2024</t>
  </si>
  <si>
    <t>KHI/HO/D/MO/MC COMP/P/95028/08/2024</t>
  </si>
  <si>
    <t>KHI/HO/D/MO/MC COMP/P/95029/08/2024</t>
  </si>
  <si>
    <t>KHI/HO/D/MO/MC COMP/P/95030/08/2024</t>
  </si>
  <si>
    <t>KHI/HO/D/MO/MC COMP/P/95032/08/2024</t>
  </si>
  <si>
    <t>KHI/HO/D/MO/MC COMP/P/95033/08/2024</t>
  </si>
  <si>
    <t>KHI/HO/D/MO/MC COMP/P/95034/08/2024</t>
  </si>
  <si>
    <t>KHI/HO/D/MO/MC COMP/P/95035/08/2024</t>
  </si>
  <si>
    <t>KHI/HO/D/MO/MC COMP/P/95036/08/2024</t>
  </si>
  <si>
    <t>KHI/HO/D/MO/MC COMP/P/95037/08/2024</t>
  </si>
  <si>
    <t>KHI/HO/D/MO/MC COMP/P/95038/08/2024</t>
  </si>
  <si>
    <t>KHI/HO/D/MO/MC COMP/P/95039/08/2024</t>
  </si>
  <si>
    <t>KHI/HO/D/MO/MC COMP/P/95040/08/2024</t>
  </si>
  <si>
    <t>KHI/HO/D/MO/MC COMP/P/95041/08/2024</t>
  </si>
  <si>
    <t>KHI/HO/D/MO/MC COMP/P/95042/08/2024</t>
  </si>
  <si>
    <t>KHI/HO/D/MO/MC COMP/P/95043/08/2024</t>
  </si>
  <si>
    <t>KHI/HO/D/MO/MC COMP/P/95044/08/2024</t>
  </si>
  <si>
    <t>KHI/HO/D/MO/MC COMP/P/95045/08/2024</t>
  </si>
  <si>
    <t>KHI/HO/D/MO/MC COMP/P/95046/08/2024</t>
  </si>
  <si>
    <t>KHI/HO/D/MO/MC COMP/P/95047/08/2024</t>
  </si>
  <si>
    <t>KHI/HO/D/MO/MC COMP/P/95048/08/2024</t>
  </si>
  <si>
    <t>KHI/HO/D/MO/MC COMP/P/95049/08/2024</t>
  </si>
  <si>
    <t>KHI/HO/D/MO/MC COMP/P/95050/08/2024</t>
  </si>
  <si>
    <t>KHI/HO/D/MO/MC COMP/P/95051/08/2024</t>
  </si>
  <si>
    <t>KHI/HO/D/MO/MC COMP/P/95053/08/2024</t>
  </si>
  <si>
    <t>KHI/HO/D/MO/MC COMP/P/95055/08/2024</t>
  </si>
  <si>
    <t>KHI/HO/D/MO/MC COMP/P/95056/08/2024</t>
  </si>
  <si>
    <t>KHI/HO/D/MO/MC COMP/P/95057/08/2024</t>
  </si>
  <si>
    <t>KHI/HO/D/MO/MC COMP/P/95058/08/2024</t>
  </si>
  <si>
    <t>KHI/HO/D/MO/MC COMP/P/95060/08/2024</t>
  </si>
  <si>
    <t>KHI/HO/D/MO/MC COMP/P/95062/08/2024</t>
  </si>
  <si>
    <t>KHI/HO/D/MO/MC COMP/P/95063/08/2024</t>
  </si>
  <si>
    <t>KHI/HO/D/MO/MC COMP/P/95064/08/2024</t>
  </si>
  <si>
    <t>KHI/HO/D/MO/MC COMP/P/95065/08/2024</t>
  </si>
  <si>
    <t>KHI/HO/D/MO/MC COMP/P/95066/08/2024</t>
  </si>
  <si>
    <t>KHI/HO/D/MO/MC COMP/P/95067/08/2024</t>
  </si>
  <si>
    <t>KHI/HO/D/MO/MC COMP/P/95070/08/2024</t>
  </si>
  <si>
    <t>KHI/HO/D/MO/MC COMP/P/95071/08/2024</t>
  </si>
  <si>
    <t>KHI/HO/D/MO/MC COMP/P/95072/08/2024</t>
  </si>
  <si>
    <t>KHI/HO/D/MO/MC COMP/P/95073/08/2024</t>
  </si>
  <si>
    <t>KHI/HO/D/MO/MC COMP/P/95074/08/2024</t>
  </si>
  <si>
    <t>KHI/HO/D/MO/MC COMP/P/95075/08/2024</t>
  </si>
  <si>
    <t>KHI/HO/D/MO/MC COMP/P/95076/08/2024</t>
  </si>
  <si>
    <t>KHI/HO/D/MO/MC COMP/P/95077/08/2024</t>
  </si>
  <si>
    <t>KHI/HO/D/MO/MC COMP/P/95078/08/2024</t>
  </si>
  <si>
    <t>KHI/HO/D/MO/MC COMP/P/95079/08/2024</t>
  </si>
  <si>
    <t>KHI/HO/D/MO/MC COMP/P/95080/08/2024</t>
  </si>
  <si>
    <t>KHI/HO/D/MO/MC COMP/P/95081/08/2024</t>
  </si>
  <si>
    <t>KHI/HO/D/MO/MC COMP/P/95082/08/2024</t>
  </si>
  <si>
    <t>KHI/HO/D/MO/MC COMP/P/95083/08/2024</t>
  </si>
  <si>
    <t>KHI/HO/D/MO/MC COMP/P/95084/08/2024</t>
  </si>
  <si>
    <t>KHI/HO/D/MO/MC COMP/P/95085/08/2024</t>
  </si>
  <si>
    <t>KHI/HO/D/MO/MC COMP/P/95086/08/2024</t>
  </si>
  <si>
    <t>KHI/HO/D/MO/MC COMP/P/95087/08/2024</t>
  </si>
  <si>
    <t>KHI/HO/D/MO/MC COMP/P/95088/08/2024</t>
  </si>
  <si>
    <t>KHI/HO/D/MO/MC COMP/P/95089/08/2024</t>
  </si>
  <si>
    <t>KHI/HO/D/MO/MC COMP/P/95090/08/2024</t>
  </si>
  <si>
    <t>KHI/HO/D/MO/MC COMP/P/95109/08/2024</t>
  </si>
  <si>
    <t>KHI/HO/D/MO/MC COMP/P/95110/08/2024</t>
  </si>
  <si>
    <t>KHI/HO/D/MO/MC COMP/P/95117/08/2024</t>
  </si>
  <si>
    <t>KHI/HO/D/MO/MC COMP/P/95118/08/2024</t>
  </si>
  <si>
    <t>KHI/HO/D/MO/MC COMP/P/95120/08/2024</t>
  </si>
  <si>
    <t>KHI/HO/D/MO/MC COMP/P/95121/08/2024</t>
  </si>
  <si>
    <t>KHI/HO/D/MO/MC COMP/P/95122/08/2024</t>
  </si>
  <si>
    <t>KHI/HO/D/MO/MC COMP/P/95123/08/2024</t>
  </si>
  <si>
    <t>KHI/HO/D/MO/MC COMP/P/95124/08/2024</t>
  </si>
  <si>
    <t>KHI/HO/D/MO/MC COMP/P/95125/08/2024</t>
  </si>
  <si>
    <t>KHI/HO/D/MO/MC COMP/P/95126/08/2024</t>
  </si>
  <si>
    <t>KHI/HO/D/MO/MC COMP/P/95128/08/2024</t>
  </si>
  <si>
    <t>KHI/HO/D/MO/MC COMP/P/95130/08/2024</t>
  </si>
  <si>
    <t>KHI/HO/D/MO/MC COMP/P/95133/08/2024</t>
  </si>
  <si>
    <t>KHI/HO/D/MO/MC COMP/P/95134/08/2024</t>
  </si>
  <si>
    <t>KHI/HO/D/MO/MC COMP/P/95135/08/2024</t>
  </si>
  <si>
    <t>KHI/HO/D/MO/MC COMP/P/95136/08/2024</t>
  </si>
  <si>
    <t>KHI/HO/D/MO/MC COMP/P/95137/08/2024</t>
  </si>
  <si>
    <t>KHI/HO/D/MO/MC COMP/P/95141/08/2024</t>
  </si>
  <si>
    <t>KHI/HO/D/MO/MC COMP/P/95142/08/2024</t>
  </si>
  <si>
    <t>KHI/HO/D/MO/MC COMP/P/95149/08/2024</t>
  </si>
  <si>
    <t>KHI/HO/D/MO/MC COMP/P/95150/08/2024</t>
  </si>
  <si>
    <t>KHI/HO/D/MO/MC COMP/P/95151/08/2024</t>
  </si>
  <si>
    <t>KHI/HO/D/MO/MC COMP/P/95152/08/2024</t>
  </si>
  <si>
    <t>KHI/HO/D/MO/MC COMP/P/95167/08/2024</t>
  </si>
  <si>
    <t>KHI/HO/D/MO/MC COMP/P/95172/08/2024</t>
  </si>
  <si>
    <t>KHI/HO/D/MO/MC COMP/P/95175/08/2024</t>
  </si>
  <si>
    <t>KHI/HO/D/MO/MC COMP/P/95176/08/2024</t>
  </si>
  <si>
    <t>KHI/HO/D/MO/MC COMP/P/95177/08/2024</t>
  </si>
  <si>
    <t>KHI/HO/D/MO/MC COMP/P/95178/08/2024</t>
  </si>
  <si>
    <t>KHI/HO/D/MO/MC COMP/P/95179/08/2024</t>
  </si>
  <si>
    <t>KHI/HO/D/MO/MC COMP/P/95180/08/2024</t>
  </si>
  <si>
    <t>KHI/HO/D/MO/MC COMP/P/95181/08/2024</t>
  </si>
  <si>
    <t>KHI/HO/D/MO/MC COMP/P/95182/08/2024</t>
  </si>
  <si>
    <t>KHI/HO/D/MO/MC COMP/P/95183/08/2024</t>
  </si>
  <si>
    <t>KHI/HO/D/MO/MC COMP/P/95184/08/2024</t>
  </si>
  <si>
    <t>KHI/HO/D/MO/MC COMP/P/95185/08/2024</t>
  </si>
  <si>
    <t>KHI/HO/D/MO/MC COMP/P/95186/08/2024</t>
  </si>
  <si>
    <t>KHI/HO/D/MO/MC COMP/P/95187/08/2024</t>
  </si>
  <si>
    <t>KHI/HO/D/MO/MC COMP/P/95188/08/2024</t>
  </si>
  <si>
    <t>KHI/HO/D/MO/MC COMP/P/95189/08/2024</t>
  </si>
  <si>
    <t>KHI/HO/D/MO/MC COMP/P/95194/08/2024</t>
  </si>
  <si>
    <t>KHI/HO/D/MO/MC COMP/P/95195/08/2024</t>
  </si>
  <si>
    <t>KHI/HO/D/MO/MC COMP/P/95198/08/2024</t>
  </si>
  <si>
    <t>KHI/HO/D/MO/MC COMP/P/95199/08/2024</t>
  </si>
  <si>
    <t>KHI/HO/D/MO/MC COMP/P/95204/08/2024</t>
  </si>
  <si>
    <t>KHI/HO/D/MO/MC COMP/P/95205/08/2024</t>
  </si>
  <si>
    <t>KHI/HO/D/MO/MC COMP/P/95209/08/2024</t>
  </si>
  <si>
    <t>KHI/HO/D/MO/MC COMP/P/95210/08/2024</t>
  </si>
  <si>
    <t>KHI/HO/D/MO/MC COMP/P/95217/08/2024</t>
  </si>
  <si>
    <t>KHI/HO/D/MO/MC COMP/P/95218/08/2024</t>
  </si>
  <si>
    <t>KHI/HO/D/MO/MC COMP/P/95219/08/2024</t>
  </si>
  <si>
    <t>KHI/HO/D/MO/MC COMP/P/95220/08/2024</t>
  </si>
  <si>
    <t>KHI/HO/D/MO/MC COMP/P/95221/08/2024</t>
  </si>
  <si>
    <t>KHI/HO/D/MO/MC COMP/P/95222/08/2024</t>
  </si>
  <si>
    <t>KHI/HO/D/MO/MC COMP/P/95247/08/2024</t>
  </si>
  <si>
    <t>KHI/HO/D/MO/MC COMP/P/95248/08/2024</t>
  </si>
  <si>
    <t>KHI/HO/D/MO/MC COMP/P/95249/08/2024</t>
  </si>
  <si>
    <t>KHI/HO/D/MO/MC COMP/P/95251/08/2024</t>
  </si>
  <si>
    <t>KHI/HO/D/MO/MC COMP/P/95252/08/2024</t>
  </si>
  <si>
    <t>KHI/HO/D/MO/MC COMP/P/95254/08/2024</t>
  </si>
  <si>
    <t>KHI/HO/D/MO/MC COMP/P/95255/08/2024</t>
  </si>
  <si>
    <t>KHI/HO/D/MO/MC COMP/P/95256/08/2024</t>
  </si>
  <si>
    <t>KHI/HO/D/MO/MC COMP/P/95258/08/2024</t>
  </si>
  <si>
    <t>KHI/HO/D/MO/MC COMP/P/95260/08/2024</t>
  </si>
  <si>
    <t>KHI/HO/D/MO/MC COMP/P/95262/08/2024</t>
  </si>
  <si>
    <t>KHI/HO/D/MO/MC COMP/P/95263/08/2024</t>
  </si>
  <si>
    <t>KHI/HO/D/MO/MC COMP/P/95264/08/2024</t>
  </si>
  <si>
    <t>KHI/HO/D/MO/MC COMP/P/95265/08/2024</t>
  </si>
  <si>
    <t>KHI/HO/D/MO/MC COMP/P/95266/08/2024</t>
  </si>
  <si>
    <t>KHI/HO/D/MO/MC COMP/P/95267/08/2024</t>
  </si>
  <si>
    <t>KHI/HO/D/MO/MC COMP/P/95271/08/2024</t>
  </si>
  <si>
    <t>KHI/HO/D/MO/MC COMP/P/95272/08/2024</t>
  </si>
  <si>
    <t>KHI/HO/D/MO/MC COMP/P/95273/08/2024</t>
  </si>
  <si>
    <t>KHI/HO/D/MO/MC COMP/P/95277/08/2024</t>
  </si>
  <si>
    <t>KHI/HO/D/MO/MC COMP/P/95278/08/2024</t>
  </si>
  <si>
    <t>KHI/HO/D/MO/MC COMP/P/95279/08/2024</t>
  </si>
  <si>
    <t>KHI/HO/D/MO/MC COMP/P/95280/08/2024</t>
  </si>
  <si>
    <t>KHI/HO/D/MO/MC COMP/P/95286/08/2024</t>
  </si>
  <si>
    <t>KHI/HO/D/MO/MC COMP/P/95287/08/2024</t>
  </si>
  <si>
    <t>KHI/HO/D/MO/MC COMP/P/95289/08/2024</t>
  </si>
  <si>
    <t>KHI/HO/D/MO/MC COMP/P/95290/08/2024</t>
  </si>
  <si>
    <t>KHI/HO/D/MO/MC COMP/P/95301/08/2024</t>
  </si>
  <si>
    <t>KHI/HO/D/MO/MC COMP/P/95303/08/2024</t>
  </si>
  <si>
    <t>KHI/HO/D/MO/MC COMP/P/95304/08/2024</t>
  </si>
  <si>
    <t>KHI/HO/D/MO/MC COMP/P/95305/08/2024</t>
  </si>
  <si>
    <t>KHI/HO/D/MO/MC COMP/P/95306/08/2024</t>
  </si>
  <si>
    <t>KHI/HO/D/MO/MC COMP/P/95329/08/2024</t>
  </si>
  <si>
    <t>KHI/HO/D/MO/MC COMP/P/95330/08/2024</t>
  </si>
  <si>
    <t>KHI/HO/D/MO/MC COMP/P/95347/08/2024</t>
  </si>
  <si>
    <t>KHI/HO/D/MO/MC COMP/P/95348/08/2024</t>
  </si>
  <si>
    <t>KHI/HO/D/MO/MC COMP/P/95351/08/2024</t>
  </si>
  <si>
    <t>KHI/HO/D/MO/MC COMP/P/95352/08/2024</t>
  </si>
  <si>
    <t>KHI/HO/D/MO/MC COMP/P/95354/08/2024</t>
  </si>
  <si>
    <t>KHI/HO/D/MO/MC COMP/P/95357/08/2024</t>
  </si>
  <si>
    <t>KHI/HO/D/MO/MC COMP/P/95359/08/2024</t>
  </si>
  <si>
    <t>KHI/HO/D/MO/MC COMP/P/95360/08/2024</t>
  </si>
  <si>
    <t>KHI/HO/D/MO/MC COMP/P/95362/08/2024</t>
  </si>
  <si>
    <t>KHI/HO/D/MO/MC COMP/P/95364/08/2024</t>
  </si>
  <si>
    <t>KHI/HO/D/MO/MC COMP/P/95366/08/2024</t>
  </si>
  <si>
    <t>KHI/HO/D/MO/MC COMP/P/95367/08/2024</t>
  </si>
  <si>
    <t>KHI/HO/D/MO/MC COMP/P/95368/08/2024</t>
  </si>
  <si>
    <t>KHI/HO/D/MO/MC COMP/P/95370/08/2024</t>
  </si>
  <si>
    <t>KHI/HO/D/MO/MC COMP/P/95378/08/2024</t>
  </si>
  <si>
    <t>KHI/HO/D/MO/MC COMP/P/95379/08/2024</t>
  </si>
  <si>
    <t>KHI/HO/D/MO/MC COMP/P/95380/08/2024</t>
  </si>
  <si>
    <t>KHI/HO/D/MO/MC COMP/P/95381/08/2024</t>
  </si>
  <si>
    <t>KHI/HO/D/MO/MC COMP/P/95385/08/2024</t>
  </si>
  <si>
    <t>KHI/HO/D/MO/MC COMP/P/95386/08/2024</t>
  </si>
  <si>
    <t>KHI/HO/D/MO/MC COMP/P/95387/08/2024</t>
  </si>
  <si>
    <t>KHI/HO/D/MO/MC COMP/P/95391/08/2024</t>
  </si>
  <si>
    <t>KHI/HO/D/MO/MC COMP/P/95400/08/2024</t>
  </si>
  <si>
    <t>KHI/HO/D/MO/MC COMP/P/95403/08/2024</t>
  </si>
  <si>
    <t>KHI/HO/D/MO/MC COMP/P/95406/08/2024</t>
  </si>
  <si>
    <t>KHI/HO/D/MO/MC COMP/P/95407/08/2024</t>
  </si>
  <si>
    <t>KHI/HO/D/MO/MC COMP/P/95408/08/2024</t>
  </si>
  <si>
    <t>KHI/HO/D/MO/MC COMP/P/95409/08/2024</t>
  </si>
  <si>
    <t>KHI/HO/D/MO/MC COMP/P/95410/08/2024</t>
  </si>
  <si>
    <t>KHI/HO/D/MO/MC COMP/P/95411/08/2024</t>
  </si>
  <si>
    <t>KHI/HO/D/MO/MC COMP/P/95412/08/2024</t>
  </si>
  <si>
    <t>KHI/HO/D/MO/MC COMP/P/95413/08/2024</t>
  </si>
  <si>
    <t>KHI/HO/D/MO/MC COMP/P/95414/08/2024</t>
  </si>
  <si>
    <t>KHI/HO/D/MO/MC COMP/P/95416/08/2024</t>
  </si>
  <si>
    <t>KHI/HO/D/MO/MC COMP/P/95417/08/2024</t>
  </si>
  <si>
    <t>KHI/HO/D/MO/MC COMP/P/95418/08/2024</t>
  </si>
  <si>
    <t>KHI/HO/D/MO/MC COMP/P/95420/08/2024</t>
  </si>
  <si>
    <t>KHI/HO/D/MO/MC COMP/P/95421/08/2024</t>
  </si>
  <si>
    <t>KHI/HO/D/MO/MC COMP/P/95422/08/2024</t>
  </si>
  <si>
    <t>KHI/HO/D/MO/MC COMP/P/95423/08/2024</t>
  </si>
  <si>
    <t>KHI/HO/D/MO/MC COMP/P/95424/08/2024</t>
  </si>
  <si>
    <t>KHI/HO/D/MO/MC COMP/P/95425/08/2024</t>
  </si>
  <si>
    <t>KHI/HO/D/MO/MC COMP/P/95426/08/2024</t>
  </si>
  <si>
    <t>KHI/HO/D/MO/MC COMP/P/95427/08/2024</t>
  </si>
  <si>
    <t>KHI/HO/D/MO/MC COMP/P/95430/08/2024</t>
  </si>
  <si>
    <t>KHI/HO/D/MO/MC COMP/P/95431/08/2024</t>
  </si>
  <si>
    <t>KHI/HO/D/MO/MC COMP/P/95432/08/2024</t>
  </si>
  <si>
    <t>KHI/HO/D/MO/MC COMP/P/95433/08/2024</t>
  </si>
  <si>
    <t>KHI/HO/D/MO/MC COMP/P/95434/08/2024</t>
  </si>
  <si>
    <t>KHI/HO/D/MO/MC COMP/P/95435/08/2024</t>
  </si>
  <si>
    <t>KHI/HO/D/MO/MC COMP/P/95436/08/2024</t>
  </si>
  <si>
    <t>KHI/HO/D/MO/MC COMP/P/95437/08/2024</t>
  </si>
  <si>
    <t>KHI/HO/D/MO/MC COMP/P/95438/08/2024</t>
  </si>
  <si>
    <t>KHI/HO/D/MO/MC COMP/P/95439/08/2024</t>
  </si>
  <si>
    <t>KHI/HO/D/MO/MC COMP/P/95440/08/2024</t>
  </si>
  <si>
    <t>KHI/HO/D/MO/MC COMP/P/95441/08/2024</t>
  </si>
  <si>
    <t>KHI/HO/D/MO/MC COMP/P/95442/08/2024</t>
  </si>
  <si>
    <t>KHI/HO/D/MO/MC COMP/P/95443/08/2024</t>
  </si>
  <si>
    <t>KHI/HO/D/MO/MC COMP/P/95444/08/2024</t>
  </si>
  <si>
    <t>KHI/HO/D/MO/MC COMP/P/95445/08/2024</t>
  </si>
  <si>
    <t>KHI/HO/D/MO/MC COMP/P/95447/08/2024</t>
  </si>
  <si>
    <t>KHI/HO/D/MO/MC COMP/P/95448/08/2024</t>
  </si>
  <si>
    <t>KHI/HO/D/MO/MC COMP/P/95449/08/2024</t>
  </si>
  <si>
    <t>KHI/HO/D/MO/MC COMP/P/95450/08/2024</t>
  </si>
  <si>
    <t>KHI/HO/D/MO/MC COMP/P/95451/08/2024</t>
  </si>
  <si>
    <t>KHI/HO/D/MO/MC COMP/P/95452/08/2024</t>
  </si>
  <si>
    <t>KHI/HO/D/MO/MC COMP/P/95453/08/2024</t>
  </si>
  <si>
    <t>KHI/HO/D/MO/MC COMP/P/95454/08/2024</t>
  </si>
  <si>
    <t>KHI/HO/D/MO/MC COMP/P/95455/08/2024</t>
  </si>
  <si>
    <t>KHI/HO/D/MO/MC COMP/P/95456/08/2024</t>
  </si>
  <si>
    <t>KHI/HO/D/MO/MC COMP/P/95461/08/2024</t>
  </si>
  <si>
    <t>KHI/HO/D/MO/MC COMP/P/95462/08/2024</t>
  </si>
  <si>
    <t>KHI/HO/D/MO/MC COMP/P/95465/08/2024</t>
  </si>
  <si>
    <t>KHI/HO/D/MO/MC COMP/P/95474/08/2024</t>
  </si>
  <si>
    <t>KHI/HO/D/MO/MC COMP/P/95476/08/2024</t>
  </si>
  <si>
    <t>KHI/HO/D/MO/MC COMP/P/95477/08/2024</t>
  </si>
  <si>
    <t>KHI/HO/D/MO/MC COMP/P/95478/08/2024</t>
  </si>
  <si>
    <t>KHI/HO/D/MO/MC COMP/P/95479/08/2024</t>
  </si>
  <si>
    <t>KHI/HO/D/MO/MC COMP/P/95480/08/2024</t>
  </si>
  <si>
    <t>KHI/HO/D/MO/MC COMP/P/95483/08/2024</t>
  </si>
  <si>
    <t>KHI/HO/D/MO/MC COMP/P/95484/08/2024</t>
  </si>
  <si>
    <t>KHI/HO/D/MO/MC COMP/P/95487/08/2024</t>
  </si>
  <si>
    <t>KHI/HO/D/MO/MC COMP/P/95488/08/2024</t>
  </si>
  <si>
    <t>KHI/HO/D/MO/MC COMP/P/95489/08/2024</t>
  </si>
  <si>
    <t>KHI/HO/D/MO/MC COMP/P/95491/08/2024</t>
  </si>
  <si>
    <t>KHI/HO/D/MO/MC COMP/P/95492/08/2024</t>
  </si>
  <si>
    <t>KHI/HO/D/MO/MC COMP/P/95493/08/2024</t>
  </si>
  <si>
    <t>KHI/HO/D/MO/MC COMP/P/95494/08/2024</t>
  </si>
  <si>
    <t>KHI/HO/D/MO/MC COMP/P/95495/08/2024</t>
  </si>
  <si>
    <t>KHI/HO/D/MO/MC COMP/P/95498/08/2024</t>
  </si>
  <si>
    <t>KHI/HO/D/MO/MC COMP/P/95499/08/2024</t>
  </si>
  <si>
    <t>KHI/HO/D/MO/MC COMP/P/95500/08/2024</t>
  </si>
  <si>
    <t>KHI/HO/D/MO/MC COMP/P/95503/08/2024</t>
  </si>
  <si>
    <t>KHI/HO/D/MO/MC COMP/P/95504/08/2024</t>
  </si>
  <si>
    <t>KHI/HO/D/MO/MC COMP/P/95505/08/2024</t>
  </si>
  <si>
    <t>KHI/HO/D/MO/MC COMP/P/95506/08/2024</t>
  </si>
  <si>
    <t>KHI/HO/D/MO/MC COMP/P/95507/08/2024</t>
  </si>
  <si>
    <t>KHI/HO/D/MO/MC COMP/P/95508/08/2024</t>
  </si>
  <si>
    <t>KHI/HO/D/MO/MC COMP/P/95509/08/2024</t>
  </si>
  <si>
    <t>KHI/HO/D/MO/MC COMP/P/95510/08/2024</t>
  </si>
  <si>
    <t>KHI/HO/D/MO/MC COMP/P/95511/08/2024</t>
  </si>
  <si>
    <t>KHI/HO/D/MO/MC COMP/P/95512/08/2024</t>
  </si>
  <si>
    <t>KHI/HO/D/MO/MC COMP/P/95514/08/2024</t>
  </si>
  <si>
    <t>KHI/HO/D/MO/MC COMP/P/95520/08/2024</t>
  </si>
  <si>
    <t>KHI/HO/D/MO/MC COMP/P/95521/08/2024</t>
  </si>
  <si>
    <t>KHI/HO/D/MO/MC COMP/P/95522/08/2024</t>
  </si>
  <si>
    <t>KHI/HO/D/MO/MC COMP/P/95523/08/2024</t>
  </si>
  <si>
    <t>KHI/HO/D/MO/MC COMP/P/95524/08/2024</t>
  </si>
  <si>
    <t>KHI/HO/D/MO/MC COMP/P/95527/08/2024</t>
  </si>
  <si>
    <t>KHI/HO/D/MO/MC COMP/P/95528/08/2024</t>
  </si>
  <si>
    <t>KHI/HO/D/MO/MC COMP/P/95529/08/2024</t>
  </si>
  <si>
    <t>KHI/HO/D/MO/MC COMP/P/95530/08/2024</t>
  </si>
  <si>
    <t>KHI/HO/D/MO/MC COMP/P/95532/08/2024</t>
  </si>
  <si>
    <t>KHI/HO/D/MO/MC COMP/P/95533/08/2024</t>
  </si>
  <si>
    <t>KHI/HO/D/MO/MC COMP/P/95534/08/2024</t>
  </si>
  <si>
    <t>KHI/HO/D/MO/MC COMP/P/95537/08/2024</t>
  </si>
  <si>
    <t>KHI/HO/D/MO/MC COMP/P/95538/08/2024</t>
  </si>
  <si>
    <t>KHI/HO/D/MO/MC COMP/P/95541/08/2024</t>
  </si>
  <si>
    <t>KHI/HO/D/MO/MC COMP/P/95542/08/2024</t>
  </si>
  <si>
    <t>KHI/HO/D/MO/MC COMP/P/95543/08/2024</t>
  </si>
  <si>
    <t>KHI/HO/D/MO/MC COMP/P/95549/08/2024</t>
  </si>
  <si>
    <t>KHI/HO/D/MO/MC COMP/P/95550/08/2024</t>
  </si>
  <si>
    <t>KHI/HO/D/MO/MC COMP/P/95551/08/2024</t>
  </si>
  <si>
    <t>KHI/HO/D/MO/MC COMP/P/95552/08/2024</t>
  </si>
  <si>
    <t>KHI/HO/D/MO/MC COMP/P/95553/08/2024</t>
  </si>
  <si>
    <t>KHI/HO/D/MO/MC COMP/P/95554/08/2024</t>
  </si>
  <si>
    <t>KHI/HO/D/MO/MC COMP/P/95555/08/2024</t>
  </si>
  <si>
    <t>KHI/HO/D/MO/MC COMP/P/95558/08/2024</t>
  </si>
  <si>
    <t>KHI/HO/D/MO/MC COMP/P/95559/08/2024</t>
  </si>
  <si>
    <t>KHI/HO/D/MO/MC COMP/P/95560/08/2024</t>
  </si>
  <si>
    <t>KHI/HO/D/MO/MC COMP/P/95561/08/2024</t>
  </si>
  <si>
    <t>KHI/HO/D/MO/MC COMP/P/95562/08/2024</t>
  </si>
  <si>
    <t>KHI/HO/D/MO/MC COMP/P/95563/08/2024</t>
  </si>
  <si>
    <t>KHI/HO/D/MO/MC COMP/P/95564/08/2024</t>
  </si>
  <si>
    <t>KHI/HO/D/MO/MC COMP/P/95566/08/2024</t>
  </si>
  <si>
    <t>KHI/HO/D/MO/MC COMP/P/95588/08/2024</t>
  </si>
  <si>
    <t>KHI/HO/D/MO/MC COMP/P/95589/08/2024</t>
  </si>
  <si>
    <t>KHI/HO/D/MO/MC COMP/P/95608/08/2024</t>
  </si>
  <si>
    <t>KHI/HO/D/MO/MC COMP/P/95613/08/2024</t>
  </si>
  <si>
    <t>KHI/HO/D/MO/MC COMP/P/95615/08/2024</t>
  </si>
  <si>
    <t>KHI/HO/D/MO/MC COMP/P/95616/08/2024</t>
  </si>
  <si>
    <t>KHI/HO/D/MO/MC COMP/P/95618/08/2024</t>
  </si>
  <si>
    <t>KHI/HO/D/MO/MC COMP/P/95619/08/2024</t>
  </si>
  <si>
    <t>KHI/HO/D/MO/MC COMP/P/95620/08/2024</t>
  </si>
  <si>
    <t>KHI/HO/D/MO/MC COMP/P/95622/08/2024</t>
  </si>
  <si>
    <t>KHI/HO/D/MO/MC COMP/P/95623/08/2024</t>
  </si>
  <si>
    <t>KHI/HO/D/MO/MC COMP/P/95624/08/2024</t>
  </si>
  <si>
    <t>KHI/HO/D/MO/MC COMP/P/95625/08/2024</t>
  </si>
  <si>
    <t>KHI/HO/D/MO/MC COMP/P/95627/08/2024</t>
  </si>
  <si>
    <t>KHI/HO/D/MO/MC COMP/P/95628/08/2024</t>
  </si>
  <si>
    <t>KHI/HO/D/MO/MC COMP/P/95630/08/2024</t>
  </si>
  <si>
    <t>KHI/HO/D/MO/MC COMP/P/95631/08/2024</t>
  </si>
  <si>
    <t>KHI/HO/D/MO/MC COMP/P/95632/08/2024</t>
  </si>
  <si>
    <t>KHI/HO/D/MO/MC COMP/P/95633/08/2024</t>
  </si>
  <si>
    <t>KHI/HO/D/MO/MC COMP/P/95634/08/2024</t>
  </si>
  <si>
    <t>KHI/HO/D/MO/MC COMP/P/95635/08/2024</t>
  </si>
  <si>
    <t>KHI/HO/D/MO/MC COMP/P/95652/08/2024</t>
  </si>
  <si>
    <t>KHI/HO/D/MO/MC COMP/P/95653/08/2024</t>
  </si>
  <si>
    <t>KHI/HO/D/MO/MC COMP/P/95654/08/2024</t>
  </si>
  <si>
    <t>KHI/HO/D/MO/MC COMP/P/95655/08/2024</t>
  </si>
  <si>
    <t>KHI/HO/D/MO/MC COMP/P/95658/08/2024</t>
  </si>
  <si>
    <t>KHI/HO/D/MO/MC COMP/P/95661/08/2024</t>
  </si>
  <si>
    <t>KHI/HO/D/MO/MC COMP/P/95664/08/2024</t>
  </si>
  <si>
    <t>KHI/HO/D/MO/MC COMP/P/95669/08/2024</t>
  </si>
  <si>
    <t>KHI/HO/D/MO/MC COMP/P/95670/08/2024</t>
  </si>
  <si>
    <t>KHI/HO/D/MO/MC COMP/P/95671/08/2024</t>
  </si>
  <si>
    <t>KHI/HO/D/MO/MC COMP/P/95673/08/2024</t>
  </si>
  <si>
    <t>KHI/HO/D/MO/MC COMP/P/95674/08/2024</t>
  </si>
  <si>
    <t>KHI/HO/D/MO/MC COMP/P/95675/08/2024</t>
  </si>
  <si>
    <t>KHI/HO/D/MO/MC COMP/P/95676/08/2024</t>
  </si>
  <si>
    <t>KHI/HO/D/MO/MC COMP/P/95679/08/2024</t>
  </si>
  <si>
    <t>KHI/HO/D/MO/MC COMP/P/95681/08/2024</t>
  </si>
  <si>
    <t>KHI/HO/D/MO/MC COMP/P/95683/08/2024</t>
  </si>
  <si>
    <t>KHI/HO/D/MO/MC COMP/P/95685/08/2024</t>
  </si>
  <si>
    <t>KHI/HO/D/MO/MC COMP/P/95686/08/2024</t>
  </si>
  <si>
    <t>KHI/HO/D/MO/MC COMP/P/95687/08/2024</t>
  </si>
  <si>
    <t>KHI/HO/D/MO/MC COMP/P/95688/08/2024</t>
  </si>
  <si>
    <t>KHI/HO/D/MO/MC COMP/P/95690/08/2024</t>
  </si>
  <si>
    <t>KHI/HO/D/MO/MC COMP/P/95691/08/2024</t>
  </si>
  <si>
    <t>KHI/HO/D/MO/MC COMP/P/95694/08/2024</t>
  </si>
  <si>
    <t>KHI/HO/D/MO/MC COMP/P/95695/08/2024</t>
  </si>
  <si>
    <t>KHI/HO/D/MO/MC COMP/P/95698/08/2024</t>
  </si>
  <si>
    <t>KHI/HO/D/MO/MC COMP/P/95699/08/2024</t>
  </si>
  <si>
    <t>KHI/HO/D/MO/MC COMP/P/95701/08/2024</t>
  </si>
  <si>
    <t>KHI/HO/D/MO/MC COMP/P/95702/08/2024</t>
  </si>
  <si>
    <t>KHI/HO/D/MO/MC COMP/P/95703/08/2024</t>
  </si>
  <si>
    <t>KHI/HO/D/MO/MC COMP/P/95704/08/2024</t>
  </si>
  <si>
    <t>KHI/HO/D/MO/MC COMP/P/95710/08/2024</t>
  </si>
  <si>
    <t>KHI/HO/D/MO/MC COMP/P/95712/08/2024</t>
  </si>
  <si>
    <t>KHI/HO/D/MO/MC COMP/P/95716/08/2024</t>
  </si>
  <si>
    <t>KHI/HO/D/MO/MC COMP/P/95719/08/2024</t>
  </si>
  <si>
    <t>KHI/HO/D/MO/MC COMP/P/95722/08/2024</t>
  </si>
  <si>
    <t>KHI/HO/D/MO/MC COMP/P/95724/08/2024</t>
  </si>
  <si>
    <t>KHI/HO/D/MO/MC COMP/P/95725/08/2024</t>
  </si>
  <si>
    <t>KHI/HO/D/MO/MC COMP/P/95726/08/2024</t>
  </si>
  <si>
    <t>KHI/HO/D/MO/MC COMP/P/95727/08/2024</t>
  </si>
  <si>
    <t>KHI/HO/D/MO/MC COMP/P/95728/08/2024</t>
  </si>
  <si>
    <t>KHI/HO/D/MO/MC COMP/P/95729/08/2024</t>
  </si>
  <si>
    <t>KHI/HO/D/MO/MC COMP/P/95730/08/2024</t>
  </si>
  <si>
    <t>KHI/HO/D/MO/MC COMP/P/95731/08/2024</t>
  </si>
  <si>
    <t>KHI/HO/D/MO/MC COMP/P/95732/08/2024</t>
  </si>
  <si>
    <t>KHI/HO/D/MO/MC COMP/P/95733/08/2024</t>
  </si>
  <si>
    <t>KHI/HO/D/MO/MC COMP/P/95734/08/2024</t>
  </si>
  <si>
    <t>KHI/HO/D/MO/MC COMP/P/95735/08/2024</t>
  </si>
  <si>
    <t>KHI/HO/D/MO/MC COMP/P/95753/08/2024</t>
  </si>
  <si>
    <t>KHI/HO/D/MO/MC COMP/P/95756/08/2024</t>
  </si>
  <si>
    <t>KHI/HO/D/MO/MC COMP/P/95757/08/2024</t>
  </si>
  <si>
    <t>KHI/HO/D/MO/MC COMP/P/95760/08/2024</t>
  </si>
  <si>
    <t>KHI/HO/D/MO/MC COMP/P/95761/08/2024</t>
  </si>
  <si>
    <t>KHI/HO/D/MO/MC COMP/P/95763/08/2024</t>
  </si>
  <si>
    <t>KHI/HO/D/MO/MC COMP/P/95764/08/2024</t>
  </si>
  <si>
    <t>KHI/HO/D/MO/MC COMP/P/95765/08/2024</t>
  </si>
  <si>
    <t>KHI/HO/D/MO/MC COMP/P/95766/08/2024</t>
  </si>
  <si>
    <t>KHI/HO/D/MO/MC COMP/P/95767/08/2024</t>
  </si>
  <si>
    <t>KHI/HO/D/MO/MC COMP/P/95768/08/2024</t>
  </si>
  <si>
    <t>KHI/HO/D/MO/MC COMP/P/95769/08/2024</t>
  </si>
  <si>
    <t>KHI/HO/D/MO/MC COMP/P/95770/08/2024</t>
  </si>
  <si>
    <t>KHI/HO/D/MO/MC COMP/P/95771/08/2024</t>
  </si>
  <si>
    <t>KHI/HO/D/MO/MC COMP/P/95772/08/2024</t>
  </si>
  <si>
    <t>KHI/HO/D/MO/MC COMP/P/95773/08/2024</t>
  </si>
  <si>
    <t>KHI/HO/D/MO/MC COMP/P/95774/08/2024</t>
  </si>
  <si>
    <t>KHI/HO/D/MO/MC COMP/P/95775/08/2024</t>
  </si>
  <si>
    <t>KHI/HO/D/MO/MC COMP/P/95776/08/2024</t>
  </si>
  <si>
    <t>KHI/HO/D/MO/MC COMP/P/95777/08/2024</t>
  </si>
  <si>
    <t>KHI/HO/D/MO/MC COMP/P/95784/08/2024</t>
  </si>
  <si>
    <t>KHI/HO/D/MO/MC COMP/P/95790/08/2024</t>
  </si>
  <si>
    <t>KHI/HO/D/MO/MC COMP/P/95796/08/2024</t>
  </si>
  <si>
    <t>KHI/HO/D/MO/MC COMP/P/95810/08/2024</t>
  </si>
  <si>
    <t>KHI/HO/D/MO/MC COMP/P/95811/08/2024</t>
  </si>
  <si>
    <t>KHI/HO/D/MO/MC COMP/P/95814/08/2024</t>
  </si>
  <si>
    <t>KHI/HO/D/MO/MC COMP/P/95815/08/2024</t>
  </si>
  <si>
    <t>KHI/HO/D/MO/MC COMP/P/95819/08/2024</t>
  </si>
  <si>
    <t>KHI/HO/D/MO/MC COMP/P/95822/08/2024</t>
  </si>
  <si>
    <t>KHI/HO/D/MO/MC COMP/P/95827/08/2024</t>
  </si>
  <si>
    <t>KHI/HO/D/MO/MC COMP/P/95828/08/2024</t>
  </si>
  <si>
    <t>KHI/HO/D/MO/MC COMP/P/95830/08/2024</t>
  </si>
  <si>
    <t>KHI/HO/D/MO/MC COMP/P/95831/08/2024</t>
  </si>
  <si>
    <t>KHI/HO/D/MO/MC COMP/P/95832/08/2024</t>
  </si>
  <si>
    <t>KHI/HO/D/MO/MC COMP/P/95833/08/2024</t>
  </si>
  <si>
    <t>KHI/HO/D/MO/MC COMP/P/95834/08/2024</t>
  </si>
  <si>
    <t>KHI/HO/D/MO/MC COMP/P/95837/08/2024</t>
  </si>
  <si>
    <t>KHI/HO/D/MO/MC COMP/P/95859/08/2024</t>
  </si>
  <si>
    <t>KHI/HO/D/MO/MC COMP/P/95860/08/2024</t>
  </si>
  <si>
    <t>KHI/HO/D/MO/MC COMP/P/95866/08/2024</t>
  </si>
  <si>
    <t>KHI/HO/D/MO/MC COMP/P/95867/08/2024</t>
  </si>
  <si>
    <t>KHI/HO/D/MO/MC COMP/P/95868/08/2024</t>
  </si>
  <si>
    <t>KHI/HO/D/MO/MC COMP/P/95869/08/2024</t>
  </si>
  <si>
    <t>KHI/HO/D/MO/MC COMP/P/95870/08/2024</t>
  </si>
  <si>
    <t>KHI/HO/D/MO/MC COMP/P/95871/08/2024</t>
  </si>
  <si>
    <t>KHI/HO/D/MO/MC COMP/P/95872/08/2024</t>
  </si>
  <si>
    <t>KHI/HO/D/MO/MC COMP/P/95873/08/2024</t>
  </si>
  <si>
    <t>KHI/HO/D/MO/MC COMP/P/95878/08/2024</t>
  </si>
  <si>
    <t>KHI/HO/D/MO/MC COMP/P/95879/08/2024</t>
  </si>
  <si>
    <t>KHI/HO/D/MO/MC COMP/P/95880/08/2024</t>
  </si>
  <si>
    <t>KHI/HO/D/MO/MC COMP/P/95884/08/2024</t>
  </si>
  <si>
    <t>KHI/HO/D/MO/MC COMP/P/95885/08/2024</t>
  </si>
  <si>
    <t>KHI/HO/D/MO/MC COMP/P/95888/08/2024</t>
  </si>
  <si>
    <t>KHI/HO/D/MO/MC COMP/P/95889/08/2024</t>
  </si>
  <si>
    <t>KHI/HO/D/MO/MC COMP/P/95892/08/2024</t>
  </si>
  <si>
    <t>KHI/HO/D/MO/MC COMP/P/95893/08/2024</t>
  </si>
  <si>
    <t>KHI/HO/D/MO/MC COMP/P/95895/08/2024</t>
  </si>
  <si>
    <t>KHI/HO/D/MO/MC COMP/P/95896/08/2024</t>
  </si>
  <si>
    <t>KHI/HO/D/MO/MC COMP/P/95898/08/2024</t>
  </si>
  <si>
    <t>KHI/HO/D/MO/MC COMP/P/95904/08/2024</t>
  </si>
  <si>
    <t>KHI/HO/D/MO/MC COMP/P/95905/08/2024</t>
  </si>
  <si>
    <t>KHI/HO/D/MO/MC COMP/P/95906/08/2024</t>
  </si>
  <si>
    <t>KHI/HO/D/MO/MC COMP/P/95907/08/2024</t>
  </si>
  <si>
    <t>KHI/HO/D/MO/MC COMP/P/95908/08/2024</t>
  </si>
  <si>
    <t>KHI/HO/D/MO/MC COMP/P/95909/08/2024</t>
  </si>
  <si>
    <t>KHI/HO/D/MO/MC COMP/P/95910/08/2024</t>
  </si>
  <si>
    <t>KHI/HO/D/MO/MC COMP/P/95912/08/2024</t>
  </si>
  <si>
    <t>KHI/HO/D/MO/MC COMP/P/95916/08/2024</t>
  </si>
  <si>
    <t>KHI/HO/D/MO/MC COMP/P/95917/08/2024</t>
  </si>
  <si>
    <t>KHI/HO/D/MO/MC COMP/P/95918/08/2024</t>
  </si>
  <si>
    <t>KHI/HO/D/MO/MC COMP/P/95919/08/2024</t>
  </si>
  <si>
    <t>KHI/HO/D/MO/MC COMP/P/95920/08/2024</t>
  </si>
  <si>
    <t>KHI/HO/D/MO/MC COMP/P/95921/08/2024</t>
  </si>
  <si>
    <t>KHI/HO/D/MO/MC COMP/P/95923/08/2024</t>
  </si>
  <si>
    <t>KHI/HO/D/MO/MC COMP/P/95928/08/2024</t>
  </si>
  <si>
    <t>KHI/HO/D/MO/MC COMP/P/95930/08/2024</t>
  </si>
  <si>
    <t>KHI/HO/D/MO/MC COMP/P/95931/08/2024</t>
  </si>
  <si>
    <t>KHI/HO/D/MO/MC COMP/P/95932/08/2024</t>
  </si>
  <si>
    <t>KHI/HO/D/MO/MC COMP/P/95933/08/2024</t>
  </si>
  <si>
    <t>KHI/HO/D/MO/MC COMP/P/95935/08/2024</t>
  </si>
  <si>
    <t>KHI/HO/D/MO/MC COMP/P/95936/08/2024</t>
  </si>
  <si>
    <t>KHI/HO/D/MO/MC COMP/P/95937/08/2024</t>
  </si>
  <si>
    <t>KHI/HO/D/MO/MC COMP/P/95942/08/2024</t>
  </si>
  <si>
    <t>KHI/HO/D/MO/MC COMP/P/95943/08/2024</t>
  </si>
  <si>
    <t>KHI/HO/D/MO/MC COMP/P/95944/08/2024</t>
  </si>
  <si>
    <t>KHI/HO/D/MO/MC COMP/P/95945/08/2024</t>
  </si>
  <si>
    <t>KHI/HO/D/MO/MC COMP/P/95946/08/2024</t>
  </si>
  <si>
    <t>KHI/HO/D/MO/MC COMP/P/95947/08/2024</t>
  </si>
  <si>
    <t>KHI/HO/D/MO/MC COMP/P/95948/08/2024</t>
  </si>
  <si>
    <t>KHI/HO/D/MO/MC COMP/P/95949/08/2024</t>
  </si>
  <si>
    <t>KHI/HO/D/MO/MC COMP/P/95950/08/2024</t>
  </si>
  <si>
    <t>KHI/HO/D/MO/MC COMP/P/95951/08/2024</t>
  </si>
  <si>
    <t>KHI/HO/D/MO/MC COMP/P/95952/08/2024</t>
  </si>
  <si>
    <t>KHI/HO/D/MO/MC COMP/P/95953/08/2024</t>
  </si>
  <si>
    <t>KHI/HO/D/MO/MC COMP/P/95954/08/2024</t>
  </si>
  <si>
    <t>KHI/HO/D/MO/MC COMP/P/95955/08/2024</t>
  </si>
  <si>
    <t>KHI/HO/D/MO/MC COMP/P/95956/08/2024</t>
  </si>
  <si>
    <t>KHI/HO/D/MO/MC COMP/P/95958/08/2024</t>
  </si>
  <si>
    <t>KHI/HO/D/MO/MC COMP/P/95959/08/2024</t>
  </si>
  <si>
    <t>KHI/HO/D/MO/MC COMP/P/95960/08/2024</t>
  </si>
  <si>
    <t>KHI/HO/D/MO/MC COMP/P/95961/08/2024</t>
  </si>
  <si>
    <t>KHI/HO/D/MO/MC COMP/P/95962/08/2024</t>
  </si>
  <si>
    <t>KHI/HO/D/MO/MC COMP/P/95963/08/2024</t>
  </si>
  <si>
    <t>KHI/HO/D/MO/MC COMP/P/95964/08/2024</t>
  </si>
  <si>
    <t>KHI/HO/D/MO/MC COMP/P/95965/08/2024</t>
  </si>
  <si>
    <t>KHI/HO/D/MO/MC COMP/P/95966/08/2024</t>
  </si>
  <si>
    <t>KHI/HO/D/MO/MC COMP/P/95967/08/2024</t>
  </si>
  <si>
    <t>KHI/HO/D/MO/MC COMP/P/95968/08/2024</t>
  </si>
  <si>
    <t>KHI/HO/D/MO/MC COMP/P/95969/08/2024</t>
  </si>
  <si>
    <t>KHI/HO/D/MO/MC COMP/P/95970/08/2024</t>
  </si>
  <si>
    <t>KHI/HO/D/MO/MC COMP/P/95971/08/2024</t>
  </si>
  <si>
    <t>KHI/HO/D/MO/MC COMP/P/95972/08/2024</t>
  </si>
  <si>
    <t>KHI/HO/D/MO/MC COMP/P/95973/08/2024</t>
  </si>
  <si>
    <t>KHI/HO/D/MO/MC COMP/P/95974/08/2024</t>
  </si>
  <si>
    <t>KHI/HO/D/MO/MC COMP/P/95975/08/2024</t>
  </si>
  <si>
    <t>KHI/HO/D/MO/MC COMP/P/95976/08/2024</t>
  </si>
  <si>
    <t>KHI/HO/D/MO/MC COMP/P/95977/08/2024</t>
  </si>
  <si>
    <t>KHI/HO/D/MO/MC COMP/P/95978/08/2024</t>
  </si>
  <si>
    <t>KHI/HO/D/MO/MC COMP/P/95979/08/2024</t>
  </si>
  <si>
    <t>KHI/HO/D/MO/MC COMP/P/95980/08/2024</t>
  </si>
  <si>
    <t>KHI/HO/D/MO/MC COMP/P/95981/08/2024</t>
  </si>
  <si>
    <t>KHI/HO/D/MO/MC COMP/P/95982/08/2024</t>
  </si>
  <si>
    <t>KHI/HO/D/MO/MC COMP/P/95983/08/2024</t>
  </si>
  <si>
    <t>KHI/HO/D/MO/MC COMP/P/95989/08/2024</t>
  </si>
  <si>
    <t>KHI/HO/D/MO/MC COMP/P/95990/08/2024</t>
  </si>
  <si>
    <t>KHI/HO/D/MO/MC COMP/P/95991/08/2024</t>
  </si>
  <si>
    <t>KHI/HO/D/MO/MC COMP/P/95992/08/2024</t>
  </si>
  <si>
    <t>KHI/HO/D/MO/MC COMP/P/95993/08/2024</t>
  </si>
  <si>
    <t>KHI/HO/D/MO/MC COMP/P/95995/08/2024</t>
  </si>
  <si>
    <t>KHI/HO/D/MO/MC COMP/P/95996/08/2024</t>
  </si>
  <si>
    <t>KHI/HO/D/MO/MC COMP/P/95997/08/2024</t>
  </si>
  <si>
    <t>KHI/HO/D/MO/MC COMP/P/95998/08/2024</t>
  </si>
  <si>
    <t>KHI/HO/D/MO/MC COMP/P/95999/08/2024</t>
  </si>
  <si>
    <t>KHI/HO/D/MO/MC COMP/P/96018/08/2024</t>
  </si>
  <si>
    <t>KHI/HO/D/MO/MC COMP/P/96022/08/2024</t>
  </si>
  <si>
    <t>KHI/HO/D/MO/MC COMP/P/96023/08/2024</t>
  </si>
  <si>
    <t>KHI/HO/D/MO/MC COMP/P/96024/08/2024</t>
  </si>
  <si>
    <t>KHI/HO/D/MO/MC COMP/P/96026/08/2024</t>
  </si>
  <si>
    <t>KHI/HO/D/MO/MC COMP/P/96027/08/2024</t>
  </si>
  <si>
    <t>KHI/HO/D/MO/MC COMP/P/96029/08/2024</t>
  </si>
  <si>
    <t>KHI/HO/D/MO/MC COMP/P/96031/08/2024</t>
  </si>
  <si>
    <t>KHI/HO/D/MO/MC COMP/P/96033/08/2024</t>
  </si>
  <si>
    <t>KHI/HO/D/MO/MC COMP/P/96034/08/2024</t>
  </si>
  <si>
    <t>KHI/HO/D/MO/MC COMP/P/96036/08/2024</t>
  </si>
  <si>
    <t>KHI/HO/D/MO/MC COMP/P/96037/08/2024</t>
  </si>
  <si>
    <t>KHI/HO/D/MO/MC COMP/P/96038/08/2024</t>
  </si>
  <si>
    <t>KHI/HO/D/MO/MC COMP/P/96039/08/2024</t>
  </si>
  <si>
    <t>KHI/HO/D/MO/MC COMP/P/96040/08/2024</t>
  </si>
  <si>
    <t>KHI/HO/D/MO/MC COMP/P/96041/08/2024</t>
  </si>
  <si>
    <t>KHI/HO/D/MO/MC COMP/P/96042/08/2024</t>
  </si>
  <si>
    <t>KHI/HO/D/MO/MC COMP/P/96043/08/2024</t>
  </si>
  <si>
    <t>KHI/HO/D/MO/MC COMP/P/96045/08/2024</t>
  </si>
  <si>
    <t>KHI/HO/D/MO/MC COMP/P/96046/08/2024</t>
  </si>
  <si>
    <t>KHI/HO/D/MO/MC COMP/P/96047/08/2024</t>
  </si>
  <si>
    <t>KHI/HO/D/MO/MC COMP/P/96049/08/2024</t>
  </si>
  <si>
    <t>KHI/HO/D/MO/MC COMP/P/96052/08/2024</t>
  </si>
  <si>
    <t>KHI/HO/D/MO/MC COMP/P/96055/08/2024</t>
  </si>
  <si>
    <t>KHI/HO/D/MO/MC COMP/P/96056/08/2024</t>
  </si>
  <si>
    <t>KHI/HO/D/MO/MC COMP/P/96058/08/2024</t>
  </si>
  <si>
    <t>KHI/HO/D/MO/MC COMP/P/96059/08/2024</t>
  </si>
  <si>
    <t>KHI/HO/D/MO/MC COMP/P/96060/08/2024</t>
  </si>
  <si>
    <t>KHI/HO/D/MO/MC COMP/P/96062/08/2024</t>
  </si>
  <si>
    <t>KHI/HO/D/MO/MC COMP/P/96063/08/2024</t>
  </si>
  <si>
    <t>KHI/HO/D/MO/MC COMP/P/96064/08/2024</t>
  </si>
  <si>
    <t>KHI/HO/D/MO/MC COMP/P/96065/08/2024</t>
  </si>
  <si>
    <t>KHI/HO/D/MO/MC COMP/P/96066/08/2024</t>
  </si>
  <si>
    <t>KHI/HO/D/MO/MC COMP/P/96067/08/2024</t>
  </si>
  <si>
    <t>KHI/HO/D/MO/MC COMP/P/96068/08/2024</t>
  </si>
  <si>
    <t>KHI/HO/D/MO/MC COMP/P/96069/08/2024</t>
  </si>
  <si>
    <t>KHI/HO/D/MO/MC COMP/P/96070/08/2024</t>
  </si>
  <si>
    <t>KHI/HO/D/MO/MC COMP/P/96071/08/2024</t>
  </si>
  <si>
    <t>KHI/HO/D/MO/MC COMP/P/96074/08/2024</t>
  </si>
  <si>
    <t>KHI/HO/D/MO/MC COMP/P/96075/08/2024</t>
  </si>
  <si>
    <t>KHI/HO/D/MO/MC COMP/P/96087/08/2024</t>
  </si>
  <si>
    <t>KHI/HO/D/MO/MC COMP/P/96088/08/2024</t>
  </si>
  <si>
    <t>KHI/HO/D/MO/MC COMP/P/96092/08/2024</t>
  </si>
  <si>
    <t>KHI/HO/D/MO/MC COMP/P/96093/08/2024</t>
  </si>
  <si>
    <t>KHI/HO/D/MO/MC COMP/P/96100/08/2024</t>
  </si>
  <si>
    <t>KHI/HO/D/MO/MC COMP/P/96104/08/2024</t>
  </si>
  <si>
    <t>KHI/HO/D/MO/MC COMP/P/96108/08/2024</t>
  </si>
  <si>
    <t>KHI/HO/D/MO/MC COMP/P/96109/08/2024</t>
  </si>
  <si>
    <t>KHI/HO/D/MO/MC COMP/P/96114/08/2024</t>
  </si>
  <si>
    <t>KHI/HO/D/MO/MC COMP/P/96116/08/2024</t>
  </si>
  <si>
    <t>KHI/HO/D/MO/MC COMP/P/96126/08/2024</t>
  </si>
  <si>
    <t>KHI/HO/D/MO/MC COMP/P/96127/08/2024</t>
  </si>
  <si>
    <t>KHI/HO/D/MO/MC COMP/P/96129/08/2024</t>
  </si>
  <si>
    <t>KHI/HO/D/MO/MC COMP/P/96130/08/2024</t>
  </si>
  <si>
    <t>KHI/HO/D/MO/MC COMP/P/96137/08/2024</t>
  </si>
  <si>
    <t>KHI/HO/D/MO/MC COMP/P/96138/08/2024</t>
  </si>
  <si>
    <t>KHI/HO/D/MO/MC COMP/P/96139/08/2024</t>
  </si>
  <si>
    <t>KHI/HO/D/MO/MC COMP/P/96140/08/2024</t>
  </si>
  <si>
    <t>KHI/HO/D/MO/MC COMP/P/96144/08/2024</t>
  </si>
  <si>
    <t>KHI/HO/D/MO/MC COMP/P/96149/08/2024</t>
  </si>
  <si>
    <t>KHI/HO/D/MO/MC COMP/P/96150/08/2024</t>
  </si>
  <si>
    <t>KHI/HO/D/MO/MC COMP/P/96152/08/2024</t>
  </si>
  <si>
    <t>KHI/HO/D/MO/MC COMP/P/96153/08/2024</t>
  </si>
  <si>
    <t>KHI/HO/D/MO/MC COMP/P/96154/08/2024</t>
  </si>
  <si>
    <t>KHI/HO/D/MO/MC COMP/P/96156/08/2024</t>
  </si>
  <si>
    <t>KHI/HO/D/MO/MC COMP/P/96157/08/2024</t>
  </si>
  <si>
    <t>KHI/HO/D/MO/MC COMP/P/96159/08/2024</t>
  </si>
  <si>
    <t>KHI/HO/D/MO/MC COMP/P/96160/08/2024</t>
  </si>
  <si>
    <t>KHI/HO/D/MO/MC COMP/P/96166/08/2024</t>
  </si>
  <si>
    <t>KHI/HO/D/MO/MC COMP/P/96167/08/2024</t>
  </si>
  <si>
    <t>KHI/HO/D/MO/MC COMP/P/96168/08/2024</t>
  </si>
  <si>
    <t>KHI/HO/D/MO/MC COMP/P/96171/08/2024</t>
  </si>
  <si>
    <t>KHI/HO/D/MO/MC COMP/P/96175/08/2024</t>
  </si>
  <si>
    <t>KHI/HO/D/MO/MC COMP/P/96177/08/2024</t>
  </si>
  <si>
    <t>KHI/HO/D/MO/MC COMP/P/96181/08/2024</t>
  </si>
  <si>
    <t>KHI/HO/D/MO/MC COMP/P/96183/08/2024</t>
  </si>
  <si>
    <t>KHI/HO/D/MO/MC COMP/P/96186/08/2024</t>
  </si>
  <si>
    <t>KHI/HO/D/MO/MC COMP/P/96187/08/2024</t>
  </si>
  <si>
    <t>KHI/HO/D/MO/MC COMP/P/96188/08/2024</t>
  </si>
  <si>
    <t>KHI/HO/D/MO/MC COMP/P/96189/08/2024</t>
  </si>
  <si>
    <t>KHI/HO/D/MO/MC COMP/P/96190/08/2024</t>
  </si>
  <si>
    <t>KHI/HO/D/MO/MC COMP/P/96192/08/2024</t>
  </si>
  <si>
    <t>KHI/HO/D/MO/MC COMP/P/96222/08/2024</t>
  </si>
  <si>
    <t>KHI/HO/D/MO/MC COMP/P/96225/08/2024</t>
  </si>
  <si>
    <t>KHI/HO/D/MO/MC COMP/P/96226/08/2024</t>
  </si>
  <si>
    <t>KHI/HO/D/MO/MC COMP/P/96231/08/2024</t>
  </si>
  <si>
    <t>KHI/HO/D/MO/MC COMP/P/96235/08/2024</t>
  </si>
  <si>
    <t>KHI/HO/D/MO/MC COMP/P/96236/08/2024</t>
  </si>
  <si>
    <t>KHI/HO/D/MO/MC COMP/P/96237/08/2024</t>
  </si>
  <si>
    <t>KHI/HO/D/MO/MC COMP/P/96238/08/2024</t>
  </si>
  <si>
    <t>KHI/HO/D/MO/MC COMP/P/96239/08/2024</t>
  </si>
  <si>
    <t>KHI/HO/D/MO/MC COMP/P/96241/08/2024</t>
  </si>
  <si>
    <t>KHI/HO/D/MO/MC COMP/P/96242/08/2024</t>
  </si>
  <si>
    <t>KHI/HO/D/MO/MC COMP/P/96243/08/2024</t>
  </si>
  <si>
    <t>KHI/HO/D/MO/MC COMP/P/96244/08/2024</t>
  </si>
  <si>
    <t>KHI/HO/D/MO/MC COMP/P/96245/08/2024</t>
  </si>
  <si>
    <t>KHI/HO/D/MO/MC COMP/P/96246/08/2024</t>
  </si>
  <si>
    <t>KHI/HO/D/MO/MC COMP/P/96247/08/2024</t>
  </si>
  <si>
    <t>KHI/HO/D/MO/MC COMP/P/96248/08/2024</t>
  </si>
  <si>
    <t>KHI/HO/D/MO/MC COMP/P/96252/08/2024</t>
  </si>
  <si>
    <t>KHI/HO/D/MO/MC COMP/P/96253/08/2024</t>
  </si>
  <si>
    <t>KHI/HO/D/MO/MC COMP/P/96255/08/2024</t>
  </si>
  <si>
    <t>KHI/HO/D/MO/MC COMP/P/96257/08/2024</t>
  </si>
  <si>
    <t>KHI/HO/D/MO/MC COMP/P/96259/08/2024</t>
  </si>
  <si>
    <t>KHI/HO/D/MO/MC COMP/P/96262/08/2024</t>
  </si>
  <si>
    <t>KHI/HO/D/MO/MC COMP/P/96264/08/2024</t>
  </si>
  <si>
    <t>KHI/HO/D/MO/MC COMP/P/96265/08/2024</t>
  </si>
  <si>
    <t>KHI/HO/D/MO/MC COMP/P/96266/08/2024</t>
  </si>
  <si>
    <t>KHI/HO/D/MO/MC COMP/P/96267/08/2024</t>
  </si>
  <si>
    <t>KHI/HO/D/MO/MC COMP/P/96268/08/2024</t>
  </si>
  <si>
    <t>KHI/HO/D/MO/MC COMP/P/96270/08/2024</t>
  </si>
  <si>
    <t>KHI/HO/D/MO/MC COMP/P/96271/08/2024</t>
  </si>
  <si>
    <t>KHI/HO/D/MO/MC COMP/P/96272/08/2024</t>
  </si>
  <si>
    <t>KHI/HO/D/MO/MC COMP/P/96273/08/2024</t>
  </si>
  <si>
    <t>KHI/HO/D/MO/MC COMP/P/96275/08/2024</t>
  </si>
  <si>
    <t>KHI/HO/D/MO/MC COMP/P/96276/08/2024</t>
  </si>
  <si>
    <t>KHI/HO/D/MO/MC COMP/P/96278/08/2024</t>
  </si>
  <si>
    <t>KHI/HO/D/MO/MC COMP/P/96279/08/2024</t>
  </si>
  <si>
    <t>KHI/HO/D/MO/MC COMP/P/96281/08/2024</t>
  </si>
  <si>
    <t>KHI/HO/D/MO/MC COMP/P/96282/08/2024</t>
  </si>
  <si>
    <t>KHI/HO/D/MO/MC COMP/P/96284/08/2024</t>
  </si>
  <si>
    <t>KHI/HO/D/MO/MC COMP/P/96286/08/2024</t>
  </si>
  <si>
    <t>KHI/HO/D/MO/MC COMP/P/96287/08/2024</t>
  </si>
  <si>
    <t>KHI/HO/D/MO/MC COMP/P/96289/08/2024</t>
  </si>
  <si>
    <t>KHI/HO/D/MO/MC COMP/P/96290/08/2024</t>
  </si>
  <si>
    <t>KHI/HO/D/MO/MC COMP/P/96292/08/2024</t>
  </si>
  <si>
    <t>KHI/HO/D/MO/MC COMP/P/96294/08/2024</t>
  </si>
  <si>
    <t>KHI/HO/D/MO/MC COMP/P/96295/08/2024</t>
  </si>
  <si>
    <t>KHI/HO/D/MO/MC COMP/P/96297/08/2024</t>
  </si>
  <si>
    <t>KHI/HO/D/MO/MC COMP/P/96298/08/2024</t>
  </si>
  <si>
    <t>KHI/HO/D/MO/MC COMP/P/96312/08/2024</t>
  </si>
  <si>
    <t>KHI/HO/D/MO/MC COMP/P/96313/08/2024</t>
  </si>
  <si>
    <t>KHI/HO/D/MO/MC COMP/P/96315/08/2024</t>
  </si>
  <si>
    <t>KHI/HO/D/MO/MC COMP/P/96316/08/2024</t>
  </si>
  <si>
    <t>KHI/HO/D/MO/MC COMP/P/96317/08/2024</t>
  </si>
  <si>
    <t>KHI/HO/D/MO/MC COMP/P/96321/08/2024</t>
  </si>
  <si>
    <t>KHI/HO/D/MO/MC COMP/P/96322/08/2024</t>
  </si>
  <si>
    <t>KHI/HO/D/MO/MC COMP/P/96329/08/2024</t>
  </si>
  <si>
    <t>KHI/HO/D/MO/MC COMP/P/96330/08/2024</t>
  </si>
  <si>
    <t>KHI/HO/D/MO/MC COMP/P/96331/08/2024</t>
  </si>
  <si>
    <t>KHI/HO/D/MO/MC COMP/P/96334/08/2024</t>
  </si>
  <si>
    <t>KHI/HO/D/MO/MC COMP/P/96342/08/2024</t>
  </si>
  <si>
    <t>KHI/HO/D/MO/MC COMP/P/96343/08/2024</t>
  </si>
  <si>
    <t>KHI/HO/D/MO/MC COMP/P/96345/08/2024</t>
  </si>
  <si>
    <t>KHI/HO/D/MO/MC COMP/P/96349/08/2024</t>
  </si>
  <si>
    <t>KHI/HO/D/MO/MC COMP/P/96350/08/2024</t>
  </si>
  <si>
    <t>KHI/HO/D/MO/MC COMP/P/96351/08/2024</t>
  </si>
  <si>
    <t>KHI/HO/D/MO/MC COMP/P/96352/08/2024</t>
  </si>
  <si>
    <t>KHI/HO/D/MO/MC COMP/P/96353/08/2024</t>
  </si>
  <si>
    <t>KHI/HO/D/MO/MC COMP/P/96354/08/2024</t>
  </si>
  <si>
    <t>KHI/HO/D/MO/MC COMP/P/96355/08/2024</t>
  </si>
  <si>
    <t>KHI/HO/D/MO/MC COMP/P/96356/08/2024</t>
  </si>
  <si>
    <t>KHI/HO/D/MO/MC COMP/P/96357/08/2024</t>
  </si>
  <si>
    <t>KHI/HO/D/MO/MC COMP/P/96359/08/2024</t>
  </si>
  <si>
    <t>KHI/HO/D/MO/MC COMP/P/96374/08/2024</t>
  </si>
  <si>
    <t>KHI/HO/D/MO/MC COMP/P/96376/08/2024</t>
  </si>
  <si>
    <t>KHI/HO/D/MO/MC COMP/P/96378/08/2024</t>
  </si>
  <si>
    <t>KHI/HO/D/MO/MC COMP/P/96381/08/2024</t>
  </si>
  <si>
    <t>KHI/HO/D/MO/MC COMP/P/96383/08/2024</t>
  </si>
  <si>
    <t>KHI/HO/D/MO/MC COMP/P/96384/08/2024</t>
  </si>
  <si>
    <t>KHI/HO/D/MO/MC COMP/P/96385/08/2024</t>
  </si>
  <si>
    <t>KHI/HO/D/MO/MC COMP/P/96386/08/2024</t>
  </si>
  <si>
    <t>KHI/HO/D/MO/MC COMP/P/96387/08/2024</t>
  </si>
  <si>
    <t>KHI/HO/D/MO/MC COMP/P/96388/08/2024</t>
  </si>
  <si>
    <t>KHI/HO/D/MO/MC COMP/P/96392/08/2024</t>
  </si>
  <si>
    <t>KHI/HO/D/MO/MC COMP/P/96393/08/2024</t>
  </si>
  <si>
    <t>KHI/HO/D/MO/MC COMP/P/96394/08/2024</t>
  </si>
  <si>
    <t>KHI/HO/D/MO/MC COMP/P/96395/08/2024</t>
  </si>
  <si>
    <t>KHI/HO/D/MO/MC COMP/P/96397/08/2024</t>
  </si>
  <si>
    <t>KHI/HO/D/MO/MC COMP/P/96398/08/2024</t>
  </si>
  <si>
    <t>KHI/HO/D/MO/MC COMP/P/96399/08/2024</t>
  </si>
  <si>
    <t>KHI/HO/D/MO/MC COMP/P/96400/08/2024</t>
  </si>
  <si>
    <t>KHI/HO/D/MO/MC COMP/P/96401/08/2024</t>
  </si>
  <si>
    <t>KHI/HO/D/MO/MC COMP/P/96402/08/2024</t>
  </si>
  <si>
    <t>KHI/HO/D/MO/MC COMP/P/96404/08/2024</t>
  </si>
  <si>
    <t>KHI/HO/D/MO/MC COMP/P/96405/08/2024</t>
  </si>
  <si>
    <t>KHI/HO/D/MO/MC COMP/P/96406/08/2024</t>
  </si>
  <si>
    <t>KHI/HO/D/MO/MC COMP/P/96407/08/2024</t>
  </si>
  <si>
    <t>KHI/HO/D/MO/MC COMP/P/96408/08/2024</t>
  </si>
  <si>
    <t>KHI/HO/D/MO/MC COMP/P/96409/08/2024</t>
  </si>
  <si>
    <t>KHI/HO/D/MO/MC COMP/P/96410/08/2024</t>
  </si>
  <si>
    <t>KHI/HO/D/MO/MC COMP/P/96411/08/2024</t>
  </si>
  <si>
    <t>KHI/HO/D/MO/MC COMP/P/96412/08/2024</t>
  </si>
  <si>
    <t>KHI/HO/D/MO/MC COMP/P/96413/08/2024</t>
  </si>
  <si>
    <t>KHI/HO/D/MO/MC COMP/P/96414/08/2024</t>
  </si>
  <si>
    <t>KHI/HO/D/MO/MC COMP/P/96416/08/2024</t>
  </si>
  <si>
    <t>KHI/HO/D/MO/MC COMP/P/96417/08/2024</t>
  </si>
  <si>
    <t>KHI/HO/D/MO/MC COMP/P/96418/08/2024</t>
  </si>
  <si>
    <t>KHI/HO/D/MO/MC COMP/P/96419/08/2024</t>
  </si>
  <si>
    <t>KHI/HO/D/MO/MC COMP/P/96420/08/2024</t>
  </si>
  <si>
    <t>KHI/HO/D/MO/MC COMP/P/96421/08/2024</t>
  </si>
  <si>
    <t>KHI/HO/D/MO/MC COMP/P/96422/08/2024</t>
  </si>
  <si>
    <t>KHI/HO/D/MO/MC COMP/P/96423/08/2024</t>
  </si>
  <si>
    <t>KHI/HO/D/MO/MC COMP/P/96435/08/2024</t>
  </si>
  <si>
    <t>KHI/HO/D/MO/MC COMP/P/96436/08/2024</t>
  </si>
  <si>
    <t>KHI/HO/D/MO/MC COMP/P/96445/08/2024</t>
  </si>
  <si>
    <t>KHI/HO/D/MO/MC COMP/P/96446/08/2024</t>
  </si>
  <si>
    <t>KHI/HO/D/MO/MC COMP/P/96447/08/2024</t>
  </si>
  <si>
    <t>KHI/HO/D/MO/MC COMP/P/96448/08/2024</t>
  </si>
  <si>
    <t>KHI/HO/D/MO/MC COMP/P/96451/08/2024</t>
  </si>
  <si>
    <t>KHI/HO/D/MO/MC COMP/P/96453/08/2024</t>
  </si>
  <si>
    <t>KHI/HO/D/MO/MC COMP/P/96456/08/2024</t>
  </si>
  <si>
    <t>KHI/HO/D/MO/MC COMP/P/96457/08/2024</t>
  </si>
  <si>
    <t>KHI/HO/D/MO/MC COMP/P/96460/08/2024</t>
  </si>
  <si>
    <t>KHI/HO/D/MO/MC COMP/P/96462/08/2024</t>
  </si>
  <si>
    <t>KHI/HO/D/MO/MC COMP/P/96464/08/2024</t>
  </si>
  <si>
    <t>KHI/HO/D/MO/MC COMP/P/96474/08/2024</t>
  </si>
  <si>
    <t>KHI/HO/D/MO/MC COMP/P/96475/08/2024</t>
  </si>
  <si>
    <t>KHI/HO/D/MO/MC COMP/P/96481/08/2024</t>
  </si>
  <si>
    <t>KHI/HO/D/MO/MC COMP/P/96482/08/2024</t>
  </si>
  <si>
    <t>KHI/HO/D/MO/MC COMP/P/96487/08/2024</t>
  </si>
  <si>
    <t>KHI/HO/D/MO/MC COMP/P/96488/08/2024</t>
  </si>
  <si>
    <t>KHI/HO/D/MO/MC COMP/P/96490/08/2024</t>
  </si>
  <si>
    <t>KHI/HO/D/MO/MC COMP/P/96491/08/2024</t>
  </si>
  <si>
    <t>KHI/HO/D/MO/MC COMP/P/96492/08/2024</t>
  </si>
  <si>
    <t>KHI/HO/D/MO/MC COMP/P/96495/08/2024</t>
  </si>
  <si>
    <t>KHI/HO/D/MO/MC COMP/P/96496/08/2024</t>
  </si>
  <si>
    <t>KHI/HO/D/MO/MC COMP/P/96497/08/2024</t>
  </si>
  <si>
    <t>KHI/HO/D/MO/MC COMP/P/96509/08/2024</t>
  </si>
  <si>
    <t>KHI/HO/D/MO/MC COMP/P/96511/08/2024</t>
  </si>
  <si>
    <t>KHI/HO/D/MO/MC COMP/P/96512/08/2024</t>
  </si>
  <si>
    <t>KHI/HO/D/MO/MC COMP/P/96513/08/2024</t>
  </si>
  <si>
    <t>KHI/HO/D/MO/MC COMP/P/96514/08/2024</t>
  </si>
  <si>
    <t>KHI/HO/D/MO/MC COMP/P/96515/08/2024</t>
  </si>
  <si>
    <t>KHI/HO/D/MO/MC COMP/P/96516/08/2024</t>
  </si>
  <si>
    <t>KHI/HO/D/MO/MC COMP/P/96517/08/2024</t>
  </si>
  <si>
    <t>KHI/HO/D/MO/MC COMP/P/96518/08/2024</t>
  </si>
  <si>
    <t>KHI/HO/D/MO/MC COMP/P/96519/08/2024</t>
  </si>
  <si>
    <t>KHI/HO/D/MO/MC COMP/P/96520/08/2024</t>
  </si>
  <si>
    <t>KHI/HO/D/MO/MC COMP/P/96522/08/2024</t>
  </si>
  <si>
    <t>KHI/HO/D/MO/MC COMP/P/96523/08/2024</t>
  </si>
  <si>
    <t>KHI/HO/D/MO/MC COMP/P/96525/08/2024</t>
  </si>
  <si>
    <t>KHI/HO/D/MO/MC COMP/P/96526/08/2024</t>
  </si>
  <si>
    <t>KHI/HO/D/MO/MC COMP/P/96527/08/2024</t>
  </si>
  <si>
    <t>KHI/HO/D/MO/MC COMP/P/96528/08/2024</t>
  </si>
  <si>
    <t>KHI/HO/D/MO/MC COMP/P/96529/08/2024</t>
  </si>
  <si>
    <t>KHI/HO/D/MO/MC COMP/P/96530/08/2024</t>
  </si>
  <si>
    <t>KHI/HO/D/MO/MC COMP/P/96531/08/2024</t>
  </si>
  <si>
    <t>KHI/HO/D/MO/MC COMP/P/96532/08/2024</t>
  </si>
  <si>
    <t>KHI/HO/D/MO/MC COMP/P/96533/08/2024</t>
  </si>
  <si>
    <t>Islamabad Motors</t>
  </si>
  <si>
    <t>FARHAN KHAN</t>
  </si>
  <si>
    <t>ZUNAIR RAZA</t>
  </si>
  <si>
    <t>IMRAN HUSSAIN</t>
  </si>
  <si>
    <t>MUHAMMAD TAHIR AMAN</t>
  </si>
  <si>
    <t>MUHAMMAD FAIZAN QASIM</t>
  </si>
  <si>
    <t>SYED FARHAN BADAR</t>
  </si>
  <si>
    <t>FAWAD AHMED</t>
  </si>
  <si>
    <t>MUHAMMAD SHEHROZ</t>
  </si>
  <si>
    <t>MUHAMMAD YOUNUS</t>
  </si>
  <si>
    <t>IRFAN HAIDAR</t>
  </si>
  <si>
    <t>TALHA</t>
  </si>
  <si>
    <t>HAMMAD UR RAFAY</t>
  </si>
  <si>
    <t>MUHAMMAD JHASH</t>
  </si>
  <si>
    <t>ZAIN RIZVI</t>
  </si>
  <si>
    <t>AGHA MUHAMMAD SHAKIR</t>
  </si>
  <si>
    <t>ATIF UZ ZAMAN KHAN</t>
  </si>
  <si>
    <t>MUHAMMAD MANSOOR SADIQ</t>
  </si>
  <si>
    <t>IMTIAZ KHAN ABBASI</t>
  </si>
  <si>
    <t>SALMAN ALI KHAN</t>
  </si>
  <si>
    <t>M. AHMAD NADEEM</t>
  </si>
  <si>
    <t>KANWER REHAN ALI KHAN</t>
  </si>
  <si>
    <t>NOMAN AHMED</t>
  </si>
  <si>
    <t>MUHAMMAD UMER AKRAM</t>
  </si>
  <si>
    <t>AWAIS JAMAL</t>
  </si>
  <si>
    <t>ZUBAIR ADIL</t>
  </si>
  <si>
    <t>MAHRUKH PACKAGES (Pvt) Ltd.</t>
  </si>
  <si>
    <t>ABDUL HAMEED</t>
  </si>
  <si>
    <t>AFTIKHAR HUSSAIN</t>
  </si>
  <si>
    <t>MUHAMMAD USMAN KHAN</t>
  </si>
  <si>
    <t>Muhammad Numan Khan</t>
  </si>
  <si>
    <t>WAQAR AHMED SIDDIQUI</t>
  </si>
  <si>
    <t>S M NOMAN TAHIR</t>
  </si>
  <si>
    <t>S M FAISAL BUKHARI</t>
  </si>
  <si>
    <t>KAMRAN</t>
  </si>
  <si>
    <t>MUHAMMAD RAFIQUE</t>
  </si>
  <si>
    <t>M Rehan</t>
  </si>
  <si>
    <t>MIRZA ABDUL GHAFOOR S/O MIRZA ALLAH DITTA</t>
  </si>
  <si>
    <t>SHAHAB UDDIN</t>
  </si>
  <si>
    <t>SHAHZAIB GHAFOOR</t>
  </si>
  <si>
    <t>MUHAMMAD FAYYAZ</t>
  </si>
  <si>
    <t>AZIZ UR REHMAN S/O MUHAMMAD AKRAM</t>
  </si>
  <si>
    <t>ABDUL MANAN S/O</t>
  </si>
  <si>
    <t>MUHAMMAD OWAIS KHAN</t>
  </si>
  <si>
    <t>RAKSHAN ALI</t>
  </si>
  <si>
    <t>ABEER MASHOOD ARFEN</t>
  </si>
  <si>
    <t>MUHAMMAD NAEEM KHAN AFRIDI</t>
  </si>
  <si>
    <t>BABER HANIF</t>
  </si>
  <si>
    <t>AZHAR AYUB</t>
  </si>
  <si>
    <t>M. AZEEM IQBAL</t>
  </si>
  <si>
    <t>SAMI UR REHMAN</t>
  </si>
  <si>
    <t>ADIL KHAN</t>
  </si>
  <si>
    <t>Yusuf</t>
  </si>
  <si>
    <t>ABDUL MANNAN</t>
  </si>
  <si>
    <t>EBAD KHAN</t>
  </si>
  <si>
    <t>ABDULLAH ABID S/O ABID HUSSAIN</t>
  </si>
  <si>
    <t>ABDULLAH RUKHSAR S/O RUKHSAR AHMED</t>
  </si>
  <si>
    <t>MUHAMMAD KASHIF ALI S/0 KAMAL UD DIN</t>
  </si>
  <si>
    <t>PARAS PERVAIZ S/O PERVAIZ AKHTAR</t>
  </si>
  <si>
    <t>Muhammad Adnan Ijaz</t>
  </si>
  <si>
    <t>Abdul Rehman</t>
  </si>
  <si>
    <t>ZULFIQAR ALI</t>
  </si>
  <si>
    <t>MUHAMMAD INAM UL HAQ</t>
  </si>
  <si>
    <t>MUHAMMAD HAMZA</t>
  </si>
  <si>
    <t>MUHAMMAD ARSHAD</t>
  </si>
  <si>
    <t>MUHAMMAD KHAWAR</t>
  </si>
  <si>
    <t>MUHAMMAD SHAFIQ</t>
  </si>
  <si>
    <t>MAJID MUSHTAQ</t>
  </si>
  <si>
    <t>M Bilal Asghar Ch</t>
  </si>
  <si>
    <t>Bilal Waheed Qureshi</t>
  </si>
  <si>
    <t>TAZEEN ANJUM</t>
  </si>
  <si>
    <t>Fuzail Zafar</t>
  </si>
  <si>
    <t>ZIA UR REHMAN</t>
  </si>
  <si>
    <t>M Riaz Shahid</t>
  </si>
  <si>
    <t>MUHAMMAD YOUSAF JAMIL</t>
  </si>
  <si>
    <t>MARGHOOB AHMAD ZIA</t>
  </si>
  <si>
    <t>FARHAD AHMED SHAIKH</t>
  </si>
  <si>
    <t>NASEEM AKRAM</t>
  </si>
  <si>
    <t>BURAQ AHMADHOUSE NO 93-A-LDA ZREA</t>
  </si>
  <si>
    <t>BURAQ AHMAD</t>
  </si>
  <si>
    <t>SHAROON AFTAB</t>
  </si>
  <si>
    <t>RANA ZAHID HAYAT</t>
  </si>
  <si>
    <t>ALI MEHDI</t>
  </si>
  <si>
    <t>SYED SADDAM HUSSAIN</t>
  </si>
  <si>
    <t>MUHAMMAD NAFEES</t>
  </si>
  <si>
    <t>Owais Yakoob Kapadia</t>
  </si>
  <si>
    <t>CORE HEALTH</t>
  </si>
  <si>
    <t>SYED SHUJAT HUSSAIN JAFFRI</t>
  </si>
  <si>
    <t>MUHAMMAD HASSAN FAROOQ</t>
  </si>
  <si>
    <t>FARRUKH NASIR</t>
  </si>
  <si>
    <t>Abdul Basit Rana</t>
  </si>
  <si>
    <t>Ayaz Khan</t>
  </si>
  <si>
    <t>MUHAMMAD TAZEEM AKHTER</t>
  </si>
  <si>
    <t>Muhammad Uzair Qureshi</t>
  </si>
  <si>
    <t>Syed Wajahat Hussain</t>
  </si>
  <si>
    <t>Shakil Ahmed</t>
  </si>
  <si>
    <t>JAWED JAMIL QUDDUSI</t>
  </si>
  <si>
    <t>Muhammad Idrees</t>
  </si>
  <si>
    <t>HAFIZ ASJID ZAMAN</t>
  </si>
  <si>
    <t>ADNAN AHMED KHAN</t>
  </si>
  <si>
    <t>AZHAR ALI SIDDIQUI</t>
  </si>
  <si>
    <t>Naveed Khan</t>
  </si>
  <si>
    <t>Syed Qammar Ali Shah</t>
  </si>
  <si>
    <t>PAK LITE ELECTRICAL INDUSTRY</t>
  </si>
  <si>
    <t>WASEEM ASIF</t>
  </si>
  <si>
    <t>Kamran Rauf Khan</t>
  </si>
  <si>
    <t>MUHAMMAD WASEEM MUKHTAR</t>
  </si>
  <si>
    <t>Muhammad Shahid Munir</t>
  </si>
  <si>
    <t>ABDUL HAKEEM</t>
  </si>
  <si>
    <t>SUHAIB UL REHMAN</t>
  </si>
  <si>
    <t>Ahmad Hassan</t>
  </si>
  <si>
    <t>MUHAMMAD NAVEED</t>
  </si>
  <si>
    <t>MUHAMMAD ZAKKI</t>
  </si>
  <si>
    <t>Salamat Ali</t>
  </si>
  <si>
    <t>IRFAN ALI SHEHZADA</t>
  </si>
  <si>
    <t>Waqar Azam</t>
  </si>
  <si>
    <t>SHEHWAR RAFIQUE</t>
  </si>
  <si>
    <t>Amanant Ali Shahid</t>
  </si>
  <si>
    <t>Usman Mughal</t>
  </si>
  <si>
    <t>NOUMAN AMEEN</t>
  </si>
  <si>
    <t>Saif Ali Khan</t>
  </si>
  <si>
    <t>Hamza</t>
  </si>
  <si>
    <t>MUHAMMAD KHIZER</t>
  </si>
  <si>
    <t>Muhammad Saleem</t>
  </si>
  <si>
    <t>Ali Nawaz</t>
  </si>
  <si>
    <t>ANSAR ALI</t>
  </si>
  <si>
    <t>MUHAMMAD AHMED</t>
  </si>
  <si>
    <t>Kaleem Uddin</t>
  </si>
  <si>
    <t>Gul Hassan</t>
  </si>
  <si>
    <t>Yasir Khan
Cnic no. : 41304-9656580-9
Mobile no : 0316-3110451</t>
  </si>
  <si>
    <t>HIMALAYIAN KARAKORAM ENTERPRISE</t>
  </si>
  <si>
    <t>NADEEM AKHTAR S/O MUHAMMAD AKRAM</t>
  </si>
  <si>
    <t>NUMAN ALTAF</t>
  </si>
  <si>
    <t>AWAIS ARSHAD S/O ARSHAD MEHMOOD</t>
  </si>
  <si>
    <t>GHAZANFAR ALI</t>
  </si>
  <si>
    <t>RASHID AMIN ANSARI</t>
  </si>
  <si>
    <t>MUDASIR MUSHTAQ</t>
  </si>
  <si>
    <t>SALMAN MAHBOOB</t>
  </si>
  <si>
    <t>SAROOSH FAROOQ</t>
  </si>
  <si>
    <t>MUHAMMAD SAAD ZAHID</t>
  </si>
  <si>
    <t>ASAD SHAMIM</t>
  </si>
  <si>
    <t>MUHAMMAD AYAZ SIKANDER</t>
  </si>
  <si>
    <t>mMUHAMMAD BILAL</t>
  </si>
  <si>
    <t>AMIR</t>
  </si>
  <si>
    <t>SOHAIL AMJAD</t>
  </si>
  <si>
    <t>YASER SAEED</t>
  </si>
  <si>
    <t>MUHAMMAD UMAIR MAQSOOD</t>
  </si>
  <si>
    <t>ALI YASEEN</t>
  </si>
  <si>
    <t>TEHSEEN YOUSAF</t>
  </si>
  <si>
    <t>MUHAMMAD SAFDAR</t>
  </si>
  <si>
    <t>SYED GHULAM RAZA JOWN RIZVI</t>
  </si>
  <si>
    <t>HASNAT ABDULLAH</t>
  </si>
  <si>
    <t>AFZAL</t>
  </si>
  <si>
    <t>UME AIMUN</t>
  </si>
  <si>
    <t>QAIS BIN YASIN</t>
  </si>
  <si>
    <t>ARSALAN KHAWAJA HUSSAIN</t>
  </si>
  <si>
    <t>MUHAMMAD KHALID KHAN</t>
  </si>
  <si>
    <t>ABDUL RAHEEM CHAUDHARY</t>
  </si>
  <si>
    <t>HASSAN YAHYA</t>
  </si>
  <si>
    <t>WAQAS ASHRAF</t>
  </si>
  <si>
    <t>USMAN RAUF</t>
  </si>
  <si>
    <t>DILAWAR JABBAR</t>
  </si>
  <si>
    <t>PIR HASSAN ALI</t>
  </si>
  <si>
    <t>AHMER RAZA</t>
  </si>
  <si>
    <t>SARDAR MUHAMMAD HASHAM HASHMI</t>
  </si>
  <si>
    <t>MUHAMMAD OMAIR MEOU RAJPOOT</t>
  </si>
  <si>
    <t>WAQAS AHMAD</t>
  </si>
  <si>
    <t>ARBAB NADEEM</t>
  </si>
  <si>
    <t>MALIK SHOUKAT NAWAZ</t>
  </si>
  <si>
    <t>AHMAD ARSLAN</t>
  </si>
  <si>
    <t>JUNAID AYUB</t>
  </si>
  <si>
    <t>AMAN ALI</t>
  </si>
  <si>
    <t>GHULAM MOHI U DIN</t>
  </si>
  <si>
    <t>ABDUL SATTAR</t>
  </si>
  <si>
    <t>MUHAMMAD ALISHAN</t>
  </si>
  <si>
    <t>UMAIR KAMAL</t>
  </si>
  <si>
    <t>MUHAMMAD MUAZ</t>
  </si>
  <si>
    <t>MUHAMMAD ASLAM SHAHID</t>
  </si>
  <si>
    <t>TAHIR ALI</t>
  </si>
  <si>
    <t>MATEEN AHMAD</t>
  </si>
  <si>
    <t>SIKANDAR HUSSAIN</t>
  </si>
  <si>
    <t>Muhammad Naeem</t>
  </si>
  <si>
    <t>UJAILA RAHMAN</t>
  </si>
  <si>
    <t>Distribution KHI</t>
  </si>
  <si>
    <t>FARAZ BADAR</t>
  </si>
  <si>
    <t>AL HAMZA</t>
  </si>
  <si>
    <t>MUHAMMAD IMRAN SIAL</t>
  </si>
  <si>
    <t>USMAN HAIDER</t>
  </si>
  <si>
    <t>NADEEM AHMED</t>
  </si>
  <si>
    <t>MUHAMMAD SUBHAN</t>
  </si>
  <si>
    <t>AKBAR ALI</t>
  </si>
  <si>
    <t>HAMZA</t>
  </si>
  <si>
    <t>IRSHAD ALI</t>
  </si>
  <si>
    <t>MUHAMAMD RIZWAN</t>
  </si>
  <si>
    <t>USMAN ALI BHATTI</t>
  </si>
  <si>
    <t>MUHAMAMD IRFAN</t>
  </si>
  <si>
    <t>MAIRAJ AHMED KHAN</t>
  </si>
  <si>
    <t>BAHADUR KHAN</t>
  </si>
  <si>
    <t>JAVED ALI</t>
  </si>
  <si>
    <t>SHARIQ AHMED</t>
  </si>
  <si>
    <t>KAMRAN MAQBOOL</t>
  </si>
  <si>
    <t>HAFIZ MUHAMMAD IBRAHIM</t>
  </si>
  <si>
    <t>MUHAMMAD AMIN KHAN</t>
  </si>
  <si>
    <t>ASHAR SOHAIL</t>
  </si>
  <si>
    <t>USMAN ZAFAR</t>
  </si>
  <si>
    <t>Nauman Ahmed</t>
  </si>
  <si>
    <t>JAVED IQBAL</t>
  </si>
  <si>
    <t>MUHAMMAD FARAZ QURESHI</t>
  </si>
  <si>
    <t>MUHAMMAD ABUBAKAR SIDDIQUE</t>
  </si>
  <si>
    <t>MUHAMMAD DILSHAD</t>
  </si>
  <si>
    <t>MUHAMMAD SABIR IQBAL</t>
  </si>
  <si>
    <t>SALMAN SAEED</t>
  </si>
  <si>
    <t>MUHAMMAD AAMIR</t>
  </si>
  <si>
    <t>MEHTAB SHOUKAT</t>
  </si>
  <si>
    <t>REHMAN TUFAIL</t>
  </si>
  <si>
    <t>IMRAN SOHAIL</t>
  </si>
  <si>
    <t>MUHAMMAD UZAIR KAREEM</t>
  </si>
  <si>
    <t>MUHAMMAD MAAZ KHALIL</t>
  </si>
  <si>
    <t>M ASHRAF</t>
  </si>
  <si>
    <t>IFTIKHAR ASLAM</t>
  </si>
  <si>
    <t>ABUBAKAR SADDIQUE</t>
  </si>
  <si>
    <t>IRUM RAFIQ</t>
  </si>
  <si>
    <t>MUHAMMAD ILYAS RANA</t>
  </si>
  <si>
    <t>TAIMOOR HUSSAIN</t>
  </si>
  <si>
    <t>Hafiz M bilal Shafi</t>
  </si>
  <si>
    <t>Bilal Nabeel</t>
  </si>
  <si>
    <t>Izhar Ali</t>
  </si>
  <si>
    <t>M Irfan</t>
  </si>
  <si>
    <t>NAVEED AHMED KHAN</t>
  </si>
  <si>
    <t>SYED MUHAMMAD SOUHAIB ALVI</t>
  </si>
  <si>
    <t>WAQAS AHMED KHAN</t>
  </si>
  <si>
    <t>NISAR AHMED</t>
  </si>
  <si>
    <t>ABDUL AHAD</t>
  </si>
  <si>
    <t>Kamran</t>
  </si>
  <si>
    <t>MUHAMMAD ASJAD KASMANI</t>
  </si>
  <si>
    <t>MUHAMMAD JUNIAD</t>
  </si>
  <si>
    <t>Aqib Yasin</t>
  </si>
  <si>
    <t>Amir Riaz</t>
  </si>
  <si>
    <t>Arslan Tanveer</t>
  </si>
  <si>
    <t>MUHAMMAD HUZAIFA HASSAN</t>
  </si>
  <si>
    <t>MUHAMMAD FIAZ</t>
  </si>
  <si>
    <t>FASEH AHMED</t>
  </si>
  <si>
    <t>ZAHID HUSSAIN</t>
  </si>
  <si>
    <t>YOUSUF SAMID</t>
  </si>
  <si>
    <t>SYED TAQI ALI</t>
  </si>
  <si>
    <t>SYED SULTAN RAZA SHAH</t>
  </si>
  <si>
    <t>MUHAMMAD SAJID</t>
  </si>
  <si>
    <t>HAFIZ MUHAMMAD AZAM</t>
  </si>
  <si>
    <t>MUHAMMAD AMMAR</t>
  </si>
  <si>
    <t>MUHAMMAD NABEEL</t>
  </si>
  <si>
    <t>WALEED ARIF</t>
  </si>
  <si>
    <t>HAMID MASOOD MIRZA</t>
  </si>
  <si>
    <t>SYED MUHAMMAD MUZAMIL</t>
  </si>
  <si>
    <t>Abdullah Nasir Qasmi</t>
  </si>
  <si>
    <t>Muhammad Faraz</t>
  </si>
  <si>
    <t>MUHAMMAD SAMEE</t>
  </si>
  <si>
    <t>MUNEEB UR REHMAN KHAN</t>
  </si>
  <si>
    <t>Qaloob Qadir</t>
  </si>
  <si>
    <t>MUBASHIR HAMEED</t>
  </si>
  <si>
    <t>Gulzar</t>
  </si>
  <si>
    <t>ZEESHAN BARKAT</t>
  </si>
  <si>
    <t>M Mubashir</t>
  </si>
  <si>
    <t>MUHAMMAD UMAIR NADEEM</t>
  </si>
  <si>
    <t>ZOHAIB SHAHBAZ</t>
  </si>
  <si>
    <t>AKBAR KHAN</t>
  </si>
  <si>
    <t>AWAIS ARSHAD ALI</t>
  </si>
  <si>
    <t>RAZA MUSHTAQ</t>
  </si>
  <si>
    <t>ABID PERVAIZ</t>
  </si>
  <si>
    <t>MUHAMMAD MEHRAN</t>
  </si>
  <si>
    <t>MUHAMMAD UMER HANIF</t>
  </si>
  <si>
    <t>RANA MUHAMMAD WAQAS AHMAD</t>
  </si>
  <si>
    <t>JAMIL HUSSAIN</t>
  </si>
  <si>
    <t>ABID HUSSAIN</t>
  </si>
  <si>
    <t>MEHRAN AHMAD</t>
  </si>
  <si>
    <t>FAKHAR ABBAS</t>
  </si>
  <si>
    <t>SALMAN HUSSAIN</t>
  </si>
  <si>
    <t>SHEIKH MUHAMMAD AMIR RAFI</t>
  </si>
  <si>
    <t>MOHSIN SHERAZ</t>
  </si>
  <si>
    <t>SANA GUL</t>
  </si>
  <si>
    <t>RIZWAN SHAHID</t>
  </si>
  <si>
    <t>SAAD BIN SAEED</t>
  </si>
  <si>
    <t>MUHAMMAD ARSHAD S/O ABDUL REHMAN RANA</t>
  </si>
  <si>
    <t>MIAN SAQIB ALI SAQI</t>
  </si>
  <si>
    <t>MUHAMMAD IMTIAZ</t>
  </si>
  <si>
    <t>HASSNAIN IBRAHIM</t>
  </si>
  <si>
    <t>Muhammad Ali</t>
  </si>
  <si>
    <t>KHURAM IRSHAD</t>
  </si>
  <si>
    <t>USMAN ABID</t>
  </si>
  <si>
    <t>MUHAMMAD AJMAL</t>
  </si>
  <si>
    <t>Muhammad Kashif Ehsan</t>
  </si>
  <si>
    <t>FAWAD HUSSAIN</t>
  </si>
  <si>
    <t>RAMEEZ</t>
  </si>
  <si>
    <t>MUHAMMAD IRFAN</t>
  </si>
  <si>
    <t>ZULQARNAIN</t>
  </si>
  <si>
    <t>ALI AHMED BROHI</t>
  </si>
  <si>
    <t>IRFAN JAVED</t>
  </si>
  <si>
    <t>M USMAN ZAKIR</t>
  </si>
  <si>
    <t>IMTIAZ ALI KHAN</t>
  </si>
  <si>
    <t>MUHAMMAD IRFAN KHAN</t>
  </si>
  <si>
    <t>AMMAD AHMAD</t>
  </si>
  <si>
    <t>MUHAMMAD SABIR</t>
  </si>
  <si>
    <t>MUHAMMAD HAMZA SOHAIL</t>
  </si>
  <si>
    <t>SYED MUZAMIL HASSAN</t>
  </si>
  <si>
    <t>ADNAN JAVAID</t>
  </si>
  <si>
    <t>ABRAR NADEEM</t>
  </si>
  <si>
    <t>MUHAMMAD HASNAT IQBAL</t>
  </si>
  <si>
    <t>HAFIZ HASSAN LATIF</t>
  </si>
  <si>
    <t>ZEESHAN AYUB</t>
  </si>
  <si>
    <t>ABDUL BASIT</t>
  </si>
  <si>
    <t>NASEER AHMED S/O MUHAMMAD SHARIF</t>
  </si>
  <si>
    <t>AHMAD MUDASSAR</t>
  </si>
  <si>
    <t>MUHAMMAD SAMEER</t>
  </si>
  <si>
    <t>IMDAD HUSSAIN</t>
  </si>
  <si>
    <t>SAJID ALI</t>
  </si>
  <si>
    <t>RASHID SADIQ</t>
  </si>
  <si>
    <t>AZHAR ABBAS</t>
  </si>
  <si>
    <t>KHALID</t>
  </si>
  <si>
    <t>M. SHAFIQ S/O M. SHARIF</t>
  </si>
  <si>
    <t>SHAMS UL HAQ</t>
  </si>
  <si>
    <t>MUHAMMAD ADNAN SHAKIL</t>
  </si>
  <si>
    <t>M. RAMZAN</t>
  </si>
  <si>
    <t>AMMAD RASOOL</t>
  </si>
  <si>
    <t>AHSAN NADEEM</t>
  </si>
  <si>
    <t>M. ABID S/O M. YAQOOB</t>
  </si>
  <si>
    <t>MOHSIN ATTA</t>
  </si>
  <si>
    <t>M. TARIQ JAVED</t>
  </si>
  <si>
    <t>Furqan Hayder Shahid</t>
  </si>
  <si>
    <t>SHAHWAIZ TAHIR</t>
  </si>
  <si>
    <t>SYED MUHAMMAD HAIDER</t>
  </si>
  <si>
    <t>MUHAMMMAD UZAIR SIDDIQUI</t>
  </si>
  <si>
    <t>MUHAMMAD AYUB</t>
  </si>
  <si>
    <t>NOOR UL AMIN</t>
  </si>
  <si>
    <t>GHULAM ZAIN UL ABDIN RADHAN</t>
  </si>
  <si>
    <t>AHSAN ULLAH</t>
  </si>
  <si>
    <t>MUHAMMAD NISAR</t>
  </si>
  <si>
    <t>MUHAMMAD RIZWAN</t>
  </si>
  <si>
    <t>HASNAIN ABBAS</t>
  </si>
  <si>
    <t>NASIR RAZAQ</t>
  </si>
  <si>
    <t>ABU BAKKAR SADDIQUE</t>
  </si>
  <si>
    <t>AKSHAD</t>
  </si>
  <si>
    <t>ALI HASSAN</t>
  </si>
  <si>
    <t>SHAMZA ZAHID</t>
  </si>
  <si>
    <t>WASIM TARIQ</t>
  </si>
  <si>
    <t>ABID ALI</t>
  </si>
  <si>
    <t>MUHAMMAD EBAD SIDDIQUI</t>
  </si>
  <si>
    <t>JUNAID QAMAR</t>
  </si>
  <si>
    <t>MUHAMMAD ABUBAKAR NADEEM</t>
  </si>
  <si>
    <t>HAROON UR RASHID</t>
  </si>
  <si>
    <t>MUHAMMAD AFAQ AKBAR GONDAL</t>
  </si>
  <si>
    <t>JAWAD AHMED</t>
  </si>
  <si>
    <t>Muhammad Sohail Khan</t>
  </si>
  <si>
    <t>WASEEM AKRAM S/O MUHAMMAD AKRAM</t>
  </si>
  <si>
    <t>ZULFIQAR ALI S/O MUHAMMAD ASHRAF</t>
  </si>
  <si>
    <t>AZHAR ABBAS CHADHAR</t>
  </si>
  <si>
    <t>SHAHNAWAZ</t>
  </si>
  <si>
    <t>MUZAMMIL HUSSAIN</t>
  </si>
  <si>
    <t>MUHAMMAD BILAL</t>
  </si>
  <si>
    <t>NAEEM ULLAH</t>
  </si>
  <si>
    <t>ARSHAD IQBAL MALIK</t>
  </si>
  <si>
    <t>FARHAN ZULFIQAR</t>
  </si>
  <si>
    <t>NUSRAT SARFARAZ</t>
  </si>
  <si>
    <t>KHALIQ DAD</t>
  </si>
  <si>
    <t>MUHAMMAD ASGHAR</t>
  </si>
  <si>
    <t>MUHAMMAD ANAS KHAN</t>
  </si>
  <si>
    <t>AMMAR AHMED KHAN</t>
  </si>
  <si>
    <t>ZAHID BILAL</t>
  </si>
  <si>
    <t>MUHAMMAD ANAS</t>
  </si>
  <si>
    <t>MUHAMMAD HASSAN ANEES</t>
  </si>
  <si>
    <t>KASHIF BOOTA</t>
  </si>
  <si>
    <t>ANAS BIN TARIQ</t>
  </si>
  <si>
    <t>MUHAMMAD ZULFIQAR ALI</t>
  </si>
  <si>
    <t>MUHAMMAD WAHEED</t>
  </si>
  <si>
    <t>MOIZ</t>
  </si>
  <si>
    <t>HAFIZ MUHAMMAD SARMAD</t>
  </si>
  <si>
    <t>MAMOON AHMAD</t>
  </si>
  <si>
    <t>IFTEKHAR ALI</t>
  </si>
  <si>
    <t>HABIB AHMAD</t>
  </si>
  <si>
    <t>AHTESHAM NOOR</t>
  </si>
  <si>
    <t>ZEESHAN MAHMOOD</t>
  </si>
  <si>
    <t>MATEE U REHMAN</t>
  </si>
  <si>
    <t>MEHBOOB UR REHMAN</t>
  </si>
  <si>
    <t>S M ALEEM UR REHMAN</t>
  </si>
  <si>
    <t>USMAN MAHMOOD</t>
  </si>
  <si>
    <t>SIKANDAR HAYAT</t>
  </si>
  <si>
    <t>MUHAMMAD USAMA</t>
  </si>
  <si>
    <t>ABDUL REHMAN S/O MUHAMMAD INAYAT</t>
  </si>
  <si>
    <t>MANZOOR AHMAD</t>
  </si>
  <si>
    <t>Zahid Mehmood</t>
  </si>
  <si>
    <t>ANNS FAISAL</t>
  </si>
  <si>
    <t>Muhammad Farhan</t>
  </si>
  <si>
    <t>MUHAMMAD MUNEER</t>
  </si>
  <si>
    <t>NOOR ALAM MEHROZE KHAN</t>
  </si>
  <si>
    <t>ABDUL RAFAY</t>
  </si>
  <si>
    <t>MUHAMMAD HAMZA SHOAIB</t>
  </si>
  <si>
    <t>HAMID ALI</t>
  </si>
  <si>
    <t>SUNAIN SHEIKH</t>
  </si>
  <si>
    <t>MUHAMMAD UBAID AHMED</t>
  </si>
  <si>
    <t>ABDUL SAMI</t>
  </si>
  <si>
    <t>BILAL AHMED</t>
  </si>
  <si>
    <t>MUHAMMAD NAEEM</t>
  </si>
  <si>
    <t>MAQSOOD AHMED</t>
  </si>
  <si>
    <t>ATHER JAVED</t>
  </si>
  <si>
    <t>NASEER AHMED SULEHEIA</t>
  </si>
  <si>
    <t>SYED ZAHEER UL HASSAN</t>
  </si>
  <si>
    <t>QAISAR MEHMOOD</t>
  </si>
  <si>
    <t>MUHAMMAD SHAFIQ KHAN</t>
  </si>
  <si>
    <t>AHMAD IKRAM</t>
  </si>
  <si>
    <t>KASHIF WAHEED ABBASI</t>
  </si>
  <si>
    <t>AHSAN AHMED</t>
  </si>
  <si>
    <t>IRFAN UDDIN AHMED KHAN</t>
  </si>
  <si>
    <t>SAAD ALI</t>
  </si>
  <si>
    <t>AQEEL MUMTAZ</t>
  </si>
  <si>
    <t>AMIR ALI</t>
  </si>
  <si>
    <t>SHAHRUKH NASEEM KHAN</t>
  </si>
  <si>
    <t>MUHAMMAD OWAIS ABID</t>
  </si>
  <si>
    <t>SAJJAD KAMAL</t>
  </si>
  <si>
    <t>AMMARULLAH KHAN</t>
  </si>
  <si>
    <t>ABDUL GHANI</t>
  </si>
  <si>
    <t>MUHAMMAD IKRAM KIANI</t>
  </si>
  <si>
    <t>MUHAMMAD AHMAD</t>
  </si>
  <si>
    <t>ASIM ABDUL HADI</t>
  </si>
  <si>
    <t>FAWAD RAFI CHAUDHRY</t>
  </si>
  <si>
    <t>REHMAN ILYAS</t>
  </si>
  <si>
    <t>MUHAMMAD SAJID KHAN</t>
  </si>
  <si>
    <t>MUHAMMAD MAAZ</t>
  </si>
  <si>
    <t>MUHAMMAD HAMMAD</t>
  </si>
  <si>
    <t>MUHAMMAD ARFAN</t>
  </si>
  <si>
    <t>IBTISAM RASHEED</t>
  </si>
  <si>
    <t>KASHIF RIAZ</t>
  </si>
  <si>
    <t>FARHAN SHAHID</t>
  </si>
  <si>
    <t>SYED AHSAN MAHFOOZ</t>
  </si>
  <si>
    <t>MUHAMMAD UMER WAQAR</t>
  </si>
  <si>
    <t>ATTA UR REHMAN</t>
  </si>
  <si>
    <t>SHAMAS SHAHZADA</t>
  </si>
  <si>
    <t>MUHAMMAD ASHFAQ</t>
  </si>
  <si>
    <t>ABID MEHMOOD</t>
  </si>
  <si>
    <t>WAQAR UL HASAN</t>
  </si>
  <si>
    <t>M SAEED</t>
  </si>
  <si>
    <t>ASMAT ULLAH</t>
  </si>
  <si>
    <t>ZUBAIR KHAN</t>
  </si>
  <si>
    <t>KIZAR ALI</t>
  </si>
  <si>
    <t>FAYYAZ KHAN</t>
  </si>
  <si>
    <t>WAQAR AHMED SHAIKH</t>
  </si>
  <si>
    <t>SHAIKH TOUSEEF AHMED</t>
  </si>
  <si>
    <t>RMC SOLUTIONS (pvt) Ltd.</t>
  </si>
  <si>
    <t>ANTHONY ANWAR</t>
  </si>
  <si>
    <t>ABDUL  MASOOD</t>
  </si>
  <si>
    <t>MIAN SHOAIB YOUNAS</t>
  </si>
  <si>
    <t>BURHAN</t>
  </si>
  <si>
    <t>ALI HAIDER</t>
  </si>
  <si>
    <t>TALHA BIN ALI</t>
  </si>
  <si>
    <t>MUHAMMAD MUDDASSAR ZAFAR</t>
  </si>
  <si>
    <t>ABBAS ALI</t>
  </si>
  <si>
    <t>SHER AFGAN</t>
  </si>
  <si>
    <t>MUHAMMAD WALEED YOUNAS</t>
  </si>
  <si>
    <t>HAFIZ-UL-HASSAN</t>
  </si>
  <si>
    <t>MEHBOOB ELAHI S/O MUHAMMAD HANIF FAROOQI</t>
  </si>
  <si>
    <t>OSAMA SHAH</t>
  </si>
  <si>
    <t>SOHAIL IDREES</t>
  </si>
  <si>
    <t>SHEIKH USMAN AHMED</t>
  </si>
  <si>
    <t>HASNAIN RAZA</t>
  </si>
  <si>
    <t>ABDUL MAJEED</t>
  </si>
  <si>
    <t>AZHAR ABBASI</t>
  </si>
  <si>
    <t>ANAS MAVIYA</t>
  </si>
  <si>
    <t>M SAAD ZAHID</t>
  </si>
  <si>
    <t>YASIR NASEER AHMED</t>
  </si>
  <si>
    <t>USAMA ALI</t>
  </si>
  <si>
    <t>SYED HAMMAD AJAZ</t>
  </si>
  <si>
    <t>HANNAN</t>
  </si>
  <si>
    <t>SYED IMRAN SHAH GILLANI</t>
  </si>
  <si>
    <t>IRSHAD AKHTAR</t>
  </si>
  <si>
    <t>MUHAMMAD ISHAQUE</t>
  </si>
  <si>
    <t>KASHIF SIDDIQUE</t>
  </si>
  <si>
    <t>ABRAR ALI</t>
  </si>
  <si>
    <t>REHMAN WAHID</t>
  </si>
  <si>
    <t>SIKANDER ALI</t>
  </si>
  <si>
    <t>LATEEF SOHAIL</t>
  </si>
  <si>
    <t>ZAHID ALI KHAN</t>
  </si>
  <si>
    <t>SALAH UD DIN</t>
  </si>
  <si>
    <t>SAAD HASAN</t>
  </si>
  <si>
    <t>MUHAMMAD YOUNAS</t>
  </si>
  <si>
    <t>UMAIR KHAN</t>
  </si>
  <si>
    <t>NAUMAN ZULFIQAR</t>
  </si>
  <si>
    <t>AZIZ UL HASSAN</t>
  </si>
  <si>
    <t>NADEEM RAZA</t>
  </si>
  <si>
    <t>ARSLAN AHMAD</t>
  </si>
  <si>
    <t>SHAHID ALAM</t>
  </si>
  <si>
    <t>SHERAZ</t>
  </si>
  <si>
    <t>TARIQ AZIZ</t>
  </si>
  <si>
    <t>MUHAMMAD NOMAN</t>
  </si>
  <si>
    <t>AQAL KHAN</t>
  </si>
  <si>
    <t>M SAJID SIDDIQUI</t>
  </si>
  <si>
    <t>SYED HAIDER ALI ASGHAR S/O SYED ALI ASGHAR</t>
  </si>
  <si>
    <t>ALEEM ZULFIQAR</t>
  </si>
  <si>
    <t>MUHAMMAD HANZALA</t>
  </si>
  <si>
    <t>MUHAMMAD SAGHEER</t>
  </si>
  <si>
    <t>REHMAN SHABIR</t>
  </si>
  <si>
    <t>MUHAMMAD SAEED</t>
  </si>
  <si>
    <t>S IMRAN JUNAID</t>
  </si>
  <si>
    <t>BILAL YAQOOB MUGHAL</t>
  </si>
  <si>
    <t>TAHA KHAN</t>
  </si>
  <si>
    <t>AAMIR</t>
  </si>
  <si>
    <t>USAMA YOUNUS</t>
  </si>
  <si>
    <t>SOHAIB AZHAR</t>
  </si>
  <si>
    <t>MUHAMMAD SHAKEEL</t>
  </si>
  <si>
    <t>SHAHZAD REHMAN HUSSAIN</t>
  </si>
  <si>
    <t>H M JAHANZAIB KHAN</t>
  </si>
  <si>
    <t>MUHAMMAD WASEEM AFTAB</t>
  </si>
  <si>
    <t>MUHAMMAD SAMI ULLAH</t>
  </si>
  <si>
    <t>HAFIZ M JUNAID</t>
  </si>
  <si>
    <t>MUHAMMAD HASEEB</t>
  </si>
  <si>
    <t>ASIF HUSSAIN</t>
  </si>
  <si>
    <t>ZAMAN RAUF</t>
  </si>
  <si>
    <t>REHAN SHAHID</t>
  </si>
  <si>
    <t>MUHAMMAD ADIL IMDAD</t>
  </si>
  <si>
    <t>MUHAMMAD SARFRAZ ANWAR</t>
  </si>
  <si>
    <t>SUFIYAN PERVAIZ</t>
  </si>
  <si>
    <t>SHAFQAT SHAHZAD</t>
  </si>
  <si>
    <t>EJAZ MALIK</t>
  </si>
  <si>
    <t>RASHID MUNIR</t>
  </si>
  <si>
    <t>MUZAHIR ALI</t>
  </si>
  <si>
    <t>GHULAM ABAS</t>
  </si>
  <si>
    <t>SHAHERYAR MUSTAFA</t>
  </si>
  <si>
    <t>MUHAMMAD SEHAN KHAN</t>
  </si>
  <si>
    <t>SADIQ HUSSAIN</t>
  </si>
  <si>
    <t>UMAR HAMEED HASHMI</t>
  </si>
  <si>
    <t>KIFAYAT ULLAH</t>
  </si>
  <si>
    <t>MUHAMMAD AHMED HASSAN</t>
  </si>
  <si>
    <t>MUHAMMAD AYAZ</t>
  </si>
  <si>
    <t>M ARSHAD</t>
  </si>
  <si>
    <t>MUHAMMAD YAHYA</t>
  </si>
  <si>
    <t>NOOR UL HUDA</t>
  </si>
  <si>
    <t>RIZWAN AHMED KHAN</t>
  </si>
  <si>
    <t>RIZWAN UR RASHID</t>
  </si>
  <si>
    <t>SALMAN</t>
  </si>
  <si>
    <t>SHAHZAD RAUF</t>
  </si>
  <si>
    <t>SOHAIL JAFFRANI</t>
  </si>
  <si>
    <t>MUHAMMAD USMAN GHANI</t>
  </si>
  <si>
    <t>MUHAMMAD FURQAN ILYAS</t>
  </si>
  <si>
    <t>SHUJAAT HASSAN KHAN</t>
  </si>
  <si>
    <t>NAVEED ANJUM</t>
  </si>
  <si>
    <t>Masroor Ahmed</t>
  </si>
  <si>
    <t>TARIQ ALI</t>
  </si>
  <si>
    <t>ALI KHAWAR BUTT</t>
  </si>
  <si>
    <t>SHAHZAD KHALIL</t>
  </si>
  <si>
    <t>ADEEL ASLAM</t>
  </si>
  <si>
    <t>ABDUL JABBAR</t>
  </si>
  <si>
    <t>MUNAWAR IQBAL S/O IRSHAD AHMED</t>
  </si>
  <si>
    <t>MUHAMMAD NADEEM SHAHID</t>
  </si>
  <si>
    <t>AJAZ HUSSAIN</t>
  </si>
  <si>
    <t>WASIF ALI</t>
  </si>
  <si>
    <t>ARSHAD MOBIN</t>
  </si>
  <si>
    <t>ARSLAN RASHID</t>
  </si>
  <si>
    <t>ZEESHAN HAMEED</t>
  </si>
  <si>
    <t>ABDUL KARIM S/O MUHAMMAD INAYAT</t>
  </si>
  <si>
    <t>MUHAMMAD ISMAIL AGHA KHAN</t>
  </si>
  <si>
    <t>MUHAMMAD ISHTIAQ HANIF MUGHAL</t>
  </si>
  <si>
    <t>AFTAB AHMED S/O IFTIKHAR AHMAD</t>
  </si>
  <si>
    <t>KALEEM MUSHTAQ</t>
  </si>
  <si>
    <t>MUHAMMAD SHEHARYAR</t>
  </si>
  <si>
    <t>MUHAMMAD AMIN</t>
  </si>
  <si>
    <t>SHEIKH ABDUL AZEEM</t>
  </si>
  <si>
    <t>BILAWAL HAMEED</t>
  </si>
  <si>
    <t>SAJID HUSSAIN S/O MUHAMMAD ARIF</t>
  </si>
  <si>
    <t>ABDUL BASIT MUNIR</t>
  </si>
  <si>
    <t>MUHAMMAD FAREED AHMAD</t>
  </si>
  <si>
    <t>AMJAD ALI</t>
  </si>
  <si>
    <t>SOHAIL ZAFAR</t>
  </si>
  <si>
    <t>UMAR SHABBIR</t>
  </si>
  <si>
    <t>MUHAMMAD ALEEM</t>
  </si>
  <si>
    <t>HAFIZ ZEESHAN JAVED</t>
  </si>
  <si>
    <t>ABDUL SALAM</t>
  </si>
  <si>
    <t>MUHAMMAD IQBAL SABIR</t>
  </si>
  <si>
    <t>NIAZ AHMED</t>
  </si>
  <si>
    <t>AAID SHAHID</t>
  </si>
  <si>
    <t>ABDUL KHAYYAM</t>
  </si>
  <si>
    <t>AQIB</t>
  </si>
  <si>
    <t>BILAL KHAN</t>
  </si>
  <si>
    <t>MUHAMMAD OWAIS</t>
  </si>
  <si>
    <t>RAAHIM SHAIKH</t>
  </si>
  <si>
    <t>Ahmed Ali</t>
  </si>
  <si>
    <t>M AMIR MEMON HASHMANI</t>
  </si>
  <si>
    <t>MUHAMMAD TUFAIL</t>
  </si>
  <si>
    <t>SHEIKH RABI MAQSOOD</t>
  </si>
  <si>
    <t>M WAQAS QURESHI</t>
  </si>
  <si>
    <t>UMAIR UL HASSAN</t>
  </si>
  <si>
    <t>ZAIN TARIQ</t>
  </si>
  <si>
    <t>BALAWAL HUSSAIN</t>
  </si>
  <si>
    <t>AKHTAR ALI</t>
  </si>
  <si>
    <t>Arif Jatoi</t>
  </si>
  <si>
    <t>HASSAM NAZEER</t>
  </si>
  <si>
    <t>M Illyas</t>
  </si>
  <si>
    <t>Muzaffar Ali</t>
  </si>
  <si>
    <t>Zahoor Ahmad</t>
  </si>
  <si>
    <t>NAJAMUDDIN POONAWALA</t>
  </si>
  <si>
    <t>YAQOOB ALI</t>
  </si>
  <si>
    <t>MUHAMMAD IQBAL</t>
  </si>
  <si>
    <t>IMRAN</t>
  </si>
  <si>
    <t>MUHAMMAD SAQIB KHATRI</t>
  </si>
  <si>
    <t>FAHAD SAEED KHAN</t>
  </si>
  <si>
    <t>DANIYAL BHATTI</t>
  </si>
  <si>
    <t>NADEEM AHMAD</t>
  </si>
  <si>
    <t>Arqam Ansari</t>
  </si>
  <si>
    <t>Zulfiqar Ali</t>
  </si>
  <si>
    <t>MUHAMMAD UMER KHAN</t>
  </si>
  <si>
    <t>NAYAB ALI</t>
  </si>
  <si>
    <t>NASIR</t>
  </si>
  <si>
    <t>SHEHWAR HUSSAIN</t>
  </si>
  <si>
    <t>HUMZA NOOR SATTARI</t>
  </si>
  <si>
    <t>MUHAMMAD BILAL ASLAM</t>
  </si>
  <si>
    <t>MEHBOOB ASHRAF</t>
  </si>
  <si>
    <t>MUHAMMAD USMAN SALEEM</t>
  </si>
  <si>
    <t>MUHAMMAD SHAFIQUE</t>
  </si>
  <si>
    <t>MANSOOR AHMED</t>
  </si>
  <si>
    <t>Ali Raza</t>
  </si>
  <si>
    <t>John Emberry</t>
  </si>
  <si>
    <t>Siddique Ali</t>
  </si>
  <si>
    <t>M Qasim</t>
  </si>
  <si>
    <t>AHMAD MIR</t>
  </si>
  <si>
    <t>Adeel Ahmad</t>
  </si>
  <si>
    <t>Muhammad Danish Arshad</t>
  </si>
  <si>
    <t>MUHAMMAD SHAHBAZ</t>
  </si>
  <si>
    <t>M Imran Ahmad</t>
  </si>
  <si>
    <t>AHMED WAHEED</t>
  </si>
  <si>
    <t>MUHAMMAD AFAQ</t>
  </si>
  <si>
    <t>KHAWAR ALI</t>
  </si>
  <si>
    <t>AZHAR MAHMOOD</t>
  </si>
  <si>
    <t>MUHAMMAD KASHIF</t>
  </si>
  <si>
    <t>Fahad Tariq</t>
  </si>
  <si>
    <t>MUHAMMAD AHSAN</t>
  </si>
  <si>
    <t>GHULAM HASSAN</t>
  </si>
  <si>
    <t>Zubair Yasin</t>
  </si>
  <si>
    <t>SHAHZAD</t>
  </si>
  <si>
    <t>SYED AZHAR ALI SHAH GHILLANI</t>
  </si>
  <si>
    <t>Imtiaz Ur Rehman</t>
  </si>
  <si>
    <t>ADEEL SARWAR</t>
  </si>
  <si>
    <t>BUILDCON</t>
  </si>
  <si>
    <t>KASHIF KHAN</t>
  </si>
  <si>
    <t>RAJA MAJID ALI</t>
  </si>
  <si>
    <t>SHEHRYAR ASHRAF</t>
  </si>
  <si>
    <t>M ARSALAN JAFRANI</t>
  </si>
  <si>
    <t>S HARIS AZFER</t>
  </si>
  <si>
    <t>AQEEL QURESHI</t>
  </si>
  <si>
    <t>FARZANA AKRAM</t>
  </si>
  <si>
    <t>M FARRUKH KHAN</t>
  </si>
  <si>
    <t>SYED AHAD ABBAS RIZVI</t>
  </si>
  <si>
    <t>MUBASHIR MUMTAZ</t>
  </si>
  <si>
    <t>MUHAMMAD ARBAB ASLAM</t>
  </si>
  <si>
    <t>FAISAL AHMED</t>
  </si>
  <si>
    <t>ZAHID UL GHAFOOR</t>
  </si>
  <si>
    <t>INAM ULLAH MAHAR</t>
  </si>
  <si>
    <t>MUHAMMAD TALHA</t>
  </si>
  <si>
    <t>RANA ASHFAQ MEHMOOD</t>
  </si>
  <si>
    <t>AZHAR RASHEED</t>
  </si>
  <si>
    <t>MUHAMMAD MUSAB JAN</t>
  </si>
  <si>
    <t>SHAHRYAR HAMEED BUTT</t>
  </si>
  <si>
    <t>ZUBAIR</t>
  </si>
  <si>
    <t>MAJID KHAN</t>
  </si>
  <si>
    <t>MUHAMMAD NAEEM ASHFAQ</t>
  </si>
  <si>
    <t>ADNAN ARIF</t>
  </si>
  <si>
    <t>SYED MUHAMMAD SHANZIL REHMAN</t>
  </si>
  <si>
    <t>SYED MOAZ ALI</t>
  </si>
  <si>
    <t>MUNEEB UR REHMAN</t>
  </si>
  <si>
    <t>MUHAMMAD IMRAN ZIA</t>
  </si>
  <si>
    <t>AHSAN SARWAR</t>
  </si>
  <si>
    <t>Muhammad Anis</t>
  </si>
  <si>
    <t>SALMAN SHAHID</t>
  </si>
  <si>
    <t>FARAZ</t>
  </si>
  <si>
    <t>MUHAMMAD MURTAZA ALI</t>
  </si>
  <si>
    <t>KASHIF ALI</t>
  </si>
  <si>
    <t>KANWAL</t>
  </si>
  <si>
    <t>SHEHERYAR</t>
  </si>
  <si>
    <t>DANIYAL HUSSAIN</t>
  </si>
  <si>
    <t>AASIM SHAHZAD ALAM</t>
  </si>
  <si>
    <t>WAQAS YOUNUS</t>
  </si>
  <si>
    <t>MUHAMMAD USAMA ALI JILANI</t>
  </si>
  <si>
    <t>SHAHARYAR AKHTAR</t>
  </si>
  <si>
    <t>TAHIR JABBAR</t>
  </si>
  <si>
    <t>RAMEEZ SULTAN</t>
  </si>
  <si>
    <t>GULL SHER KHAN</t>
  </si>
  <si>
    <t>AMMANUEL INAYAT</t>
  </si>
  <si>
    <t>FAROOQ SATTAR KANDHRO</t>
  </si>
  <si>
    <t>FAHAD MEHMOOD</t>
  </si>
  <si>
    <t>MOHAMMAD ANWAR MUGHAL</t>
  </si>
  <si>
    <t>MOHAMMAD SUFYAN PALWALA</t>
  </si>
  <si>
    <t>M Kamran Qureshi</t>
  </si>
  <si>
    <t>MOHSIN NADEEM</t>
  </si>
  <si>
    <t>MUHAMMAD ASAD</t>
  </si>
  <si>
    <t>MUHAMMAD ISHTAQ BHATTI</t>
  </si>
  <si>
    <t>WAQAS MUHAMMAD YOUSUF</t>
  </si>
  <si>
    <t>MUNAWAR HUSSAIN</t>
  </si>
  <si>
    <t>MUHAMMAD MAJID SIDDIQUE</t>
  </si>
  <si>
    <t>AL AMIN AL FAHAD</t>
  </si>
  <si>
    <t>IRFAN AHMED KHAN</t>
  </si>
  <si>
    <t>MUHAMMAD TAIMUR ASLAM</t>
  </si>
  <si>
    <t>SYED IRFAN ALI</t>
  </si>
  <si>
    <t>SYED MUBARAK HUSSAIN KAZMI</t>
  </si>
  <si>
    <t>SUZUKI-GD-110 EURO II</t>
  </si>
  <si>
    <t>113462</t>
  </si>
  <si>
    <t>113392</t>
  </si>
  <si>
    <t>113385</t>
  </si>
  <si>
    <t>23100411</t>
  </si>
  <si>
    <t>30092358</t>
  </si>
  <si>
    <t>30092320</t>
  </si>
  <si>
    <t>30092355</t>
  </si>
  <si>
    <t>30092345</t>
  </si>
  <si>
    <t>146417</t>
  </si>
  <si>
    <t>30092331</t>
  </si>
  <si>
    <t>30092346</t>
  </si>
  <si>
    <t>113461</t>
  </si>
  <si>
    <t>146213</t>
  </si>
  <si>
    <t>23102485</t>
  </si>
  <si>
    <t>30092316</t>
  </si>
  <si>
    <t>30092328</t>
  </si>
  <si>
    <t>23100231</t>
  </si>
  <si>
    <t>30092357</t>
  </si>
  <si>
    <t>146289</t>
  </si>
  <si>
    <t>145860</t>
  </si>
  <si>
    <t>23102531</t>
  </si>
  <si>
    <t>145906</t>
  </si>
  <si>
    <t>30092349</t>
  </si>
  <si>
    <t>30092058</t>
  </si>
  <si>
    <t>145896</t>
  </si>
  <si>
    <t>113485</t>
  </si>
  <si>
    <t>30092414</t>
  </si>
  <si>
    <t>30092360</t>
  </si>
  <si>
    <t>145953</t>
  </si>
  <si>
    <t>113481</t>
  </si>
  <si>
    <t>113256</t>
  </si>
  <si>
    <t>113496</t>
  </si>
  <si>
    <t>113457</t>
  </si>
  <si>
    <t>146408</t>
  </si>
  <si>
    <t>146380</t>
  </si>
  <si>
    <t>146412</t>
  </si>
  <si>
    <t>146413</t>
  </si>
  <si>
    <t>113278</t>
  </si>
  <si>
    <t>144706</t>
  </si>
  <si>
    <t>30092412</t>
  </si>
  <si>
    <t>145783</t>
  </si>
  <si>
    <t>143880</t>
  </si>
  <si>
    <t>113140</t>
  </si>
  <si>
    <t>146407</t>
  </si>
  <si>
    <t>113489</t>
  </si>
  <si>
    <t>146391</t>
  </si>
  <si>
    <t>30092309</t>
  </si>
  <si>
    <t>113494</t>
  </si>
  <si>
    <t>30092351</t>
  </si>
  <si>
    <t>146187</t>
  </si>
  <si>
    <t>30092356</t>
  </si>
  <si>
    <t>30092436</t>
  </si>
  <si>
    <t>30092399</t>
  </si>
  <si>
    <t>145652</t>
  </si>
  <si>
    <t>30092479</t>
  </si>
  <si>
    <t>30092084</t>
  </si>
  <si>
    <t>30091850</t>
  </si>
  <si>
    <t>30092100</t>
  </si>
  <si>
    <t>113176</t>
  </si>
  <si>
    <t>23102524</t>
  </si>
  <si>
    <t>30091918</t>
  </si>
  <si>
    <t>146206</t>
  </si>
  <si>
    <t>146587</t>
  </si>
  <si>
    <t>144393</t>
  </si>
  <si>
    <t>146643</t>
  </si>
  <si>
    <t>146409</t>
  </si>
  <si>
    <t>143811</t>
  </si>
  <si>
    <t>144416</t>
  </si>
  <si>
    <t>113355</t>
  </si>
  <si>
    <t>231088517</t>
  </si>
  <si>
    <t>30092284</t>
  </si>
  <si>
    <t>143727</t>
  </si>
  <si>
    <t>145981</t>
  </si>
  <si>
    <t>30092210</t>
  </si>
  <si>
    <t>113411</t>
  </si>
  <si>
    <t>30092235</t>
  </si>
  <si>
    <t>146520</t>
  </si>
  <si>
    <t>113407</t>
  </si>
  <si>
    <t>30092292</t>
  </si>
  <si>
    <t>30092348</t>
  </si>
  <si>
    <t>146620</t>
  </si>
  <si>
    <t>146024</t>
  </si>
  <si>
    <t>30092441</t>
  </si>
  <si>
    <t>30092168</t>
  </si>
  <si>
    <t>146585</t>
  </si>
  <si>
    <t>146068</t>
  </si>
  <si>
    <t>30092343</t>
  </si>
  <si>
    <t>30092435</t>
  </si>
  <si>
    <t>113469</t>
  </si>
  <si>
    <t>146572</t>
  </si>
  <si>
    <t>113374</t>
  </si>
  <si>
    <t>146105</t>
  </si>
  <si>
    <t>30092359</t>
  </si>
  <si>
    <t>30092274</t>
  </si>
  <si>
    <t>145941</t>
  </si>
  <si>
    <t>146360</t>
  </si>
  <si>
    <t>145911</t>
  </si>
  <si>
    <t>146493</t>
  </si>
  <si>
    <t>146665</t>
  </si>
  <si>
    <t>146631</t>
  </si>
  <si>
    <t>30092342</t>
  </si>
  <si>
    <t>30091920</t>
  </si>
  <si>
    <t>30092438</t>
  </si>
  <si>
    <t>146308</t>
  </si>
  <si>
    <t>144947</t>
  </si>
  <si>
    <t>144284</t>
  </si>
  <si>
    <t>145438</t>
  </si>
  <si>
    <t>143472</t>
  </si>
  <si>
    <t>30092208</t>
  </si>
  <si>
    <t>30092275</t>
  </si>
  <si>
    <t>30092182</t>
  </si>
  <si>
    <t>145712</t>
  </si>
  <si>
    <t>145594</t>
  </si>
  <si>
    <t>30092190</t>
  </si>
  <si>
    <t>144457</t>
  </si>
  <si>
    <t>30092214</t>
  </si>
  <si>
    <t>30092232</t>
  </si>
  <si>
    <t>30092337</t>
  </si>
  <si>
    <t>30092380</t>
  </si>
  <si>
    <t>144878</t>
  </si>
  <si>
    <t>145423</t>
  </si>
  <si>
    <t>146066</t>
  </si>
  <si>
    <t>142331</t>
  </si>
  <si>
    <t>30091913</t>
  </si>
  <si>
    <t>30092514</t>
  </si>
  <si>
    <t>144884</t>
  </si>
  <si>
    <t>30092397</t>
  </si>
  <si>
    <t>113365</t>
  </si>
  <si>
    <t>143235</t>
  </si>
  <si>
    <t>30092393</t>
  </si>
  <si>
    <t>30092403</t>
  </si>
  <si>
    <t>113354</t>
  </si>
  <si>
    <t>23100030</t>
  </si>
  <si>
    <t>146387</t>
  </si>
  <si>
    <t>145836</t>
  </si>
  <si>
    <t>23102538</t>
  </si>
  <si>
    <t>143878</t>
  </si>
  <si>
    <t>113394</t>
  </si>
  <si>
    <t>145855</t>
  </si>
  <si>
    <t>144539</t>
  </si>
  <si>
    <t>145670</t>
  </si>
  <si>
    <t>145571</t>
  </si>
  <si>
    <t>30092347</t>
  </si>
  <si>
    <t>146632</t>
  </si>
  <si>
    <t>144786</t>
  </si>
  <si>
    <t>113441</t>
  </si>
  <si>
    <t>146679</t>
  </si>
  <si>
    <t>146397</t>
  </si>
  <si>
    <t>145990</t>
  </si>
  <si>
    <t>23102470</t>
  </si>
  <si>
    <t>146099</t>
  </si>
  <si>
    <t>23102496</t>
  </si>
  <si>
    <t>146058</t>
  </si>
  <si>
    <t>145199</t>
  </si>
  <si>
    <t>144824</t>
  </si>
  <si>
    <t>113428</t>
  </si>
  <si>
    <t>146752</t>
  </si>
  <si>
    <t>144355</t>
  </si>
  <si>
    <t>146625</t>
  </si>
  <si>
    <t>113495</t>
  </si>
  <si>
    <t>146089</t>
  </si>
  <si>
    <t>146683</t>
  </si>
  <si>
    <t>30092473</t>
  </si>
  <si>
    <t>146183</t>
  </si>
  <si>
    <t>23102482</t>
  </si>
  <si>
    <t>144388</t>
  </si>
  <si>
    <t>146684</t>
  </si>
  <si>
    <t>144301</t>
  </si>
  <si>
    <t>145661</t>
  </si>
  <si>
    <t>113378</t>
  </si>
  <si>
    <t>30092315</t>
  </si>
  <si>
    <t>113390</t>
  </si>
  <si>
    <t>146302</t>
  </si>
  <si>
    <t>30092023</t>
  </si>
  <si>
    <t>146145</t>
  </si>
  <si>
    <t>30092471</t>
  </si>
  <si>
    <t>23100471</t>
  </si>
  <si>
    <t>146645</t>
  </si>
  <si>
    <t>30092468</t>
  </si>
  <si>
    <t>113253</t>
  </si>
  <si>
    <t>145828</t>
  </si>
  <si>
    <t>30092467</t>
  </si>
  <si>
    <t>113295</t>
  </si>
  <si>
    <t>113478</t>
  </si>
  <si>
    <t>145834</t>
  </si>
  <si>
    <t>145897</t>
  </si>
  <si>
    <t>145833</t>
  </si>
  <si>
    <t>30092363</t>
  </si>
  <si>
    <t>23102507</t>
  </si>
  <si>
    <t>113406</t>
  </si>
  <si>
    <t>30092053</t>
  </si>
  <si>
    <t>113317</t>
  </si>
  <si>
    <t>113546</t>
  </si>
  <si>
    <t>146639</t>
  </si>
  <si>
    <t>144751</t>
  </si>
  <si>
    <t>113327</t>
  </si>
  <si>
    <t>30092333</t>
  </si>
  <si>
    <t>113266</t>
  </si>
  <si>
    <t>146316</t>
  </si>
  <si>
    <t>146323</t>
  </si>
  <si>
    <t>146167</t>
  </si>
  <si>
    <t>146182</t>
  </si>
  <si>
    <t>146405</t>
  </si>
  <si>
    <t>146312</t>
  </si>
  <si>
    <t>146290</t>
  </si>
  <si>
    <t>113529</t>
  </si>
  <si>
    <t>23102539</t>
  </si>
  <si>
    <t>146297</t>
  </si>
  <si>
    <t>30092440</t>
  </si>
  <si>
    <t>145772</t>
  </si>
  <si>
    <t>146701</t>
  </si>
  <si>
    <t>113468</t>
  </si>
  <si>
    <t>146373</t>
  </si>
  <si>
    <t>146717</t>
  </si>
  <si>
    <t>146771</t>
  </si>
  <si>
    <t>30091925</t>
  </si>
  <si>
    <t>30092175</t>
  </si>
  <si>
    <t>146514</t>
  </si>
  <si>
    <t>113491</t>
  </si>
  <si>
    <t>145149</t>
  </si>
  <si>
    <t>30092043</t>
  </si>
  <si>
    <t>113416</t>
  </si>
  <si>
    <t>145355</t>
  </si>
  <si>
    <t>145183</t>
  </si>
  <si>
    <t>145134</t>
  </si>
  <si>
    <t>146602</t>
  </si>
  <si>
    <t>113310</t>
  </si>
  <si>
    <t>145138</t>
  </si>
  <si>
    <t>146634</t>
  </si>
  <si>
    <t>145130</t>
  </si>
  <si>
    <t>146158</t>
  </si>
  <si>
    <t>23102535</t>
  </si>
  <si>
    <t>145976</t>
  </si>
  <si>
    <t>145674</t>
  </si>
  <si>
    <t>30092542</t>
  </si>
  <si>
    <t>30092159</t>
  </si>
  <si>
    <t>113324</t>
  </si>
  <si>
    <t>145703</t>
  </si>
  <si>
    <t>146696</t>
  </si>
  <si>
    <t>30092445</t>
  </si>
  <si>
    <t>23102465</t>
  </si>
  <si>
    <t>30092104</t>
  </si>
  <si>
    <t>113522</t>
  </si>
  <si>
    <t>144710</t>
  </si>
  <si>
    <t>146784</t>
  </si>
  <si>
    <t>146293</t>
  </si>
  <si>
    <t>146704</t>
  </si>
  <si>
    <t>146618</t>
  </si>
  <si>
    <t>146790</t>
  </si>
  <si>
    <t>30092442</t>
  </si>
  <si>
    <t>146133</t>
  </si>
  <si>
    <t>30092480</t>
  </si>
  <si>
    <t>146799</t>
  </si>
  <si>
    <t>145725</t>
  </si>
  <si>
    <t>30092294</t>
  </si>
  <si>
    <t>30092152</t>
  </si>
  <si>
    <t>145701</t>
  </si>
  <si>
    <t>30091878</t>
  </si>
  <si>
    <t>113487</t>
  </si>
  <si>
    <t>23100364</t>
  </si>
  <si>
    <t>146770</t>
  </si>
  <si>
    <t>30092459</t>
  </si>
  <si>
    <t>30092103</t>
  </si>
  <si>
    <t>146755</t>
  </si>
  <si>
    <t>146793</t>
  </si>
  <si>
    <t>113521</t>
  </si>
  <si>
    <t>30092296</t>
  </si>
  <si>
    <t>146083</t>
  </si>
  <si>
    <t>146079</t>
  </si>
  <si>
    <t>23102568</t>
  </si>
  <si>
    <t>146107</t>
  </si>
  <si>
    <t>146794</t>
  </si>
  <si>
    <t>146796</t>
  </si>
  <si>
    <t>146774</t>
  </si>
  <si>
    <t>30092430</t>
  </si>
  <si>
    <t>146743</t>
  </si>
  <si>
    <t>146737</t>
  </si>
  <si>
    <t>113230</t>
  </si>
  <si>
    <t>23102567</t>
  </si>
  <si>
    <t>146384</t>
  </si>
  <si>
    <t>113540</t>
  </si>
  <si>
    <t>113557</t>
  </si>
  <si>
    <t>300392350</t>
  </si>
  <si>
    <t>146466</t>
  </si>
  <si>
    <t>145722</t>
  </si>
  <si>
    <t>145591</t>
  </si>
  <si>
    <t>146350</t>
  </si>
  <si>
    <t>145592</t>
  </si>
  <si>
    <t>30092061</t>
  </si>
  <si>
    <t>145967</t>
  </si>
  <si>
    <t>144745</t>
  </si>
  <si>
    <t>145956</t>
  </si>
  <si>
    <t>145965</t>
  </si>
  <si>
    <t>146670</t>
  </si>
  <si>
    <t>146792</t>
  </si>
  <si>
    <t>145846</t>
  </si>
  <si>
    <t>145188</t>
  </si>
  <si>
    <t>23102560</t>
  </si>
  <si>
    <t>146507</t>
  </si>
  <si>
    <t>23102533</t>
  </si>
  <si>
    <t>30092386</t>
  </si>
  <si>
    <t>30092396</t>
  </si>
  <si>
    <t>23100439</t>
  </si>
  <si>
    <t>30092395</t>
  </si>
  <si>
    <t>144785</t>
  </si>
  <si>
    <t>146600</t>
  </si>
  <si>
    <t>30092382</t>
  </si>
  <si>
    <t>113433</t>
  </si>
  <si>
    <t>30092379</t>
  </si>
  <si>
    <t>30092369</t>
  </si>
  <si>
    <t>146491</t>
  </si>
  <si>
    <t>146460</t>
  </si>
  <si>
    <t>30092101</t>
  </si>
  <si>
    <t>146386</t>
  </si>
  <si>
    <t>146366</t>
  </si>
  <si>
    <t>146463</t>
  </si>
  <si>
    <t>113371</t>
  </si>
  <si>
    <t>113342</t>
  </si>
  <si>
    <t>113504</t>
  </si>
  <si>
    <t>113493</t>
  </si>
  <si>
    <t>146117</t>
  </si>
  <si>
    <t>23100456</t>
  </si>
  <si>
    <t>145861</t>
  </si>
  <si>
    <t>146601</t>
  </si>
  <si>
    <t>113505</t>
  </si>
  <si>
    <t>113547</t>
  </si>
  <si>
    <t>113404</t>
  </si>
  <si>
    <t>146691</t>
  </si>
  <si>
    <t>146000</t>
  </si>
  <si>
    <t>146383</t>
  </si>
  <si>
    <t>30092383</t>
  </si>
  <si>
    <t>113535</t>
  </si>
  <si>
    <t>146306</t>
  </si>
  <si>
    <t>30092388</t>
  </si>
  <si>
    <t>30092384</t>
  </si>
  <si>
    <t>23102523</t>
  </si>
  <si>
    <t>113544</t>
  </si>
  <si>
    <t>146745</t>
  </si>
  <si>
    <t>145432</t>
  </si>
  <si>
    <t>145237</t>
  </si>
  <si>
    <t>30092532</t>
  </si>
  <si>
    <t>30092529</t>
  </si>
  <si>
    <t>30092619</t>
  </si>
  <si>
    <t>113530</t>
  </si>
  <si>
    <t>23102575</t>
  </si>
  <si>
    <t>23102521</t>
  </si>
  <si>
    <t>147006</t>
  </si>
  <si>
    <t>23102481</t>
  </si>
  <si>
    <t>145653</t>
  </si>
  <si>
    <t>146635</t>
  </si>
  <si>
    <t>113401</t>
  </si>
  <si>
    <t>146432</t>
  </si>
  <si>
    <t>146334</t>
  </si>
  <si>
    <t>30092263</t>
  </si>
  <si>
    <t>145683</t>
  </si>
  <si>
    <t>113263</t>
  </si>
  <si>
    <t>145143</t>
  </si>
  <si>
    <t>22106602</t>
  </si>
  <si>
    <t>145691</t>
  </si>
  <si>
    <t>146353</t>
  </si>
  <si>
    <t>145060</t>
  </si>
  <si>
    <t>113480</t>
  </si>
  <si>
    <t>146805</t>
  </si>
  <si>
    <t>147011</t>
  </si>
  <si>
    <t>145739</t>
  </si>
  <si>
    <t>30092616</t>
  </si>
  <si>
    <t>138552</t>
  </si>
  <si>
    <t>146681</t>
  </si>
  <si>
    <t>30091337</t>
  </si>
  <si>
    <t>146497</t>
  </si>
  <si>
    <t>145037</t>
  </si>
  <si>
    <t>145036</t>
  </si>
  <si>
    <t>113274</t>
  </si>
  <si>
    <t>145031</t>
  </si>
  <si>
    <t>146969</t>
  </si>
  <si>
    <t>30091340</t>
  </si>
  <si>
    <t>143599</t>
  </si>
  <si>
    <t>143569</t>
  </si>
  <si>
    <t>147421</t>
  </si>
  <si>
    <t>145028</t>
  </si>
  <si>
    <t>146156</t>
  </si>
  <si>
    <t>144687</t>
  </si>
  <si>
    <t>23100343</t>
  </si>
  <si>
    <t>30092047</t>
  </si>
  <si>
    <t>113553</t>
  </si>
  <si>
    <t>146747</t>
  </si>
  <si>
    <t>30092450</t>
  </si>
  <si>
    <t>23102516</t>
  </si>
  <si>
    <t>143428</t>
  </si>
  <si>
    <t>145499</t>
  </si>
  <si>
    <t>30092565</t>
  </si>
  <si>
    <t>113302</t>
  </si>
  <si>
    <t>30092036</t>
  </si>
  <si>
    <t>145625</t>
  </si>
  <si>
    <t>145520</t>
  </si>
  <si>
    <t>145525</t>
  </si>
  <si>
    <t>113507</t>
  </si>
  <si>
    <t>145618</t>
  </si>
  <si>
    <t>145505</t>
  </si>
  <si>
    <t>145684</t>
  </si>
  <si>
    <t>30092555</t>
  </si>
  <si>
    <t>146157</t>
  </si>
  <si>
    <t>146810</t>
  </si>
  <si>
    <t>30091981</t>
  </si>
  <si>
    <t>146650</t>
  </si>
  <si>
    <t>146851</t>
  </si>
  <si>
    <t>30091983</t>
  </si>
  <si>
    <t>146855</t>
  </si>
  <si>
    <t>30091982</t>
  </si>
  <si>
    <t>146109</t>
  </si>
  <si>
    <t>23100338</t>
  </si>
  <si>
    <t>146067</t>
  </si>
  <si>
    <t>145873</t>
  </si>
  <si>
    <t>146669</t>
  </si>
  <si>
    <t>30091988</t>
  </si>
  <si>
    <t>145466</t>
  </si>
  <si>
    <t>145128</t>
  </si>
  <si>
    <t>145449</t>
  </si>
  <si>
    <t>146619</t>
  </si>
  <si>
    <t>145444</t>
  </si>
  <si>
    <t>113463</t>
  </si>
  <si>
    <t>30092046</t>
  </si>
  <si>
    <t>113532</t>
  </si>
  <si>
    <t>147174</t>
  </si>
  <si>
    <t>145464</t>
  </si>
  <si>
    <t>23102529</t>
  </si>
  <si>
    <t>146994</t>
  </si>
  <si>
    <t>30092625</t>
  </si>
  <si>
    <t>147410</t>
  </si>
  <si>
    <t>113484</t>
  </si>
  <si>
    <t>147406</t>
  </si>
  <si>
    <t>145848</t>
  </si>
  <si>
    <t>30092476</t>
  </si>
  <si>
    <t>147071</t>
  </si>
  <si>
    <t>E487-146216</t>
  </si>
  <si>
    <t>113486</t>
  </si>
  <si>
    <t>PKG30092448</t>
  </si>
  <si>
    <t>PKG30092123</t>
  </si>
  <si>
    <t>113550</t>
  </si>
  <si>
    <t>145827</t>
  </si>
  <si>
    <t>146464</t>
  </si>
  <si>
    <t>145899</t>
  </si>
  <si>
    <t>146990</t>
  </si>
  <si>
    <t>146278</t>
  </si>
  <si>
    <t>146256</t>
  </si>
  <si>
    <t>146288</t>
  </si>
  <si>
    <t>146143</t>
  </si>
  <si>
    <t>145699</t>
  </si>
  <si>
    <t>30092049</t>
  </si>
  <si>
    <t>146238</t>
  </si>
  <si>
    <t>147400</t>
  </si>
  <si>
    <t>145904</t>
  </si>
  <si>
    <t>146554</t>
  </si>
  <si>
    <t>113306</t>
  </si>
  <si>
    <t>30092636</t>
  </si>
  <si>
    <t>147165</t>
  </si>
  <si>
    <t>146609</t>
  </si>
  <si>
    <t>147172</t>
  </si>
  <si>
    <t>147186</t>
  </si>
  <si>
    <t>113488</t>
  </si>
  <si>
    <t>113512</t>
  </si>
  <si>
    <t>113513</t>
  </si>
  <si>
    <t>30092631</t>
  </si>
  <si>
    <t>147193</t>
  </si>
  <si>
    <t>147157</t>
  </si>
  <si>
    <t>146326</t>
  </si>
  <si>
    <t>145179</t>
  </si>
  <si>
    <t>145909</t>
  </si>
  <si>
    <t>146765</t>
  </si>
  <si>
    <t>23102611</t>
  </si>
  <si>
    <t>23102469</t>
  </si>
  <si>
    <t>23102510</t>
  </si>
  <si>
    <t>145888</t>
  </si>
  <si>
    <t>23102489</t>
  </si>
  <si>
    <t>146698</t>
  </si>
  <si>
    <t>145875</t>
  </si>
  <si>
    <t>146218</t>
  </si>
  <si>
    <t>146237</t>
  </si>
  <si>
    <t>23102446</t>
  </si>
  <si>
    <t>147178</t>
  </si>
  <si>
    <t>147273</t>
  </si>
  <si>
    <t>166824</t>
  </si>
  <si>
    <t>23102582</t>
  </si>
  <si>
    <t>146785</t>
  </si>
  <si>
    <t>146813</t>
  </si>
  <si>
    <t>145868</t>
  </si>
  <si>
    <t>146630</t>
  </si>
  <si>
    <t>146655</t>
  </si>
  <si>
    <t>146991</t>
  </si>
  <si>
    <t>146934</t>
  </si>
  <si>
    <t>145867</t>
  </si>
  <si>
    <t>146689</t>
  </si>
  <si>
    <t>146779</t>
  </si>
  <si>
    <t>146395</t>
  </si>
  <si>
    <t>146769</t>
  </si>
  <si>
    <t>30092410</t>
  </si>
  <si>
    <t>23102503</t>
  </si>
  <si>
    <t>147175</t>
  </si>
  <si>
    <t>30092366</t>
  </si>
  <si>
    <t>30092432</t>
  </si>
  <si>
    <t>30092402</t>
  </si>
  <si>
    <t>30092364</t>
  </si>
  <si>
    <t>30092408</t>
  </si>
  <si>
    <t>145161</t>
  </si>
  <si>
    <t>145012</t>
  </si>
  <si>
    <t>146233</t>
  </si>
  <si>
    <t>147181</t>
  </si>
  <si>
    <t>146888</t>
  </si>
  <si>
    <t>30092454</t>
  </si>
  <si>
    <t>30091795</t>
  </si>
  <si>
    <t>146803</t>
  </si>
  <si>
    <t>146616</t>
  </si>
  <si>
    <t>147274</t>
  </si>
  <si>
    <t>137075</t>
  </si>
  <si>
    <t>136296</t>
  </si>
  <si>
    <t>147169</t>
  </si>
  <si>
    <t>136293</t>
  </si>
  <si>
    <t>30089073</t>
  </si>
  <si>
    <t>30089442</t>
  </si>
  <si>
    <t>136676</t>
  </si>
  <si>
    <t>147297</t>
  </si>
  <si>
    <t>113558</t>
  </si>
  <si>
    <t>147318</t>
  </si>
  <si>
    <t>147409</t>
  </si>
  <si>
    <t>113502</t>
  </si>
  <si>
    <t>146509</t>
  </si>
  <si>
    <t>146030</t>
  </si>
  <si>
    <t>145022</t>
  </si>
  <si>
    <t>113449</t>
  </si>
  <si>
    <t>145172</t>
  </si>
  <si>
    <t>145442</t>
  </si>
  <si>
    <t>113563</t>
  </si>
  <si>
    <t>147319</t>
  </si>
  <si>
    <t>146699</t>
  </si>
  <si>
    <t>145676</t>
  </si>
  <si>
    <t>146806</t>
  </si>
  <si>
    <t>146988</t>
  </si>
  <si>
    <t>147304</t>
  </si>
  <si>
    <t>113447</t>
  </si>
  <si>
    <t>23100018</t>
  </si>
  <si>
    <t>146577</t>
  </si>
  <si>
    <t>146231</t>
  </si>
  <si>
    <t>146159</t>
  </si>
  <si>
    <t>146220</t>
  </si>
  <si>
    <t>146862</t>
  </si>
  <si>
    <t>146229</t>
  </si>
  <si>
    <t>147303</t>
  </si>
  <si>
    <t>146573</t>
  </si>
  <si>
    <t>147265</t>
  </si>
  <si>
    <t>146668</t>
  </si>
  <si>
    <t>146654</t>
  </si>
  <si>
    <t>146195</t>
  </si>
  <si>
    <t>30092463</t>
  </si>
  <si>
    <t>145669</t>
  </si>
  <si>
    <t>145192</t>
  </si>
  <si>
    <t>145229</t>
  </si>
  <si>
    <t>30091843</t>
  </si>
  <si>
    <t>145300</t>
  </si>
  <si>
    <t>145103</t>
  </si>
  <si>
    <t>145665</t>
  </si>
  <si>
    <t>23102603</t>
  </si>
  <si>
    <t>146192</t>
  </si>
  <si>
    <t>113554</t>
  </si>
  <si>
    <t>113562</t>
  </si>
  <si>
    <t>147743</t>
  </si>
  <si>
    <t>146690</t>
  </si>
  <si>
    <t>145302</t>
  </si>
  <si>
    <t>145129</t>
  </si>
  <si>
    <t>23100454</t>
  </si>
  <si>
    <t>145878</t>
  </si>
  <si>
    <t>146234</t>
  </si>
  <si>
    <t>143357</t>
  </si>
  <si>
    <t>146807</t>
  </si>
  <si>
    <t>146431</t>
  </si>
  <si>
    <t>145020</t>
  </si>
  <si>
    <t>146425</t>
  </si>
  <si>
    <t>146582</t>
  </si>
  <si>
    <t>145023</t>
  </si>
  <si>
    <t>113538</t>
  </si>
  <si>
    <t>113417</t>
  </si>
  <si>
    <t>146352</t>
  </si>
  <si>
    <t>30092409</t>
  </si>
  <si>
    <t>147272</t>
  </si>
  <si>
    <t>146965</t>
  </si>
  <si>
    <t>146595</t>
  </si>
  <si>
    <t>113626</t>
  </si>
  <si>
    <t>146812</t>
  </si>
  <si>
    <t>113556</t>
  </si>
  <si>
    <t>147489</t>
  </si>
  <si>
    <t>23102541</t>
  </si>
  <si>
    <t>147163</t>
  </si>
  <si>
    <t>147164</t>
  </si>
  <si>
    <t>147418</t>
  </si>
  <si>
    <t>136674</t>
  </si>
  <si>
    <t>137076</t>
  </si>
  <si>
    <t>135591</t>
  </si>
  <si>
    <t>30088932</t>
  </si>
  <si>
    <t>135590</t>
  </si>
  <si>
    <t>137074</t>
  </si>
  <si>
    <t>30088851</t>
  </si>
  <si>
    <t>135579</t>
  </si>
  <si>
    <t>30089190</t>
  </si>
  <si>
    <t xml:space="preserve"> 137627</t>
  </si>
  <si>
    <t>146975</t>
  </si>
  <si>
    <t>147310</t>
  </si>
  <si>
    <t>146987</t>
  </si>
  <si>
    <t>23100466</t>
  </si>
  <si>
    <t>146906</t>
  </si>
  <si>
    <t>113588</t>
  </si>
  <si>
    <t>146795</t>
  </si>
  <si>
    <t>147479</t>
  </si>
  <si>
    <t>30092587</t>
  </si>
  <si>
    <t>146837</t>
  </si>
  <si>
    <t>2310473</t>
  </si>
  <si>
    <t>113572</t>
  </si>
  <si>
    <t>146873</t>
  </si>
  <si>
    <t>30092381</t>
  </si>
  <si>
    <t>23102606</t>
  </si>
  <si>
    <t>30092618</t>
  </si>
  <si>
    <t>30092632</t>
  </si>
  <si>
    <t>113580</t>
  </si>
  <si>
    <t>23102467</t>
  </si>
  <si>
    <t>146361</t>
  </si>
  <si>
    <t>30092557</t>
  </si>
  <si>
    <t>143877</t>
  </si>
  <si>
    <t>147088</t>
  </si>
  <si>
    <t>147091</t>
  </si>
  <si>
    <t>30092626</t>
  </si>
  <si>
    <t>147096</t>
  </si>
  <si>
    <t>146926</t>
  </si>
  <si>
    <t>142525</t>
  </si>
  <si>
    <t>147296</t>
  </si>
  <si>
    <t>146929</t>
  </si>
  <si>
    <t>30092629</t>
  </si>
  <si>
    <t>147090</t>
  </si>
  <si>
    <t>146730</t>
  </si>
  <si>
    <t>30092528</t>
  </si>
  <si>
    <t>30092374</t>
  </si>
  <si>
    <t>146574</t>
  </si>
  <si>
    <t>23102553</t>
  </si>
  <si>
    <t>147103</t>
  </si>
  <si>
    <t>30092730</t>
  </si>
  <si>
    <t>30092727</t>
  </si>
  <si>
    <t>23102596</t>
  </si>
  <si>
    <t>147427</t>
  </si>
  <si>
    <t>147580</t>
  </si>
  <si>
    <t>147581</t>
  </si>
  <si>
    <t>147294</t>
  </si>
  <si>
    <t>30092771</t>
  </si>
  <si>
    <t>147676</t>
  </si>
  <si>
    <t>30092721</t>
  </si>
  <si>
    <t>136373</t>
  </si>
  <si>
    <t>134565</t>
  </si>
  <si>
    <t xml:space="preserve"> 30088563</t>
  </si>
  <si>
    <t>30092599</t>
  </si>
  <si>
    <t>30088861</t>
  </si>
  <si>
    <t>133626</t>
  </si>
  <si>
    <t>146719</t>
  </si>
  <si>
    <t>23102589</t>
  </si>
  <si>
    <t>30092371</t>
  </si>
  <si>
    <t>146953</t>
  </si>
  <si>
    <t>146940</t>
  </si>
  <si>
    <t>147408</t>
  </si>
  <si>
    <t>147487</t>
  </si>
  <si>
    <t>146658</t>
  </si>
  <si>
    <t>113534</t>
  </si>
  <si>
    <t>145709</t>
  </si>
  <si>
    <t>145484</t>
  </si>
  <si>
    <t>113567</t>
  </si>
  <si>
    <t>145630</t>
  </si>
  <si>
    <t>147747</t>
  </si>
  <si>
    <t>30092764</t>
  </si>
  <si>
    <t>30092783</t>
  </si>
  <si>
    <t>30092768</t>
  </si>
  <si>
    <t>30092774</t>
  </si>
  <si>
    <t>30092772</t>
  </si>
  <si>
    <t>113526</t>
  </si>
  <si>
    <t>30092736</t>
  </si>
  <si>
    <t>30092780</t>
  </si>
  <si>
    <t>30092767</t>
  </si>
  <si>
    <t>147594</t>
  </si>
  <si>
    <t>113666</t>
  </si>
  <si>
    <t>30092770</t>
  </si>
  <si>
    <t>113560</t>
  </si>
  <si>
    <t>145553</t>
  </si>
  <si>
    <t>145549</t>
  </si>
  <si>
    <t>23102586</t>
  </si>
  <si>
    <t>30092607</t>
  </si>
  <si>
    <t>113569</t>
  </si>
  <si>
    <t>30092735</t>
  </si>
  <si>
    <t>30092596</t>
  </si>
  <si>
    <t>30092336</t>
  </si>
  <si>
    <t>30092319</t>
  </si>
  <si>
    <t>30092206</t>
  </si>
  <si>
    <t>146653</t>
  </si>
  <si>
    <t>30092329</t>
  </si>
  <si>
    <t>113169</t>
  </si>
  <si>
    <t>146647</t>
  </si>
  <si>
    <t>146453</t>
  </si>
  <si>
    <t>30092209</t>
  </si>
  <si>
    <t>30092458</t>
  </si>
  <si>
    <t>30092462</t>
  </si>
  <si>
    <t>146441</t>
  </si>
  <si>
    <t>30092449</t>
  </si>
  <si>
    <t>145835</t>
  </si>
  <si>
    <t>30092583</t>
  </si>
  <si>
    <t>113471</t>
  </si>
  <si>
    <t>146462</t>
  </si>
  <si>
    <t>145198</t>
  </si>
  <si>
    <t>146458</t>
  </si>
  <si>
    <t>145440</t>
  </si>
  <si>
    <t>145443</t>
  </si>
  <si>
    <t>30092724</t>
  </si>
  <si>
    <t>113676</t>
  </si>
  <si>
    <t>113649</t>
  </si>
  <si>
    <t>113660</t>
  </si>
  <si>
    <t>113652</t>
  </si>
  <si>
    <t>147686</t>
  </si>
  <si>
    <t>147691</t>
  </si>
  <si>
    <t>147692</t>
  </si>
  <si>
    <t>113675</t>
  </si>
  <si>
    <t>146742</t>
  </si>
  <si>
    <t>30092401</t>
  </si>
  <si>
    <t>30092365</t>
  </si>
  <si>
    <t>146188</t>
  </si>
  <si>
    <t>113605</t>
  </si>
  <si>
    <t>113613</t>
  </si>
  <si>
    <t>30092801</t>
  </si>
  <si>
    <t>G42B-113275</t>
  </si>
  <si>
    <t>PKG30092009</t>
  </si>
  <si>
    <t>30092797</t>
  </si>
  <si>
    <t>30092812</t>
  </si>
  <si>
    <t>30092810</t>
  </si>
  <si>
    <t>30092628</t>
  </si>
  <si>
    <t>30092624</t>
  </si>
  <si>
    <t>146900</t>
  </si>
  <si>
    <t>30092816</t>
  </si>
  <si>
    <t>147094</t>
  </si>
  <si>
    <t>30092817</t>
  </si>
  <si>
    <t>30092793</t>
  </si>
  <si>
    <t>146927</t>
  </si>
  <si>
    <t>145694</t>
  </si>
  <si>
    <t>147738</t>
  </si>
  <si>
    <t>147170</t>
  </si>
  <si>
    <t>146528</t>
  </si>
  <si>
    <t>113584</t>
  </si>
  <si>
    <t>113657</t>
  </si>
  <si>
    <t>146923</t>
  </si>
  <si>
    <t>146924</t>
  </si>
  <si>
    <t>147582</t>
  </si>
  <si>
    <t>113585</t>
  </si>
  <si>
    <t>146363</t>
  </si>
  <si>
    <t>113655</t>
  </si>
  <si>
    <t>30092795</t>
  </si>
  <si>
    <t>146931</t>
  </si>
  <si>
    <t>30092799</t>
  </si>
  <si>
    <t>147527</t>
  </si>
  <si>
    <t>147744</t>
  </si>
  <si>
    <t>147703</t>
  </si>
  <si>
    <t>113642</t>
  </si>
  <si>
    <t>113662</t>
  </si>
  <si>
    <t>147187</t>
  </si>
  <si>
    <t>147701</t>
  </si>
  <si>
    <t>147693</t>
  </si>
  <si>
    <t>30092794</t>
  </si>
  <si>
    <t>146443</t>
  </si>
  <si>
    <t>145688</t>
  </si>
  <si>
    <t>23102474</t>
  </si>
  <si>
    <t>147185</t>
  </si>
  <si>
    <t>146834</t>
  </si>
  <si>
    <t>147180</t>
  </si>
  <si>
    <t>30092729</t>
  </si>
  <si>
    <t>147075</t>
  </si>
  <si>
    <t>147704</t>
  </si>
  <si>
    <t>30092746</t>
  </si>
  <si>
    <t>146942</t>
  </si>
  <si>
    <t>30092811</t>
  </si>
  <si>
    <t>30092813</t>
  </si>
  <si>
    <t>23102644</t>
  </si>
  <si>
    <t>146839</t>
  </si>
  <si>
    <t>23102613</t>
  </si>
  <si>
    <t>30092752</t>
  </si>
  <si>
    <t>147812</t>
  </si>
  <si>
    <t>147485</t>
  </si>
  <si>
    <t>113467</t>
  </si>
  <si>
    <t>147481</t>
  </si>
  <si>
    <t>30092726</t>
  </si>
  <si>
    <t>30092725</t>
  </si>
  <si>
    <t>FOR THE MONTH OF Aug-24</t>
  </si>
  <si>
    <t>INVOICE # 0018</t>
  </si>
  <si>
    <t>Difference</t>
  </si>
  <si>
    <t>0331-0365301</t>
  </si>
  <si>
    <t>Net Rate</t>
  </si>
  <si>
    <t>SST 15%</t>
  </si>
  <si>
    <t>SST   15%</t>
  </si>
  <si>
    <t>PREM</t>
  </si>
  <si>
    <t>-08-2024</t>
  </si>
  <si>
    <t xml:space="preserve">   </t>
  </si>
  <si>
    <t>FUNC_ASSORTED_STRING(IA.ASSORTED_CODE)</t>
  </si>
  <si>
    <t>ASSORTED_CODE</t>
  </si>
  <si>
    <t>040000181347</t>
  </si>
  <si>
    <t>040000181348</t>
  </si>
  <si>
    <t>040000181356</t>
  </si>
  <si>
    <t>040000181357</t>
  </si>
  <si>
    <t>040000181359</t>
  </si>
  <si>
    <t>040000181360</t>
  </si>
  <si>
    <t>040000181361</t>
  </si>
  <si>
    <t>040000181362</t>
  </si>
  <si>
    <t>040000181368</t>
  </si>
  <si>
    <t>040000181371</t>
  </si>
  <si>
    <t>040000181363</t>
  </si>
  <si>
    <t>040000181364</t>
  </si>
  <si>
    <t>040000181378</t>
  </si>
  <si>
    <t>040000181379</t>
  </si>
  <si>
    <t>040000181380</t>
  </si>
  <si>
    <t>040000181375</t>
  </si>
  <si>
    <t>040000181366</t>
  </si>
  <si>
    <t>040000181374</t>
  </si>
  <si>
    <t>040000181384</t>
  </si>
  <si>
    <t>040000181385</t>
  </si>
  <si>
    <t>040000181433</t>
  </si>
  <si>
    <t>040000181431</t>
  </si>
  <si>
    <t>040000181400</t>
  </si>
  <si>
    <t>040000181432</t>
  </si>
  <si>
    <t>040000181434</t>
  </si>
  <si>
    <t>040000181438</t>
  </si>
  <si>
    <t>040000181439</t>
  </si>
  <si>
    <t>040000181443</t>
  </si>
  <si>
    <t>040000181457</t>
  </si>
  <si>
    <t>040000181395</t>
  </si>
  <si>
    <t>040000181396</t>
  </si>
  <si>
    <t>040000181399</t>
  </si>
  <si>
    <t>040000181435</t>
  </si>
  <si>
    <t>040000181436</t>
  </si>
  <si>
    <t>040000181440</t>
  </si>
  <si>
    <t>040000181419</t>
  </si>
  <si>
    <t>040000181426</t>
  </si>
  <si>
    <t>040000181193</t>
  </si>
  <si>
    <t>040000181441</t>
  </si>
  <si>
    <t>040000181442</t>
  </si>
  <si>
    <t>040000181444</t>
  </si>
  <si>
    <t>040000181445</t>
  </si>
  <si>
    <t>040000181453</t>
  </si>
  <si>
    <t>040000182203</t>
  </si>
  <si>
    <t>040000182204</t>
  </si>
  <si>
    <t>040000182206</t>
  </si>
  <si>
    <t>040000182209</t>
  </si>
  <si>
    <t>040000182210</t>
  </si>
  <si>
    <t>040000182214</t>
  </si>
  <si>
    <t>040000181996</t>
  </si>
  <si>
    <t>040000181998</t>
  </si>
  <si>
    <t>040000181999</t>
  </si>
  <si>
    <t>040000182134</t>
  </si>
  <si>
    <t>040000182139</t>
  </si>
  <si>
    <t>040000181528</t>
  </si>
  <si>
    <t>040000181557</t>
  </si>
  <si>
    <t>040000181558</t>
  </si>
  <si>
    <t>040000182207</t>
  </si>
  <si>
    <t>040000182215</t>
  </si>
  <si>
    <t>040000181482</t>
  </si>
  <si>
    <t>040000182809</t>
  </si>
  <si>
    <t>040000182810</t>
  </si>
  <si>
    <t>040000181744</t>
  </si>
  <si>
    <t>040000181747</t>
  </si>
  <si>
    <t>040000182372</t>
  </si>
  <si>
    <t>040000181195</t>
  </si>
  <si>
    <t>040000181853</t>
  </si>
  <si>
    <t>040000181854</t>
  </si>
  <si>
    <t>040000181855</t>
  </si>
  <si>
    <t>040000182464</t>
  </si>
  <si>
    <t>040000181484</t>
  </si>
  <si>
    <t>040000182516</t>
  </si>
  <si>
    <t>040000182517</t>
  </si>
  <si>
    <t>040000182523</t>
  </si>
  <si>
    <t>040000182542</t>
  </si>
  <si>
    <t>040000182877</t>
  </si>
  <si>
    <t>040000182878</t>
  </si>
  <si>
    <t>040000182879</t>
  </si>
  <si>
    <t>040000182639</t>
  </si>
  <si>
    <t>040000181278</t>
  </si>
  <si>
    <t>040000182663</t>
  </si>
  <si>
    <t>040000182664</t>
  </si>
  <si>
    <t>040000181464</t>
  </si>
  <si>
    <t>040000181465</t>
  </si>
  <si>
    <t>040000181781</t>
  </si>
  <si>
    <t>040000181858</t>
  </si>
  <si>
    <t>040000182062</t>
  </si>
  <si>
    <t>040000182069</t>
  </si>
  <si>
    <t>040000182091</t>
  </si>
  <si>
    <t>040000182095</t>
  </si>
  <si>
    <t>040000182096</t>
  </si>
  <si>
    <t>040000182103</t>
  </si>
  <si>
    <t>040000182124</t>
  </si>
  <si>
    <t>040000182125</t>
  </si>
  <si>
    <t>040000182391</t>
  </si>
  <si>
    <t>040000182981</t>
  </si>
  <si>
    <t>040000182866</t>
  </si>
  <si>
    <t>040000182883</t>
  </si>
  <si>
    <t>040000183048</t>
  </si>
  <si>
    <t>040000182519</t>
  </si>
  <si>
    <t>040000182520</t>
  </si>
  <si>
    <t>040000182522</t>
  </si>
  <si>
    <t>040000182684</t>
  </si>
  <si>
    <t>040000182685</t>
  </si>
  <si>
    <t>040000182829</t>
  </si>
  <si>
    <t>040000182470</t>
  </si>
  <si>
    <t>040000182472</t>
  </si>
  <si>
    <t>040000182750</t>
  </si>
  <si>
    <t>040000182751</t>
  </si>
  <si>
    <t>040000182987</t>
  </si>
  <si>
    <t>040000182468</t>
  </si>
  <si>
    <t>040000181760</t>
  </si>
  <si>
    <t>040000181761</t>
  </si>
  <si>
    <t>040000181878</t>
  </si>
  <si>
    <t>040000181879</t>
  </si>
  <si>
    <t>040000181880</t>
  </si>
  <si>
    <t>040000181826</t>
  </si>
  <si>
    <t>040000182576</t>
  </si>
  <si>
    <t>040000182577</t>
  </si>
  <si>
    <t>040000182582</t>
  </si>
  <si>
    <t>040000182583</t>
  </si>
  <si>
    <t>040000182761</t>
  </si>
  <si>
    <t>040000182644</t>
  </si>
  <si>
    <t>040000182745</t>
  </si>
  <si>
    <t>040000182746</t>
  </si>
  <si>
    <t>040000181636</t>
  </si>
  <si>
    <t>040000181637</t>
  </si>
  <si>
    <t>040000181890</t>
  </si>
  <si>
    <t>040000182398</t>
  </si>
  <si>
    <t>040000182399</t>
  </si>
  <si>
    <t>040000182401</t>
  </si>
  <si>
    <t>040000182404</t>
  </si>
  <si>
    <t>040000182405</t>
  </si>
  <si>
    <t>040000182413</t>
  </si>
  <si>
    <t>040000182414</t>
  </si>
  <si>
    <t>040000182415</t>
  </si>
  <si>
    <t>040000182416</t>
  </si>
  <si>
    <t>040000182419</t>
  </si>
  <si>
    <t>040000182422</t>
  </si>
  <si>
    <t>040000182423</t>
  </si>
  <si>
    <t>040000182465</t>
  </si>
  <si>
    <t>040000182425</t>
  </si>
  <si>
    <t>040000182427</t>
  </si>
  <si>
    <t>040000182428</t>
  </si>
  <si>
    <t>040000182429</t>
  </si>
  <si>
    <t>040000182430</t>
  </si>
  <si>
    <t>040000182431</t>
  </si>
  <si>
    <t>040000182432</t>
  </si>
  <si>
    <t>040000182433</t>
  </si>
  <si>
    <t>040000181517</t>
  </si>
  <si>
    <t>040000183018</t>
  </si>
  <si>
    <t>040000183019</t>
  </si>
  <si>
    <t>040000182971</t>
  </si>
  <si>
    <t>040000182972</t>
  </si>
  <si>
    <t>040000182526</t>
  </si>
  <si>
    <t>040000182529</t>
  </si>
  <si>
    <t>040000182753</t>
  </si>
  <si>
    <t>040000182754</t>
  </si>
  <si>
    <t>040000182756</t>
  </si>
  <si>
    <t>040000182757</t>
  </si>
  <si>
    <t>040000182076</t>
  </si>
  <si>
    <t>040000182077</t>
  </si>
  <si>
    <t>040000182078</t>
  </si>
  <si>
    <t>040000181792</t>
  </si>
  <si>
    <t>040000181793</t>
  </si>
  <si>
    <t>040000182267</t>
  </si>
  <si>
    <t>040000182396</t>
  </si>
  <si>
    <t>040000182828</t>
  </si>
  <si>
    <t>040000183033</t>
  </si>
  <si>
    <t>040000183034</t>
  </si>
  <si>
    <t>040000181585</t>
  </si>
  <si>
    <t>040000181586</t>
  </si>
  <si>
    <t>040000182101</t>
  </si>
  <si>
    <t>040000182002</t>
  </si>
  <si>
    <t>040000182005</t>
  </si>
  <si>
    <t>040000182335</t>
  </si>
  <si>
    <t>040000182336</t>
  </si>
  <si>
    <t>040000182775</t>
  </si>
  <si>
    <t>040000182776</t>
  </si>
  <si>
    <t>040000181564</t>
  </si>
  <si>
    <t>040000181565</t>
  </si>
  <si>
    <t>040000181569</t>
  </si>
  <si>
    <t>040000181570</t>
  </si>
  <si>
    <t>040000182560</t>
  </si>
  <si>
    <t>040000182561</t>
  </si>
  <si>
    <t>040000182938</t>
  </si>
  <si>
    <t>040000182940</t>
  </si>
  <si>
    <t>040000182943</t>
  </si>
  <si>
    <t>040000182944</t>
  </si>
  <si>
    <t>040000182946</t>
  </si>
  <si>
    <t>040000182947</t>
  </si>
  <si>
    <t>040000182948</t>
  </si>
  <si>
    <t>040000182950</t>
  </si>
  <si>
    <t>040000181446</t>
  </si>
  <si>
    <t>040000182474</t>
  </si>
  <si>
    <t>040000181515</t>
  </si>
  <si>
    <t>040000182546</t>
  </si>
  <si>
    <t>040000182551</t>
  </si>
  <si>
    <t>040000182541</t>
  </si>
  <si>
    <t>040000181881</t>
  </si>
  <si>
    <t>040000181471</t>
  </si>
  <si>
    <t>040000181472</t>
  </si>
  <si>
    <t>040000181838</t>
  </si>
  <si>
    <t>040000181841</t>
  </si>
  <si>
    <t>040000181845</t>
  </si>
  <si>
    <t>040000181846</t>
  </si>
  <si>
    <t>040000181847</t>
  </si>
  <si>
    <t>040000181848</t>
  </si>
  <si>
    <t>040000181849</t>
  </si>
  <si>
    <t>040000181733</t>
  </si>
  <si>
    <t>040000181892</t>
  </si>
  <si>
    <t>040000181908</t>
  </si>
  <si>
    <t>040000181909</t>
  </si>
  <si>
    <t>040000182010</t>
  </si>
  <si>
    <t>040000182156</t>
  </si>
  <si>
    <t>040000182157</t>
  </si>
  <si>
    <t>040000182831</t>
  </si>
  <si>
    <t>040000182832</t>
  </si>
  <si>
    <t>040000182833</t>
  </si>
  <si>
    <t>040000182282</t>
  </si>
  <si>
    <t>040000182347</t>
  </si>
  <si>
    <t>040000182622</t>
  </si>
  <si>
    <t>040000182623</t>
  </si>
  <si>
    <t>040000182790</t>
  </si>
  <si>
    <t>040000182791</t>
  </si>
  <si>
    <t>040000183024</t>
  </si>
  <si>
    <t>040000183025</t>
  </si>
  <si>
    <t>040000183027</t>
  </si>
  <si>
    <t>040000183028</t>
  </si>
  <si>
    <t>040000183029</t>
  </si>
  <si>
    <t>040000182087</t>
  </si>
  <si>
    <t>040000182089</t>
  </si>
  <si>
    <t>040000182195</t>
  </si>
  <si>
    <t>040000182417</t>
  </si>
  <si>
    <t>040000182418</t>
  </si>
  <si>
    <t>040000182420</t>
  </si>
  <si>
    <t>040000182421</t>
  </si>
  <si>
    <t>040000182424</t>
  </si>
  <si>
    <t>040000181837</t>
  </si>
  <si>
    <t>040000182083</t>
  </si>
  <si>
    <t>040000182084</t>
  </si>
  <si>
    <t>040000182935</t>
  </si>
  <si>
    <t>040000182524</t>
  </si>
  <si>
    <t>040000182525</t>
  </si>
  <si>
    <t>040000182528</t>
  </si>
  <si>
    <t>040000182530</t>
  </si>
  <si>
    <t>040000182873</t>
  </si>
  <si>
    <t>040000182874</t>
  </si>
  <si>
    <t>040000183049</t>
  </si>
  <si>
    <t>040000183050</t>
  </si>
  <si>
    <t>040000183051</t>
  </si>
  <si>
    <t>040000182255</t>
  </si>
  <si>
    <t>040000182256</t>
  </si>
  <si>
    <t>040000182259</t>
  </si>
  <si>
    <t>040000182260</t>
  </si>
  <si>
    <t>040000182275</t>
  </si>
  <si>
    <t>040000181525</t>
  </si>
  <si>
    <t>040000181527</t>
  </si>
  <si>
    <t>040000181529</t>
  </si>
  <si>
    <t>040000181532</t>
  </si>
  <si>
    <t>040000182728</t>
  </si>
  <si>
    <t>040000182146</t>
  </si>
  <si>
    <t>040000182450</t>
  </si>
  <si>
    <t>040000182451</t>
  </si>
  <si>
    <t>040000182126</t>
  </si>
  <si>
    <t>040000181862</t>
  </si>
  <si>
    <t>040000181863</t>
  </si>
  <si>
    <t>040000181456</t>
  </si>
  <si>
    <t>040000182152</t>
  </si>
  <si>
    <t>040000181871</t>
  </si>
  <si>
    <t>040000181882</t>
  </si>
  <si>
    <t>040000181584</t>
  </si>
  <si>
    <t>040000181885</t>
  </si>
  <si>
    <t>040000181886</t>
  </si>
  <si>
    <t>040000182880</t>
  </si>
  <si>
    <t>040000182881</t>
  </si>
  <si>
    <t>040000183011</t>
  </si>
  <si>
    <t>040000183012</t>
  </si>
  <si>
    <t>040000181982</t>
  </si>
  <si>
    <t>040000183046</t>
  </si>
  <si>
    <t>040000182384</t>
  </si>
  <si>
    <t>040000182631</t>
  </si>
  <si>
    <t>040000182984</t>
  </si>
  <si>
    <t>040000182649</t>
  </si>
  <si>
    <t>040000182982</t>
  </si>
  <si>
    <t>040000182983</t>
  </si>
  <si>
    <t>040000182900</t>
  </si>
  <si>
    <t>040000182590</t>
  </si>
  <si>
    <t>040000181587</t>
  </si>
  <si>
    <t>040000182108</t>
  </si>
  <si>
    <t>040000182109</t>
  </si>
  <si>
    <t>040000182114</t>
  </si>
  <si>
    <t>040000182544</t>
  </si>
  <si>
    <t>040000182235</t>
  </si>
  <si>
    <t>040000182411</t>
  </si>
  <si>
    <t>040000182412</t>
  </si>
  <si>
    <t>040000182548</t>
  </si>
  <si>
    <t>040000182651</t>
  </si>
  <si>
    <t>040000182652</t>
  </si>
  <si>
    <t>040000182654</t>
  </si>
  <si>
    <t>040000182655</t>
  </si>
  <si>
    <t>040000182858</t>
  </si>
  <si>
    <t>040000182272</t>
  </si>
  <si>
    <t>040000182273</t>
  </si>
  <si>
    <t>040000181452</t>
  </si>
  <si>
    <t>040000182667</t>
  </si>
  <si>
    <t>040000181519</t>
  </si>
  <si>
    <t>040000182783</t>
  </si>
  <si>
    <t>040000182785</t>
  </si>
  <si>
    <t>040000182786</t>
  </si>
  <si>
    <t>040000182545</t>
  </si>
  <si>
    <t>040000182549</t>
  </si>
  <si>
    <t>040000182550</t>
  </si>
  <si>
    <t>040000182552</t>
  </si>
  <si>
    <t>040000182553</t>
  </si>
  <si>
    <t>040000182958</t>
  </si>
  <si>
    <t>040000182959</t>
  </si>
  <si>
    <t>040000183062</t>
  </si>
  <si>
    <t>040000183063</t>
  </si>
  <si>
    <t>040000183032</t>
  </si>
  <si>
    <t>040000181535</t>
  </si>
  <si>
    <t>040000181740</t>
  </si>
  <si>
    <t>040000181741</t>
  </si>
  <si>
    <t>040000181742</t>
  </si>
  <si>
    <t>040000181746</t>
  </si>
  <si>
    <t>040000182875</t>
  </si>
  <si>
    <t>040000182876</t>
  </si>
  <si>
    <t>040000182802</t>
  </si>
  <si>
    <t>040000182807</t>
  </si>
  <si>
    <t>040000183069</t>
  </si>
  <si>
    <t>040000183070</t>
  </si>
  <si>
    <t>040000182501</t>
  </si>
  <si>
    <t>040000182011</t>
  </si>
  <si>
    <t>040000182012</t>
  </si>
  <si>
    <t>040000182507</t>
  </si>
  <si>
    <t>040000182508</t>
  </si>
  <si>
    <t>040000182279</t>
  </si>
  <si>
    <t>040000182351</t>
  </si>
  <si>
    <t>040000182352</t>
  </si>
  <si>
    <t>040000182851</t>
  </si>
  <si>
    <t>040000182852</t>
  </si>
  <si>
    <t>040000182229</t>
  </si>
  <si>
    <t>040000181669</t>
  </si>
  <si>
    <t>040000181674</t>
  </si>
  <si>
    <t>040000181676</t>
  </si>
  <si>
    <t>040000182066</t>
  </si>
  <si>
    <t>040000182850</t>
  </si>
  <si>
    <t>040000181706</t>
  </si>
  <si>
    <t>040000181707</t>
  </si>
  <si>
    <t>040000181712</t>
  </si>
  <si>
    <t>040000182556</t>
  </si>
  <si>
    <t>040000182557</t>
  </si>
  <si>
    <t>040000182762</t>
  </si>
  <si>
    <t>040000182764</t>
  </si>
  <si>
    <t>040000181887</t>
  </si>
  <si>
    <t>040000181888</t>
  </si>
  <si>
    <t>040000181891</t>
  </si>
  <si>
    <t>040000182691</t>
  </si>
  <si>
    <t>040000182054</t>
  </si>
  <si>
    <t>040000182055</t>
  </si>
  <si>
    <t>040000182057</t>
  </si>
  <si>
    <t>040000182058</t>
  </si>
  <si>
    <t>040000182467</t>
  </si>
  <si>
    <t>040000182915</t>
  </si>
  <si>
    <t>040000182794</t>
  </si>
  <si>
    <t>040000182801</t>
  </si>
  <si>
    <t>040000181582</t>
  </si>
  <si>
    <t>040000182162</t>
  </si>
  <si>
    <t>040000182163</t>
  </si>
  <si>
    <t>040000182164</t>
  </si>
  <si>
    <t>040000182165</t>
  </si>
  <si>
    <t>040000182782</t>
  </si>
  <si>
    <t>040000182989</t>
  </si>
  <si>
    <t>040000182867</t>
  </si>
  <si>
    <t>040000182869</t>
  </si>
  <si>
    <t>040000182219</t>
  </si>
  <si>
    <t>040000182220</t>
  </si>
  <si>
    <t>040000182221</t>
  </si>
  <si>
    <t>040000182222</t>
  </si>
  <si>
    <t>040000182355</t>
  </si>
  <si>
    <t>040000182356</t>
  </si>
  <si>
    <t>040000182366</t>
  </si>
  <si>
    <t>040000182378</t>
  </si>
  <si>
    <t>040000182380</t>
  </si>
  <si>
    <t>040000182400</t>
  </si>
  <si>
    <t>040000182403</t>
  </si>
  <si>
    <t>040000182004</t>
  </si>
  <si>
    <t>040000182934</t>
  </si>
  <si>
    <t>040000182942</t>
  </si>
  <si>
    <t>040000182954</t>
  </si>
  <si>
    <t>040000182955</t>
  </si>
  <si>
    <t>040000182992</t>
  </si>
  <si>
    <t>040000182993</t>
  </si>
  <si>
    <t>040000182618</t>
  </si>
  <si>
    <t>040000182619</t>
  </si>
  <si>
    <t>040000181663</t>
  </si>
  <si>
    <t>040000181664</t>
  </si>
  <si>
    <t>040000181666</t>
  </si>
  <si>
    <t>040000181671</t>
  </si>
  <si>
    <t>040000181672</t>
  </si>
  <si>
    <t>040000181678</t>
  </si>
  <si>
    <t>040000182500</t>
  </si>
  <si>
    <t>LHR/LHR/D/MO/CV/P/94972/08/2024</t>
  </si>
  <si>
    <t>040000181174</t>
  </si>
  <si>
    <t>040000180860</t>
  </si>
  <si>
    <t>040000180861</t>
  </si>
  <si>
    <t>040000180867</t>
  </si>
  <si>
    <t>040000180870</t>
  </si>
  <si>
    <t>040000180871</t>
  </si>
  <si>
    <t>040000180621</t>
  </si>
  <si>
    <t>040000180622</t>
  </si>
  <si>
    <t>040000180794</t>
  </si>
  <si>
    <t>040000180795</t>
  </si>
  <si>
    <t>040000180924</t>
  </si>
  <si>
    <t>040000180957</t>
  </si>
  <si>
    <t>040000181234</t>
  </si>
  <si>
    <t>040000181250</t>
  </si>
  <si>
    <t>040000181269</t>
  </si>
  <si>
    <t>040000181270</t>
  </si>
  <si>
    <t>040000181271</t>
  </si>
  <si>
    <t>040000181274</t>
  </si>
  <si>
    <t>040000180925</t>
  </si>
  <si>
    <t>040000180927</t>
  </si>
  <si>
    <t>040000180853</t>
  </si>
  <si>
    <t>040000181080</t>
  </si>
  <si>
    <t>040000181081</t>
  </si>
  <si>
    <t>040000180967</t>
  </si>
  <si>
    <t>040000180968</t>
  </si>
  <si>
    <t>040000180969</t>
  </si>
  <si>
    <t>040000181048</t>
  </si>
  <si>
    <t>040000180808</t>
  </si>
  <si>
    <t>040000180662</t>
  </si>
  <si>
    <t>040000180443</t>
  </si>
  <si>
    <t>040000180441</t>
  </si>
  <si>
    <t>040000180444</t>
  </si>
  <si>
    <t>040000180715</t>
  </si>
  <si>
    <t>040000180801</t>
  </si>
  <si>
    <t>040000180802</t>
  </si>
  <si>
    <t>040000180804</t>
  </si>
  <si>
    <t>040000180805</t>
  </si>
  <si>
    <t>040000180806</t>
  </si>
  <si>
    <t>040000180810</t>
  </si>
  <si>
    <t>040000180811</t>
  </si>
  <si>
    <t>040000180812</t>
  </si>
  <si>
    <t>040000180813</t>
  </si>
  <si>
    <t>040000180814</t>
  </si>
  <si>
    <t>040000180816</t>
  </si>
  <si>
    <t>040000180817</t>
  </si>
  <si>
    <t>040000180809</t>
  </si>
  <si>
    <t>040000180971</t>
  </si>
  <si>
    <t>040000180973</t>
  </si>
  <si>
    <t>040000180974</t>
  </si>
  <si>
    <t>040000181050</t>
  </si>
  <si>
    <t>040000180718</t>
  </si>
  <si>
    <t>040000180797</t>
  </si>
  <si>
    <t>040000180798</t>
  </si>
  <si>
    <t>040000180803</t>
  </si>
  <si>
    <t>040000180807</t>
  </si>
  <si>
    <t>040000180815</t>
  </si>
  <si>
    <t>040000181254</t>
  </si>
  <si>
    <t>040000180818</t>
  </si>
  <si>
    <t>040000180819</t>
  </si>
  <si>
    <t>040000180820</t>
  </si>
  <si>
    <t>040000180821</t>
  </si>
  <si>
    <t>040000180822</t>
  </si>
  <si>
    <t>040000180823</t>
  </si>
  <si>
    <t>040000180824</t>
  </si>
  <si>
    <t>040000180825</t>
  </si>
  <si>
    <t>040000180491</t>
  </si>
  <si>
    <t>040000181268</t>
  </si>
  <si>
    <t>040000180496</t>
  </si>
  <si>
    <t>040000180497</t>
  </si>
  <si>
    <t>040000180782</t>
  </si>
  <si>
    <t>040000181136</t>
  </si>
  <si>
    <t>040000181137</t>
  </si>
  <si>
    <t>040000181140</t>
  </si>
  <si>
    <t>040000181267</t>
  </si>
  <si>
    <t>040000180998</t>
  </si>
  <si>
    <t>040000181131</t>
  </si>
  <si>
    <t>040000181133</t>
  </si>
  <si>
    <t>040000180589</t>
  </si>
  <si>
    <t>040000180591</t>
  </si>
  <si>
    <t>040000180451</t>
  </si>
  <si>
    <t>040000180479</t>
  </si>
  <si>
    <t>040000180485</t>
  </si>
  <si>
    <t>040000180486</t>
  </si>
  <si>
    <t>040000180490</t>
  </si>
  <si>
    <t>040000181279</t>
  </si>
  <si>
    <t>040000181287</t>
  </si>
  <si>
    <t>040000181288</t>
  </si>
  <si>
    <t>040000180777</t>
  </si>
  <si>
    <t>040000180452</t>
  </si>
  <si>
    <t>040000181284</t>
  </si>
  <si>
    <t>040000181286</t>
  </si>
  <si>
    <t>040000181032</t>
  </si>
  <si>
    <t>040000180858</t>
  </si>
  <si>
    <t>040000180961</t>
  </si>
  <si>
    <t>040000180962</t>
  </si>
  <si>
    <t>040000180913</t>
  </si>
  <si>
    <t>040000180914</t>
  </si>
  <si>
    <t>040000180916</t>
  </si>
  <si>
    <t>040000181214</t>
  </si>
  <si>
    <t>040000181215</t>
  </si>
  <si>
    <t>040000181222</t>
  </si>
  <si>
    <t>040000181223</t>
  </si>
  <si>
    <t>040000181227</t>
  </si>
  <si>
    <t>040000181228</t>
  </si>
  <si>
    <t>040000181235</t>
  </si>
  <si>
    <t>040000181082</t>
  </si>
  <si>
    <t>040000180557</t>
  </si>
  <si>
    <t>040000180553</t>
  </si>
  <si>
    <t>040000180558</t>
  </si>
  <si>
    <t>040000180448</t>
  </si>
  <si>
    <t>040000180449</t>
  </si>
  <si>
    <t>040000181029</t>
  </si>
  <si>
    <t>040000181030</t>
  </si>
  <si>
    <t>040000180730</t>
  </si>
  <si>
    <t>040000180751</t>
  </si>
  <si>
    <t>040000181246</t>
  </si>
  <si>
    <t>040000181251</t>
  </si>
  <si>
    <t>040000181253</t>
  </si>
  <si>
    <t>040000180596</t>
  </si>
  <si>
    <t>040000180595</t>
  </si>
  <si>
    <t>040000180551</t>
  </si>
  <si>
    <t>040000180627</t>
  </si>
  <si>
    <t>040000181307</t>
  </si>
  <si>
    <t>040000181308</t>
  </si>
  <si>
    <t>040000181309</t>
  </si>
  <si>
    <t>040000180514</t>
  </si>
  <si>
    <t>040000180515</t>
  </si>
  <si>
    <t>040000180509</t>
  </si>
  <si>
    <t>040000180510</t>
  </si>
  <si>
    <t>040000180959</t>
  </si>
  <si>
    <t>040000181180</t>
  </si>
  <si>
    <t>040000180583</t>
  </si>
  <si>
    <t>040000181266</t>
  </si>
  <si>
    <t>040000180550</t>
  </si>
  <si>
    <t>040000180626</t>
  </si>
  <si>
    <t>040000181006</t>
  </si>
  <si>
    <t>040000180659</t>
  </si>
  <si>
    <t>040000180895</t>
  </si>
  <si>
    <t>040000180898</t>
  </si>
  <si>
    <t>040000180457</t>
  </si>
  <si>
    <t>040000180455</t>
  </si>
  <si>
    <t>040000181283</t>
  </si>
  <si>
    <t>040000180997</t>
  </si>
  <si>
    <t>KHI/AR/AR/D/MO/MC COMP/P/94835/08/2024</t>
  </si>
  <si>
    <t>040000181000</t>
  </si>
  <si>
    <t>040000181314</t>
  </si>
  <si>
    <t>040000180454</t>
  </si>
  <si>
    <t>040000180458</t>
  </si>
  <si>
    <t>040000181285</t>
  </si>
  <si>
    <t>040000181297</t>
  </si>
  <si>
    <t>040000181298</t>
  </si>
  <si>
    <t>040000181299</t>
  </si>
  <si>
    <t>040000181302</t>
  </si>
  <si>
    <t>040000181312</t>
  </si>
  <si>
    <t>040000180638</t>
  </si>
  <si>
    <t>040000180645</t>
  </si>
  <si>
    <t>040000180649</t>
  </si>
  <si>
    <t>040000180656</t>
  </si>
  <si>
    <t>040000181272</t>
  </si>
  <si>
    <t>040000181173</t>
  </si>
  <si>
    <t>040000181175</t>
  </si>
  <si>
    <t>040000181178</t>
  </si>
  <si>
    <t>040000181179</t>
  </si>
  <si>
    <t>040000181181</t>
  </si>
  <si>
    <t>040000181184</t>
  </si>
  <si>
    <t>040000181187</t>
  </si>
  <si>
    <t>040000181188</t>
  </si>
  <si>
    <t>040000181189</t>
  </si>
  <si>
    <t>040000181190</t>
  </si>
  <si>
    <t>040000181191</t>
  </si>
  <si>
    <t>040000180655</t>
  </si>
  <si>
    <t>040000180657</t>
  </si>
  <si>
    <t>040000180658</t>
  </si>
  <si>
    <t>040000180664</t>
  </si>
  <si>
    <t>040000180643</t>
  </si>
  <si>
    <t>040000180644</t>
  </si>
  <si>
    <t>040000180646</t>
  </si>
  <si>
    <t>040000180647</t>
  </si>
  <si>
    <t>040000180648</t>
  </si>
  <si>
    <t>040000180652</t>
  </si>
  <si>
    <t>040000180653</t>
  </si>
  <si>
    <t>040000181055</t>
  </si>
  <si>
    <t>040000180468</t>
  </si>
  <si>
    <t>040000180516</t>
  </si>
  <si>
    <t>040000181109</t>
  </si>
  <si>
    <t>040000181112</t>
  </si>
  <si>
    <t>040000180800</t>
  </si>
  <si>
    <t>040000181255</t>
  </si>
  <si>
    <t>040000181256</t>
  </si>
  <si>
    <t>040000180766</t>
  </si>
  <si>
    <t>040000181276</t>
  </si>
  <si>
    <t>040000181277</t>
  </si>
  <si>
    <t>040000181281</t>
  </si>
  <si>
    <t>040000180999</t>
  </si>
  <si>
    <t>040000181300</t>
  </si>
  <si>
    <t>040000181301</t>
  </si>
  <si>
    <t>040000180546</t>
  </si>
  <si>
    <t>040000180547</t>
  </si>
  <si>
    <t>040000180616</t>
  </si>
  <si>
    <t>040000180618</t>
  </si>
  <si>
    <t>040000180619</t>
  </si>
  <si>
    <t>040000180620</t>
  </si>
  <si>
    <t>040000180467</t>
  </si>
  <si>
    <t>040000180469</t>
  </si>
  <si>
    <t>040000180567</t>
  </si>
  <si>
    <t>040000180651</t>
  </si>
  <si>
    <t>040000180561</t>
  </si>
  <si>
    <t>040000180562</t>
  </si>
  <si>
    <t>040000180650</t>
  </si>
  <si>
    <t>040000180623</t>
  </si>
  <si>
    <t>040000181192</t>
  </si>
  <si>
    <t>040000180791</t>
  </si>
  <si>
    <t>040000181241</t>
  </si>
  <si>
    <t>040000181242</t>
  </si>
  <si>
    <t>040000181249</t>
  </si>
  <si>
    <t>040000181293</t>
  </si>
  <si>
    <t>040000181294</t>
  </si>
  <si>
    <t>040000181295</t>
  </si>
  <si>
    <t>040000181296</t>
  </si>
  <si>
    <t>KHI/HO/D/MO/PC COMP/P/94373/08/2024</t>
  </si>
  <si>
    <t>040000180442</t>
  </si>
  <si>
    <t>040000180617</t>
  </si>
  <si>
    <t>040000180663</t>
  </si>
  <si>
    <t>040000181185</t>
  </si>
  <si>
    <t>040000181002</t>
  </si>
  <si>
    <t>KHI/HO/D/MO/PC COMP/P/94802/08/2024</t>
  </si>
  <si>
    <t>040000180958</t>
  </si>
  <si>
    <t>040000180991</t>
  </si>
  <si>
    <t>040000181186</t>
  </si>
  <si>
    <t>040000181206</t>
  </si>
  <si>
    <t>040000181207</t>
  </si>
  <si>
    <t>040000181209</t>
  </si>
  <si>
    <t>040000181210</t>
  </si>
  <si>
    <t>040000181217</t>
  </si>
  <si>
    <t>040000181218</t>
  </si>
  <si>
    <t>040000181291</t>
  </si>
  <si>
    <t>040000180716</t>
  </si>
  <si>
    <t>040000180717</t>
  </si>
  <si>
    <t>040000180719</t>
  </si>
  <si>
    <t>040000180723</t>
  </si>
  <si>
    <t>040000180724</t>
  </si>
  <si>
    <t>040000180746</t>
  </si>
  <si>
    <t>040000180762</t>
  </si>
  <si>
    <t>040000180772</t>
  </si>
  <si>
    <t>040000180757</t>
  </si>
  <si>
    <t>040000180760</t>
  </si>
  <si>
    <t>040000180763</t>
  </si>
  <si>
    <t>040000180769</t>
  </si>
  <si>
    <t>040000180904</t>
  </si>
  <si>
    <t>040000180568</t>
  </si>
  <si>
    <t>040000180569</t>
  </si>
  <si>
    <t>040000180571</t>
  </si>
  <si>
    <t>040000180572</t>
  </si>
  <si>
    <t>040000180609</t>
  </si>
  <si>
    <t>040000180610</t>
  </si>
  <si>
    <t>040000180785</t>
  </si>
  <si>
    <t>040000181089</t>
  </si>
  <si>
    <t>040000181121</t>
  </si>
  <si>
    <t>040000181122</t>
  </si>
  <si>
    <t>040000180624</t>
  </si>
  <si>
    <t>040000180625</t>
  </si>
  <si>
    <t>040000180876</t>
  </si>
  <si>
    <t>040000180877</t>
  </si>
  <si>
    <t>040000180878</t>
  </si>
  <si>
    <t>040000180881</t>
  </si>
  <si>
    <t>040000180886</t>
  </si>
  <si>
    <t>040000180790</t>
  </si>
  <si>
    <t>040000180792</t>
  </si>
  <si>
    <t>040000180952</t>
  </si>
  <si>
    <t>040000180793</t>
  </si>
  <si>
    <t>040000180955</t>
  </si>
  <si>
    <t>040000180873</t>
  </si>
  <si>
    <t>040000180888</t>
  </si>
  <si>
    <t>040000180872</t>
  </si>
  <si>
    <t>040000180989</t>
  </si>
  <si>
    <t>040000180880</t>
  </si>
  <si>
    <t>040000180885</t>
  </si>
  <si>
    <t>040000180889</t>
  </si>
  <si>
    <t>040000180926</t>
  </si>
  <si>
    <t>040000180864</t>
  </si>
  <si>
    <t>040000181049</t>
  </si>
  <si>
    <t>040000181069</t>
  </si>
  <si>
    <t>040000181075</t>
  </si>
  <si>
    <t>040000181076</t>
  </si>
  <si>
    <t>040000181078</t>
  </si>
  <si>
    <t>040000181079</t>
  </si>
  <si>
    <t>040000181077</t>
  </si>
  <si>
    <t>040000180842</t>
  </si>
  <si>
    <t>040000182799</t>
  </si>
  <si>
    <t>040000182812</t>
  </si>
  <si>
    <t>040000182813</t>
  </si>
  <si>
    <t>040000183052</t>
  </si>
  <si>
    <t>040000183053</t>
  </si>
  <si>
    <t>040000181028</t>
  </si>
  <si>
    <t>040000181798</t>
  </si>
  <si>
    <t>040000181248</t>
  </si>
  <si>
    <t>040000181918</t>
  </si>
  <si>
    <t>040000181921</t>
  </si>
  <si>
    <t>040000181922</t>
  </si>
  <si>
    <t>040000181927</t>
  </si>
  <si>
    <t>040000182333</t>
  </si>
  <si>
    <t>040000182322</t>
  </si>
  <si>
    <t>040000182323</t>
  </si>
  <si>
    <t>040000182439</t>
  </si>
  <si>
    <t>040000182440</t>
  </si>
  <si>
    <t>040000182434</t>
  </si>
  <si>
    <t>040000182435</t>
  </si>
  <si>
    <t>040000182437</t>
  </si>
  <si>
    <t>040000181240</t>
  </si>
  <si>
    <t>040000181245</t>
  </si>
  <si>
    <t>040000181247</t>
  </si>
  <si>
    <t>040000180460</t>
  </si>
  <si>
    <t>040000180461</t>
  </si>
  <si>
    <t>040000181756</t>
  </si>
  <si>
    <t>040000181757</t>
  </si>
  <si>
    <t>040000181116</t>
  </si>
  <si>
    <t>040000180630</t>
  </si>
  <si>
    <t>040000180631</t>
  </si>
  <si>
    <t>040000180633</t>
  </si>
  <si>
    <t>040000180634</t>
  </si>
  <si>
    <t>040000180635</t>
  </si>
  <si>
    <t>040000180632</t>
  </si>
  <si>
    <t>040000180660</t>
  </si>
  <si>
    <t>040000180727</t>
  </si>
  <si>
    <t>040000181115</t>
  </si>
  <si>
    <t>040000181118</t>
  </si>
  <si>
    <t>040000181119</t>
  </si>
  <si>
    <t>040000181125</t>
  </si>
  <si>
    <t>KHI/HO/D/MO/PC COMP/P/94405/08/2024</t>
  </si>
  <si>
    <t>040000180478</t>
  </si>
  <si>
    <t>040000180639</t>
  </si>
  <si>
    <t>040000180640</t>
  </si>
  <si>
    <t>040000180641</t>
  </si>
  <si>
    <t>040000181257</t>
  </si>
  <si>
    <t>040000181258</t>
  </si>
  <si>
    <t>040000181303</t>
  </si>
  <si>
    <t>040000181304</t>
  </si>
  <si>
    <t>040000181305</t>
  </si>
  <si>
    <t>040000180661</t>
  </si>
  <si>
    <t>040000180755</t>
  </si>
  <si>
    <t>040000180796</t>
  </si>
  <si>
    <t>040000180915</t>
  </si>
  <si>
    <t>040000181062</t>
  </si>
  <si>
    <t>040000181083</t>
  </si>
  <si>
    <t>040000181086</t>
  </si>
  <si>
    <t>040000181127</t>
  </si>
  <si>
    <t>040000181128</t>
  </si>
  <si>
    <t>040000181129</t>
  </si>
  <si>
    <t>040000181065</t>
  </si>
  <si>
    <t>040000181058</t>
  </si>
  <si>
    <t>040000181059</t>
  </si>
  <si>
    <t>040000181063</t>
  </si>
  <si>
    <t>040000181088</t>
  </si>
  <si>
    <t>040000180753</t>
  </si>
  <si>
    <t>040000180758</t>
  </si>
  <si>
    <t>040000181310</t>
  </si>
  <si>
    <t>040000181221</t>
  </si>
  <si>
    <t>040000181231</t>
  </si>
  <si>
    <t>040000181120</t>
  </si>
  <si>
    <t>040000181135</t>
  </si>
  <si>
    <t>040000181138</t>
  </si>
  <si>
    <t>040000181141</t>
  </si>
  <si>
    <t>040000181142</t>
  </si>
  <si>
    <t>040000182166</t>
  </si>
  <si>
    <t>040000182167</t>
  </si>
  <si>
    <t>040000182364</t>
  </si>
  <si>
    <t>040000182385</t>
  </si>
  <si>
    <t>040000182386</t>
  </si>
  <si>
    <t>040000182387</t>
  </si>
  <si>
    <t>040000182388</t>
  </si>
  <si>
    <t>040000182389</t>
  </si>
  <si>
    <t>040000182911</t>
  </si>
  <si>
    <t>040000182912</t>
  </si>
  <si>
    <t>040000181865</t>
  </si>
  <si>
    <t>040000181866</t>
  </si>
  <si>
    <t>040000181867</t>
  </si>
  <si>
    <t>040000181868</t>
  </si>
  <si>
    <t>040000182007</t>
  </si>
  <si>
    <t>040000182008</t>
  </si>
  <si>
    <t>040000182009</t>
  </si>
  <si>
    <t>040000181737</t>
  </si>
  <si>
    <t>040000181738</t>
  </si>
  <si>
    <t>040000181739</t>
  </si>
  <si>
    <t>040000182996</t>
  </si>
  <si>
    <t>040000182998</t>
  </si>
  <si>
    <t>040000183000</t>
  </si>
  <si>
    <t>040000182598</t>
  </si>
  <si>
    <t>040000182599</t>
  </si>
  <si>
    <t>040000181828</t>
  </si>
  <si>
    <t>040000181833</t>
  </si>
  <si>
    <t>040000182200</t>
  </si>
  <si>
    <t>040000183056</t>
  </si>
  <si>
    <t>040000183057</t>
  </si>
  <si>
    <t>040000182363</t>
  </si>
  <si>
    <t>040000182373</t>
  </si>
  <si>
    <t>040000182645</t>
  </si>
  <si>
    <t>040000182767</t>
  </si>
  <si>
    <t>040000182594</t>
  </si>
  <si>
    <t>040000182687</t>
  </si>
  <si>
    <t>040000182688</t>
  </si>
  <si>
    <t>040000181479</t>
  </si>
  <si>
    <t>040000181480</t>
  </si>
  <si>
    <t>040000181481</t>
  </si>
  <si>
    <t>040000181483</t>
  </si>
  <si>
    <t>040000183059</t>
  </si>
  <si>
    <t>040000183060</t>
  </si>
  <si>
    <t>040000181541</t>
  </si>
  <si>
    <t>040000181542</t>
  </si>
  <si>
    <t>040000182081</t>
  </si>
  <si>
    <t>040000182082</t>
  </si>
  <si>
    <t>040000182838</t>
  </si>
  <si>
    <t>040000182839</t>
  </si>
  <si>
    <t>040000181750</t>
  </si>
  <si>
    <t>040000181751</t>
  </si>
  <si>
    <t>040000181752</t>
  </si>
  <si>
    <t>040000181753</t>
  </si>
  <si>
    <t>040000181754</t>
  </si>
  <si>
    <t>040000181755</t>
  </si>
  <si>
    <t>040000181960</t>
  </si>
  <si>
    <t>040000181961</t>
  </si>
  <si>
    <t>040000182921</t>
  </si>
  <si>
    <t>040000182922</t>
  </si>
  <si>
    <t>040000182924</t>
  </si>
  <si>
    <t>040000182930</t>
  </si>
  <si>
    <t>040000182907</t>
  </si>
  <si>
    <t>040000181782</t>
  </si>
  <si>
    <t>040000181783</t>
  </si>
  <si>
    <t>040000181784</t>
  </si>
  <si>
    <t>040000181785</t>
  </si>
  <si>
    <t>040000182443</t>
  </si>
  <si>
    <t>040000182471</t>
  </si>
  <si>
    <t>040000182473</t>
  </si>
  <si>
    <t>040000182554</t>
  </si>
  <si>
    <t>040000182555</t>
  </si>
  <si>
    <t>040000181680</t>
  </si>
  <si>
    <t>040000181684</t>
  </si>
  <si>
    <t>040000181682</t>
  </si>
  <si>
    <t>040000181895</t>
  </si>
  <si>
    <t>040000181896</t>
  </si>
  <si>
    <t>040000181913</t>
  </si>
  <si>
    <t>040000181914</t>
  </si>
  <si>
    <t>040000182748</t>
  </si>
  <si>
    <t>040000182749</t>
  </si>
  <si>
    <t>040000182902</t>
  </si>
  <si>
    <t>040000181537</t>
  </si>
  <si>
    <t>040000181538</t>
  </si>
  <si>
    <t>040000181539</t>
  </si>
  <si>
    <t>040000181540</t>
  </si>
  <si>
    <t>040000181708</t>
  </si>
  <si>
    <t>040000181736</t>
  </si>
  <si>
    <t>040000181743</t>
  </si>
  <si>
    <t>040000181748</t>
  </si>
  <si>
    <t>040000181786</t>
  </si>
  <si>
    <t>040000182441</t>
  </si>
  <si>
    <t>040000182442</t>
  </si>
  <si>
    <t>040000182466</t>
  </si>
  <si>
    <t>040000181900</t>
  </si>
  <si>
    <t>040000181901</t>
  </si>
  <si>
    <t>040000181902</t>
  </si>
  <si>
    <t>040000182374</t>
  </si>
  <si>
    <t>040000182375</t>
  </si>
  <si>
    <t>040000181696</t>
  </si>
  <si>
    <t>040000181697</t>
  </si>
  <si>
    <t>040000181698</t>
  </si>
  <si>
    <t>040000181702</t>
  </si>
  <si>
    <t>040000182199</t>
  </si>
  <si>
    <t>040000182376</t>
  </si>
  <si>
    <t>040000182377</t>
  </si>
  <si>
    <t>040000182496</t>
  </si>
  <si>
    <t>040000182512</t>
  </si>
  <si>
    <t>040000181547</t>
  </si>
  <si>
    <t>040000182662</t>
  </si>
  <si>
    <t>040000182503</t>
  </si>
  <si>
    <t>040000182672</t>
  </si>
  <si>
    <t>040000182674</t>
  </si>
  <si>
    <t>040000182679</t>
  </si>
  <si>
    <t>040000182686</t>
  </si>
  <si>
    <t>040000182904</t>
  </si>
  <si>
    <t>040000182741</t>
  </si>
  <si>
    <t>040000182211</t>
  </si>
  <si>
    <t>040000182212</t>
  </si>
  <si>
    <t>040000182216</t>
  </si>
  <si>
    <t>040000182217</t>
  </si>
  <si>
    <t>040000182218</t>
  </si>
  <si>
    <t>040000181829</t>
  </si>
  <si>
    <t>040000181830</t>
  </si>
  <si>
    <t>040000181831</t>
  </si>
  <si>
    <t>040000181842</t>
  </si>
  <si>
    <t>040000181843</t>
  </si>
  <si>
    <t>040000181859</t>
  </si>
  <si>
    <t>040000182533</t>
  </si>
  <si>
    <t>040000182536</t>
  </si>
  <si>
    <t>040000181775</t>
  </si>
  <si>
    <t>040000181777</t>
  </si>
  <si>
    <t>040000181778</t>
  </si>
  <si>
    <t>040000181779</t>
  </si>
  <si>
    <t>040000181780</t>
  </si>
  <si>
    <t>040000181860</t>
  </si>
  <si>
    <t>040000181861</t>
  </si>
  <si>
    <t>040000181919</t>
  </si>
  <si>
    <t>040000181920</t>
  </si>
  <si>
    <t>040000182149</t>
  </si>
  <si>
    <t>040000182158</t>
  </si>
  <si>
    <t>040000182159</t>
  </si>
  <si>
    <t>040000182160</t>
  </si>
  <si>
    <t>040000183054</t>
  </si>
  <si>
    <t>040000183055</t>
  </si>
  <si>
    <t>040000183066</t>
  </si>
  <si>
    <t>040000183067</t>
  </si>
  <si>
    <t>040000183068</t>
  </si>
  <si>
    <t>040000181987</t>
  </si>
  <si>
    <t>040000181990</t>
  </si>
  <si>
    <t>040000181992</t>
  </si>
  <si>
    <t>040000181994</t>
  </si>
  <si>
    <t>040000181995</t>
  </si>
  <si>
    <t>040000182514</t>
  </si>
  <si>
    <t>040000182769</t>
  </si>
  <si>
    <t>040000182772</t>
  </si>
  <si>
    <t>040000182161</t>
  </si>
  <si>
    <t>040000182276</t>
  </si>
  <si>
    <t>040000182345</t>
  </si>
  <si>
    <t>040000182346</t>
  </si>
  <si>
    <t>040000182241</t>
  </si>
  <si>
    <t>040000182436</t>
  </si>
  <si>
    <t>040000182634</t>
  </si>
  <si>
    <t>040000182681</t>
  </si>
  <si>
    <t>040000181548</t>
  </si>
  <si>
    <t>040000181549</t>
  </si>
  <si>
    <t>040000182444</t>
  </si>
  <si>
    <t>040000182445</t>
  </si>
  <si>
    <t>040000182446</t>
  </si>
  <si>
    <t>040000182447</t>
  </si>
  <si>
    <t>040000182448</t>
  </si>
  <si>
    <t>040000182449</t>
  </si>
  <si>
    <t>040000182452</t>
  </si>
  <si>
    <t>040000182453</t>
  </si>
  <si>
    <t>040000182605</t>
  </si>
  <si>
    <t>040000182607</t>
  </si>
  <si>
    <t>040000182632</t>
  </si>
  <si>
    <t>040000182633</t>
  </si>
  <si>
    <t>040000182952</t>
  </si>
  <si>
    <t>040000182953</t>
  </si>
  <si>
    <t>040000182956</t>
  </si>
  <si>
    <t>040000182957</t>
  </si>
  <si>
    <t>040000182778</t>
  </si>
  <si>
    <t>040000182787</t>
  </si>
  <si>
    <t>040000182788</t>
  </si>
  <si>
    <t>040000182793</t>
  </si>
  <si>
    <t>040000182796</t>
  </si>
  <si>
    <t>040000182797</t>
  </si>
  <si>
    <t>040000182647</t>
  </si>
  <si>
    <t>040000182648</t>
  </si>
  <si>
    <t>040000181555</t>
  </si>
  <si>
    <t>040000181556</t>
  </si>
  <si>
    <t>040000182804</t>
  </si>
  <si>
    <t>040000182805</t>
  </si>
  <si>
    <t>040000182328</t>
  </si>
  <si>
    <t>040000182329</t>
  </si>
  <si>
    <t>040000182330</t>
  </si>
  <si>
    <t>040000181522</t>
  </si>
  <si>
    <t>040000181910</t>
  </si>
  <si>
    <t>040000181911</t>
  </si>
  <si>
    <t>040000181912</t>
  </si>
  <si>
    <t>040000183064</t>
  </si>
  <si>
    <t>040000183065</t>
  </si>
  <si>
    <t>040000182277</t>
  </si>
  <si>
    <t>040000182278</t>
  </si>
  <si>
    <t>040000182123</t>
  </si>
  <si>
    <t>040000182334</t>
  </si>
  <si>
    <t>040000182337</t>
  </si>
  <si>
    <t>040000182521</t>
  </si>
  <si>
    <t>040000182909</t>
  </si>
  <si>
    <t>040000182910</t>
  </si>
  <si>
    <t>040000182914</t>
  </si>
  <si>
    <t>040000181292</t>
  </si>
  <si>
    <t>040000182925</t>
  </si>
  <si>
    <t>040000182928</t>
  </si>
  <si>
    <t>040000182932</t>
  </si>
  <si>
    <t>040000182933</t>
  </si>
  <si>
    <t>040000182939</t>
  </si>
  <si>
    <t>040000182945</t>
  </si>
  <si>
    <t>040000181730</t>
  </si>
  <si>
    <t>040000182001</t>
  </si>
  <si>
    <t>040000182098</t>
  </si>
  <si>
    <t>040000182099</t>
  </si>
  <si>
    <t>040000182116</t>
  </si>
  <si>
    <t>040000182360</t>
  </si>
  <si>
    <t>040000182361</t>
  </si>
  <si>
    <t>040000181924</t>
  </si>
  <si>
    <t>040000181925</t>
  </si>
  <si>
    <t>040000181658</t>
  </si>
  <si>
    <t>040000181659</t>
  </si>
  <si>
    <t>040000181762</t>
  </si>
  <si>
    <t>040000181763</t>
  </si>
  <si>
    <t>040000181764</t>
  </si>
  <si>
    <t>040000181765</t>
  </si>
  <si>
    <t>040000181766</t>
  </si>
  <si>
    <t>040000181767</t>
  </si>
  <si>
    <t>040000181768</t>
  </si>
  <si>
    <t>040000181769</t>
  </si>
  <si>
    <t>040000181770</t>
  </si>
  <si>
    <t>040000181771</t>
  </si>
  <si>
    <t>040000181772</t>
  </si>
  <si>
    <t>040000181773</t>
  </si>
  <si>
    <t>040000181774</t>
  </si>
  <si>
    <t>040000182264</t>
  </si>
  <si>
    <t>040000182742</t>
  </si>
  <si>
    <t>040000182743</t>
  </si>
  <si>
    <t>040000182731</t>
  </si>
  <si>
    <t>040000182732</t>
  </si>
  <si>
    <t>040000182737</t>
  </si>
  <si>
    <t>040000180875</t>
  </si>
  <si>
    <t>040000180883</t>
  </si>
  <si>
    <t>040000181194</t>
  </si>
  <si>
    <t>040000181197</t>
  </si>
  <si>
    <t>040000180615</t>
  </si>
  <si>
    <t>040000181098</t>
  </si>
  <si>
    <t>040000180430</t>
  </si>
  <si>
    <t>040000180429</t>
  </si>
  <si>
    <t>040000180970</t>
  </si>
  <si>
    <t>040000181014</t>
  </si>
  <si>
    <t>040000181015</t>
  </si>
  <si>
    <t>040000181031</t>
  </si>
  <si>
    <t>POLICY NO.</t>
  </si>
  <si>
    <t>Assorted_code</t>
  </si>
  <si>
    <t>Premium</t>
  </si>
  <si>
    <t>22Oct240201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</si>
</sst>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s&quot;* #,##0.00_-;\-&quot;Rs&quot;* #,##0.00_-;_-&quot;Rs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\ dd\-mmm\-yyyy"/>
    <numFmt numFmtId="167" formatCode="_(* #,##0_);_(* \(#,##0\);_(* &quot;-&quot;??_);_(@_)"/>
    <numFmt numFmtId="168" formatCode="[$]dd\-mmm\-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6" fillId="0" borderId="0">
      <alignment vertical="top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9" fontId="1" fillId="0" borderId="0" applyFont="0" applyFill="0" applyBorder="0" applyAlignment="0" applyProtection="0"/>
  </cellStyleXfs>
  <cellXfs count="85">
    <xf numFmtId="0" fontId="0" fillId="0" borderId="0" xfId="0"/>
    <xf numFmtId="165" fontId="0" fillId="0" borderId="0" xfId="1" applyNumberFormat="1" applyFont="1"/>
    <xf numFmtId="37" fontId="0" fillId="0" borderId="0" xfId="0" applyNumberFormat="1"/>
    <xf numFmtId="0" fontId="0" fillId="0" borderId="0" xfId="0" pivotButton="1"/>
    <xf numFmtId="165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" fillId="0" borderId="0" xfId="0" applyFont="1"/>
    <xf numFmtId="0" fontId="0" fillId="0" borderId="1" xfId="0" applyBorder="1"/>
    <xf numFmtId="0" fontId="4" fillId="0" borderId="0" xfId="0" applyFont="1"/>
    <xf numFmtId="0" fontId="0" fillId="0" borderId="0" xfId="0" applyAlignment="1">
      <alignment vertic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2" xfId="0" applyBorder="1"/>
    <xf numFmtId="0" fontId="0" fillId="0" borderId="7" xfId="0" applyBorder="1" applyAlignment="1">
      <alignment vertical="center"/>
    </xf>
    <xf numFmtId="0" fontId="0" fillId="0" borderId="12" xfId="0" applyBorder="1" applyAlignment="1">
      <alignment vertical="center"/>
    </xf>
    <xf numFmtId="0" fontId="4" fillId="0" borderId="7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165" fontId="2" fillId="0" borderId="3" xfId="1" applyNumberFormat="1" applyFont="1" applyBorder="1"/>
    <xf numFmtId="0" fontId="0" fillId="0" borderId="0" xfId="0" applyAlignment="1">
      <alignment horizontal="left"/>
    </xf>
    <xf numFmtId="0" fontId="8" fillId="0" borderId="16" xfId="0" applyFont="1" applyBorder="1" applyAlignment="1">
      <alignment vertical="top"/>
    </xf>
    <xf numFmtId="165" fontId="8" fillId="0" borderId="16" xfId="1" applyNumberFormat="1" applyFont="1" applyBorder="1"/>
    <xf numFmtId="165" fontId="9" fillId="0" borderId="16" xfId="1" applyNumberFormat="1" applyFont="1" applyBorder="1"/>
    <xf numFmtId="0" fontId="9" fillId="0" borderId="16" xfId="0" applyFont="1" applyBorder="1"/>
    <xf numFmtId="164" fontId="9" fillId="0" borderId="16" xfId="0" applyNumberFormat="1" applyFont="1" applyBorder="1"/>
    <xf numFmtId="0" fontId="10" fillId="0" borderId="16" xfId="0" applyFont="1" applyBorder="1" applyAlignment="1">
      <alignment vertical="center"/>
    </xf>
    <xf numFmtId="168" fontId="10" fillId="0" borderId="16" xfId="0" applyNumberFormat="1" applyFont="1" applyBorder="1" applyAlignment="1">
      <alignment vertical="center"/>
    </xf>
    <xf numFmtId="167" fontId="10" fillId="0" borderId="16" xfId="1" applyNumberFormat="1" applyFont="1" applyBorder="1" applyAlignment="1">
      <alignment vertical="center"/>
    </xf>
    <xf numFmtId="168" fontId="10" fillId="0" borderId="16" xfId="0" applyNumberFormat="1" applyFont="1" applyBorder="1" applyAlignment="1">
      <alignment horizontal="center" vertical="center"/>
    </xf>
    <xf numFmtId="167" fontId="10" fillId="0" borderId="16" xfId="1" applyNumberFormat="1" applyFont="1" applyBorder="1" applyAlignment="1">
      <alignment horizontal="center" vertical="center"/>
    </xf>
    <xf numFmtId="165" fontId="10" fillId="0" borderId="16" xfId="1" applyNumberFormat="1" applyFont="1" applyBorder="1" applyAlignment="1">
      <alignment horizontal="center" vertical="center"/>
    </xf>
    <xf numFmtId="10" fontId="10" fillId="0" borderId="16" xfId="10" applyNumberFormat="1" applyFont="1" applyBorder="1" applyAlignment="1">
      <alignment horizontal="center" vertical="center"/>
    </xf>
    <xf numFmtId="0" fontId="8" fillId="3" borderId="16" xfId="0" applyFont="1" applyFill="1" applyBorder="1" applyAlignment="1">
      <alignment vertical="top"/>
    </xf>
    <xf numFmtId="0" fontId="9" fillId="0" borderId="16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43" fontId="0" fillId="0" borderId="0" xfId="1" applyFont="1"/>
    <xf numFmtId="0" fontId="11" fillId="0" borderId="0" xfId="0" applyFont="1"/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0" fontId="12" fillId="0" borderId="0" xfId="0" applyFont="1"/>
    <xf numFmtId="0" fontId="0" fillId="0" borderId="0" xfId="0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43" fontId="0" fillId="0" borderId="0" xfId="0" applyNumberFormat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1">
    <cellStyle name="Comma" xfId="1" builtinId="3"/>
    <cellStyle name="Comma 2" xfId="3" xr:uid="{9B56E31D-D7D6-4361-986D-9338E5399729}"/>
    <cellStyle name="Currency 2" xfId="4" xr:uid="{C271BCE6-0D1A-4710-8D42-2185566F47E2}"/>
    <cellStyle name="Normal" xfId="0" builtinId="0"/>
    <cellStyle name="Normal 2" xfId="2" xr:uid="{33F032FA-9037-426E-97FA-AB87A65D4FF7}"/>
    <cellStyle name="Normal 2 2" xfId="5" xr:uid="{30AACCE7-03C2-420F-8B36-242F443D7807}"/>
    <cellStyle name="Normal 3" xfId="6" xr:uid="{02DC152F-28B2-4666-98C4-279AEB096CB4}"/>
    <cellStyle name="Normal 4" xfId="7" xr:uid="{AEE9E128-3A4E-4F15-8E5F-171C26233B28}"/>
    <cellStyle name="Normal 5" xfId="8" xr:uid="{FC1C80B4-FBF5-4917-AAAB-D007C5823A6E}"/>
    <cellStyle name="Normal 6" xfId="9" xr:uid="{0CF07217-E531-4C7B-9AD9-B60344FF51B5}"/>
    <cellStyle name="Percent" xfId="10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kash Kumar" refreshedDate="45575.615630902779" createdVersion="8" refreshedVersion="8" minRefreshableVersion="3" recordCount="1016" xr:uid="{075535FF-4928-459F-8DB4-B15211CB54DE}">
  <cacheSource type="worksheet">
    <worksheetSource ref="A2:T1018" sheet="Detail"/>
  </cacheSource>
  <cacheFields count="20">
    <cacheField name="Policy #" numFmtId="0">
      <sharedItems/>
    </cacheField>
    <cacheField name="Endorsement" numFmtId="0">
      <sharedItems containsNonDate="0" containsString="0" containsBlank="1"/>
    </cacheField>
    <cacheField name="Dealer" numFmtId="0">
      <sharedItems count="30">
        <s v="UR Suzuki"/>
        <s v="TR Suzuki"/>
        <s v="South"/>
        <s v="Suzuki R.Y.Khan"/>
        <s v="Suzuki Canal Motors Faisalabad Branch"/>
        <s v="GR Suzuki"/>
        <s v="Khalil Motor"/>
        <s v="_x0009_Suzuki Defence Motors"/>
        <s v="TS Suzuki"/>
        <s v="Gujrat Suzuki"/>
        <s v="UP Suzuki"/>
        <s v="Suzuki Mandviwalla Motors"/>
        <s v="A R Suzuki"/>
        <s v="WR Suzuki"/>
        <s v="SG Suzuki"/>
        <s v="KR Suzuki"/>
        <s v="Suzuki Zeeshan Autos"/>
        <s v="GT Suzuki"/>
        <s v="CR Suzuki"/>
        <s v="SR Suzuki"/>
        <s v="Sethi Motors"/>
        <s v="MS Suzuki"/>
        <s v="FSD Suzuki"/>
        <s v="Islamabad Motors"/>
        <s v="Suzuki Ravi Motors"/>
        <s v="Suzuki Falcon Motors"/>
        <s v="MR Suzuki"/>
        <s v="Gujranwala Suzuki"/>
        <s v="Suzuki South" u="1"/>
        <s v="Suzuki A R" u="1"/>
      </sharedItems>
    </cacheField>
    <cacheField name="Period From" numFmtId="168">
      <sharedItems containsSemiMixedTypes="0" containsNonDate="0" containsDate="1" containsString="0" minDate="2024-07-24T00:00:00" maxDate="2025-09-02T00:00:00"/>
    </cacheField>
    <cacheField name="Period To" numFmtId="168">
      <sharedItems containsSemiMixedTypes="0" containsNonDate="0" containsDate="1" containsString="0" minDate="2025-07-23T00:00:00" maxDate="2026-09-02T00:00:00"/>
    </cacheField>
    <cacheField name="Insured Name" numFmtId="0">
      <sharedItems/>
    </cacheField>
    <cacheField name="Vehicle Info" numFmtId="0">
      <sharedItems/>
    </cacheField>
    <cacheField name="Net" numFmtId="0">
      <sharedItems containsSemiMixedTypes="0" containsString="0" containsNumber="1" minValue="8800" maxValue="23248"/>
    </cacheField>
    <cacheField name="Gross" numFmtId="0">
      <sharedItems containsSemiMixedTypes="0" containsString="0" containsNumber="1" minValue="7086.2068965517246" maxValue="19610"/>
    </cacheField>
    <cacheField name="Net Rate" numFmtId="0">
      <sharedItems containsString="0" containsBlank="1" containsNumber="1" minValue="2.5000000000000001E-2" maxValue="4.2500000000000003E-2"/>
    </cacheField>
    <cacheField name="Net2" numFmtId="0">
      <sharedItems containsString="0" containsBlank="1" containsNumber="1" minValue="8800" maxValue="23247.5"/>
    </cacheField>
    <cacheField name="Gross2" numFmtId="0">
      <sharedItems containsString="0" containsBlank="1" containsNumber="1" minValue="7086.2068965517246" maxValue="19540.948275862069"/>
    </cacheField>
    <cacheField name="Difference" numFmtId="0">
      <sharedItems containsString="0" containsBlank="1" containsNumber="1" containsInteger="1" minValue="0" maxValue="0"/>
    </cacheField>
    <cacheField name="Engine" numFmtId="0">
      <sharedItems/>
    </cacheField>
    <cacheField name="Issue date" numFmtId="168">
      <sharedItems containsSemiMixedTypes="0" containsNonDate="0" containsDate="1" containsString="0" minDate="2024-08-01T00:00:00" maxDate="2024-09-01T00:00:00"/>
    </cacheField>
    <cacheField name="Policy Name" numFmtId="0">
      <sharedItems/>
    </cacheField>
    <cacheField name="SumCovered" numFmtId="167">
      <sharedItems containsSemiMixedTypes="0" containsString="0" containsNumber="1" containsInteger="1" minValue="335000" maxValue="547000"/>
    </cacheField>
    <cacheField name="SST 15%" numFmtId="165">
      <sharedItems containsSemiMixedTypes="0" containsString="0" containsNumber="1" minValue="1062.9310344827586" maxValue="2941.5"/>
    </cacheField>
    <cacheField name="F.I.F 1%" numFmtId="164">
      <sharedItems containsSemiMixedTypes="0" containsString="0" containsNumber="1" minValue="70.862068965517253" maxValue="196.1"/>
    </cacheField>
    <cacheField name="Stamp Duty" numFmtId="0">
      <sharedItems containsSemiMixedTypes="0" containsString="0" containsNumber="1" containsInteger="1" minValue="50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6">
  <r>
    <s v="KHI/HO/D/MO/MC COMP/P/94363/08/2024"/>
    <m/>
    <x v="0"/>
    <d v="2024-08-01T00:00:00"/>
    <d v="2025-08-01T00:00:00"/>
    <s v="FARHAN KHAN"/>
    <s v="SUZUKI-GR150 EURO II"/>
    <n v="23247.5"/>
    <n v="19540.948275862069"/>
    <n v="4.2500000000000003E-2"/>
    <n v="23247.5"/>
    <n v="19540.948275862069"/>
    <n v="0"/>
    <s v="113462"/>
    <d v="2024-08-01T00:00:00"/>
    <s v="MOTORCYCLE  COMPREHENSIVE"/>
    <n v="547000"/>
    <n v="2931.1422413793102"/>
    <n v="195.4094827586207"/>
    <n v="500"/>
  </r>
  <r>
    <s v="KHI/HO/D/MO/MC COMP/P/94364/08/2024"/>
    <m/>
    <x v="0"/>
    <d v="2025-08-02T00:00:00"/>
    <d v="2026-08-02T00:00:00"/>
    <s v="FARHAN KHAN"/>
    <s v="SUZUKI-GR150 EURO II"/>
    <n v="23247.5"/>
    <n v="19540.948275862069"/>
    <n v="4.2500000000000003E-2"/>
    <n v="23247.5"/>
    <n v="19540.948275862069"/>
    <n v="0"/>
    <s v="113462"/>
    <d v="2024-08-01T00:00:00"/>
    <s v="MOTORCYCLE  COMPREHENSIVE"/>
    <n v="547000"/>
    <n v="2931.1422413793102"/>
    <n v="195.4094827586207"/>
    <n v="500"/>
  </r>
  <r>
    <s v="KHI/HO/D/MO/MC COMP/P/94373/08/2024"/>
    <m/>
    <x v="0"/>
    <d v="2024-08-01T00:00:00"/>
    <d v="2025-08-01T00:00:00"/>
    <s v="ZUNAIR RAZA"/>
    <s v="SUZUKI-GR150 EURO II"/>
    <n v="23247.5"/>
    <n v="19540.948275862069"/>
    <n v="4.2500000000000003E-2"/>
    <n v="23247.5"/>
    <n v="19540.948275862069"/>
    <n v="0"/>
    <s v="113392"/>
    <d v="2024-08-01T00:00:00"/>
    <s v="MOTORCYCLE  COMPREHENSIVE"/>
    <n v="547000"/>
    <n v="2931.1422413793102"/>
    <n v="195.4094827586207"/>
    <n v="500"/>
  </r>
  <r>
    <s v="KHI/HO/D/MO/MC COMP/P/94374/08/2024"/>
    <m/>
    <x v="0"/>
    <d v="2025-08-02T00:00:00"/>
    <d v="2026-08-02T00:00:00"/>
    <s v="ZUNAIR RAZA"/>
    <s v="SUZUKI-GR150 EURO II"/>
    <n v="23247.5"/>
    <n v="19540.948275862069"/>
    <n v="4.2500000000000003E-2"/>
    <n v="23247.5"/>
    <n v="19540.948275862069"/>
    <n v="0"/>
    <s v="113392"/>
    <d v="2024-08-01T00:00:00"/>
    <s v="MOTORCYCLE  COMPREHENSIVE"/>
    <n v="547000"/>
    <n v="2931.1422413793102"/>
    <n v="195.4094827586207"/>
    <n v="500"/>
  </r>
  <r>
    <s v="KHI/HO/D/MO/MC COMP/P/94375/08/2024"/>
    <m/>
    <x v="1"/>
    <d v="2024-08-01T00:00:00"/>
    <d v="2025-08-01T00:00:00"/>
    <s v="IMRAN HUSSAIN"/>
    <s v="SUZUKI-GR150 EURO II"/>
    <n v="23247.5"/>
    <n v="19540.948275862069"/>
    <n v="4.2500000000000003E-2"/>
    <n v="23247.5"/>
    <n v="19540.948275862069"/>
    <n v="0"/>
    <s v="113385"/>
    <d v="2024-08-01T00:00:00"/>
    <s v="MOTORCYCLE  COMPREHENSIVE"/>
    <n v="547000"/>
    <n v="2931.1422413793102"/>
    <n v="195.4094827586207"/>
    <n v="500"/>
  </r>
  <r>
    <s v="KHI/HO/D/MO/MC COMP/P/94379/08/2024"/>
    <m/>
    <x v="0"/>
    <d v="2024-08-01T00:00:00"/>
    <d v="2025-08-01T00:00:00"/>
    <s v="MUHAMMAD TAHIR AMAN"/>
    <s v="SUZUKI-GSX 125"/>
    <n v="21207.5"/>
    <n v="17782.327586206899"/>
    <n v="4.2500000000000003E-2"/>
    <n v="21207.5"/>
    <n v="17782.327586206899"/>
    <n v="0"/>
    <s v="23100411"/>
    <d v="2024-08-01T00:00:00"/>
    <s v="MOTORCYCLE  COMPREHENSIVE"/>
    <n v="499000"/>
    <n v="2667.3491379310349"/>
    <n v="177.82327586206898"/>
    <n v="500"/>
  </r>
  <r>
    <s v="KHI/HO/D/MO/MC COMP/P/94380/08/2024"/>
    <m/>
    <x v="0"/>
    <d v="2025-08-02T00:00:00"/>
    <d v="2026-08-02T00:00:00"/>
    <s v="MUHAMMAD TAHIR AMAN"/>
    <s v="SUZUKI-GSX 125"/>
    <n v="21207.5"/>
    <n v="17782.327586206899"/>
    <n v="4.2500000000000003E-2"/>
    <n v="21207.5"/>
    <n v="17782.327586206899"/>
    <n v="0"/>
    <s v="23100411"/>
    <d v="2024-08-01T00:00:00"/>
    <s v="MOTORCYCLE  COMPREHENSIVE"/>
    <n v="499000"/>
    <n v="2667.3491379310349"/>
    <n v="177.82327586206898"/>
    <n v="500"/>
  </r>
  <r>
    <s v="KHI/HO/D/MO/MC COMP/P/94382/08/2024"/>
    <m/>
    <x v="1"/>
    <d v="2024-08-01T00:00:00"/>
    <d v="2025-08-01T00:00:00"/>
    <s v="MUHAMMAD FAIZAN QASIM"/>
    <s v="SUZUKI-GS 150"/>
    <n v="16235.000000000002"/>
    <n v="13495.689655172417"/>
    <n v="4.2500000000000003E-2"/>
    <n v="16235.000000000002"/>
    <n v="13495.689655172417"/>
    <n v="0"/>
    <s v="30092358"/>
    <d v="2024-08-01T00:00:00"/>
    <s v="MOTORCYCLE  COMPREHENSIVE"/>
    <n v="382000"/>
    <n v="2024.3534482758625"/>
    <n v="134.95689655172416"/>
    <n v="500"/>
  </r>
  <r>
    <s v="KHI/HO/D/MO/MC COMP/P/94383/08/2024"/>
    <m/>
    <x v="1"/>
    <d v="2025-08-02T00:00:00"/>
    <d v="2026-08-02T00:00:00"/>
    <s v="MUHAMMAD FAIZAN QASIM"/>
    <s v="SUZUKI-GS 150"/>
    <n v="16235.000000000002"/>
    <n v="13495.689655172417"/>
    <n v="4.2500000000000003E-2"/>
    <n v="16235.000000000002"/>
    <n v="13495.689655172417"/>
    <n v="0"/>
    <s v="30092358"/>
    <d v="2024-08-01T00:00:00"/>
    <s v="MOTORCYCLE  COMPREHENSIVE"/>
    <n v="382000"/>
    <n v="2024.3534482758625"/>
    <n v="134.95689655172416"/>
    <n v="500"/>
  </r>
  <r>
    <s v="KHI/HO/D/MO/MC COMP/P/94385/08/2024"/>
    <m/>
    <x v="0"/>
    <d v="2024-08-01T00:00:00"/>
    <d v="2025-08-01T00:00:00"/>
    <s v="SYED FARHAN BADAR"/>
    <s v="SUZUKI-GS 150"/>
    <n v="16235.000000000002"/>
    <n v="13495.689655172417"/>
    <n v="4.2500000000000003E-2"/>
    <n v="16235.000000000002"/>
    <n v="13495.689655172417"/>
    <n v="0"/>
    <s v="30092320"/>
    <d v="2024-08-01T00:00:00"/>
    <s v="MOTORCYCLE  COMPREHENSIVE"/>
    <n v="382000"/>
    <n v="2024.3534482758625"/>
    <n v="134.95689655172416"/>
    <n v="500"/>
  </r>
  <r>
    <s v="KHI/HO/D/MO/MC COMP/P/94386/08/2024"/>
    <m/>
    <x v="0"/>
    <d v="2025-08-02T00:00:00"/>
    <d v="2026-08-02T00:00:00"/>
    <s v="SYED FARHAN BADAR"/>
    <s v="SUZUKI-GS 150"/>
    <n v="16235.000000000002"/>
    <n v="13495.689655172417"/>
    <n v="4.2500000000000003E-2"/>
    <n v="16235.000000000002"/>
    <n v="13495.689655172417"/>
    <n v="0"/>
    <s v="30092320"/>
    <d v="2024-08-01T00:00:00"/>
    <s v="MOTORCYCLE  COMPREHENSIVE"/>
    <n v="382000"/>
    <n v="2024.3534482758625"/>
    <n v="134.95689655172416"/>
    <n v="500"/>
  </r>
  <r>
    <s v="KHI/HO/D/MO/MC COMP/P/94388/08/2024"/>
    <m/>
    <x v="1"/>
    <d v="2024-08-01T00:00:00"/>
    <d v="2025-08-01T00:00:00"/>
    <s v="FAWAD AHMED"/>
    <s v="SUZUKI-GS-150"/>
    <n v="16235.000000000002"/>
    <n v="13495.689655172417"/>
    <n v="4.2500000000000003E-2"/>
    <n v="16235.000000000002"/>
    <n v="13495.689655172417"/>
    <n v="0"/>
    <s v="30092355"/>
    <d v="2024-08-01T00:00:00"/>
    <s v="MOTORCYCLE  COMPREHENSIVE"/>
    <n v="382000"/>
    <n v="2024.3534482758625"/>
    <n v="134.95689655172416"/>
    <n v="500"/>
  </r>
  <r>
    <s v="KHI/HO/D/MO/MC COMP/P/94389/08/2024"/>
    <m/>
    <x v="1"/>
    <d v="2025-08-02T00:00:00"/>
    <d v="2026-08-02T00:00:00"/>
    <s v="FAWAD AHMED"/>
    <s v="SUZUKI-GS-150"/>
    <n v="16235.000000000002"/>
    <n v="13495.689655172417"/>
    <n v="4.2500000000000003E-2"/>
    <n v="16235.000000000002"/>
    <n v="13495.689655172417"/>
    <n v="0"/>
    <s v="30092355"/>
    <d v="2024-08-01T00:00:00"/>
    <s v="MOTORCYCLE  COMPREHENSIVE"/>
    <n v="382000"/>
    <n v="2024.3534482758625"/>
    <n v="134.95689655172416"/>
    <n v="500"/>
  </r>
  <r>
    <s v="KHI/HO/D/MO/MC COMP/P/94391/08/2024"/>
    <m/>
    <x v="0"/>
    <d v="2024-08-01T00:00:00"/>
    <d v="2025-08-01T00:00:00"/>
    <s v="MUHAMMAD SHEHROZ"/>
    <s v="SUZUKI-GS 150"/>
    <n v="16235.000000000002"/>
    <n v="13495.689655172417"/>
    <n v="4.2500000000000003E-2"/>
    <n v="16235.000000000002"/>
    <n v="13495.689655172417"/>
    <n v="0"/>
    <s v="30092345"/>
    <d v="2024-08-01T00:00:00"/>
    <s v="MOTORCYCLE  COMPREHENSIVE"/>
    <n v="382000"/>
    <n v="2024.3534482758625"/>
    <n v="134.95689655172416"/>
    <n v="500"/>
  </r>
  <r>
    <s v="KHI/HO/D/MO/MC COMP/P/94392/08/2024"/>
    <m/>
    <x v="0"/>
    <d v="2025-08-02T00:00:00"/>
    <d v="2026-08-02T00:00:00"/>
    <s v="MUHAMMAD SHEHROZ"/>
    <s v="SUZUKI-GS 150"/>
    <n v="16235.000000000002"/>
    <n v="13495.689655172417"/>
    <n v="4.2500000000000003E-2"/>
    <n v="16235.000000000002"/>
    <n v="13495.689655172417"/>
    <n v="0"/>
    <s v="30092345"/>
    <d v="2024-08-01T00:00:00"/>
    <s v="MOTORCYCLE  COMPREHENSIVE"/>
    <n v="382000"/>
    <n v="2024.3534482758625"/>
    <n v="134.95689655172416"/>
    <n v="500"/>
  </r>
  <r>
    <s v="KHI/HO/D/MO/MC COMP/P/94396/08/2024"/>
    <m/>
    <x v="2"/>
    <d v="2024-08-01T00:00:00"/>
    <d v="2025-08-01T00:00:00"/>
    <s v="MUHAMMAD YOUNUS"/>
    <s v="SUZUKI-GD-110S"/>
    <n v="14960.000000000002"/>
    <n v="12396.551724137933"/>
    <n v="4.2500000000000003E-2"/>
    <n v="14960.000000000002"/>
    <n v="12396.551724137933"/>
    <n v="0"/>
    <s v="146417"/>
    <d v="2024-08-01T00:00:00"/>
    <s v="MOTORCYCLE  COMPREHENSIVE"/>
    <n v="352000"/>
    <n v="1859.4827586206898"/>
    <n v="123.96551724137933"/>
    <n v="500"/>
  </r>
  <r>
    <s v="KHI/HO/D/MO/MC COMP/P/94397/08/2024"/>
    <m/>
    <x v="0"/>
    <d v="2024-08-01T00:00:00"/>
    <d v="2025-08-01T00:00:00"/>
    <s v="IRFAN HAIDAR"/>
    <s v="SUZUKI-GS 150"/>
    <n v="16235.000000000002"/>
    <n v="13495.689655172417"/>
    <n v="4.2500000000000003E-2"/>
    <n v="16235.000000000002"/>
    <n v="13495.689655172417"/>
    <n v="0"/>
    <s v="30092331"/>
    <d v="2024-08-01T00:00:00"/>
    <s v="MOTORCYCLE  COMPREHENSIVE"/>
    <n v="382000"/>
    <n v="2024.3534482758625"/>
    <n v="134.95689655172416"/>
    <n v="500"/>
  </r>
  <r>
    <s v="KHI/HO/D/MO/MC COMP/P/94398/08/2024"/>
    <m/>
    <x v="0"/>
    <d v="2025-08-02T00:00:00"/>
    <d v="2026-08-02T00:00:00"/>
    <s v="IRFAN HAIDAR"/>
    <s v="SUZUKI-GS 150"/>
    <n v="16235.000000000002"/>
    <n v="13495.689655172417"/>
    <n v="4.2500000000000003E-2"/>
    <n v="16235.000000000002"/>
    <n v="13495.689655172417"/>
    <n v="0"/>
    <s v="30092331"/>
    <d v="2024-08-01T00:00:00"/>
    <s v="MOTORCYCLE  COMPREHENSIVE"/>
    <n v="382000"/>
    <n v="2024.3534482758625"/>
    <n v="134.95689655172416"/>
    <n v="500"/>
  </r>
  <r>
    <s v="KHI/HO/D/MO/MC COMP/P/94405/08/2024"/>
    <m/>
    <x v="1"/>
    <d v="2024-08-01T00:00:00"/>
    <d v="2025-08-01T00:00:00"/>
    <s v="TALHA"/>
    <s v="SUZUKI-GS 150"/>
    <n v="16235.000000000002"/>
    <n v="13495.689655172417"/>
    <n v="4.2500000000000003E-2"/>
    <n v="16235.000000000002"/>
    <n v="13495.689655172417"/>
    <n v="0"/>
    <s v="30092346"/>
    <d v="2024-08-01T00:00:00"/>
    <s v="MOTORCYCLE  COMPREHENSIVE"/>
    <n v="382000"/>
    <n v="2024.3534482758625"/>
    <n v="134.95689655172416"/>
    <n v="500"/>
  </r>
  <r>
    <s v="KHI/HO/D/MO/MC COMP/P/94411/08/2024"/>
    <m/>
    <x v="0"/>
    <d v="2024-08-01T00:00:00"/>
    <d v="2025-08-01T00:00:00"/>
    <s v="HAMMAD UR RAFAY"/>
    <s v="SUZUKI-GR150 EURO II"/>
    <n v="23247.5"/>
    <n v="19540.948275862069"/>
    <n v="4.2500000000000003E-2"/>
    <n v="23247.5"/>
    <n v="19540.948275862069"/>
    <n v="0"/>
    <s v="113461"/>
    <d v="2024-08-01T00:00:00"/>
    <s v="MOTORCYCLE  COMPREHENSIVE"/>
    <n v="547000"/>
    <n v="2931.1422413793102"/>
    <n v="195.4094827586207"/>
    <n v="500"/>
  </r>
  <r>
    <s v="KHI/HO/D/MO/MC COMP/P/94412/08/2024"/>
    <m/>
    <x v="0"/>
    <d v="2025-08-02T00:00:00"/>
    <d v="2026-08-02T00:00:00"/>
    <s v="HAMMAD UR RAFAY"/>
    <s v="SUZUKI-GR150 EURO II"/>
    <n v="23247.5"/>
    <n v="19540.948275862069"/>
    <n v="4.2500000000000003E-2"/>
    <n v="23247.5"/>
    <n v="19540.948275862069"/>
    <n v="0"/>
    <s v="113461"/>
    <d v="2024-08-01T00:00:00"/>
    <s v="MOTORCYCLE  COMPREHENSIVE"/>
    <n v="547000"/>
    <n v="2931.1422413793102"/>
    <n v="195.4094827586207"/>
    <n v="500"/>
  </r>
  <r>
    <s v="KHI/HO/D/MO/MC COMP/P/94416/08/2024"/>
    <m/>
    <x v="1"/>
    <d v="2024-08-01T00:00:00"/>
    <d v="2025-08-01T00:00:00"/>
    <s v="MUHAMMAD JHASH"/>
    <s v="SUZUKI-GD-110S"/>
    <n v="14960.000000000002"/>
    <n v="12396.551724137933"/>
    <n v="4.2500000000000003E-2"/>
    <n v="14960.000000000002"/>
    <n v="12396.551724137933"/>
    <n v="0"/>
    <s v="146213"/>
    <d v="2024-08-01T00:00:00"/>
    <s v="MOTORCYCLE  COMPREHENSIVE"/>
    <n v="352000"/>
    <n v="1859.4827586206898"/>
    <n v="123.96551724137933"/>
    <n v="500"/>
  </r>
  <r>
    <s v="KHI/HO/D/MO/MC COMP/P/94417/08/2024"/>
    <m/>
    <x v="1"/>
    <d v="2025-08-02T00:00:00"/>
    <d v="2026-08-02T00:00:00"/>
    <s v="MUHAMMAD JHASH"/>
    <s v="SUZUKI-GD-110S"/>
    <n v="14960.000000000002"/>
    <n v="12396.551724137933"/>
    <n v="4.2500000000000003E-2"/>
    <n v="14960.000000000002"/>
    <n v="12396.551724137933"/>
    <n v="0"/>
    <s v="146213"/>
    <d v="2024-08-01T00:00:00"/>
    <s v="MOTORCYCLE  COMPREHENSIVE"/>
    <n v="352000"/>
    <n v="1859.4827586206898"/>
    <n v="123.96551724137933"/>
    <n v="500"/>
  </r>
  <r>
    <s v="KHI/HO/D/MO/MC COMP/P/94422/08/2024"/>
    <m/>
    <x v="0"/>
    <d v="2024-08-01T00:00:00"/>
    <d v="2025-08-01T00:00:00"/>
    <s v="ZAIN RIZVI"/>
    <s v="SUZUKI-GSX 125"/>
    <n v="21207.5"/>
    <n v="17782.327586206899"/>
    <n v="4.2500000000000003E-2"/>
    <n v="21207.5"/>
    <n v="17782.327586206899"/>
    <n v="0"/>
    <s v="23102485"/>
    <d v="2024-08-01T00:00:00"/>
    <s v="MOTORCYCLE  COMPREHENSIVE"/>
    <n v="499000"/>
    <n v="2667.3491379310349"/>
    <n v="177.82327586206898"/>
    <n v="500"/>
  </r>
  <r>
    <s v="KHI/HO/D/MO/MC COMP/P/94423/08/2024"/>
    <m/>
    <x v="0"/>
    <d v="2025-08-02T00:00:00"/>
    <d v="2026-08-02T00:00:00"/>
    <s v="ZAIN RIZVI"/>
    <s v="SUZUKI-GSX 125"/>
    <n v="21207.5"/>
    <n v="17782.327586206899"/>
    <n v="4.2500000000000003E-2"/>
    <n v="21207.5"/>
    <n v="17782.327586206899"/>
    <n v="0"/>
    <s v="23102485"/>
    <d v="2024-08-01T00:00:00"/>
    <s v="MOTORCYCLE  COMPREHENSIVE"/>
    <n v="499000"/>
    <n v="2667.3491379310349"/>
    <n v="177.82327586206898"/>
    <n v="500"/>
  </r>
  <r>
    <s v="KHI/HO/D/MO/MC COMP/P/94432/08/2024"/>
    <m/>
    <x v="0"/>
    <d v="2024-08-01T00:00:00"/>
    <d v="2025-08-01T00:00:00"/>
    <s v="AGHA MUHAMMAD SHAKIR"/>
    <s v="SUZUKI-GS 150"/>
    <n v="16235.000000000002"/>
    <n v="13495.689655172417"/>
    <n v="4.2500000000000003E-2"/>
    <n v="16235.000000000002"/>
    <n v="13495.689655172417"/>
    <n v="0"/>
    <s v="30092316"/>
    <d v="2024-08-01T00:00:00"/>
    <s v="MOTORCYCLE  COMPREHENSIVE"/>
    <n v="382000"/>
    <n v="2024.3534482758625"/>
    <n v="134.95689655172416"/>
    <n v="500"/>
  </r>
  <r>
    <s v="KHI/HO/D/MO/MC COMP/P/94433/08/2024"/>
    <m/>
    <x v="0"/>
    <d v="2025-08-02T00:00:00"/>
    <d v="2026-08-02T00:00:00"/>
    <s v="AGHA MUHAMMAD SHAKIR"/>
    <s v="SUZUKI-GS 150"/>
    <n v="16235.000000000002"/>
    <n v="13495.689655172417"/>
    <n v="4.2500000000000003E-2"/>
    <n v="16235.000000000002"/>
    <n v="13495.689655172417"/>
    <n v="0"/>
    <s v="30092316"/>
    <d v="2024-08-01T00:00:00"/>
    <s v="MOTORCYCLE  COMPREHENSIVE"/>
    <n v="382000"/>
    <n v="2024.3534482758625"/>
    <n v="134.95689655172416"/>
    <n v="500"/>
  </r>
  <r>
    <s v="KHI/HO/D/MO/MC COMP/P/94437/08/2024"/>
    <m/>
    <x v="0"/>
    <d v="2024-08-01T00:00:00"/>
    <d v="2025-08-01T00:00:00"/>
    <s v="ATIF UZ ZAMAN KHAN"/>
    <s v="SUZUKI-GS 150"/>
    <n v="16235.000000000002"/>
    <n v="13495.689655172417"/>
    <n v="4.2500000000000003E-2"/>
    <n v="16235.000000000002"/>
    <n v="13495.689655172417"/>
    <n v="0"/>
    <s v="30092328"/>
    <d v="2024-08-01T00:00:00"/>
    <s v="MOTORCYCLE  COMPREHENSIVE"/>
    <n v="382000"/>
    <n v="2024.3534482758625"/>
    <n v="134.95689655172416"/>
    <n v="500"/>
  </r>
  <r>
    <s v="KHI/HO/D/MO/MC COMP/P/94438/08/2024"/>
    <m/>
    <x v="0"/>
    <d v="2025-08-02T00:00:00"/>
    <d v="2026-08-02T00:00:00"/>
    <s v="ATIF UZ ZAMAN KHAN"/>
    <s v="SUZUKI-GS 150"/>
    <n v="16235.000000000002"/>
    <n v="13495.689655172417"/>
    <n v="4.2500000000000003E-2"/>
    <n v="16235.000000000002"/>
    <n v="13495.689655172417"/>
    <n v="0"/>
    <s v="30092328"/>
    <d v="2024-08-01T00:00:00"/>
    <s v="MOTORCYCLE  COMPREHENSIVE"/>
    <n v="382000"/>
    <n v="2024.3534482758625"/>
    <n v="134.95689655172416"/>
    <n v="500"/>
  </r>
  <r>
    <s v="KHI/HO/D/MO/MC COMP/P/94439/08/2024"/>
    <m/>
    <x v="3"/>
    <d v="2024-08-01T00:00:00"/>
    <d v="2025-08-01T00:00:00"/>
    <s v="MUHAMMAD MANSOOR SADIQ"/>
    <s v="SUZUKI-GSX 125"/>
    <n v="12475"/>
    <n v="10254.310344827587"/>
    <n v="2.5000000000000001E-2"/>
    <n v="12475"/>
    <n v="10254.310344827587"/>
    <m/>
    <s v="23100231"/>
    <d v="2024-08-01T00:00:00"/>
    <s v="MOTORCYCLE  COMPREHENSIVE"/>
    <n v="499000"/>
    <n v="1538.1465517241379"/>
    <n v="102.54310344827587"/>
    <n v="500"/>
  </r>
  <r>
    <s v="KHI/HO/D/MO/MC COMP/P/94461/08/2024"/>
    <m/>
    <x v="1"/>
    <d v="2024-08-02T00:00:00"/>
    <d v="2025-08-02T00:00:00"/>
    <s v="IMTIAZ KHAN ABBASI"/>
    <s v="SUZUKI-GS-150"/>
    <n v="16235.000000000002"/>
    <n v="13495.689655172417"/>
    <n v="4.2500000000000003E-2"/>
    <n v="16235.000000000002"/>
    <n v="13495.689655172417"/>
    <n v="0"/>
    <s v="30092357"/>
    <d v="2024-08-02T00:00:00"/>
    <s v="MOTORCYCLE  COMPREHENSIVE"/>
    <n v="382000"/>
    <n v="2024.3534482758625"/>
    <n v="134.95689655172416"/>
    <n v="500"/>
  </r>
  <r>
    <s v="KHI/HO/D/MO/MC COMP/P/94462/08/2024"/>
    <m/>
    <x v="1"/>
    <d v="2025-08-03T00:00:00"/>
    <d v="2026-08-03T00:00:00"/>
    <s v="IMTIAZ KHAN ABBASI"/>
    <s v="SUZUKI-GS-150"/>
    <n v="16235.000000000002"/>
    <n v="13495.689655172417"/>
    <n v="4.2500000000000003E-2"/>
    <n v="16235.000000000002"/>
    <n v="13495.689655172417"/>
    <n v="0"/>
    <s v="30092357"/>
    <d v="2024-08-02T00:00:00"/>
    <s v="MOTORCYCLE  COMPREHENSIVE"/>
    <n v="382000"/>
    <n v="2024.3534482758625"/>
    <n v="134.95689655172416"/>
    <n v="500"/>
  </r>
  <r>
    <s v="KHI/HO/D/MO/MC COMP/P/94463/08/2024"/>
    <m/>
    <x v="0"/>
    <d v="2024-08-02T00:00:00"/>
    <d v="2025-08-02T00:00:00"/>
    <s v="SALMAN ALI KHAN"/>
    <s v="SUZUKI-GD-110S"/>
    <n v="14960.000000000002"/>
    <n v="12396.551724137933"/>
    <n v="4.2500000000000003E-2"/>
    <n v="14960.000000000002"/>
    <n v="12396.551724137933"/>
    <n v="0"/>
    <s v="146289"/>
    <d v="2024-08-02T00:00:00"/>
    <s v="MOTORCYCLE  COMPREHENSIVE"/>
    <n v="352000"/>
    <n v="1859.4827586206898"/>
    <n v="123.96551724137933"/>
    <n v="500"/>
  </r>
  <r>
    <s v="KHI/HO/D/MO/MC COMP/P/94464/08/2024"/>
    <m/>
    <x v="4"/>
    <d v="2024-08-02T00:00:00"/>
    <d v="2025-08-02T00:00:00"/>
    <s v="M. AHMAD NADEEM"/>
    <s v="SUZUKI-GD-110S"/>
    <n v="8800"/>
    <n v="7086.2068965517246"/>
    <n v="2.5000000000000001E-2"/>
    <n v="8800"/>
    <n v="7086.2068965517246"/>
    <m/>
    <s v="145860"/>
    <d v="2024-08-02T00:00:00"/>
    <s v="MOTORCYCLE  COMPREHENSIVE"/>
    <n v="352000"/>
    <n v="1062.9310344827586"/>
    <n v="70.862068965517253"/>
    <n v="500"/>
  </r>
  <r>
    <s v="KHI/HO/D/MO/MC COMP/P/94465/08/2024"/>
    <m/>
    <x v="0"/>
    <d v="2024-08-02T00:00:00"/>
    <d v="2025-08-02T00:00:00"/>
    <s v="KANWER REHAN ALI KHAN"/>
    <s v="SUZUKI-GSX 125"/>
    <n v="20378.75"/>
    <n v="17067.887931034486"/>
    <n v="4.2500000000000003E-2"/>
    <n v="20378.75"/>
    <n v="17067.887931034486"/>
    <n v="0"/>
    <s v="23102531"/>
    <d v="2024-08-02T00:00:00"/>
    <s v="MOTORCYCLE  COMPREHENSIVE"/>
    <n v="479500"/>
    <n v="2560.1831896551726"/>
    <n v="170.67887931034485"/>
    <n v="500"/>
  </r>
  <r>
    <s v="KHI/HO/D/MO/MC COMP/P/94467/08/2024"/>
    <m/>
    <x v="0"/>
    <d v="2024-08-02T00:00:00"/>
    <d v="2025-08-02T00:00:00"/>
    <s v="NOMAN AHMED"/>
    <s v="SUZUKI-GD-110S"/>
    <n v="14960.000000000002"/>
    <n v="12396.551724137933"/>
    <n v="4.2500000000000003E-2"/>
    <n v="14960.000000000002"/>
    <n v="12396.551724137933"/>
    <n v="0"/>
    <s v="145906"/>
    <d v="2024-08-02T00:00:00"/>
    <s v="MOTORCYCLE  COMPREHENSIVE"/>
    <n v="352000"/>
    <n v="1859.4827586206898"/>
    <n v="123.96551724137933"/>
    <n v="500"/>
  </r>
  <r>
    <s v="KHI/HO/D/MO/MC COMP/P/94468/08/2024"/>
    <m/>
    <x v="0"/>
    <d v="2025-08-03T00:00:00"/>
    <d v="2026-08-03T00:00:00"/>
    <s v="NOMAN AHMED"/>
    <s v="SUZUKI-GD-110S"/>
    <n v="14960.000000000002"/>
    <n v="12396.551724137933"/>
    <n v="4.2500000000000003E-2"/>
    <n v="14960.000000000002"/>
    <n v="12396.551724137933"/>
    <n v="0"/>
    <s v="145906"/>
    <d v="2024-08-02T00:00:00"/>
    <s v="MOTORCYCLE  COMPREHENSIVE"/>
    <n v="352000"/>
    <n v="1859.4827586206898"/>
    <n v="123.96551724137933"/>
    <n v="500"/>
  </r>
  <r>
    <s v="KHI/HO/D/MO/MC COMP/P/94469/08/2024"/>
    <m/>
    <x v="0"/>
    <d v="2024-08-02T00:00:00"/>
    <d v="2025-08-02T00:00:00"/>
    <s v="MUHAMMAD UMER AKRAM"/>
    <s v="SUZUKI-GS 150"/>
    <n v="16235.000000000002"/>
    <n v="13495.689655172417"/>
    <n v="4.2500000000000003E-2"/>
    <n v="16235.000000000002"/>
    <n v="13495.689655172417"/>
    <n v="0"/>
    <s v="30092349"/>
    <d v="2024-08-02T00:00:00"/>
    <s v="MOTORCYCLE  COMPREHENSIVE"/>
    <n v="382000"/>
    <n v="2024.3534482758625"/>
    <n v="134.95689655172416"/>
    <n v="500"/>
  </r>
  <r>
    <s v="KHI/HO/D/MO/MC COMP/P/94470/08/2024"/>
    <m/>
    <x v="0"/>
    <d v="2025-08-03T00:00:00"/>
    <d v="2026-08-03T00:00:00"/>
    <s v="MUHAMMAD UMER AKRAM"/>
    <s v="SUZUKI-GS 150"/>
    <n v="16235.000000000002"/>
    <n v="13495.689655172417"/>
    <n v="4.2500000000000003E-2"/>
    <n v="16235.000000000002"/>
    <n v="13495.689655172417"/>
    <n v="0"/>
    <s v="30092349"/>
    <d v="2024-08-02T00:00:00"/>
    <s v="MOTORCYCLE  COMPREHENSIVE"/>
    <n v="382000"/>
    <n v="2024.3534482758625"/>
    <n v="134.95689655172416"/>
    <n v="500"/>
  </r>
  <r>
    <s v="KHI/HO/D/MO/MC COMP/P/94472/08/2024"/>
    <m/>
    <x v="5"/>
    <d v="2024-08-02T00:00:00"/>
    <d v="2025-08-02T00:00:00"/>
    <s v="MUHAMMAD NADEEM"/>
    <s v="SUZUKI-GS 150"/>
    <n v="9550"/>
    <n v="7732.7586206896558"/>
    <n v="2.5000000000000001E-2"/>
    <n v="9550"/>
    <n v="7732.7586206896558"/>
    <m/>
    <s v="30092058"/>
    <d v="2024-08-02T00:00:00"/>
    <s v="MOTORCYCLE  COMPREHENSIVE"/>
    <n v="382000"/>
    <n v="1159.9137931034484"/>
    <n v="77.327586206896555"/>
    <n v="500"/>
  </r>
  <r>
    <s v="KHI/HO/D/MO/MC COMP/P/94473/08/2024"/>
    <m/>
    <x v="0"/>
    <d v="2024-08-02T00:00:00"/>
    <d v="2025-08-02T00:00:00"/>
    <s v="AWAIS JAMAL"/>
    <s v="SUZUKI-GD-110S"/>
    <n v="14960.000000000002"/>
    <n v="12396.551724137933"/>
    <n v="4.2500000000000003E-2"/>
    <n v="14960.000000000002"/>
    <n v="12396.551724137933"/>
    <n v="0"/>
    <s v="145896"/>
    <d v="2024-08-02T00:00:00"/>
    <s v="MOTORCYCLE  COMPREHENSIVE"/>
    <n v="352000"/>
    <n v="1859.4827586206898"/>
    <n v="123.96551724137933"/>
    <n v="500"/>
  </r>
  <r>
    <s v="KHI/HO/D/MO/MC COMP/P/94474/08/2024"/>
    <m/>
    <x v="0"/>
    <d v="2025-08-03T00:00:00"/>
    <d v="2026-08-03T00:00:00"/>
    <s v="AWAIS JAMAL"/>
    <s v="SUZUKI-GD-110S"/>
    <n v="14960.000000000002"/>
    <n v="12396.551724137933"/>
    <n v="4.2500000000000003E-2"/>
    <n v="14960.000000000002"/>
    <n v="12396.551724137933"/>
    <n v="0"/>
    <s v="145896"/>
    <d v="2024-08-02T00:00:00"/>
    <s v="MOTORCYCLE  COMPREHENSIVE"/>
    <n v="352000"/>
    <n v="1859.4827586206898"/>
    <n v="123.96551724137933"/>
    <n v="500"/>
  </r>
  <r>
    <s v="KHI/HO/D/MO/MC COMP/P/94475/08/2024"/>
    <m/>
    <x v="0"/>
    <d v="2024-08-02T00:00:00"/>
    <d v="2025-08-02T00:00:00"/>
    <s v="ZUBAIR ADIL"/>
    <s v="SUZUKI-GR150 EURO II"/>
    <n v="23247.5"/>
    <n v="19540.948275862069"/>
    <n v="4.2500000000000003E-2"/>
    <n v="23247.5"/>
    <n v="19540.948275862069"/>
    <n v="0"/>
    <s v="113485"/>
    <d v="2024-08-02T00:00:00"/>
    <s v="MOTORCYCLE  COMPREHENSIVE"/>
    <n v="547000"/>
    <n v="2931.1422413793102"/>
    <n v="195.4094827586207"/>
    <n v="500"/>
  </r>
  <r>
    <s v="KHI/HO/D/MO/MC COMP/P/94476/08/2024"/>
    <m/>
    <x v="0"/>
    <d v="2025-08-03T00:00:00"/>
    <d v="2026-08-03T00:00:00"/>
    <s v="ZUBAIR ADIL"/>
    <s v="SUZUKI-GR150 EURO II"/>
    <n v="23247.5"/>
    <n v="19540.948275862069"/>
    <n v="4.2500000000000003E-2"/>
    <n v="23247.5"/>
    <n v="19540.948275862069"/>
    <n v="0"/>
    <s v="113485"/>
    <d v="2024-08-02T00:00:00"/>
    <s v="MOTORCYCLE  COMPREHENSIVE"/>
    <n v="547000"/>
    <n v="2931.1422413793102"/>
    <n v="195.4094827586207"/>
    <n v="500"/>
  </r>
  <r>
    <s v="KHI/HO/D/MO/MC COMP/P/94486/08/2024"/>
    <m/>
    <x v="2"/>
    <d v="2024-08-02T00:00:00"/>
    <d v="2025-08-02T00:00:00"/>
    <s v="MAHRUKH PACKAGES (Pvt) Ltd."/>
    <s v="SUZUKI-GS 150"/>
    <n v="16235.000000000002"/>
    <n v="13495.689655172417"/>
    <n v="4.2500000000000003E-2"/>
    <n v="16235.000000000002"/>
    <n v="13495.689655172417"/>
    <n v="0"/>
    <s v="30092414"/>
    <d v="2024-08-02T00:00:00"/>
    <s v="MOTORCYCLE  COMPREHENSIVE"/>
    <n v="382000"/>
    <n v="2024.3534482758625"/>
    <n v="134.95689655172416"/>
    <n v="500"/>
  </r>
  <r>
    <s v="KHI/HO/D/MO/MC COMP/P/94492/08/2024"/>
    <m/>
    <x v="6"/>
    <d v="2024-08-02T00:00:00"/>
    <d v="2025-08-02T00:00:00"/>
    <s v="ABDUL HAMEED"/>
    <s v="SUZUKI-GS 150"/>
    <n v="16235.000000000002"/>
    <n v="13495.689655172417"/>
    <n v="4.2500000000000003E-2"/>
    <n v="16235.000000000002"/>
    <n v="13495.689655172417"/>
    <n v="0"/>
    <s v="30092360"/>
    <d v="2024-08-02T00:00:00"/>
    <s v="MOTORCYCLE  COMPREHENSIVE"/>
    <n v="382000"/>
    <n v="2024.3534482758625"/>
    <n v="134.95689655172416"/>
    <n v="500"/>
  </r>
  <r>
    <s v="KHI/HO/D/MO/MC COMP/P/94493/08/2024"/>
    <m/>
    <x v="6"/>
    <d v="2025-08-03T00:00:00"/>
    <d v="2026-08-03T00:00:00"/>
    <s v="ABDUL HAMEED"/>
    <s v="SUZUKI-GS 150"/>
    <n v="16235.000000000002"/>
    <n v="13495.689655172417"/>
    <n v="4.2500000000000003E-2"/>
    <n v="16235.000000000002"/>
    <n v="13495.689655172417"/>
    <n v="0"/>
    <s v="30092360"/>
    <d v="2024-08-02T00:00:00"/>
    <s v="MOTORCYCLE  COMPREHENSIVE"/>
    <n v="382000"/>
    <n v="2024.3534482758625"/>
    <n v="134.95689655172416"/>
    <n v="500"/>
  </r>
  <r>
    <s v="KHI/HO/D/MO/MC COMP/P/94497/08/2024"/>
    <m/>
    <x v="7"/>
    <d v="2024-08-02T00:00:00"/>
    <d v="2025-08-02T00:00:00"/>
    <s v="AFTIKHAR HUSSAIN"/>
    <s v="SUZUKI-GD-110S"/>
    <n v="14960.000000000002"/>
    <n v="12396.551724137933"/>
    <n v="4.2500000000000003E-2"/>
    <n v="14960.000000000002"/>
    <n v="12396.551724137933"/>
    <n v="0"/>
    <s v="145953"/>
    <d v="2024-08-02T00:00:00"/>
    <s v="MOTORCYCLE  COMPREHENSIVE"/>
    <n v="352000"/>
    <n v="1859.4827586206898"/>
    <n v="123.96551724137933"/>
    <n v="500"/>
  </r>
  <r>
    <s v="KHI/HO/D/MO/MC COMP/P/94498/08/2024"/>
    <m/>
    <x v="7"/>
    <d v="2025-08-03T00:00:00"/>
    <d v="2026-08-03T00:00:00"/>
    <s v="AFTIKHAR HUSSAIN"/>
    <s v="SUZUKI-GD-110S"/>
    <n v="14960.000000000002"/>
    <n v="12396.551724137933"/>
    <n v="4.2500000000000003E-2"/>
    <n v="14960.000000000002"/>
    <n v="12396.551724137933"/>
    <n v="0"/>
    <s v="145953"/>
    <d v="2024-08-02T00:00:00"/>
    <s v="MOTORCYCLE  COMPREHENSIVE"/>
    <n v="352000"/>
    <n v="1859.4827586206898"/>
    <n v="123.96551724137933"/>
    <n v="500"/>
  </r>
  <r>
    <s v="KHI/HO/D/MO/MC COMP/P/94510/08/2024"/>
    <m/>
    <x v="0"/>
    <d v="2024-08-02T00:00:00"/>
    <d v="2025-08-02T00:00:00"/>
    <s v="MUHAMMAD USMAN KHAN"/>
    <s v="SUZUKI-GR150 EURO II"/>
    <n v="23247.5"/>
    <n v="19540.948275862069"/>
    <n v="4.2500000000000003E-2"/>
    <n v="23247.5"/>
    <n v="19540.948275862069"/>
    <n v="0"/>
    <s v="113481"/>
    <d v="2024-08-02T00:00:00"/>
    <s v="MOTORCYCLE  COMPREHENSIVE"/>
    <n v="547000"/>
    <n v="2931.1422413793102"/>
    <n v="195.4094827586207"/>
    <n v="500"/>
  </r>
  <r>
    <s v="KHI/HO/D/MO/MC COMP/P/94511/08/2024"/>
    <m/>
    <x v="0"/>
    <d v="2025-08-03T00:00:00"/>
    <d v="2026-08-03T00:00:00"/>
    <s v="MUHAMMAD USMAN KHAN"/>
    <s v="SUZUKI-GR150 EURO II"/>
    <n v="23247.5"/>
    <n v="19540.948275862069"/>
    <n v="4.2500000000000003E-2"/>
    <n v="23247.5"/>
    <n v="19540.948275862069"/>
    <n v="0"/>
    <s v="113481"/>
    <d v="2024-08-02T00:00:00"/>
    <s v="MOTORCYCLE  COMPREHENSIVE"/>
    <n v="547000"/>
    <n v="2931.1422413793102"/>
    <n v="195.4094827586207"/>
    <n v="500"/>
  </r>
  <r>
    <s v="KHI/HO/D/MO/MC COMP/P/94515/08/2024"/>
    <m/>
    <x v="8"/>
    <d v="2024-08-02T00:00:00"/>
    <d v="2025-08-02T00:00:00"/>
    <s v="Muhammad Numan Khan"/>
    <s v="SUZUKI-GR150 EURO II"/>
    <n v="13675"/>
    <n v="11288.793103448277"/>
    <n v="2.5000000000000001E-2"/>
    <n v="13675"/>
    <n v="11288.793103448277"/>
    <m/>
    <s v="113256"/>
    <d v="2024-08-02T00:00:00"/>
    <s v="MOTORCYCLE  COMPREHENSIVE"/>
    <n v="547000"/>
    <n v="1693.3189655172414"/>
    <n v="112.88793103448278"/>
    <n v="500"/>
  </r>
  <r>
    <s v="KHI/HO/D/MO/MC COMP/P/94516/08/2024"/>
    <m/>
    <x v="0"/>
    <d v="2024-08-02T00:00:00"/>
    <d v="2025-08-02T00:00:00"/>
    <s v="WAQAR AHMED SIDDIQUI"/>
    <s v="SUZUKI-GR150 EURO II"/>
    <n v="23247.5"/>
    <n v="19540.948275862069"/>
    <n v="4.2500000000000003E-2"/>
    <n v="23247.5"/>
    <n v="19540.948275862069"/>
    <n v="0"/>
    <s v="113496"/>
    <d v="2024-08-02T00:00:00"/>
    <s v="MOTORCYCLE  COMPREHENSIVE"/>
    <n v="547000"/>
    <n v="2931.1422413793102"/>
    <n v="195.4094827586207"/>
    <n v="500"/>
  </r>
  <r>
    <s v="KHI/HO/D/MO/MC COMP/P/94517/08/2024"/>
    <m/>
    <x v="0"/>
    <d v="2025-08-03T00:00:00"/>
    <d v="2026-08-03T00:00:00"/>
    <s v="WAQAR AHMED SIDDIQUI"/>
    <s v="SUZUKI-GR150 EURO II"/>
    <n v="23247.5"/>
    <n v="19540.948275862069"/>
    <n v="4.2500000000000003E-2"/>
    <n v="23247.5"/>
    <n v="19540.948275862069"/>
    <n v="0"/>
    <s v="113496"/>
    <d v="2024-08-02T00:00:00"/>
    <s v="MOTORCYCLE  COMPREHENSIVE"/>
    <n v="547000"/>
    <n v="2931.1422413793102"/>
    <n v="195.4094827586207"/>
    <n v="500"/>
  </r>
  <r>
    <s v="KHI/HO/D/MO/MC COMP/P/94518/08/2024"/>
    <m/>
    <x v="6"/>
    <d v="2024-08-02T00:00:00"/>
    <d v="2025-08-02T00:00:00"/>
    <s v="S M NOMAN TAHIR"/>
    <s v="SUZUKI-GR150 EURO II"/>
    <n v="23247.5"/>
    <n v="19540.948275862069"/>
    <n v="4.2500000000000003E-2"/>
    <n v="23247.5"/>
    <n v="19540.948275862069"/>
    <n v="0"/>
    <s v="113457"/>
    <d v="2024-08-02T00:00:00"/>
    <s v="MOTORCYCLE  COMPREHENSIVE"/>
    <n v="547000"/>
    <n v="2931.1422413793102"/>
    <n v="195.4094827586207"/>
    <n v="500"/>
  </r>
  <r>
    <s v="KHI/HO/D/MO/MC COMP/P/94519/08/2024"/>
    <m/>
    <x v="6"/>
    <d v="2025-08-03T00:00:00"/>
    <d v="2026-08-03T00:00:00"/>
    <s v="S M NOMAN TAHIR"/>
    <s v="SUZUKI-GR150 EURO II"/>
    <n v="23247.5"/>
    <n v="19540.948275862069"/>
    <n v="4.2500000000000003E-2"/>
    <n v="23247.5"/>
    <n v="19540.948275862069"/>
    <n v="0"/>
    <s v="113457"/>
    <d v="2024-08-02T00:00:00"/>
    <s v="MOTORCYCLE  COMPREHENSIVE"/>
    <n v="547000"/>
    <n v="2931.1422413793102"/>
    <n v="195.4094827586207"/>
    <n v="500"/>
  </r>
  <r>
    <s v="KHI/HO/D/MO/MC COMP/P/94520/08/2024"/>
    <m/>
    <x v="1"/>
    <d v="2024-08-02T00:00:00"/>
    <d v="2025-08-02T00:00:00"/>
    <s v="MUHAMMAD WAQAS"/>
    <s v="SUZUKI-GD-110S"/>
    <n v="14960.000000000002"/>
    <n v="12396.551724137933"/>
    <n v="4.2500000000000003E-2"/>
    <n v="14960.000000000002"/>
    <n v="12396.551724137933"/>
    <n v="0"/>
    <s v="146408"/>
    <d v="2024-08-02T00:00:00"/>
    <s v="MOTORCYCLE  COMPREHENSIVE"/>
    <n v="352000"/>
    <n v="1859.4827586206898"/>
    <n v="123.96551724137933"/>
    <n v="500"/>
  </r>
  <r>
    <s v="KHI/HO/D/MO/MC COMP/P/94521/08/2024"/>
    <m/>
    <x v="6"/>
    <d v="2024-08-02T00:00:00"/>
    <d v="2025-08-02T00:00:00"/>
    <s v="S M FAISAL BUKHARI"/>
    <s v="SUZUKI-GD-110S"/>
    <n v="14960.000000000002"/>
    <n v="12396.551724137933"/>
    <n v="4.2500000000000003E-2"/>
    <n v="14960.000000000002"/>
    <n v="12396.551724137933"/>
    <n v="0"/>
    <s v="146380"/>
    <d v="2024-08-02T00:00:00"/>
    <s v="MOTORCYCLE  COMPREHENSIVE"/>
    <n v="352000"/>
    <n v="1859.4827586206898"/>
    <n v="123.96551724137933"/>
    <n v="500"/>
  </r>
  <r>
    <s v="KHI/HO/D/MO/MC COMP/P/94522/08/2024"/>
    <m/>
    <x v="6"/>
    <d v="2025-08-03T00:00:00"/>
    <d v="2026-08-03T00:00:00"/>
    <s v="S M FAISAL BUKHARI"/>
    <s v="SUZUKI-GD-110S"/>
    <n v="14960.000000000002"/>
    <n v="12396.551724137933"/>
    <n v="4.2500000000000003E-2"/>
    <n v="14960.000000000002"/>
    <n v="12396.551724137933"/>
    <n v="0"/>
    <s v="146380"/>
    <d v="2024-08-02T00:00:00"/>
    <s v="MOTORCYCLE  COMPREHENSIVE"/>
    <n v="352000"/>
    <n v="1859.4827586206898"/>
    <n v="123.96551724137933"/>
    <n v="500"/>
  </r>
  <r>
    <s v="KHI/HO/D/MO/MC COMP/P/94523/08/2024"/>
    <m/>
    <x v="1"/>
    <d v="2024-08-02T00:00:00"/>
    <d v="2025-08-02T00:00:00"/>
    <s v="KAMRAN"/>
    <s v="SUZUKI-GD-110S"/>
    <n v="14960.000000000002"/>
    <n v="12396.551724137933"/>
    <n v="4.2500000000000003E-2"/>
    <n v="14960.000000000002"/>
    <n v="12396.551724137933"/>
    <n v="0"/>
    <s v="146412"/>
    <d v="2024-08-02T00:00:00"/>
    <s v="MOTORCYCLE  COMPREHENSIVE"/>
    <n v="352000"/>
    <n v="1859.4827586206898"/>
    <n v="123.96551724137933"/>
    <n v="500"/>
  </r>
  <r>
    <s v="KHI/HO/D/MO/MC COMP/P/94524/08/2024"/>
    <m/>
    <x v="1"/>
    <d v="2025-08-03T00:00:00"/>
    <d v="2026-08-03T00:00:00"/>
    <s v="KAMRAN"/>
    <s v="SUZUKI-GD-110S"/>
    <n v="14960.000000000002"/>
    <n v="12396.551724137933"/>
    <n v="4.2500000000000003E-2"/>
    <n v="14960.000000000002"/>
    <n v="12396.551724137933"/>
    <n v="0"/>
    <s v="146412"/>
    <d v="2024-08-02T00:00:00"/>
    <s v="MOTORCYCLE  COMPREHENSIVE"/>
    <n v="352000"/>
    <n v="1859.4827586206898"/>
    <n v="123.96551724137933"/>
    <n v="500"/>
  </r>
  <r>
    <s v="KHI/HO/D/MO/MC COMP/P/94525/08/2024"/>
    <m/>
    <x v="1"/>
    <d v="2024-08-02T00:00:00"/>
    <d v="2025-08-02T00:00:00"/>
    <s v="MUHAMMAD RAFIQUE"/>
    <s v="SUZUKI-GD-110S"/>
    <n v="14960.000000000002"/>
    <n v="12396.551724137933"/>
    <n v="4.2500000000000003E-2"/>
    <n v="14960.000000000002"/>
    <n v="12396.551724137933"/>
    <n v="0"/>
    <s v="146413"/>
    <d v="2024-08-02T00:00:00"/>
    <s v="MOTORCYCLE  COMPREHENSIVE"/>
    <n v="352000"/>
    <n v="1859.4827586206898"/>
    <n v="123.96551724137933"/>
    <n v="500"/>
  </r>
  <r>
    <s v="KHI/HO/D/MO/MC COMP/P/94526/08/2024"/>
    <m/>
    <x v="6"/>
    <d v="2024-08-02T00:00:00"/>
    <d v="2025-08-02T00:00:00"/>
    <s v="M Rehan"/>
    <s v="SUZUKI-GR150 EURO II"/>
    <n v="23247.5"/>
    <n v="19540.948275862069"/>
    <n v="4.2500000000000003E-2"/>
    <n v="23247.5"/>
    <n v="19540.948275862069"/>
    <n v="0"/>
    <s v="113278"/>
    <d v="2024-08-02T00:00:00"/>
    <s v="MOTORCYCLE  COMPREHENSIVE"/>
    <n v="547000"/>
    <n v="2931.1422413793102"/>
    <n v="195.4094827586207"/>
    <n v="500"/>
  </r>
  <r>
    <s v="KHI/HO/D/MO/MC COMP/P/94527/08/2024"/>
    <m/>
    <x v="6"/>
    <d v="2025-08-03T00:00:00"/>
    <d v="2026-08-03T00:00:00"/>
    <s v="M Rehan"/>
    <s v="SUZUKI-GR150 EURO II"/>
    <n v="23247.5"/>
    <n v="19540.948275862069"/>
    <n v="4.2500000000000003E-2"/>
    <n v="23247.5"/>
    <n v="19540.948275862069"/>
    <n v="0"/>
    <s v="113278"/>
    <d v="2024-08-02T00:00:00"/>
    <s v="MOTORCYCLE  COMPREHENSIVE"/>
    <n v="547000"/>
    <n v="2931.1422413793102"/>
    <n v="195.4094827586207"/>
    <n v="500"/>
  </r>
  <r>
    <s v="KHI/HO/D/MO/MC COMP/P/94528/08/2024"/>
    <m/>
    <x v="9"/>
    <d v="2024-08-03T00:00:00"/>
    <d v="2025-08-03T00:00:00"/>
    <s v="MIRZA ABDUL GHAFOOR S/O MIRZA ALLAH DITTA"/>
    <s v="SUZUKI-GD-110S"/>
    <n v="8800"/>
    <n v="7086.2068965517246"/>
    <n v="2.5000000000000001E-2"/>
    <n v="8800"/>
    <n v="7086.2068965517246"/>
    <m/>
    <s v="144706"/>
    <d v="2024-08-03T00:00:00"/>
    <s v="MOTORCYCLE  COMPREHENSIVE"/>
    <n v="352000"/>
    <n v="1062.9310344827586"/>
    <n v="70.862068965517253"/>
    <n v="500"/>
  </r>
  <r>
    <s v="KHI/HO/D/MO/MC COMP/P/94529/08/2024"/>
    <m/>
    <x v="2"/>
    <d v="2024-08-03T00:00:00"/>
    <d v="2025-08-03T00:00:00"/>
    <s v="SHAHAB UDDIN"/>
    <s v="SUZUKI-GS-150"/>
    <n v="16235.000000000002"/>
    <n v="13495.689655172417"/>
    <n v="4.2500000000000003E-2"/>
    <n v="16235.000000000002"/>
    <n v="13495.689655172417"/>
    <n v="0"/>
    <s v="30092412"/>
    <d v="2024-08-03T00:00:00"/>
    <s v="MOTORCYCLE  COMPREHENSIVE"/>
    <n v="382000"/>
    <n v="2024.3534482758625"/>
    <n v="134.95689655172416"/>
    <n v="500"/>
  </r>
  <r>
    <s v="KHI/HO/D/MO/MC COMP/P/94530/08/2024"/>
    <m/>
    <x v="2"/>
    <d v="2024-08-03T00:00:00"/>
    <d v="2025-08-03T00:00:00"/>
    <s v="SHAHZAIB GHAFOOR"/>
    <s v="SUZUKI-GR150 EURO II"/>
    <n v="23247.5"/>
    <n v="19540.948275862069"/>
    <n v="4.2500000000000003E-2"/>
    <n v="23247.5"/>
    <n v="19540.948275862069"/>
    <n v="0"/>
    <s v="113496"/>
    <d v="2024-08-03T00:00:00"/>
    <s v="MOTORCYCLE  COMPREHENSIVE"/>
    <n v="547000"/>
    <n v="2931.1422413793102"/>
    <n v="195.4094827586207"/>
    <n v="500"/>
  </r>
  <r>
    <s v="KHI/HO/D/MO/MC COMP/P/94531/08/2024"/>
    <m/>
    <x v="0"/>
    <d v="2024-08-03T00:00:00"/>
    <d v="2025-08-03T00:00:00"/>
    <s v="MUHAMMAD FAYYAZ"/>
    <s v="SUZUKI-GD-110S"/>
    <n v="14960.000000000002"/>
    <n v="12396.551724137933"/>
    <n v="4.2500000000000003E-2"/>
    <n v="14960.000000000002"/>
    <n v="12396.551724137933"/>
    <n v="0"/>
    <s v="145783"/>
    <d v="2024-08-03T00:00:00"/>
    <s v="MOTORCYCLE  COMPREHENSIVE"/>
    <n v="352000"/>
    <n v="1859.4827586206898"/>
    <n v="123.96551724137933"/>
    <n v="500"/>
  </r>
  <r>
    <s v="KHI/HO/D/MO/MC COMP/P/94532/08/2024"/>
    <m/>
    <x v="0"/>
    <d v="2025-08-04T00:00:00"/>
    <d v="2026-08-04T00:00:00"/>
    <s v="MUHAMMAD FAYYAZ"/>
    <s v="SUZUKI-GD-110S"/>
    <n v="14960.000000000002"/>
    <n v="12396.551724137933"/>
    <n v="4.2500000000000003E-2"/>
    <n v="14960.000000000002"/>
    <n v="12396.551724137933"/>
    <n v="0"/>
    <s v="145783"/>
    <d v="2024-08-03T00:00:00"/>
    <s v="MOTORCYCLE  COMPREHENSIVE"/>
    <n v="352000"/>
    <n v="1859.4827586206898"/>
    <n v="123.96551724137933"/>
    <n v="500"/>
  </r>
  <r>
    <s v="KHI/HO/D/MO/MC COMP/P/94533/08/2024"/>
    <m/>
    <x v="9"/>
    <d v="2024-08-03T00:00:00"/>
    <d v="2025-08-03T00:00:00"/>
    <s v="AZIZ UR REHMAN S/O MUHAMMAD AKRAM"/>
    <s v="SUZUKI-GD-110S"/>
    <n v="8800"/>
    <n v="7086.2068965517246"/>
    <n v="2.5000000000000001E-2"/>
    <n v="8800"/>
    <n v="7086.2068965517246"/>
    <m/>
    <s v="143880"/>
    <d v="2024-08-03T00:00:00"/>
    <s v="MOTORCYCLE  COMPREHENSIVE"/>
    <n v="352000"/>
    <n v="1062.9310344827586"/>
    <n v="70.862068965517253"/>
    <n v="500"/>
  </r>
  <r>
    <s v="KHI/HO/D/MO/MC COMP/P/94536/08/2024"/>
    <m/>
    <x v="9"/>
    <d v="2024-08-03T00:00:00"/>
    <d v="2025-08-03T00:00:00"/>
    <s v="ABDUL MANAN S/O"/>
    <s v="SUZUKI-GR150 EURO II"/>
    <n v="13675"/>
    <n v="11288.793103448277"/>
    <n v="2.5000000000000001E-2"/>
    <n v="13675"/>
    <n v="11288.793103448277"/>
    <m/>
    <s v="113140"/>
    <d v="2024-08-03T00:00:00"/>
    <s v="MOTORCYCLE  COMPREHENSIVE"/>
    <n v="547000"/>
    <n v="1693.3189655172414"/>
    <n v="112.88793103448278"/>
    <n v="500"/>
  </r>
  <r>
    <s v="KHI/HO/D/MO/MC COMP/P/94537/08/2024"/>
    <m/>
    <x v="1"/>
    <d v="2024-08-03T00:00:00"/>
    <d v="2025-08-03T00:00:00"/>
    <s v="MUHAMMAD OWAIS KHAN"/>
    <s v="SUZUKI-GD-110S"/>
    <n v="14960.000000000002"/>
    <n v="12396.551724137933"/>
    <n v="4.2500000000000003E-2"/>
    <n v="14960.000000000002"/>
    <n v="12396.551724137933"/>
    <n v="0"/>
    <s v="146407"/>
    <d v="2024-08-03T00:00:00"/>
    <s v="MOTORCYCLE  COMPREHENSIVE"/>
    <n v="352000"/>
    <n v="1859.4827586206898"/>
    <n v="123.96551724137933"/>
    <n v="500"/>
  </r>
  <r>
    <s v="KHI/HO/D/MO/MC COMP/P/94538/08/2024"/>
    <m/>
    <x v="10"/>
    <d v="2024-08-03T00:00:00"/>
    <d v="2025-08-03T00:00:00"/>
    <s v="RAKSHAN ALI"/>
    <s v="SUZUKI-GR150 EURO II"/>
    <n v="23247.5"/>
    <n v="19540.948275862069"/>
    <n v="4.2500000000000003E-2"/>
    <n v="23247.5"/>
    <n v="19540.948275862069"/>
    <n v="0"/>
    <s v="113489"/>
    <d v="2024-08-03T00:00:00"/>
    <s v="MOTORCYCLE  COMPREHENSIVE"/>
    <n v="547000"/>
    <n v="2931.1422413793102"/>
    <n v="195.4094827586207"/>
    <n v="500"/>
  </r>
  <r>
    <s v="KHI/HO/D/MO/MC COMP/P/94539/08/2024"/>
    <m/>
    <x v="10"/>
    <d v="2025-08-04T00:00:00"/>
    <d v="2026-08-04T00:00:00"/>
    <s v="RAKSHAN ALI"/>
    <s v="SUZUKI-GR150 EURO II"/>
    <n v="23247.5"/>
    <n v="19540.948275862069"/>
    <n v="4.2500000000000003E-2"/>
    <n v="23247.5"/>
    <n v="19540.948275862069"/>
    <n v="0"/>
    <s v="113489"/>
    <d v="2024-08-03T00:00:00"/>
    <s v="MOTORCYCLE  COMPREHENSIVE"/>
    <n v="547000"/>
    <n v="2931.1422413793102"/>
    <n v="195.4094827586207"/>
    <n v="500"/>
  </r>
  <r>
    <s v="KHI/HO/D/MO/MC COMP/P/94541/08/2024"/>
    <m/>
    <x v="10"/>
    <d v="2024-08-03T00:00:00"/>
    <d v="2025-08-03T00:00:00"/>
    <s v="ABEER MASHOOD ARFEN"/>
    <s v="SUZUKI-GD-110S"/>
    <n v="14960.000000000002"/>
    <n v="12396.551724137933"/>
    <n v="4.2500000000000003E-2"/>
    <n v="14960.000000000002"/>
    <n v="12396.551724137933"/>
    <n v="0"/>
    <s v="146391"/>
    <d v="2024-08-03T00:00:00"/>
    <s v="MOTORCYCLE  COMPREHENSIVE"/>
    <n v="352000"/>
    <n v="1859.4827586206898"/>
    <n v="123.96551724137933"/>
    <n v="500"/>
  </r>
  <r>
    <s v="KHI/HO/D/MO/MC COMP/P/94542/08/2024"/>
    <m/>
    <x v="0"/>
    <d v="2024-08-03T00:00:00"/>
    <d v="2025-08-03T00:00:00"/>
    <s v="MUHAMMAD NAEEM KHAN AFRIDI"/>
    <s v="SUZUKI-GS 150"/>
    <n v="16235.000000000002"/>
    <n v="13495.689655172417"/>
    <n v="4.2500000000000003E-2"/>
    <n v="16235.000000000002"/>
    <n v="13495.689655172417"/>
    <n v="0"/>
    <s v="30092309"/>
    <d v="2024-08-03T00:00:00"/>
    <s v="MOTORCYCLE  COMPREHENSIVE"/>
    <n v="382000"/>
    <n v="2024.3534482758625"/>
    <n v="134.95689655172416"/>
    <n v="500"/>
  </r>
  <r>
    <s v="KHI/HO/D/MO/MC COMP/P/94543/08/2024"/>
    <m/>
    <x v="1"/>
    <d v="2024-08-03T00:00:00"/>
    <d v="2025-08-03T00:00:00"/>
    <s v="BABER HANIF"/>
    <s v="SUZUKI-GR150 EURO II"/>
    <n v="23247.5"/>
    <n v="19540.948275862069"/>
    <n v="4.2500000000000003E-2"/>
    <n v="23247.5"/>
    <n v="19540.948275862069"/>
    <n v="0"/>
    <s v="113494"/>
    <d v="2024-08-03T00:00:00"/>
    <s v="MOTORCYCLE  COMPREHENSIVE"/>
    <n v="547000"/>
    <n v="2931.1422413793102"/>
    <n v="195.4094827586207"/>
    <n v="500"/>
  </r>
  <r>
    <s v="KHI/HO/D/MO/MC COMP/P/94544/08/2024"/>
    <m/>
    <x v="1"/>
    <d v="2025-08-04T00:00:00"/>
    <d v="2026-08-04T00:00:00"/>
    <s v="BABER HANIF"/>
    <s v="SUZUKI-GR150 EURO II"/>
    <n v="23247.5"/>
    <n v="19540.948275862069"/>
    <n v="4.2500000000000003E-2"/>
    <n v="23247.5"/>
    <n v="19540.948275862069"/>
    <n v="0"/>
    <s v="113494"/>
    <d v="2024-08-03T00:00:00"/>
    <s v="MOTORCYCLE  COMPREHENSIVE"/>
    <n v="547000"/>
    <n v="2931.1422413793102"/>
    <n v="195.4094827586207"/>
    <n v="500"/>
  </r>
  <r>
    <s v="KHI/HO/D/MO/MC COMP/P/94545/08/2024"/>
    <m/>
    <x v="10"/>
    <d v="2024-08-03T00:00:00"/>
    <d v="2025-08-03T00:00:00"/>
    <s v="AZHAR AYUB"/>
    <s v="SUZUKI-GS 150"/>
    <n v="16235.000000000002"/>
    <n v="13495.689655172417"/>
    <n v="4.2500000000000003E-2"/>
    <n v="16235.000000000002"/>
    <n v="13495.689655172417"/>
    <n v="0"/>
    <s v="30092351"/>
    <d v="2024-08-03T00:00:00"/>
    <s v="MOTORCYCLE  COMPREHENSIVE"/>
    <n v="382000"/>
    <n v="2024.3534482758625"/>
    <n v="134.95689655172416"/>
    <n v="500"/>
  </r>
  <r>
    <s v="KHI/HO/D/MO/MC COMP/P/94546/08/2024"/>
    <m/>
    <x v="0"/>
    <d v="2024-08-03T00:00:00"/>
    <d v="2025-08-03T00:00:00"/>
    <s v="M. AZEEM IQBAL"/>
    <s v="SUZUKI-GD-110S"/>
    <n v="14960.000000000002"/>
    <n v="12396.551724137933"/>
    <n v="4.2500000000000003E-2"/>
    <n v="14960.000000000002"/>
    <n v="12396.551724137933"/>
    <n v="0"/>
    <s v="146187"/>
    <d v="2024-08-03T00:00:00"/>
    <s v="MOTORCYCLE  COMPREHENSIVE"/>
    <n v="352000"/>
    <n v="1859.4827586206898"/>
    <n v="123.96551724137933"/>
    <n v="500"/>
  </r>
  <r>
    <s v="KHI/HO/D/MO/MC COMP/P/94547/08/2024"/>
    <m/>
    <x v="0"/>
    <d v="2025-08-04T00:00:00"/>
    <d v="2026-08-04T00:00:00"/>
    <s v="M. AZEEM IQBAL"/>
    <s v="SUZUKI-GD-110S"/>
    <n v="14960.000000000002"/>
    <n v="12396.551724137933"/>
    <n v="4.2500000000000003E-2"/>
    <n v="14960.000000000002"/>
    <n v="12396.551724137933"/>
    <n v="0"/>
    <s v="146187"/>
    <d v="2024-08-03T00:00:00"/>
    <s v="MOTORCYCLE  COMPREHENSIVE"/>
    <n v="352000"/>
    <n v="1859.4827586206898"/>
    <n v="123.96551724137933"/>
    <n v="500"/>
  </r>
  <r>
    <s v="KHI/HO/D/MO/MC COMP/P/94548/08/2024"/>
    <m/>
    <x v="10"/>
    <d v="2024-08-03T00:00:00"/>
    <d v="2025-08-03T00:00:00"/>
    <s v="SAMI UR REHMAN"/>
    <s v="SUZUKI-GS 150"/>
    <n v="16235.000000000002"/>
    <n v="13495.689655172417"/>
    <n v="4.2500000000000003E-2"/>
    <n v="16235.000000000002"/>
    <n v="13495.689655172417"/>
    <n v="0"/>
    <s v="30092356"/>
    <d v="2024-08-03T00:00:00"/>
    <s v="MOTORCYCLE  COMPREHENSIVE"/>
    <n v="382000"/>
    <n v="2024.3534482758625"/>
    <n v="134.95689655172416"/>
    <n v="500"/>
  </r>
  <r>
    <s v="KHI/HO/D/MO/MC COMP/P/94549/08/2024"/>
    <m/>
    <x v="10"/>
    <d v="2025-08-04T00:00:00"/>
    <d v="2026-08-04T00:00:00"/>
    <s v="SAMI UR REHMAN"/>
    <s v="SUZUKI-GS 150"/>
    <n v="16235.000000000002"/>
    <n v="13495.689655172417"/>
    <n v="4.2500000000000003E-2"/>
    <n v="16235.000000000002"/>
    <n v="13495.689655172417"/>
    <n v="0"/>
    <s v="30092356"/>
    <d v="2024-08-03T00:00:00"/>
    <s v="MOTORCYCLE  COMPREHENSIVE"/>
    <n v="382000"/>
    <n v="2024.3534482758625"/>
    <n v="134.95689655172416"/>
    <n v="500"/>
  </r>
  <r>
    <s v="KHI/HO/D/MO/MC COMP/P/94550/08/2024"/>
    <m/>
    <x v="7"/>
    <d v="2024-08-03T00:00:00"/>
    <d v="2025-08-03T00:00:00"/>
    <s v="ADIL KHAN"/>
    <s v="SUZUKI-GS 150"/>
    <n v="16235.000000000002"/>
    <n v="13495.689655172417"/>
    <n v="4.2500000000000003E-2"/>
    <n v="16235.000000000002"/>
    <n v="13495.689655172417"/>
    <n v="0"/>
    <s v="30092436"/>
    <d v="2024-08-03T00:00:00"/>
    <s v="MOTORCYCLE  COMPREHENSIVE"/>
    <n v="382000"/>
    <n v="2024.3534482758625"/>
    <n v="134.95689655172416"/>
    <n v="500"/>
  </r>
  <r>
    <s v="KHI/HO/D/MO/MC COMP/P/94551/08/2024"/>
    <m/>
    <x v="7"/>
    <d v="2025-08-04T00:00:00"/>
    <d v="2026-08-04T00:00:00"/>
    <s v="ADIL KHAN"/>
    <s v="SUZUKI-GS 150"/>
    <n v="16235.000000000002"/>
    <n v="13495.689655172417"/>
    <n v="4.2500000000000003E-2"/>
    <n v="16235.000000000002"/>
    <n v="13495.689655172417"/>
    <n v="0"/>
    <s v="30092436"/>
    <d v="2024-08-03T00:00:00"/>
    <s v="MOTORCYCLE  COMPREHENSIVE"/>
    <n v="382000"/>
    <n v="2024.3534482758625"/>
    <n v="134.95689655172416"/>
    <n v="500"/>
  </r>
  <r>
    <s v="KHI/HO/D/MO/MC COMP/P/94552/08/2024"/>
    <m/>
    <x v="11"/>
    <d v="2024-08-03T00:00:00"/>
    <d v="2025-08-03T00:00:00"/>
    <s v="Yusuf"/>
    <s v="SUZUKI-GS 150"/>
    <n v="16235.000000000002"/>
    <n v="13495.689655172417"/>
    <n v="4.2500000000000003E-2"/>
    <n v="16235.000000000002"/>
    <n v="13495.689655172417"/>
    <n v="0"/>
    <s v="30092399"/>
    <d v="2024-08-03T00:00:00"/>
    <s v="MOTORCYCLE  COMPREHENSIVE"/>
    <n v="382000"/>
    <n v="2024.3534482758625"/>
    <n v="134.95689655172416"/>
    <n v="500"/>
  </r>
  <r>
    <s v="KHI/HO/D/MO/MC COMP/P/94553/08/2024"/>
    <m/>
    <x v="4"/>
    <d v="2024-08-03T00:00:00"/>
    <d v="2025-08-03T00:00:00"/>
    <s v="ABDUL MANNAN"/>
    <s v="SUZUKI-GD-110S"/>
    <n v="8800"/>
    <n v="7086.2068965517246"/>
    <n v="2.5000000000000001E-2"/>
    <n v="8800"/>
    <n v="7086.2068965517246"/>
    <m/>
    <s v="145652"/>
    <d v="2024-08-03T00:00:00"/>
    <s v="MOTORCYCLE  COMPREHENSIVE"/>
    <n v="352000"/>
    <n v="1062.9310344827586"/>
    <n v="70.862068965517253"/>
    <n v="500"/>
  </r>
  <r>
    <s v="KHI/HO/D/MO/MC COMP/P/94554/08/2024"/>
    <m/>
    <x v="1"/>
    <d v="2024-08-03T00:00:00"/>
    <d v="2025-08-03T00:00:00"/>
    <s v="EBAD KHAN"/>
    <s v="SUZUKI-GS 150"/>
    <n v="16235.000000000002"/>
    <n v="13495.689655172417"/>
    <n v="4.2500000000000003E-2"/>
    <n v="16235.000000000002"/>
    <n v="13495.689655172417"/>
    <n v="0"/>
    <s v="30092479"/>
    <d v="2024-08-03T00:00:00"/>
    <s v="MOTORCYCLE  COMPREHENSIVE"/>
    <n v="382000"/>
    <n v="2024.3534482758625"/>
    <n v="134.95689655172416"/>
    <n v="500"/>
  </r>
  <r>
    <s v="KHI/HO/D/MO/MC COMP/P/94555/08/2024"/>
    <m/>
    <x v="1"/>
    <d v="2025-08-04T00:00:00"/>
    <d v="2026-08-04T00:00:00"/>
    <s v="EBAD KHAN"/>
    <s v="SUZUKI-GS 150"/>
    <n v="16235.000000000002"/>
    <n v="13495.689655172417"/>
    <n v="4.2500000000000003E-2"/>
    <n v="16235.000000000002"/>
    <n v="13495.689655172417"/>
    <n v="0"/>
    <s v="30092479"/>
    <d v="2024-08-03T00:00:00"/>
    <s v="MOTORCYCLE  COMPREHENSIVE"/>
    <n v="382000"/>
    <n v="2024.3534482758625"/>
    <n v="134.95689655172416"/>
    <n v="500"/>
  </r>
  <r>
    <s v="KHI/HO/D/MO/MC COMP/P/94556/08/2024"/>
    <m/>
    <x v="9"/>
    <d v="2024-08-03T00:00:00"/>
    <d v="2025-08-03T00:00:00"/>
    <s v="ABDULLAH ABID S/O ABID HUSSAIN"/>
    <s v="SUZUKI-GS-150"/>
    <n v="9550"/>
    <n v="7732.7586206896558"/>
    <n v="2.5000000000000001E-2"/>
    <n v="9550"/>
    <n v="7732.7586206896558"/>
    <m/>
    <s v="30092084"/>
    <d v="2024-08-03T00:00:00"/>
    <s v="MOTORCYCLE  COMPREHENSIVE"/>
    <n v="382000"/>
    <n v="1159.9137931034484"/>
    <n v="77.327586206896555"/>
    <n v="500"/>
  </r>
  <r>
    <s v="KHI/HO/D/MO/MC COMP/P/94557/08/2024"/>
    <m/>
    <x v="9"/>
    <d v="2024-08-03T00:00:00"/>
    <d v="2025-08-03T00:00:00"/>
    <s v="ABDULLAH RUKHSAR S/O RUKHSAR AHMED"/>
    <s v="SUZUKI-GS 150"/>
    <n v="9550"/>
    <n v="7732.7586206896558"/>
    <n v="2.5000000000000001E-2"/>
    <n v="9550"/>
    <n v="7732.7586206896558"/>
    <m/>
    <s v="30091850"/>
    <d v="2024-08-03T00:00:00"/>
    <s v="MOTORCYCLE  COMPREHENSIVE"/>
    <n v="382000"/>
    <n v="1159.9137931034484"/>
    <n v="77.327586206896555"/>
    <n v="500"/>
  </r>
  <r>
    <s v="KHI/HO/D/MO/MC COMP/P/94558/08/2024"/>
    <m/>
    <x v="9"/>
    <d v="2024-08-03T00:00:00"/>
    <d v="2025-08-03T00:00:00"/>
    <s v="MUHAMMAD KASHIF ALI S/0 KAMAL UD DIN"/>
    <s v="SUZUKI-GR150 EURO II"/>
    <n v="9550"/>
    <n v="7732.7586206896558"/>
    <n v="2.5000000000000001E-2"/>
    <n v="9550"/>
    <n v="7732.7586206896558"/>
    <m/>
    <s v="30092100"/>
    <d v="2024-08-03T00:00:00"/>
    <s v="MOTORCYCLE  COMPREHENSIVE"/>
    <n v="382000"/>
    <n v="1159.9137931034484"/>
    <n v="77.327586206896555"/>
    <n v="500"/>
  </r>
  <r>
    <s v="KHI/HO/D/MO/MC COMP/P/94559/08/2024"/>
    <m/>
    <x v="9"/>
    <d v="2024-08-03T00:00:00"/>
    <d v="2025-08-03T00:00:00"/>
    <s v="PARAS PERVAIZ S/O PERVAIZ AKHTAR"/>
    <s v="SUZUKI-GR150 EURO II"/>
    <n v="13675"/>
    <n v="11288.793103448277"/>
    <n v="2.5000000000000001E-2"/>
    <n v="13675"/>
    <n v="11288.793103448277"/>
    <m/>
    <s v="113176"/>
    <d v="2024-08-03T00:00:00"/>
    <s v="MOTORCYCLE  COMPREHENSIVE"/>
    <n v="547000"/>
    <n v="1693.3189655172414"/>
    <n v="112.88793103448278"/>
    <n v="500"/>
  </r>
  <r>
    <s v="KHI/HO/D/MO/MC COMP/P/94560/08/2024"/>
    <m/>
    <x v="8"/>
    <d v="2024-08-03T00:00:00"/>
    <d v="2025-08-03T00:00:00"/>
    <s v="Muhammad Adnan Ijaz"/>
    <s v="SUZUKI-GSX 125"/>
    <n v="12475"/>
    <n v="10254.310344827587"/>
    <n v="2.5000000000000001E-2"/>
    <n v="12475"/>
    <n v="10254.310344827587"/>
    <m/>
    <s v="23102524"/>
    <d v="2024-08-03T00:00:00"/>
    <s v="MOTORCYCLE  COMPREHENSIVE"/>
    <n v="499000"/>
    <n v="1538.1465517241379"/>
    <n v="102.54310344827587"/>
    <n v="500"/>
  </r>
  <r>
    <s v="KHI/HO/D/MO/MC COMP/P/94561/08/2024"/>
    <m/>
    <x v="8"/>
    <d v="2024-08-03T00:00:00"/>
    <d v="2025-08-03T00:00:00"/>
    <s v="Abdul Rehman"/>
    <s v="SUZUKI-GS 150"/>
    <n v="9550"/>
    <n v="7732.7586206896558"/>
    <n v="2.5000000000000001E-2"/>
    <n v="9550"/>
    <n v="7732.7586206896558"/>
    <m/>
    <s v="30091918"/>
    <d v="2024-08-03T00:00:00"/>
    <s v="MOTORCYCLE  COMPREHENSIVE"/>
    <n v="382000"/>
    <n v="1159.9137931034484"/>
    <n v="77.327586206896555"/>
    <n v="500"/>
  </r>
  <r>
    <s v="KHI/HO/D/MO/MC COMP/P/94591/08/2024"/>
    <m/>
    <x v="12"/>
    <d v="2024-08-05T00:00:00"/>
    <d v="2025-08-05T00:00:00"/>
    <s v="ZULFIQAR ALI"/>
    <s v="SUZUKI-GD-110S"/>
    <n v="14960.000000000002"/>
    <n v="12396.551724137933"/>
    <n v="4.2500000000000003E-2"/>
    <n v="14960.000000000002"/>
    <n v="12396.551724137933"/>
    <n v="0"/>
    <s v="146206"/>
    <d v="2024-08-05T00:00:00"/>
    <s v="MOTORCYCLE  COMPREHENSIVE"/>
    <n v="352000"/>
    <n v="1859.4827586206898"/>
    <n v="123.96551724137933"/>
    <n v="500"/>
  </r>
  <r>
    <s v="KHI/HO/D/MO/MC COMP/P/94592/08/2024"/>
    <m/>
    <x v="10"/>
    <d v="2024-08-05T00:00:00"/>
    <d v="2025-08-05T00:00:00"/>
    <s v="MUHAMMAD INAM UL HAQ"/>
    <s v="SUZUKI-GD-110S"/>
    <n v="14960.000000000002"/>
    <n v="12396.551724137933"/>
    <n v="4.2500000000000003E-2"/>
    <n v="14960.000000000002"/>
    <n v="12396.551724137933"/>
    <n v="0"/>
    <s v="146587"/>
    <d v="2024-08-05T00:00:00"/>
    <s v="MOTORCYCLE  COMPREHENSIVE"/>
    <n v="352000"/>
    <n v="1859.4827586206898"/>
    <n v="123.96551724137933"/>
    <n v="500"/>
  </r>
  <r>
    <s v="KHI/HO/D/MO/MC COMP/P/94593/08/2024"/>
    <m/>
    <x v="10"/>
    <d v="2025-08-06T00:00:00"/>
    <d v="2026-08-06T00:00:00"/>
    <s v="MUHAMMAD INAM UL HAQ"/>
    <s v="SUZUKI-GD-110S"/>
    <n v="14960.000000000002"/>
    <n v="12396.551724137933"/>
    <n v="4.2500000000000003E-2"/>
    <n v="14960.000000000002"/>
    <n v="12396.551724137933"/>
    <n v="0"/>
    <s v="146587"/>
    <d v="2024-08-05T00:00:00"/>
    <s v="MOTORCYCLE  COMPREHENSIVE"/>
    <n v="352000"/>
    <n v="1859.4827586206898"/>
    <n v="123.96551724137933"/>
    <n v="500"/>
  </r>
  <r>
    <s v="KHI/HO/D/MO/MC COMP/P/94594/08/2024"/>
    <m/>
    <x v="3"/>
    <d v="2024-08-05T00:00:00"/>
    <d v="2025-08-05T00:00:00"/>
    <s v="MUHAMMAD HAMZA"/>
    <s v="SUZUKI-GD-110S"/>
    <n v="8800"/>
    <n v="7086.2068965517246"/>
    <n v="2.5000000000000001E-2"/>
    <n v="8800"/>
    <n v="7086.2068965517246"/>
    <m/>
    <s v="144393"/>
    <d v="2024-08-05T00:00:00"/>
    <s v="MOTORCYCLE  COMPREHENSIVE"/>
    <n v="352000"/>
    <n v="1062.9310344827586"/>
    <n v="70.862068965517253"/>
    <n v="500"/>
  </r>
  <r>
    <s v="KHI/HO/D/MO/MC COMP/P/94595/08/2024"/>
    <m/>
    <x v="12"/>
    <d v="2024-08-05T00:00:00"/>
    <d v="2025-08-05T00:00:00"/>
    <s v="MUHAMMAD ARSHAD"/>
    <s v="SUZUKI-GD-110S"/>
    <n v="14960.000000000002"/>
    <n v="12396.551724137933"/>
    <n v="4.2500000000000003E-2"/>
    <n v="14960.000000000002"/>
    <n v="12396.551724137933"/>
    <n v="0"/>
    <s v="146643"/>
    <d v="2024-08-05T00:00:00"/>
    <s v="MOTORCYCLE  COMPREHENSIVE"/>
    <n v="352000"/>
    <n v="1859.4827586206898"/>
    <n v="123.96551724137933"/>
    <n v="500"/>
  </r>
  <r>
    <s v="KHI/HO/D/MO/MC COMP/P/94598/08/2024"/>
    <m/>
    <x v="10"/>
    <d v="2024-08-05T00:00:00"/>
    <d v="2025-08-05T00:00:00"/>
    <s v="MUHAMMAD KHAWAR"/>
    <s v="SUZUKI-GD-110S"/>
    <n v="14960.000000000002"/>
    <n v="12396.551724137933"/>
    <n v="4.2500000000000003E-2"/>
    <n v="14960.000000000002"/>
    <n v="12396.551724137933"/>
    <n v="0"/>
    <s v="146409"/>
    <d v="2024-08-05T00:00:00"/>
    <s v="MOTORCYCLE  COMPREHENSIVE"/>
    <n v="352000"/>
    <n v="1859.4827586206898"/>
    <n v="123.96551724137933"/>
    <n v="500"/>
  </r>
  <r>
    <s v="KHI/HO/D/MO/MC COMP/P/94599/08/2024"/>
    <m/>
    <x v="10"/>
    <d v="2025-08-06T00:00:00"/>
    <d v="2026-08-06T00:00:00"/>
    <s v="MUHAMMAD KHAWAR"/>
    <s v="SUZUKI-GD-110S"/>
    <n v="14960.000000000002"/>
    <n v="12396.551724137933"/>
    <n v="4.2500000000000003E-2"/>
    <n v="14960.000000000002"/>
    <n v="12396.551724137933"/>
    <n v="0"/>
    <s v="146409"/>
    <d v="2024-08-05T00:00:00"/>
    <s v="MOTORCYCLE  COMPREHENSIVE"/>
    <n v="352000"/>
    <n v="1859.4827586206898"/>
    <n v="123.96551724137933"/>
    <n v="500"/>
  </r>
  <r>
    <s v="KHI/HO/D/MO/MC COMP/P/94601/08/2024"/>
    <m/>
    <x v="5"/>
    <d v="2024-08-05T00:00:00"/>
    <d v="2025-08-05T00:00:00"/>
    <s v="MUHAMMAD SHAFIQ"/>
    <s v="SUZUKI-GD-110S"/>
    <n v="8800"/>
    <n v="7086.2068965517246"/>
    <n v="2.5000000000000001E-2"/>
    <n v="8800"/>
    <n v="7086.2068965517246"/>
    <m/>
    <s v="143811"/>
    <d v="2024-08-05T00:00:00"/>
    <s v="MOTORCYCLE  COMPREHENSIVE"/>
    <n v="352000"/>
    <n v="1062.9310344827586"/>
    <n v="70.862068965517253"/>
    <n v="500"/>
  </r>
  <r>
    <s v="KHI/HO/D/MO/MC COMP/P/94604/08/2024"/>
    <m/>
    <x v="5"/>
    <d v="2024-08-05T00:00:00"/>
    <d v="2025-08-05T00:00:00"/>
    <s v="MAJID MUSHTAQ"/>
    <s v="SUZUKI-GD-110S"/>
    <n v="8800"/>
    <n v="7086.2068965517246"/>
    <n v="2.5000000000000001E-2"/>
    <n v="8800"/>
    <n v="7086.2068965517246"/>
    <m/>
    <s v="144416"/>
    <d v="2024-08-05T00:00:00"/>
    <s v="MOTORCYCLE  COMPREHENSIVE"/>
    <n v="352000"/>
    <n v="1062.9310344827586"/>
    <n v="70.862068965517253"/>
    <n v="500"/>
  </r>
  <r>
    <s v="KHI/HO/D/MO/MC COMP/P/94618/08/2024"/>
    <m/>
    <x v="13"/>
    <d v="2024-08-05T00:00:00"/>
    <d v="2025-08-05T00:00:00"/>
    <s v="M Bilal Asghar Ch"/>
    <s v="SUZUKI-GR150 EURO II"/>
    <n v="13675"/>
    <n v="11288.793103448277"/>
    <n v="2.5000000000000001E-2"/>
    <n v="13675"/>
    <n v="11288.793103448277"/>
    <m/>
    <s v="113355"/>
    <d v="2024-08-05T00:00:00"/>
    <s v="MOTORCYCLE  COMPREHENSIVE"/>
    <n v="547000"/>
    <n v="1693.3189655172414"/>
    <n v="112.88793103448278"/>
    <n v="500"/>
  </r>
  <r>
    <s v="KHI/HO/D/MO/MC COMP/P/94623/08/2024"/>
    <m/>
    <x v="13"/>
    <d v="2024-08-05T00:00:00"/>
    <d v="2025-08-05T00:00:00"/>
    <s v="Bilal Waheed Qureshi"/>
    <s v="SUZUKI-GSX 125"/>
    <n v="12475"/>
    <n v="10254.310344827587"/>
    <n v="2.5000000000000001E-2"/>
    <n v="12475"/>
    <n v="10254.310344827587"/>
    <m/>
    <s v="231088517"/>
    <d v="2024-08-05T00:00:00"/>
    <s v="MOTORCYCLE  COMPREHENSIVE"/>
    <n v="499000"/>
    <n v="1538.1465517241379"/>
    <n v="102.54310344827587"/>
    <n v="500"/>
  </r>
  <r>
    <s v="KHI/HO/D/MO/MC COMP/P/94625/08/2024"/>
    <m/>
    <x v="14"/>
    <d v="2024-08-05T00:00:00"/>
    <d v="2025-08-05T00:00:00"/>
    <s v="TAZEEN ANJUM"/>
    <s v="SUZUKI-GS 150"/>
    <n v="9550"/>
    <n v="7732.7586206896558"/>
    <n v="2.5000000000000001E-2"/>
    <n v="9550"/>
    <n v="7732.7586206896558"/>
    <m/>
    <s v="30092284"/>
    <d v="2024-08-05T00:00:00"/>
    <s v="MOTORCYCLE  COMPREHENSIVE"/>
    <n v="382000"/>
    <n v="1159.9137931034484"/>
    <n v="77.327586206896555"/>
    <n v="500"/>
  </r>
  <r>
    <s v="KHI/HO/D/MO/MC COMP/P/94627/08/2024"/>
    <m/>
    <x v="13"/>
    <d v="2024-08-05T00:00:00"/>
    <d v="2025-08-05T00:00:00"/>
    <s v="Fuzail Zafar"/>
    <s v="SUZUKI-GD-110S"/>
    <n v="8800"/>
    <n v="7086.2068965517246"/>
    <n v="2.5000000000000001E-2"/>
    <n v="8800"/>
    <n v="7086.2068965517246"/>
    <m/>
    <s v="143727"/>
    <d v="2024-08-05T00:00:00"/>
    <s v="MOTORCYCLE  COMPREHENSIVE"/>
    <n v="352000"/>
    <n v="1062.9310344827586"/>
    <n v="70.862068965517253"/>
    <n v="500"/>
  </r>
  <r>
    <s v="KHI/HO/D/MO/MC COMP/P/94628/08/2024"/>
    <m/>
    <x v="14"/>
    <d v="2024-08-05T00:00:00"/>
    <d v="2025-08-05T00:00:00"/>
    <s v="ZIA UR REHMAN"/>
    <s v="SUZUKI-GD-110S"/>
    <n v="8800"/>
    <n v="7086.2068965517246"/>
    <n v="2.5000000000000001E-2"/>
    <n v="8800"/>
    <n v="7086.2068965517246"/>
    <m/>
    <s v="145981"/>
    <d v="2024-08-05T00:00:00"/>
    <s v="MOTORCYCLE  COMPREHENSIVE"/>
    <n v="352000"/>
    <n v="1062.9310344827586"/>
    <n v="70.862068965517253"/>
    <n v="500"/>
  </r>
  <r>
    <s v="KHI/HO/D/MO/MC COMP/P/94629/08/2024"/>
    <m/>
    <x v="13"/>
    <d v="2024-08-05T00:00:00"/>
    <d v="2025-08-05T00:00:00"/>
    <s v="M Riaz Shahid"/>
    <s v="SUZUKI-GS-150"/>
    <n v="9550"/>
    <n v="7732.7586206896558"/>
    <n v="2.5000000000000001E-2"/>
    <n v="9550"/>
    <n v="7732.7586206896558"/>
    <m/>
    <s v="30092210"/>
    <d v="2024-08-05T00:00:00"/>
    <s v="MOTORCYCLE  COMPREHENSIVE"/>
    <n v="382000"/>
    <n v="1159.9137931034484"/>
    <n v="77.327586206896555"/>
    <n v="500"/>
  </r>
  <r>
    <s v="KHI/HO/D/MO/MC COMP/P/94631/08/2024"/>
    <m/>
    <x v="14"/>
    <d v="2024-08-05T00:00:00"/>
    <d v="2025-08-05T00:00:00"/>
    <s v="MUHAMMAD YOUSAF JAMIL"/>
    <s v="SUZUKI-GR150 EURO II"/>
    <n v="13675"/>
    <n v="11288.793103448277"/>
    <n v="2.5000000000000001E-2"/>
    <n v="13675"/>
    <n v="11288.793103448277"/>
    <m/>
    <s v="113411"/>
    <d v="2024-08-05T00:00:00"/>
    <s v="MOTORCYCLE  COMPREHENSIVE"/>
    <n v="547000"/>
    <n v="1693.3189655172414"/>
    <n v="112.88793103448278"/>
    <n v="500"/>
  </r>
  <r>
    <s v="KHI/HO/D/MO/MC COMP/P/94633/08/2024"/>
    <m/>
    <x v="14"/>
    <d v="2024-08-05T00:00:00"/>
    <d v="2025-08-05T00:00:00"/>
    <s v="MARGHOOB AHMAD ZIA"/>
    <s v="SUZUKI-GS-150"/>
    <n v="9550"/>
    <n v="7732.7586206896558"/>
    <n v="2.5000000000000001E-2"/>
    <n v="9550"/>
    <n v="7732.7586206896558"/>
    <m/>
    <s v="30092235"/>
    <d v="2024-08-05T00:00:00"/>
    <s v="MOTORCYCLE  COMPREHENSIVE"/>
    <n v="382000"/>
    <n v="1159.9137931034484"/>
    <n v="77.327586206896555"/>
    <n v="500"/>
  </r>
  <r>
    <s v="KHI/HO/D/MO/MC COMP/P/94634/08/2024"/>
    <m/>
    <x v="1"/>
    <d v="2024-08-05T00:00:00"/>
    <d v="2025-08-05T00:00:00"/>
    <s v="FARHAD AHMED SHAIKH"/>
    <s v="SUZUKI-GD-110S"/>
    <n v="14960.000000000002"/>
    <n v="12396.551724137933"/>
    <n v="4.2500000000000003E-2"/>
    <n v="14960.000000000002"/>
    <n v="12396.551724137933"/>
    <n v="0"/>
    <s v="146520"/>
    <d v="2024-08-05T00:00:00"/>
    <s v="MOTORCYCLE  COMPREHENSIVE"/>
    <n v="352000"/>
    <n v="1859.4827586206898"/>
    <n v="123.96551724137933"/>
    <n v="500"/>
  </r>
  <r>
    <s v="KHI/HO/D/MO/MC COMP/P/94636/08/2024"/>
    <m/>
    <x v="14"/>
    <d v="2024-08-05T00:00:00"/>
    <d v="2025-08-05T00:00:00"/>
    <s v="NASEEM AKRAM"/>
    <s v="SUZUKI-GR150 EURO II"/>
    <n v="13675"/>
    <n v="11288.793103448277"/>
    <n v="2.5000000000000001E-2"/>
    <n v="13675"/>
    <n v="11288.793103448277"/>
    <m/>
    <s v="113407"/>
    <d v="2024-08-05T00:00:00"/>
    <s v="MOTORCYCLE  COMPREHENSIVE"/>
    <n v="547000"/>
    <n v="1693.3189655172414"/>
    <n v="112.88793103448278"/>
    <n v="500"/>
  </r>
  <r>
    <s v="KHI/HO/D/MO/MC COMP/P/94638/08/2024"/>
    <m/>
    <x v="14"/>
    <d v="2024-08-05T00:00:00"/>
    <d v="2025-08-05T00:00:00"/>
    <s v="BURAQ AHMADHOUSE NO 93-A-LDA ZREA"/>
    <s v="SUZUKI-GS 150"/>
    <n v="9550"/>
    <n v="7732.7586206896558"/>
    <n v="2.5000000000000001E-2"/>
    <n v="9550"/>
    <n v="7732.7586206896558"/>
    <m/>
    <s v="30092292"/>
    <d v="2024-08-05T00:00:00"/>
    <s v="MOTORCYCLE  COMPREHENSIVE"/>
    <n v="382000"/>
    <n v="1159.9137931034484"/>
    <n v="77.327586206896555"/>
    <n v="500"/>
  </r>
  <r>
    <s v="KHI/HO/D/MO/MC COMP/P/94641/08/2024"/>
    <m/>
    <x v="14"/>
    <d v="2024-08-05T00:00:00"/>
    <d v="2025-08-05T00:00:00"/>
    <s v="BURAQ AHMAD"/>
    <s v="SUZUKI-GS 150"/>
    <n v="9550"/>
    <n v="7732.7586206896558"/>
    <n v="2.5000000000000001E-2"/>
    <n v="9550"/>
    <n v="7732.7586206896558"/>
    <m/>
    <s v="30092292"/>
    <d v="2024-08-05T00:00:00"/>
    <s v="MOTORCYCLE  COMPREHENSIVE"/>
    <n v="382000"/>
    <n v="1159.9137931034484"/>
    <n v="77.327586206896555"/>
    <n v="500"/>
  </r>
  <r>
    <s v="KHI/HO/D/MO/MC COMP/P/94646/08/2024"/>
    <m/>
    <x v="0"/>
    <d v="2024-08-05T00:00:00"/>
    <d v="2025-08-05T00:00:00"/>
    <s v="SHAROON AFTAB"/>
    <s v="SUZUKI-GS 150"/>
    <n v="16235.000000000002"/>
    <n v="13495.689655172417"/>
    <n v="4.2500000000000003E-2"/>
    <n v="16235.000000000002"/>
    <n v="13495.689655172417"/>
    <n v="0"/>
    <s v="30092348"/>
    <d v="2024-08-05T00:00:00"/>
    <s v="MOTORCYCLE  COMPREHENSIVE"/>
    <n v="382000"/>
    <n v="2024.3534482758625"/>
    <n v="134.95689655172416"/>
    <n v="500"/>
  </r>
  <r>
    <s v="KHI/HO/D/MO/MC COMP/P/94650/08/2024"/>
    <m/>
    <x v="12"/>
    <d v="2024-08-05T00:00:00"/>
    <d v="2025-08-05T00:00:00"/>
    <s v="RIZWAN"/>
    <s v="SUZUKI-GD-110S"/>
    <n v="14960.000000000002"/>
    <n v="12396.551724137933"/>
    <n v="4.2500000000000003E-2"/>
    <n v="14960.000000000002"/>
    <n v="12396.551724137933"/>
    <n v="0"/>
    <s v="146620"/>
    <d v="2024-08-05T00:00:00"/>
    <s v="MOTORCYCLE  COMPREHENSIVE"/>
    <n v="352000"/>
    <n v="1859.4827586206898"/>
    <n v="123.96551724137933"/>
    <n v="500"/>
  </r>
  <r>
    <s v="KHI/HO/D/MO/MC COMP/P/94653/08/2024"/>
    <m/>
    <x v="15"/>
    <d v="2024-08-05T00:00:00"/>
    <d v="2025-08-05T00:00:00"/>
    <s v="RANA ZAHID HAYAT"/>
    <s v="SUZUKI-GD-110S"/>
    <n v="8800"/>
    <n v="7086.2068965517246"/>
    <n v="2.5000000000000001E-2"/>
    <n v="8800"/>
    <n v="7086.2068965517246"/>
    <m/>
    <s v="146024"/>
    <d v="2024-08-05T00:00:00"/>
    <s v="MOTORCYCLE  COMPREHENSIVE"/>
    <n v="352000"/>
    <n v="1062.9310344827586"/>
    <n v="70.862068965517253"/>
    <n v="500"/>
  </r>
  <r>
    <s v="KHI/HO/D/MO/MC COMP/P/94658/08/2024"/>
    <m/>
    <x v="7"/>
    <d v="2024-08-05T00:00:00"/>
    <d v="2025-08-05T00:00:00"/>
    <s v="ALI MEHDI"/>
    <s v="SUZUKI-GS 150"/>
    <n v="16235.000000000002"/>
    <n v="13495.689655172417"/>
    <n v="4.2500000000000003E-2"/>
    <n v="16235.000000000002"/>
    <n v="13495.689655172417"/>
    <n v="0"/>
    <s v="30092441"/>
    <d v="2024-08-05T00:00:00"/>
    <s v="MOTORCYCLE  COMPREHENSIVE"/>
    <n v="382000"/>
    <n v="2024.3534482758625"/>
    <n v="134.95689655172416"/>
    <n v="500"/>
  </r>
  <r>
    <s v="KHI/HO/D/MO/MC COMP/P/94659/08/2024"/>
    <m/>
    <x v="7"/>
    <d v="2025-08-06T00:00:00"/>
    <d v="2026-08-06T00:00:00"/>
    <s v="ALI MEHDI"/>
    <s v="SUZUKI-GS 150"/>
    <n v="16235.000000000002"/>
    <n v="13495.689655172417"/>
    <n v="4.2500000000000003E-2"/>
    <n v="16235.000000000002"/>
    <n v="13495.689655172417"/>
    <n v="0"/>
    <s v="30092441"/>
    <d v="2024-08-05T00:00:00"/>
    <s v="MOTORCYCLE  COMPREHENSIVE"/>
    <n v="382000"/>
    <n v="2024.3534482758625"/>
    <n v="134.95689655172416"/>
    <n v="500"/>
  </r>
  <r>
    <s v="KHI/HO/D/MO/MC COMP/P/94660/08/2024"/>
    <m/>
    <x v="0"/>
    <d v="2024-08-05T00:00:00"/>
    <d v="2025-08-05T00:00:00"/>
    <s v="SYED SADDAM HUSSAIN"/>
    <s v="SUZUKI-GS-150"/>
    <n v="16235.000000000002"/>
    <n v="13495.689655172417"/>
    <n v="4.2500000000000003E-2"/>
    <n v="16235.000000000002"/>
    <n v="13495.689655172417"/>
    <n v="0"/>
    <s v="30092168"/>
    <d v="2024-08-05T00:00:00"/>
    <s v="MOTORCYCLE  COMPREHENSIVE"/>
    <n v="382000"/>
    <n v="2024.3534482758625"/>
    <n v="134.95689655172416"/>
    <n v="500"/>
  </r>
  <r>
    <s v="KHI/HO/D/MO/MC COMP/P/94661/08/2024"/>
    <m/>
    <x v="0"/>
    <d v="2025-08-06T00:00:00"/>
    <d v="2026-08-06T00:00:00"/>
    <s v="SYED SADDAM HUSSAIN"/>
    <s v="SUZUKI-GS-150"/>
    <n v="16235.000000000002"/>
    <n v="13495.689655172417"/>
    <n v="4.2500000000000003E-2"/>
    <n v="16235.000000000002"/>
    <n v="13495.689655172417"/>
    <n v="0"/>
    <s v="30092168"/>
    <d v="2024-08-05T00:00:00"/>
    <s v="MOTORCYCLE  COMPREHENSIVE"/>
    <n v="382000"/>
    <n v="2024.3534482758625"/>
    <n v="134.95689655172416"/>
    <n v="500"/>
  </r>
  <r>
    <s v="KHI/HO/D/MO/MC COMP/P/94662/08/2024"/>
    <m/>
    <x v="10"/>
    <d v="2024-08-05T00:00:00"/>
    <d v="2025-08-05T00:00:00"/>
    <s v="MUHAMMAD NAFEES"/>
    <s v="SUZUKI-GD-110S"/>
    <n v="14960.000000000002"/>
    <n v="12396.551724137933"/>
    <n v="4.2500000000000003E-2"/>
    <n v="14960.000000000002"/>
    <n v="12396.551724137933"/>
    <n v="0"/>
    <s v="146585"/>
    <d v="2024-08-05T00:00:00"/>
    <s v="MOTORCYCLE  COMPREHENSIVE"/>
    <n v="352000"/>
    <n v="1859.4827586206898"/>
    <n v="123.96551724137933"/>
    <n v="500"/>
  </r>
  <r>
    <s v="KHI/HO/D/MO/MC COMP/P/94663/08/2024"/>
    <m/>
    <x v="11"/>
    <d v="2024-08-05T00:00:00"/>
    <d v="2025-08-05T00:00:00"/>
    <s v="Owais Yakoob Kapadia"/>
    <s v="SUZUKI-GD-110S"/>
    <n v="14960.000000000002"/>
    <n v="12396.551724137933"/>
    <n v="4.2500000000000003E-2"/>
    <n v="14960.000000000002"/>
    <n v="12396.551724137933"/>
    <n v="0"/>
    <s v="146068"/>
    <d v="2024-08-05T00:00:00"/>
    <s v="MOTORCYCLE  COMPREHENSIVE"/>
    <n v="352000"/>
    <n v="1859.4827586206898"/>
    <n v="123.96551724137933"/>
    <n v="500"/>
  </r>
  <r>
    <s v="KHI/HO/D/MO/MC COMP/P/94664/08/2024"/>
    <m/>
    <x v="0"/>
    <d v="2024-08-05T00:00:00"/>
    <d v="2025-08-05T00:00:00"/>
    <s v="CORE HEALTH"/>
    <s v="SUZUKI-GS 150"/>
    <n v="16235.000000000002"/>
    <n v="13495.689655172417"/>
    <n v="4.2500000000000003E-2"/>
    <n v="16235.000000000002"/>
    <n v="13495.689655172417"/>
    <n v="0"/>
    <s v="30092343"/>
    <d v="2024-08-05T00:00:00"/>
    <s v="MOTORCYCLE  COMPREHENSIVE"/>
    <n v="382000"/>
    <n v="2024.3534482758625"/>
    <n v="134.95689655172416"/>
    <n v="500"/>
  </r>
  <r>
    <s v="KHI/HO/D/MO/MC COMP/P/94665/08/2024"/>
    <m/>
    <x v="7"/>
    <d v="2024-08-05T00:00:00"/>
    <d v="2025-08-05T00:00:00"/>
    <s v="SYED SHUJAT HUSSAIN JAFFRI"/>
    <s v="SUZUKI-GS 150"/>
    <n v="16235.000000000002"/>
    <n v="13495.689655172417"/>
    <n v="4.2500000000000003E-2"/>
    <n v="16235.000000000002"/>
    <n v="13495.689655172417"/>
    <n v="0"/>
    <s v="30092435"/>
    <d v="2024-08-05T00:00:00"/>
    <s v="MOTORCYCLE  COMPREHENSIVE"/>
    <n v="382000"/>
    <n v="2024.3534482758625"/>
    <n v="134.95689655172416"/>
    <n v="500"/>
  </r>
  <r>
    <s v="KHI/HO/D/MO/MC COMP/P/94666/08/2024"/>
    <m/>
    <x v="7"/>
    <d v="2025-08-06T00:00:00"/>
    <d v="2026-08-06T00:00:00"/>
    <s v="SYED SHUJAT HUSSAIN JAFFRI"/>
    <s v="SUZUKI-GS 150"/>
    <n v="16235.000000000002"/>
    <n v="13495.689655172417"/>
    <n v="4.2500000000000003E-2"/>
    <n v="16235.000000000002"/>
    <n v="13495.689655172417"/>
    <n v="0"/>
    <s v="30092435"/>
    <d v="2024-08-05T00:00:00"/>
    <s v="MOTORCYCLE  COMPREHENSIVE"/>
    <n v="382000"/>
    <n v="2024.3534482758625"/>
    <n v="134.95689655172416"/>
    <n v="500"/>
  </r>
  <r>
    <s v="KHI/HO/D/MO/MC COMP/P/94668/08/2024"/>
    <m/>
    <x v="0"/>
    <d v="2024-08-05T00:00:00"/>
    <d v="2025-08-05T00:00:00"/>
    <s v="MUHAMMAD HASSAN FAROOQ"/>
    <s v="SUZUKI-GR150 EURO II"/>
    <n v="23247.5"/>
    <n v="19540.948275862069"/>
    <n v="4.2500000000000003E-2"/>
    <n v="23247.5"/>
    <n v="19540.948275862069"/>
    <n v="0"/>
    <s v="113469"/>
    <d v="2024-08-05T00:00:00"/>
    <s v="MOTORCYCLE  COMPREHENSIVE"/>
    <n v="547000"/>
    <n v="2931.1422413793102"/>
    <n v="195.4094827586207"/>
    <n v="500"/>
  </r>
  <r>
    <s v="KHI/HO/D/MO/MC COMP/P/94669/08/2024"/>
    <m/>
    <x v="10"/>
    <d v="2024-08-05T00:00:00"/>
    <d v="2025-08-05T00:00:00"/>
    <s v="FARRUKH NASIR"/>
    <s v="SUZUKI-GD-110S"/>
    <n v="14960.000000000002"/>
    <n v="12396.551724137933"/>
    <n v="4.2500000000000003E-2"/>
    <n v="14960.000000000002"/>
    <n v="12396.551724137933"/>
    <n v="0"/>
    <s v="146572"/>
    <d v="2024-08-05T00:00:00"/>
    <s v="MOTORCYCLE  COMPREHENSIVE"/>
    <n v="352000"/>
    <n v="1859.4827586206898"/>
    <n v="123.96551724137933"/>
    <n v="500"/>
  </r>
  <r>
    <s v="KHI/HO/D/MO/MC COMP/P/94670/08/2024"/>
    <m/>
    <x v="10"/>
    <d v="2025-08-06T00:00:00"/>
    <d v="2026-08-06T00:00:00"/>
    <s v="FARRUKH NASIR"/>
    <s v="SUZUKI-GD-110S"/>
    <n v="14960.000000000002"/>
    <n v="12396.551724137933"/>
    <n v="4.2500000000000003E-2"/>
    <n v="14960.000000000002"/>
    <n v="12396.551724137933"/>
    <n v="0"/>
    <s v="146572"/>
    <d v="2024-08-05T00:00:00"/>
    <s v="MOTORCYCLE  COMPREHENSIVE"/>
    <n v="352000"/>
    <n v="1859.4827586206898"/>
    <n v="123.96551724137933"/>
    <n v="500"/>
  </r>
  <r>
    <s v="KHI/HO/D/MO/MC COMP/P/94671/08/2024"/>
    <m/>
    <x v="7"/>
    <d v="2024-08-05T00:00:00"/>
    <d v="2025-08-05T00:00:00"/>
    <s v="Abdul Basit Rana"/>
    <s v="SUZUKI-GR150 EURO II"/>
    <n v="23247.5"/>
    <n v="19540.948275862069"/>
    <n v="4.2500000000000003E-2"/>
    <n v="23247.5"/>
    <n v="19540.948275862069"/>
    <n v="0"/>
    <s v="113374"/>
    <d v="2024-08-05T00:00:00"/>
    <s v="MOTORCYCLE  COMPREHENSIVE"/>
    <n v="547000"/>
    <n v="2931.1422413793102"/>
    <n v="195.4094827586207"/>
    <n v="500"/>
  </r>
  <r>
    <s v="KHI/HO/D/MO/MC COMP/P/94672/08/2024"/>
    <m/>
    <x v="16"/>
    <d v="2024-08-05T00:00:00"/>
    <d v="2025-08-05T00:00:00"/>
    <s v="Ayaz Khan"/>
    <s v="SUZUKI-GD-110S"/>
    <n v="14960.000000000002"/>
    <n v="12396.551724137933"/>
    <n v="4.2500000000000003E-2"/>
    <n v="14960.000000000002"/>
    <n v="12396.551724137933"/>
    <n v="0"/>
    <s v="146105"/>
    <d v="2024-08-05T00:00:00"/>
    <s v="MOTORCYCLE  COMPREHENSIVE"/>
    <n v="352000"/>
    <n v="1859.4827586206898"/>
    <n v="123.96551724137933"/>
    <n v="500"/>
  </r>
  <r>
    <s v="KHI/HO/D/MO/MC COMP/P/94673/08/2024"/>
    <m/>
    <x v="10"/>
    <d v="2024-08-05T00:00:00"/>
    <d v="2025-08-05T00:00:00"/>
    <s v="MUHAMMAD TAZEEM AKHTER"/>
    <s v="SUZUKI-GS 150"/>
    <n v="16235.000000000002"/>
    <n v="13495.689655172417"/>
    <n v="4.2500000000000003E-2"/>
    <n v="16235.000000000002"/>
    <n v="13495.689655172417"/>
    <n v="0"/>
    <s v="30092359"/>
    <d v="2024-08-05T00:00:00"/>
    <s v="MOTORCYCLE  COMPREHENSIVE"/>
    <n v="382000"/>
    <n v="2024.3534482758625"/>
    <n v="134.95689655172416"/>
    <n v="500"/>
  </r>
  <r>
    <s v="KHI/HO/D/MO/MC COMP/P/94674/08/2024"/>
    <m/>
    <x v="10"/>
    <d v="2025-08-06T00:00:00"/>
    <d v="2026-08-06T00:00:00"/>
    <s v="MUHAMMAD TAZEEM AKHTER"/>
    <s v="SUZUKI-GS 150"/>
    <n v="16235.000000000002"/>
    <n v="13495.689655172417"/>
    <n v="4.2500000000000003E-2"/>
    <n v="16235.000000000002"/>
    <n v="13495.689655172417"/>
    <n v="0"/>
    <s v="30092359"/>
    <d v="2024-08-05T00:00:00"/>
    <s v="MOTORCYCLE  COMPREHENSIVE"/>
    <n v="382000"/>
    <n v="2024.3534482758625"/>
    <n v="134.95689655172416"/>
    <n v="500"/>
  </r>
  <r>
    <s v="KHI/HO/D/MO/MC COMP/P/94675/08/2024"/>
    <m/>
    <x v="16"/>
    <d v="2024-08-05T00:00:00"/>
    <d v="2025-08-05T00:00:00"/>
    <s v="Muhammad Uzair Qureshi"/>
    <s v="SUZUKI-GS 150"/>
    <n v="16235.000000000002"/>
    <n v="13495.689655172417"/>
    <n v="4.2500000000000003E-2"/>
    <n v="16235.000000000002"/>
    <n v="13495.689655172417"/>
    <n v="0"/>
    <s v="30092274"/>
    <d v="2024-08-05T00:00:00"/>
    <s v="MOTORCYCLE  COMPREHENSIVE"/>
    <n v="382000"/>
    <n v="2024.3534482758625"/>
    <n v="134.95689655172416"/>
    <n v="500"/>
  </r>
  <r>
    <s v="KHI/HO/D/MO/MC COMP/P/94676/08/2024"/>
    <m/>
    <x v="16"/>
    <d v="2024-08-05T00:00:00"/>
    <d v="2025-08-05T00:00:00"/>
    <s v="Syed Wajahat Hussain"/>
    <s v="SUZUKI-GD-110S"/>
    <n v="14960.000000000002"/>
    <n v="12396.551724137933"/>
    <n v="4.2500000000000003E-2"/>
    <n v="14960.000000000002"/>
    <n v="12396.551724137933"/>
    <n v="0"/>
    <s v="145941"/>
    <d v="2024-08-05T00:00:00"/>
    <s v="MOTORCYCLE  COMPREHENSIVE"/>
    <n v="352000"/>
    <n v="1859.4827586206898"/>
    <n v="123.96551724137933"/>
    <n v="500"/>
  </r>
  <r>
    <s v="KHI/HO/D/MO/MC COMP/P/94677/08/2024"/>
    <m/>
    <x v="16"/>
    <d v="2025-08-06T00:00:00"/>
    <d v="2026-08-06T00:00:00"/>
    <s v="Syed Wajahat Hussain"/>
    <s v="SUZUKI-GD-110S"/>
    <n v="14960.000000000002"/>
    <n v="12396.551724137933"/>
    <n v="4.2500000000000003E-2"/>
    <n v="14960.000000000002"/>
    <n v="12396.551724137933"/>
    <n v="0"/>
    <s v="145941"/>
    <d v="2024-08-05T00:00:00"/>
    <s v="MOTORCYCLE  COMPREHENSIVE"/>
    <n v="352000"/>
    <n v="1859.4827586206898"/>
    <n v="123.96551724137933"/>
    <n v="500"/>
  </r>
  <r>
    <s v="KHI/HO/D/MO/MC COMP/P/94678/08/2024"/>
    <m/>
    <x v="11"/>
    <d v="2024-08-05T00:00:00"/>
    <d v="2025-08-05T00:00:00"/>
    <s v="Shakil Ahmed"/>
    <s v="SUZUKI-GD-110S"/>
    <n v="14960.000000000002"/>
    <n v="12396.551724137933"/>
    <n v="4.2500000000000003E-2"/>
    <n v="14960.000000000002"/>
    <n v="12396.551724137933"/>
    <n v="0"/>
    <s v="146360"/>
    <d v="2024-08-05T00:00:00"/>
    <s v="MOTORCYCLE  COMPREHENSIVE"/>
    <n v="352000"/>
    <n v="1859.4827586206898"/>
    <n v="123.96551724137933"/>
    <n v="500"/>
  </r>
  <r>
    <s v="KHI/HO/D/MO/MC COMP/P/94679/08/2024"/>
    <m/>
    <x v="11"/>
    <d v="2025-08-06T00:00:00"/>
    <d v="2026-08-06T00:00:00"/>
    <s v="Shakil Ahmed"/>
    <s v="SUZUKI-GD-110S"/>
    <n v="14960.000000000002"/>
    <n v="12396.551724137933"/>
    <n v="4.2500000000000003E-2"/>
    <n v="14960.000000000002"/>
    <n v="12396.551724137933"/>
    <n v="0"/>
    <s v="146360"/>
    <d v="2024-08-05T00:00:00"/>
    <s v="MOTORCYCLE  COMPREHENSIVE"/>
    <n v="352000"/>
    <n v="1859.4827586206898"/>
    <n v="123.96551724137933"/>
    <n v="500"/>
  </r>
  <r>
    <s v="KHI/HO/D/MO/MC COMP/P/94680/08/2024"/>
    <m/>
    <x v="0"/>
    <d v="2024-08-05T00:00:00"/>
    <d v="2025-08-05T00:00:00"/>
    <s v="JAWED JAMIL QUDDUSI"/>
    <s v="SUZUKI-GD-110S"/>
    <n v="14960.000000000002"/>
    <n v="12396.551724137933"/>
    <n v="4.2500000000000003E-2"/>
    <n v="14960.000000000002"/>
    <n v="12396.551724137933"/>
    <n v="0"/>
    <s v="145911"/>
    <d v="2024-08-05T00:00:00"/>
    <s v="MOTORCYCLE  COMPREHENSIVE"/>
    <n v="352000"/>
    <n v="1859.4827586206898"/>
    <n v="123.96551724137933"/>
    <n v="500"/>
  </r>
  <r>
    <s v="KHI/HO/D/MO/MC COMP/P/94681/08/2024"/>
    <m/>
    <x v="0"/>
    <d v="2025-08-06T00:00:00"/>
    <d v="2026-08-06T00:00:00"/>
    <s v="JAWED JAMIL QUDDUSI"/>
    <s v="SUZUKI-GD-110S"/>
    <n v="14960.000000000002"/>
    <n v="12396.551724137933"/>
    <n v="4.2500000000000003E-2"/>
    <n v="14960.000000000002"/>
    <n v="12396.551724137933"/>
    <n v="0"/>
    <s v="145911"/>
    <d v="2024-08-05T00:00:00"/>
    <s v="MOTORCYCLE  COMPREHENSIVE"/>
    <n v="352000"/>
    <n v="1859.4827586206898"/>
    <n v="123.96551724137933"/>
    <n v="500"/>
  </r>
  <r>
    <s v="KHI/HO/D/MO/MC COMP/P/94682/08/2024"/>
    <m/>
    <x v="11"/>
    <d v="2024-08-05T00:00:00"/>
    <d v="2025-08-05T00:00:00"/>
    <s v="Muhammad Idrees"/>
    <s v="SUZUKI-GD-110S"/>
    <n v="14960.000000000002"/>
    <n v="12396.551724137933"/>
    <n v="4.2500000000000003E-2"/>
    <n v="14960.000000000002"/>
    <n v="12396.551724137933"/>
    <n v="0"/>
    <s v="146493"/>
    <d v="2024-08-05T00:00:00"/>
    <s v="MOTORCYCLE  COMPREHENSIVE"/>
    <n v="352000"/>
    <n v="1859.4827586206898"/>
    <n v="123.96551724137933"/>
    <n v="500"/>
  </r>
  <r>
    <s v="KHI/HO/D/MO/MC COMP/P/94683/08/2024"/>
    <m/>
    <x v="11"/>
    <d v="2024-08-05T00:00:00"/>
    <d v="2025-08-05T00:00:00"/>
    <s v="Muhammad Idrees"/>
    <s v="SUZUKI-GD-110S"/>
    <n v="14960.000000000002"/>
    <n v="12396.551724137933"/>
    <n v="4.2500000000000003E-2"/>
    <n v="14960.000000000002"/>
    <n v="12396.551724137933"/>
    <n v="0"/>
    <s v="146493"/>
    <d v="2024-08-05T00:00:00"/>
    <s v="MOTORCYCLE  COMPREHENSIVE"/>
    <n v="352000"/>
    <n v="1859.4827586206898"/>
    <n v="123.96551724137933"/>
    <n v="500"/>
  </r>
  <r>
    <s v="KHI/HO/D/MO/MC COMP/P/94684/08/2024"/>
    <m/>
    <x v="0"/>
    <d v="2024-08-05T00:00:00"/>
    <d v="2025-08-05T00:00:00"/>
    <s v="HAFIZ ASJID ZAMAN"/>
    <s v="SUZUKI-GD-110S"/>
    <n v="14960.000000000002"/>
    <n v="12396.551724137933"/>
    <n v="4.2500000000000003E-2"/>
    <n v="14960.000000000002"/>
    <n v="12396.551724137933"/>
    <n v="0"/>
    <s v="146665"/>
    <d v="2024-08-05T00:00:00"/>
    <s v="MOTORCYCLE  COMPREHENSIVE"/>
    <n v="352000"/>
    <n v="1859.4827586206898"/>
    <n v="123.96551724137933"/>
    <n v="500"/>
  </r>
  <r>
    <s v="KHI/HO/D/MO/MC COMP/P/94685/08/2024"/>
    <m/>
    <x v="0"/>
    <d v="2025-08-06T00:00:00"/>
    <d v="2026-08-06T00:00:00"/>
    <s v="HAFIZ ASJID ZAMAN"/>
    <s v="SUZUKI-GD-110S"/>
    <n v="14960.000000000002"/>
    <n v="12396.551724137933"/>
    <n v="4.2500000000000003E-2"/>
    <n v="14960.000000000002"/>
    <n v="12396.551724137933"/>
    <n v="0"/>
    <s v="146665"/>
    <d v="2024-08-05T00:00:00"/>
    <s v="MOTORCYCLE  COMPREHENSIVE"/>
    <n v="352000"/>
    <n v="1859.4827586206898"/>
    <n v="123.96551724137933"/>
    <n v="500"/>
  </r>
  <r>
    <s v="KHI/HO/D/MO/MC COMP/P/94686/08/2024"/>
    <m/>
    <x v="0"/>
    <d v="2024-08-05T00:00:00"/>
    <d v="2025-08-05T00:00:00"/>
    <s v="ADNAN AHMED KHAN"/>
    <s v="SUZUKI-GD-110S"/>
    <n v="14960.000000000002"/>
    <n v="12396.551724137933"/>
    <n v="4.2500000000000003E-2"/>
    <n v="14960.000000000002"/>
    <n v="12396.551724137933"/>
    <n v="0"/>
    <s v="146631"/>
    <d v="2024-08-05T00:00:00"/>
    <s v="MOTORCYCLE  COMPREHENSIVE"/>
    <n v="352000"/>
    <n v="1859.4827586206898"/>
    <n v="123.96551724137933"/>
    <n v="500"/>
  </r>
  <r>
    <s v="KHI/HO/D/MO/MC COMP/P/94687/08/2024"/>
    <m/>
    <x v="0"/>
    <d v="2025-08-06T00:00:00"/>
    <d v="2026-08-06T00:00:00"/>
    <s v="ADNAN AHMED KHAN"/>
    <s v="SUZUKI-GD-110S"/>
    <n v="14960.000000000002"/>
    <n v="12396.551724137933"/>
    <n v="4.2500000000000003E-2"/>
    <n v="14960.000000000002"/>
    <n v="12396.551724137933"/>
    <n v="0"/>
    <s v="146631"/>
    <d v="2024-08-05T00:00:00"/>
    <s v="MOTORCYCLE  COMPREHENSIVE"/>
    <n v="352000"/>
    <n v="1859.4827586206898"/>
    <n v="123.96551724137933"/>
    <n v="500"/>
  </r>
  <r>
    <s v="KHI/HO/D/MO/MC COMP/P/94688/08/2024"/>
    <m/>
    <x v="0"/>
    <d v="2024-08-05T00:00:00"/>
    <d v="2025-08-05T00:00:00"/>
    <s v="AZHAR ALI SIDDIQUI"/>
    <s v="SUZUKI-GS 150"/>
    <n v="16235.000000000002"/>
    <n v="13495.689655172417"/>
    <n v="4.2500000000000003E-2"/>
    <n v="16235.000000000002"/>
    <n v="13495.689655172417"/>
    <n v="0"/>
    <s v="30092342"/>
    <d v="2024-08-05T00:00:00"/>
    <s v="MOTORCYCLE  COMPREHENSIVE"/>
    <n v="382000"/>
    <n v="2024.3534482758625"/>
    <n v="134.95689655172416"/>
    <n v="500"/>
  </r>
  <r>
    <s v="KHI/HO/D/MO/MC COMP/P/94689/08/2024"/>
    <m/>
    <x v="0"/>
    <d v="2025-08-06T00:00:00"/>
    <d v="2026-08-06T00:00:00"/>
    <s v="AZHAR ALI SIDDIQUI"/>
    <s v="SUZUKI-GS 150"/>
    <n v="16235.000000000002"/>
    <n v="13495.689655172417"/>
    <n v="4.2500000000000003E-2"/>
    <n v="16235.000000000002"/>
    <n v="13495.689655172417"/>
    <n v="0"/>
    <s v="30092342"/>
    <d v="2024-08-05T00:00:00"/>
    <s v="MOTORCYCLE  COMPREHENSIVE"/>
    <n v="382000"/>
    <n v="2024.3534482758625"/>
    <n v="134.95689655172416"/>
    <n v="500"/>
  </r>
  <r>
    <s v="KHI/HO/D/MO/MC COMP/P/94690/08/2024"/>
    <m/>
    <x v="11"/>
    <d v="2024-08-05T00:00:00"/>
    <d v="2025-08-05T00:00:00"/>
    <s v="Naveed Khan"/>
    <s v="SUZUKI-GS 150"/>
    <n v="16235.000000000002"/>
    <n v="13495.689655172417"/>
    <n v="4.2500000000000003E-2"/>
    <n v="16235.000000000002"/>
    <n v="13495.689655172417"/>
    <n v="0"/>
    <s v="30091920"/>
    <d v="2024-08-05T00:00:00"/>
    <s v="MOTORCYCLE  COMPREHENSIVE"/>
    <n v="382000"/>
    <n v="2024.3534482758625"/>
    <n v="134.95689655172416"/>
    <n v="500"/>
  </r>
  <r>
    <s v="KHI/HO/D/MO/MC COMP/P/94691/08/2024"/>
    <m/>
    <x v="11"/>
    <d v="2025-08-06T00:00:00"/>
    <d v="2026-08-06T00:00:00"/>
    <s v="Naveed Khan"/>
    <s v="SUZUKI-GS 150"/>
    <n v="16235.000000000002"/>
    <n v="13495.689655172417"/>
    <n v="4.2500000000000003E-2"/>
    <n v="16235.000000000002"/>
    <n v="13495.689655172417"/>
    <n v="0"/>
    <s v="30091920"/>
    <d v="2024-08-05T00:00:00"/>
    <s v="MOTORCYCLE  COMPREHENSIVE"/>
    <n v="382000"/>
    <n v="2024.3534482758625"/>
    <n v="134.95689655172416"/>
    <n v="500"/>
  </r>
  <r>
    <s v="KHI/HO/D/MO/MC COMP/P/94692/08/2024"/>
    <m/>
    <x v="11"/>
    <d v="2024-08-05T00:00:00"/>
    <d v="2025-08-05T00:00:00"/>
    <s v="Syed Qammar Ali Shah"/>
    <s v="SUZUKI-GS 150"/>
    <n v="16235.000000000002"/>
    <n v="13495.689655172417"/>
    <n v="4.2500000000000003E-2"/>
    <n v="16235.000000000002"/>
    <n v="13495.689655172417"/>
    <n v="0"/>
    <s v="30092438"/>
    <d v="2024-08-05T00:00:00"/>
    <s v="MOTORCYCLE  COMPREHENSIVE"/>
    <n v="382000"/>
    <n v="2024.3534482758625"/>
    <n v="134.95689655172416"/>
    <n v="500"/>
  </r>
  <r>
    <s v="KHI/HO/D/MO/MC COMP/P/94693/08/2024"/>
    <m/>
    <x v="11"/>
    <d v="2025-08-06T00:00:00"/>
    <d v="2026-08-06T00:00:00"/>
    <s v="Syed Qammar Ali Shah"/>
    <s v="SUZUKI-GS 150"/>
    <n v="16235.000000000002"/>
    <n v="13495.689655172417"/>
    <n v="4.2500000000000003E-2"/>
    <n v="16235.000000000002"/>
    <n v="13495.689655172417"/>
    <n v="0"/>
    <s v="30092438"/>
    <d v="2024-08-05T00:00:00"/>
    <s v="MOTORCYCLE  COMPREHENSIVE"/>
    <n v="382000"/>
    <n v="2024.3534482758625"/>
    <n v="134.95689655172416"/>
    <n v="500"/>
  </r>
  <r>
    <s v="KHI/HO/D/MO/MC COMP/P/94706/08/2024"/>
    <m/>
    <x v="17"/>
    <d v="2024-08-06T00:00:00"/>
    <d v="2025-08-06T00:00:00"/>
    <s v="PAK LITE ELECTRICAL INDUSTRY"/>
    <s v="SUZUKI-GD-110S"/>
    <n v="8800"/>
    <n v="7155"/>
    <m/>
    <m/>
    <m/>
    <m/>
    <s v="146308"/>
    <d v="2024-08-06T00:00:00"/>
    <s v="MOTORCYCLE  COMPREHENSIVE"/>
    <n v="352000"/>
    <n v="1073.25"/>
    <n v="71.55"/>
    <n v="500"/>
  </r>
  <r>
    <s v="KHI/HO/D/MO/MC COMP/P/94711/08/2024"/>
    <m/>
    <x v="3"/>
    <d v="2024-08-06T00:00:00"/>
    <d v="2025-08-06T00:00:00"/>
    <s v="MUHAMMAD RIAZ"/>
    <s v="SUZUKI-GD-110S"/>
    <n v="8800"/>
    <n v="7155"/>
    <m/>
    <m/>
    <m/>
    <m/>
    <s v="144947"/>
    <d v="2024-08-06T00:00:00"/>
    <s v="MOTORCYCLE  COMPREHENSIVE"/>
    <n v="352000"/>
    <n v="1073.25"/>
    <n v="71.55"/>
    <n v="500"/>
  </r>
  <r>
    <s v="KHI/HO/D/MO/MC COMP/P/94715/08/2024"/>
    <m/>
    <x v="3"/>
    <d v="2024-08-06T00:00:00"/>
    <d v="2025-08-06T00:00:00"/>
    <s v="WASEEM ASIF"/>
    <s v="SUZUKI-GD-110S"/>
    <n v="8800"/>
    <n v="7155"/>
    <m/>
    <m/>
    <m/>
    <m/>
    <s v="144284"/>
    <d v="2024-08-06T00:00:00"/>
    <s v="MOTORCYCLE  COMPREHENSIVE"/>
    <n v="352000"/>
    <n v="1073.25"/>
    <n v="71.55"/>
    <n v="500"/>
  </r>
  <r>
    <s v="KHI/HO/D/MO/MC COMP/P/94717/08/2024"/>
    <m/>
    <x v="13"/>
    <d v="2024-08-06T00:00:00"/>
    <d v="2025-08-06T00:00:00"/>
    <s v="Kamran Rauf Khan"/>
    <s v="SUZUKI-GD-110S"/>
    <n v="8800"/>
    <n v="7155"/>
    <m/>
    <m/>
    <m/>
    <m/>
    <s v="145438"/>
    <d v="2024-08-06T00:00:00"/>
    <s v="MOTORCYCLE  COMPREHENSIVE"/>
    <n v="352000"/>
    <n v="1073.25"/>
    <n v="71.55"/>
    <n v="500"/>
  </r>
  <r>
    <s v="KHI/HO/D/MO/MC COMP/P/94718/08/2024"/>
    <m/>
    <x v="3"/>
    <d v="2024-08-06T00:00:00"/>
    <d v="2025-08-06T00:00:00"/>
    <s v="MUHAMMAD WASEEM MUKHTAR"/>
    <s v="SUZUKI-GD-110S"/>
    <n v="8800"/>
    <n v="7155"/>
    <m/>
    <m/>
    <m/>
    <m/>
    <s v="143472"/>
    <d v="2024-08-06T00:00:00"/>
    <s v="MOTORCYCLE  COMPREHENSIVE"/>
    <n v="352000"/>
    <n v="1073.25"/>
    <n v="71.55"/>
    <n v="500"/>
  </r>
  <r>
    <s v="KHI/HO/D/MO/MC COMP/P/94721/08/2024"/>
    <m/>
    <x v="13"/>
    <d v="2024-08-06T00:00:00"/>
    <d v="2025-08-06T00:00:00"/>
    <s v="Muhammad Shahid Munir"/>
    <s v="SUZUKI-GS 150"/>
    <n v="9550"/>
    <n v="7802"/>
    <m/>
    <m/>
    <m/>
    <m/>
    <s v="30092208"/>
    <d v="2024-08-06T00:00:00"/>
    <s v="MOTORCYCLE  COMPREHENSIVE"/>
    <n v="382000"/>
    <n v="1170.3"/>
    <n v="78.02"/>
    <n v="500"/>
  </r>
  <r>
    <s v="KHI/HO/D/MO/MC COMP/P/94724/08/2024"/>
    <m/>
    <x v="18"/>
    <d v="2024-08-06T00:00:00"/>
    <d v="2025-08-06T00:00:00"/>
    <s v="ABDUL HAKEEM"/>
    <s v="SUZUKI-GS 150"/>
    <n v="9550"/>
    <n v="7802"/>
    <m/>
    <m/>
    <m/>
    <m/>
    <s v="30092275"/>
    <d v="2024-08-06T00:00:00"/>
    <s v="MOTORCYCLE  COMPREHENSIVE"/>
    <n v="382000"/>
    <n v="1170.3"/>
    <n v="78.02"/>
    <n v="500"/>
  </r>
  <r>
    <s v="KHI/HO/D/MO/MC COMP/P/94727/08/2024"/>
    <m/>
    <x v="18"/>
    <d v="2024-08-06T00:00:00"/>
    <d v="2025-08-06T00:00:00"/>
    <s v="SUHAIB UL REHMAN"/>
    <s v="SUZUKI-GS 150"/>
    <n v="9550"/>
    <n v="7802"/>
    <m/>
    <m/>
    <m/>
    <m/>
    <s v="30092182"/>
    <d v="2024-08-06T00:00:00"/>
    <s v="MOTORCYCLE  COMPREHENSIVE"/>
    <n v="382000"/>
    <n v="1170.3"/>
    <n v="78.02"/>
    <n v="500"/>
  </r>
  <r>
    <s v="KHI/HO/D/MO/MC COMP/P/94728/08/2024"/>
    <m/>
    <x v="13"/>
    <d v="2024-08-06T00:00:00"/>
    <d v="2025-08-06T00:00:00"/>
    <s v="Ahmad Hassan"/>
    <s v="SUZUKI-GD-110S"/>
    <n v="8800"/>
    <n v="7155"/>
    <m/>
    <m/>
    <m/>
    <m/>
    <s v="145712"/>
    <d v="2024-08-06T00:00:00"/>
    <s v="MOTORCYCLE  COMPREHENSIVE"/>
    <n v="352000"/>
    <n v="1073.25"/>
    <n v="71.55"/>
    <n v="500"/>
  </r>
  <r>
    <s v="KHI/HO/D/MO/MC COMP/P/94729/08/2024"/>
    <m/>
    <x v="18"/>
    <d v="2024-08-06T00:00:00"/>
    <d v="2025-08-06T00:00:00"/>
    <s v="MUHAMMAD NAVEED"/>
    <s v="SUZUKI-GD-110S"/>
    <n v="8800"/>
    <n v="7155"/>
    <m/>
    <m/>
    <m/>
    <m/>
    <s v="145594"/>
    <d v="2024-08-06T00:00:00"/>
    <s v="MOTORCYCLE  COMPREHENSIVE"/>
    <n v="352000"/>
    <n v="1073.25"/>
    <n v="71.55"/>
    <n v="500"/>
  </r>
  <r>
    <s v="KHI/HO/D/MO/MC COMP/P/94730/08/2024"/>
    <m/>
    <x v="18"/>
    <d v="2024-08-06T00:00:00"/>
    <d v="2025-08-06T00:00:00"/>
    <s v="MUHAMMAD ZAKKI"/>
    <s v="SUZUKI-GS 150"/>
    <n v="9550"/>
    <n v="7802"/>
    <m/>
    <m/>
    <m/>
    <m/>
    <s v="30092190"/>
    <d v="2024-08-06T00:00:00"/>
    <s v="MOTORCYCLE  COMPREHENSIVE"/>
    <n v="382000"/>
    <n v="1170.3"/>
    <n v="78.02"/>
    <n v="500"/>
  </r>
  <r>
    <s v="KHI/HO/D/MO/MC COMP/P/94732/08/2024"/>
    <m/>
    <x v="18"/>
    <d v="2024-08-06T00:00:00"/>
    <d v="2025-08-06T00:00:00"/>
    <s v="NAVEED AHMAD"/>
    <s v="SUZUKI-GD-110S"/>
    <n v="8800"/>
    <n v="7155"/>
    <m/>
    <m/>
    <m/>
    <m/>
    <s v="144457"/>
    <d v="2024-08-06T00:00:00"/>
    <s v="MOTORCYCLE  COMPREHENSIVE"/>
    <n v="352000"/>
    <n v="1073.25"/>
    <n v="71.55"/>
    <n v="500"/>
  </r>
  <r>
    <s v="KHI/HO/D/MO/MC COMP/P/94733/08/2024"/>
    <m/>
    <x v="13"/>
    <d v="2024-08-06T00:00:00"/>
    <d v="2025-08-06T00:00:00"/>
    <s v="Salamat Ali"/>
    <s v="SUZUKI-GS 150"/>
    <n v="9550"/>
    <n v="7802"/>
    <m/>
    <m/>
    <m/>
    <m/>
    <s v="30092214"/>
    <d v="2024-08-06T00:00:00"/>
    <s v="MOTORCYCLE  COMPREHENSIVE"/>
    <n v="382000"/>
    <n v="1170.3"/>
    <n v="78.02"/>
    <n v="500"/>
  </r>
  <r>
    <s v="KHI/HO/D/MO/MC COMP/P/94734/08/2024"/>
    <m/>
    <x v="18"/>
    <d v="2024-08-06T00:00:00"/>
    <d v="2025-08-06T00:00:00"/>
    <s v="IRFAN ALI SHEHZADA"/>
    <s v="SUZUKI-GS 150"/>
    <n v="9550"/>
    <n v="7802"/>
    <m/>
    <m/>
    <m/>
    <m/>
    <s v="30092232"/>
    <d v="2024-08-06T00:00:00"/>
    <s v="MOTORCYCLE  COMPREHENSIVE"/>
    <n v="382000"/>
    <n v="1170.3"/>
    <n v="78.02"/>
    <n v="500"/>
  </r>
  <r>
    <s v="KHI/HO/D/MO/MC COMP/P/94735/08/2024"/>
    <m/>
    <x v="18"/>
    <d v="2024-08-06T00:00:00"/>
    <d v="2025-08-06T00:00:00"/>
    <s v="IRFAN ALI SHEHZADA"/>
    <s v="SUZUKI-GS 150"/>
    <n v="9550"/>
    <n v="7802"/>
    <m/>
    <m/>
    <m/>
    <m/>
    <s v="30092232"/>
    <d v="2024-08-06T00:00:00"/>
    <s v="MOTORCYCLE  COMPREHENSIVE"/>
    <n v="382000"/>
    <n v="1170.3"/>
    <n v="78.02"/>
    <n v="500"/>
  </r>
  <r>
    <s v="KHI/HO/D/MO/MC COMP/P/94737/08/2024"/>
    <m/>
    <x v="13"/>
    <d v="2024-08-06T00:00:00"/>
    <d v="2025-08-06T00:00:00"/>
    <s v="Waqar Azam"/>
    <s v="SUZUKI-GS 150"/>
    <n v="9550"/>
    <n v="7802"/>
    <m/>
    <m/>
    <m/>
    <m/>
    <s v="30092337"/>
    <d v="2024-08-06T00:00:00"/>
    <s v="MOTORCYCLE  COMPREHENSIVE"/>
    <n v="382000"/>
    <n v="1170.3"/>
    <n v="78.02"/>
    <n v="500"/>
  </r>
  <r>
    <s v="KHI/HO/D/MO/MC COMP/P/94738/08/2024"/>
    <m/>
    <x v="18"/>
    <d v="2024-08-06T00:00:00"/>
    <d v="2025-08-06T00:00:00"/>
    <s v="SHEHWAR RAFIQUE"/>
    <s v="SUZUKI-GS 150"/>
    <n v="9550"/>
    <n v="7802"/>
    <m/>
    <m/>
    <m/>
    <m/>
    <s v="30092380"/>
    <d v="2024-08-06T00:00:00"/>
    <s v="MOTORCYCLE  COMPREHENSIVE"/>
    <n v="382000"/>
    <n v="1170.3"/>
    <n v="78.02"/>
    <n v="500"/>
  </r>
  <r>
    <s v="KHI/HO/D/MO/MC COMP/P/94740/08/2024"/>
    <m/>
    <x v="8"/>
    <d v="2024-08-06T00:00:00"/>
    <d v="2025-08-06T00:00:00"/>
    <s v="Amanant Ali Shahid"/>
    <s v="SUZUKI-GD-110S"/>
    <n v="8800"/>
    <n v="7155"/>
    <m/>
    <m/>
    <m/>
    <m/>
    <s v="144878"/>
    <d v="2024-08-06T00:00:00"/>
    <s v="MOTORCYCLE  COMPREHENSIVE"/>
    <n v="352000"/>
    <n v="1073.25"/>
    <n v="71.55"/>
    <n v="500"/>
  </r>
  <r>
    <s v="KHI/HO/D/MO/MC COMP/P/94741/08/2024"/>
    <m/>
    <x v="8"/>
    <d v="2024-08-06T00:00:00"/>
    <d v="2025-08-06T00:00:00"/>
    <s v="Usman Mughal"/>
    <s v="SUZUKI-GD-110S"/>
    <n v="8800"/>
    <n v="7155"/>
    <m/>
    <m/>
    <m/>
    <m/>
    <s v="145423"/>
    <d v="2024-08-06T00:00:00"/>
    <s v="MOTORCYCLE  COMPREHENSIVE"/>
    <n v="352000"/>
    <n v="1073.25"/>
    <n v="71.55"/>
    <n v="500"/>
  </r>
  <r>
    <s v="KHI/HO/D/MO/MC COMP/P/94742/08/2024"/>
    <m/>
    <x v="8"/>
    <d v="2024-08-06T00:00:00"/>
    <d v="2025-08-06T00:00:00"/>
    <s v="Usman Mughal"/>
    <s v="SUZUKI-GD-110S"/>
    <n v="8800"/>
    <n v="7155"/>
    <m/>
    <m/>
    <m/>
    <m/>
    <s v="145423"/>
    <d v="2024-08-06T00:00:00"/>
    <s v="MOTORCYCLE  COMPREHENSIVE"/>
    <n v="352000"/>
    <n v="1073.25"/>
    <n v="71.55"/>
    <n v="500"/>
  </r>
  <r>
    <s v="KHI/HO/D/MO/MC COMP/P/94744/08/2024"/>
    <m/>
    <x v="15"/>
    <d v="2024-08-06T00:00:00"/>
    <d v="2025-08-06T00:00:00"/>
    <s v="NOUMAN AMEEN"/>
    <s v="SUZUKI-GD-110S"/>
    <n v="8800"/>
    <n v="7155"/>
    <m/>
    <m/>
    <m/>
    <m/>
    <s v="146066"/>
    <d v="2024-08-06T00:00:00"/>
    <s v="MOTORCYCLE  COMPREHENSIVE"/>
    <n v="352000"/>
    <n v="1073.25"/>
    <n v="71.55"/>
    <n v="500"/>
  </r>
  <r>
    <s v="KHI/HO/D/MO/MC COMP/P/94745/08/2024"/>
    <m/>
    <x v="8"/>
    <d v="2024-08-06T00:00:00"/>
    <d v="2025-08-06T00:00:00"/>
    <s v="Saif Ali Khan"/>
    <s v="SUZUKI-GD-110S"/>
    <n v="8800"/>
    <n v="7155"/>
    <m/>
    <m/>
    <m/>
    <m/>
    <s v="142331"/>
    <d v="2024-08-06T00:00:00"/>
    <s v="MOTORCYCLE  COMPREHENSIVE"/>
    <n v="352000"/>
    <n v="1073.25"/>
    <n v="71.55"/>
    <n v="500"/>
  </r>
  <r>
    <s v="KHI/HO/D/MO/MC COMP/P/94749/08/2024"/>
    <m/>
    <x v="8"/>
    <d v="2024-08-06T00:00:00"/>
    <d v="2025-08-06T00:00:00"/>
    <s v="Hamza"/>
    <s v="SUZUKI-GS-150"/>
    <n v="9550"/>
    <n v="7802"/>
    <m/>
    <m/>
    <m/>
    <m/>
    <s v="30091913"/>
    <d v="2024-08-06T00:00:00"/>
    <s v="MOTORCYCLE  COMPREHENSIVE"/>
    <n v="382000"/>
    <n v="1170.3"/>
    <n v="78.02"/>
    <n v="500"/>
  </r>
  <r>
    <s v="KHI/HO/D/MO/MC COMP/P/94752/08/2024"/>
    <m/>
    <x v="7"/>
    <d v="2024-08-06T00:00:00"/>
    <d v="2025-08-06T00:00:00"/>
    <s v="MUHAMMAD KHIZER"/>
    <s v="SUZUKI-GS 150"/>
    <n v="16235.000000000002"/>
    <n v="13495.689655172417"/>
    <n v="4.2500000000000003E-2"/>
    <n v="16235.000000000002"/>
    <n v="13495.689655172417"/>
    <n v="0"/>
    <s v="30092514"/>
    <d v="2024-08-06T00:00:00"/>
    <s v="MOTORCYCLE  COMPREHENSIVE"/>
    <n v="382000"/>
    <n v="2024.3534482758625"/>
    <n v="134.95689655172416"/>
    <n v="500"/>
  </r>
  <r>
    <s v="KHI/HO/D/MO/MC COMP/P/94758/08/2024"/>
    <m/>
    <x v="8"/>
    <d v="2024-08-06T00:00:00"/>
    <d v="2025-08-06T00:00:00"/>
    <s v="Muhammad Saleem"/>
    <s v="SUZUKI-GD-110S"/>
    <n v="8800"/>
    <n v="7155"/>
    <m/>
    <m/>
    <m/>
    <m/>
    <s v="144884"/>
    <d v="2024-08-06T00:00:00"/>
    <s v="MOTORCYCLE  COMPREHENSIVE"/>
    <n v="352000"/>
    <n v="1073.25"/>
    <n v="71.55"/>
    <n v="500"/>
  </r>
  <r>
    <s v="KHI/HO/D/MO/MC COMP/P/94766/08/2024"/>
    <m/>
    <x v="16"/>
    <d v="2024-08-06T00:00:00"/>
    <d v="2025-08-06T00:00:00"/>
    <s v="Ali Nawaz"/>
    <s v="SUZUKI-GS 150"/>
    <n v="16235"/>
    <n v="13565"/>
    <m/>
    <m/>
    <m/>
    <m/>
    <s v="30092397"/>
    <d v="2024-08-06T00:00:00"/>
    <s v="MOTORCYCLE  COMPREHENSIVE"/>
    <n v="382000"/>
    <n v="2034.75"/>
    <n v="135.65"/>
    <n v="500"/>
  </r>
  <r>
    <s v="KHI/HO/D/MO/MC COMP/P/94767/08/2024"/>
    <m/>
    <x v="16"/>
    <d v="2025-08-07T00:00:00"/>
    <d v="2026-08-07T00:00:00"/>
    <s v="Ali Nawaz"/>
    <s v="SUZUKI-GS 150"/>
    <n v="16235"/>
    <n v="13565"/>
    <m/>
    <m/>
    <m/>
    <m/>
    <s v="30092397"/>
    <d v="2024-08-06T00:00:00"/>
    <s v="MOTORCYCLE  COMPREHENSIVE"/>
    <n v="382000"/>
    <n v="2034.75"/>
    <n v="135.65"/>
    <n v="500"/>
  </r>
  <r>
    <s v="KHI/HO/D/MO/MC COMP/P/94768/08/2024"/>
    <m/>
    <x v="17"/>
    <d v="2024-08-06T00:00:00"/>
    <d v="2025-08-06T00:00:00"/>
    <s v="ANSAR ALI"/>
    <s v="SUZUKI-GR150 EURO II"/>
    <n v="13675"/>
    <n v="11358"/>
    <m/>
    <m/>
    <m/>
    <m/>
    <s v="113365"/>
    <d v="2024-08-06T00:00:00"/>
    <s v="MOTORCYCLE  COMPREHENSIVE"/>
    <n v="547000"/>
    <n v="1703.7"/>
    <n v="113.58"/>
    <n v="500"/>
  </r>
  <r>
    <s v="KHI/HO/D/MO/MC COMP/P/94769/08/2024"/>
    <m/>
    <x v="8"/>
    <d v="2024-08-06T00:00:00"/>
    <d v="2025-08-06T00:00:00"/>
    <s v="MUHAMMAD AHMED"/>
    <s v="SUZUKI-GD-110S"/>
    <n v="8800"/>
    <n v="7155"/>
    <m/>
    <m/>
    <m/>
    <m/>
    <s v="143235"/>
    <d v="2024-08-06T00:00:00"/>
    <s v="MOTORCYCLE  COMPREHENSIVE"/>
    <n v="352000"/>
    <n v="1073.25"/>
    <n v="71.55"/>
    <n v="500"/>
  </r>
  <r>
    <s v="KHI/HO/D/MO/MC COMP/P/94775/08/2024"/>
    <m/>
    <x v="16"/>
    <d v="2024-08-06T00:00:00"/>
    <d v="2025-08-06T00:00:00"/>
    <s v="Kaleem Uddin"/>
    <s v="SUZUKI-GS 150"/>
    <n v="16235"/>
    <n v="13565"/>
    <m/>
    <m/>
    <m/>
    <m/>
    <s v="30092393"/>
    <d v="2024-08-06T00:00:00"/>
    <s v="MOTORCYCLE  COMPREHENSIVE"/>
    <n v="382000"/>
    <n v="2034.75"/>
    <n v="135.65"/>
    <n v="500"/>
  </r>
  <r>
    <s v="KHI/HO/D/MO/MC COMP/P/94776/08/2024"/>
    <m/>
    <x v="16"/>
    <d v="2024-08-06T00:00:00"/>
    <d v="2025-08-06T00:00:00"/>
    <s v="Muhammad Saleem"/>
    <s v="SUZUKI-GS 150"/>
    <n v="16235"/>
    <n v="13565"/>
    <m/>
    <m/>
    <m/>
    <m/>
    <s v="30092403"/>
    <d v="2024-08-06T00:00:00"/>
    <s v="MOTORCYCLE  COMPREHENSIVE"/>
    <n v="382000"/>
    <n v="2034.75"/>
    <n v="135.65"/>
    <n v="500"/>
  </r>
  <r>
    <s v="KHI/HO/D/MO/MC COMP/P/94777/08/2024"/>
    <m/>
    <x v="16"/>
    <d v="2024-08-06T00:00:00"/>
    <d v="2025-08-06T00:00:00"/>
    <s v="Gul Hassan"/>
    <s v="SUZUKI-GR150 EURO II"/>
    <n v="23248"/>
    <n v="19610"/>
    <m/>
    <m/>
    <m/>
    <m/>
    <s v="113354"/>
    <d v="2024-08-06T00:00:00"/>
    <s v="MOTORCYCLE  COMPREHENSIVE"/>
    <n v="547000"/>
    <n v="2941.5"/>
    <n v="196.1"/>
    <n v="500"/>
  </r>
  <r>
    <s v="KHI/HO/D/MO/MC COMP/P/94778/08/2024"/>
    <m/>
    <x v="16"/>
    <d v="2024-08-06T00:00:00"/>
    <d v="2025-08-06T00:00:00"/>
    <s v="Yasir Khan_x000a_Cnic no. : 41304-9656580-9_x000a_Mobile no : 0316-3110451"/>
    <s v="SUZUKI-GSX 125"/>
    <n v="21208"/>
    <n v="17852"/>
    <m/>
    <m/>
    <m/>
    <m/>
    <s v="23100030"/>
    <d v="2024-08-06T00:00:00"/>
    <s v="MOTORCYCLE  COMPREHENSIVE"/>
    <n v="499000"/>
    <n v="2677.8"/>
    <n v="178.52"/>
    <n v="500"/>
  </r>
  <r>
    <s v="KHI/HO/D/MO/MC COMP/P/94797/08/2024"/>
    <m/>
    <x v="10"/>
    <d v="2024-08-07T00:00:00"/>
    <d v="2025-08-07T00:00:00"/>
    <s v="HIMALAYIAN KARAKORAM ENTERPRISE"/>
    <s v="SUZUKI-GD-110S"/>
    <n v="14960"/>
    <n v="12466"/>
    <m/>
    <m/>
    <m/>
    <m/>
    <s v="146387"/>
    <d v="2024-08-07T00:00:00"/>
    <s v="MOTORCYCLE  COMPREHENSIVE"/>
    <n v="352000"/>
    <n v="1869.9"/>
    <n v="124.66"/>
    <n v="500"/>
  </r>
  <r>
    <s v="KHI/HO/D/MO/MC COMP/P/94800/08/2024"/>
    <m/>
    <x v="9"/>
    <d v="2024-08-07T00:00:00"/>
    <d v="2025-08-07T00:00:00"/>
    <s v="NADEEM AKHTAR S/O MUHAMMAD AKRAM"/>
    <s v="SUZUKI-GD-110S"/>
    <n v="8800"/>
    <n v="7155"/>
    <m/>
    <m/>
    <m/>
    <m/>
    <s v="145836"/>
    <d v="2024-08-07T00:00:00"/>
    <s v="MOTORCYCLE  COMPREHENSIVE"/>
    <n v="352000"/>
    <n v="1073.25"/>
    <n v="71.55"/>
    <n v="500"/>
  </r>
  <r>
    <s v="KHI/HO/D/MO/MC COMP/P/94802/08/2024"/>
    <m/>
    <x v="17"/>
    <d v="2024-08-07T00:00:00"/>
    <d v="2025-08-07T00:00:00"/>
    <s v="NUMAN ALTAF"/>
    <s v="SUZUKI-GSX 125"/>
    <n v="12475"/>
    <n v="10323"/>
    <m/>
    <m/>
    <m/>
    <m/>
    <s v="23102538"/>
    <d v="2024-08-07T00:00:00"/>
    <s v="MOTORCYCLE  COMPREHENSIVE"/>
    <n v="499000"/>
    <n v="1548.45"/>
    <n v="103.23"/>
    <n v="500"/>
  </r>
  <r>
    <s v="KHI/HO/D/MO/MC COMP/P/94803/08/2024"/>
    <m/>
    <x v="9"/>
    <d v="2024-08-07T00:00:00"/>
    <d v="2025-08-07T00:00:00"/>
    <s v="AWAIS ARSHAD S/O ARSHAD MEHMOOD"/>
    <s v="SUZUKI-GD-110S"/>
    <n v="8800"/>
    <n v="7155"/>
    <m/>
    <m/>
    <m/>
    <m/>
    <s v="143878"/>
    <d v="2024-08-07T00:00:00"/>
    <s v="MOTORCYCLE  COMPREHENSIVE"/>
    <n v="352000"/>
    <n v="1073.25"/>
    <n v="71.55"/>
    <n v="500"/>
  </r>
  <r>
    <s v="KHI/HO/D/MO/MC COMP/P/94805/08/2024"/>
    <m/>
    <x v="10"/>
    <d v="2024-08-07T00:00:00"/>
    <d v="2025-08-07T00:00:00"/>
    <s v="GHAZANFAR ALI"/>
    <s v="SUZUKI-GR150 EURO II"/>
    <n v="23248"/>
    <n v="19610"/>
    <m/>
    <m/>
    <m/>
    <m/>
    <s v="113394"/>
    <d v="2024-08-07T00:00:00"/>
    <s v="MOTORCYCLE  COMPREHENSIVE"/>
    <n v="547000"/>
    <n v="2941.5"/>
    <n v="196.1"/>
    <n v="500"/>
  </r>
  <r>
    <s v="KHI/HO/D/MO/MC COMP/P/94806/08/2024"/>
    <m/>
    <x v="10"/>
    <d v="2025-08-08T00:00:00"/>
    <d v="2026-08-08T00:00:00"/>
    <s v="GHAZANFAR ALI"/>
    <s v="SUZUKI-GR150 EURO II"/>
    <n v="23248"/>
    <n v="19610"/>
    <m/>
    <m/>
    <m/>
    <m/>
    <s v="113394"/>
    <d v="2024-08-07T00:00:00"/>
    <s v="MOTORCYCLE  COMPREHENSIVE"/>
    <n v="547000"/>
    <n v="2941.5"/>
    <n v="196.1"/>
    <n v="500"/>
  </r>
  <r>
    <s v="KHI/HO/D/MO/MC COMP/P/94810/08/2024"/>
    <m/>
    <x v="1"/>
    <d v="2024-08-07T00:00:00"/>
    <d v="2025-08-07T00:00:00"/>
    <s v="RASHID AMIN ANSARI"/>
    <s v="SUZUKI-GD-110S"/>
    <n v="14960"/>
    <n v="12466"/>
    <m/>
    <m/>
    <m/>
    <m/>
    <s v="145855"/>
    <d v="2024-08-07T00:00:00"/>
    <s v="MOTORCYCLE  COMPREHENSIVE"/>
    <n v="352000"/>
    <n v="1869.9"/>
    <n v="124.66"/>
    <n v="500"/>
  </r>
  <r>
    <s v="KHI/HO/D/MO/MC COMP/P/94811/08/2024"/>
    <m/>
    <x v="1"/>
    <d v="2025-08-08T00:00:00"/>
    <d v="2026-08-08T00:00:00"/>
    <s v="RASHID AMIN ANSARI"/>
    <s v="SUZUKI-GD-110S"/>
    <n v="14960"/>
    <n v="12466"/>
    <m/>
    <m/>
    <m/>
    <m/>
    <s v="145855"/>
    <d v="2024-08-07T00:00:00"/>
    <s v="MOTORCYCLE  COMPREHENSIVE"/>
    <n v="352000"/>
    <n v="1869.9"/>
    <n v="124.66"/>
    <n v="500"/>
  </r>
  <r>
    <s v="KHI/HO/D/MO/MC COMP/P/94812/08/2024"/>
    <m/>
    <x v="1"/>
    <d v="2024-08-07T00:00:00"/>
    <d v="2025-08-07T00:00:00"/>
    <s v="MUDASIR MUSHTAQ"/>
    <s v="SUZUKI-GD-110S"/>
    <n v="14960"/>
    <n v="12466"/>
    <m/>
    <m/>
    <m/>
    <m/>
    <s v="144539"/>
    <d v="2024-08-07T00:00:00"/>
    <s v="MOTORCYCLE  COMPREHENSIVE"/>
    <n v="352000"/>
    <n v="1869.9"/>
    <n v="124.66"/>
    <n v="500"/>
  </r>
  <r>
    <s v="KHI/HO/D/MO/MC COMP/P/94813/08/2024"/>
    <m/>
    <x v="19"/>
    <d v="2024-08-07T00:00:00"/>
    <d v="2025-08-07T00:00:00"/>
    <s v="SALMAN MAHBOOB"/>
    <s v="SUZUKI-GD-110S"/>
    <n v="8800"/>
    <n v="7155"/>
    <m/>
    <m/>
    <m/>
    <m/>
    <s v="145670"/>
    <d v="2024-08-07T00:00:00"/>
    <s v="MOTORCYCLE  COMPREHENSIVE"/>
    <n v="352000"/>
    <n v="1073.25"/>
    <n v="71.55"/>
    <n v="500"/>
  </r>
  <r>
    <s v="KHI/HO/D/MO/MC COMP/P/94814/08/2024"/>
    <m/>
    <x v="19"/>
    <d v="2024-08-07T00:00:00"/>
    <d v="2025-08-07T00:00:00"/>
    <s v="SAROOSH FAROOQ"/>
    <s v="SUZUKI-GD-110S"/>
    <n v="8800"/>
    <n v="7155"/>
    <m/>
    <m/>
    <m/>
    <m/>
    <s v="145571"/>
    <d v="2024-08-07T00:00:00"/>
    <s v="MOTORCYCLE  COMPREHENSIVE"/>
    <n v="352000"/>
    <n v="1073.25"/>
    <n v="71.55"/>
    <n v="500"/>
  </r>
  <r>
    <s v="KHI/HO/D/MO/MC COMP/P/94815/08/2024"/>
    <m/>
    <x v="1"/>
    <d v="2024-08-07T00:00:00"/>
    <d v="2025-08-07T00:00:00"/>
    <s v="MUHAMMAD SAAD ZAHID"/>
    <s v="SUZUKI-GS 150"/>
    <n v="16235"/>
    <n v="13565"/>
    <m/>
    <m/>
    <m/>
    <m/>
    <s v="30092347"/>
    <d v="2024-08-07T00:00:00"/>
    <s v="MOTORCYCLE  COMPREHENSIVE"/>
    <n v="382000"/>
    <n v="2034.75"/>
    <n v="135.65"/>
    <n v="500"/>
  </r>
  <r>
    <s v="KHI/HO/D/MO/MC COMP/P/94816/08/2024"/>
    <m/>
    <x v="1"/>
    <d v="2025-08-08T00:00:00"/>
    <d v="2026-08-08T00:00:00"/>
    <s v="MUHAMMAD SAAD ZAHID"/>
    <s v="SUZUKI-GS 150"/>
    <n v="16235"/>
    <n v="13565"/>
    <m/>
    <m/>
    <m/>
    <m/>
    <s v="30092347"/>
    <d v="2024-08-07T00:00:00"/>
    <s v="MOTORCYCLE  COMPREHENSIVE"/>
    <n v="382000"/>
    <n v="2034.75"/>
    <n v="135.65"/>
    <n v="500"/>
  </r>
  <r>
    <s v="KHI/HO/D/MO/MC COMP/P/94827/08/2024"/>
    <m/>
    <x v="1"/>
    <d v="2024-08-07T00:00:00"/>
    <d v="2025-08-07T00:00:00"/>
    <s v="ASAD SHAMIM"/>
    <s v="SUZUKI-GD-110S"/>
    <n v="14960"/>
    <n v="12466"/>
    <m/>
    <m/>
    <m/>
    <m/>
    <s v="146632"/>
    <d v="2024-08-07T00:00:00"/>
    <s v="MOTORCYCLE  COMPREHENSIVE"/>
    <n v="352000"/>
    <n v="1869.9"/>
    <n v="124.66"/>
    <n v="500"/>
  </r>
  <r>
    <s v="KHI/HO/D/MO/MC COMP/P/94829/08/2024"/>
    <m/>
    <x v="3"/>
    <d v="2024-08-07T00:00:00"/>
    <d v="2025-08-07T00:00:00"/>
    <s v="MUHAMMAD AYAZ SIKANDER"/>
    <s v="SUZUKI-GD-110S"/>
    <n v="8800"/>
    <n v="7155"/>
    <m/>
    <m/>
    <m/>
    <m/>
    <s v="144786"/>
    <d v="2024-08-07T00:00:00"/>
    <s v="MOTORCYCLE  COMPREHENSIVE"/>
    <n v="352000"/>
    <n v="1073.25"/>
    <n v="71.55"/>
    <n v="500"/>
  </r>
  <r>
    <s v="KHI/HO/D/MO/MC COMP/P/94833/08/2024"/>
    <m/>
    <x v="18"/>
    <d v="2024-08-07T00:00:00"/>
    <d v="2025-08-07T00:00:00"/>
    <s v="mMUHAMMAD BILAL"/>
    <s v="SUZUKI-GR150 EURO II"/>
    <n v="13675"/>
    <n v="11358"/>
    <m/>
    <m/>
    <m/>
    <m/>
    <s v="113441"/>
    <d v="2024-08-07T00:00:00"/>
    <s v="MOTORCYCLE  COMPREHENSIVE"/>
    <n v="547000"/>
    <n v="1703.7"/>
    <n v="113.58"/>
    <n v="500"/>
  </r>
  <r>
    <s v="KHI/HO/D/MO/MC COMP/P/94834/08/2024"/>
    <m/>
    <x v="10"/>
    <d v="2024-08-07T00:00:00"/>
    <d v="2025-08-07T00:00:00"/>
    <s v="AMIR"/>
    <s v="SUZUKI-GD-110S"/>
    <n v="14960"/>
    <n v="12466"/>
    <m/>
    <m/>
    <m/>
    <m/>
    <s v="146679"/>
    <d v="2024-08-07T00:00:00"/>
    <s v="MOTORCYCLE  COMPREHENSIVE"/>
    <n v="352000"/>
    <n v="1869.9"/>
    <n v="124.66"/>
    <n v="500"/>
  </r>
  <r>
    <s v="KHI/HO/D/MO/MC COMP/P/94835/08/2024"/>
    <m/>
    <x v="18"/>
    <d v="2024-08-07T00:00:00"/>
    <d v="2025-08-07T00:00:00"/>
    <s v="MUHAMMAD SHAHZAD"/>
    <s v="SUZUKI-GD-110S"/>
    <n v="8800"/>
    <n v="7155"/>
    <m/>
    <m/>
    <m/>
    <m/>
    <s v="146397"/>
    <d v="2024-08-07T00:00:00"/>
    <s v="MOTORCYCLE  COMPREHENSIVE"/>
    <n v="352000"/>
    <n v="1073.25"/>
    <n v="71.55"/>
    <n v="500"/>
  </r>
  <r>
    <s v="KHI/HO/D/MO/MC COMP/P/94837/08/2024"/>
    <m/>
    <x v="18"/>
    <d v="2024-08-07T00:00:00"/>
    <d v="2025-08-07T00:00:00"/>
    <s v="SOHAIL AMJAD"/>
    <s v="SUZUKI-GD-110S"/>
    <n v="8800"/>
    <n v="7155"/>
    <m/>
    <m/>
    <m/>
    <m/>
    <s v="145990"/>
    <d v="2024-08-07T00:00:00"/>
    <s v="MOTORCYCLE  COMPREHENSIVE"/>
    <n v="352000"/>
    <n v="1073.25"/>
    <n v="71.55"/>
    <n v="500"/>
  </r>
  <r>
    <s v="KHI/HO/D/MO/MC COMP/P/94840/08/2024"/>
    <m/>
    <x v="18"/>
    <d v="2024-08-07T00:00:00"/>
    <d v="2025-08-07T00:00:00"/>
    <s v="YASER SAEED"/>
    <s v="SUZUKI-GSX 125"/>
    <n v="12475"/>
    <n v="10323"/>
    <m/>
    <m/>
    <m/>
    <m/>
    <s v="23102470"/>
    <d v="2024-08-07T00:00:00"/>
    <s v="MOTORCYCLE  COMPREHENSIVE"/>
    <n v="499000"/>
    <n v="1548.45"/>
    <n v="103.23"/>
    <n v="500"/>
  </r>
  <r>
    <s v="KHI/HO/D/MO/MC COMP/P/94846/08/2024"/>
    <m/>
    <x v="7"/>
    <d v="2024-08-07T00:00:00"/>
    <d v="2025-08-07T00:00:00"/>
    <s v="MUHAMMAD UMAIR MAQSOOD"/>
    <s v="SUZUKI-GD-110S"/>
    <n v="14960"/>
    <n v="12466"/>
    <m/>
    <m/>
    <m/>
    <m/>
    <s v="146099"/>
    <d v="2024-08-07T00:00:00"/>
    <s v="MOTORCYCLE  COMPREHENSIVE"/>
    <n v="352000"/>
    <n v="1869.9"/>
    <n v="124.66"/>
    <n v="500"/>
  </r>
  <r>
    <s v="KHI/HO/D/MO/MC COMP/P/94847/08/2024"/>
    <m/>
    <x v="7"/>
    <d v="2025-08-08T00:00:00"/>
    <d v="2026-08-08T00:00:00"/>
    <s v="MUHAMMAD UMAIR MAQSOOD"/>
    <s v="SUZUKI-GD-110S"/>
    <n v="14960"/>
    <n v="12466"/>
    <m/>
    <m/>
    <m/>
    <m/>
    <s v="146099"/>
    <d v="2024-08-07T00:00:00"/>
    <s v="MOTORCYCLE  COMPREHENSIVE"/>
    <n v="352000"/>
    <n v="1869.9"/>
    <n v="124.66"/>
    <n v="500"/>
  </r>
  <r>
    <s v="KHI/HO/D/MO/MC COMP/P/94858/08/2024"/>
    <m/>
    <x v="20"/>
    <d v="2024-08-07T00:00:00"/>
    <d v="2025-08-07T00:00:00"/>
    <s v="ALI YASEEN"/>
    <s v="SUZUKI-GSX 125"/>
    <n v="12475"/>
    <n v="10323"/>
    <m/>
    <m/>
    <m/>
    <m/>
    <s v="23102496"/>
    <d v="2024-08-07T00:00:00"/>
    <s v="MOTORCYCLE  COMPREHENSIVE"/>
    <n v="499000"/>
    <n v="1548.45"/>
    <n v="103.23"/>
    <n v="500"/>
  </r>
  <r>
    <s v="KHI/HO/D/MO/MC COMP/P/94859/08/2024"/>
    <m/>
    <x v="20"/>
    <d v="2024-08-07T00:00:00"/>
    <d v="2025-08-07T00:00:00"/>
    <s v="TEHSEEN YOUSAF"/>
    <s v="SUZUKI-GD-110S"/>
    <n v="8800"/>
    <n v="7155"/>
    <m/>
    <m/>
    <m/>
    <m/>
    <s v="146058"/>
    <d v="2024-08-07T00:00:00"/>
    <s v="MOTORCYCLE  COMPREHENSIVE"/>
    <n v="352000"/>
    <n v="1073.25"/>
    <n v="71.55"/>
    <n v="500"/>
  </r>
  <r>
    <s v="KHI/HO/D/MO/MC COMP/P/94860/08/2024"/>
    <m/>
    <x v="20"/>
    <d v="2024-08-07T00:00:00"/>
    <d v="2025-08-07T00:00:00"/>
    <s v="MUHAMMAD SAFDAR"/>
    <s v="SUZUKI-GD-110S"/>
    <n v="8800"/>
    <n v="7155"/>
    <m/>
    <m/>
    <m/>
    <m/>
    <s v="145199"/>
    <d v="2024-08-07T00:00:00"/>
    <s v="MOTORCYCLE  COMPREHENSIVE"/>
    <n v="352000"/>
    <n v="1073.25"/>
    <n v="71.55"/>
    <n v="500"/>
  </r>
  <r>
    <s v="KHI/HO/D/MO/MC COMP/P/94861/08/2024"/>
    <m/>
    <x v="4"/>
    <d v="2024-08-07T00:00:00"/>
    <d v="2025-08-07T00:00:00"/>
    <s v="SYED GHULAM RAZA JOWN RIZVI"/>
    <s v="SUZUKI-GD-110S"/>
    <n v="8800"/>
    <n v="7155"/>
    <m/>
    <m/>
    <m/>
    <m/>
    <s v="144824"/>
    <d v="2024-08-07T00:00:00"/>
    <s v="MOTORCYCLE  COMPREHENSIVE"/>
    <n v="352000"/>
    <n v="1073.25"/>
    <n v="71.55"/>
    <n v="500"/>
  </r>
  <r>
    <s v="KHI/HO/D/MO/MC COMP/P/94862/08/2024"/>
    <m/>
    <x v="4"/>
    <d v="2024-08-07T00:00:00"/>
    <d v="2025-08-07T00:00:00"/>
    <s v="HASNAT ABDULLAH"/>
    <s v="SUZUKI-GR150 EURO II"/>
    <n v="13675"/>
    <n v="11358"/>
    <m/>
    <m/>
    <m/>
    <m/>
    <s v="113428"/>
    <d v="2024-08-07T00:00:00"/>
    <s v="MOTORCYCLE  COMPREHENSIVE"/>
    <n v="547000"/>
    <n v="1703.7"/>
    <n v="113.58"/>
    <n v="500"/>
  </r>
  <r>
    <s v="KHI/HO/D/MO/MC COMP/P/94873/08/2024"/>
    <m/>
    <x v="10"/>
    <d v="2024-08-08T00:00:00"/>
    <d v="2025-08-08T00:00:00"/>
    <s v="AFZAL"/>
    <s v="SUZUKI-GD-110S"/>
    <n v="14960"/>
    <n v="12466"/>
    <m/>
    <m/>
    <m/>
    <m/>
    <s v="146752"/>
    <d v="2024-08-08T00:00:00"/>
    <s v="MOTORCYCLE  COMPREHENSIVE"/>
    <n v="352000"/>
    <n v="1869.9"/>
    <n v="124.66"/>
    <n v="500"/>
  </r>
  <r>
    <s v="KHI/HO/D/MO/MC COMP/P/94874/08/2024"/>
    <m/>
    <x v="3"/>
    <d v="2024-08-08T00:00:00"/>
    <d v="2025-08-08T00:00:00"/>
    <s v="MUHAMMAD WAQAS"/>
    <s v="SUZUKI-GD-110S"/>
    <n v="8800"/>
    <n v="7155"/>
    <m/>
    <m/>
    <m/>
    <m/>
    <s v="144355"/>
    <d v="2024-08-08T00:00:00"/>
    <s v="MOTORCYCLE  COMPREHENSIVE"/>
    <n v="352000"/>
    <n v="1073.25"/>
    <n v="71.55"/>
    <n v="500"/>
  </r>
  <r>
    <s v="KHI/HO/D/MO/MC COMP/P/94875/08/2024"/>
    <m/>
    <x v="1"/>
    <d v="2024-08-08T00:00:00"/>
    <d v="2025-08-08T00:00:00"/>
    <s v="UME AIMUN"/>
    <s v="SUZUKI-GD-110S"/>
    <n v="14960"/>
    <n v="12466"/>
    <m/>
    <m/>
    <m/>
    <m/>
    <s v="146625"/>
    <d v="2024-08-08T00:00:00"/>
    <s v="MOTORCYCLE  COMPREHENSIVE"/>
    <n v="352000"/>
    <n v="1869.9"/>
    <n v="124.66"/>
    <n v="500"/>
  </r>
  <r>
    <s v="KHI/HO/D/MO/MC COMP/P/94878/08/2024"/>
    <m/>
    <x v="1"/>
    <d v="2024-08-08T00:00:00"/>
    <d v="2025-08-08T00:00:00"/>
    <s v="QAIS BIN YASIN"/>
    <s v="SUZUKI-GR150 EURO II"/>
    <n v="23248"/>
    <n v="19610"/>
    <m/>
    <m/>
    <m/>
    <m/>
    <s v="113495"/>
    <d v="2024-08-08T00:00:00"/>
    <s v="MOTORCYCLE  COMPREHENSIVE"/>
    <n v="547000"/>
    <n v="2941.5"/>
    <n v="196.1"/>
    <n v="500"/>
  </r>
  <r>
    <s v="KHI/HO/D/MO/MC COMP/P/94881/08/2024"/>
    <m/>
    <x v="7"/>
    <d v="2024-08-08T00:00:00"/>
    <d v="2025-08-08T00:00:00"/>
    <s v="ARSALAN KHAWAJA HUSSAIN"/>
    <s v="SUZUKI-GD-110S"/>
    <n v="14960"/>
    <n v="12466"/>
    <m/>
    <m/>
    <m/>
    <m/>
    <s v="146089"/>
    <d v="2024-08-08T00:00:00"/>
    <s v="MOTORCYCLE  COMPREHENSIVE"/>
    <n v="352000"/>
    <n v="1869.9"/>
    <n v="124.66"/>
    <n v="500"/>
  </r>
  <r>
    <s v="KHI/HO/D/MO/MC COMP/P/94882/08/2024"/>
    <m/>
    <x v="7"/>
    <d v="2025-08-09T00:00:00"/>
    <d v="2026-08-09T00:00:00"/>
    <s v="ARSALAN KHAWAJA HUSSAIN"/>
    <s v="SUZUKI-GD-110S"/>
    <n v="14960"/>
    <n v="12466"/>
    <m/>
    <m/>
    <m/>
    <m/>
    <s v="146089"/>
    <d v="2024-08-08T00:00:00"/>
    <s v="MOTORCYCLE  COMPREHENSIVE"/>
    <n v="352000"/>
    <n v="1869.9"/>
    <n v="124.66"/>
    <n v="500"/>
  </r>
  <r>
    <s v="KHI/HO/D/MO/MC COMP/P/94884/08/2024"/>
    <m/>
    <x v="1"/>
    <d v="2024-08-08T00:00:00"/>
    <d v="2025-08-08T00:00:00"/>
    <s v="MUHAMMAD KHALID KHAN"/>
    <s v="SUZUKI-GD-110S"/>
    <n v="14960"/>
    <n v="12466"/>
    <m/>
    <m/>
    <m/>
    <m/>
    <s v="146683"/>
    <d v="2024-08-08T00:00:00"/>
    <s v="MOTORCYCLE  COMPREHENSIVE"/>
    <n v="352000"/>
    <n v="1869.9"/>
    <n v="124.66"/>
    <n v="500"/>
  </r>
  <r>
    <s v="KHI/HO/D/MO/MC COMP/P/94885/08/2024"/>
    <m/>
    <x v="1"/>
    <d v="2025-08-09T00:00:00"/>
    <d v="2026-08-09T00:00:00"/>
    <s v="MUHAMMAD KHALID KHAN"/>
    <s v="SUZUKI-GD-110S"/>
    <n v="14960"/>
    <n v="12466"/>
    <m/>
    <m/>
    <m/>
    <m/>
    <s v="146683"/>
    <d v="2024-08-08T00:00:00"/>
    <s v="MOTORCYCLE  COMPREHENSIVE"/>
    <n v="352000"/>
    <n v="1869.9"/>
    <n v="124.66"/>
    <n v="500"/>
  </r>
  <r>
    <s v="KHI/HO/D/MO/MC COMP/P/94887/08/2024"/>
    <m/>
    <x v="15"/>
    <d v="2024-08-08T00:00:00"/>
    <d v="2025-08-08T00:00:00"/>
    <s v="ABDUL RAHEEM CHAUDHARY"/>
    <s v="SUZUKI-GS 150"/>
    <n v="9550"/>
    <n v="7802"/>
    <m/>
    <m/>
    <m/>
    <m/>
    <s v="30092473"/>
    <d v="2024-08-08T00:00:00"/>
    <s v="MOTORCYCLE  COMPREHENSIVE"/>
    <n v="382000"/>
    <n v="1170.3"/>
    <n v="78.02"/>
    <n v="500"/>
  </r>
  <r>
    <s v="KHI/HO/D/MO/MC COMP/P/94890/08/2024"/>
    <m/>
    <x v="17"/>
    <d v="2024-08-08T00:00:00"/>
    <d v="2025-08-08T00:00:00"/>
    <s v="HASSAN YAHYA"/>
    <s v="SUZUKI-GD-110S"/>
    <n v="8800"/>
    <n v="7155"/>
    <m/>
    <m/>
    <m/>
    <m/>
    <s v="146183"/>
    <d v="2024-08-08T00:00:00"/>
    <s v="MOTORCYCLE  COMPREHENSIVE"/>
    <n v="352000"/>
    <n v="1073.25"/>
    <n v="71.55"/>
    <n v="500"/>
  </r>
  <r>
    <s v="KHI/HO/D/MO/MC COMP/P/94895/08/2024"/>
    <m/>
    <x v="17"/>
    <d v="2024-08-08T00:00:00"/>
    <d v="2025-08-08T00:00:00"/>
    <s v="ABDULLAH"/>
    <s v="SUZUKI-GSX 125"/>
    <n v="12475"/>
    <n v="10323"/>
    <m/>
    <m/>
    <m/>
    <m/>
    <s v="23102482"/>
    <d v="2024-08-08T00:00:00"/>
    <s v="MOTORCYCLE  COMPREHENSIVE"/>
    <n v="499000"/>
    <n v="1548.45"/>
    <n v="103.23"/>
    <n v="500"/>
  </r>
  <r>
    <s v="KHI/HO/D/MO/MC COMP/P/94896/08/2024"/>
    <m/>
    <x v="3"/>
    <d v="2024-08-08T00:00:00"/>
    <d v="2025-08-08T00:00:00"/>
    <s v="WAQAS ASHRAF"/>
    <s v="SUZUKI-GD-110S"/>
    <n v="8800"/>
    <n v="7155"/>
    <m/>
    <m/>
    <m/>
    <m/>
    <s v="144388"/>
    <d v="2024-08-08T00:00:00"/>
    <s v="MOTORCYCLE  COMPREHENSIVE"/>
    <n v="352000"/>
    <n v="1073.25"/>
    <n v="71.55"/>
    <n v="500"/>
  </r>
  <r>
    <s v="KHI/HO/D/MO/MC COMP/P/94897/08/2024"/>
    <m/>
    <x v="1"/>
    <d v="2024-08-08T00:00:00"/>
    <d v="2025-08-08T00:00:00"/>
    <s v="USMAN RAUF"/>
    <s v="SUZUKI-GD-110S"/>
    <n v="14960"/>
    <n v="12466"/>
    <m/>
    <m/>
    <m/>
    <m/>
    <s v="146684"/>
    <d v="2024-08-08T00:00:00"/>
    <s v="MOTORCYCLE  COMPREHENSIVE"/>
    <n v="352000"/>
    <n v="1869.9"/>
    <n v="124.66"/>
    <n v="500"/>
  </r>
  <r>
    <s v="KHI/HO/D/MO/MC COMP/P/94898/08/2024"/>
    <m/>
    <x v="1"/>
    <d v="2025-08-09T00:00:00"/>
    <d v="2026-08-09T00:00:00"/>
    <s v="USMAN RAUF"/>
    <s v="SUZUKI-GD-110S"/>
    <n v="14960"/>
    <n v="12466"/>
    <m/>
    <m/>
    <m/>
    <m/>
    <s v="146684"/>
    <d v="2024-08-08T00:00:00"/>
    <s v="MOTORCYCLE  COMPREHENSIVE"/>
    <n v="352000"/>
    <n v="1869.9"/>
    <n v="124.66"/>
    <n v="500"/>
  </r>
  <r>
    <s v="KHI/HO/D/MO/MC COMP/P/94899/08/2024"/>
    <m/>
    <x v="3"/>
    <d v="2024-08-08T00:00:00"/>
    <d v="2025-08-08T00:00:00"/>
    <s v="DILAWAR JABBAR"/>
    <s v="SUZUKI-GD-110S"/>
    <n v="8800"/>
    <n v="7155"/>
    <m/>
    <m/>
    <m/>
    <m/>
    <s v="144301"/>
    <d v="2024-08-08T00:00:00"/>
    <s v="MOTORCYCLE  COMPREHENSIVE"/>
    <n v="352000"/>
    <n v="1073.25"/>
    <n v="71.55"/>
    <n v="500"/>
  </r>
  <r>
    <s v="KHI/HO/D/MO/MC COMP/P/94900/08/2024"/>
    <m/>
    <x v="1"/>
    <d v="2024-08-08T00:00:00"/>
    <d v="2025-08-08T00:00:00"/>
    <s v="PIR HASSAN ALI"/>
    <s v="SUZUKI-GD-110S"/>
    <n v="14960"/>
    <n v="12466"/>
    <m/>
    <m/>
    <m/>
    <m/>
    <s v="145661"/>
    <d v="2024-08-08T00:00:00"/>
    <s v="MOTORCYCLE  COMPREHENSIVE"/>
    <n v="352000"/>
    <n v="1869.9"/>
    <n v="124.66"/>
    <n v="500"/>
  </r>
  <r>
    <s v="KHI/HO/D/MO/MC COMP/P/94901/08/2024"/>
    <m/>
    <x v="1"/>
    <d v="2025-08-09T00:00:00"/>
    <d v="2026-08-09T00:00:00"/>
    <s v="PIR HASSAN ALI"/>
    <s v="SUZUKI-GD-110S"/>
    <n v="14960"/>
    <n v="12466"/>
    <m/>
    <m/>
    <m/>
    <m/>
    <s v="145661"/>
    <d v="2024-08-08T00:00:00"/>
    <s v="MOTORCYCLE  COMPREHENSIVE"/>
    <n v="352000"/>
    <n v="1869.9"/>
    <n v="124.66"/>
    <n v="500"/>
  </r>
  <r>
    <s v="KHI/HO/D/MO/MC COMP/P/94902/08/2024"/>
    <m/>
    <x v="17"/>
    <d v="2024-08-08T00:00:00"/>
    <d v="2025-08-08T00:00:00"/>
    <s v="AHMER RAZA"/>
    <s v="SUZUKI-GR150 EURO II"/>
    <n v="13675"/>
    <n v="11358"/>
    <m/>
    <m/>
    <m/>
    <m/>
    <s v="113378"/>
    <d v="2024-08-08T00:00:00"/>
    <s v="MOTORCYCLE  COMPREHENSIVE"/>
    <n v="547000"/>
    <n v="1703.7"/>
    <n v="113.58"/>
    <n v="500"/>
  </r>
  <r>
    <s v="KHI/HO/D/MO/MC COMP/P/94903/08/2024"/>
    <m/>
    <x v="17"/>
    <d v="2024-08-08T00:00:00"/>
    <d v="2025-08-08T00:00:00"/>
    <s v="SARDAR MUHAMMAD HASHAM HASHMI"/>
    <s v="SUZUKI-GS 150"/>
    <n v="9550"/>
    <n v="7802"/>
    <m/>
    <m/>
    <m/>
    <m/>
    <s v="30092315"/>
    <d v="2024-08-08T00:00:00"/>
    <s v="MOTORCYCLE  COMPREHENSIVE"/>
    <n v="382000"/>
    <n v="1170.3"/>
    <n v="78.02"/>
    <n v="500"/>
  </r>
  <r>
    <s v="KHI/HO/D/MO/MC COMP/P/94906/08/2024"/>
    <m/>
    <x v="17"/>
    <d v="2024-08-08T00:00:00"/>
    <d v="2025-08-08T00:00:00"/>
    <s v="NUMAN ALTAF"/>
    <s v="SUZUKI-GSX 125"/>
    <n v="12475"/>
    <n v="10323"/>
    <m/>
    <m/>
    <m/>
    <m/>
    <s v="23102538"/>
    <d v="2024-08-08T00:00:00"/>
    <s v="MOTORCYCLE  COMPREHENSIVE"/>
    <n v="499000"/>
    <n v="1548.45"/>
    <n v="103.23"/>
    <n v="500"/>
  </r>
  <r>
    <s v="KHI/HO/D/MO/MC COMP/P/94907/08/2024"/>
    <m/>
    <x v="0"/>
    <d v="2024-08-08T00:00:00"/>
    <d v="2025-08-08T00:00:00"/>
    <s v="MUHAMMAD OMAIR MEOU RAJPOOT"/>
    <s v="SUZUKI-GR150 EURO II"/>
    <n v="23247.5"/>
    <n v="19540.948275862069"/>
    <n v="4.2500000000000003E-2"/>
    <n v="23247.5"/>
    <n v="19540.948275862069"/>
    <n v="0"/>
    <s v="113390"/>
    <d v="2024-08-08T00:00:00"/>
    <s v="MOTORCYCLE  COMPREHENSIVE"/>
    <n v="547000"/>
    <n v="2931.1422413793102"/>
    <n v="195.4094827586207"/>
    <n v="500"/>
  </r>
  <r>
    <s v="KHI/HO/D/MO/MC COMP/P/94908/08/2024"/>
    <m/>
    <x v="17"/>
    <d v="2024-08-08T00:00:00"/>
    <d v="2025-08-08T00:00:00"/>
    <s v="WAQAS AHMAD"/>
    <s v="SUZUKI-GD-110S"/>
    <n v="8800"/>
    <n v="7155"/>
    <m/>
    <m/>
    <m/>
    <m/>
    <s v="146302"/>
    <d v="2024-08-08T00:00:00"/>
    <s v="MOTORCYCLE  COMPREHENSIVE"/>
    <n v="352000"/>
    <n v="1073.25"/>
    <n v="71.55"/>
    <n v="500"/>
  </r>
  <r>
    <s v="KHI/HO/D/MO/MC COMP/P/94914/08/2024"/>
    <m/>
    <x v="17"/>
    <d v="2024-08-08T00:00:00"/>
    <d v="2025-08-08T00:00:00"/>
    <s v="ABDULLAH"/>
    <s v="SUZUKI-GSX 125"/>
    <n v="12475"/>
    <n v="10323"/>
    <m/>
    <m/>
    <m/>
    <m/>
    <s v="23102482"/>
    <d v="2024-08-08T00:00:00"/>
    <s v="MOTORCYCLE  COMPREHENSIVE"/>
    <n v="499000"/>
    <n v="1548.45"/>
    <n v="103.23"/>
    <n v="500"/>
  </r>
  <r>
    <s v="KHI/HO/D/MO/MC COMP/P/94921/08/2024"/>
    <m/>
    <x v="21"/>
    <d v="2024-08-08T00:00:00"/>
    <d v="2025-08-08T00:00:00"/>
    <s v="ARBAB NADEEM"/>
    <s v="SUZUKI-GS-150"/>
    <n v="9550"/>
    <n v="7802"/>
    <m/>
    <m/>
    <m/>
    <m/>
    <s v="30092023"/>
    <d v="2024-08-08T00:00:00"/>
    <s v="MOTORCYCLE  COMPREHENSIVE"/>
    <n v="382000"/>
    <n v="1170.3"/>
    <n v="78.02"/>
    <n v="500"/>
  </r>
  <r>
    <s v="KHI/HO/D/MO/MC COMP/P/94924/08/2024"/>
    <m/>
    <x v="21"/>
    <d v="2024-08-08T00:00:00"/>
    <d v="2025-08-08T00:00:00"/>
    <s v="MALIK SHOUKAT NAWAZ"/>
    <s v="SUZUKI-GD-110S"/>
    <n v="8800"/>
    <n v="7155"/>
    <m/>
    <m/>
    <m/>
    <m/>
    <s v="146145"/>
    <d v="2024-08-08T00:00:00"/>
    <s v="MOTORCYCLE  COMPREHENSIVE"/>
    <n v="352000"/>
    <n v="1073.25"/>
    <n v="71.55"/>
    <n v="500"/>
  </r>
  <r>
    <s v="KHI/HO/D/MO/MC COMP/P/94927/08/2024"/>
    <m/>
    <x v="21"/>
    <d v="2024-08-08T00:00:00"/>
    <d v="2025-08-08T00:00:00"/>
    <s v="AHMAD ARSLAN"/>
    <s v="SUZUKI-GS-150"/>
    <n v="9550"/>
    <n v="7802"/>
    <m/>
    <m/>
    <m/>
    <m/>
    <s v="30092471"/>
    <d v="2024-08-08T00:00:00"/>
    <s v="MOTORCYCLE  COMPREHENSIVE"/>
    <n v="382000"/>
    <n v="1170.3"/>
    <n v="78.02"/>
    <n v="500"/>
  </r>
  <r>
    <s v="KHI/HO/D/MO/MC COMP/P/94928/08/2024"/>
    <m/>
    <x v="8"/>
    <d v="2024-08-08T00:00:00"/>
    <d v="2025-08-08T00:00:00"/>
    <s v="JUNAID AYUB"/>
    <s v="SUZUKI-GSX 125"/>
    <n v="12475"/>
    <n v="10323"/>
    <m/>
    <m/>
    <m/>
    <m/>
    <s v="23100471"/>
    <d v="2024-08-08T00:00:00"/>
    <s v="MOTORCYCLE  COMPREHENSIVE"/>
    <n v="499000"/>
    <n v="1548.45"/>
    <n v="103.23"/>
    <n v="500"/>
  </r>
  <r>
    <s v="KHI/HO/D/MO/MC COMP/P/94930/08/2024"/>
    <m/>
    <x v="1"/>
    <d v="2024-08-08T00:00:00"/>
    <d v="2025-08-08T00:00:00"/>
    <s v="AMAN ALI"/>
    <s v="SUZUKI-GD-110S"/>
    <n v="14960"/>
    <n v="12466"/>
    <m/>
    <m/>
    <m/>
    <m/>
    <s v="146645"/>
    <d v="2024-08-08T00:00:00"/>
    <s v="MOTORCYCLE  COMPREHENSIVE"/>
    <n v="352000"/>
    <n v="1869.9"/>
    <n v="124.66"/>
    <n v="500"/>
  </r>
  <r>
    <s v="KHI/HO/D/MO/MC COMP/P/94931/08/2024"/>
    <m/>
    <x v="1"/>
    <d v="2025-08-09T00:00:00"/>
    <d v="2026-08-09T00:00:00"/>
    <s v="AMAN ALI"/>
    <s v="SUZUKI-GD-110S"/>
    <n v="14960"/>
    <n v="12466"/>
    <m/>
    <m/>
    <m/>
    <m/>
    <s v="146645"/>
    <d v="2024-08-08T00:00:00"/>
    <s v="MOTORCYCLE  COMPREHENSIVE"/>
    <n v="352000"/>
    <n v="1869.9"/>
    <n v="124.66"/>
    <n v="500"/>
  </r>
  <r>
    <s v="KHI/HO/D/MO/MC COMP/P/94932/08/2024"/>
    <m/>
    <x v="21"/>
    <d v="2024-08-08T00:00:00"/>
    <d v="2025-08-08T00:00:00"/>
    <s v="SHAHZAD ALI"/>
    <s v="SUZUKI-GS-150"/>
    <n v="9550"/>
    <n v="7802"/>
    <m/>
    <m/>
    <m/>
    <m/>
    <s v="30092468"/>
    <d v="2024-08-08T00:00:00"/>
    <s v="MOTORCYCLE  COMPREHENSIVE"/>
    <n v="382000"/>
    <n v="1170.3"/>
    <n v="78.02"/>
    <n v="500"/>
  </r>
  <r>
    <s v="KHI/HO/D/MO/MC COMP/P/94933/08/2024"/>
    <m/>
    <x v="8"/>
    <d v="2024-08-08T00:00:00"/>
    <d v="2025-08-08T00:00:00"/>
    <s v="GHULAM MOHI U DIN"/>
    <s v="SUZUKI-GR150 EURO II"/>
    <n v="13675"/>
    <n v="11358"/>
    <m/>
    <m/>
    <m/>
    <m/>
    <s v="113253"/>
    <d v="2024-08-08T00:00:00"/>
    <s v="MOTORCYCLE  COMPREHENSIVE"/>
    <n v="547000"/>
    <n v="1703.7"/>
    <n v="113.58"/>
    <n v="500"/>
  </r>
  <r>
    <s v="KHI/HO/D/MO/MC COMP/P/94934/08/2024"/>
    <m/>
    <x v="8"/>
    <d v="2024-08-08T00:00:00"/>
    <d v="2025-08-08T00:00:00"/>
    <s v="GHULAM MOHI U DIN"/>
    <s v="SUZUKI-GR150 EURO II"/>
    <n v="13675"/>
    <n v="11358"/>
    <m/>
    <m/>
    <m/>
    <m/>
    <s v="113253"/>
    <d v="2024-08-08T00:00:00"/>
    <s v="MOTORCYCLE  COMPREHENSIVE"/>
    <n v="547000"/>
    <n v="1703.7"/>
    <n v="113.58"/>
    <n v="500"/>
  </r>
  <r>
    <s v="KHI/HO/D/MO/MC COMP/P/94937/08/2024"/>
    <m/>
    <x v="19"/>
    <d v="2024-08-08T00:00:00"/>
    <d v="2025-08-08T00:00:00"/>
    <s v="ABDUL SATTAR"/>
    <s v="SUZUKI-GD-110S"/>
    <n v="8800"/>
    <n v="7155"/>
    <m/>
    <m/>
    <m/>
    <m/>
    <s v="145828"/>
    <d v="2024-08-08T00:00:00"/>
    <s v="MOTORCYCLE  COMPREHENSIVE"/>
    <n v="352000"/>
    <n v="1073.25"/>
    <n v="71.55"/>
    <n v="500"/>
  </r>
  <r>
    <s v="KHI/HO/D/MO/MC COMP/P/94939/08/2024"/>
    <m/>
    <x v="21"/>
    <d v="2024-08-08T00:00:00"/>
    <d v="2025-08-08T00:00:00"/>
    <s v="MUHAMMAD ALISHAN"/>
    <s v="SUZUKI-GS-150"/>
    <n v="9550"/>
    <n v="7802"/>
    <m/>
    <m/>
    <m/>
    <m/>
    <s v="30092467"/>
    <d v="2024-08-08T00:00:00"/>
    <s v="MOTORCYCLE  COMPREHENSIVE"/>
    <n v="382000"/>
    <n v="1170.3"/>
    <n v="78.02"/>
    <n v="500"/>
  </r>
  <r>
    <s v="KHI/HO/D/MO/MC COMP/P/94940/08/2024"/>
    <m/>
    <x v="19"/>
    <d v="2024-08-08T00:00:00"/>
    <d v="2025-08-08T00:00:00"/>
    <s v="MUHAMMAD RIAZ"/>
    <s v="SUZUKI-GR150 EURO II"/>
    <n v="13675"/>
    <n v="11358"/>
    <m/>
    <m/>
    <m/>
    <m/>
    <s v="113295"/>
    <d v="2024-08-08T00:00:00"/>
    <s v="MOTORCYCLE  COMPREHENSIVE"/>
    <n v="547000"/>
    <n v="1703.7"/>
    <n v="113.58"/>
    <n v="500"/>
  </r>
  <r>
    <s v="KHI/HO/D/MO/MC COMP/P/94941/08/2024"/>
    <m/>
    <x v="21"/>
    <d v="2024-08-08T00:00:00"/>
    <d v="2025-08-08T00:00:00"/>
    <s v="UMAIR KAMAL"/>
    <s v="SUZUKI-GR150 EURO II"/>
    <n v="13675"/>
    <n v="11358"/>
    <m/>
    <m/>
    <m/>
    <m/>
    <s v="113478"/>
    <d v="2024-08-08T00:00:00"/>
    <s v="MOTORCYCLE  COMPREHENSIVE"/>
    <n v="547000"/>
    <n v="1703.7"/>
    <n v="113.58"/>
    <n v="500"/>
  </r>
  <r>
    <s v="KHI/HO/D/MO/MC COMP/P/94943/08/2024"/>
    <m/>
    <x v="19"/>
    <d v="2024-08-08T00:00:00"/>
    <d v="2025-08-08T00:00:00"/>
    <s v="MUHAMMAD ASIF"/>
    <s v="SUZUKI-GD-110S"/>
    <n v="8800"/>
    <n v="7155"/>
    <m/>
    <m/>
    <m/>
    <m/>
    <s v="145834"/>
    <d v="2024-08-08T00:00:00"/>
    <s v="MOTORCYCLE  COMPREHENSIVE"/>
    <n v="352000"/>
    <n v="1073.25"/>
    <n v="71.55"/>
    <n v="500"/>
  </r>
  <r>
    <s v="KHI/HO/D/MO/MC COMP/P/94945/08/2024"/>
    <m/>
    <x v="19"/>
    <d v="2024-08-08T00:00:00"/>
    <d v="2025-08-08T00:00:00"/>
    <s v="MUHAMMAD MUAZ"/>
    <s v="SUZUKI-GD-110S"/>
    <n v="8800"/>
    <n v="7155"/>
    <m/>
    <m/>
    <m/>
    <m/>
    <s v="145897"/>
    <d v="2024-08-08T00:00:00"/>
    <s v="MOTORCYCLE  COMPREHENSIVE"/>
    <n v="352000"/>
    <n v="1073.25"/>
    <n v="71.55"/>
    <n v="500"/>
  </r>
  <r>
    <s v="KHI/HO/D/MO/MC COMP/P/94947/08/2024"/>
    <m/>
    <x v="19"/>
    <d v="2024-08-08T00:00:00"/>
    <d v="2025-08-08T00:00:00"/>
    <s v="MUHAMMAD ASLAM SHAHID"/>
    <s v="SUZUKI-GD-110S"/>
    <n v="8800"/>
    <n v="7155"/>
    <m/>
    <m/>
    <m/>
    <m/>
    <s v="145833"/>
    <d v="2024-08-08T00:00:00"/>
    <s v="MOTORCYCLE  COMPREHENSIVE"/>
    <n v="352000"/>
    <n v="1073.25"/>
    <n v="71.55"/>
    <n v="500"/>
  </r>
  <r>
    <s v="KHI/HO/D/MO/MC COMP/P/94948/08/2024"/>
    <m/>
    <x v="6"/>
    <d v="2024-08-08T00:00:00"/>
    <d v="2025-08-08T00:00:00"/>
    <s v="TAHIR ALI"/>
    <s v="SUZUKI-GS 150"/>
    <n v="16235"/>
    <n v="13565"/>
    <m/>
    <m/>
    <m/>
    <m/>
    <s v="30092363"/>
    <d v="2024-08-08T00:00:00"/>
    <s v="MOTORCYCLE  COMPREHENSIVE"/>
    <n v="382000"/>
    <n v="2034.75"/>
    <n v="135.65"/>
    <n v="500"/>
  </r>
  <r>
    <s v="KHI/HO/D/MO/MC COMP/P/94949/08/2024"/>
    <m/>
    <x v="6"/>
    <d v="2025-08-09T00:00:00"/>
    <d v="2026-08-09T00:00:00"/>
    <s v="TAHIR ALI"/>
    <s v="SUZUKI-GS 150"/>
    <n v="16235"/>
    <n v="13565"/>
    <m/>
    <m/>
    <m/>
    <m/>
    <s v="30092363"/>
    <d v="2024-08-08T00:00:00"/>
    <s v="MOTORCYCLE  COMPREHENSIVE"/>
    <n v="382000"/>
    <n v="2034.75"/>
    <n v="135.65"/>
    <n v="500"/>
  </r>
  <r>
    <s v="KHI/HO/D/MO/MC COMP/P/94950/08/2024"/>
    <m/>
    <x v="19"/>
    <d v="2024-08-08T00:00:00"/>
    <d v="2025-08-08T00:00:00"/>
    <s v="MATEEN AHMAD"/>
    <s v="SUZUKI-GSX 125"/>
    <n v="12475"/>
    <n v="10323"/>
    <m/>
    <m/>
    <m/>
    <m/>
    <s v="23102507"/>
    <d v="2024-08-08T00:00:00"/>
    <s v="MOTORCYCLE  COMPREHENSIVE"/>
    <n v="499000"/>
    <n v="1548.45"/>
    <n v="103.23"/>
    <n v="500"/>
  </r>
  <r>
    <s v="KHI/HO/D/MO/MC COMP/P/94951/08/2024"/>
    <m/>
    <x v="3"/>
    <d v="2024-08-08T00:00:00"/>
    <d v="2025-08-08T00:00:00"/>
    <s v="MUHAMMAD ABUBAKAR"/>
    <s v="SUZUKI-GR150 EURO II"/>
    <n v="13675"/>
    <n v="11358"/>
    <m/>
    <m/>
    <m/>
    <m/>
    <s v="113406"/>
    <d v="2024-08-08T00:00:00"/>
    <s v="MOTORCYCLE  COMPREHENSIVE"/>
    <n v="547000"/>
    <n v="1703.7"/>
    <n v="113.58"/>
    <n v="500"/>
  </r>
  <r>
    <s v="KHI/HO/D/MO/MC COMP/P/94952/08/2024"/>
    <m/>
    <x v="3"/>
    <d v="2024-08-08T00:00:00"/>
    <d v="2025-08-08T00:00:00"/>
    <s v="SIKANDAR HUSSAIN"/>
    <s v="SUZUKI-GS 150"/>
    <n v="9550"/>
    <n v="7802"/>
    <m/>
    <m/>
    <m/>
    <m/>
    <s v="30092053"/>
    <d v="2024-08-08T00:00:00"/>
    <s v="MOTORCYCLE  COMPREHENSIVE"/>
    <n v="382000"/>
    <n v="1170.3"/>
    <n v="78.02"/>
    <n v="500"/>
  </r>
  <r>
    <s v="KHI/HO/D/MO/MC COMP/P/94953/08/2024"/>
    <m/>
    <x v="16"/>
    <d v="2024-08-08T00:00:00"/>
    <d v="2025-08-08T00:00:00"/>
    <s v="Muhammad Naeem"/>
    <s v="SUZUKI-GR150 EURO II"/>
    <n v="23248"/>
    <n v="19610"/>
    <m/>
    <m/>
    <m/>
    <m/>
    <s v="113317"/>
    <d v="2024-08-08T00:00:00"/>
    <s v="MOTORCYCLE  COMPREHENSIVE"/>
    <n v="547000"/>
    <n v="2941.5"/>
    <n v="196.1"/>
    <n v="500"/>
  </r>
  <r>
    <s v="KHI/HO/D/MO/MC COMP/P/94972/08/2024"/>
    <m/>
    <x v="2"/>
    <d v="2024-08-09T00:00:00"/>
    <d v="2025-08-09T00:00:00"/>
    <s v="UJAILA RAHMAN"/>
    <s v="SUZUKI-GR150 EURO II"/>
    <n v="23248"/>
    <n v="19610"/>
    <m/>
    <m/>
    <m/>
    <m/>
    <s v="113546"/>
    <d v="2024-08-09T00:00:00"/>
    <s v="MOTORCYCLE  COMPREHENSIVE"/>
    <n v="547000"/>
    <n v="2941.5"/>
    <n v="196.1"/>
    <n v="500"/>
  </r>
  <r>
    <s v="KHI/HO/D/MO/MC COMP/P/94973/08/2024"/>
    <m/>
    <x v="2"/>
    <d v="2025-08-10T00:00:00"/>
    <d v="2026-08-10T00:00:00"/>
    <s v="Distribution KHI"/>
    <s v="SUZUKI-GR150 EURO II"/>
    <n v="23248"/>
    <n v="19610"/>
    <m/>
    <m/>
    <m/>
    <m/>
    <s v="113546"/>
    <d v="2024-08-09T00:00:00"/>
    <s v="MOTORCYCLE  COMPREHENSIVE"/>
    <n v="547000"/>
    <n v="2941.5"/>
    <n v="196.1"/>
    <n v="500"/>
  </r>
  <r>
    <s v="KHI/HO/D/MO/MC COMP/P/94975/08/2024"/>
    <m/>
    <x v="12"/>
    <d v="2024-08-09T00:00:00"/>
    <d v="2025-08-09T00:00:00"/>
    <s v="FARAZ BADAR"/>
    <s v="SUZUKI-GD-110S"/>
    <n v="14960"/>
    <n v="12466"/>
    <m/>
    <m/>
    <m/>
    <m/>
    <s v="146639"/>
    <d v="2024-08-09T00:00:00"/>
    <s v="MOTORCYCLE  COMPREHENSIVE"/>
    <n v="352000"/>
    <n v="1869.9"/>
    <n v="124.66"/>
    <n v="500"/>
  </r>
  <r>
    <s v="KHI/HO/D/MO/MC COMP/P/94976/08/2024"/>
    <m/>
    <x v="12"/>
    <d v="2025-08-10T00:00:00"/>
    <d v="2026-08-10T00:00:00"/>
    <s v="FARAZ BADAR"/>
    <s v="SUZUKI-GD-110S"/>
    <n v="14960"/>
    <n v="12466"/>
    <m/>
    <m/>
    <m/>
    <m/>
    <s v="146639"/>
    <d v="2024-08-09T00:00:00"/>
    <s v="MOTORCYCLE  COMPREHENSIVE"/>
    <n v="352000"/>
    <n v="1869.9"/>
    <n v="124.66"/>
    <n v="500"/>
  </r>
  <r>
    <s v="KHI/HO/D/MO/MC COMP/P/94977/08/2024"/>
    <m/>
    <x v="8"/>
    <d v="2024-08-09T00:00:00"/>
    <d v="2025-08-09T00:00:00"/>
    <s v="AL HAMZA"/>
    <s v="SUZUKI-GD-110S"/>
    <n v="8800"/>
    <n v="7155"/>
    <m/>
    <m/>
    <m/>
    <m/>
    <s v="144751"/>
    <d v="2024-08-09T00:00:00"/>
    <s v="MOTORCYCLE  COMPREHENSIVE"/>
    <n v="352000"/>
    <n v="1073.25"/>
    <n v="71.55"/>
    <n v="500"/>
  </r>
  <r>
    <s v="KHI/HO/D/MO/MC COMP/P/94978/08/2024"/>
    <m/>
    <x v="8"/>
    <d v="2024-08-09T00:00:00"/>
    <d v="2025-08-09T00:00:00"/>
    <s v="MUHAMMAD IMRAN SIAL"/>
    <s v="SUZUKI-GR150 EURO II"/>
    <n v="13675"/>
    <n v="11358"/>
    <m/>
    <m/>
    <m/>
    <m/>
    <s v="113327"/>
    <d v="2024-08-09T00:00:00"/>
    <s v="MOTORCYCLE  COMPREHENSIVE"/>
    <n v="547000"/>
    <n v="1703.7"/>
    <n v="113.58"/>
    <n v="500"/>
  </r>
  <r>
    <s v="KHI/HO/D/MO/MC COMP/P/94980/08/2024"/>
    <m/>
    <x v="17"/>
    <d v="2024-08-09T00:00:00"/>
    <d v="2025-08-09T00:00:00"/>
    <s v="USMAN HAIDER"/>
    <s v="SUZUKI-GS-150"/>
    <n v="9550"/>
    <n v="7802"/>
    <m/>
    <m/>
    <m/>
    <m/>
    <s v="30092333"/>
    <d v="2024-08-09T00:00:00"/>
    <s v="MOTORCYCLE  COMPREHENSIVE"/>
    <n v="382000"/>
    <n v="1170.3"/>
    <n v="78.02"/>
    <n v="500"/>
  </r>
  <r>
    <s v="KHI/HO/D/MO/MC COMP/P/94981/08/2024"/>
    <m/>
    <x v="12"/>
    <d v="2024-08-09T00:00:00"/>
    <d v="2025-08-09T00:00:00"/>
    <s v="NADEEM AHMED"/>
    <s v="SUZUKI-GR150 EURO II"/>
    <n v="23248"/>
    <n v="19610"/>
    <m/>
    <m/>
    <m/>
    <m/>
    <s v="113266"/>
    <d v="2024-08-09T00:00:00"/>
    <s v="MOTORCYCLE  COMPREHENSIVE"/>
    <n v="547000"/>
    <n v="2941.5"/>
    <n v="196.1"/>
    <n v="500"/>
  </r>
  <r>
    <s v="KHI/HO/D/MO/MC COMP/P/94982/08/2024"/>
    <m/>
    <x v="12"/>
    <d v="2025-08-10T00:00:00"/>
    <d v="2026-08-10T00:00:00"/>
    <s v="NADEEM AHMED"/>
    <s v="SUZUKI-GR150 EURO II"/>
    <n v="23248"/>
    <n v="19610"/>
    <m/>
    <m/>
    <m/>
    <m/>
    <s v="113266"/>
    <d v="2024-08-09T00:00:00"/>
    <s v="MOTORCYCLE  COMPREHENSIVE"/>
    <n v="547000"/>
    <n v="2941.5"/>
    <n v="196.1"/>
    <n v="500"/>
  </r>
  <r>
    <s v="KHI/HO/D/MO/MC COMP/P/94983/08/2024"/>
    <m/>
    <x v="17"/>
    <d v="2024-08-09T00:00:00"/>
    <d v="2025-08-09T00:00:00"/>
    <s v="MUHAMMAD SUBHAN"/>
    <s v="SUZUKI-GD-110S"/>
    <n v="8800"/>
    <n v="7155"/>
    <m/>
    <m/>
    <m/>
    <m/>
    <s v="146316"/>
    <d v="2024-08-09T00:00:00"/>
    <s v="MOTORCYCLE  COMPREHENSIVE"/>
    <n v="352000"/>
    <n v="1073.25"/>
    <n v="71.55"/>
    <n v="500"/>
  </r>
  <r>
    <s v="KHI/HO/D/MO/MC COMP/P/94984/08/2024"/>
    <m/>
    <x v="17"/>
    <d v="2024-08-09T00:00:00"/>
    <d v="2025-08-09T00:00:00"/>
    <s v="AKBAR ALI"/>
    <s v="SUZUKI-GD-110S"/>
    <n v="8800"/>
    <n v="7155"/>
    <m/>
    <m/>
    <m/>
    <m/>
    <s v="146323"/>
    <d v="2024-08-09T00:00:00"/>
    <s v="MOTORCYCLE  COMPREHENSIVE"/>
    <n v="352000"/>
    <n v="1073.25"/>
    <n v="71.55"/>
    <n v="500"/>
  </r>
  <r>
    <s v="KHI/HO/D/MO/MC COMP/P/94985/08/2024"/>
    <m/>
    <x v="17"/>
    <d v="2024-08-09T00:00:00"/>
    <d v="2025-08-09T00:00:00"/>
    <s v="HAMZA"/>
    <s v="SUZUKI-GD-110S"/>
    <n v="8800"/>
    <n v="7155"/>
    <m/>
    <m/>
    <m/>
    <m/>
    <s v="146167"/>
    <d v="2024-08-09T00:00:00"/>
    <s v="MOTORCYCLE  COMPREHENSIVE"/>
    <n v="352000"/>
    <n v="1073.25"/>
    <n v="71.55"/>
    <n v="500"/>
  </r>
  <r>
    <s v="KHI/HO/D/MO/MC COMP/P/94986/08/2024"/>
    <m/>
    <x v="17"/>
    <d v="2024-08-09T00:00:00"/>
    <d v="2025-08-09T00:00:00"/>
    <s v="IRSHAD ALI"/>
    <s v="SUZUKI-GD-110S"/>
    <n v="8800"/>
    <n v="7155"/>
    <m/>
    <m/>
    <m/>
    <m/>
    <s v="146182"/>
    <d v="2024-08-09T00:00:00"/>
    <s v="MOTORCYCLE  COMPREHENSIVE"/>
    <n v="352000"/>
    <n v="1073.25"/>
    <n v="71.55"/>
    <n v="500"/>
  </r>
  <r>
    <s v="KHI/HO/D/MO/MC COMP/P/94987/08/2024"/>
    <m/>
    <x v="17"/>
    <d v="2024-08-09T00:00:00"/>
    <d v="2025-08-09T00:00:00"/>
    <s v="MUHAMAMD RIZWAN"/>
    <s v="SUZUKI-GD-110S"/>
    <n v="8800"/>
    <n v="7155"/>
    <m/>
    <m/>
    <m/>
    <m/>
    <s v="146405"/>
    <d v="2024-08-09T00:00:00"/>
    <s v="MOTORCYCLE  COMPREHENSIVE"/>
    <n v="352000"/>
    <n v="1073.25"/>
    <n v="71.55"/>
    <n v="500"/>
  </r>
  <r>
    <s v="KHI/HO/D/MO/MC COMP/P/94988/08/2024"/>
    <m/>
    <x v="17"/>
    <d v="2024-08-09T00:00:00"/>
    <d v="2025-08-09T00:00:00"/>
    <s v="MUHAMAMD SALEEM"/>
    <s v="SUZUKI-GD-110S"/>
    <n v="8800"/>
    <n v="7155"/>
    <m/>
    <m/>
    <m/>
    <m/>
    <s v="146312"/>
    <d v="2024-08-09T00:00:00"/>
    <s v="MOTORCYCLE  COMPREHENSIVE"/>
    <n v="352000"/>
    <n v="1073.25"/>
    <n v="71.55"/>
    <n v="500"/>
  </r>
  <r>
    <s v="KHI/HO/D/MO/MC COMP/P/94989/08/2024"/>
    <m/>
    <x v="17"/>
    <d v="2024-08-09T00:00:00"/>
    <d v="2025-08-09T00:00:00"/>
    <s v="USMAN ALI BHATTI"/>
    <s v="SUZUKI-GD-110S"/>
    <n v="8800"/>
    <n v="7155"/>
    <m/>
    <m/>
    <m/>
    <m/>
    <s v="146290"/>
    <d v="2024-08-09T00:00:00"/>
    <s v="MOTORCYCLE  COMPREHENSIVE"/>
    <n v="352000"/>
    <n v="1073.25"/>
    <n v="71.55"/>
    <n v="500"/>
  </r>
  <r>
    <s v="KHI/HO/D/MO/MC COMP/P/94990/08/2024"/>
    <m/>
    <x v="2"/>
    <d v="2024-08-09T00:00:00"/>
    <d v="2025-08-09T00:00:00"/>
    <s v="HAIDER ALI"/>
    <s v="SUZUKI-GR150 EURO II"/>
    <n v="23248"/>
    <n v="19610"/>
    <m/>
    <m/>
    <m/>
    <m/>
    <s v="113529"/>
    <d v="2024-08-09T00:00:00"/>
    <s v="MOTORCYCLE  COMPREHENSIVE"/>
    <n v="547000"/>
    <n v="2941.5"/>
    <n v="196.1"/>
    <n v="500"/>
  </r>
  <r>
    <s v="KHI/HO/D/MO/MC COMP/P/94991/08/2024"/>
    <m/>
    <x v="2"/>
    <d v="2025-08-10T00:00:00"/>
    <d v="2026-08-10T00:00:00"/>
    <s v="HAIDER ALI"/>
    <s v="SUZUKI-GR150 EURO II"/>
    <n v="23248"/>
    <n v="19610"/>
    <m/>
    <m/>
    <m/>
    <m/>
    <s v="113529"/>
    <d v="2024-08-09T00:00:00"/>
    <s v="MOTORCYCLE  COMPREHENSIVE"/>
    <n v="547000"/>
    <n v="2941.5"/>
    <n v="196.1"/>
    <n v="500"/>
  </r>
  <r>
    <s v="KHI/HO/D/MO/MC COMP/P/94993/08/2024"/>
    <m/>
    <x v="17"/>
    <d v="2024-08-09T00:00:00"/>
    <d v="2025-08-09T00:00:00"/>
    <s v="MUHAMAMD IRFAN"/>
    <s v="SUZUKI-GSX 125"/>
    <n v="12475"/>
    <n v="10323"/>
    <m/>
    <m/>
    <m/>
    <m/>
    <s v="23102539"/>
    <d v="2024-08-09T00:00:00"/>
    <s v="MOTORCYCLE  COMPREHENSIVE"/>
    <n v="499000"/>
    <n v="1548.45"/>
    <n v="103.23"/>
    <n v="500"/>
  </r>
  <r>
    <s v="KHI/HO/D/MO/MC COMP/P/94999/08/2024"/>
    <m/>
    <x v="0"/>
    <d v="2024-08-09T00:00:00"/>
    <d v="2025-08-09T00:00:00"/>
    <s v="MAIRAJ AHMED KHAN"/>
    <s v="SUZUKI-GD-110S"/>
    <n v="14960"/>
    <n v="12466"/>
    <m/>
    <m/>
    <m/>
    <m/>
    <s v="146297"/>
    <d v="2024-08-09T00:00:00"/>
    <s v="MOTORCYCLE  COMPREHENSIVE"/>
    <n v="352000"/>
    <n v="1869.9"/>
    <n v="124.66"/>
    <n v="500"/>
  </r>
  <r>
    <s v="KHI/HO/D/MO/MC COMP/P/95000/08/2024"/>
    <m/>
    <x v="0"/>
    <d v="2025-08-10T00:00:00"/>
    <d v="2026-08-10T00:00:00"/>
    <s v="MAIRAJ AHMED KHAN"/>
    <s v="SUZUKI-GD-110S"/>
    <n v="14960"/>
    <n v="12466"/>
    <m/>
    <m/>
    <m/>
    <m/>
    <s v="146297"/>
    <d v="2024-08-09T00:00:00"/>
    <s v="MOTORCYCLE  COMPREHENSIVE"/>
    <n v="352000"/>
    <n v="1869.9"/>
    <n v="124.66"/>
    <n v="500"/>
  </r>
  <r>
    <s v="KHI/HO/D/MO/MC COMP/P/95002/08/2024"/>
    <m/>
    <x v="1"/>
    <d v="2024-08-09T00:00:00"/>
    <d v="2025-08-09T00:00:00"/>
    <s v="BAHADUR KHAN"/>
    <s v="SUZUKI-GS 150"/>
    <n v="16235"/>
    <n v="13565"/>
    <m/>
    <m/>
    <m/>
    <m/>
    <s v="30092440"/>
    <d v="2024-08-09T00:00:00"/>
    <s v="MOTORCYCLE  COMPREHENSIVE"/>
    <n v="382000"/>
    <n v="2034.75"/>
    <n v="135.65"/>
    <n v="500"/>
  </r>
  <r>
    <s v="KHI/HO/D/MO/MC COMP/P/95003/08/2024"/>
    <m/>
    <x v="1"/>
    <d v="2025-08-10T00:00:00"/>
    <d v="2026-08-10T00:00:00"/>
    <s v="BAHADUR KHAN"/>
    <s v="SUZUKI-GS 150"/>
    <n v="16235"/>
    <n v="13565"/>
    <m/>
    <m/>
    <m/>
    <m/>
    <s v="30092440"/>
    <d v="2024-08-09T00:00:00"/>
    <s v="MOTORCYCLE  COMPREHENSIVE"/>
    <n v="382000"/>
    <n v="2034.75"/>
    <n v="135.65"/>
    <n v="500"/>
  </r>
  <r>
    <s v="KHI/HO/D/MO/MC COMP/P/95007/08/2024"/>
    <m/>
    <x v="0"/>
    <d v="2024-08-09T00:00:00"/>
    <d v="2025-08-09T00:00:00"/>
    <s v="JAVED ALI"/>
    <s v="SUZUKI-GD-110S"/>
    <n v="14960"/>
    <n v="12466"/>
    <m/>
    <m/>
    <m/>
    <m/>
    <s v="145772"/>
    <d v="2024-08-09T00:00:00"/>
    <s v="MOTORCYCLE  COMPREHENSIVE"/>
    <n v="352000"/>
    <n v="1869.9"/>
    <n v="124.66"/>
    <n v="500"/>
  </r>
  <r>
    <s v="KHI/HO/D/MO/MC COMP/P/95008/08/2024"/>
    <m/>
    <x v="0"/>
    <d v="2025-08-10T00:00:00"/>
    <d v="2026-08-10T00:00:00"/>
    <s v="JAVED ALI"/>
    <s v="SUZUKI-GD-110S"/>
    <n v="14960"/>
    <n v="12466"/>
    <m/>
    <m/>
    <m/>
    <m/>
    <s v="145772"/>
    <d v="2024-08-09T00:00:00"/>
    <s v="MOTORCYCLE  COMPREHENSIVE"/>
    <n v="352000"/>
    <n v="1869.9"/>
    <n v="124.66"/>
    <n v="500"/>
  </r>
  <r>
    <s v="KHI/HO/D/MO/MC COMP/P/95010/08/2024"/>
    <m/>
    <x v="1"/>
    <d v="2024-08-09T00:00:00"/>
    <d v="2025-08-09T00:00:00"/>
    <s v="SHARIQ AHMED"/>
    <s v="SUZUKI-GD-110S"/>
    <n v="14960"/>
    <n v="12466"/>
    <m/>
    <m/>
    <m/>
    <m/>
    <s v="146701"/>
    <d v="2024-08-09T00:00:00"/>
    <s v="MOTORCYCLE  COMPREHENSIVE"/>
    <n v="352000"/>
    <n v="1869.9"/>
    <n v="124.66"/>
    <n v="500"/>
  </r>
  <r>
    <s v="KHI/HO/D/MO/MC COMP/P/95011/08/2024"/>
    <m/>
    <x v="1"/>
    <d v="2025-08-10T00:00:00"/>
    <d v="2026-08-10T00:00:00"/>
    <s v="SHARIQ AHMED"/>
    <s v="SUZUKI-GD-110S"/>
    <n v="14960"/>
    <n v="12466"/>
    <m/>
    <m/>
    <m/>
    <m/>
    <s v="146701"/>
    <d v="2024-08-09T00:00:00"/>
    <s v="MOTORCYCLE  COMPREHENSIVE"/>
    <n v="352000"/>
    <n v="1869.9"/>
    <n v="124.66"/>
    <n v="500"/>
  </r>
  <r>
    <s v="KHI/HO/D/MO/MC COMP/P/95014/08/2024"/>
    <m/>
    <x v="17"/>
    <d v="2024-08-09T00:00:00"/>
    <d v="2025-08-09T00:00:00"/>
    <s v="KAMRAN MAQBOOL"/>
    <s v="SUZUKI-GR150 EURO II"/>
    <n v="13675"/>
    <n v="11358"/>
    <m/>
    <m/>
    <m/>
    <m/>
    <s v="113468"/>
    <d v="2024-08-09T00:00:00"/>
    <s v="MOTORCYCLE  COMPREHENSIVE"/>
    <n v="547000"/>
    <n v="1703.7"/>
    <n v="113.58"/>
    <n v="500"/>
  </r>
  <r>
    <s v="KHI/HO/D/MO/MC COMP/P/95015/08/2024"/>
    <m/>
    <x v="12"/>
    <d v="2024-08-09T00:00:00"/>
    <d v="2025-08-09T00:00:00"/>
    <s v="HAFIZ MUHAMMAD IBRAHIM"/>
    <s v="SUZUKI-GD-110S"/>
    <n v="14960"/>
    <n v="12466"/>
    <m/>
    <m/>
    <m/>
    <m/>
    <s v="146373"/>
    <d v="2024-08-09T00:00:00"/>
    <s v="MOTORCYCLE  COMPREHENSIVE"/>
    <n v="352000"/>
    <n v="1869.9"/>
    <n v="124.66"/>
    <n v="500"/>
  </r>
  <r>
    <s v="KHI/HO/D/MO/MC COMP/P/95016/08/2024"/>
    <m/>
    <x v="12"/>
    <d v="2025-08-10T00:00:00"/>
    <d v="2026-08-10T00:00:00"/>
    <s v="HAFIZ MUHAMMAD IBRAHIM"/>
    <s v="SUZUKI-GD-110S"/>
    <n v="14960"/>
    <n v="12466"/>
    <m/>
    <m/>
    <m/>
    <m/>
    <s v="146373"/>
    <d v="2024-08-09T00:00:00"/>
    <s v="MOTORCYCLE  COMPREHENSIVE"/>
    <n v="352000"/>
    <n v="1869.9"/>
    <n v="124.66"/>
    <n v="500"/>
  </r>
  <r>
    <s v="KHI/HO/D/MO/MC COMP/P/95018/08/2024"/>
    <m/>
    <x v="1"/>
    <d v="2024-08-09T00:00:00"/>
    <d v="2025-08-09T00:00:00"/>
    <s v="MUHAMMAD AMIN KHAN"/>
    <s v="SUZUKI-GD-110S"/>
    <n v="14960"/>
    <n v="12466"/>
    <m/>
    <m/>
    <m/>
    <m/>
    <s v="146717"/>
    <d v="2024-08-09T00:00:00"/>
    <s v="MOTORCYCLE  COMPREHENSIVE"/>
    <n v="352000"/>
    <n v="1869.9"/>
    <n v="124.66"/>
    <n v="500"/>
  </r>
  <r>
    <s v="KHI/HO/D/MO/MC COMP/P/95019/08/2024"/>
    <m/>
    <x v="1"/>
    <d v="2025-08-10T00:00:00"/>
    <d v="2026-08-10T00:00:00"/>
    <s v="MUHAMMAD AMIN KHAN"/>
    <s v="SUZUKI-GD-110S"/>
    <n v="14960"/>
    <n v="12466"/>
    <m/>
    <m/>
    <m/>
    <m/>
    <s v="146717"/>
    <d v="2024-08-09T00:00:00"/>
    <s v="MOTORCYCLE  COMPREHENSIVE"/>
    <n v="352000"/>
    <n v="1869.9"/>
    <n v="124.66"/>
    <n v="500"/>
  </r>
  <r>
    <s v="KHI/HO/D/MO/MC COMP/P/95020/08/2024"/>
    <m/>
    <x v="10"/>
    <d v="2024-08-09T00:00:00"/>
    <d v="2025-08-09T00:00:00"/>
    <s v="ASHAR SOHAIL"/>
    <s v="SUZUKI-GD-110S"/>
    <n v="14960"/>
    <n v="12466"/>
    <m/>
    <m/>
    <m/>
    <m/>
    <s v="146771"/>
    <d v="2024-08-09T00:00:00"/>
    <s v="MOTORCYCLE  COMPREHENSIVE"/>
    <n v="352000"/>
    <n v="1869.9"/>
    <n v="124.66"/>
    <n v="500"/>
  </r>
  <r>
    <s v="KHI/HO/D/MO/MC COMP/P/95022/08/2024"/>
    <m/>
    <x v="8"/>
    <d v="2024-08-09T00:00:00"/>
    <d v="2025-08-09T00:00:00"/>
    <s v="USMAN ZAFAR"/>
    <s v="SUZUKI-GS 150"/>
    <n v="9550"/>
    <n v="7802"/>
    <m/>
    <m/>
    <m/>
    <m/>
    <s v="30091925"/>
    <d v="2024-08-09T00:00:00"/>
    <s v="MOTORCYCLE  COMPREHENSIVE"/>
    <n v="382000"/>
    <n v="1170.3"/>
    <n v="78.02"/>
    <n v="500"/>
  </r>
  <r>
    <s v="KHI/HO/D/MO/MC COMP/P/95023/08/2024"/>
    <m/>
    <x v="8"/>
    <d v="2024-08-09T00:00:00"/>
    <d v="2025-08-09T00:00:00"/>
    <s v="USMAN ZAFAR"/>
    <s v="SUZUKI-GS 150"/>
    <n v="9550"/>
    <n v="7802"/>
    <m/>
    <m/>
    <m/>
    <m/>
    <s v="30091925"/>
    <d v="2024-08-09T00:00:00"/>
    <s v="MOTORCYCLE  COMPREHENSIVE"/>
    <n v="382000"/>
    <n v="1170.3"/>
    <n v="78.02"/>
    <n v="500"/>
  </r>
  <r>
    <s v="KHI/HO/D/MO/MC COMP/P/95028/08/2024"/>
    <m/>
    <x v="8"/>
    <d v="2024-08-09T00:00:00"/>
    <d v="2025-08-09T00:00:00"/>
    <s v="Nauman Ahmed"/>
    <s v="SUZUKI-GS 150"/>
    <n v="9550"/>
    <n v="7802"/>
    <m/>
    <m/>
    <m/>
    <m/>
    <s v="30092175"/>
    <d v="2024-08-09T00:00:00"/>
    <s v="MOTORCYCLE  COMPREHENSIVE"/>
    <n v="382000"/>
    <n v="1170.3"/>
    <n v="78.02"/>
    <n v="500"/>
  </r>
  <r>
    <s v="KHI/HO/D/MO/MC COMP/P/95029/08/2024"/>
    <m/>
    <x v="3"/>
    <d v="2024-08-09T00:00:00"/>
    <d v="2025-08-09T00:00:00"/>
    <s v="JAVED IQBAL"/>
    <s v="SUZUKI-GD-110S"/>
    <n v="8800"/>
    <n v="7155"/>
    <m/>
    <m/>
    <m/>
    <m/>
    <s v="146514"/>
    <d v="2024-08-09T00:00:00"/>
    <s v="MOTORCYCLE  COMPREHENSIVE"/>
    <n v="352000"/>
    <n v="1073.25"/>
    <n v="71.55"/>
    <n v="500"/>
  </r>
  <r>
    <s v="KHI/HO/D/MO/MC COMP/P/95030/08/2024"/>
    <m/>
    <x v="3"/>
    <d v="2025-08-10T00:00:00"/>
    <d v="2026-08-10T00:00:00"/>
    <s v="JAVED IQBAL"/>
    <s v="SUZUKI-GD-110S"/>
    <n v="8800"/>
    <n v="7155"/>
    <m/>
    <m/>
    <m/>
    <m/>
    <s v="146514"/>
    <d v="2024-08-09T00:00:00"/>
    <s v="MOTORCYCLE  COMPREHENSIVE"/>
    <n v="352000"/>
    <n v="1073.25"/>
    <n v="71.55"/>
    <n v="500"/>
  </r>
  <r>
    <s v="KHI/HO/D/MO/MC COMP/P/95032/08/2024"/>
    <m/>
    <x v="0"/>
    <d v="2024-08-09T00:00:00"/>
    <d v="2025-08-09T00:00:00"/>
    <s v="MUHAMMAD FARAZ QURESHI"/>
    <s v="SUZUKI-GR150 EURO II"/>
    <n v="22355"/>
    <n v="18841"/>
    <m/>
    <m/>
    <m/>
    <m/>
    <s v="113491"/>
    <d v="2024-08-09T00:00:00"/>
    <s v="MOTORCYCLE  COMPREHENSIVE"/>
    <n v="526000"/>
    <n v="2826.15"/>
    <n v="188.41"/>
    <n v="500"/>
  </r>
  <r>
    <s v="KHI/HO/D/MO/MC COMP/P/95033/08/2024"/>
    <m/>
    <x v="22"/>
    <d v="2024-08-09T00:00:00"/>
    <d v="2025-08-09T00:00:00"/>
    <s v="MUHAMMAD ABUBAKAR SIDDIQUE"/>
    <s v="SUZUKI-GD-110S"/>
    <n v="8800"/>
    <n v="7155"/>
    <m/>
    <m/>
    <m/>
    <m/>
    <s v="145149"/>
    <d v="2024-08-09T00:00:00"/>
    <s v="MOTORCYCLE  COMPREHENSIVE"/>
    <n v="352000"/>
    <n v="1073.25"/>
    <n v="71.55"/>
    <n v="500"/>
  </r>
  <r>
    <s v="KHI/HO/D/MO/MC COMP/P/95034/08/2024"/>
    <m/>
    <x v="22"/>
    <d v="2024-08-09T00:00:00"/>
    <d v="2025-08-09T00:00:00"/>
    <s v="MUHAMMAD DILSHAD"/>
    <s v="SUZUKI-GS 150"/>
    <n v="9550"/>
    <n v="7802"/>
    <m/>
    <m/>
    <m/>
    <m/>
    <s v="30092043"/>
    <d v="2024-08-09T00:00:00"/>
    <s v="MOTORCYCLE  COMPREHENSIVE"/>
    <n v="382000"/>
    <n v="1170.3"/>
    <n v="78.02"/>
    <n v="500"/>
  </r>
  <r>
    <s v="KHI/HO/D/MO/MC COMP/P/95035/08/2024"/>
    <m/>
    <x v="22"/>
    <d v="2024-08-09T00:00:00"/>
    <d v="2025-08-09T00:00:00"/>
    <s v="MUHAMMAD SABIR IQBAL"/>
    <s v="SUZUKI-GR150 EURO II"/>
    <n v="13675"/>
    <n v="11358"/>
    <m/>
    <m/>
    <m/>
    <m/>
    <s v="113416"/>
    <d v="2024-08-09T00:00:00"/>
    <s v="MOTORCYCLE  COMPREHENSIVE"/>
    <n v="547000"/>
    <n v="1703.7"/>
    <n v="113.58"/>
    <n v="500"/>
  </r>
  <r>
    <s v="KHI/HO/D/MO/MC COMP/P/95036/08/2024"/>
    <m/>
    <x v="22"/>
    <d v="2024-08-09T00:00:00"/>
    <d v="2025-08-09T00:00:00"/>
    <s v="SALMAN SAEED"/>
    <s v="SUZUKI-GD-110S"/>
    <n v="8800"/>
    <n v="7155"/>
    <m/>
    <m/>
    <m/>
    <m/>
    <s v="145355"/>
    <d v="2024-08-09T00:00:00"/>
    <s v="MOTORCYCLE  COMPREHENSIVE"/>
    <n v="352000"/>
    <n v="1073.25"/>
    <n v="71.55"/>
    <n v="500"/>
  </r>
  <r>
    <s v="KHI/HO/D/MO/MC COMP/P/95037/08/2024"/>
    <m/>
    <x v="22"/>
    <d v="2024-08-09T00:00:00"/>
    <d v="2025-08-09T00:00:00"/>
    <s v="MUHAMMAD AAMIR"/>
    <s v="SUZUKI-GD-110S"/>
    <n v="8800"/>
    <n v="7155"/>
    <m/>
    <m/>
    <m/>
    <m/>
    <s v="145183"/>
    <d v="2024-08-09T00:00:00"/>
    <s v="MOTORCYCLE  COMPREHENSIVE"/>
    <n v="352000"/>
    <n v="1073.25"/>
    <n v="71.55"/>
    <n v="500"/>
  </r>
  <r>
    <s v="KHI/HO/D/MO/MC COMP/P/95038/08/2024"/>
    <m/>
    <x v="22"/>
    <d v="2024-08-09T00:00:00"/>
    <d v="2025-08-09T00:00:00"/>
    <s v="ADNAN ALI"/>
    <s v="SUZUKI-GD-110S"/>
    <n v="8800"/>
    <n v="7155"/>
    <m/>
    <m/>
    <m/>
    <m/>
    <s v="145134"/>
    <d v="2024-08-09T00:00:00"/>
    <s v="MOTORCYCLE  COMPREHENSIVE"/>
    <n v="352000"/>
    <n v="1073.25"/>
    <n v="71.55"/>
    <n v="500"/>
  </r>
  <r>
    <s v="KHI/HO/D/MO/MC COMP/P/95039/08/2024"/>
    <m/>
    <x v="3"/>
    <d v="2024-08-09T00:00:00"/>
    <d v="2025-08-09T00:00:00"/>
    <s v="MEHTAB SHOUKAT"/>
    <s v="SUZUKI-GD-110S"/>
    <n v="8800"/>
    <n v="7155"/>
    <m/>
    <m/>
    <m/>
    <m/>
    <s v="146602"/>
    <d v="2024-08-09T00:00:00"/>
    <s v="MOTORCYCLE  COMPREHENSIVE"/>
    <n v="352000"/>
    <n v="1073.25"/>
    <n v="71.55"/>
    <n v="500"/>
  </r>
  <r>
    <s v="KHI/HO/D/MO/MC COMP/P/95040/08/2024"/>
    <m/>
    <x v="22"/>
    <d v="2024-08-09T00:00:00"/>
    <d v="2025-08-09T00:00:00"/>
    <s v="ZAHID IQBAL"/>
    <s v="SUZUKI-GR150 EURO II"/>
    <n v="13675"/>
    <n v="11358"/>
    <m/>
    <m/>
    <m/>
    <m/>
    <s v="113310"/>
    <d v="2024-08-09T00:00:00"/>
    <s v="MOTORCYCLE  COMPREHENSIVE"/>
    <n v="547000"/>
    <n v="1703.7"/>
    <n v="113.58"/>
    <n v="500"/>
  </r>
  <r>
    <s v="KHI/HO/D/MO/MC COMP/P/95041/08/2024"/>
    <m/>
    <x v="22"/>
    <d v="2024-08-09T00:00:00"/>
    <d v="2025-08-09T00:00:00"/>
    <s v="REHMAN TUFAIL"/>
    <s v="SUZUKI-GD-110S"/>
    <n v="8800"/>
    <n v="7155"/>
    <m/>
    <m/>
    <m/>
    <m/>
    <s v="145138"/>
    <d v="2024-08-09T00:00:00"/>
    <s v="MOTORCYCLE  COMPREHENSIVE"/>
    <n v="352000"/>
    <n v="1073.25"/>
    <n v="71.55"/>
    <n v="500"/>
  </r>
  <r>
    <s v="KHI/HO/D/MO/MC COMP/P/95042/08/2024"/>
    <m/>
    <x v="0"/>
    <d v="2024-08-09T00:00:00"/>
    <d v="2025-08-09T00:00:00"/>
    <s v="IMRAN SOHAIL"/>
    <s v="SUZUKI-GD-110S"/>
    <n v="14365"/>
    <n v="11953"/>
    <m/>
    <m/>
    <m/>
    <m/>
    <s v="146634"/>
    <d v="2024-08-09T00:00:00"/>
    <s v="MOTORCYCLE  COMPREHENSIVE"/>
    <n v="338000"/>
    <n v="1792.95"/>
    <n v="119.53"/>
    <n v="500"/>
  </r>
  <r>
    <s v="KHI/HO/D/MO/MC COMP/P/95043/08/2024"/>
    <m/>
    <x v="22"/>
    <d v="2024-08-09T00:00:00"/>
    <d v="2025-08-09T00:00:00"/>
    <s v="SHAHID HUSSAIN"/>
    <s v="SUZUKI-GD-110S"/>
    <n v="8800"/>
    <n v="7155"/>
    <m/>
    <m/>
    <m/>
    <m/>
    <s v="145130"/>
    <d v="2024-08-09T00:00:00"/>
    <s v="MOTORCYCLE  COMPREHENSIVE"/>
    <n v="352000"/>
    <n v="1073.25"/>
    <n v="71.55"/>
    <n v="500"/>
  </r>
  <r>
    <s v="KHI/HO/D/MO/MC COMP/P/95044/08/2024"/>
    <m/>
    <x v="22"/>
    <d v="2024-08-09T00:00:00"/>
    <d v="2025-08-09T00:00:00"/>
    <s v="MUHAMMAD UZAIR KAREEM"/>
    <s v="SUZUKI-GD-110S"/>
    <n v="8800"/>
    <n v="7155"/>
    <m/>
    <m/>
    <m/>
    <m/>
    <s v="146158"/>
    <d v="2024-08-09T00:00:00"/>
    <s v="MOTORCYCLE  COMPREHENSIVE"/>
    <n v="352000"/>
    <n v="1073.25"/>
    <n v="71.55"/>
    <n v="500"/>
  </r>
  <r>
    <s v="KHI/HO/D/MO/MC COMP/P/95045/08/2024"/>
    <m/>
    <x v="8"/>
    <d v="2024-08-10T00:00:00"/>
    <d v="2025-08-10T00:00:00"/>
    <s v="MUHAMMAD MAAZ KHALIL"/>
    <s v="SUZUKI-GSX 125"/>
    <n v="12475"/>
    <n v="10323"/>
    <m/>
    <m/>
    <m/>
    <m/>
    <s v="23102535"/>
    <d v="2024-08-10T00:00:00"/>
    <s v="MOTORCYCLE  COMPREHENSIVE"/>
    <n v="499000"/>
    <n v="1548.45"/>
    <n v="103.23"/>
    <n v="500"/>
  </r>
  <r>
    <s v="KHI/HO/D/MO/MC COMP/P/95046/08/2024"/>
    <m/>
    <x v="8"/>
    <d v="2024-08-10T00:00:00"/>
    <d v="2025-08-10T00:00:00"/>
    <s v="M ASHRAF"/>
    <s v="SUZUKI-GD-110S"/>
    <n v="8800"/>
    <n v="7155"/>
    <m/>
    <m/>
    <m/>
    <m/>
    <s v="145976"/>
    <d v="2024-08-10T00:00:00"/>
    <s v="MOTORCYCLE  COMPREHENSIVE"/>
    <n v="352000"/>
    <n v="1073.25"/>
    <n v="71.55"/>
    <n v="500"/>
  </r>
  <r>
    <s v="KHI/HO/D/MO/MC COMP/P/95047/08/2024"/>
    <m/>
    <x v="8"/>
    <d v="2024-08-10T00:00:00"/>
    <d v="2025-08-10T00:00:00"/>
    <s v="IFTIKHAR ASLAM"/>
    <s v="SUZUKI-GD-110S"/>
    <n v="8800"/>
    <n v="7155"/>
    <m/>
    <m/>
    <m/>
    <m/>
    <s v="145674"/>
    <d v="2024-08-10T00:00:00"/>
    <s v="MOTORCYCLE  COMPREHENSIVE"/>
    <n v="352000"/>
    <n v="1073.25"/>
    <n v="71.55"/>
    <n v="500"/>
  </r>
  <r>
    <s v="KHI/HO/D/MO/MC COMP/P/95048/08/2024"/>
    <m/>
    <x v="0"/>
    <d v="2024-08-10T00:00:00"/>
    <d v="2025-08-10T00:00:00"/>
    <s v="MUHAMMAD UMAIR"/>
    <s v="SUZUKI-GS 150"/>
    <n v="16235"/>
    <n v="13565"/>
    <m/>
    <m/>
    <m/>
    <m/>
    <s v="30092542"/>
    <d v="2024-08-10T00:00:00"/>
    <s v="MOTORCYCLE  COMPREHENSIVE"/>
    <n v="382000"/>
    <n v="2034.75"/>
    <n v="135.65"/>
    <n v="500"/>
  </r>
  <r>
    <s v="KHI/HO/D/MO/MC COMP/P/95049/08/2024"/>
    <m/>
    <x v="0"/>
    <d v="2025-08-11T00:00:00"/>
    <d v="2026-08-11T00:00:00"/>
    <s v="MUHAMMAD UMAIR"/>
    <s v="SUZUKI-GS 150"/>
    <n v="16235"/>
    <n v="13565"/>
    <m/>
    <m/>
    <m/>
    <m/>
    <s v="30092542"/>
    <d v="2024-08-10T00:00:00"/>
    <s v="MOTORCYCLE  COMPREHENSIVE"/>
    <n v="382000"/>
    <n v="2034.75"/>
    <n v="135.65"/>
    <n v="500"/>
  </r>
  <r>
    <s v="KHI/HO/D/MO/MC COMP/P/95050/08/2024"/>
    <m/>
    <x v="8"/>
    <d v="2024-08-10T00:00:00"/>
    <d v="2025-08-10T00:00:00"/>
    <s v="ABUBAKAR SADDIQUE"/>
    <s v="SUZUKI-GS 150"/>
    <n v="9550"/>
    <n v="7802"/>
    <m/>
    <m/>
    <m/>
    <m/>
    <s v="30092159"/>
    <d v="2024-08-10T00:00:00"/>
    <s v="MOTORCYCLE  COMPREHENSIVE"/>
    <n v="382000"/>
    <n v="1170.3"/>
    <n v="78.02"/>
    <n v="500"/>
  </r>
  <r>
    <s v="KHI/HO/D/MO/MC COMP/P/95051/08/2024"/>
    <m/>
    <x v="8"/>
    <d v="2024-08-10T00:00:00"/>
    <d v="2025-08-10T00:00:00"/>
    <s v="IRUM RAFIQ"/>
    <s v="SUZUKI-GR150 EURO II"/>
    <n v="13675"/>
    <n v="11358"/>
    <m/>
    <m/>
    <m/>
    <m/>
    <s v="113324"/>
    <d v="2024-08-10T00:00:00"/>
    <s v="MOTORCYCLE  COMPREHENSIVE"/>
    <n v="547000"/>
    <n v="1703.7"/>
    <n v="113.58"/>
    <n v="500"/>
  </r>
  <r>
    <s v="KHI/HO/D/MO/MC COMP/P/95053/08/2024"/>
    <m/>
    <x v="8"/>
    <d v="2024-08-10T00:00:00"/>
    <d v="2025-08-10T00:00:00"/>
    <s v="MOHSIN ALI"/>
    <s v="SUZUKI-GD-110S"/>
    <n v="8800"/>
    <n v="7155"/>
    <m/>
    <m/>
    <m/>
    <m/>
    <s v="145703"/>
    <d v="2024-08-10T00:00:00"/>
    <s v="MOTORCYCLE  COMPREHENSIVE"/>
    <n v="352000"/>
    <n v="1073.25"/>
    <n v="71.55"/>
    <n v="500"/>
  </r>
  <r>
    <s v="KHI/HO/D/MO/MC COMP/P/95055/08/2024"/>
    <m/>
    <x v="2"/>
    <d v="2024-08-10T00:00:00"/>
    <d v="2025-08-10T00:00:00"/>
    <s v="MUHAMMAD ILYAS RANA"/>
    <s v="SUZUKI-GD-110S"/>
    <n v="14960"/>
    <n v="12466"/>
    <m/>
    <m/>
    <m/>
    <m/>
    <s v="146696"/>
    <d v="2024-08-10T00:00:00"/>
    <s v="MOTORCYCLE  COMPREHENSIVE"/>
    <n v="352000"/>
    <n v="1869.9"/>
    <n v="124.66"/>
    <n v="500"/>
  </r>
  <r>
    <s v="KHI/HO/D/MO/MC COMP/P/95056/08/2024"/>
    <m/>
    <x v="2"/>
    <d v="2025-08-11T00:00:00"/>
    <d v="2026-08-11T00:00:00"/>
    <s v="MUHAMMAD ILYAS RANA"/>
    <s v="SUZUKI-GD-110S"/>
    <n v="14960"/>
    <n v="12466"/>
    <m/>
    <m/>
    <m/>
    <m/>
    <s v="146696"/>
    <d v="2024-08-10T00:00:00"/>
    <s v="MOTORCYCLE  COMPREHENSIVE"/>
    <n v="352000"/>
    <n v="1869.9"/>
    <n v="124.66"/>
    <n v="500"/>
  </r>
  <r>
    <s v="KHI/HO/D/MO/MC COMP/P/95057/08/2024"/>
    <m/>
    <x v="12"/>
    <d v="2024-08-10T00:00:00"/>
    <d v="2025-08-10T00:00:00"/>
    <s v="TAIMOOR HUSSAIN"/>
    <s v="SUZUKI-GS 150"/>
    <n v="16235"/>
    <n v="13565"/>
    <m/>
    <m/>
    <m/>
    <m/>
    <s v="30092445"/>
    <d v="2024-08-10T00:00:00"/>
    <s v="MOTORCYCLE  COMPREHENSIVE"/>
    <n v="382000"/>
    <n v="2034.75"/>
    <n v="135.65"/>
    <n v="500"/>
  </r>
  <r>
    <s v="KHI/HO/D/MO/MC COMP/P/95058/08/2024"/>
    <m/>
    <x v="12"/>
    <d v="2025-08-11T00:00:00"/>
    <d v="2026-08-11T00:00:00"/>
    <s v="TAIMOOR HUSSAIN"/>
    <s v="SUZUKI-GS 150"/>
    <n v="16235"/>
    <n v="13565"/>
    <m/>
    <m/>
    <m/>
    <m/>
    <s v="30092445"/>
    <d v="2024-08-10T00:00:00"/>
    <s v="MOTORCYCLE  COMPREHENSIVE"/>
    <n v="382000"/>
    <n v="2034.75"/>
    <n v="135.65"/>
    <n v="500"/>
  </r>
  <r>
    <s v="KHI/HO/D/MO/MC COMP/P/95060/08/2024"/>
    <m/>
    <x v="8"/>
    <d v="2024-08-10T00:00:00"/>
    <d v="2025-08-10T00:00:00"/>
    <s v="Hafiz M bilal Shafi"/>
    <s v="SUZUKI-GSX 125"/>
    <n v="12475"/>
    <n v="10323"/>
    <m/>
    <m/>
    <m/>
    <m/>
    <s v="23102465"/>
    <d v="2024-08-10T00:00:00"/>
    <s v="MOTORCYCLE  COMPREHENSIVE"/>
    <n v="499000"/>
    <n v="1548.45"/>
    <n v="103.23"/>
    <n v="500"/>
  </r>
  <r>
    <s v="KHI/HO/D/MO/MC COMP/P/95062/08/2024"/>
    <m/>
    <x v="8"/>
    <d v="2024-08-10T00:00:00"/>
    <d v="2025-08-10T00:00:00"/>
    <s v="Bilal Nabeel"/>
    <s v="SUZUKI-GS 150"/>
    <n v="9550"/>
    <n v="7802"/>
    <m/>
    <m/>
    <m/>
    <m/>
    <s v="30092104"/>
    <d v="2024-08-10T00:00:00"/>
    <s v="MOTORCYCLE  COMPREHENSIVE"/>
    <n v="382000"/>
    <n v="1170.3"/>
    <n v="78.02"/>
    <n v="500"/>
  </r>
  <r>
    <s v="KHI/HO/D/MO/MC COMP/P/95063/08/2024"/>
    <m/>
    <x v="11"/>
    <d v="2024-08-10T00:00:00"/>
    <d v="2025-08-10T00:00:00"/>
    <s v="Izhar Ali"/>
    <s v="SUZUKI-GR150 EURO II"/>
    <n v="23248"/>
    <n v="19610"/>
    <m/>
    <m/>
    <m/>
    <m/>
    <s v="113522"/>
    <d v="2024-08-10T00:00:00"/>
    <s v="MOTORCYCLE  COMPREHENSIVE"/>
    <n v="547000"/>
    <n v="2941.5"/>
    <n v="196.1"/>
    <n v="500"/>
  </r>
  <r>
    <s v="KHI/HO/D/MO/MC COMP/P/95064/08/2024"/>
    <m/>
    <x v="8"/>
    <d v="2024-08-10T00:00:00"/>
    <d v="2025-08-10T00:00:00"/>
    <s v="Abdul Rehman"/>
    <s v="SUZUKI-GD-110S"/>
    <n v="8800"/>
    <n v="7155"/>
    <m/>
    <m/>
    <m/>
    <m/>
    <s v="144710"/>
    <d v="2024-08-10T00:00:00"/>
    <s v="MOTORCYCLE  COMPREHENSIVE"/>
    <n v="352000"/>
    <n v="1073.25"/>
    <n v="71.55"/>
    <n v="500"/>
  </r>
  <r>
    <s v="KHI/HO/D/MO/MC COMP/P/95065/08/2024"/>
    <m/>
    <x v="12"/>
    <d v="2024-08-10T00:00:00"/>
    <d v="2025-08-10T00:00:00"/>
    <s v="MUHAMMAD SHAHZAD"/>
    <s v="SUZUKI-GD-110S"/>
    <n v="14960"/>
    <n v="12466"/>
    <m/>
    <m/>
    <m/>
    <m/>
    <s v="146784"/>
    <d v="2024-08-10T00:00:00"/>
    <s v="MOTORCYCLE  COMPREHENSIVE"/>
    <n v="352000"/>
    <n v="1869.9"/>
    <n v="124.66"/>
    <n v="500"/>
  </r>
  <r>
    <s v="KHI/HO/D/MO/MC COMP/P/95066/08/2024"/>
    <m/>
    <x v="12"/>
    <d v="2025-08-11T00:00:00"/>
    <d v="2026-08-11T00:00:00"/>
    <s v="MUHAMMAD SHAHZAD"/>
    <s v="SUZUKI-GD-110S"/>
    <n v="14960"/>
    <n v="12466"/>
    <m/>
    <m/>
    <m/>
    <m/>
    <s v="146784"/>
    <d v="2024-08-10T00:00:00"/>
    <s v="MOTORCYCLE  COMPREHENSIVE"/>
    <n v="352000"/>
    <n v="1869.9"/>
    <n v="124.66"/>
    <n v="500"/>
  </r>
  <r>
    <s v="KHI/HO/D/MO/MC COMP/P/95067/08/2024"/>
    <m/>
    <x v="8"/>
    <d v="2024-08-10T00:00:00"/>
    <d v="2025-08-10T00:00:00"/>
    <s v="M Irfan"/>
    <s v="SUZUKI-GD-110S"/>
    <n v="8800"/>
    <n v="7155"/>
    <m/>
    <m/>
    <m/>
    <m/>
    <s v="146293"/>
    <d v="2024-08-10T00:00:00"/>
    <s v="MOTORCYCLE  COMPREHENSIVE"/>
    <n v="352000"/>
    <n v="1073.25"/>
    <n v="71.55"/>
    <n v="500"/>
  </r>
  <r>
    <s v="KHI/HO/D/MO/MC COMP/P/95070/08/2024"/>
    <m/>
    <x v="0"/>
    <d v="2024-08-10T00:00:00"/>
    <d v="2025-08-10T00:00:00"/>
    <s v="NAVEED AHMED KHAN"/>
    <s v="SUZUKI-GD-110S"/>
    <n v="14960"/>
    <n v="12466"/>
    <m/>
    <m/>
    <m/>
    <m/>
    <s v="146704"/>
    <d v="2024-08-10T00:00:00"/>
    <s v="MOTORCYCLE  COMPREHENSIVE"/>
    <n v="352000"/>
    <n v="1869.9"/>
    <n v="124.66"/>
    <n v="500"/>
  </r>
  <r>
    <s v="KHI/HO/D/MO/MC COMP/P/95071/08/2024"/>
    <m/>
    <x v="0"/>
    <d v="2025-08-11T00:00:00"/>
    <d v="2026-08-11T00:00:00"/>
    <s v="NAVEED AHMED KHAN"/>
    <s v="SUZUKI-GD-110S"/>
    <n v="14960"/>
    <n v="12466"/>
    <m/>
    <m/>
    <m/>
    <m/>
    <s v="146704"/>
    <d v="2024-08-10T00:00:00"/>
    <s v="MOTORCYCLE  COMPREHENSIVE"/>
    <n v="352000"/>
    <n v="1869.9"/>
    <n v="124.66"/>
    <n v="500"/>
  </r>
  <r>
    <s v="KHI/HO/D/MO/MC COMP/P/95072/08/2024"/>
    <m/>
    <x v="12"/>
    <d v="2024-08-10T00:00:00"/>
    <d v="2025-08-10T00:00:00"/>
    <s v="SYED MUHAMMAD SOUHAIB ALVI"/>
    <s v="SUZUKI-GD-110S"/>
    <n v="14960"/>
    <n v="12466"/>
    <m/>
    <m/>
    <m/>
    <m/>
    <s v="146618"/>
    <d v="2024-08-10T00:00:00"/>
    <s v="MOTORCYCLE  COMPREHENSIVE"/>
    <n v="352000"/>
    <n v="1869.9"/>
    <n v="124.66"/>
    <n v="500"/>
  </r>
  <r>
    <s v="KHI/HO/D/MO/MC COMP/P/95073/08/2024"/>
    <m/>
    <x v="12"/>
    <d v="2025-08-11T00:00:00"/>
    <d v="2026-08-11T00:00:00"/>
    <s v="SYED MUHAMMAD SOUHAIB ALVI"/>
    <s v="SUZUKI-GD-110S"/>
    <n v="14960"/>
    <n v="12466"/>
    <m/>
    <m/>
    <m/>
    <m/>
    <s v="146618"/>
    <d v="2024-08-10T00:00:00"/>
    <s v="MOTORCYCLE  COMPREHENSIVE"/>
    <n v="352000"/>
    <n v="1869.9"/>
    <n v="124.66"/>
    <n v="500"/>
  </r>
  <r>
    <s v="KHI/HO/D/MO/MC COMP/P/95074/08/2024"/>
    <m/>
    <x v="0"/>
    <d v="2024-08-10T00:00:00"/>
    <d v="2025-08-10T00:00:00"/>
    <s v="WAQAS AHMED KHAN"/>
    <s v="SUZUKI-GD-110S"/>
    <n v="14960"/>
    <n v="12466"/>
    <m/>
    <m/>
    <m/>
    <m/>
    <s v="146643"/>
    <d v="2024-08-10T00:00:00"/>
    <s v="MOTORCYCLE  COMPREHENSIVE"/>
    <n v="352000"/>
    <n v="1869.9"/>
    <n v="124.66"/>
    <n v="500"/>
  </r>
  <r>
    <s v="KHI/HO/D/MO/MC COMP/P/95075/08/2024"/>
    <m/>
    <x v="0"/>
    <d v="2025-08-11T00:00:00"/>
    <d v="2026-08-11T00:00:00"/>
    <s v="WAQAS AHMED KHAN"/>
    <s v="SUZUKI-GD-110S"/>
    <n v="14960"/>
    <n v="12466"/>
    <m/>
    <m/>
    <m/>
    <m/>
    <s v="146643"/>
    <d v="2024-08-10T00:00:00"/>
    <s v="MOTORCYCLE  COMPREHENSIVE"/>
    <n v="352000"/>
    <n v="1869.9"/>
    <n v="124.66"/>
    <n v="500"/>
  </r>
  <r>
    <s v="KHI/HO/D/MO/MC COMP/P/95076/08/2024"/>
    <m/>
    <x v="10"/>
    <d v="2024-08-10T00:00:00"/>
    <d v="2025-08-10T00:00:00"/>
    <s v="NISAR AHMED"/>
    <s v="SUZUKI-GD-110S"/>
    <n v="14960"/>
    <n v="12466"/>
    <m/>
    <m/>
    <m/>
    <m/>
    <s v="146790"/>
    <d v="2024-08-10T00:00:00"/>
    <s v="MOTORCYCLE  COMPREHENSIVE"/>
    <n v="352000"/>
    <n v="1869.9"/>
    <n v="124.66"/>
    <n v="500"/>
  </r>
  <r>
    <s v="KHI/HO/D/MO/MC COMP/P/95077/08/2024"/>
    <m/>
    <x v="12"/>
    <d v="2024-08-10T00:00:00"/>
    <d v="2025-08-10T00:00:00"/>
    <s v="ABDUL AHAD"/>
    <s v="SUZUKI-GS 150"/>
    <n v="16235"/>
    <n v="13565"/>
    <m/>
    <m/>
    <m/>
    <m/>
    <s v="30092442"/>
    <d v="2024-08-10T00:00:00"/>
    <s v="MOTORCYCLE  COMPREHENSIVE"/>
    <n v="382000"/>
    <n v="2034.75"/>
    <n v="135.65"/>
    <n v="500"/>
  </r>
  <r>
    <s v="KHI/HO/D/MO/MC COMP/P/95078/08/2024"/>
    <m/>
    <x v="12"/>
    <d v="2025-08-11T00:00:00"/>
    <d v="2026-08-11T00:00:00"/>
    <s v="ABDUL AHAD"/>
    <s v="SUZUKI-GS 150"/>
    <n v="16235"/>
    <n v="13565"/>
    <m/>
    <m/>
    <m/>
    <m/>
    <s v="30092442"/>
    <d v="2024-08-10T00:00:00"/>
    <s v="MOTORCYCLE  COMPREHENSIVE"/>
    <n v="382000"/>
    <n v="2034.75"/>
    <n v="135.65"/>
    <n v="500"/>
  </r>
  <r>
    <s v="KHI/HO/D/MO/MC COMP/P/95079/08/2024"/>
    <m/>
    <x v="8"/>
    <d v="2024-08-10T00:00:00"/>
    <d v="2025-08-10T00:00:00"/>
    <s v="Kamran"/>
    <s v="SUZUKI-GD-110S"/>
    <n v="8800"/>
    <n v="7155"/>
    <m/>
    <m/>
    <m/>
    <m/>
    <s v="146133"/>
    <d v="2024-08-10T00:00:00"/>
    <s v="MOTORCYCLE  COMPREHENSIVE"/>
    <n v="352000"/>
    <n v="1073.25"/>
    <n v="71.55"/>
    <n v="500"/>
  </r>
  <r>
    <s v="KHI/HO/D/MO/MC COMP/P/95080/08/2024"/>
    <m/>
    <x v="8"/>
    <d v="2024-08-10T00:00:00"/>
    <d v="2025-08-10T00:00:00"/>
    <s v="Kamran"/>
    <s v="SUZUKI-GD-110S"/>
    <n v="8800"/>
    <n v="7155"/>
    <m/>
    <m/>
    <m/>
    <m/>
    <s v="146133"/>
    <d v="2024-08-10T00:00:00"/>
    <s v="MOTORCYCLE  COMPREHENSIVE"/>
    <n v="352000"/>
    <n v="1073.25"/>
    <n v="71.55"/>
    <n v="500"/>
  </r>
  <r>
    <s v="KHI/HO/D/MO/MC COMP/P/95081/08/2024"/>
    <m/>
    <x v="10"/>
    <d v="2024-08-10T00:00:00"/>
    <d v="2025-08-10T00:00:00"/>
    <s v="MUHAMMAD ASJAD KASMANI"/>
    <s v="SUZUKI-GS 150"/>
    <n v="16235"/>
    <n v="13565"/>
    <m/>
    <m/>
    <m/>
    <m/>
    <s v="30092480"/>
    <d v="2024-08-10T00:00:00"/>
    <s v="MOTORCYCLE  COMPREHENSIVE"/>
    <n v="382000"/>
    <n v="2034.75"/>
    <n v="135.65"/>
    <n v="500"/>
  </r>
  <r>
    <s v="KHI/HO/D/MO/MC COMP/P/95082/08/2024"/>
    <m/>
    <x v="12"/>
    <d v="2024-08-10T00:00:00"/>
    <d v="2025-08-10T00:00:00"/>
    <s v="MUHAMMAD JUNIAD"/>
    <s v="SUZUKI-GD-110S"/>
    <n v="14960"/>
    <n v="12466"/>
    <m/>
    <m/>
    <m/>
    <m/>
    <s v="146799"/>
    <d v="2024-08-10T00:00:00"/>
    <s v="MOTORCYCLE  COMPREHENSIVE"/>
    <n v="352000"/>
    <n v="1869.9"/>
    <n v="124.66"/>
    <n v="500"/>
  </r>
  <r>
    <s v="KHI/HO/D/MO/MC COMP/P/95083/08/2024"/>
    <m/>
    <x v="12"/>
    <d v="2025-08-11T00:00:00"/>
    <d v="2026-08-11T00:00:00"/>
    <s v="MUHAMMAD JUNIAD"/>
    <s v="SUZUKI-GD-110S"/>
    <n v="14960"/>
    <n v="12466"/>
    <m/>
    <m/>
    <m/>
    <m/>
    <s v="146799"/>
    <d v="2024-08-10T00:00:00"/>
    <s v="MOTORCYCLE  COMPREHENSIVE"/>
    <n v="352000"/>
    <n v="1869.9"/>
    <n v="124.66"/>
    <n v="500"/>
  </r>
  <r>
    <s v="KHI/HO/D/MO/MC COMP/P/95084/08/2024"/>
    <m/>
    <x v="8"/>
    <d v="2024-08-10T00:00:00"/>
    <d v="2025-08-10T00:00:00"/>
    <s v="Aqib Yasin"/>
    <s v="SUZUKI-GD-110S"/>
    <n v="8800"/>
    <n v="7155"/>
    <m/>
    <m/>
    <m/>
    <m/>
    <s v="145725"/>
    <d v="2024-08-10T00:00:00"/>
    <s v="MOTORCYCLE  COMPREHENSIVE"/>
    <n v="352000"/>
    <n v="1073.25"/>
    <n v="71.55"/>
    <n v="500"/>
  </r>
  <r>
    <s v="KHI/HO/D/MO/MC COMP/P/95085/08/2024"/>
    <m/>
    <x v="8"/>
    <d v="2024-08-10T00:00:00"/>
    <d v="2025-08-10T00:00:00"/>
    <s v="Amir Riaz"/>
    <s v="SUZUKI-GS 150"/>
    <n v="9550"/>
    <n v="7802"/>
    <m/>
    <m/>
    <m/>
    <m/>
    <s v="30092294"/>
    <d v="2024-08-10T00:00:00"/>
    <s v="MOTORCYCLE  COMPREHENSIVE"/>
    <n v="382000"/>
    <n v="1170.3"/>
    <n v="78.02"/>
    <n v="500"/>
  </r>
  <r>
    <s v="KHI/HO/D/MO/MC COMP/P/95086/08/2024"/>
    <m/>
    <x v="8"/>
    <d v="2024-08-10T00:00:00"/>
    <d v="2025-08-10T00:00:00"/>
    <s v="Muhammad Asif"/>
    <s v="SUZUKI-GS 150"/>
    <n v="9550"/>
    <n v="7802"/>
    <m/>
    <m/>
    <m/>
    <m/>
    <s v="30092152"/>
    <d v="2024-08-10T00:00:00"/>
    <s v="MOTORCYCLE  COMPREHENSIVE"/>
    <n v="382000"/>
    <n v="1170.3"/>
    <n v="78.02"/>
    <n v="500"/>
  </r>
  <r>
    <s v="KHI/HO/D/MO/MC COMP/P/95087/08/2024"/>
    <m/>
    <x v="8"/>
    <d v="2024-08-10T00:00:00"/>
    <d v="2025-08-10T00:00:00"/>
    <s v="Muhammad Asif"/>
    <s v="SUZUKI-GD-110S"/>
    <n v="8800"/>
    <n v="7155"/>
    <m/>
    <m/>
    <m/>
    <m/>
    <s v="145701"/>
    <d v="2024-08-10T00:00:00"/>
    <s v="MOTORCYCLE  COMPREHENSIVE"/>
    <n v="352000"/>
    <n v="1073.25"/>
    <n v="71.55"/>
    <n v="500"/>
  </r>
  <r>
    <s v="KHI/HO/D/MO/MC COMP/P/95088/08/2024"/>
    <m/>
    <x v="8"/>
    <d v="2024-08-10T00:00:00"/>
    <d v="2025-08-10T00:00:00"/>
    <s v="Arslan Tanveer"/>
    <s v="SUZUKI-GS 150"/>
    <n v="9550"/>
    <n v="7802"/>
    <m/>
    <m/>
    <m/>
    <m/>
    <s v="30091878"/>
    <d v="2024-08-10T00:00:00"/>
    <s v="MOTORCYCLE  COMPREHENSIVE"/>
    <n v="382000"/>
    <n v="1170.3"/>
    <n v="78.02"/>
    <n v="500"/>
  </r>
  <r>
    <s v="KHI/HO/D/MO/MC COMP/P/95089/08/2024"/>
    <m/>
    <x v="3"/>
    <d v="2024-08-10T00:00:00"/>
    <d v="2025-08-10T00:00:00"/>
    <s v="MUHAMMAD HUZAIFA HASSAN"/>
    <s v="SUZUKI-GR150 EURO II"/>
    <n v="13675"/>
    <n v="11358"/>
    <m/>
    <m/>
    <m/>
    <m/>
    <s v="113487"/>
    <d v="2024-08-10T00:00:00"/>
    <s v="MOTORCYCLE  COMPREHENSIVE"/>
    <n v="547000"/>
    <n v="1703.7"/>
    <n v="113.58"/>
    <n v="500"/>
  </r>
  <r>
    <s v="KHI/HO/D/MO/MC COMP/P/95090/08/2024"/>
    <m/>
    <x v="15"/>
    <d v="2024-08-10T00:00:00"/>
    <d v="2025-08-10T00:00:00"/>
    <s v="MUHAMMAD FIAZ"/>
    <s v="SUZUKI-GSX 125"/>
    <n v="12475"/>
    <n v="10323"/>
    <m/>
    <m/>
    <m/>
    <m/>
    <s v="23100364"/>
    <d v="2024-08-10T00:00:00"/>
    <s v="MOTORCYCLE  COMPREHENSIVE"/>
    <n v="499000"/>
    <n v="1548.45"/>
    <n v="103.23"/>
    <n v="500"/>
  </r>
  <r>
    <s v="KHI/HO/D/MO/MC COMP/P/95109/08/2024"/>
    <m/>
    <x v="10"/>
    <d v="2024-08-12T00:00:00"/>
    <d v="2025-08-12T00:00:00"/>
    <s v="FASEH AHMED"/>
    <s v="SUZUKI-GD-110S"/>
    <n v="14960"/>
    <n v="12466"/>
    <m/>
    <m/>
    <m/>
    <m/>
    <s v="146770"/>
    <d v="2024-08-12T00:00:00"/>
    <s v="MOTORCYCLE  COMPREHENSIVE"/>
    <n v="352000"/>
    <n v="1869.9"/>
    <n v="124.66"/>
    <n v="500"/>
  </r>
  <r>
    <s v="KHI/HO/D/MO/MC COMP/P/95110/08/2024"/>
    <m/>
    <x v="10"/>
    <d v="2025-08-13T00:00:00"/>
    <d v="2026-08-13T00:00:00"/>
    <s v="FASEH AHMED"/>
    <s v="SUZUKI-GD-110S"/>
    <n v="14960"/>
    <n v="12466"/>
    <m/>
    <m/>
    <m/>
    <m/>
    <s v="146770"/>
    <d v="2024-08-12T00:00:00"/>
    <s v="MOTORCYCLE  COMPREHENSIVE"/>
    <n v="352000"/>
    <n v="1869.9"/>
    <n v="124.66"/>
    <n v="500"/>
  </r>
  <r>
    <s v="KHI/HO/D/MO/MC COMP/P/95117/08/2024"/>
    <m/>
    <x v="10"/>
    <d v="2024-08-12T00:00:00"/>
    <d v="2025-08-12T00:00:00"/>
    <s v="MUHAMMAD YOUSUF"/>
    <s v="SUZUKI-GS 150"/>
    <n v="16235"/>
    <n v="13565"/>
    <m/>
    <m/>
    <m/>
    <m/>
    <s v="30092459"/>
    <d v="2024-08-12T00:00:00"/>
    <s v="MOTORCYCLE  COMPREHENSIVE"/>
    <n v="382000"/>
    <n v="2034.75"/>
    <n v="135.65"/>
    <n v="500"/>
  </r>
  <r>
    <s v="KHI/HO/D/MO/MC COMP/P/95118/08/2024"/>
    <m/>
    <x v="10"/>
    <d v="2025-08-13T00:00:00"/>
    <d v="2026-08-13T00:00:00"/>
    <s v="MUHAMMAD YOUSUF"/>
    <s v="SUZUKI-GS 150"/>
    <n v="16235"/>
    <n v="13565"/>
    <m/>
    <m/>
    <m/>
    <m/>
    <s v="30092459"/>
    <d v="2024-08-12T00:00:00"/>
    <s v="MOTORCYCLE  COMPREHENSIVE"/>
    <n v="382000"/>
    <n v="2034.75"/>
    <n v="135.65"/>
    <n v="500"/>
  </r>
  <r>
    <s v="KHI/HO/D/MO/MC COMP/P/95120/08/2024"/>
    <m/>
    <x v="23"/>
    <d v="2024-08-12T00:00:00"/>
    <d v="2025-08-12T00:00:00"/>
    <s v="ZAHID HUSSAIN"/>
    <s v="SUZUKI-GS 150"/>
    <n v="9550"/>
    <n v="7802"/>
    <m/>
    <m/>
    <m/>
    <m/>
    <s v="30092103"/>
    <d v="2024-08-12T00:00:00"/>
    <s v="MOTORCYCLE  COMPREHENSIVE"/>
    <n v="382000"/>
    <n v="1170.3"/>
    <n v="78.02"/>
    <n v="500"/>
  </r>
  <r>
    <s v="KHI/HO/D/MO/MC COMP/P/95121/08/2024"/>
    <m/>
    <x v="10"/>
    <d v="2024-08-12T00:00:00"/>
    <d v="2025-08-12T00:00:00"/>
    <s v="YOUSUF SAMID"/>
    <s v="SUZUKI-GD-110S"/>
    <n v="14960"/>
    <n v="12466"/>
    <m/>
    <m/>
    <m/>
    <m/>
    <s v="146755"/>
    <d v="2024-08-12T00:00:00"/>
    <s v="MOTORCYCLE  COMPREHENSIVE"/>
    <n v="352000"/>
    <n v="1869.9"/>
    <n v="124.66"/>
    <n v="500"/>
  </r>
  <r>
    <s v="KHI/HO/D/MO/MC COMP/P/95122/08/2024"/>
    <m/>
    <x v="10"/>
    <d v="2025-08-13T00:00:00"/>
    <d v="2026-08-13T00:00:00"/>
    <s v="YOUSUF SAMID"/>
    <s v="SUZUKI-GD-110S"/>
    <n v="14960"/>
    <n v="12466"/>
    <m/>
    <m/>
    <m/>
    <m/>
    <s v="146755"/>
    <d v="2024-08-12T00:00:00"/>
    <s v="MOTORCYCLE  COMPREHENSIVE"/>
    <n v="352000"/>
    <n v="1869.9"/>
    <n v="124.66"/>
    <n v="500"/>
  </r>
  <r>
    <s v="KHI/HO/D/MO/MC COMP/P/95123/08/2024"/>
    <m/>
    <x v="7"/>
    <d v="2024-08-12T00:00:00"/>
    <d v="2025-08-12T00:00:00"/>
    <s v="SYED TAQI ALI"/>
    <s v="SUZUKI-GD-110S"/>
    <n v="14960"/>
    <n v="12466"/>
    <m/>
    <m/>
    <m/>
    <m/>
    <s v="146793"/>
    <d v="2024-08-12T00:00:00"/>
    <s v="MOTORCYCLE  COMPREHENSIVE"/>
    <n v="352000"/>
    <n v="1869.9"/>
    <n v="124.66"/>
    <n v="500"/>
  </r>
  <r>
    <s v="KHI/HO/D/MO/MC COMP/P/95124/08/2024"/>
    <m/>
    <x v="10"/>
    <d v="2024-08-12T00:00:00"/>
    <d v="2025-08-12T00:00:00"/>
    <s v="SYED SULTAN RAZA SHAH"/>
    <s v="SUZUKI-GR150 EURO II"/>
    <n v="23248"/>
    <n v="19610"/>
    <m/>
    <m/>
    <m/>
    <m/>
    <s v="113521"/>
    <d v="2024-08-12T00:00:00"/>
    <s v="MOTORCYCLE  COMPREHENSIVE"/>
    <n v="547000"/>
    <n v="2941.5"/>
    <n v="196.1"/>
    <n v="500"/>
  </r>
  <r>
    <s v="KHI/HO/D/MO/MC COMP/P/95125/08/2024"/>
    <m/>
    <x v="10"/>
    <d v="2025-08-13T00:00:00"/>
    <d v="2026-08-13T00:00:00"/>
    <s v="SYED SULTAN RAZA SHAH"/>
    <s v="SUZUKI-GR150 EURO II"/>
    <n v="23248"/>
    <n v="19610"/>
    <m/>
    <m/>
    <m/>
    <m/>
    <s v="113521"/>
    <d v="2024-08-12T00:00:00"/>
    <s v="MOTORCYCLE  COMPREHENSIVE"/>
    <n v="547000"/>
    <n v="2941.5"/>
    <n v="196.1"/>
    <n v="500"/>
  </r>
  <r>
    <s v="KHI/HO/D/MO/MC COMP/P/95126/08/2024"/>
    <m/>
    <x v="20"/>
    <d v="2024-08-12T00:00:00"/>
    <d v="2025-08-12T00:00:00"/>
    <s v="MUHAMMAD ARSHAD"/>
    <s v="SUZUKI-GS 150"/>
    <n v="9550"/>
    <n v="7802"/>
    <m/>
    <m/>
    <m/>
    <m/>
    <s v="30092296"/>
    <d v="2024-08-12T00:00:00"/>
    <s v="MOTORCYCLE  COMPREHENSIVE"/>
    <n v="382000"/>
    <n v="1170.3"/>
    <n v="78.02"/>
    <n v="500"/>
  </r>
  <r>
    <s v="KHI/HO/D/MO/MC COMP/P/95128/08/2024"/>
    <m/>
    <x v="20"/>
    <d v="2024-08-12T00:00:00"/>
    <d v="2025-08-12T00:00:00"/>
    <s v="MUHAMMAD SAJID"/>
    <s v="SUZUKI-GD-110S"/>
    <n v="8800"/>
    <n v="7155"/>
    <m/>
    <m/>
    <m/>
    <m/>
    <s v="146083"/>
    <d v="2024-08-12T00:00:00"/>
    <s v="MOTORCYCLE  COMPREHENSIVE"/>
    <n v="352000"/>
    <n v="1073.25"/>
    <n v="71.55"/>
    <n v="500"/>
  </r>
  <r>
    <s v="KHI/HO/D/MO/MC COMP/P/95130/08/2024"/>
    <m/>
    <x v="20"/>
    <d v="2024-08-12T00:00:00"/>
    <d v="2025-08-12T00:00:00"/>
    <s v="HAFIZ MUHAMMAD AZAM"/>
    <s v="SUZUKI-GD-110S"/>
    <n v="8800"/>
    <n v="7155"/>
    <m/>
    <m/>
    <m/>
    <m/>
    <s v="146079"/>
    <d v="2024-08-12T00:00:00"/>
    <s v="MOTORCYCLE  COMPREHENSIVE"/>
    <n v="352000"/>
    <n v="1073.25"/>
    <n v="71.55"/>
    <n v="500"/>
  </r>
  <r>
    <s v="KHI/HO/D/MO/MC COMP/P/95133/08/2024"/>
    <m/>
    <x v="20"/>
    <d v="2024-08-12T00:00:00"/>
    <d v="2025-08-12T00:00:00"/>
    <s v="MUHAMMAD AMMAR"/>
    <s v="SUZUKI-GSX 125"/>
    <n v="12475"/>
    <n v="10323"/>
    <m/>
    <m/>
    <m/>
    <m/>
    <s v="23102568"/>
    <d v="2024-08-12T00:00:00"/>
    <s v="MOTORCYCLE  COMPREHENSIVE"/>
    <n v="499000"/>
    <n v="1548.45"/>
    <n v="103.23"/>
    <n v="500"/>
  </r>
  <r>
    <s v="KHI/HO/D/MO/MC COMP/P/95134/08/2024"/>
    <m/>
    <x v="20"/>
    <d v="2024-08-12T00:00:00"/>
    <d v="2025-08-12T00:00:00"/>
    <s v="MUHAMMAD NABEEL"/>
    <s v="SUZUKI-GD-110S"/>
    <n v="8800"/>
    <n v="7155"/>
    <m/>
    <m/>
    <m/>
    <m/>
    <s v="146107"/>
    <d v="2024-08-12T00:00:00"/>
    <s v="MOTORCYCLE  COMPREHENSIVE"/>
    <n v="352000"/>
    <n v="1073.25"/>
    <n v="71.55"/>
    <n v="500"/>
  </r>
  <r>
    <s v="KHI/HO/D/MO/MC COMP/P/95135/08/2024"/>
    <m/>
    <x v="12"/>
    <d v="2024-08-12T00:00:00"/>
    <d v="2025-08-12T00:00:00"/>
    <s v="MUHAMMAD SHAHZAD"/>
    <s v="SUZUKI-GD-110S"/>
    <n v="14960"/>
    <n v="12466"/>
    <m/>
    <m/>
    <m/>
    <m/>
    <s v="146794"/>
    <d v="2024-08-12T00:00:00"/>
    <s v="MOTORCYCLE  COMPREHENSIVE"/>
    <n v="352000"/>
    <n v="1869.9"/>
    <n v="124.66"/>
    <n v="500"/>
  </r>
  <r>
    <s v="KHI/HO/D/MO/MC COMP/P/95136/08/2024"/>
    <m/>
    <x v="12"/>
    <d v="2025-08-13T00:00:00"/>
    <d v="2026-08-13T00:00:00"/>
    <s v="MUHAMMAD SHAHZAD"/>
    <s v="SUZUKI-GD-110S"/>
    <n v="14960"/>
    <n v="12466"/>
    <m/>
    <m/>
    <m/>
    <m/>
    <s v="146794"/>
    <d v="2024-08-12T00:00:00"/>
    <s v="MOTORCYCLE  COMPREHENSIVE"/>
    <n v="352000"/>
    <n v="1869.9"/>
    <n v="124.66"/>
    <n v="500"/>
  </r>
  <r>
    <s v="KHI/HO/D/MO/MC COMP/P/95137/08/2024"/>
    <m/>
    <x v="10"/>
    <d v="2024-08-12T00:00:00"/>
    <d v="2025-08-12T00:00:00"/>
    <s v="WALEED ARIF"/>
    <s v="SUZUKI-GD-110S"/>
    <n v="14960"/>
    <n v="12466"/>
    <m/>
    <m/>
    <m/>
    <m/>
    <s v="146796"/>
    <d v="2024-08-12T00:00:00"/>
    <s v="MOTORCYCLE  COMPREHENSIVE"/>
    <n v="352000"/>
    <n v="1869.9"/>
    <n v="124.66"/>
    <n v="500"/>
  </r>
  <r>
    <s v="KHI/HO/D/MO/MC COMP/P/95141/08/2024"/>
    <m/>
    <x v="2"/>
    <d v="2024-08-12T00:00:00"/>
    <d v="2025-08-12T00:00:00"/>
    <s v="HAMID MASOOD MIRZA"/>
    <s v="SUZUKI-GD-110S"/>
    <n v="14960"/>
    <n v="12466"/>
    <m/>
    <m/>
    <m/>
    <m/>
    <s v="146774"/>
    <d v="2024-08-12T00:00:00"/>
    <s v="MOTORCYCLE  COMPREHENSIVE"/>
    <n v="352000"/>
    <n v="1869.9"/>
    <n v="124.66"/>
    <n v="500"/>
  </r>
  <r>
    <s v="KHI/HO/D/MO/MC COMP/P/95142/08/2024"/>
    <m/>
    <x v="2"/>
    <d v="2025-08-13T00:00:00"/>
    <d v="2026-08-13T00:00:00"/>
    <s v="HAMID MASOOD MIRZA"/>
    <s v="SUZUKI-GD-110S"/>
    <n v="14960"/>
    <n v="12466"/>
    <m/>
    <m/>
    <m/>
    <m/>
    <s v="146774"/>
    <d v="2024-08-12T00:00:00"/>
    <s v="MOTORCYCLE  COMPREHENSIVE"/>
    <n v="352000"/>
    <n v="1869.9"/>
    <n v="124.66"/>
    <n v="500"/>
  </r>
  <r>
    <s v="KHI/HO/D/MO/MC COMP/P/95149/08/2024"/>
    <m/>
    <x v="7"/>
    <d v="2024-08-12T00:00:00"/>
    <d v="2025-08-12T00:00:00"/>
    <s v="SYED MUHAMMAD MUZAMIL"/>
    <s v="SUZUKI-GS 150"/>
    <n v="16235"/>
    <n v="13565"/>
    <m/>
    <m/>
    <m/>
    <m/>
    <s v="30092430"/>
    <d v="2024-08-12T00:00:00"/>
    <s v="MOTORCYCLE  COMPREHENSIVE"/>
    <n v="382000"/>
    <n v="2034.75"/>
    <n v="135.65"/>
    <n v="500"/>
  </r>
  <r>
    <s v="KHI/HO/D/MO/MC COMP/P/95150/08/2024"/>
    <m/>
    <x v="7"/>
    <d v="2025-08-13T00:00:00"/>
    <d v="2026-08-13T00:00:00"/>
    <s v="SYED MUHAMMAD MUZAMIL"/>
    <s v="SUZUKI-GS 150"/>
    <n v="16235"/>
    <n v="13565"/>
    <m/>
    <m/>
    <m/>
    <m/>
    <s v="30092430"/>
    <d v="2024-08-12T00:00:00"/>
    <s v="MOTORCYCLE  COMPREHENSIVE"/>
    <n v="382000"/>
    <n v="2034.75"/>
    <n v="135.65"/>
    <n v="500"/>
  </r>
  <r>
    <s v="KHI/HO/D/MO/MC COMP/P/95151/08/2024"/>
    <m/>
    <x v="16"/>
    <d v="2024-08-12T00:00:00"/>
    <d v="2025-08-12T00:00:00"/>
    <s v="Abdullah Nasir Qasmi"/>
    <s v="SUZUKI-GD-110S"/>
    <n v="14960"/>
    <n v="12466"/>
    <m/>
    <m/>
    <m/>
    <m/>
    <s v="146743"/>
    <d v="2024-08-12T00:00:00"/>
    <s v="MOTORCYCLE  COMPREHENSIVE"/>
    <n v="352000"/>
    <n v="1869.9"/>
    <n v="124.66"/>
    <n v="500"/>
  </r>
  <r>
    <s v="KHI/HO/D/MO/MC COMP/P/95152/08/2024"/>
    <m/>
    <x v="16"/>
    <d v="2024-08-12T00:00:00"/>
    <d v="2025-08-12T00:00:00"/>
    <s v="Muhammad Faraz"/>
    <s v="SUZUKI-GD-110S"/>
    <n v="14960"/>
    <n v="12466"/>
    <m/>
    <m/>
    <m/>
    <m/>
    <s v="146737"/>
    <d v="2024-08-12T00:00:00"/>
    <s v="MOTORCYCLE  COMPREHENSIVE"/>
    <n v="352000"/>
    <n v="1869.9"/>
    <n v="124.66"/>
    <n v="500"/>
  </r>
  <r>
    <s v="KHI/HO/D/MO/MC COMP/P/95167/08/2024"/>
    <m/>
    <x v="7"/>
    <d v="2024-08-13T00:00:00"/>
    <d v="2025-08-13T00:00:00"/>
    <s v="ABDUL RASHEED"/>
    <s v="SUZUKI-GR150 EURO II"/>
    <n v="23248"/>
    <n v="19610"/>
    <m/>
    <m/>
    <m/>
    <m/>
    <s v="113230"/>
    <d v="2024-08-13T00:00:00"/>
    <s v="MOTORCYCLE  COMPREHENSIVE"/>
    <n v="547000"/>
    <n v="2941.5"/>
    <n v="196.1"/>
    <n v="500"/>
  </r>
  <r>
    <s v="KHI/HO/D/MO/MC COMP/P/95172/08/2024"/>
    <m/>
    <x v="10"/>
    <d v="2024-08-13T00:00:00"/>
    <d v="2025-08-13T00:00:00"/>
    <s v="ZAHID HUSSAIN"/>
    <s v="SUZUKI-GSX 125"/>
    <n v="21208"/>
    <n v="17852"/>
    <m/>
    <m/>
    <m/>
    <m/>
    <s v="23102567"/>
    <d v="2024-08-13T00:00:00"/>
    <s v="MOTORCYCLE  COMPREHENSIVE"/>
    <n v="499000"/>
    <n v="2677.8"/>
    <n v="178.52"/>
    <n v="500"/>
  </r>
  <r>
    <s v="KHI/HO/D/MO/MC COMP/P/95175/08/2024"/>
    <m/>
    <x v="11"/>
    <d v="2024-08-13T00:00:00"/>
    <d v="2025-08-13T00:00:00"/>
    <s v="MUHAMMAD IBRAHIM"/>
    <s v="SUZUKI-GD-110S"/>
    <n v="14960"/>
    <n v="12466"/>
    <m/>
    <m/>
    <m/>
    <m/>
    <s v="146384"/>
    <d v="2024-08-13T00:00:00"/>
    <s v="MOTORCYCLE  COMPREHENSIVE"/>
    <n v="352000"/>
    <n v="1869.9"/>
    <n v="124.66"/>
    <n v="500"/>
  </r>
  <r>
    <s v="KHI/HO/D/MO/MC COMP/P/95176/08/2024"/>
    <m/>
    <x v="11"/>
    <d v="2025-08-14T00:00:00"/>
    <d v="2026-08-14T00:00:00"/>
    <s v="MUHAMMAD IBRAHIM"/>
    <s v="SUZUKI-GD-110S"/>
    <n v="14960"/>
    <n v="12466"/>
    <m/>
    <m/>
    <m/>
    <m/>
    <s v="146384"/>
    <d v="2024-08-13T00:00:00"/>
    <s v="MOTORCYCLE  COMPREHENSIVE"/>
    <n v="352000"/>
    <n v="1869.9"/>
    <n v="124.66"/>
    <n v="500"/>
  </r>
  <r>
    <s v="KHI/HO/D/MO/MC COMP/P/95177/08/2024"/>
    <m/>
    <x v="1"/>
    <d v="2024-08-13T00:00:00"/>
    <d v="2025-08-13T00:00:00"/>
    <s v="MUHAMMAD SAMEE"/>
    <s v="SUZUKI-GR150 EURO II"/>
    <n v="23248"/>
    <n v="19610"/>
    <m/>
    <m/>
    <m/>
    <m/>
    <s v="113540"/>
    <d v="2024-08-13T00:00:00"/>
    <s v="MOTORCYCLE  COMPREHENSIVE"/>
    <n v="547000"/>
    <n v="2941.5"/>
    <n v="196.1"/>
    <n v="500"/>
  </r>
  <r>
    <s v="KHI/HO/D/MO/MC COMP/P/95178/08/2024"/>
    <m/>
    <x v="1"/>
    <d v="2025-08-14T00:00:00"/>
    <d v="2026-08-14T00:00:00"/>
    <s v="MUHAMMAD SAMEE"/>
    <s v="SUZUKI-GR150 EURO II"/>
    <n v="23248"/>
    <n v="19610"/>
    <m/>
    <m/>
    <m/>
    <m/>
    <s v="113540"/>
    <d v="2024-08-13T00:00:00"/>
    <s v="MOTORCYCLE  COMPREHENSIVE"/>
    <n v="547000"/>
    <n v="2941.5"/>
    <n v="196.1"/>
    <n v="500"/>
  </r>
  <r>
    <s v="KHI/HO/D/MO/MC COMP/P/95179/08/2024"/>
    <m/>
    <x v="12"/>
    <d v="2024-08-13T00:00:00"/>
    <d v="2025-08-13T00:00:00"/>
    <s v="MUNEEB UR REHMAN KHAN"/>
    <s v="SUZUKI-GR150 EURO II"/>
    <n v="23248"/>
    <n v="19610"/>
    <m/>
    <m/>
    <m/>
    <m/>
    <s v="113557"/>
    <d v="2024-08-13T00:00:00"/>
    <s v="MOTORCYCLE  COMPREHENSIVE"/>
    <n v="547000"/>
    <n v="2941.5"/>
    <n v="196.1"/>
    <n v="500"/>
  </r>
  <r>
    <s v="KHI/HO/D/MO/MC COMP/P/95180/08/2024"/>
    <m/>
    <x v="12"/>
    <d v="2025-08-14T00:00:00"/>
    <d v="2026-08-14T00:00:00"/>
    <s v="MUNEEB UR REHMAN KHAN"/>
    <s v="SUZUKI-GR150 EURO II"/>
    <n v="23248"/>
    <n v="19610"/>
    <m/>
    <m/>
    <m/>
    <m/>
    <s v="113557"/>
    <d v="2024-08-13T00:00:00"/>
    <s v="MOTORCYCLE  COMPREHENSIVE"/>
    <n v="547000"/>
    <n v="2941.5"/>
    <n v="196.1"/>
    <n v="500"/>
  </r>
  <r>
    <s v="KHI/HO/D/MO/MC COMP/P/95181/08/2024"/>
    <m/>
    <x v="13"/>
    <d v="2024-08-13T00:00:00"/>
    <d v="2025-08-13T00:00:00"/>
    <s v="Qaloob Qadir"/>
    <s v="SUZUKI-GS 150"/>
    <n v="9550"/>
    <n v="7802"/>
    <m/>
    <m/>
    <m/>
    <m/>
    <s v="300392350"/>
    <d v="2024-08-13T00:00:00"/>
    <s v="MOTORCYCLE  COMPREHENSIVE"/>
    <n v="382000"/>
    <n v="1170.3"/>
    <n v="78.02"/>
    <n v="500"/>
  </r>
  <r>
    <s v="KHI/HO/D/MO/MC COMP/P/95182/08/2024"/>
    <m/>
    <x v="13"/>
    <d v="2024-08-13T00:00:00"/>
    <d v="2025-08-13T00:00:00"/>
    <s v="Qaloob Qadir"/>
    <s v="SUZUKI-GS 150"/>
    <n v="9550"/>
    <n v="7802"/>
    <m/>
    <m/>
    <m/>
    <m/>
    <s v="300392350"/>
    <d v="2024-08-13T00:00:00"/>
    <s v="MOTORCYCLE  COMPREHENSIVE"/>
    <n v="382000"/>
    <n v="1170.3"/>
    <n v="78.02"/>
    <n v="500"/>
  </r>
  <r>
    <s v="KHI/HO/D/MO/MC COMP/P/95183/08/2024"/>
    <m/>
    <x v="3"/>
    <d v="2024-08-13T00:00:00"/>
    <d v="2025-08-13T00:00:00"/>
    <s v="MUBASHIR HAMEED"/>
    <s v="SUZUKI-GD-110S"/>
    <n v="8800"/>
    <n v="7155"/>
    <m/>
    <m/>
    <m/>
    <m/>
    <s v="146466"/>
    <d v="2024-08-13T00:00:00"/>
    <s v="MOTORCYCLE  COMPREHENSIVE"/>
    <n v="352000"/>
    <n v="1073.25"/>
    <n v="71.55"/>
    <n v="500"/>
  </r>
  <r>
    <s v="KHI/HO/D/MO/MC COMP/P/95184/08/2024"/>
    <m/>
    <x v="13"/>
    <d v="2024-08-13T00:00:00"/>
    <d v="2025-08-13T00:00:00"/>
    <s v="Gulzar"/>
    <s v="SUZUKI-GD-110S"/>
    <n v="8800"/>
    <n v="7155"/>
    <m/>
    <m/>
    <m/>
    <m/>
    <s v="145722"/>
    <d v="2024-08-13T00:00:00"/>
    <s v="MOTORCYCLE  COMPREHENSIVE"/>
    <n v="352000"/>
    <n v="1073.25"/>
    <n v="71.55"/>
    <n v="500"/>
  </r>
  <r>
    <s v="KHI/HO/D/MO/MC COMP/P/95185/08/2024"/>
    <m/>
    <x v="13"/>
    <d v="2024-08-13T00:00:00"/>
    <d v="2025-08-13T00:00:00"/>
    <s v="Gulzar"/>
    <s v="SUZUKI-GD-110S"/>
    <n v="8800"/>
    <n v="7155"/>
    <m/>
    <m/>
    <m/>
    <m/>
    <s v="145722"/>
    <d v="2024-08-13T00:00:00"/>
    <s v="MOTORCYCLE  COMPREHENSIVE"/>
    <n v="352000"/>
    <n v="1073.25"/>
    <n v="71.55"/>
    <n v="500"/>
  </r>
  <r>
    <s v="KHI/HO/D/MO/MC COMP/P/95186/08/2024"/>
    <m/>
    <x v="24"/>
    <d v="2024-08-13T00:00:00"/>
    <d v="2025-08-13T00:00:00"/>
    <s v="ZEESHAN BARKAT"/>
    <s v="SUZUKI-GD-110S"/>
    <n v="8800"/>
    <n v="7155"/>
    <m/>
    <m/>
    <m/>
    <m/>
    <s v="145591"/>
    <d v="2024-08-13T00:00:00"/>
    <s v="MOTORCYCLE  COMPREHENSIVE"/>
    <n v="352000"/>
    <n v="1073.25"/>
    <n v="71.55"/>
    <n v="500"/>
  </r>
  <r>
    <s v="KHI/HO/D/MO/MC COMP/P/95187/08/2024"/>
    <m/>
    <x v="13"/>
    <d v="2024-08-13T00:00:00"/>
    <d v="2025-08-13T00:00:00"/>
    <s v="M Mubashir"/>
    <s v="SUZUKI-GD-110S"/>
    <n v="8800"/>
    <n v="7155"/>
    <m/>
    <m/>
    <m/>
    <m/>
    <s v="146350"/>
    <d v="2024-08-13T00:00:00"/>
    <s v="MOTORCYCLE  COMPREHENSIVE"/>
    <n v="352000"/>
    <n v="1073.25"/>
    <n v="71.55"/>
    <n v="500"/>
  </r>
  <r>
    <s v="KHI/HO/D/MO/MC COMP/P/95188/08/2024"/>
    <m/>
    <x v="24"/>
    <d v="2024-08-13T00:00:00"/>
    <d v="2025-08-13T00:00:00"/>
    <s v="MUHAMMAD USMAN"/>
    <s v="SUZUKI-GD-110S"/>
    <n v="8800"/>
    <n v="7155"/>
    <m/>
    <m/>
    <m/>
    <m/>
    <s v="145592"/>
    <d v="2024-08-13T00:00:00"/>
    <s v="MOTORCYCLE  COMPREHENSIVE"/>
    <n v="352000"/>
    <n v="1073.25"/>
    <n v="71.55"/>
    <n v="500"/>
  </r>
  <r>
    <s v="KHI/HO/D/MO/MC COMP/P/95189/08/2024"/>
    <m/>
    <x v="24"/>
    <d v="2024-08-13T00:00:00"/>
    <d v="2025-08-13T00:00:00"/>
    <s v="MUHAMMAD UMAIR NADEEM"/>
    <s v="SUZUKI-GS 150"/>
    <n v="9550"/>
    <n v="7802"/>
    <m/>
    <m/>
    <m/>
    <m/>
    <s v="30092061"/>
    <d v="2024-08-13T00:00:00"/>
    <s v="MOTORCYCLE  COMPREHENSIVE"/>
    <n v="382000"/>
    <n v="1170.3"/>
    <n v="78.02"/>
    <n v="500"/>
  </r>
  <r>
    <s v="KHI/HO/D/MO/MC COMP/P/95194/08/2024"/>
    <m/>
    <x v="24"/>
    <d v="2024-08-13T00:00:00"/>
    <d v="2025-08-13T00:00:00"/>
    <s v="ZOHAIB SHAHBAZ"/>
    <s v="SUZUKI-GD-110S"/>
    <n v="8800"/>
    <n v="7155"/>
    <m/>
    <m/>
    <m/>
    <m/>
    <s v="145967"/>
    <d v="2024-08-13T00:00:00"/>
    <s v="MOTORCYCLE  COMPREHENSIVE"/>
    <n v="352000"/>
    <n v="1073.25"/>
    <n v="71.55"/>
    <n v="500"/>
  </r>
  <r>
    <s v="KHI/HO/D/MO/MC COMP/P/95195/08/2024"/>
    <m/>
    <x v="24"/>
    <d v="2024-08-13T00:00:00"/>
    <d v="2025-08-13T00:00:00"/>
    <s v="AKBAR KHAN"/>
    <s v="SUZUKI-GD-110S"/>
    <n v="8800"/>
    <n v="7155"/>
    <m/>
    <m/>
    <m/>
    <m/>
    <s v="144745"/>
    <d v="2024-08-13T00:00:00"/>
    <s v="MOTORCYCLE  COMPREHENSIVE"/>
    <n v="352000"/>
    <n v="1073.25"/>
    <n v="71.55"/>
    <n v="500"/>
  </r>
  <r>
    <s v="KHI/HO/D/MO/MC COMP/P/95198/08/2024"/>
    <m/>
    <x v="24"/>
    <d v="2024-08-13T00:00:00"/>
    <d v="2025-08-13T00:00:00"/>
    <s v="AWAIS ARSHAD ALI"/>
    <s v="SUZUKI-GD-110S"/>
    <n v="8800"/>
    <n v="7155"/>
    <m/>
    <m/>
    <m/>
    <m/>
    <s v="145956"/>
    <d v="2024-08-13T00:00:00"/>
    <s v="MOTORCYCLE  COMPREHENSIVE"/>
    <n v="352000"/>
    <n v="1073.25"/>
    <n v="71.55"/>
    <n v="500"/>
  </r>
  <r>
    <s v="KHI/HO/D/MO/MC COMP/P/95199/08/2024"/>
    <m/>
    <x v="24"/>
    <d v="2024-08-13T00:00:00"/>
    <d v="2025-08-13T00:00:00"/>
    <s v="RAZA MUSHTAQ"/>
    <s v="SUZUKI-GD-110S"/>
    <n v="8800"/>
    <n v="7155"/>
    <m/>
    <m/>
    <m/>
    <m/>
    <s v="145965"/>
    <d v="2024-08-13T00:00:00"/>
    <s v="MOTORCYCLE  COMPREHENSIVE"/>
    <n v="352000"/>
    <n v="1073.25"/>
    <n v="71.55"/>
    <n v="500"/>
  </r>
  <r>
    <s v="KHI/HO/D/MO/MC COMP/P/95204/08/2024"/>
    <m/>
    <x v="2"/>
    <d v="2024-08-13T00:00:00"/>
    <d v="2025-08-13T00:00:00"/>
    <s v="ABID PERVAIZ"/>
    <s v="SUZUKI-GD-110S"/>
    <n v="14960"/>
    <n v="12466"/>
    <m/>
    <m/>
    <m/>
    <m/>
    <s v="146670"/>
    <d v="2024-08-13T00:00:00"/>
    <s v="MOTORCYCLE  COMPREHENSIVE"/>
    <n v="352000"/>
    <n v="1869.9"/>
    <n v="124.66"/>
    <n v="500"/>
  </r>
  <r>
    <s v="KHI/HO/D/MO/MC COMP/P/95205/08/2024"/>
    <m/>
    <x v="2"/>
    <d v="2025-08-14T00:00:00"/>
    <d v="2026-08-14T00:00:00"/>
    <s v="ABID PERVAIZ"/>
    <s v="SUZUKI-GD-110S"/>
    <n v="14960"/>
    <n v="12466"/>
    <m/>
    <m/>
    <m/>
    <m/>
    <s v="146670"/>
    <d v="2024-08-13T00:00:00"/>
    <s v="MOTORCYCLE  COMPREHENSIVE"/>
    <n v="352000"/>
    <n v="1869.9"/>
    <n v="124.66"/>
    <n v="500"/>
  </r>
  <r>
    <s v="KHI/HO/D/MO/MC COMP/P/95209/08/2024"/>
    <m/>
    <x v="10"/>
    <d v="2024-08-13T00:00:00"/>
    <d v="2025-08-13T00:00:00"/>
    <s v="MUHAMMAD MEHRAN"/>
    <s v="SUZUKI-GD-110S"/>
    <n v="14960"/>
    <n v="12466"/>
    <m/>
    <m/>
    <m/>
    <m/>
    <s v="146792"/>
    <d v="2024-08-13T00:00:00"/>
    <s v="MOTORCYCLE  COMPREHENSIVE"/>
    <n v="352000"/>
    <n v="1869.9"/>
    <n v="124.66"/>
    <n v="500"/>
  </r>
  <r>
    <s v="KHI/HO/D/MO/MC COMP/P/95210/08/2024"/>
    <m/>
    <x v="10"/>
    <d v="2025-08-14T00:00:00"/>
    <d v="2026-08-14T00:00:00"/>
    <s v="MUHAMMAD MEHRAN"/>
    <s v="SUZUKI-GD-110S"/>
    <n v="14960"/>
    <n v="12466"/>
    <m/>
    <m/>
    <m/>
    <m/>
    <s v="146792"/>
    <d v="2024-08-13T00:00:00"/>
    <s v="MOTORCYCLE  COMPREHENSIVE"/>
    <n v="352000"/>
    <n v="1869.9"/>
    <n v="124.66"/>
    <n v="500"/>
  </r>
  <r>
    <s v="KHI/HO/D/MO/MC COMP/P/95217/08/2024"/>
    <m/>
    <x v="14"/>
    <d v="2024-08-13T00:00:00"/>
    <d v="2025-08-13T00:00:00"/>
    <s v="MUHAMMAD UMER HANIF"/>
    <s v="SUZUKI-GD-110S"/>
    <n v="8800"/>
    <n v="7155"/>
    <m/>
    <m/>
    <m/>
    <m/>
    <s v="145846"/>
    <d v="2024-08-13T00:00:00"/>
    <s v="MOTORCYCLE  COMPREHENSIVE"/>
    <n v="352000"/>
    <n v="1073.25"/>
    <n v="71.55"/>
    <n v="500"/>
  </r>
  <r>
    <s v="KHI/HO/D/MO/MC COMP/P/95218/08/2024"/>
    <m/>
    <x v="14"/>
    <d v="2024-08-13T00:00:00"/>
    <d v="2025-08-13T00:00:00"/>
    <s v="RANA MUHAMMAD WAQAS AHMAD"/>
    <s v="SUZUKI-GD-110S"/>
    <n v="8800"/>
    <n v="7155"/>
    <m/>
    <m/>
    <m/>
    <m/>
    <s v="145188"/>
    <d v="2024-08-13T00:00:00"/>
    <s v="MOTORCYCLE  COMPREHENSIVE"/>
    <n v="352000"/>
    <n v="1073.25"/>
    <n v="71.55"/>
    <n v="500"/>
  </r>
  <r>
    <s v="KHI/HO/D/MO/MC COMP/P/95219/08/2024"/>
    <m/>
    <x v="0"/>
    <d v="2024-08-13T00:00:00"/>
    <d v="2025-08-13T00:00:00"/>
    <s v="JAMIL HUSSAIN"/>
    <s v="SUZUKI-GSX 125"/>
    <n v="21208"/>
    <n v="17852"/>
    <m/>
    <m/>
    <m/>
    <m/>
    <s v="23102560"/>
    <d v="2024-08-13T00:00:00"/>
    <s v="MOTORCYCLE  COMPREHENSIVE"/>
    <n v="499000"/>
    <n v="2677.8"/>
    <n v="178.52"/>
    <n v="500"/>
  </r>
  <r>
    <s v="KHI/HO/D/MO/MC COMP/P/95220/08/2024"/>
    <m/>
    <x v="14"/>
    <d v="2024-08-13T00:00:00"/>
    <d v="2025-08-13T00:00:00"/>
    <s v="ABID HUSSAIN"/>
    <s v="SUZUKI-GD-110S"/>
    <n v="8800"/>
    <n v="7155"/>
    <m/>
    <m/>
    <m/>
    <m/>
    <s v="146507"/>
    <d v="2024-08-13T00:00:00"/>
    <s v="MOTORCYCLE  COMPREHENSIVE"/>
    <n v="352000"/>
    <n v="1073.25"/>
    <n v="71.55"/>
    <n v="500"/>
  </r>
  <r>
    <s v="KHI/HO/D/MO/MC COMP/P/95221/08/2024"/>
    <m/>
    <x v="6"/>
    <d v="2024-08-13T00:00:00"/>
    <d v="2025-08-13T00:00:00"/>
    <s v="MUHAMMAD ALI"/>
    <s v="SUZUKI-GD-110S"/>
    <n v="14960"/>
    <n v="12466"/>
    <m/>
    <m/>
    <m/>
    <m/>
    <s v="145596"/>
    <d v="2024-08-13T00:00:00"/>
    <s v="MOTORCYCLE  COMPREHENSIVE"/>
    <n v="352000"/>
    <n v="1869.9"/>
    <n v="124.66"/>
    <n v="500"/>
  </r>
  <r>
    <s v="KHI/HO/D/MO/MC COMP/P/95222/08/2024"/>
    <m/>
    <x v="21"/>
    <d v="2024-08-13T00:00:00"/>
    <d v="2025-08-13T00:00:00"/>
    <s v="MEHRAN AHMAD"/>
    <s v="SUZUKI-GSX 125"/>
    <n v="12475"/>
    <n v="10323"/>
    <m/>
    <m/>
    <m/>
    <m/>
    <s v="23102533"/>
    <d v="2024-08-13T00:00:00"/>
    <s v="MOTORCYCLE  COMPREHENSIVE"/>
    <n v="499000"/>
    <n v="1548.45"/>
    <n v="103.23"/>
    <n v="500"/>
  </r>
  <r>
    <s v="KHI/HO/D/MO/MC COMP/P/95247/08/2024"/>
    <m/>
    <x v="5"/>
    <d v="2024-08-15T00:00:00"/>
    <d v="2025-08-15T00:00:00"/>
    <s v="FAKHAR ABBAS"/>
    <s v="SUZUKI-GS 150"/>
    <n v="9550"/>
    <n v="7802"/>
    <m/>
    <m/>
    <m/>
    <m/>
    <s v="30092386"/>
    <d v="2024-08-15T00:00:00"/>
    <s v="MOTORCYCLE  COMPREHENSIVE"/>
    <n v="382000"/>
    <n v="1170.3"/>
    <n v="78.02"/>
    <n v="500"/>
  </r>
  <r>
    <s v="KHI/HO/D/MO/MC COMP/P/95248/08/2024"/>
    <m/>
    <x v="5"/>
    <d v="2024-08-15T00:00:00"/>
    <d v="2025-08-15T00:00:00"/>
    <s v="SALMAN HUSSAIN"/>
    <s v="SUZUKI-GS 150"/>
    <n v="9550"/>
    <n v="7802"/>
    <m/>
    <m/>
    <m/>
    <m/>
    <s v="30092396"/>
    <d v="2024-08-15T00:00:00"/>
    <s v="MOTORCYCLE  COMPREHENSIVE"/>
    <n v="382000"/>
    <n v="1170.3"/>
    <n v="78.02"/>
    <n v="500"/>
  </r>
  <r>
    <s v="KHI/HO/D/MO/MC COMP/P/95249/08/2024"/>
    <m/>
    <x v="5"/>
    <d v="2024-08-15T00:00:00"/>
    <d v="2025-08-15T00:00:00"/>
    <s v="SHEIKH MUHAMMAD AMIR RAFI"/>
    <s v="SUZUKI-GSX 125"/>
    <n v="12475"/>
    <n v="10323"/>
    <m/>
    <m/>
    <m/>
    <m/>
    <s v="23100439"/>
    <d v="2024-08-15T00:00:00"/>
    <s v="MOTORCYCLE  COMPREHENSIVE"/>
    <n v="499000"/>
    <n v="1548.45"/>
    <n v="103.23"/>
    <n v="500"/>
  </r>
  <r>
    <s v="KHI/HO/D/MO/MC COMP/P/95251/08/2024"/>
    <m/>
    <x v="5"/>
    <d v="2024-08-15T00:00:00"/>
    <d v="2025-08-15T00:00:00"/>
    <s v="MOHSIN SHERAZ"/>
    <s v="SUZUKI-GS-150"/>
    <n v="9550"/>
    <n v="7802"/>
    <m/>
    <m/>
    <m/>
    <m/>
    <s v="30092395"/>
    <d v="2024-08-15T00:00:00"/>
    <s v="MOTORCYCLE  COMPREHENSIVE"/>
    <n v="382000"/>
    <n v="1170.3"/>
    <n v="78.02"/>
    <n v="500"/>
  </r>
  <r>
    <s v="KHI/HO/D/MO/MC COMP/P/95252/08/2024"/>
    <m/>
    <x v="3"/>
    <d v="2024-08-15T00:00:00"/>
    <d v="2025-08-15T00:00:00"/>
    <s v="SANA GUL"/>
    <s v="SUZUKI-GD-110S"/>
    <n v="8800"/>
    <n v="7155"/>
    <m/>
    <m/>
    <m/>
    <m/>
    <s v="144785"/>
    <d v="2024-08-15T00:00:00"/>
    <s v="MOTORCYCLE  COMPREHENSIVE"/>
    <n v="352000"/>
    <n v="1073.25"/>
    <n v="71.55"/>
    <n v="500"/>
  </r>
  <r>
    <s v="KHI/HO/D/MO/MC COMP/P/95254/08/2024"/>
    <m/>
    <x v="3"/>
    <d v="2024-08-15T00:00:00"/>
    <d v="2025-08-15T00:00:00"/>
    <s v="RIZWAN SHAHID"/>
    <s v="SUZUKI-GD-110S"/>
    <n v="8800"/>
    <n v="7155"/>
    <m/>
    <m/>
    <m/>
    <m/>
    <s v="146600"/>
    <d v="2024-08-15T00:00:00"/>
    <s v="MOTORCYCLE  COMPREHENSIVE"/>
    <n v="352000"/>
    <n v="1073.25"/>
    <n v="71.55"/>
    <n v="500"/>
  </r>
  <r>
    <s v="KHI/HO/D/MO/MC COMP/P/95255/08/2024"/>
    <m/>
    <x v="18"/>
    <d v="2024-08-15T00:00:00"/>
    <d v="2025-08-15T00:00:00"/>
    <s v="SAAD BIN SAEED"/>
    <s v="SUZUKI-GS 150"/>
    <n v="9550"/>
    <n v="7802"/>
    <m/>
    <m/>
    <m/>
    <m/>
    <s v="30092382"/>
    <d v="2024-08-15T00:00:00"/>
    <s v="MOTORCYCLE  COMPREHENSIVE"/>
    <n v="382000"/>
    <n v="1170.3"/>
    <n v="78.02"/>
    <n v="500"/>
  </r>
  <r>
    <s v="KHI/HO/D/MO/MC COMP/P/95256/08/2024"/>
    <m/>
    <x v="9"/>
    <d v="2024-08-15T00:00:00"/>
    <d v="2025-08-15T00:00:00"/>
    <s v="MUHAMMAD ARSHAD S/O ABDUL REHMAN RANA"/>
    <s v="SUZUKI-GR150 EURO II"/>
    <n v="13675"/>
    <n v="11358"/>
    <m/>
    <m/>
    <m/>
    <m/>
    <s v="113433"/>
    <d v="2024-08-15T00:00:00"/>
    <s v="MOTORCYCLE  COMPREHENSIVE"/>
    <n v="547000"/>
    <n v="1703.7"/>
    <n v="113.58"/>
    <n v="500"/>
  </r>
  <r>
    <s v="KHI/HO/D/MO/MC COMP/P/95258/08/2024"/>
    <m/>
    <x v="18"/>
    <d v="2024-08-15T00:00:00"/>
    <d v="2025-08-15T00:00:00"/>
    <s v="MIAN SAQIB ALI SAQI"/>
    <s v="SUZUKI-GS 150"/>
    <n v="9550"/>
    <n v="7802"/>
    <m/>
    <m/>
    <m/>
    <m/>
    <s v="30092379"/>
    <d v="2024-08-15T00:00:00"/>
    <s v="MOTORCYCLE  COMPREHENSIVE"/>
    <n v="382000"/>
    <n v="1170.3"/>
    <n v="78.02"/>
    <n v="500"/>
  </r>
  <r>
    <s v="KHI/HO/D/MO/MC COMP/P/95260/08/2024"/>
    <m/>
    <x v="18"/>
    <d v="2024-08-15T00:00:00"/>
    <d v="2025-08-15T00:00:00"/>
    <s v="MUHAMMAD IMTIAZ"/>
    <s v="SUZUKI-GS 150"/>
    <n v="9550"/>
    <n v="7802"/>
    <m/>
    <m/>
    <m/>
    <m/>
    <s v="30092369"/>
    <d v="2024-08-15T00:00:00"/>
    <s v="MOTORCYCLE  COMPREHENSIVE"/>
    <n v="382000"/>
    <n v="1170.3"/>
    <n v="78.02"/>
    <n v="500"/>
  </r>
  <r>
    <s v="KHI/HO/D/MO/MC COMP/P/95262/08/2024"/>
    <m/>
    <x v="18"/>
    <d v="2024-08-15T00:00:00"/>
    <d v="2025-08-15T00:00:00"/>
    <s v="MUHAMMAD AZAM"/>
    <s v="SUZUKI-GD-110S"/>
    <n v="8800"/>
    <n v="7155"/>
    <m/>
    <m/>
    <m/>
    <m/>
    <s v="146491"/>
    <d v="2024-08-15T00:00:00"/>
    <s v="MOTORCYCLE  COMPREHENSIVE"/>
    <n v="352000"/>
    <n v="1073.25"/>
    <n v="71.55"/>
    <n v="500"/>
  </r>
  <r>
    <s v="KHI/HO/D/MO/MC COMP/P/95263/08/2024"/>
    <m/>
    <x v="3"/>
    <d v="2024-08-15T00:00:00"/>
    <d v="2025-08-15T00:00:00"/>
    <s v="HASSNAIN IBRAHIM"/>
    <s v="SUZUKI-GD-110S"/>
    <n v="8800"/>
    <n v="7155"/>
    <m/>
    <m/>
    <m/>
    <m/>
    <s v="146460"/>
    <d v="2024-08-15T00:00:00"/>
    <s v="MOTORCYCLE  COMPREHENSIVE"/>
    <n v="352000"/>
    <n v="1073.25"/>
    <n v="71.55"/>
    <n v="500"/>
  </r>
  <r>
    <s v="KHI/HO/D/MO/MC COMP/P/95264/08/2024"/>
    <m/>
    <x v="23"/>
    <d v="2024-08-15T00:00:00"/>
    <d v="2025-08-15T00:00:00"/>
    <s v="Muhammad Ali"/>
    <s v="SUZUKI-GS 150"/>
    <n v="9550"/>
    <n v="7802"/>
    <m/>
    <m/>
    <m/>
    <m/>
    <s v="30092101"/>
    <d v="2024-08-15T00:00:00"/>
    <s v="MOTORCYCLE  COMPREHENSIVE"/>
    <n v="382000"/>
    <n v="1170.3"/>
    <n v="78.02"/>
    <n v="500"/>
  </r>
  <r>
    <s v="KHI/HO/D/MO/MC COMP/P/95265/08/2024"/>
    <m/>
    <x v="18"/>
    <d v="2024-08-15T00:00:00"/>
    <d v="2025-08-15T00:00:00"/>
    <s v="KHURAM IRSHAD"/>
    <s v="SUZUKI-GD-110S"/>
    <n v="8800"/>
    <n v="7155"/>
    <m/>
    <m/>
    <m/>
    <m/>
    <s v="146386"/>
    <d v="2024-08-15T00:00:00"/>
    <s v="MOTORCYCLE  COMPREHENSIVE"/>
    <n v="352000"/>
    <n v="1073.25"/>
    <n v="71.55"/>
    <n v="500"/>
  </r>
  <r>
    <s v="KHI/HO/D/MO/MC COMP/P/95266/08/2024"/>
    <m/>
    <x v="18"/>
    <d v="2024-08-15T00:00:00"/>
    <d v="2025-08-15T00:00:00"/>
    <s v="USMAN ABID"/>
    <s v="SUZUKI-GD-110S"/>
    <n v="8800"/>
    <n v="7155"/>
    <m/>
    <m/>
    <m/>
    <m/>
    <s v="146366"/>
    <d v="2024-08-15T00:00:00"/>
    <s v="MOTORCYCLE  COMPREHENSIVE"/>
    <n v="352000"/>
    <n v="1073.25"/>
    <n v="71.55"/>
    <n v="500"/>
  </r>
  <r>
    <s v="KHI/HO/D/MO/MC COMP/P/95267/08/2024"/>
    <m/>
    <x v="3"/>
    <d v="2024-08-15T00:00:00"/>
    <d v="2025-08-15T00:00:00"/>
    <s v="MUHAMMAD AJMAL"/>
    <s v="SUZUKI-GD-110S"/>
    <n v="8800"/>
    <n v="7155"/>
    <m/>
    <m/>
    <m/>
    <m/>
    <s v="146463"/>
    <d v="2024-08-15T00:00:00"/>
    <s v="MOTORCYCLE  COMPREHENSIVE"/>
    <n v="352000"/>
    <n v="1073.25"/>
    <n v="71.55"/>
    <n v="500"/>
  </r>
  <r>
    <s v="KHI/HO/D/MO/MC COMP/P/95271/08/2024"/>
    <m/>
    <x v="23"/>
    <d v="2024-08-15T00:00:00"/>
    <d v="2025-08-15T00:00:00"/>
    <s v="Muhammad Kashif Ehsan"/>
    <s v="SUZUKI-GR150 EURO II"/>
    <n v="13675"/>
    <n v="11358"/>
    <m/>
    <m/>
    <m/>
    <m/>
    <s v="113371"/>
    <d v="2024-08-15T00:00:00"/>
    <s v="MOTORCYCLE  COMPREHENSIVE"/>
    <n v="547000"/>
    <n v="1703.7"/>
    <n v="113.58"/>
    <n v="500"/>
  </r>
  <r>
    <s v="KHI/HO/D/MO/MC COMP/P/95272/08/2024"/>
    <m/>
    <x v="6"/>
    <d v="2024-08-15T00:00:00"/>
    <d v="2025-08-15T00:00:00"/>
    <s v="FAWAD HUSSAIN"/>
    <s v="SUZUKI-GR150 EURO II"/>
    <n v="23248"/>
    <n v="19610"/>
    <m/>
    <m/>
    <m/>
    <m/>
    <s v="113342"/>
    <d v="2024-08-15T00:00:00"/>
    <s v="MOTORCYCLE  COMPREHENSIVE"/>
    <n v="547000"/>
    <n v="2941.5"/>
    <n v="196.1"/>
    <n v="500"/>
  </r>
  <r>
    <s v="KHI/HO/D/MO/MC COMP/P/95273/08/2024"/>
    <m/>
    <x v="6"/>
    <d v="2025-08-16T00:00:00"/>
    <d v="2026-08-16T00:00:00"/>
    <s v="FAWAD HUSSAIN"/>
    <s v="SUZUKI-GR150 EURO II"/>
    <n v="23248"/>
    <n v="19610"/>
    <m/>
    <m/>
    <m/>
    <m/>
    <s v="113342"/>
    <d v="2024-08-15T00:00:00"/>
    <s v="MOTORCYCLE  COMPREHENSIVE"/>
    <n v="547000"/>
    <n v="2941.5"/>
    <n v="196.1"/>
    <n v="500"/>
  </r>
  <r>
    <s v="KHI/HO/D/MO/MC COMP/P/95277/08/2024"/>
    <m/>
    <x v="6"/>
    <d v="2024-08-15T00:00:00"/>
    <d v="2025-08-15T00:00:00"/>
    <s v="RAMEEZ"/>
    <s v="SUZUKI-GR150 EURO II"/>
    <n v="23248"/>
    <n v="19610"/>
    <m/>
    <m/>
    <m/>
    <m/>
    <s v="113504"/>
    <d v="2024-08-15T00:00:00"/>
    <s v="MOTORCYCLE  COMPREHENSIVE"/>
    <n v="547000"/>
    <n v="2941.5"/>
    <n v="196.1"/>
    <n v="500"/>
  </r>
  <r>
    <s v="KHI/HO/D/MO/MC COMP/P/95278/08/2024"/>
    <m/>
    <x v="6"/>
    <d v="2025-08-16T00:00:00"/>
    <d v="2026-08-16T00:00:00"/>
    <s v="RAMEEZ"/>
    <s v="SUZUKI-GR150 EURO II"/>
    <n v="23248"/>
    <n v="19610"/>
    <m/>
    <m/>
    <m/>
    <m/>
    <s v="113504"/>
    <d v="2024-08-15T00:00:00"/>
    <s v="MOTORCYCLE  COMPREHENSIVE"/>
    <n v="547000"/>
    <n v="2941.5"/>
    <n v="196.1"/>
    <n v="500"/>
  </r>
  <r>
    <s v="KHI/HO/D/MO/MC COMP/P/95279/08/2024"/>
    <m/>
    <x v="10"/>
    <d v="2024-08-15T00:00:00"/>
    <d v="2025-08-15T00:00:00"/>
    <s v="BILAL"/>
    <s v="SUZUKI-GR150 EURO II"/>
    <n v="23248"/>
    <n v="19610"/>
    <m/>
    <m/>
    <m/>
    <m/>
    <s v="113493"/>
    <d v="2024-08-15T00:00:00"/>
    <s v="MOTORCYCLE  COMPREHENSIVE"/>
    <n v="547000"/>
    <n v="2941.5"/>
    <n v="196.1"/>
    <n v="500"/>
  </r>
  <r>
    <s v="KHI/HO/D/MO/MC COMP/P/95280/08/2024"/>
    <m/>
    <x v="10"/>
    <d v="2025-08-16T00:00:00"/>
    <d v="2026-08-16T00:00:00"/>
    <s v="BILAL"/>
    <s v="SUZUKI-GR150 EURO II"/>
    <n v="23248"/>
    <n v="19610"/>
    <m/>
    <m/>
    <m/>
    <m/>
    <s v="113493"/>
    <d v="2024-08-15T00:00:00"/>
    <s v="MOTORCYCLE  COMPREHENSIVE"/>
    <n v="547000"/>
    <n v="2941.5"/>
    <n v="196.1"/>
    <n v="500"/>
  </r>
  <r>
    <s v="KHI/HO/D/MO/MC COMP/P/95286/08/2024"/>
    <m/>
    <x v="12"/>
    <d v="2024-08-15T00:00:00"/>
    <d v="2025-08-15T00:00:00"/>
    <s v="MUHAMMAD IRFAN"/>
    <s v="SUZUKI-GD-110S"/>
    <n v="14960"/>
    <n v="12466"/>
    <m/>
    <m/>
    <m/>
    <m/>
    <s v="146117"/>
    <d v="2024-08-15T00:00:00"/>
    <s v="MOTORCYCLE  COMPREHENSIVE"/>
    <n v="352000"/>
    <n v="1869.9"/>
    <n v="124.66"/>
    <n v="500"/>
  </r>
  <r>
    <s v="KHI/HO/D/MO/MC COMP/P/95287/08/2024"/>
    <m/>
    <x v="12"/>
    <d v="2025-08-16T00:00:00"/>
    <d v="2026-08-16T00:00:00"/>
    <s v="MUHAMMAD IRFAN"/>
    <s v="SUZUKI-GD-110S"/>
    <n v="14960"/>
    <n v="12466"/>
    <m/>
    <m/>
    <m/>
    <m/>
    <s v="146117"/>
    <d v="2024-08-15T00:00:00"/>
    <s v="MOTORCYCLE  COMPREHENSIVE"/>
    <n v="352000"/>
    <n v="1869.9"/>
    <n v="124.66"/>
    <n v="500"/>
  </r>
  <r>
    <s v="KHI/HO/D/MO/MC COMP/P/95289/08/2024"/>
    <m/>
    <x v="6"/>
    <d v="2024-08-15T00:00:00"/>
    <d v="2025-08-15T00:00:00"/>
    <s v="ZULQARNAIN"/>
    <s v="SUZUKI-GSX 125"/>
    <n v="21208"/>
    <n v="17852"/>
    <m/>
    <m/>
    <m/>
    <m/>
    <s v="23100456"/>
    <d v="2024-08-15T00:00:00"/>
    <s v="MOTORCYCLE  COMPREHENSIVE"/>
    <n v="499000"/>
    <n v="2677.8"/>
    <n v="178.52"/>
    <n v="500"/>
  </r>
  <r>
    <s v="KHI/HO/D/MO/MC COMP/P/95290/08/2024"/>
    <m/>
    <x v="6"/>
    <d v="2025-08-16T00:00:00"/>
    <d v="2026-08-16T00:00:00"/>
    <s v="ZULQARNAIN"/>
    <s v="SUZUKI-GSX 125"/>
    <n v="21208"/>
    <n v="17852"/>
    <m/>
    <m/>
    <m/>
    <m/>
    <s v="23100456"/>
    <d v="2024-08-15T00:00:00"/>
    <s v="MOTORCYCLE  COMPREHENSIVE"/>
    <n v="499000"/>
    <n v="2677.8"/>
    <n v="178.52"/>
    <n v="500"/>
  </r>
  <r>
    <s v="KHI/HO/D/MO/MC COMP/P/95301/08/2024"/>
    <m/>
    <x v="6"/>
    <d v="2024-08-15T00:00:00"/>
    <d v="2025-08-15T00:00:00"/>
    <s v="ALI AHMED BROHI"/>
    <s v="SUZUKI-GD-110S"/>
    <n v="14960"/>
    <n v="12466"/>
    <m/>
    <m/>
    <m/>
    <m/>
    <s v="145861"/>
    <d v="2024-08-15T00:00:00"/>
    <s v="MOTORCYCLE  COMPREHENSIVE"/>
    <n v="352000"/>
    <n v="1869.9"/>
    <n v="124.66"/>
    <n v="500"/>
  </r>
  <r>
    <s v="KHI/HO/D/MO/MC COMP/P/95303/08/2024"/>
    <m/>
    <x v="3"/>
    <d v="2024-08-15T00:00:00"/>
    <d v="2025-08-15T00:00:00"/>
    <s v="IRFAN JAVED"/>
    <s v="SUZUKI-GD-110S"/>
    <n v="8800"/>
    <n v="7155"/>
    <m/>
    <m/>
    <m/>
    <m/>
    <s v="146601"/>
    <d v="2024-08-15T00:00:00"/>
    <s v="MOTORCYCLE  COMPREHENSIVE"/>
    <n v="352000"/>
    <n v="1073.25"/>
    <n v="71.55"/>
    <n v="500"/>
  </r>
  <r>
    <s v="KHI/HO/D/MO/MC COMP/P/95304/08/2024"/>
    <m/>
    <x v="6"/>
    <d v="2024-08-15T00:00:00"/>
    <d v="2025-08-15T00:00:00"/>
    <s v="M USMAN ZAKIR"/>
    <s v="SUZUKI-GR150 EURO II"/>
    <n v="23248"/>
    <n v="19610"/>
    <m/>
    <m/>
    <m/>
    <m/>
    <s v="113505"/>
    <d v="2024-08-15T00:00:00"/>
    <s v="MOTORCYCLE  COMPREHENSIVE"/>
    <n v="547000"/>
    <n v="2941.5"/>
    <n v="196.1"/>
    <n v="500"/>
  </r>
  <r>
    <s v="KHI/HO/D/MO/MC COMP/P/95305/08/2024"/>
    <m/>
    <x v="6"/>
    <d v="2025-08-16T00:00:00"/>
    <d v="2026-08-16T00:00:00"/>
    <s v="M USMAN ZAKIR"/>
    <s v="SUZUKI-GR150 EURO II"/>
    <n v="23248"/>
    <n v="19610"/>
    <m/>
    <m/>
    <m/>
    <m/>
    <s v="113505"/>
    <d v="2024-08-15T00:00:00"/>
    <s v="MOTORCYCLE  COMPREHENSIVE"/>
    <n v="547000"/>
    <n v="2941.5"/>
    <n v="196.1"/>
    <n v="500"/>
  </r>
  <r>
    <s v="KHI/HO/D/MO/MC COMP/P/95306/08/2024"/>
    <m/>
    <x v="7"/>
    <d v="2024-08-15T00:00:00"/>
    <d v="2025-08-15T00:00:00"/>
    <s v="IMTIAZ ALI KHAN"/>
    <s v="SUZUKI-GR150 EURO II"/>
    <n v="23248"/>
    <n v="19610"/>
    <m/>
    <m/>
    <m/>
    <m/>
    <s v="113547"/>
    <d v="2024-08-15T00:00:00"/>
    <s v="MOTORCYCLE  COMPREHENSIVE"/>
    <n v="547000"/>
    <n v="2941.5"/>
    <n v="196.1"/>
    <n v="500"/>
  </r>
  <r>
    <s v="KHI/HO/D/MO/MC COMP/P/95329/08/2024"/>
    <m/>
    <x v="1"/>
    <d v="2024-08-16T00:00:00"/>
    <d v="2025-08-16T00:00:00"/>
    <s v="MUHAMMAD IRFAN KHAN"/>
    <s v="SUZUKI-GR150 EURO II"/>
    <n v="23248"/>
    <n v="19610"/>
    <m/>
    <m/>
    <m/>
    <m/>
    <s v="113404"/>
    <d v="2024-08-16T00:00:00"/>
    <s v="MOTORCYCLE  COMPREHENSIVE"/>
    <n v="547000"/>
    <n v="2941.5"/>
    <n v="196.1"/>
    <n v="500"/>
  </r>
  <r>
    <s v="KHI/HO/D/MO/MC COMP/P/95330/08/2024"/>
    <m/>
    <x v="1"/>
    <d v="2025-08-17T00:00:00"/>
    <d v="2026-08-17T00:00:00"/>
    <s v="MUHAMMAD IRFAN KHAN"/>
    <s v="SUZUKI-GR150 EURO II"/>
    <n v="23248"/>
    <n v="19610"/>
    <m/>
    <m/>
    <m/>
    <m/>
    <s v="113404"/>
    <d v="2024-08-16T00:00:00"/>
    <s v="MOTORCYCLE  COMPREHENSIVE"/>
    <n v="547000"/>
    <n v="2941.5"/>
    <n v="196.1"/>
    <n v="500"/>
  </r>
  <r>
    <s v="KHI/HO/D/MO/MC COMP/P/95347/08/2024"/>
    <m/>
    <x v="0"/>
    <d v="2024-08-16T00:00:00"/>
    <d v="2025-08-16T00:00:00"/>
    <s v="UMAIR"/>
    <s v="SUZUKI-GD-110S"/>
    <n v="14960"/>
    <n v="12466"/>
    <m/>
    <m/>
    <m/>
    <m/>
    <s v="146691"/>
    <d v="2024-08-16T00:00:00"/>
    <s v="MOTORCYCLE  COMPREHENSIVE"/>
    <n v="352000"/>
    <n v="1869.9"/>
    <n v="124.66"/>
    <n v="500"/>
  </r>
  <r>
    <s v="KHI/HO/D/MO/MC COMP/P/95348/08/2024"/>
    <m/>
    <x v="0"/>
    <d v="2025-08-17T00:00:00"/>
    <d v="2026-08-17T00:00:00"/>
    <s v="UMAIR"/>
    <s v="SUZUKI-GD-110S"/>
    <n v="14960"/>
    <n v="12466"/>
    <m/>
    <m/>
    <m/>
    <m/>
    <s v="146691"/>
    <d v="2024-08-16T00:00:00"/>
    <s v="MOTORCYCLE  COMPREHENSIVE"/>
    <n v="352000"/>
    <n v="1869.9"/>
    <n v="124.66"/>
    <n v="500"/>
  </r>
  <r>
    <s v="KHI/HO/D/MO/MC COMP/P/95351/08/2024"/>
    <m/>
    <x v="18"/>
    <d v="2024-08-16T00:00:00"/>
    <d v="2025-08-16T00:00:00"/>
    <s v="AMMAD AHMAD"/>
    <s v="SUZUKI-GD-110S"/>
    <n v="8800"/>
    <n v="7155"/>
    <m/>
    <m/>
    <m/>
    <m/>
    <s v="146000"/>
    <d v="2024-08-16T00:00:00"/>
    <s v="MOTORCYCLE  COMPREHENSIVE"/>
    <n v="352000"/>
    <n v="1073.25"/>
    <n v="71.55"/>
    <n v="500"/>
  </r>
  <r>
    <s v="KHI/HO/D/MO/MC COMP/P/95352/08/2024"/>
    <m/>
    <x v="18"/>
    <d v="2024-08-16T00:00:00"/>
    <d v="2025-08-16T00:00:00"/>
    <s v="AMMAD AHMAD"/>
    <s v="SUZUKI-GD-110S"/>
    <n v="8800"/>
    <n v="7155"/>
    <m/>
    <m/>
    <m/>
    <m/>
    <s v="146000"/>
    <d v="2024-08-16T00:00:00"/>
    <s v="MOTORCYCLE  COMPREHENSIVE"/>
    <n v="352000"/>
    <n v="1073.25"/>
    <n v="71.55"/>
    <n v="500"/>
  </r>
  <r>
    <s v="KHI/HO/D/MO/MC COMP/P/95354/08/2024"/>
    <m/>
    <x v="18"/>
    <d v="2024-08-16T00:00:00"/>
    <d v="2025-08-16T00:00:00"/>
    <s v="MUHAMMAD SABIR"/>
    <s v="SUZUKI-GD-110S"/>
    <n v="8800"/>
    <n v="7155"/>
    <m/>
    <m/>
    <m/>
    <m/>
    <s v="146383"/>
    <d v="2024-08-16T00:00:00"/>
    <s v="MOTORCYCLE  COMPREHENSIVE"/>
    <n v="352000"/>
    <n v="1073.25"/>
    <n v="71.55"/>
    <n v="500"/>
  </r>
  <r>
    <s v="KHI/HO/D/MO/MC COMP/P/95357/08/2024"/>
    <m/>
    <x v="18"/>
    <d v="2024-08-16T00:00:00"/>
    <d v="2025-08-16T00:00:00"/>
    <s v="MUHAMMAD HAMZA SOHAIL"/>
    <s v="SUZUKI-GS 150"/>
    <n v="9550"/>
    <n v="7802"/>
    <m/>
    <m/>
    <m/>
    <m/>
    <s v="30092383"/>
    <d v="2024-08-16T00:00:00"/>
    <s v="MOTORCYCLE  COMPREHENSIVE"/>
    <n v="382000"/>
    <n v="1170.3"/>
    <n v="78.02"/>
    <n v="500"/>
  </r>
  <r>
    <s v="KHI/HO/D/MO/MC COMP/P/95359/08/2024"/>
    <m/>
    <x v="0"/>
    <d v="2024-08-16T00:00:00"/>
    <d v="2025-08-16T00:00:00"/>
    <s v="SYED MUZAMIL HASSAN"/>
    <s v="SUZUKI-GR150 EURO II"/>
    <n v="23248"/>
    <n v="19610"/>
    <m/>
    <m/>
    <m/>
    <m/>
    <s v="113535"/>
    <d v="2024-08-16T00:00:00"/>
    <s v="MOTORCYCLE  COMPREHENSIVE"/>
    <n v="547000"/>
    <n v="2941.5"/>
    <n v="196.1"/>
    <n v="500"/>
  </r>
  <r>
    <s v="KHI/HO/D/MO/MC COMP/P/95360/08/2024"/>
    <m/>
    <x v="0"/>
    <d v="2025-08-17T00:00:00"/>
    <d v="2026-08-17T00:00:00"/>
    <s v="SYED MUZAMIL HASSAN"/>
    <s v="SUZUKI-GR150 EURO II"/>
    <n v="23248"/>
    <n v="19610"/>
    <m/>
    <m/>
    <m/>
    <m/>
    <s v="113535"/>
    <d v="2024-08-16T00:00:00"/>
    <s v="MOTORCYCLE  COMPREHENSIVE"/>
    <n v="547000"/>
    <n v="2941.5"/>
    <n v="196.1"/>
    <n v="500"/>
  </r>
  <r>
    <s v="KHI/HO/D/MO/MC COMP/P/95362/08/2024"/>
    <m/>
    <x v="18"/>
    <d v="2024-08-16T00:00:00"/>
    <d v="2025-08-16T00:00:00"/>
    <s v="ADNAN JAVAID"/>
    <s v="SUZUKI-GD-110S"/>
    <n v="8800"/>
    <n v="7155"/>
    <m/>
    <m/>
    <m/>
    <m/>
    <s v="146306"/>
    <d v="2024-08-16T00:00:00"/>
    <s v="MOTORCYCLE  COMPREHENSIVE"/>
    <n v="352000"/>
    <n v="1073.25"/>
    <n v="71.55"/>
    <n v="500"/>
  </r>
  <r>
    <s v="KHI/HO/D/MO/MC COMP/P/95364/08/2024"/>
    <m/>
    <x v="18"/>
    <d v="2024-08-16T00:00:00"/>
    <d v="2025-08-16T00:00:00"/>
    <s v="ABRAR NADEEM"/>
    <s v="SUZUKI-GS 150"/>
    <n v="9550"/>
    <n v="7802"/>
    <m/>
    <m/>
    <m/>
    <m/>
    <s v="30092388"/>
    <d v="2024-08-16T00:00:00"/>
    <s v="MOTORCYCLE  COMPREHENSIVE"/>
    <n v="382000"/>
    <n v="1170.3"/>
    <n v="78.02"/>
    <n v="500"/>
  </r>
  <r>
    <s v="KHI/HO/D/MO/MC COMP/P/95366/08/2024"/>
    <m/>
    <x v="18"/>
    <d v="2024-08-16T00:00:00"/>
    <d v="2025-08-16T00:00:00"/>
    <s v="MUHAMMAD HASNAT IQBAL"/>
    <s v="SUZUKI-GS 150"/>
    <n v="9550"/>
    <n v="7802"/>
    <m/>
    <m/>
    <m/>
    <m/>
    <s v="30092384"/>
    <d v="2024-08-16T00:00:00"/>
    <s v="MOTORCYCLE  COMPREHENSIVE"/>
    <n v="382000"/>
    <n v="1170.3"/>
    <n v="78.02"/>
    <n v="500"/>
  </r>
  <r>
    <s v="KHI/HO/D/MO/MC COMP/P/95367/08/2024"/>
    <m/>
    <x v="18"/>
    <d v="2024-08-16T00:00:00"/>
    <d v="2025-08-16T00:00:00"/>
    <s v="HAFIZ HASSAN LATIF"/>
    <s v="SUZUKI-GSX 125"/>
    <n v="12475"/>
    <n v="10323"/>
    <m/>
    <m/>
    <m/>
    <m/>
    <s v="23102523"/>
    <d v="2024-08-16T00:00:00"/>
    <s v="MOTORCYCLE  COMPREHENSIVE"/>
    <n v="499000"/>
    <n v="1548.45"/>
    <n v="103.23"/>
    <n v="500"/>
  </r>
  <r>
    <s v="KHI/HO/D/MO/MC COMP/P/95368/08/2024"/>
    <m/>
    <x v="18"/>
    <d v="2024-08-16T00:00:00"/>
    <d v="2025-08-16T00:00:00"/>
    <s v="ZEESHAN AYUB"/>
    <s v="SUZUKI-GR150 EURO II"/>
    <n v="13675"/>
    <n v="11358"/>
    <m/>
    <m/>
    <m/>
    <m/>
    <s v="113544"/>
    <d v="2024-08-16T00:00:00"/>
    <s v="MOTORCYCLE  COMPREHENSIVE"/>
    <n v="547000"/>
    <n v="1703.7"/>
    <n v="113.58"/>
    <n v="500"/>
  </r>
  <r>
    <s v="KHI/HO/D/MO/MC COMP/P/95370/08/2024"/>
    <m/>
    <x v="1"/>
    <d v="2024-08-16T00:00:00"/>
    <d v="2025-08-16T00:00:00"/>
    <s v="ABDUL BASIT"/>
    <s v="SUZUKI-GD-110S"/>
    <n v="14960"/>
    <n v="12466"/>
    <m/>
    <m/>
    <m/>
    <m/>
    <s v="146745"/>
    <d v="2024-08-16T00:00:00"/>
    <s v="MOTORCYCLE  COMPREHENSIVE"/>
    <n v="352000"/>
    <n v="1869.9"/>
    <n v="124.66"/>
    <n v="500"/>
  </r>
  <r>
    <s v="KHI/HO/D/MO/MC COMP/P/95378/08/2024"/>
    <m/>
    <x v="9"/>
    <d v="2024-08-16T00:00:00"/>
    <d v="2025-08-16T00:00:00"/>
    <s v="NASEER AHMED S/O MUHAMMAD SHARIF"/>
    <s v="SUZUKI-GD-110S"/>
    <n v="8800"/>
    <n v="7155"/>
    <m/>
    <m/>
    <m/>
    <m/>
    <s v="145432"/>
    <d v="2024-08-16T00:00:00"/>
    <s v="MOTORCYCLE  COMPREHENSIVE"/>
    <n v="352000"/>
    <n v="1073.25"/>
    <n v="71.55"/>
    <n v="500"/>
  </r>
  <r>
    <s v="KHI/HO/D/MO/MC COMP/P/95379/08/2024"/>
    <m/>
    <x v="20"/>
    <d v="2024-08-16T00:00:00"/>
    <d v="2025-08-16T00:00:00"/>
    <s v="AHMAD MUDASSAR"/>
    <s v="SUZUKI-GD-110S"/>
    <n v="8800"/>
    <n v="7155"/>
    <m/>
    <m/>
    <m/>
    <m/>
    <s v="145237"/>
    <d v="2024-08-16T00:00:00"/>
    <s v="MOTORCYCLE  COMPREHENSIVE"/>
    <n v="352000"/>
    <n v="1073.25"/>
    <n v="71.55"/>
    <n v="500"/>
  </r>
  <r>
    <s v="KHI/HO/D/MO/MC COMP/P/95380/08/2024"/>
    <m/>
    <x v="20"/>
    <d v="2024-08-16T00:00:00"/>
    <d v="2025-08-16T00:00:00"/>
    <s v="MUHAMMAD SAMEER"/>
    <s v="SUZUKI-GS 150"/>
    <n v="9550"/>
    <n v="7802"/>
    <m/>
    <m/>
    <m/>
    <m/>
    <s v="30092532"/>
    <d v="2024-08-16T00:00:00"/>
    <s v="MOTORCYCLE  COMPREHENSIVE"/>
    <n v="382000"/>
    <n v="1170.3"/>
    <n v="78.02"/>
    <n v="500"/>
  </r>
  <r>
    <s v="KHI/HO/D/MO/MC COMP/P/95381/08/2024"/>
    <m/>
    <x v="20"/>
    <d v="2024-08-16T00:00:00"/>
    <d v="2025-08-16T00:00:00"/>
    <s v="IMDAD HUSSAIN"/>
    <s v="SUZUKI-GS 150"/>
    <n v="9550"/>
    <n v="7802"/>
    <m/>
    <m/>
    <m/>
    <m/>
    <s v="30092529"/>
    <d v="2024-08-16T00:00:00"/>
    <s v="MOTORCYCLE  COMPREHENSIVE"/>
    <n v="382000"/>
    <n v="1170.3"/>
    <n v="78.02"/>
    <n v="500"/>
  </r>
  <r>
    <s v="KHI/HO/D/MO/MC COMP/P/95385/08/2024"/>
    <m/>
    <x v="1"/>
    <d v="2024-08-16T00:00:00"/>
    <d v="2025-08-16T00:00:00"/>
    <s v="SAJID ALI"/>
    <s v="SUZUKI-GS 150"/>
    <n v="16235"/>
    <n v="13565"/>
    <m/>
    <m/>
    <m/>
    <m/>
    <s v="30092619"/>
    <d v="2024-08-16T00:00:00"/>
    <s v="MOTORCYCLE  COMPREHENSIVE"/>
    <n v="382000"/>
    <n v="2034.75"/>
    <n v="135.65"/>
    <n v="500"/>
  </r>
  <r>
    <s v="KHI/HO/D/MO/MC COMP/P/95386/08/2024"/>
    <m/>
    <x v="1"/>
    <d v="2025-08-17T00:00:00"/>
    <d v="2026-08-17T00:00:00"/>
    <s v="SAJID ALI"/>
    <s v="SUZUKI-GS 150"/>
    <n v="16235"/>
    <n v="13565"/>
    <m/>
    <m/>
    <m/>
    <m/>
    <s v="30092619"/>
    <d v="2024-08-16T00:00:00"/>
    <s v="MOTORCYCLE  COMPREHENSIVE"/>
    <n v="382000"/>
    <n v="2034.75"/>
    <n v="135.65"/>
    <n v="500"/>
  </r>
  <r>
    <s v="KHI/HO/D/MO/MC COMP/P/95387/08/2024"/>
    <m/>
    <x v="20"/>
    <d v="2024-08-16T00:00:00"/>
    <d v="2025-08-16T00:00:00"/>
    <s v="RASHID SADIQ"/>
    <s v="SUZUKI-GR150 EURO II"/>
    <n v="13675"/>
    <n v="11358"/>
    <m/>
    <m/>
    <m/>
    <m/>
    <s v="113530"/>
    <d v="2024-08-16T00:00:00"/>
    <s v="MOTORCYCLE  COMPREHENSIVE"/>
    <n v="547000"/>
    <n v="1703.7"/>
    <n v="113.58"/>
    <n v="500"/>
  </r>
  <r>
    <s v="KHI/HO/D/MO/MC COMP/P/95391/08/2024"/>
    <m/>
    <x v="20"/>
    <d v="2024-08-16T00:00:00"/>
    <d v="2025-08-16T00:00:00"/>
    <s v="AZHAR ABBAS"/>
    <s v="SUZUKI-GSX 125"/>
    <n v="12475"/>
    <n v="10323"/>
    <m/>
    <m/>
    <m/>
    <m/>
    <s v="23102575"/>
    <d v="2024-08-16T00:00:00"/>
    <s v="MOTORCYCLE  COMPREHENSIVE"/>
    <n v="499000"/>
    <n v="1548.45"/>
    <n v="103.23"/>
    <n v="500"/>
  </r>
  <r>
    <s v="KHI/HO/D/MO/MC COMP/P/95400/08/2024"/>
    <m/>
    <x v="4"/>
    <d v="2024-08-17T00:00:00"/>
    <d v="2025-08-17T00:00:00"/>
    <s v="MUHAMMAD NAVEED"/>
    <s v="SUZUKI-GSX 125"/>
    <n v="12475"/>
    <n v="10323"/>
    <m/>
    <m/>
    <m/>
    <m/>
    <s v="23102521"/>
    <d v="2024-08-17T00:00:00"/>
    <s v="MOTORCYCLE  COMPREHENSIVE"/>
    <n v="499000"/>
    <n v="1548.45"/>
    <n v="103.23"/>
    <n v="500"/>
  </r>
  <r>
    <s v="KHI/HO/D/MO/MC COMP/P/95403/08/2024"/>
    <m/>
    <x v="12"/>
    <d v="2024-08-17T00:00:00"/>
    <d v="2025-08-17T00:00:00"/>
    <s v="KHALID"/>
    <s v="SUZUKI-GD-110S"/>
    <n v="14960"/>
    <n v="12466"/>
    <m/>
    <m/>
    <m/>
    <m/>
    <s v="147006"/>
    <d v="2024-08-17T00:00:00"/>
    <s v="MOTORCYCLE  COMPREHENSIVE"/>
    <n v="352000"/>
    <n v="1869.9"/>
    <n v="124.66"/>
    <n v="500"/>
  </r>
  <r>
    <s v="KHI/HO/D/MO/MC COMP/P/95406/08/2024"/>
    <m/>
    <x v="4"/>
    <d v="2024-08-17T00:00:00"/>
    <d v="2025-08-17T00:00:00"/>
    <s v="TALHA"/>
    <s v="SUZUKI-GSX 125"/>
    <n v="12475"/>
    <n v="10323"/>
    <m/>
    <m/>
    <m/>
    <m/>
    <s v="23102481"/>
    <d v="2024-08-17T00:00:00"/>
    <s v="MOTORCYCLE  COMPREHENSIVE"/>
    <n v="499000"/>
    <n v="1548.45"/>
    <n v="103.23"/>
    <n v="500"/>
  </r>
  <r>
    <s v="KHI/HO/D/MO/MC COMP/P/95407/08/2024"/>
    <m/>
    <x v="4"/>
    <d v="2024-08-17T00:00:00"/>
    <d v="2025-08-17T00:00:00"/>
    <s v="M. SHAFIQ S/O M. SHARIF"/>
    <s v="SUZUKI-GD-110S"/>
    <n v="8800"/>
    <n v="7155"/>
    <m/>
    <m/>
    <m/>
    <m/>
    <s v="145653"/>
    <d v="2024-08-17T00:00:00"/>
    <s v="MOTORCYCLE  COMPREHENSIVE"/>
    <n v="352000"/>
    <n v="1073.25"/>
    <n v="71.55"/>
    <n v="500"/>
  </r>
  <r>
    <s v="KHI/HO/D/MO/MC COMP/P/95408/08/2024"/>
    <m/>
    <x v="0"/>
    <d v="2024-08-17T00:00:00"/>
    <d v="2025-08-17T00:00:00"/>
    <s v="SHAMS UL HAQ"/>
    <s v="SUZUKI-GD-110S"/>
    <n v="14960"/>
    <n v="12466"/>
    <m/>
    <m/>
    <m/>
    <m/>
    <s v="146635"/>
    <d v="2024-08-17T00:00:00"/>
    <s v="MOTORCYCLE  COMPREHENSIVE"/>
    <n v="352000"/>
    <n v="1869.9"/>
    <n v="124.66"/>
    <n v="500"/>
  </r>
  <r>
    <s v="KHI/HO/D/MO/MC COMP/P/95409/08/2024"/>
    <m/>
    <x v="0"/>
    <d v="2025-08-18T00:00:00"/>
    <d v="2026-08-18T00:00:00"/>
    <s v="SHAMS UL HAQ"/>
    <s v="SUZUKI-GD-110S"/>
    <n v="14960"/>
    <n v="12466"/>
    <m/>
    <m/>
    <m/>
    <m/>
    <s v="146635"/>
    <d v="2024-08-17T00:00:00"/>
    <s v="MOTORCYCLE  COMPREHENSIVE"/>
    <n v="352000"/>
    <n v="1869.9"/>
    <n v="124.66"/>
    <n v="500"/>
  </r>
  <r>
    <s v="KHI/HO/D/MO/MC COMP/P/95410/08/2024"/>
    <m/>
    <x v="1"/>
    <d v="2024-08-17T00:00:00"/>
    <d v="2025-08-17T00:00:00"/>
    <s v="MUHAMMAD ADNAN SHAKIL"/>
    <s v="SUZUKI-GR150 EURO II"/>
    <n v="22355"/>
    <n v="18841"/>
    <m/>
    <m/>
    <m/>
    <m/>
    <s v="113401"/>
    <d v="2024-08-17T00:00:00"/>
    <s v="MOTORCYCLE  COMPREHENSIVE"/>
    <n v="526000"/>
    <n v="2826.15"/>
    <n v="188.41"/>
    <n v="500"/>
  </r>
  <r>
    <s v="KHI/HO/D/MO/MC COMP/P/95411/08/2024"/>
    <m/>
    <x v="4"/>
    <d v="2024-08-17T00:00:00"/>
    <d v="2025-08-17T00:00:00"/>
    <s v="M. RAMZAN"/>
    <s v="SUZUKI-GD-110S"/>
    <n v="8800"/>
    <n v="7155"/>
    <m/>
    <m/>
    <m/>
    <m/>
    <s v="146432"/>
    <d v="2024-08-17T00:00:00"/>
    <s v="MOTORCYCLE  COMPREHENSIVE"/>
    <n v="352000"/>
    <n v="1073.25"/>
    <n v="71.55"/>
    <n v="500"/>
  </r>
  <r>
    <s v="KHI/HO/D/MO/MC COMP/P/95412/08/2024"/>
    <m/>
    <x v="4"/>
    <d v="2024-08-17T00:00:00"/>
    <d v="2025-08-17T00:00:00"/>
    <s v="AMMAD RASOOL"/>
    <s v="SUZUKI-GD-110S"/>
    <n v="8800"/>
    <n v="7155"/>
    <m/>
    <m/>
    <m/>
    <m/>
    <s v="146334"/>
    <d v="2024-08-17T00:00:00"/>
    <s v="MOTORCYCLE  COMPREHENSIVE"/>
    <n v="352000"/>
    <n v="1073.25"/>
    <n v="71.55"/>
    <n v="500"/>
  </r>
  <r>
    <s v="KHI/HO/D/MO/MC COMP/P/95413/08/2024"/>
    <m/>
    <x v="23"/>
    <d v="2024-08-17T00:00:00"/>
    <d v="2025-08-17T00:00:00"/>
    <s v="AHSAN NADEEM"/>
    <s v="SUZUKI-GS 150"/>
    <n v="9550"/>
    <n v="7802"/>
    <m/>
    <m/>
    <m/>
    <m/>
    <s v="30092263"/>
    <d v="2024-08-17T00:00:00"/>
    <s v="MOTORCYCLE  COMPREHENSIVE"/>
    <n v="382000"/>
    <n v="1170.3"/>
    <n v="78.02"/>
    <n v="500"/>
  </r>
  <r>
    <s v="KHI/HO/D/MO/MC COMP/P/95414/08/2024"/>
    <m/>
    <x v="4"/>
    <d v="2024-08-17T00:00:00"/>
    <d v="2025-08-17T00:00:00"/>
    <s v="M. ABID S/O M. YAQOOB"/>
    <s v="SUZUKI-GD-110S"/>
    <n v="8800"/>
    <n v="7155"/>
    <m/>
    <m/>
    <m/>
    <m/>
    <s v="145683"/>
    <d v="2024-08-17T00:00:00"/>
    <s v="MOTORCYCLE  COMPREHENSIVE"/>
    <n v="352000"/>
    <n v="1073.25"/>
    <n v="71.55"/>
    <n v="500"/>
  </r>
  <r>
    <s v="KHI/HO/D/MO/MC COMP/P/95416/08/2024"/>
    <m/>
    <x v="23"/>
    <d v="2024-08-17T00:00:00"/>
    <d v="2025-08-17T00:00:00"/>
    <s v="MOHSIN ATTA"/>
    <s v="SUZUKI-GR150 EURO II"/>
    <n v="13675"/>
    <n v="11358"/>
    <m/>
    <m/>
    <m/>
    <m/>
    <s v="113263"/>
    <d v="2024-08-17T00:00:00"/>
    <s v="MOTORCYCLE  COMPREHENSIVE"/>
    <n v="547000"/>
    <n v="1703.7"/>
    <n v="113.58"/>
    <n v="500"/>
  </r>
  <r>
    <s v="KHI/HO/D/MO/MC COMP/P/95417/08/2024"/>
    <m/>
    <x v="4"/>
    <d v="2024-08-17T00:00:00"/>
    <d v="2025-08-17T00:00:00"/>
    <s v="M. TARIQ JAVED"/>
    <s v="SUZUKI-GD-110S"/>
    <n v="8800"/>
    <n v="7155"/>
    <m/>
    <m/>
    <m/>
    <m/>
    <s v="145143"/>
    <d v="2024-08-17T00:00:00"/>
    <s v="MOTORCYCLE  COMPREHENSIVE"/>
    <n v="352000"/>
    <n v="1073.25"/>
    <n v="71.55"/>
    <n v="500"/>
  </r>
  <r>
    <s v="KHI/HO/D/MO/MC COMP/P/95418/08/2024"/>
    <m/>
    <x v="23"/>
    <d v="2024-08-17T00:00:00"/>
    <d v="2025-08-17T00:00:00"/>
    <s v="Furqan Hayder Shahid"/>
    <s v="SUZUKI-GSX 125"/>
    <n v="12475"/>
    <n v="10323"/>
    <m/>
    <m/>
    <m/>
    <m/>
    <s v="22106602"/>
    <d v="2024-08-17T00:00:00"/>
    <s v="MOTORCYCLE  COMPREHENSIVE"/>
    <n v="499000"/>
    <n v="1548.45"/>
    <n v="103.23"/>
    <n v="500"/>
  </r>
  <r>
    <s v="KHI/HO/D/MO/MC COMP/P/95420/08/2024"/>
    <m/>
    <x v="0"/>
    <d v="2024-08-17T00:00:00"/>
    <d v="2025-08-17T00:00:00"/>
    <s v="SHAHWAIZ TAHIR"/>
    <s v="SUZUKI-GD-110S"/>
    <n v="14960"/>
    <n v="12466"/>
    <m/>
    <m/>
    <m/>
    <m/>
    <s v="145691"/>
    <d v="2024-08-17T00:00:00"/>
    <s v="MOTORCYCLE  COMPREHENSIVE"/>
    <n v="352000"/>
    <n v="1869.9"/>
    <n v="124.66"/>
    <n v="500"/>
  </r>
  <r>
    <s v="KHI/HO/D/MO/MC COMP/P/95421/08/2024"/>
    <m/>
    <x v="0"/>
    <d v="2025-08-18T00:00:00"/>
    <d v="2026-08-18T00:00:00"/>
    <s v="SHAHWAIZ TAHIR"/>
    <s v="SUZUKI-GD-110S"/>
    <n v="14960"/>
    <n v="12466"/>
    <m/>
    <m/>
    <m/>
    <m/>
    <s v="145691"/>
    <d v="2024-08-17T00:00:00"/>
    <s v="MOTORCYCLE  COMPREHENSIVE"/>
    <n v="352000"/>
    <n v="1869.9"/>
    <n v="124.66"/>
    <n v="500"/>
  </r>
  <r>
    <s v="KHI/HO/D/MO/MC COMP/P/95422/08/2024"/>
    <m/>
    <x v="4"/>
    <d v="2024-08-17T00:00:00"/>
    <d v="2025-08-17T00:00:00"/>
    <s v="SYED MUHAMMAD HAIDER"/>
    <s v="SUZUKI-GD-110S"/>
    <n v="8800"/>
    <n v="7155"/>
    <m/>
    <m/>
    <m/>
    <m/>
    <s v="146353"/>
    <d v="2024-08-17T00:00:00"/>
    <s v="MOTORCYCLE  COMPREHENSIVE"/>
    <n v="352000"/>
    <n v="1073.25"/>
    <n v="71.55"/>
    <n v="500"/>
  </r>
  <r>
    <s v="KHI/HO/D/MO/MC COMP/P/95423/08/2024"/>
    <m/>
    <x v="7"/>
    <d v="2024-08-17T00:00:00"/>
    <d v="2025-08-17T00:00:00"/>
    <s v="ARSALAN"/>
    <s v="SUZUKI-GD-110S"/>
    <n v="14960"/>
    <n v="12466"/>
    <m/>
    <m/>
    <m/>
    <m/>
    <s v="145060"/>
    <d v="2024-08-17T00:00:00"/>
    <s v="MOTORCYCLE  COMPREHENSIVE"/>
    <n v="352000"/>
    <n v="1869.9"/>
    <n v="124.66"/>
    <n v="500"/>
  </r>
  <r>
    <s v="KHI/HO/D/MO/MC COMP/P/95424/08/2024"/>
    <m/>
    <x v="0"/>
    <d v="2024-08-17T00:00:00"/>
    <d v="2025-08-17T00:00:00"/>
    <s v="MUHAMMMAD UZAIR SIDDIQUI"/>
    <s v="SUZUKI-GR150 EURO II"/>
    <n v="23248"/>
    <n v="19610"/>
    <m/>
    <m/>
    <m/>
    <m/>
    <s v="113480"/>
    <d v="2024-08-17T00:00:00"/>
    <s v="MOTORCYCLE  COMPREHENSIVE"/>
    <n v="547000"/>
    <n v="2941.5"/>
    <n v="196.1"/>
    <n v="500"/>
  </r>
  <r>
    <s v="KHI/HO/D/MO/MC COMP/P/95425/08/2024"/>
    <m/>
    <x v="0"/>
    <d v="2025-08-18T00:00:00"/>
    <d v="2026-08-18T00:00:00"/>
    <s v="MUHAMMMAD UZAIR SIDDIQUI"/>
    <s v="SUZUKI-GR150 EURO II"/>
    <n v="23248"/>
    <n v="19610"/>
    <m/>
    <m/>
    <m/>
    <m/>
    <s v="113480"/>
    <d v="2024-08-17T00:00:00"/>
    <s v="MOTORCYCLE  COMPREHENSIVE"/>
    <n v="547000"/>
    <n v="2941.5"/>
    <n v="196.1"/>
    <n v="500"/>
  </r>
  <r>
    <s v="KHI/HO/D/MO/MC COMP/P/95426/08/2024"/>
    <m/>
    <x v="12"/>
    <d v="2024-08-17T00:00:00"/>
    <d v="2025-08-17T00:00:00"/>
    <s v="MUHAMMAD AYUB"/>
    <s v="SUZUKI-GD-110S"/>
    <n v="14960"/>
    <n v="12466"/>
    <m/>
    <m/>
    <m/>
    <m/>
    <s v="146805"/>
    <d v="2024-08-17T00:00:00"/>
    <s v="MOTORCYCLE  COMPREHENSIVE"/>
    <n v="352000"/>
    <n v="1869.9"/>
    <n v="124.66"/>
    <n v="500"/>
  </r>
  <r>
    <s v="KHI/HO/D/MO/MC COMP/P/95427/08/2024"/>
    <m/>
    <x v="12"/>
    <d v="2025-08-18T00:00:00"/>
    <d v="2026-08-18T00:00:00"/>
    <s v="MUHAMMAD AYUB"/>
    <s v="SUZUKI-GD-110S"/>
    <n v="14960"/>
    <n v="12466"/>
    <m/>
    <m/>
    <m/>
    <m/>
    <s v="146805"/>
    <d v="2024-08-17T00:00:00"/>
    <s v="MOTORCYCLE  COMPREHENSIVE"/>
    <n v="352000"/>
    <n v="1869.9"/>
    <n v="124.66"/>
    <n v="500"/>
  </r>
  <r>
    <s v="KHI/HO/D/MO/MC COMP/P/95430/08/2024"/>
    <m/>
    <x v="12"/>
    <d v="2024-08-17T00:00:00"/>
    <d v="2025-08-17T00:00:00"/>
    <s v="NOOR UL AMIN"/>
    <s v="SUZUKI-GD-110S"/>
    <n v="14960"/>
    <n v="12466"/>
    <m/>
    <m/>
    <m/>
    <m/>
    <s v="147011"/>
    <d v="2024-08-17T00:00:00"/>
    <s v="MOTORCYCLE  COMPREHENSIVE"/>
    <n v="352000"/>
    <n v="1869.9"/>
    <n v="124.66"/>
    <n v="500"/>
  </r>
  <r>
    <s v="KHI/HO/D/MO/MC COMP/P/95431/08/2024"/>
    <m/>
    <x v="0"/>
    <d v="2024-08-17T00:00:00"/>
    <d v="2025-08-17T00:00:00"/>
    <s v="GHULAM ZAIN UL ABDIN RADHAN"/>
    <s v="SUZUKI-GD-110S"/>
    <n v="14365"/>
    <n v="11953"/>
    <m/>
    <m/>
    <m/>
    <m/>
    <s v="145739"/>
    <d v="2024-08-17T00:00:00"/>
    <s v="MOTORCYCLE  COMPREHENSIVE"/>
    <n v="338000"/>
    <n v="1792.95"/>
    <n v="119.53"/>
    <n v="500"/>
  </r>
  <r>
    <s v="KHI/HO/D/MO/MC COMP/P/95432/08/2024"/>
    <m/>
    <x v="1"/>
    <d v="2024-08-17T00:00:00"/>
    <d v="2025-08-17T00:00:00"/>
    <s v="AHSAN ULLAH"/>
    <s v="SUZUKI-GS 150"/>
    <n v="16235"/>
    <n v="13565"/>
    <m/>
    <m/>
    <m/>
    <m/>
    <s v="30092616"/>
    <d v="2024-08-17T00:00:00"/>
    <s v="MOTORCYCLE  COMPREHENSIVE"/>
    <n v="382000"/>
    <n v="2034.75"/>
    <n v="135.65"/>
    <n v="500"/>
  </r>
  <r>
    <s v="KHI/HO/D/MO/MC COMP/P/95433/08/2024"/>
    <m/>
    <x v="1"/>
    <d v="2025-08-18T00:00:00"/>
    <d v="2026-08-18T00:00:00"/>
    <s v="AHSAN ULLAH"/>
    <s v="SUZUKI-GS 150"/>
    <n v="16235"/>
    <n v="13565"/>
    <m/>
    <m/>
    <m/>
    <m/>
    <s v="30092616"/>
    <d v="2024-08-17T00:00:00"/>
    <s v="MOTORCYCLE  COMPREHENSIVE"/>
    <n v="382000"/>
    <n v="2034.75"/>
    <n v="135.65"/>
    <n v="500"/>
  </r>
  <r>
    <s v="KHI/HO/D/MO/MC COMP/P/95434/08/2024"/>
    <m/>
    <x v="25"/>
    <d v="2024-08-17T00:00:00"/>
    <d v="2025-08-17T00:00:00"/>
    <s v="MUHAMMAD NISAR"/>
    <s v="SUZUKI-GD-110S"/>
    <n v="8800"/>
    <n v="7155"/>
    <m/>
    <m/>
    <m/>
    <m/>
    <s v="138552"/>
    <d v="2024-08-17T00:00:00"/>
    <s v="MOTORCYCLE  COMPREHENSIVE"/>
    <n v="352000"/>
    <n v="1073.25"/>
    <n v="71.55"/>
    <n v="500"/>
  </r>
  <r>
    <s v="KHI/HO/D/MO/MC COMP/P/95435/08/2024"/>
    <m/>
    <x v="1"/>
    <d v="2024-08-17T00:00:00"/>
    <d v="2025-08-17T00:00:00"/>
    <s v="MUHAMMAD RIZWAN"/>
    <s v="SUZUKI-GD-110S"/>
    <n v="14960"/>
    <n v="12466"/>
    <m/>
    <m/>
    <m/>
    <m/>
    <s v="146681"/>
    <d v="2024-08-17T00:00:00"/>
    <s v="MOTORCYCLE  COMPREHENSIVE"/>
    <n v="352000"/>
    <n v="1869.9"/>
    <n v="124.66"/>
    <n v="500"/>
  </r>
  <r>
    <s v="KHI/HO/D/MO/MC COMP/P/95436/08/2024"/>
    <m/>
    <x v="25"/>
    <d v="2024-08-17T00:00:00"/>
    <d v="2025-08-17T00:00:00"/>
    <s v="HASNAIN ABBAS"/>
    <s v="SUZUKI-GS 150"/>
    <n v="9550"/>
    <n v="7802"/>
    <m/>
    <m/>
    <m/>
    <m/>
    <s v="30091337"/>
    <d v="2024-08-17T00:00:00"/>
    <s v="MOTORCYCLE  COMPREHENSIVE"/>
    <n v="382000"/>
    <n v="1170.3"/>
    <n v="78.02"/>
    <n v="500"/>
  </r>
  <r>
    <s v="KHI/HO/D/MO/MC COMP/P/95437/08/2024"/>
    <m/>
    <x v="2"/>
    <d v="2024-08-17T00:00:00"/>
    <d v="2025-08-17T00:00:00"/>
    <s v="NASIR RAZAQ"/>
    <s v="SUZUKI-GD-110S"/>
    <n v="14960"/>
    <n v="12466"/>
    <m/>
    <m/>
    <m/>
    <m/>
    <s v="146497"/>
    <d v="2024-08-17T00:00:00"/>
    <s v="MOTORCYCLE  COMPREHENSIVE"/>
    <n v="352000"/>
    <n v="1869.9"/>
    <n v="124.66"/>
    <n v="500"/>
  </r>
  <r>
    <s v="KHI/HO/D/MO/MC COMP/P/95438/08/2024"/>
    <m/>
    <x v="2"/>
    <d v="2025-08-18T00:00:00"/>
    <d v="2026-08-18T00:00:00"/>
    <s v="NASIR RAZAQ"/>
    <s v="SUZUKI-GD-110S"/>
    <n v="14960"/>
    <n v="12466"/>
    <m/>
    <m/>
    <m/>
    <m/>
    <s v="146497"/>
    <d v="2024-08-17T00:00:00"/>
    <s v="MOTORCYCLE  COMPREHENSIVE"/>
    <n v="352000"/>
    <n v="1869.9"/>
    <n v="124.66"/>
    <n v="500"/>
  </r>
  <r>
    <s v="KHI/HO/D/MO/MC COMP/P/95439/08/2024"/>
    <m/>
    <x v="25"/>
    <d v="2024-08-17T00:00:00"/>
    <d v="2025-08-17T00:00:00"/>
    <s v="MUHAMMAD SAJID"/>
    <s v="SUZUKI-GD-110S"/>
    <n v="8800"/>
    <n v="7155"/>
    <m/>
    <m/>
    <m/>
    <m/>
    <s v="145037"/>
    <d v="2024-08-17T00:00:00"/>
    <s v="MOTORCYCLE  COMPREHENSIVE"/>
    <n v="352000"/>
    <n v="1073.25"/>
    <n v="71.55"/>
    <n v="500"/>
  </r>
  <r>
    <s v="KHI/HO/D/MO/MC COMP/P/95440/08/2024"/>
    <m/>
    <x v="25"/>
    <d v="2024-08-17T00:00:00"/>
    <d v="2025-08-17T00:00:00"/>
    <s v="ABU BAKKAR SADDIQUE"/>
    <s v="SUZUKI-GD-110S"/>
    <n v="8800"/>
    <n v="7155"/>
    <m/>
    <m/>
    <m/>
    <m/>
    <s v="145036"/>
    <d v="2024-08-17T00:00:00"/>
    <s v="MOTORCYCLE  COMPREHENSIVE"/>
    <n v="352000"/>
    <n v="1073.25"/>
    <n v="71.55"/>
    <n v="500"/>
  </r>
  <r>
    <s v="KHI/HO/D/MO/MC COMP/P/95441/08/2024"/>
    <m/>
    <x v="6"/>
    <d v="2024-08-17T00:00:00"/>
    <d v="2025-08-17T00:00:00"/>
    <s v="AKSHAD"/>
    <s v="SUZUKI-GR150 EURO II"/>
    <n v="23248"/>
    <n v="19610"/>
    <m/>
    <m/>
    <m/>
    <m/>
    <s v="113274"/>
    <d v="2024-08-17T00:00:00"/>
    <s v="MOTORCYCLE  COMPREHENSIVE"/>
    <n v="547000"/>
    <n v="2941.5"/>
    <n v="196.1"/>
    <n v="500"/>
  </r>
  <r>
    <s v="KHI/HO/D/MO/MC COMP/P/95442/08/2024"/>
    <m/>
    <x v="6"/>
    <d v="2025-08-18T00:00:00"/>
    <d v="2026-08-18T00:00:00"/>
    <s v="AKSHAD"/>
    <s v="SUZUKI-GR150 EURO II"/>
    <n v="23248"/>
    <n v="19610"/>
    <m/>
    <m/>
    <m/>
    <m/>
    <s v="113274"/>
    <d v="2024-08-17T00:00:00"/>
    <s v="MOTORCYCLE  COMPREHENSIVE"/>
    <n v="547000"/>
    <n v="2941.5"/>
    <n v="196.1"/>
    <n v="500"/>
  </r>
  <r>
    <s v="KHI/HO/D/MO/MC COMP/P/95443/08/2024"/>
    <m/>
    <x v="25"/>
    <d v="2024-08-17T00:00:00"/>
    <d v="2025-08-17T00:00:00"/>
    <s v="ALI HASSAN"/>
    <s v="SUZUKI-GD-110S"/>
    <n v="8800"/>
    <n v="7155"/>
    <m/>
    <m/>
    <m/>
    <m/>
    <s v="145031"/>
    <d v="2024-08-17T00:00:00"/>
    <s v="MOTORCYCLE  COMPREHENSIVE"/>
    <n v="352000"/>
    <n v="1073.25"/>
    <n v="71.55"/>
    <n v="500"/>
  </r>
  <r>
    <s v="KHI/HO/D/MO/MC COMP/P/95444/08/2024"/>
    <m/>
    <x v="6"/>
    <d v="2024-08-17T00:00:00"/>
    <d v="2025-08-17T00:00:00"/>
    <s v="SHAMZA ZAHID"/>
    <s v="SUZUKI-GD-110S"/>
    <n v="14960"/>
    <n v="12466"/>
    <m/>
    <m/>
    <m/>
    <m/>
    <s v="146969"/>
    <d v="2024-08-17T00:00:00"/>
    <s v="MOTORCYCLE  COMPREHENSIVE"/>
    <n v="352000"/>
    <n v="1869.9"/>
    <n v="124.66"/>
    <n v="500"/>
  </r>
  <r>
    <s v="KHI/HO/D/MO/MC COMP/P/95445/08/2024"/>
    <m/>
    <x v="25"/>
    <d v="2024-08-17T00:00:00"/>
    <d v="2025-08-17T00:00:00"/>
    <s v="WASIM TARIQ"/>
    <s v="SUZUKI-GS 150"/>
    <n v="9550"/>
    <n v="7802"/>
    <m/>
    <m/>
    <m/>
    <m/>
    <s v="30091340"/>
    <d v="2024-08-17T00:00:00"/>
    <s v="MOTORCYCLE  COMPREHENSIVE"/>
    <n v="382000"/>
    <n v="1170.3"/>
    <n v="78.02"/>
    <n v="500"/>
  </r>
  <r>
    <s v="KHI/HO/D/MO/MC COMP/P/95447/08/2024"/>
    <m/>
    <x v="25"/>
    <d v="2024-08-17T00:00:00"/>
    <d v="2025-08-17T00:00:00"/>
    <s v="ABID ALI"/>
    <s v="SUZUKI-GD-110S"/>
    <n v="8800"/>
    <n v="7155"/>
    <m/>
    <m/>
    <m/>
    <m/>
    <s v="143599"/>
    <d v="2024-08-17T00:00:00"/>
    <s v="MOTORCYCLE  COMPREHENSIVE"/>
    <n v="352000"/>
    <n v="1073.25"/>
    <n v="71.55"/>
    <n v="500"/>
  </r>
  <r>
    <s v="KHI/HO/D/MO/MC COMP/P/95448/08/2024"/>
    <m/>
    <x v="25"/>
    <d v="2024-08-17T00:00:00"/>
    <d v="2025-08-17T00:00:00"/>
    <s v="ABDUL REHMAN"/>
    <s v="SUZUKI-GD-110S"/>
    <n v="8800"/>
    <n v="7155"/>
    <m/>
    <m/>
    <m/>
    <m/>
    <s v="143569"/>
    <d v="2024-08-17T00:00:00"/>
    <s v="MOTORCYCLE  COMPREHENSIVE"/>
    <n v="352000"/>
    <n v="1073.25"/>
    <n v="71.55"/>
    <n v="500"/>
  </r>
  <r>
    <s v="KHI/HO/D/MO/MC COMP/P/95449/08/2024"/>
    <m/>
    <x v="0"/>
    <d v="2024-08-17T00:00:00"/>
    <d v="2025-08-17T00:00:00"/>
    <s v="MUHAMMAD EBAD SIDDIQUI"/>
    <s v="SUZUKI-GD-110S"/>
    <n v="14960"/>
    <n v="12466"/>
    <m/>
    <m/>
    <m/>
    <m/>
    <s v="147421"/>
    <d v="2024-08-17T00:00:00"/>
    <s v="MOTORCYCLE  COMPREHENSIVE"/>
    <n v="352000"/>
    <n v="1869.9"/>
    <n v="124.66"/>
    <n v="500"/>
  </r>
  <r>
    <s v="KHI/HO/D/MO/MC COMP/P/95450/08/2024"/>
    <m/>
    <x v="25"/>
    <d v="2024-08-17T00:00:00"/>
    <d v="2025-08-17T00:00:00"/>
    <s v="JUNAID QAMAR"/>
    <s v="SUZUKI-GD-110S"/>
    <n v="8800"/>
    <n v="7155"/>
    <m/>
    <m/>
    <m/>
    <m/>
    <s v="145028"/>
    <d v="2024-08-17T00:00:00"/>
    <s v="MOTORCYCLE  COMPREHENSIVE"/>
    <n v="352000"/>
    <n v="1073.25"/>
    <n v="71.55"/>
    <n v="500"/>
  </r>
  <r>
    <s v="KHI/HO/D/MO/MC COMP/P/95451/08/2024"/>
    <m/>
    <x v="25"/>
    <d v="2024-08-17T00:00:00"/>
    <d v="2025-08-17T00:00:00"/>
    <s v="MUHAMMAD ABUBAKAR NADEEM"/>
    <s v="SUZUKI-GD-110S"/>
    <n v="8800"/>
    <n v="7155"/>
    <m/>
    <m/>
    <m/>
    <m/>
    <s v="146156"/>
    <d v="2024-08-17T00:00:00"/>
    <s v="MOTORCYCLE  COMPREHENSIVE"/>
    <n v="352000"/>
    <n v="1073.25"/>
    <n v="71.55"/>
    <n v="500"/>
  </r>
  <r>
    <s v="KHI/HO/D/MO/MC COMP/P/95452/08/2024"/>
    <m/>
    <x v="0"/>
    <d v="2024-08-17T00:00:00"/>
    <d v="2025-08-17T00:00:00"/>
    <s v="MUHAMMAD SALEEM"/>
    <s v="SUZUKI-GD-110S"/>
    <n v="14960"/>
    <n v="12466"/>
    <m/>
    <m/>
    <m/>
    <m/>
    <s v="144687"/>
    <d v="2024-08-17T00:00:00"/>
    <s v="MOTORCYCLE  COMPREHENSIVE"/>
    <n v="352000"/>
    <n v="1869.9"/>
    <n v="124.66"/>
    <n v="500"/>
  </r>
  <r>
    <s v="KHI/HO/D/MO/MC COMP/P/95453/08/2024"/>
    <m/>
    <x v="0"/>
    <d v="2025-08-18T00:00:00"/>
    <d v="2026-08-18T00:00:00"/>
    <s v="MUHAMMAD SALEEM"/>
    <s v="SUZUKI-GD-110S"/>
    <n v="14960"/>
    <n v="12466"/>
    <m/>
    <m/>
    <m/>
    <m/>
    <s v="144687"/>
    <d v="2024-08-17T00:00:00"/>
    <s v="MOTORCYCLE  COMPREHENSIVE"/>
    <n v="352000"/>
    <n v="1869.9"/>
    <n v="124.66"/>
    <n v="500"/>
  </r>
  <r>
    <s v="KHI/HO/D/MO/MC COMP/P/95454/08/2024"/>
    <m/>
    <x v="25"/>
    <d v="2024-08-17T00:00:00"/>
    <d v="2025-08-17T00:00:00"/>
    <s v="HAROON UR RASHID"/>
    <s v="SUZUKI-GSX 125"/>
    <n v="12475"/>
    <n v="10323"/>
    <m/>
    <m/>
    <m/>
    <m/>
    <s v="23100343"/>
    <d v="2024-08-17T00:00:00"/>
    <s v="MOTORCYCLE  COMPREHENSIVE"/>
    <n v="499000"/>
    <n v="1548.45"/>
    <n v="103.23"/>
    <n v="500"/>
  </r>
  <r>
    <s v="KHI/HO/D/MO/MC COMP/P/95455/08/2024"/>
    <m/>
    <x v="25"/>
    <d v="2024-08-17T00:00:00"/>
    <d v="2025-08-17T00:00:00"/>
    <s v="MUHAMMAD AFAQ AKBAR GONDAL"/>
    <s v="SUZUKI-GS 150"/>
    <n v="9550"/>
    <n v="7802"/>
    <m/>
    <m/>
    <m/>
    <m/>
    <s v="30092047"/>
    <d v="2024-08-17T00:00:00"/>
    <s v="MOTORCYCLE  COMPREHENSIVE"/>
    <n v="382000"/>
    <n v="1170.3"/>
    <n v="78.02"/>
    <n v="500"/>
  </r>
  <r>
    <s v="KHI/HO/D/MO/MC COMP/P/95456/08/2024"/>
    <m/>
    <x v="7"/>
    <d v="2024-08-17T00:00:00"/>
    <d v="2025-08-17T00:00:00"/>
    <s v="JAWAD AHMED"/>
    <s v="SUZUKI-GR150 EURO II"/>
    <n v="23248"/>
    <n v="19610"/>
    <m/>
    <m/>
    <m/>
    <m/>
    <s v="113553"/>
    <d v="2024-08-17T00:00:00"/>
    <s v="MOTORCYCLE  COMPREHENSIVE"/>
    <n v="547000"/>
    <n v="2941.5"/>
    <n v="196.1"/>
    <n v="500"/>
  </r>
  <r>
    <s v="KHI/HO/D/MO/MC COMP/P/95461/08/2024"/>
    <m/>
    <x v="16"/>
    <d v="2024-08-18T00:00:00"/>
    <d v="2025-08-18T00:00:00"/>
    <s v="Muhammad Sohail Khan"/>
    <s v="SUZUKI-GD-110S"/>
    <n v="14960"/>
    <n v="12466"/>
    <m/>
    <m/>
    <m/>
    <m/>
    <s v="146747"/>
    <d v="2024-08-18T00:00:00"/>
    <s v="MOTORCYCLE  COMPREHENSIVE"/>
    <n v="352000"/>
    <n v="1869.9"/>
    <n v="124.66"/>
    <n v="500"/>
  </r>
  <r>
    <s v="KHI/HO/D/MO/MC COMP/P/95462/08/2024"/>
    <m/>
    <x v="16"/>
    <d v="2025-08-19T00:00:00"/>
    <d v="2026-08-19T00:00:00"/>
    <s v="Muhammad Sohail Khan"/>
    <s v="SUZUKI-GD-110S"/>
    <n v="14960"/>
    <n v="12466"/>
    <m/>
    <m/>
    <m/>
    <m/>
    <s v="146747"/>
    <d v="2024-08-18T00:00:00"/>
    <s v="MOTORCYCLE  COMPREHENSIVE"/>
    <n v="352000"/>
    <n v="1869.9"/>
    <n v="124.66"/>
    <n v="500"/>
  </r>
  <r>
    <s v="KHI/HO/D/MO/MC COMP/P/95465/08/2024"/>
    <m/>
    <x v="9"/>
    <d v="2024-08-19T00:00:00"/>
    <d v="2025-08-19T00:00:00"/>
    <s v="WASEEM AKRAM S/O MUHAMMAD AKRAM"/>
    <s v="SUZUKI-GS 150"/>
    <n v="9550"/>
    <n v="7802"/>
    <m/>
    <m/>
    <m/>
    <m/>
    <s v="30092450"/>
    <d v="2024-08-19T00:00:00"/>
    <s v="MOTORCYCLE  COMPREHENSIVE"/>
    <n v="382000"/>
    <n v="1170.3"/>
    <n v="78.02"/>
    <n v="500"/>
  </r>
  <r>
    <s v="KHI/HO/D/MO/MC COMP/P/95474/08/2024"/>
    <m/>
    <x v="9"/>
    <d v="2024-08-19T00:00:00"/>
    <d v="2025-08-19T00:00:00"/>
    <s v="ZULFIQAR ALI S/O MUHAMMAD ASHRAF"/>
    <s v="SUZUKI-GSX 125"/>
    <n v="12475"/>
    <n v="10323"/>
    <m/>
    <m/>
    <m/>
    <m/>
    <s v="23102516"/>
    <d v="2024-08-19T00:00:00"/>
    <s v="MOTORCYCLE  COMPREHENSIVE"/>
    <n v="499000"/>
    <n v="1548.45"/>
    <n v="103.23"/>
    <n v="500"/>
  </r>
  <r>
    <s v="KHI/HO/D/MO/MC COMP/P/95476/08/2024"/>
    <m/>
    <x v="25"/>
    <d v="2024-08-19T00:00:00"/>
    <d v="2025-08-19T00:00:00"/>
    <s v="MUHAMMAD IMTIAZ"/>
    <s v="SUZUKI-GD-110S"/>
    <n v="8800"/>
    <n v="7155"/>
    <m/>
    <m/>
    <m/>
    <m/>
    <s v="143428"/>
    <d v="2024-08-19T00:00:00"/>
    <s v="MOTORCYCLE  COMPREHENSIVE"/>
    <n v="352000"/>
    <n v="1073.25"/>
    <n v="71.55"/>
    <n v="500"/>
  </r>
  <r>
    <s v="KHI/HO/D/MO/MC COMP/P/95477/08/2024"/>
    <m/>
    <x v="25"/>
    <d v="2024-08-19T00:00:00"/>
    <d v="2025-08-19T00:00:00"/>
    <s v="AZHAR ABBAS CHADHAR"/>
    <s v="SUZUKI-GD-110S"/>
    <n v="8800"/>
    <n v="7155"/>
    <m/>
    <m/>
    <m/>
    <m/>
    <s v="145499"/>
    <d v="2024-08-19T00:00:00"/>
    <s v="MOTORCYCLE  COMPREHENSIVE"/>
    <n v="352000"/>
    <n v="1073.25"/>
    <n v="71.55"/>
    <n v="500"/>
  </r>
  <r>
    <s v="KHI/HO/D/MO/MC COMP/P/95478/08/2024"/>
    <m/>
    <x v="0"/>
    <d v="2024-08-19T00:00:00"/>
    <d v="2025-08-19T00:00:00"/>
    <s v="SHAHNAWAZ"/>
    <s v="SUZUKI-GS 150"/>
    <n v="16235"/>
    <n v="13565"/>
    <m/>
    <m/>
    <m/>
    <m/>
    <s v="30092565"/>
    <d v="2024-08-19T00:00:00"/>
    <s v="MOTORCYCLE  COMPREHENSIVE"/>
    <n v="382000"/>
    <n v="2034.75"/>
    <n v="135.65"/>
    <n v="500"/>
  </r>
  <r>
    <s v="KHI/HO/D/MO/MC COMP/P/95479/08/2024"/>
    <m/>
    <x v="0"/>
    <d v="2025-08-20T00:00:00"/>
    <d v="2026-08-20T00:00:00"/>
    <s v="SHAHNAWAZ"/>
    <s v="SUZUKI-GS 150"/>
    <n v="16235"/>
    <n v="13565"/>
    <m/>
    <m/>
    <m/>
    <m/>
    <s v="30092565"/>
    <d v="2024-08-19T00:00:00"/>
    <s v="MOTORCYCLE  COMPREHENSIVE"/>
    <n v="382000"/>
    <n v="2034.75"/>
    <n v="135.65"/>
    <n v="500"/>
  </r>
  <r>
    <s v="KHI/HO/D/MO/MC COMP/P/95480/08/2024"/>
    <m/>
    <x v="25"/>
    <d v="2024-08-19T00:00:00"/>
    <d v="2025-08-19T00:00:00"/>
    <s v="MUZAMMIL HUSSAIN"/>
    <s v="SUZUKI-GR150 EURO II"/>
    <n v="13675"/>
    <n v="11358"/>
    <m/>
    <m/>
    <m/>
    <m/>
    <s v="113302"/>
    <d v="2024-08-19T00:00:00"/>
    <s v="MOTORCYCLE  COMPREHENSIVE"/>
    <n v="547000"/>
    <n v="1703.7"/>
    <n v="113.58"/>
    <n v="500"/>
  </r>
  <r>
    <s v="KHI/HO/D/MO/MC COMP/P/95483/08/2024"/>
    <m/>
    <x v="25"/>
    <d v="2024-08-19T00:00:00"/>
    <d v="2025-08-19T00:00:00"/>
    <s v="MUHAMMAD BILAL"/>
    <s v="SUZUKI-GS 150"/>
    <n v="9550"/>
    <n v="7802"/>
    <m/>
    <m/>
    <m/>
    <m/>
    <s v="30092036"/>
    <d v="2024-08-19T00:00:00"/>
    <s v="MOTORCYCLE  COMPREHENSIVE"/>
    <n v="382000"/>
    <n v="1170.3"/>
    <n v="78.02"/>
    <n v="500"/>
  </r>
  <r>
    <s v="KHI/HO/D/MO/MC COMP/P/95484/08/2024"/>
    <m/>
    <x v="25"/>
    <d v="2024-08-19T00:00:00"/>
    <d v="2025-08-19T00:00:00"/>
    <s v="NAEEM ULLAH"/>
    <s v="SUZUKI-GD-110S"/>
    <n v="8800"/>
    <n v="7155"/>
    <m/>
    <m/>
    <m/>
    <m/>
    <s v="145625"/>
    <d v="2024-08-19T00:00:00"/>
    <s v="MOTORCYCLE  COMPREHENSIVE"/>
    <n v="352000"/>
    <n v="1073.25"/>
    <n v="71.55"/>
    <n v="500"/>
  </r>
  <r>
    <s v="KHI/HO/D/MO/MC COMP/P/95487/08/2024"/>
    <m/>
    <x v="25"/>
    <d v="2024-08-19T00:00:00"/>
    <d v="2025-08-19T00:00:00"/>
    <s v="ARSHAD IQBAL MALIK"/>
    <s v="SUZUKI-GD-110S"/>
    <n v="8800"/>
    <n v="7155"/>
    <m/>
    <m/>
    <m/>
    <m/>
    <s v="145520"/>
    <d v="2024-08-19T00:00:00"/>
    <s v="MOTORCYCLE  COMPREHENSIVE"/>
    <n v="352000"/>
    <n v="1073.25"/>
    <n v="71.55"/>
    <n v="500"/>
  </r>
  <r>
    <s v="KHI/HO/D/MO/MC COMP/P/95488/08/2024"/>
    <m/>
    <x v="25"/>
    <d v="2024-08-19T00:00:00"/>
    <d v="2025-08-19T00:00:00"/>
    <s v="FARHAN ZULFIQAR"/>
    <s v="SUZUKI-GD-110S"/>
    <n v="8800"/>
    <n v="7155"/>
    <m/>
    <m/>
    <m/>
    <m/>
    <s v="145525"/>
    <d v="2024-08-19T00:00:00"/>
    <s v="MOTORCYCLE  COMPREHENSIVE"/>
    <n v="352000"/>
    <n v="1073.25"/>
    <n v="71.55"/>
    <n v="500"/>
  </r>
  <r>
    <s v="KHI/HO/D/MO/MC COMP/P/95489/08/2024"/>
    <m/>
    <x v="0"/>
    <d v="2024-08-19T00:00:00"/>
    <d v="2025-08-19T00:00:00"/>
    <s v="NUSRAT SARFARAZ"/>
    <s v="SUZUKI-GR150 EURO II"/>
    <n v="23248"/>
    <n v="19610"/>
    <m/>
    <m/>
    <m/>
    <m/>
    <s v="113507"/>
    <d v="2024-08-19T00:00:00"/>
    <s v="MOTORCYCLE  COMPREHENSIVE"/>
    <n v="547000"/>
    <n v="2941.5"/>
    <n v="196.1"/>
    <n v="500"/>
  </r>
  <r>
    <s v="KHI/HO/D/MO/MC COMP/P/95491/08/2024"/>
    <m/>
    <x v="25"/>
    <d v="2024-08-19T00:00:00"/>
    <d v="2025-08-19T00:00:00"/>
    <s v="KHALIQ DAD"/>
    <s v="SUZUKI-GD-110S"/>
    <n v="8800"/>
    <n v="7155"/>
    <m/>
    <m/>
    <m/>
    <m/>
    <s v="145618"/>
    <d v="2024-08-19T00:00:00"/>
    <s v="MOTORCYCLE  COMPREHENSIVE"/>
    <n v="352000"/>
    <n v="1073.25"/>
    <n v="71.55"/>
    <n v="500"/>
  </r>
  <r>
    <s v="KHI/HO/D/MO/MC COMP/P/95492/08/2024"/>
    <m/>
    <x v="25"/>
    <d v="2024-08-19T00:00:00"/>
    <d v="2025-08-19T00:00:00"/>
    <s v="MUHAMMAD ASGHAR"/>
    <s v="SUZUKI-GD-110S"/>
    <n v="8800"/>
    <n v="7155"/>
    <m/>
    <m/>
    <m/>
    <m/>
    <s v="145505"/>
    <d v="2024-08-19T00:00:00"/>
    <s v="MOTORCYCLE  COMPREHENSIVE"/>
    <n v="352000"/>
    <n v="1073.25"/>
    <n v="71.55"/>
    <n v="500"/>
  </r>
  <r>
    <s v="KHI/HO/D/MO/MC COMP/P/95493/08/2024"/>
    <m/>
    <x v="25"/>
    <d v="2024-08-19T00:00:00"/>
    <d v="2025-08-19T00:00:00"/>
    <s v="ALI HASSAN"/>
    <s v="SUZUKI-GD-110S"/>
    <n v="8800"/>
    <n v="7155"/>
    <m/>
    <m/>
    <m/>
    <m/>
    <s v="145684"/>
    <d v="2024-08-19T00:00:00"/>
    <s v="MOTORCYCLE  COMPREHENSIVE"/>
    <n v="352000"/>
    <n v="1073.25"/>
    <n v="71.55"/>
    <n v="500"/>
  </r>
  <r>
    <s v="KHI/HO/D/MO/MC COMP/P/95494/08/2024"/>
    <m/>
    <x v="0"/>
    <d v="2024-08-19T00:00:00"/>
    <d v="2025-08-19T00:00:00"/>
    <s v="MUHAMMAD ANAS KHAN"/>
    <s v="SUZUKI-GS 150"/>
    <n v="16235"/>
    <n v="13565"/>
    <m/>
    <m/>
    <m/>
    <m/>
    <s v="30092555"/>
    <d v="2024-08-19T00:00:00"/>
    <s v="MOTORCYCLE  COMPREHENSIVE"/>
    <n v="382000"/>
    <n v="2034.75"/>
    <n v="135.65"/>
    <n v="500"/>
  </r>
  <r>
    <s v="KHI/HO/D/MO/MC COMP/P/95495/08/2024"/>
    <m/>
    <x v="0"/>
    <d v="2025-08-20T00:00:00"/>
    <d v="2026-08-20T00:00:00"/>
    <s v="MUHAMMAD ANAS KHAN"/>
    <s v="SUZUKI-GS 150"/>
    <n v="16235"/>
    <n v="13565"/>
    <m/>
    <m/>
    <m/>
    <m/>
    <s v="30092555"/>
    <d v="2024-08-19T00:00:00"/>
    <s v="MOTORCYCLE  COMPREHENSIVE"/>
    <n v="382000"/>
    <n v="2034.75"/>
    <n v="135.65"/>
    <n v="500"/>
  </r>
  <r>
    <s v="KHI/HO/D/MO/MC COMP/P/95498/08/2024"/>
    <m/>
    <x v="22"/>
    <d v="2024-08-19T00:00:00"/>
    <d v="2025-08-19T00:00:00"/>
    <s v="MUHAMMAD KAMRAN"/>
    <s v="SUZUKI-GD-110S"/>
    <n v="8800"/>
    <n v="7155"/>
    <m/>
    <m/>
    <m/>
    <m/>
    <s v="146157"/>
    <d v="2024-08-19T00:00:00"/>
    <s v="MOTORCYCLE  COMPREHENSIVE"/>
    <n v="352000"/>
    <n v="1073.25"/>
    <n v="71.55"/>
    <n v="500"/>
  </r>
  <r>
    <s v="KHI/HO/D/MO/MC COMP/P/95499/08/2024"/>
    <m/>
    <x v="0"/>
    <d v="2024-08-19T00:00:00"/>
    <d v="2025-08-19T00:00:00"/>
    <s v="AMMAR AHMED KHAN"/>
    <s v="SUZUKI-GD-110S"/>
    <n v="14960"/>
    <n v="12466"/>
    <m/>
    <m/>
    <m/>
    <m/>
    <s v="146810"/>
    <d v="2024-08-19T00:00:00"/>
    <s v="MOTORCYCLE  COMPREHENSIVE"/>
    <n v="352000"/>
    <n v="1869.9"/>
    <n v="124.66"/>
    <n v="500"/>
  </r>
  <r>
    <s v="KHI/HO/D/MO/MC COMP/P/95500/08/2024"/>
    <m/>
    <x v="0"/>
    <d v="2025-08-20T00:00:00"/>
    <d v="2026-08-20T00:00:00"/>
    <s v="AMMAR AHMED KHAN"/>
    <s v="SUZUKI-GD-110S"/>
    <n v="14960"/>
    <n v="12466"/>
    <m/>
    <m/>
    <m/>
    <m/>
    <s v="146810"/>
    <d v="2024-08-19T00:00:00"/>
    <s v="MOTORCYCLE  COMPREHENSIVE"/>
    <n v="352000"/>
    <n v="1869.9"/>
    <n v="124.66"/>
    <n v="500"/>
  </r>
  <r>
    <s v="KHI/HO/D/MO/MC COMP/P/95503/08/2024"/>
    <m/>
    <x v="22"/>
    <d v="2024-08-19T00:00:00"/>
    <d v="2025-08-19T00:00:00"/>
    <s v="ZAHID BILAL"/>
    <s v="SUZUKI-GS 150"/>
    <n v="9550"/>
    <n v="7802"/>
    <m/>
    <m/>
    <m/>
    <m/>
    <s v="30091981"/>
    <d v="2024-08-19T00:00:00"/>
    <s v="MOTORCYCLE  COMPREHENSIVE"/>
    <n v="382000"/>
    <n v="1170.3"/>
    <n v="78.02"/>
    <n v="500"/>
  </r>
  <r>
    <s v="KHI/HO/D/MO/MC COMP/P/95504/08/2024"/>
    <m/>
    <x v="1"/>
    <d v="2024-08-19T00:00:00"/>
    <d v="2025-08-19T00:00:00"/>
    <s v="MUHAMMAD ANAS"/>
    <s v="SUZUKI-GD-110S"/>
    <n v="14960"/>
    <n v="12466"/>
    <m/>
    <m/>
    <m/>
    <m/>
    <s v="146650"/>
    <d v="2024-08-19T00:00:00"/>
    <s v="MOTORCYCLE  COMPREHENSIVE"/>
    <n v="352000"/>
    <n v="1869.9"/>
    <n v="124.66"/>
    <n v="500"/>
  </r>
  <r>
    <s v="KHI/HO/D/MO/MC COMP/P/95505/08/2024"/>
    <m/>
    <x v="1"/>
    <d v="2025-08-20T00:00:00"/>
    <d v="2026-08-20T00:00:00"/>
    <s v="MUHAMMAD ANAS"/>
    <s v="SUZUKI-GD-110S"/>
    <n v="14960"/>
    <n v="12466"/>
    <m/>
    <m/>
    <m/>
    <m/>
    <s v="146650"/>
    <d v="2024-08-19T00:00:00"/>
    <s v="MOTORCYCLE  COMPREHENSIVE"/>
    <n v="352000"/>
    <n v="1869.9"/>
    <n v="124.66"/>
    <n v="500"/>
  </r>
  <r>
    <s v="KHI/HO/D/MO/MC COMP/P/95506/08/2024"/>
    <m/>
    <x v="0"/>
    <d v="2024-08-19T00:00:00"/>
    <d v="2025-08-19T00:00:00"/>
    <s v="MUHAMMAD HASSAN ANEES"/>
    <s v="SUZUKI-GD-110S"/>
    <n v="14960"/>
    <n v="12466"/>
    <m/>
    <m/>
    <m/>
    <m/>
    <s v="146851"/>
    <d v="2024-08-19T00:00:00"/>
    <s v="MOTORCYCLE  COMPREHENSIVE"/>
    <n v="352000"/>
    <n v="1869.9"/>
    <n v="124.66"/>
    <n v="500"/>
  </r>
  <r>
    <s v="KHI/HO/D/MO/MC COMP/P/95507/08/2024"/>
    <m/>
    <x v="22"/>
    <d v="2024-08-19T00:00:00"/>
    <d v="2025-08-19T00:00:00"/>
    <s v="KASHIF BOOTA"/>
    <s v="SUZUKI-GS 150"/>
    <n v="9550"/>
    <n v="7802"/>
    <m/>
    <m/>
    <m/>
    <m/>
    <s v="30091983"/>
    <d v="2024-08-19T00:00:00"/>
    <s v="MOTORCYCLE  COMPREHENSIVE"/>
    <n v="382000"/>
    <n v="1170.3"/>
    <n v="78.02"/>
    <n v="500"/>
  </r>
  <r>
    <s v="KHI/HO/D/MO/MC COMP/P/95508/08/2024"/>
    <m/>
    <x v="22"/>
    <d v="2024-08-19T00:00:00"/>
    <d v="2025-08-19T00:00:00"/>
    <s v="KASHIF BOOTA"/>
    <s v="SUZUKI-GS 150"/>
    <n v="9550"/>
    <n v="7802"/>
    <m/>
    <m/>
    <m/>
    <m/>
    <s v="30091983"/>
    <d v="2024-08-19T00:00:00"/>
    <s v="MOTORCYCLE  COMPREHENSIVE"/>
    <n v="382000"/>
    <n v="1170.3"/>
    <n v="78.02"/>
    <n v="500"/>
  </r>
  <r>
    <s v="KHI/HO/D/MO/MC COMP/P/95509/08/2024"/>
    <m/>
    <x v="0"/>
    <d v="2024-08-19T00:00:00"/>
    <d v="2025-08-19T00:00:00"/>
    <s v="ANAS BIN TARIQ"/>
    <s v="SUZUKI-GD-110S"/>
    <n v="14960"/>
    <n v="12466"/>
    <m/>
    <m/>
    <m/>
    <m/>
    <s v="146855"/>
    <d v="2024-08-19T00:00:00"/>
    <s v="MOTORCYCLE  COMPREHENSIVE"/>
    <n v="352000"/>
    <n v="1869.9"/>
    <n v="124.66"/>
    <n v="500"/>
  </r>
  <r>
    <s v="KHI/HO/D/MO/MC COMP/P/95510/08/2024"/>
    <m/>
    <x v="0"/>
    <d v="2025-08-20T00:00:00"/>
    <d v="2026-08-20T00:00:00"/>
    <s v="ANAS BIN TARIQ"/>
    <s v="SUZUKI-GD-110S"/>
    <n v="14960"/>
    <n v="12466"/>
    <m/>
    <m/>
    <m/>
    <m/>
    <s v="146855"/>
    <d v="2024-08-19T00:00:00"/>
    <s v="MOTORCYCLE  COMPREHENSIVE"/>
    <n v="352000"/>
    <n v="1869.9"/>
    <n v="124.66"/>
    <n v="500"/>
  </r>
  <r>
    <s v="KHI/HO/D/MO/MC COMP/P/95511/08/2024"/>
    <m/>
    <x v="22"/>
    <d v="2024-08-19T00:00:00"/>
    <d v="2025-08-19T00:00:00"/>
    <s v="MUHAMMAD ZULFIQAR ALI"/>
    <s v="SUZUKI-GS 150"/>
    <n v="9550"/>
    <n v="7802"/>
    <m/>
    <m/>
    <m/>
    <m/>
    <s v="30091982"/>
    <d v="2024-08-19T00:00:00"/>
    <s v="MOTORCYCLE  COMPREHENSIVE"/>
    <n v="382000"/>
    <n v="1170.3"/>
    <n v="78.02"/>
    <n v="500"/>
  </r>
  <r>
    <s v="KHI/HO/D/MO/MC COMP/P/95512/08/2024"/>
    <m/>
    <x v="22"/>
    <d v="2024-08-19T00:00:00"/>
    <d v="2025-08-19T00:00:00"/>
    <s v="MUHAMMAD ZULFIQAR ALI"/>
    <s v="SUZUKI-GS 150"/>
    <n v="9550"/>
    <n v="7802"/>
    <m/>
    <m/>
    <m/>
    <m/>
    <s v="30091982"/>
    <d v="2024-08-19T00:00:00"/>
    <s v="MOTORCYCLE  COMPREHENSIVE"/>
    <n v="382000"/>
    <n v="1170.3"/>
    <n v="78.02"/>
    <n v="500"/>
  </r>
  <r>
    <s v="KHI/HO/D/MO/MC COMP/P/95514/08/2024"/>
    <m/>
    <x v="22"/>
    <d v="2024-08-19T00:00:00"/>
    <d v="2025-08-19T00:00:00"/>
    <s v="MUHAMMAD WAHEED"/>
    <s v="SUZUKI-GD-110S"/>
    <n v="8800"/>
    <n v="7155"/>
    <m/>
    <m/>
    <m/>
    <m/>
    <s v="146109"/>
    <d v="2024-08-19T00:00:00"/>
    <s v="MOTORCYCLE  COMPREHENSIVE"/>
    <n v="352000"/>
    <n v="1073.25"/>
    <n v="71.55"/>
    <n v="500"/>
  </r>
  <r>
    <s v="KHI/HO/D/MO/MC COMP/P/95520/08/2024"/>
    <m/>
    <x v="11"/>
    <d v="2024-08-19T00:00:00"/>
    <d v="2025-08-19T00:00:00"/>
    <s v="MOIZ"/>
    <s v="SUZUKI-GSX 125"/>
    <n v="21208"/>
    <n v="17852"/>
    <m/>
    <m/>
    <m/>
    <m/>
    <s v="23100338"/>
    <d v="2024-08-19T00:00:00"/>
    <s v="MOTORCYCLE  COMPREHENSIVE"/>
    <n v="499000"/>
    <n v="2677.8"/>
    <n v="178.52"/>
    <n v="500"/>
  </r>
  <r>
    <s v="KHI/HO/D/MO/MC COMP/P/95521/08/2024"/>
    <m/>
    <x v="11"/>
    <d v="2025-08-20T00:00:00"/>
    <d v="2026-08-20T00:00:00"/>
    <s v="MOIZ"/>
    <s v="SUZUKI-GSX 125"/>
    <n v="21208"/>
    <n v="17852"/>
    <m/>
    <m/>
    <m/>
    <m/>
    <s v="23100338"/>
    <d v="2024-08-19T00:00:00"/>
    <s v="MOTORCYCLE  COMPREHENSIVE"/>
    <n v="499000"/>
    <n v="2677.8"/>
    <n v="178.52"/>
    <n v="500"/>
  </r>
  <r>
    <s v="KHI/HO/D/MO/MC COMP/P/95522/08/2024"/>
    <m/>
    <x v="15"/>
    <d v="2024-08-19T00:00:00"/>
    <d v="2025-08-19T00:00:00"/>
    <s v="HAFIZ MUHAMMAD SARMAD"/>
    <s v="SUZUKI-GD-110S"/>
    <n v="8800"/>
    <n v="7155"/>
    <m/>
    <m/>
    <m/>
    <m/>
    <s v="146067"/>
    <d v="2024-08-19T00:00:00"/>
    <s v="MOTORCYCLE  COMPREHENSIVE"/>
    <n v="352000"/>
    <n v="1073.25"/>
    <n v="71.55"/>
    <n v="500"/>
  </r>
  <r>
    <s v="KHI/HO/D/MO/MC COMP/P/95523/08/2024"/>
    <m/>
    <x v="22"/>
    <d v="2024-08-19T00:00:00"/>
    <d v="2025-08-19T00:00:00"/>
    <s v="MAMOON AHMAD"/>
    <s v="SUZUKI-GD-110S"/>
    <n v="8800"/>
    <n v="7155"/>
    <m/>
    <m/>
    <m/>
    <m/>
    <s v="145873"/>
    <d v="2024-08-19T00:00:00"/>
    <s v="MOTORCYCLE  COMPREHENSIVE"/>
    <n v="352000"/>
    <n v="1073.25"/>
    <n v="71.55"/>
    <n v="500"/>
  </r>
  <r>
    <s v="KHI/HO/D/MO/MC COMP/P/95524/08/2024"/>
    <m/>
    <x v="22"/>
    <d v="2024-08-19T00:00:00"/>
    <d v="2025-08-19T00:00:00"/>
    <s v="MAMOON AHMAD"/>
    <s v="SUZUKI-GD-110S"/>
    <n v="8800"/>
    <n v="7155"/>
    <m/>
    <m/>
    <m/>
    <m/>
    <s v="145873"/>
    <d v="2024-08-19T00:00:00"/>
    <s v="MOTORCYCLE  COMPREHENSIVE"/>
    <n v="352000"/>
    <n v="1073.25"/>
    <n v="71.55"/>
    <n v="500"/>
  </r>
  <r>
    <s v="KHI/HO/D/MO/MC COMP/P/95527/08/2024"/>
    <m/>
    <x v="0"/>
    <d v="2024-08-19T00:00:00"/>
    <d v="2025-08-19T00:00:00"/>
    <s v="IFTEKHAR ALI"/>
    <s v="SUZUKI-GD-110S"/>
    <n v="14960"/>
    <n v="12466"/>
    <m/>
    <m/>
    <m/>
    <m/>
    <s v="146669"/>
    <d v="2024-08-19T00:00:00"/>
    <s v="MOTORCYCLE  COMPREHENSIVE"/>
    <n v="352000"/>
    <n v="1869.9"/>
    <n v="124.66"/>
    <n v="500"/>
  </r>
  <r>
    <s v="KHI/HO/D/MO/MC COMP/P/95528/08/2024"/>
    <m/>
    <x v="0"/>
    <d v="2025-08-20T00:00:00"/>
    <d v="2026-08-20T00:00:00"/>
    <s v="IFTEKHAR ALI"/>
    <s v="SUZUKI-GD-110S"/>
    <n v="14960"/>
    <n v="12466"/>
    <m/>
    <m/>
    <m/>
    <m/>
    <s v="146669"/>
    <d v="2024-08-19T00:00:00"/>
    <s v="MOTORCYCLE  COMPREHENSIVE"/>
    <n v="352000"/>
    <n v="1869.9"/>
    <n v="124.66"/>
    <n v="500"/>
  </r>
  <r>
    <s v="KHI/HO/D/MO/MC COMP/P/95529/08/2024"/>
    <m/>
    <x v="22"/>
    <d v="2024-08-19T00:00:00"/>
    <d v="2025-08-19T00:00:00"/>
    <s v="HABIB AHMAD"/>
    <s v="SUZUKI-GS 150"/>
    <n v="9550"/>
    <n v="7802"/>
    <m/>
    <m/>
    <m/>
    <m/>
    <s v="30091988"/>
    <d v="2024-08-19T00:00:00"/>
    <s v="MOTORCYCLE  COMPREHENSIVE"/>
    <n v="382000"/>
    <n v="1170.3"/>
    <n v="78.02"/>
    <n v="500"/>
  </r>
  <r>
    <s v="KHI/HO/D/MO/MC COMP/P/95530/08/2024"/>
    <m/>
    <x v="22"/>
    <d v="2024-08-19T00:00:00"/>
    <d v="2025-08-19T00:00:00"/>
    <s v="HABIB AHMAD"/>
    <s v="SUZUKI-GS 150"/>
    <n v="9550"/>
    <n v="7802"/>
    <m/>
    <m/>
    <m/>
    <m/>
    <s v="30091988"/>
    <d v="2024-08-19T00:00:00"/>
    <s v="MOTORCYCLE  COMPREHENSIVE"/>
    <n v="382000"/>
    <n v="1170.3"/>
    <n v="78.02"/>
    <n v="500"/>
  </r>
  <r>
    <s v="KHI/HO/D/MO/MC COMP/P/95532/08/2024"/>
    <m/>
    <x v="22"/>
    <d v="2024-08-19T00:00:00"/>
    <d v="2025-08-19T00:00:00"/>
    <s v="AHTESHAM NOOR"/>
    <s v="SUZUKI-GD-110S"/>
    <n v="8800"/>
    <n v="7155"/>
    <m/>
    <m/>
    <m/>
    <m/>
    <s v="145466"/>
    <d v="2024-08-19T00:00:00"/>
    <s v="MOTORCYCLE  COMPREHENSIVE"/>
    <n v="352000"/>
    <n v="1073.25"/>
    <n v="71.55"/>
    <n v="500"/>
  </r>
  <r>
    <s v="KHI/HO/D/MO/MC COMP/P/95533/08/2024"/>
    <m/>
    <x v="22"/>
    <d v="2024-08-19T00:00:00"/>
    <d v="2025-08-19T00:00:00"/>
    <s v="ZEESHAN MAHMOOD"/>
    <s v="SUZUKI-GD-110S"/>
    <n v="8800"/>
    <n v="7155"/>
    <m/>
    <m/>
    <m/>
    <m/>
    <s v="145128"/>
    <d v="2024-08-19T00:00:00"/>
    <s v="MOTORCYCLE  COMPREHENSIVE"/>
    <n v="352000"/>
    <n v="1073.25"/>
    <n v="71.55"/>
    <n v="500"/>
  </r>
  <r>
    <s v="KHI/HO/D/MO/MC COMP/P/95534/08/2024"/>
    <m/>
    <x v="22"/>
    <d v="2024-08-19T00:00:00"/>
    <d v="2025-08-19T00:00:00"/>
    <s v="MATEE U REHMAN"/>
    <s v="SUZUKI-GD-110S"/>
    <n v="8800"/>
    <n v="7155"/>
    <m/>
    <m/>
    <m/>
    <m/>
    <s v="145449"/>
    <d v="2024-08-19T00:00:00"/>
    <s v="MOTORCYCLE  COMPREHENSIVE"/>
    <n v="352000"/>
    <n v="1073.25"/>
    <n v="71.55"/>
    <n v="500"/>
  </r>
  <r>
    <s v="KHI/HO/D/MO/MC COMP/P/95537/08/2024"/>
    <m/>
    <x v="12"/>
    <d v="2024-08-19T00:00:00"/>
    <d v="2025-08-19T00:00:00"/>
    <s v="MEHBOOB UR REHMAN"/>
    <s v="SUZUKI-GD-110S"/>
    <n v="14960"/>
    <n v="12466"/>
    <m/>
    <m/>
    <m/>
    <m/>
    <s v="146619"/>
    <d v="2024-08-19T00:00:00"/>
    <s v="MOTORCYCLE  COMPREHENSIVE"/>
    <n v="352000"/>
    <n v="1869.9"/>
    <n v="124.66"/>
    <n v="500"/>
  </r>
  <r>
    <s v="KHI/HO/D/MO/MC COMP/P/95538/08/2024"/>
    <m/>
    <x v="12"/>
    <d v="2025-08-20T00:00:00"/>
    <d v="2026-08-20T00:00:00"/>
    <s v="MEHBOOB UR REHMAN"/>
    <s v="SUZUKI-GD-110S"/>
    <n v="14960"/>
    <n v="12466"/>
    <m/>
    <m/>
    <m/>
    <m/>
    <s v="146619"/>
    <d v="2024-08-19T00:00:00"/>
    <s v="MOTORCYCLE  COMPREHENSIVE"/>
    <n v="352000"/>
    <n v="1869.9"/>
    <n v="124.66"/>
    <n v="500"/>
  </r>
  <r>
    <s v="KHI/HO/D/MO/MC COMP/P/95541/08/2024"/>
    <m/>
    <x v="22"/>
    <d v="2024-08-19T00:00:00"/>
    <d v="2025-08-19T00:00:00"/>
    <s v="MUHAMMAD FAYYAZ"/>
    <s v="SUZUKI-GD-110S"/>
    <n v="8800"/>
    <n v="7155"/>
    <m/>
    <m/>
    <m/>
    <m/>
    <s v="145444"/>
    <d v="2024-08-19T00:00:00"/>
    <s v="MOTORCYCLE  COMPREHENSIVE"/>
    <n v="352000"/>
    <n v="1073.25"/>
    <n v="71.55"/>
    <n v="500"/>
  </r>
  <r>
    <s v="KHI/HO/D/MO/MC COMP/P/95542/08/2024"/>
    <m/>
    <x v="0"/>
    <d v="2024-08-19T00:00:00"/>
    <d v="2025-08-19T00:00:00"/>
    <s v="S M ALEEM UR REHMAN"/>
    <s v="SUZUKI-GR150 EURO II"/>
    <n v="23248"/>
    <n v="19610"/>
    <m/>
    <m/>
    <m/>
    <m/>
    <s v="113463"/>
    <d v="2024-08-19T00:00:00"/>
    <s v="MOTORCYCLE  COMPREHENSIVE"/>
    <n v="547000"/>
    <n v="2941.5"/>
    <n v="196.1"/>
    <n v="500"/>
  </r>
  <r>
    <s v="KHI/HO/D/MO/MC COMP/P/95543/08/2024"/>
    <m/>
    <x v="0"/>
    <d v="2025-08-20T00:00:00"/>
    <d v="2026-08-20T00:00:00"/>
    <s v="S M ALEEM UR REHMAN"/>
    <s v="SUZUKI-GR150 EURO II"/>
    <n v="23248"/>
    <n v="19610"/>
    <m/>
    <m/>
    <m/>
    <m/>
    <s v="113463"/>
    <d v="2024-08-19T00:00:00"/>
    <s v="MOTORCYCLE  COMPREHENSIVE"/>
    <n v="547000"/>
    <n v="2941.5"/>
    <n v="196.1"/>
    <n v="500"/>
  </r>
  <r>
    <s v="KHI/HO/D/MO/MC COMP/P/95549/08/2024"/>
    <m/>
    <x v="22"/>
    <d v="2024-08-19T00:00:00"/>
    <d v="2025-08-19T00:00:00"/>
    <s v="USMAN MAHMOOD"/>
    <s v="SUZUKI-GS 150"/>
    <n v="9550"/>
    <n v="7802"/>
    <m/>
    <m/>
    <m/>
    <m/>
    <s v="30092046"/>
    <d v="2024-08-19T00:00:00"/>
    <s v="MOTORCYCLE  COMPREHENSIVE"/>
    <n v="382000"/>
    <n v="1170.3"/>
    <n v="78.02"/>
    <n v="500"/>
  </r>
  <r>
    <s v="KHI/HO/D/MO/MC COMP/P/95550/08/2024"/>
    <m/>
    <x v="22"/>
    <d v="2024-08-19T00:00:00"/>
    <d v="2025-08-19T00:00:00"/>
    <s v="USMAN MAHMOOD"/>
    <s v="SUZUKI-GS 150"/>
    <n v="9550"/>
    <n v="7802"/>
    <m/>
    <m/>
    <m/>
    <m/>
    <s v="30092046"/>
    <d v="2024-08-19T00:00:00"/>
    <s v="MOTORCYCLE  COMPREHENSIVE"/>
    <n v="382000"/>
    <n v="1170.3"/>
    <n v="78.02"/>
    <n v="500"/>
  </r>
  <r>
    <s v="KHI/HO/D/MO/MC COMP/P/95551/08/2024"/>
    <m/>
    <x v="0"/>
    <d v="2024-08-19T00:00:00"/>
    <d v="2025-08-19T00:00:00"/>
    <s v="SIKANDAR HAYAT"/>
    <s v="SUZUKI-GR150 EURO II"/>
    <n v="23248"/>
    <n v="19610"/>
    <m/>
    <m/>
    <m/>
    <m/>
    <s v="113532"/>
    <d v="2024-08-19T00:00:00"/>
    <s v="MOTORCYCLE  COMPREHENSIVE"/>
    <n v="547000"/>
    <n v="2941.5"/>
    <n v="196.1"/>
    <n v="500"/>
  </r>
  <r>
    <s v="KHI/HO/D/MO/MC COMP/P/95552/08/2024"/>
    <m/>
    <x v="0"/>
    <d v="2025-08-20T00:00:00"/>
    <d v="2026-08-20T00:00:00"/>
    <s v="SIKANDAR HAYAT"/>
    <s v="SUZUKI-GR150 EURO II"/>
    <n v="23248"/>
    <n v="19610"/>
    <m/>
    <m/>
    <m/>
    <m/>
    <s v="113532"/>
    <d v="2024-08-19T00:00:00"/>
    <s v="MOTORCYCLE  COMPREHENSIVE"/>
    <n v="547000"/>
    <n v="2941.5"/>
    <n v="196.1"/>
    <n v="500"/>
  </r>
  <r>
    <s v="KHI/HO/D/MO/MC COMP/P/95553/08/2024"/>
    <m/>
    <x v="1"/>
    <d v="2024-08-19T00:00:00"/>
    <d v="2025-08-19T00:00:00"/>
    <s v="MUHAMMAD USAMA"/>
    <s v="SUZUKI-GD-110S"/>
    <n v="14960"/>
    <n v="12466"/>
    <m/>
    <m/>
    <m/>
    <m/>
    <s v="147174"/>
    <d v="2024-08-19T00:00:00"/>
    <s v="MOTORCYCLE  COMPREHENSIVE"/>
    <n v="352000"/>
    <n v="1869.9"/>
    <n v="124.66"/>
    <n v="500"/>
  </r>
  <r>
    <s v="KHI/HO/D/MO/MC COMP/P/95554/08/2024"/>
    <m/>
    <x v="9"/>
    <d v="2024-08-19T00:00:00"/>
    <d v="2025-08-19T00:00:00"/>
    <s v="ABDUL REHMAN S/O MUHAMMAD INAYAT"/>
    <s v="SUZUKI-GD-110S"/>
    <n v="8800"/>
    <n v="7155"/>
    <m/>
    <m/>
    <m/>
    <m/>
    <s v="145464"/>
    <d v="2024-08-19T00:00:00"/>
    <s v="MOTORCYCLE  COMPREHENSIVE"/>
    <n v="352000"/>
    <n v="1073.25"/>
    <n v="71.55"/>
    <n v="500"/>
  </r>
  <r>
    <s v="KHI/HO/D/MO/MC COMP/P/95555/08/2024"/>
    <m/>
    <x v="22"/>
    <d v="2024-08-19T00:00:00"/>
    <d v="2025-08-19T00:00:00"/>
    <s v="MUHAMMAD ZEESHAN"/>
    <s v="SUZUKI-GSX 125"/>
    <n v="12475"/>
    <n v="10323"/>
    <m/>
    <m/>
    <m/>
    <m/>
    <s v="23102529"/>
    <d v="2024-08-19T00:00:00"/>
    <s v="MOTORCYCLE  COMPREHENSIVE"/>
    <n v="499000"/>
    <n v="1548.45"/>
    <n v="103.23"/>
    <n v="500"/>
  </r>
  <r>
    <s v="KHI/HO/D/MO/MC COMP/P/95558/08/2024"/>
    <m/>
    <x v="3"/>
    <d v="2024-08-19T00:00:00"/>
    <d v="2025-08-19T00:00:00"/>
    <s v="MANZOOR AHMAD"/>
    <s v="SUZUKI-GD-110S"/>
    <n v="8800"/>
    <n v="7155"/>
    <m/>
    <m/>
    <m/>
    <m/>
    <s v="146994"/>
    <d v="2024-08-19T00:00:00"/>
    <s v="MOTORCYCLE  COMPREHENSIVE"/>
    <n v="352000"/>
    <n v="1073.25"/>
    <n v="71.55"/>
    <n v="500"/>
  </r>
  <r>
    <s v="KHI/HO/D/MO/MC COMP/P/95559/08/2024"/>
    <m/>
    <x v="7"/>
    <d v="2024-08-19T00:00:00"/>
    <d v="2025-08-19T00:00:00"/>
    <s v="MUHAMMAD ZAFAR"/>
    <s v="SUZUKI-GS 150"/>
    <n v="16235"/>
    <n v="13565"/>
    <m/>
    <m/>
    <m/>
    <m/>
    <s v="30092625"/>
    <d v="2024-08-19T00:00:00"/>
    <s v="MOTORCYCLE  COMPREHENSIVE"/>
    <n v="382000"/>
    <n v="2034.75"/>
    <n v="135.65"/>
    <n v="500"/>
  </r>
  <r>
    <s v="KHI/HO/D/MO/MC COMP/P/95560/08/2024"/>
    <m/>
    <x v="16"/>
    <d v="2024-08-19T00:00:00"/>
    <d v="2025-08-19T00:00:00"/>
    <s v="Zahid Mehmood"/>
    <s v="SUZUKI-GD-110S"/>
    <n v="14960"/>
    <n v="12466"/>
    <m/>
    <m/>
    <m/>
    <m/>
    <s v="147410"/>
    <d v="2024-08-19T00:00:00"/>
    <s v="MOTORCYCLE  COMPREHENSIVE"/>
    <n v="352000"/>
    <n v="1869.9"/>
    <n v="124.66"/>
    <n v="500"/>
  </r>
  <r>
    <s v="KHI/HO/D/MO/MC COMP/P/95561/08/2024"/>
    <m/>
    <x v="3"/>
    <d v="2024-08-19T00:00:00"/>
    <d v="2025-08-19T00:00:00"/>
    <s v="ANNS FAISAL"/>
    <s v="SUZUKI-GR150 EURO II"/>
    <n v="13675"/>
    <n v="11358"/>
    <m/>
    <m/>
    <m/>
    <m/>
    <s v="113484"/>
    <d v="2024-08-19T00:00:00"/>
    <s v="MOTORCYCLE  COMPREHENSIVE"/>
    <n v="547000"/>
    <n v="1703.7"/>
    <n v="113.58"/>
    <n v="500"/>
  </r>
  <r>
    <s v="KHI/HO/D/MO/MC COMP/P/95562/08/2024"/>
    <m/>
    <x v="16"/>
    <d v="2024-08-19T00:00:00"/>
    <d v="2025-08-19T00:00:00"/>
    <s v="Muhammad Farhan"/>
    <s v="SUZUKI-GD-110S"/>
    <n v="14960"/>
    <n v="12466"/>
    <m/>
    <m/>
    <m/>
    <m/>
    <s v="147406"/>
    <d v="2024-08-19T00:00:00"/>
    <s v="MOTORCYCLE  COMPREHENSIVE"/>
    <n v="352000"/>
    <n v="1869.9"/>
    <n v="124.66"/>
    <n v="500"/>
  </r>
  <r>
    <s v="KHI/HO/D/MO/MC COMP/P/95563/08/2024"/>
    <m/>
    <x v="0"/>
    <d v="2024-08-19T00:00:00"/>
    <d v="2025-08-19T00:00:00"/>
    <s v="MUHAMMAD MUNEER"/>
    <s v="SUZUKI-GD-110S"/>
    <n v="14960"/>
    <n v="12466"/>
    <m/>
    <m/>
    <m/>
    <m/>
    <s v="145848"/>
    <d v="2024-08-19T00:00:00"/>
    <s v="MOTORCYCLE  COMPREHENSIVE"/>
    <n v="352000"/>
    <n v="1869.9"/>
    <n v="124.66"/>
    <n v="500"/>
  </r>
  <r>
    <s v="KHI/HO/D/MO/MC COMP/P/95564/08/2024"/>
    <m/>
    <x v="0"/>
    <d v="2025-08-20T00:00:00"/>
    <d v="2026-08-20T00:00:00"/>
    <s v="MUHAMMAD MUNEER"/>
    <s v="SUZUKI-GD-110S"/>
    <n v="14960"/>
    <n v="12466"/>
    <m/>
    <m/>
    <m/>
    <m/>
    <s v="145848"/>
    <d v="2024-08-19T00:00:00"/>
    <s v="MOTORCYCLE  COMPREHENSIVE"/>
    <n v="352000"/>
    <n v="1869.9"/>
    <n v="124.66"/>
    <n v="500"/>
  </r>
  <r>
    <s v="KHI/HO/D/MO/MC COMP/P/95566/08/2024"/>
    <m/>
    <x v="15"/>
    <d v="2024-08-19T00:00:00"/>
    <d v="2025-08-19T00:00:00"/>
    <s v="NOOR ALAM MEHROZE KHAN"/>
    <s v="SUZUKI-GS 150"/>
    <n v="9550"/>
    <n v="7802"/>
    <m/>
    <m/>
    <m/>
    <m/>
    <s v="30092476"/>
    <d v="2024-08-19T00:00:00"/>
    <s v="MOTORCYCLE  COMPREHENSIVE"/>
    <n v="382000"/>
    <n v="1170.3"/>
    <n v="78.02"/>
    <n v="500"/>
  </r>
  <r>
    <s v="KHI/HO/D/MO/MC COMP/P/95588/08/2024"/>
    <m/>
    <x v="12"/>
    <d v="2024-08-20T00:00:00"/>
    <d v="2025-08-20T00:00:00"/>
    <s v="ABDUL RAFAY"/>
    <s v="SUZUKI-GD-110S"/>
    <n v="14960"/>
    <n v="12466"/>
    <m/>
    <m/>
    <m/>
    <m/>
    <s v="147071"/>
    <d v="2024-08-20T00:00:00"/>
    <s v="MOTORCYCLE  COMPREHENSIVE"/>
    <n v="352000"/>
    <n v="1869.9"/>
    <n v="124.66"/>
    <n v="500"/>
  </r>
  <r>
    <s v="KHI/HO/D/MO/MC COMP/P/95589/08/2024"/>
    <m/>
    <x v="12"/>
    <d v="2025-08-21T00:00:00"/>
    <d v="2026-08-21T00:00:00"/>
    <s v="ABDUL RAFAY"/>
    <s v="SUZUKI-GD-110S"/>
    <n v="14960"/>
    <n v="12466"/>
    <m/>
    <m/>
    <m/>
    <m/>
    <s v="147071"/>
    <d v="2024-08-20T00:00:00"/>
    <s v="MOTORCYCLE  COMPREHENSIVE"/>
    <n v="352000"/>
    <n v="1869.9"/>
    <n v="124.66"/>
    <n v="500"/>
  </r>
  <r>
    <s v="KHI/HO/D/MO/MC COMP/P/95608/08/2024"/>
    <m/>
    <x v="26"/>
    <d v="2024-08-20T00:00:00"/>
    <d v="2025-08-20T00:00:00"/>
    <s v="MUHAMMAD HAMZA SHOAIB"/>
    <s v="SUZUKI-GD-110S"/>
    <n v="8800"/>
    <n v="7155"/>
    <m/>
    <m/>
    <m/>
    <m/>
    <s v="E487-146216"/>
    <d v="2024-08-20T00:00:00"/>
    <s v="MOTORCYCLE  COMPREHENSIVE"/>
    <n v="352000"/>
    <n v="1073.25"/>
    <n v="71.55"/>
    <n v="500"/>
  </r>
  <r>
    <s v="KHI/HO/D/MO/MC COMP/P/95613/08/2024"/>
    <m/>
    <x v="3"/>
    <d v="2024-08-20T00:00:00"/>
    <d v="2025-08-20T00:00:00"/>
    <s v="HAMID ALI"/>
    <s v="SUZUKI-GR150 EURO II"/>
    <n v="13675"/>
    <n v="11358"/>
    <m/>
    <m/>
    <m/>
    <m/>
    <s v="113486"/>
    <d v="2024-08-20T00:00:00"/>
    <s v="MOTORCYCLE  COMPREHENSIVE"/>
    <n v="547000"/>
    <n v="1703.7"/>
    <n v="113.58"/>
    <n v="500"/>
  </r>
  <r>
    <s v="KHI/HO/D/MO/MC COMP/P/95615/08/2024"/>
    <m/>
    <x v="26"/>
    <d v="2024-08-20T00:00:00"/>
    <d v="2025-08-20T00:00:00"/>
    <s v="SUNAIN SHEIKH"/>
    <s v="SUZUKI-GS 150"/>
    <n v="9550"/>
    <n v="7802"/>
    <m/>
    <m/>
    <m/>
    <m/>
    <s v="PKG30092448"/>
    <d v="2024-08-20T00:00:00"/>
    <s v="MOTORCYCLE  COMPREHENSIVE"/>
    <n v="382000"/>
    <n v="1170.3"/>
    <n v="78.02"/>
    <n v="500"/>
  </r>
  <r>
    <s v="KHI/HO/D/MO/MC COMP/P/95616/08/2024"/>
    <m/>
    <x v="26"/>
    <d v="2024-08-20T00:00:00"/>
    <d v="2025-08-20T00:00:00"/>
    <s v="MUHAMMAD UBAID AHMED"/>
    <s v="SUZUKI-GS 150"/>
    <n v="9550"/>
    <n v="7802"/>
    <m/>
    <m/>
    <m/>
    <m/>
    <s v="PKG30092123"/>
    <d v="2024-08-20T00:00:00"/>
    <s v="MOTORCYCLE  COMPREHENSIVE"/>
    <n v="382000"/>
    <n v="1170.3"/>
    <n v="78.02"/>
    <n v="500"/>
  </r>
  <r>
    <s v="KHI/HO/D/MO/MC COMP/P/95618/08/2024"/>
    <m/>
    <x v="11"/>
    <d v="2024-08-20T00:00:00"/>
    <d v="2025-08-20T00:00:00"/>
    <s v="ABDUL SAMI"/>
    <s v="SUZUKI-GD-110S"/>
    <n v="23248"/>
    <n v="19610"/>
    <m/>
    <m/>
    <m/>
    <m/>
    <s v="113550"/>
    <d v="2024-08-20T00:00:00"/>
    <s v="MOTORCYCLE  COMPREHENSIVE"/>
    <n v="547000"/>
    <n v="2941.5"/>
    <n v="196.1"/>
    <n v="500"/>
  </r>
  <r>
    <s v="KHI/HO/D/MO/MC COMP/P/95619/08/2024"/>
    <m/>
    <x v="11"/>
    <d v="2025-08-21T00:00:00"/>
    <d v="2026-08-21T00:00:00"/>
    <s v="ABDUL SAMI"/>
    <s v="SUZUKI-GD-110S"/>
    <n v="23248"/>
    <n v="19610"/>
    <m/>
    <m/>
    <m/>
    <m/>
    <s v="113550"/>
    <d v="2024-08-20T00:00:00"/>
    <s v="MOTORCYCLE  COMPREHENSIVE"/>
    <n v="547000"/>
    <n v="2941.5"/>
    <n v="196.1"/>
    <n v="500"/>
  </r>
  <r>
    <s v="KHI/HO/D/MO/MC COMP/P/95620/08/2024"/>
    <m/>
    <x v="19"/>
    <d v="2024-08-20T00:00:00"/>
    <d v="2025-08-20T00:00:00"/>
    <s v="BILAL AHMED"/>
    <s v="SUZUKI-GD-110S"/>
    <n v="8800"/>
    <n v="7155"/>
    <m/>
    <m/>
    <m/>
    <m/>
    <s v="145827"/>
    <d v="2024-08-20T00:00:00"/>
    <s v="MOTORCYCLE  COMPREHENSIVE"/>
    <n v="352000"/>
    <n v="1073.25"/>
    <n v="71.55"/>
    <n v="500"/>
  </r>
  <r>
    <s v="KHI/HO/D/MO/MC COMP/P/95622/08/2024"/>
    <m/>
    <x v="3"/>
    <d v="2024-08-20T00:00:00"/>
    <d v="2025-08-20T00:00:00"/>
    <s v="MUHAMMAD NAEEM"/>
    <s v="SUZUKI-GD-110S"/>
    <n v="8800"/>
    <n v="7155"/>
    <m/>
    <m/>
    <m/>
    <m/>
    <s v="146464"/>
    <d v="2024-08-20T00:00:00"/>
    <s v="MOTORCYCLE  COMPREHENSIVE"/>
    <n v="352000"/>
    <n v="1073.25"/>
    <n v="71.55"/>
    <n v="500"/>
  </r>
  <r>
    <s v="KHI/HO/D/MO/MC COMP/P/95623/08/2024"/>
    <m/>
    <x v="19"/>
    <d v="2024-08-20T00:00:00"/>
    <d v="2025-08-20T00:00:00"/>
    <s v="MAQSOOD AHMED"/>
    <s v="SUZUKI-GD-110S"/>
    <n v="8800"/>
    <n v="7155"/>
    <m/>
    <m/>
    <m/>
    <m/>
    <s v="145899"/>
    <d v="2024-08-20T00:00:00"/>
    <s v="MOTORCYCLE  COMPREHENSIVE"/>
    <n v="352000"/>
    <n v="1073.25"/>
    <n v="71.55"/>
    <n v="500"/>
  </r>
  <r>
    <s v="KHI/HO/D/MO/MC COMP/P/95624/08/2024"/>
    <m/>
    <x v="3"/>
    <d v="2024-08-20T00:00:00"/>
    <d v="2025-08-20T00:00:00"/>
    <s v="ALTAF HUSSAIN"/>
    <s v="SUZUKI-GD-110S"/>
    <n v="8800"/>
    <n v="7155"/>
    <m/>
    <m/>
    <m/>
    <m/>
    <s v="146990"/>
    <d v="2024-08-20T00:00:00"/>
    <s v="MOTORCYCLE  COMPREHENSIVE"/>
    <n v="352000"/>
    <n v="1073.25"/>
    <n v="71.55"/>
    <n v="500"/>
  </r>
  <r>
    <s v="KHI/HO/D/MO/MC COMP/P/95625/08/2024"/>
    <m/>
    <x v="19"/>
    <d v="2024-08-20T00:00:00"/>
    <d v="2025-08-20T00:00:00"/>
    <s v="ATHER JAVED"/>
    <s v="SUZUKI-GD-110S"/>
    <n v="8800"/>
    <n v="7155"/>
    <m/>
    <m/>
    <m/>
    <m/>
    <s v="146278"/>
    <d v="2024-08-20T00:00:00"/>
    <s v="MOTORCYCLE  COMPREHENSIVE"/>
    <n v="352000"/>
    <n v="1073.25"/>
    <n v="71.55"/>
    <n v="500"/>
  </r>
  <r>
    <s v="KHI/HO/D/MO/MC COMP/P/95627/08/2024"/>
    <m/>
    <x v="19"/>
    <d v="2024-08-20T00:00:00"/>
    <d v="2025-08-20T00:00:00"/>
    <s v="NASEER AHMED SULEHEIA"/>
    <s v="SUZUKI-GD-110S"/>
    <n v="8800"/>
    <n v="7155"/>
    <m/>
    <m/>
    <m/>
    <m/>
    <s v="146256"/>
    <d v="2024-08-20T00:00:00"/>
    <s v="MOTORCYCLE  COMPREHENSIVE"/>
    <n v="352000"/>
    <n v="1073.25"/>
    <n v="71.55"/>
    <n v="500"/>
  </r>
  <r>
    <s v="KHI/HO/D/MO/MC COMP/P/95628/08/2024"/>
    <m/>
    <x v="19"/>
    <d v="2024-08-20T00:00:00"/>
    <d v="2025-08-20T00:00:00"/>
    <s v="MUHAMMAD SALEEM"/>
    <s v="SUZUKI-GD-110S"/>
    <n v="8800"/>
    <n v="7155"/>
    <m/>
    <m/>
    <m/>
    <m/>
    <s v="146288"/>
    <d v="2024-08-20T00:00:00"/>
    <s v="MOTORCYCLE  COMPREHENSIVE"/>
    <n v="352000"/>
    <n v="1073.25"/>
    <n v="71.55"/>
    <n v="500"/>
  </r>
  <r>
    <s v="KHI/HO/D/MO/MC COMP/P/95630/08/2024"/>
    <m/>
    <x v="19"/>
    <d v="2024-08-20T00:00:00"/>
    <d v="2025-08-20T00:00:00"/>
    <s v="SYED ZAHEER UL HASSAN"/>
    <s v="SUZUKI-GD-110S"/>
    <n v="8800"/>
    <n v="7155"/>
    <m/>
    <m/>
    <m/>
    <m/>
    <s v="146143"/>
    <d v="2024-08-20T00:00:00"/>
    <s v="MOTORCYCLE  COMPREHENSIVE"/>
    <n v="352000"/>
    <n v="1073.25"/>
    <n v="71.55"/>
    <n v="500"/>
  </r>
  <r>
    <s v="KHI/HO/D/MO/MC COMP/P/95631/08/2024"/>
    <m/>
    <x v="19"/>
    <d v="2024-08-20T00:00:00"/>
    <d v="2025-08-20T00:00:00"/>
    <s v="QAISAR MEHMOOD"/>
    <s v="SUZUKI-GD-110S"/>
    <n v="8800"/>
    <n v="7155"/>
    <m/>
    <m/>
    <m/>
    <m/>
    <s v="145699"/>
    <d v="2024-08-20T00:00:00"/>
    <s v="MOTORCYCLE  COMPREHENSIVE"/>
    <n v="352000"/>
    <n v="1073.25"/>
    <n v="71.55"/>
    <n v="500"/>
  </r>
  <r>
    <s v="KHI/HO/D/MO/MC COMP/P/95632/08/2024"/>
    <m/>
    <x v="15"/>
    <d v="2024-08-20T00:00:00"/>
    <d v="2025-08-20T00:00:00"/>
    <s v="MUHAMMAD SHAFIQ KHAN"/>
    <s v="SUZUKI-GS 150"/>
    <n v="9550"/>
    <n v="7802"/>
    <m/>
    <m/>
    <m/>
    <m/>
    <s v="30092049"/>
    <d v="2024-08-20T00:00:00"/>
    <s v="MOTORCYCLE  COMPREHENSIVE"/>
    <n v="382000"/>
    <n v="1170.3"/>
    <n v="78.02"/>
    <n v="500"/>
  </r>
  <r>
    <s v="KHI/HO/D/MO/MC COMP/P/95633/08/2024"/>
    <m/>
    <x v="19"/>
    <d v="2024-08-20T00:00:00"/>
    <d v="2025-08-20T00:00:00"/>
    <s v="AHMAD IKRAM"/>
    <s v="SUZUKI-GD-110S"/>
    <n v="8800"/>
    <n v="7155"/>
    <m/>
    <m/>
    <m/>
    <m/>
    <s v="146238"/>
    <d v="2024-08-20T00:00:00"/>
    <s v="MOTORCYCLE  COMPREHENSIVE"/>
    <n v="352000"/>
    <n v="1073.25"/>
    <n v="71.55"/>
    <n v="500"/>
  </r>
  <r>
    <s v="KHI/HO/D/MO/MC COMP/P/95634/08/2024"/>
    <m/>
    <x v="15"/>
    <d v="2024-08-20T00:00:00"/>
    <d v="2025-08-20T00:00:00"/>
    <s v="KASHIF WAHEED ABBASI"/>
    <s v="SUZUKI-GD-110S"/>
    <n v="8800"/>
    <n v="7155"/>
    <m/>
    <m/>
    <m/>
    <m/>
    <s v="147400"/>
    <d v="2024-08-20T00:00:00"/>
    <s v="MOTORCYCLE  COMPREHENSIVE"/>
    <n v="352000"/>
    <n v="1073.25"/>
    <n v="71.55"/>
    <n v="500"/>
  </r>
  <r>
    <s v="KHI/HO/D/MO/MC COMP/P/95635/08/2024"/>
    <m/>
    <x v="19"/>
    <d v="2024-08-20T00:00:00"/>
    <d v="2025-08-20T00:00:00"/>
    <s v="ZAFAR IQBAL"/>
    <s v="SUZUKI-GD-110S"/>
    <n v="8800"/>
    <n v="7155"/>
    <m/>
    <m/>
    <m/>
    <m/>
    <s v="145904"/>
    <d v="2024-08-20T00:00:00"/>
    <s v="MOTORCYCLE  COMPREHENSIVE"/>
    <n v="352000"/>
    <n v="1073.25"/>
    <n v="71.55"/>
    <n v="500"/>
  </r>
  <r>
    <s v="KHI/HO/D/MO/MC COMP/P/95652/08/2024"/>
    <m/>
    <x v="0"/>
    <d v="2024-08-21T00:00:00"/>
    <d v="2025-08-21T00:00:00"/>
    <s v="AHSAN AHMED"/>
    <s v="SUZUKI-GD-110S"/>
    <n v="14960"/>
    <n v="12466"/>
    <m/>
    <m/>
    <m/>
    <m/>
    <s v="146554"/>
    <d v="2024-08-21T00:00:00"/>
    <s v="MOTORCYCLE  COMPREHENSIVE"/>
    <n v="352000"/>
    <n v="1869.9"/>
    <n v="124.66"/>
    <n v="500"/>
  </r>
  <r>
    <s v="KHI/HO/D/MO/MC COMP/P/95653/08/2024"/>
    <m/>
    <x v="0"/>
    <d v="2025-08-22T00:00:00"/>
    <d v="2026-08-22T00:00:00"/>
    <s v="AHSAN AHMED"/>
    <s v="SUZUKI-GD-110S"/>
    <n v="14960"/>
    <n v="12466"/>
    <m/>
    <m/>
    <m/>
    <m/>
    <s v="146554"/>
    <d v="2024-08-21T00:00:00"/>
    <s v="MOTORCYCLE  COMPREHENSIVE"/>
    <n v="352000"/>
    <n v="1869.9"/>
    <n v="124.66"/>
    <n v="500"/>
  </r>
  <r>
    <s v="KHI/HO/D/MO/MC COMP/P/95654/08/2024"/>
    <m/>
    <x v="21"/>
    <d v="2024-08-21T00:00:00"/>
    <d v="2025-08-21T00:00:00"/>
    <s v="MUHAMMAD JUNAID"/>
    <s v="SUZUKI-GR150 EURO II"/>
    <n v="13675"/>
    <n v="11358"/>
    <m/>
    <m/>
    <m/>
    <m/>
    <s v="113306"/>
    <d v="2024-08-21T00:00:00"/>
    <s v="MOTORCYCLE  COMPREHENSIVE"/>
    <n v="547000"/>
    <n v="1703.7"/>
    <n v="113.58"/>
    <n v="500"/>
  </r>
  <r>
    <s v="KHI/HO/D/MO/MC COMP/P/95655/08/2024"/>
    <m/>
    <x v="0"/>
    <d v="2024-08-21T00:00:00"/>
    <d v="2025-08-21T00:00:00"/>
    <s v="IRFAN UDDIN AHMED KHAN"/>
    <s v="SUZUKI-GS 150"/>
    <n v="16235"/>
    <n v="13565"/>
    <m/>
    <m/>
    <m/>
    <m/>
    <s v="30092636"/>
    <d v="2024-08-21T00:00:00"/>
    <s v="MOTORCYCLE  COMPREHENSIVE"/>
    <n v="382000"/>
    <n v="2034.75"/>
    <n v="135.65"/>
    <n v="500"/>
  </r>
  <r>
    <s v="KHI/HO/D/MO/MC COMP/P/95658/08/2024"/>
    <m/>
    <x v="0"/>
    <d v="2024-08-21T00:00:00"/>
    <d v="2025-08-21T00:00:00"/>
    <s v="SAAD ALI"/>
    <s v="SUZUKI-GD-110S"/>
    <n v="14960"/>
    <n v="12466"/>
    <m/>
    <m/>
    <m/>
    <m/>
    <s v="147165"/>
    <d v="2024-08-21T00:00:00"/>
    <s v="MOTORCYCLE  COMPREHENSIVE"/>
    <n v="352000"/>
    <n v="1869.9"/>
    <n v="124.66"/>
    <n v="500"/>
  </r>
  <r>
    <s v="KHI/HO/D/MO/MC COMP/P/95661/08/2024"/>
    <m/>
    <x v="21"/>
    <d v="2024-08-21T00:00:00"/>
    <d v="2025-08-21T00:00:00"/>
    <s v="AQEEL MUMTAZ"/>
    <s v="SUZUKI-GD-110S"/>
    <n v="8800"/>
    <n v="7155"/>
    <m/>
    <m/>
    <m/>
    <m/>
    <s v="146609"/>
    <d v="2024-08-21T00:00:00"/>
    <s v="MOTORCYCLE  COMPREHENSIVE"/>
    <n v="352000"/>
    <n v="1073.25"/>
    <n v="71.55"/>
    <n v="500"/>
  </r>
  <r>
    <s v="KHI/HO/D/MO/MC COMP/P/95664/08/2024"/>
    <m/>
    <x v="0"/>
    <d v="2024-08-21T00:00:00"/>
    <d v="2025-08-21T00:00:00"/>
    <s v="AMIR ALI"/>
    <s v="SUZUKI-GD-110S"/>
    <n v="14960"/>
    <n v="12466"/>
    <m/>
    <m/>
    <m/>
    <m/>
    <s v="147172"/>
    <d v="2024-08-21T00:00:00"/>
    <s v="MOTORCYCLE  COMPREHENSIVE"/>
    <n v="352000"/>
    <n v="1869.9"/>
    <n v="124.66"/>
    <n v="500"/>
  </r>
  <r>
    <s v="KHI/HO/D/MO/MC COMP/P/95669/08/2024"/>
    <m/>
    <x v="1"/>
    <d v="2024-08-21T00:00:00"/>
    <d v="2025-08-21T00:00:00"/>
    <s v="SHAHRUKH NASEEM KHAN"/>
    <s v="SUZUKI-GD-110S"/>
    <n v="14960"/>
    <n v="12466"/>
    <m/>
    <m/>
    <m/>
    <m/>
    <s v="147186"/>
    <d v="2024-08-21T00:00:00"/>
    <s v="MOTORCYCLE  COMPREHENSIVE"/>
    <n v="352000"/>
    <n v="1869.9"/>
    <n v="124.66"/>
    <n v="500"/>
  </r>
  <r>
    <s v="KHI/HO/D/MO/MC COMP/P/95670/08/2024"/>
    <m/>
    <x v="0"/>
    <d v="2024-08-21T00:00:00"/>
    <d v="2025-08-21T00:00:00"/>
    <s v="MUHAMMAD OWAIS ABID"/>
    <s v="SUZUKI-GR150 EURO II"/>
    <n v="23248"/>
    <n v="19610"/>
    <m/>
    <m/>
    <m/>
    <m/>
    <s v="113488"/>
    <d v="2024-08-21T00:00:00"/>
    <s v="MOTORCYCLE  COMPREHENSIVE"/>
    <n v="547000"/>
    <n v="2941.5"/>
    <n v="196.1"/>
    <n v="500"/>
  </r>
  <r>
    <s v="KHI/HO/D/MO/MC COMP/P/95671/08/2024"/>
    <m/>
    <x v="0"/>
    <d v="2025-08-22T00:00:00"/>
    <d v="2026-08-22T00:00:00"/>
    <s v="MUHAMMAD OWAIS ABID"/>
    <s v="SUZUKI-GR150 EURO II"/>
    <n v="23248"/>
    <n v="19610"/>
    <m/>
    <m/>
    <m/>
    <m/>
    <s v="113488"/>
    <d v="2024-08-21T00:00:00"/>
    <s v="MOTORCYCLE  COMPREHENSIVE"/>
    <n v="547000"/>
    <n v="2941.5"/>
    <n v="196.1"/>
    <n v="500"/>
  </r>
  <r>
    <s v="KHI/HO/D/MO/MC COMP/P/95673/08/2024"/>
    <m/>
    <x v="0"/>
    <d v="2024-08-21T00:00:00"/>
    <d v="2025-08-21T00:00:00"/>
    <s v="SAJJAD KAMAL"/>
    <s v="SUZUKI-GR150 EURO II"/>
    <n v="23248"/>
    <n v="19610"/>
    <m/>
    <m/>
    <m/>
    <m/>
    <s v="113512"/>
    <d v="2024-08-21T00:00:00"/>
    <s v="MOTORCYCLE  COMPREHENSIVE"/>
    <n v="547000"/>
    <n v="2941.5"/>
    <n v="196.1"/>
    <n v="500"/>
  </r>
  <r>
    <s v="KHI/HO/D/MO/MC COMP/P/95674/08/2024"/>
    <m/>
    <x v="0"/>
    <d v="2025-08-22T00:00:00"/>
    <d v="2026-08-22T00:00:00"/>
    <s v="SAJJAD KAMAL"/>
    <s v="SUZUKI-GR150 EURO II"/>
    <n v="23248"/>
    <n v="19610"/>
    <m/>
    <m/>
    <m/>
    <m/>
    <s v="113513"/>
    <d v="2024-08-21T00:00:00"/>
    <s v="MOTORCYCLE  COMPREHENSIVE"/>
    <n v="547000"/>
    <n v="2941.5"/>
    <n v="196.1"/>
    <n v="500"/>
  </r>
  <r>
    <s v="KHI/HO/D/MO/MC COMP/P/95675/08/2024"/>
    <m/>
    <x v="0"/>
    <d v="2024-08-21T00:00:00"/>
    <d v="2025-08-21T00:00:00"/>
    <s v="AMMARULLAH KHAN"/>
    <s v="SUZUKI-GS 150"/>
    <n v="16235"/>
    <n v="13565"/>
    <m/>
    <m/>
    <m/>
    <m/>
    <s v="30092631"/>
    <d v="2024-08-21T00:00:00"/>
    <s v="MOTORCYCLE  COMPREHENSIVE"/>
    <n v="382000"/>
    <n v="2034.75"/>
    <n v="135.65"/>
    <n v="500"/>
  </r>
  <r>
    <s v="KHI/HO/D/MO/MC COMP/P/95676/08/2024"/>
    <m/>
    <x v="0"/>
    <d v="2025-08-22T00:00:00"/>
    <d v="2026-08-22T00:00:00"/>
    <s v="AMMARULLAH KHAN"/>
    <s v="SUZUKI-GS 150"/>
    <n v="16235"/>
    <n v="13565"/>
    <m/>
    <m/>
    <m/>
    <m/>
    <s v="30092631"/>
    <d v="2024-08-21T00:00:00"/>
    <s v="MOTORCYCLE  COMPREHENSIVE"/>
    <n v="382000"/>
    <n v="2034.75"/>
    <n v="135.65"/>
    <n v="500"/>
  </r>
  <r>
    <s v="KHI/HO/D/MO/MC COMP/P/95679/08/2024"/>
    <m/>
    <x v="12"/>
    <d v="2024-08-21T00:00:00"/>
    <d v="2025-08-21T00:00:00"/>
    <s v="ABDUL GHANI"/>
    <s v="SUZUKI-GD-110S"/>
    <n v="14960"/>
    <n v="12466"/>
    <m/>
    <m/>
    <m/>
    <m/>
    <s v="147193"/>
    <d v="2024-08-21T00:00:00"/>
    <s v="MOTORCYCLE  COMPREHENSIVE"/>
    <n v="352000"/>
    <n v="1869.9"/>
    <n v="124.66"/>
    <n v="500"/>
  </r>
  <r>
    <s v="KHI/HO/D/MO/MC COMP/P/95681/08/2024"/>
    <m/>
    <x v="1"/>
    <d v="2024-08-21T00:00:00"/>
    <d v="2025-08-21T00:00:00"/>
    <s v="NOMAN AHMED"/>
    <s v="SUZUKI-GD-110S"/>
    <n v="14960"/>
    <n v="12466"/>
    <m/>
    <m/>
    <m/>
    <m/>
    <s v="147157"/>
    <d v="2024-08-21T00:00:00"/>
    <s v="MOTORCYCLE  COMPREHENSIVE"/>
    <n v="352000"/>
    <n v="1869.9"/>
    <n v="124.66"/>
    <n v="500"/>
  </r>
  <r>
    <s v="KHI/HO/D/MO/MC COMP/P/95683/08/2024"/>
    <m/>
    <x v="17"/>
    <d v="2024-08-21T00:00:00"/>
    <d v="2025-08-21T00:00:00"/>
    <s v="MUHAMMAD IKRAM KIANI"/>
    <s v="SUZUKI-GD-110S"/>
    <n v="8800"/>
    <n v="7155"/>
    <m/>
    <m/>
    <m/>
    <m/>
    <s v="146326"/>
    <d v="2024-08-21T00:00:00"/>
    <s v="MOTORCYCLE  COMPREHENSIVE"/>
    <n v="352000"/>
    <n v="1073.25"/>
    <n v="71.55"/>
    <n v="500"/>
  </r>
  <r>
    <s v="KHI/HO/D/MO/MC COMP/P/95685/08/2024"/>
    <m/>
    <x v="22"/>
    <d v="2024-08-21T00:00:00"/>
    <d v="2025-08-21T00:00:00"/>
    <s v="MUHAMMAD AHMAD"/>
    <s v="SUZUKI-GD-110S"/>
    <n v="8800"/>
    <n v="7155"/>
    <m/>
    <m/>
    <m/>
    <m/>
    <s v="145179"/>
    <d v="2024-08-21T00:00:00"/>
    <s v="MOTORCYCLE  COMPREHENSIVE"/>
    <n v="352000"/>
    <n v="1073.25"/>
    <n v="71.55"/>
    <n v="500"/>
  </r>
  <r>
    <s v="KHI/HO/D/MO/MC COMP/P/95686/08/2024"/>
    <m/>
    <x v="0"/>
    <d v="2024-08-21T00:00:00"/>
    <d v="2025-08-21T00:00:00"/>
    <s v="ASIM ABDUL HADI"/>
    <s v="SUZUKI-GD-110S"/>
    <n v="14960"/>
    <n v="12466"/>
    <m/>
    <m/>
    <m/>
    <m/>
    <s v="145909"/>
    <d v="2024-08-21T00:00:00"/>
    <s v="MOTORCYCLE  COMPREHENSIVE"/>
    <n v="352000"/>
    <n v="1869.9"/>
    <n v="124.66"/>
    <n v="500"/>
  </r>
  <r>
    <s v="KHI/HO/D/MO/MC COMP/P/95687/08/2024"/>
    <m/>
    <x v="17"/>
    <d v="2024-08-21T00:00:00"/>
    <d v="2025-08-21T00:00:00"/>
    <s v="FAWAD RAFI CHAUDHRY"/>
    <s v="SUZUKI-GD-110S"/>
    <n v="8800"/>
    <n v="7155"/>
    <m/>
    <m/>
    <m/>
    <m/>
    <s v="146765"/>
    <d v="2024-08-21T00:00:00"/>
    <s v="MOTORCYCLE  COMPREHENSIVE"/>
    <n v="352000"/>
    <n v="1073.25"/>
    <n v="71.55"/>
    <n v="500"/>
  </r>
  <r>
    <s v="KHI/HO/D/MO/MC COMP/P/95688/08/2024"/>
    <m/>
    <x v="17"/>
    <d v="2024-08-21T00:00:00"/>
    <d v="2025-08-21T00:00:00"/>
    <s v="REHMAN ILYAS"/>
    <s v="SUZUKI-GSX 125"/>
    <n v="12475"/>
    <n v="10323"/>
    <m/>
    <m/>
    <m/>
    <m/>
    <s v="23102611"/>
    <d v="2024-08-21T00:00:00"/>
    <s v="MOTORCYCLE  COMPREHENSIVE"/>
    <n v="499000"/>
    <n v="1548.45"/>
    <n v="103.23"/>
    <n v="500"/>
  </r>
  <r>
    <s v="KHI/HO/D/MO/MC COMP/P/95690/08/2024"/>
    <m/>
    <x v="22"/>
    <d v="2024-08-21T00:00:00"/>
    <d v="2025-08-21T00:00:00"/>
    <s v="MUHAMMAD SAJID KHAN"/>
    <s v="SUZUKI-GSX 125"/>
    <n v="12475"/>
    <n v="10323"/>
    <m/>
    <m/>
    <m/>
    <m/>
    <s v="23102469"/>
    <d v="2024-08-21T00:00:00"/>
    <s v="MOTORCYCLE  COMPREHENSIVE"/>
    <n v="499000"/>
    <n v="1548.45"/>
    <n v="103.23"/>
    <n v="500"/>
  </r>
  <r>
    <s v="KHI/HO/D/MO/MC COMP/P/95691/08/2024"/>
    <m/>
    <x v="22"/>
    <d v="2024-08-21T00:00:00"/>
    <d v="2025-08-21T00:00:00"/>
    <s v="MUHAMMAD MAAZ"/>
    <s v="SUZUKI-GSX 125"/>
    <n v="12475"/>
    <n v="10323"/>
    <m/>
    <m/>
    <m/>
    <m/>
    <s v="23102510"/>
    <d v="2024-08-21T00:00:00"/>
    <s v="MOTORCYCLE  COMPREHENSIVE"/>
    <n v="499000"/>
    <n v="1548.45"/>
    <n v="103.23"/>
    <n v="500"/>
  </r>
  <r>
    <s v="KHI/HO/D/MO/MC COMP/P/95694/08/2024"/>
    <m/>
    <x v="22"/>
    <d v="2024-08-21T00:00:00"/>
    <d v="2025-08-21T00:00:00"/>
    <s v="MUHAMMAD HAMMAD"/>
    <s v="SUZUKI-GD-110S"/>
    <n v="8800"/>
    <n v="7155"/>
    <m/>
    <m/>
    <m/>
    <m/>
    <s v="145888"/>
    <d v="2024-08-21T00:00:00"/>
    <s v="MOTORCYCLE  COMPREHENSIVE"/>
    <n v="352000"/>
    <n v="1073.25"/>
    <n v="71.55"/>
    <n v="500"/>
  </r>
  <r>
    <s v="KHI/HO/D/MO/MC COMP/P/95695/08/2024"/>
    <m/>
    <x v="22"/>
    <d v="2024-08-21T00:00:00"/>
    <d v="2025-08-21T00:00:00"/>
    <s v="MUHAMMAD HAMMAD"/>
    <s v="SUZUKI-GD-110S"/>
    <n v="8800"/>
    <n v="7155"/>
    <m/>
    <m/>
    <m/>
    <m/>
    <s v="145888"/>
    <d v="2024-08-21T00:00:00"/>
    <s v="MOTORCYCLE  COMPREHENSIVE"/>
    <n v="352000"/>
    <n v="1073.25"/>
    <n v="71.55"/>
    <n v="500"/>
  </r>
  <r>
    <s v="KHI/HO/D/MO/MC COMP/P/95698/08/2024"/>
    <m/>
    <x v="22"/>
    <d v="2024-08-21T00:00:00"/>
    <d v="2025-08-21T00:00:00"/>
    <s v="MUHAMMAD ARFAN"/>
    <s v="SUZUKI-GSX 125"/>
    <n v="12475"/>
    <n v="10323"/>
    <m/>
    <m/>
    <m/>
    <m/>
    <s v="23102489"/>
    <d v="2024-08-21T00:00:00"/>
    <s v="MOTORCYCLE  COMPREHENSIVE"/>
    <n v="499000"/>
    <n v="1548.45"/>
    <n v="103.23"/>
    <n v="500"/>
  </r>
  <r>
    <s v="KHI/HO/D/MO/MC COMP/P/95699/08/2024"/>
    <m/>
    <x v="17"/>
    <d v="2024-08-21T00:00:00"/>
    <d v="2025-08-21T00:00:00"/>
    <s v="IBTISAM RASHEED"/>
    <s v="SUZUKI-GD-110S"/>
    <n v="8800"/>
    <n v="7155"/>
    <m/>
    <m/>
    <m/>
    <m/>
    <s v="146698"/>
    <d v="2024-08-21T00:00:00"/>
    <s v="MOTORCYCLE  COMPREHENSIVE"/>
    <n v="352000"/>
    <n v="1073.25"/>
    <n v="71.55"/>
    <n v="500"/>
  </r>
  <r>
    <s v="KHI/HO/D/MO/MC COMP/P/95701/08/2024"/>
    <m/>
    <x v="22"/>
    <d v="2024-08-21T00:00:00"/>
    <d v="2025-08-21T00:00:00"/>
    <s v="KASHIF RIAZ"/>
    <s v="SUZUKI-GD-110S"/>
    <n v="8800"/>
    <n v="7155"/>
    <m/>
    <m/>
    <m/>
    <m/>
    <s v="145875"/>
    <d v="2024-08-21T00:00:00"/>
    <s v="MOTORCYCLE  COMPREHENSIVE"/>
    <n v="352000"/>
    <n v="1073.25"/>
    <n v="71.55"/>
    <n v="500"/>
  </r>
  <r>
    <s v="KHI/HO/D/MO/MC COMP/P/95702/08/2024"/>
    <m/>
    <x v="22"/>
    <d v="2024-08-21T00:00:00"/>
    <d v="2025-08-21T00:00:00"/>
    <s v="FARHAN SHAHID"/>
    <s v="SUZUKI-GD-110S"/>
    <n v="8800"/>
    <n v="7155"/>
    <m/>
    <m/>
    <m/>
    <m/>
    <s v="146218"/>
    <d v="2024-08-21T00:00:00"/>
    <s v="MOTORCYCLE  COMPREHENSIVE"/>
    <n v="352000"/>
    <n v="1073.25"/>
    <n v="71.55"/>
    <n v="500"/>
  </r>
  <r>
    <s v="KHI/HO/D/MO/MC COMP/P/95703/08/2024"/>
    <m/>
    <x v="22"/>
    <d v="2024-08-21T00:00:00"/>
    <d v="2025-08-21T00:00:00"/>
    <s v="FARHAN SHAHID"/>
    <s v="SUZUKI-GD-110S"/>
    <n v="8800"/>
    <n v="7155"/>
    <m/>
    <m/>
    <m/>
    <m/>
    <s v="146218"/>
    <d v="2024-08-21T00:00:00"/>
    <s v="MOTORCYCLE  COMPREHENSIVE"/>
    <n v="352000"/>
    <n v="1073.25"/>
    <n v="71.55"/>
    <n v="500"/>
  </r>
  <r>
    <s v="KHI/HO/D/MO/MC COMP/P/95704/08/2024"/>
    <m/>
    <x v="22"/>
    <d v="2024-08-21T00:00:00"/>
    <d v="2025-08-21T00:00:00"/>
    <s v="MUHAMMAD NAVEED"/>
    <s v="SUZUKI-GD-110S"/>
    <n v="8800"/>
    <n v="7155"/>
    <m/>
    <m/>
    <m/>
    <m/>
    <s v="146237"/>
    <d v="2024-08-21T00:00:00"/>
    <s v="MOTORCYCLE  COMPREHENSIVE"/>
    <n v="352000"/>
    <n v="1073.25"/>
    <n v="71.55"/>
    <n v="500"/>
  </r>
  <r>
    <s v="KHI/HO/D/MO/MC COMP/P/95710/08/2024"/>
    <m/>
    <x v="10"/>
    <d v="2024-08-21T00:00:00"/>
    <d v="2025-08-21T00:00:00"/>
    <s v="SYED AHSAN MAHFOOZ"/>
    <s v="SUZUKI-GSX 125"/>
    <n v="21208"/>
    <n v="17852"/>
    <m/>
    <m/>
    <m/>
    <m/>
    <s v="23102446"/>
    <d v="2024-08-21T00:00:00"/>
    <s v="MOTORCYCLE  COMPREHENSIVE"/>
    <n v="499000"/>
    <n v="2677.8"/>
    <n v="178.52"/>
    <n v="500"/>
  </r>
  <r>
    <s v="KHI/HO/D/MO/MC COMP/P/95712/08/2024"/>
    <m/>
    <x v="1"/>
    <d v="2024-08-21T00:00:00"/>
    <d v="2025-08-21T00:00:00"/>
    <s v="MUHAMMAD UMER WAQAR"/>
    <s v="SUZUKI-GD-110S"/>
    <n v="14960"/>
    <n v="12466"/>
    <m/>
    <m/>
    <m/>
    <m/>
    <s v="147178"/>
    <d v="2024-08-21T00:00:00"/>
    <s v="MOTORCYCLE  COMPREHENSIVE"/>
    <n v="352000"/>
    <n v="1869.9"/>
    <n v="124.66"/>
    <n v="500"/>
  </r>
  <r>
    <s v="KHI/HO/D/MO/MC COMP/P/95716/08/2024"/>
    <m/>
    <x v="12"/>
    <d v="2024-08-21T00:00:00"/>
    <d v="2025-08-21T00:00:00"/>
    <s v="ATTA UR REHMAN"/>
    <s v="SUZUKI-GD-110S"/>
    <n v="14960"/>
    <n v="12466"/>
    <m/>
    <m/>
    <m/>
    <m/>
    <s v="147273"/>
    <d v="2024-08-21T00:00:00"/>
    <s v="MOTORCYCLE  COMPREHENSIVE"/>
    <n v="352000"/>
    <n v="1869.9"/>
    <n v="124.66"/>
    <n v="500"/>
  </r>
  <r>
    <s v="KHI/HO/D/MO/MC COMP/P/95719/08/2024"/>
    <m/>
    <x v="17"/>
    <d v="2024-08-21T00:00:00"/>
    <d v="2025-08-21T00:00:00"/>
    <s v="SHAMAS SHAHZADA"/>
    <s v="SUZUKI-GD-110S"/>
    <n v="8800"/>
    <n v="7155"/>
    <m/>
    <m/>
    <m/>
    <m/>
    <s v="166824"/>
    <d v="2024-08-21T00:00:00"/>
    <s v="MOTORCYCLE  COMPREHENSIVE"/>
    <n v="352000"/>
    <n v="1073.25"/>
    <n v="71.55"/>
    <n v="500"/>
  </r>
  <r>
    <s v="KHI/HO/D/MO/MC COMP/P/95722/08/2024"/>
    <m/>
    <x v="17"/>
    <d v="2024-08-21T00:00:00"/>
    <d v="2025-08-21T00:00:00"/>
    <s v="MUHAMMAD ASHFAQ"/>
    <s v="SUZUKI-GSX 125"/>
    <n v="12475"/>
    <n v="10323"/>
    <m/>
    <m/>
    <m/>
    <m/>
    <s v="23102582"/>
    <d v="2024-08-21T00:00:00"/>
    <s v="MOTORCYCLE  COMPREHENSIVE"/>
    <n v="499000"/>
    <n v="1548.45"/>
    <n v="103.23"/>
    <n v="500"/>
  </r>
  <r>
    <s v="KHI/HO/D/MO/MC COMP/P/95724/08/2024"/>
    <m/>
    <x v="3"/>
    <d v="2024-08-21T00:00:00"/>
    <d v="2025-08-21T00:00:00"/>
    <s v="ABID MEHMOOD"/>
    <s v="SUZUKI-GD-110S"/>
    <n v="8800"/>
    <n v="7155"/>
    <m/>
    <m/>
    <m/>
    <m/>
    <s v="146785"/>
    <d v="2024-08-21T00:00:00"/>
    <s v="MOTORCYCLE  COMPREHENSIVE"/>
    <n v="352000"/>
    <n v="1073.25"/>
    <n v="71.55"/>
    <n v="500"/>
  </r>
  <r>
    <s v="KHI/HO/D/MO/MC COMP/P/95725/08/2024"/>
    <m/>
    <x v="17"/>
    <d v="2024-08-21T00:00:00"/>
    <d v="2025-08-21T00:00:00"/>
    <s v="WAQAR UL HASAN"/>
    <s v="SUZUKI-GD-110S"/>
    <n v="8800"/>
    <n v="7155"/>
    <m/>
    <m/>
    <m/>
    <m/>
    <s v="146813"/>
    <d v="2024-08-21T00:00:00"/>
    <s v="MOTORCYCLE  COMPREHENSIVE"/>
    <n v="352000"/>
    <n v="1073.25"/>
    <n v="71.55"/>
    <n v="500"/>
  </r>
  <r>
    <s v="KHI/HO/D/MO/MC COMP/P/95726/08/2024"/>
    <m/>
    <x v="6"/>
    <d v="2024-08-21T00:00:00"/>
    <d v="2025-08-21T00:00:00"/>
    <s v="M SAEED"/>
    <s v="SUZUKI-GD-110S"/>
    <n v="14960"/>
    <n v="12466"/>
    <m/>
    <m/>
    <m/>
    <m/>
    <s v="145868"/>
    <d v="2024-08-21T00:00:00"/>
    <s v="MOTORCYCLE  COMPREHENSIVE"/>
    <n v="352000"/>
    <n v="1869.9"/>
    <n v="124.66"/>
    <n v="500"/>
  </r>
  <r>
    <s v="KHI/HO/D/MO/MC COMP/P/95727/08/2024"/>
    <m/>
    <x v="6"/>
    <d v="2024-08-21T00:00:00"/>
    <d v="2025-08-21T00:00:00"/>
    <s v="ASMAT ULLAH"/>
    <s v="SUZUKI-GD-110S"/>
    <n v="14960"/>
    <n v="12466"/>
    <m/>
    <m/>
    <m/>
    <m/>
    <s v="146630"/>
    <d v="2024-08-21T00:00:00"/>
    <s v="MOTORCYCLE  COMPREHENSIVE"/>
    <n v="352000"/>
    <n v="1869.9"/>
    <n v="124.66"/>
    <n v="500"/>
  </r>
  <r>
    <s v="KHI/HO/D/MO/MC COMP/P/95728/08/2024"/>
    <m/>
    <x v="6"/>
    <d v="2025-08-22T00:00:00"/>
    <d v="2026-08-22T00:00:00"/>
    <s v="ASMAT ULLAH"/>
    <s v="SUZUKI-GD-110S"/>
    <n v="14960"/>
    <n v="12466"/>
    <m/>
    <m/>
    <m/>
    <m/>
    <s v="146630"/>
    <d v="2024-08-21T00:00:00"/>
    <s v="MOTORCYCLE  COMPREHENSIVE"/>
    <n v="352000"/>
    <n v="1869.9"/>
    <n v="124.66"/>
    <n v="500"/>
  </r>
  <r>
    <s v="KHI/HO/D/MO/MC COMP/P/95729/08/2024"/>
    <m/>
    <x v="6"/>
    <d v="2024-08-21T00:00:00"/>
    <d v="2025-08-21T00:00:00"/>
    <s v="ZUBAIR KHAN"/>
    <s v="SUZUKI-GD-110S"/>
    <n v="14960"/>
    <n v="12466"/>
    <m/>
    <m/>
    <m/>
    <m/>
    <s v="146655"/>
    <d v="2024-08-21T00:00:00"/>
    <s v="MOTORCYCLE  COMPREHENSIVE"/>
    <n v="352000"/>
    <n v="1869.9"/>
    <n v="124.66"/>
    <n v="500"/>
  </r>
  <r>
    <s v="KHI/HO/D/MO/MC COMP/P/95730/08/2024"/>
    <m/>
    <x v="6"/>
    <d v="2024-08-21T00:00:00"/>
    <d v="2025-08-21T00:00:00"/>
    <s v="KIZAR ALI"/>
    <s v="SUZUKI-GD-110S"/>
    <n v="14960"/>
    <n v="12466"/>
    <m/>
    <m/>
    <m/>
    <m/>
    <s v="146991"/>
    <d v="2024-08-21T00:00:00"/>
    <s v="MOTORCYCLE  COMPREHENSIVE"/>
    <n v="352000"/>
    <n v="1869.9"/>
    <n v="124.66"/>
    <n v="500"/>
  </r>
  <r>
    <s v="KHI/HO/D/MO/MC COMP/P/95731/08/2024"/>
    <m/>
    <x v="6"/>
    <d v="2025-08-22T00:00:00"/>
    <d v="2026-08-22T00:00:00"/>
    <s v="KIZAR ALI"/>
    <s v="SUZUKI-GD-110S"/>
    <n v="14960"/>
    <n v="12466"/>
    <m/>
    <m/>
    <m/>
    <m/>
    <s v="146991"/>
    <d v="2024-08-21T00:00:00"/>
    <s v="MOTORCYCLE  COMPREHENSIVE"/>
    <n v="352000"/>
    <n v="1869.9"/>
    <n v="124.66"/>
    <n v="500"/>
  </r>
  <r>
    <s v="KHI/HO/D/MO/MC COMP/P/95732/08/2024"/>
    <m/>
    <x v="6"/>
    <d v="2024-08-21T00:00:00"/>
    <d v="2025-08-21T00:00:00"/>
    <s v="FAYYAZ KHAN"/>
    <s v="SUZUKI-GD-110S"/>
    <n v="14960"/>
    <n v="12466"/>
    <m/>
    <m/>
    <m/>
    <m/>
    <s v="146934"/>
    <d v="2024-08-21T00:00:00"/>
    <s v="MOTORCYCLE  COMPREHENSIVE"/>
    <n v="352000"/>
    <n v="1869.9"/>
    <n v="124.66"/>
    <n v="500"/>
  </r>
  <r>
    <s v="KHI/HO/D/MO/MC COMP/P/95733/08/2024"/>
    <m/>
    <x v="6"/>
    <d v="2025-08-22T00:00:00"/>
    <d v="2026-08-22T00:00:00"/>
    <s v="FAYYAZ KHAN"/>
    <s v="SUZUKI-GD-110S"/>
    <n v="14960"/>
    <n v="12466"/>
    <m/>
    <m/>
    <m/>
    <m/>
    <s v="146934"/>
    <d v="2024-08-21T00:00:00"/>
    <s v="MOTORCYCLE  COMPREHENSIVE"/>
    <n v="352000"/>
    <n v="1869.9"/>
    <n v="124.66"/>
    <n v="500"/>
  </r>
  <r>
    <s v="KHI/HO/D/MO/MC COMP/P/95734/08/2024"/>
    <m/>
    <x v="6"/>
    <d v="2024-08-21T00:00:00"/>
    <d v="2025-08-21T00:00:00"/>
    <s v="WAQAR AHMED SHAIKH"/>
    <s v="SUZUKI-GD-110S"/>
    <n v="14960"/>
    <n v="12466"/>
    <m/>
    <m/>
    <m/>
    <m/>
    <s v="145867"/>
    <d v="2024-08-21T00:00:00"/>
    <s v="MOTORCYCLE  COMPREHENSIVE"/>
    <n v="352000"/>
    <n v="1869.9"/>
    <n v="124.66"/>
    <n v="500"/>
  </r>
  <r>
    <s v="KHI/HO/D/MO/MC COMP/P/95735/08/2024"/>
    <m/>
    <x v="6"/>
    <d v="2025-08-22T00:00:00"/>
    <d v="2026-08-22T00:00:00"/>
    <s v="WAQAR AHMED SHAIKH"/>
    <s v="SUZUKI-GD-110S"/>
    <n v="14960"/>
    <n v="12466"/>
    <m/>
    <m/>
    <m/>
    <m/>
    <s v="145867"/>
    <d v="2024-08-21T00:00:00"/>
    <s v="MOTORCYCLE  COMPREHENSIVE"/>
    <n v="352000"/>
    <n v="1869.9"/>
    <n v="124.66"/>
    <n v="500"/>
  </r>
  <r>
    <s v="KHI/HO/D/MO/MC COMP/P/95753/08/2024"/>
    <m/>
    <x v="2"/>
    <d v="2024-08-22T00:00:00"/>
    <d v="2025-08-22T00:00:00"/>
    <s v="SHAIKH TOUSEEF AHMED"/>
    <s v="SUZUKI-GD-110S"/>
    <n v="14960"/>
    <n v="12466"/>
    <m/>
    <m/>
    <m/>
    <m/>
    <s v="146689"/>
    <d v="2024-08-22T00:00:00"/>
    <s v="MOTORCYCLE  COMPREHENSIVE"/>
    <n v="352000"/>
    <n v="1869.9"/>
    <n v="124.66"/>
    <n v="500"/>
  </r>
  <r>
    <s v="KHI/HO/D/MO/MC COMP/P/95756/08/2024"/>
    <m/>
    <x v="2"/>
    <d v="2024-08-22T00:00:00"/>
    <d v="2025-08-22T00:00:00"/>
    <s v="RMC SOLUTIONS (pvt) Ltd."/>
    <s v="SUZUKI-GD-110S"/>
    <n v="14960"/>
    <n v="12466"/>
    <m/>
    <m/>
    <m/>
    <m/>
    <s v="146779"/>
    <d v="2024-08-22T00:00:00"/>
    <s v="MOTORCYCLE  COMPREHENSIVE"/>
    <n v="352000"/>
    <n v="1869.9"/>
    <n v="124.66"/>
    <n v="500"/>
  </r>
  <r>
    <s v="KHI/HO/D/MO/MC COMP/P/95757/08/2024"/>
    <m/>
    <x v="11"/>
    <d v="2024-08-22T00:00:00"/>
    <d v="2025-08-22T00:00:00"/>
    <s v="ANTHONY ANWAR"/>
    <s v="SUZUKI-GD-110S"/>
    <n v="14960"/>
    <n v="12466"/>
    <m/>
    <m/>
    <m/>
    <m/>
    <s v="146395"/>
    <d v="2024-08-22T00:00:00"/>
    <s v="MOTORCYCLE  COMPREHENSIVE"/>
    <n v="352000"/>
    <n v="1869.9"/>
    <n v="124.66"/>
    <n v="500"/>
  </r>
  <r>
    <s v="KHI/HO/D/MO/MC COMP/P/95760/08/2024"/>
    <m/>
    <x v="10"/>
    <d v="2024-08-22T00:00:00"/>
    <d v="2025-08-22T00:00:00"/>
    <s v="ABDUL  MASOOD"/>
    <s v="SUZUKI-GD-110S"/>
    <n v="14960"/>
    <n v="12466"/>
    <m/>
    <m/>
    <m/>
    <m/>
    <s v="146769"/>
    <d v="2024-08-22T00:00:00"/>
    <s v="MOTORCYCLE  COMPREHENSIVE"/>
    <n v="352000"/>
    <n v="1869.9"/>
    <n v="124.66"/>
    <n v="500"/>
  </r>
  <r>
    <s v="KHI/HO/D/MO/MC COMP/P/95761/08/2024"/>
    <m/>
    <x v="10"/>
    <d v="2025-08-23T00:00:00"/>
    <d v="2026-08-23T00:00:00"/>
    <s v="ABDUL  MASOOD"/>
    <s v="SUZUKI-GD-110S"/>
    <n v="14960"/>
    <n v="12466"/>
    <m/>
    <m/>
    <m/>
    <m/>
    <s v="146769"/>
    <d v="2024-08-22T00:00:00"/>
    <s v="MOTORCYCLE  COMPREHENSIVE"/>
    <n v="352000"/>
    <n v="1869.9"/>
    <n v="124.66"/>
    <n v="500"/>
  </r>
  <r>
    <s v="KHI/HO/D/MO/MC COMP/P/95763/08/2024"/>
    <m/>
    <x v="22"/>
    <d v="2024-08-22T00:00:00"/>
    <d v="2025-08-22T00:00:00"/>
    <s v="MIAN SHOAIB YOUNAS"/>
    <s v="SUZUKI-GS 150"/>
    <n v="9550"/>
    <n v="7802"/>
    <m/>
    <m/>
    <m/>
    <m/>
    <s v="30092410"/>
    <d v="2024-08-22T00:00:00"/>
    <s v="MOTORCYCLE  COMPREHENSIVE"/>
    <n v="382000"/>
    <n v="1170.3"/>
    <n v="78.02"/>
    <n v="500"/>
  </r>
  <r>
    <s v="KHI/HO/D/MO/MC COMP/P/95764/08/2024"/>
    <m/>
    <x v="22"/>
    <d v="2024-08-22T00:00:00"/>
    <d v="2025-08-22T00:00:00"/>
    <s v="MUHAMMAD JUNAID"/>
    <s v="SUZUKI-GSX 125"/>
    <n v="12475"/>
    <n v="10323"/>
    <m/>
    <m/>
    <m/>
    <m/>
    <s v="23102503"/>
    <d v="2024-08-22T00:00:00"/>
    <s v="MOTORCYCLE  COMPREHENSIVE"/>
    <n v="499000"/>
    <n v="1548.45"/>
    <n v="103.23"/>
    <n v="500"/>
  </r>
  <r>
    <s v="KHI/HO/D/MO/MC COMP/P/95765/08/2024"/>
    <m/>
    <x v="1"/>
    <d v="2024-08-22T00:00:00"/>
    <d v="2025-08-22T00:00:00"/>
    <s v="BURHAN"/>
    <s v="SUZUKI-GD-110S"/>
    <n v="14960"/>
    <n v="12466"/>
    <m/>
    <m/>
    <m/>
    <m/>
    <s v="147175"/>
    <d v="2024-08-22T00:00:00"/>
    <s v="MOTORCYCLE  COMPREHENSIVE"/>
    <n v="352000"/>
    <n v="1869.9"/>
    <n v="124.66"/>
    <n v="500"/>
  </r>
  <r>
    <s v="KHI/HO/D/MO/MC COMP/P/95766/08/2024"/>
    <m/>
    <x v="1"/>
    <d v="2025-08-23T00:00:00"/>
    <d v="2026-08-23T00:00:00"/>
    <s v="BURHAN"/>
    <s v="SUZUKI-GD-110S"/>
    <n v="14960"/>
    <n v="12466"/>
    <m/>
    <m/>
    <m/>
    <m/>
    <s v="147175"/>
    <d v="2024-08-22T00:00:00"/>
    <s v="MOTORCYCLE  COMPREHENSIVE"/>
    <n v="352000"/>
    <n v="1869.9"/>
    <n v="124.66"/>
    <n v="500"/>
  </r>
  <r>
    <s v="KHI/HO/D/MO/MC COMP/P/95767/08/2024"/>
    <m/>
    <x v="22"/>
    <d v="2024-08-22T00:00:00"/>
    <d v="2025-08-22T00:00:00"/>
    <s v="UMAR FAROOQ"/>
    <s v="SUZUKI-GS-150"/>
    <n v="9550"/>
    <n v="7802"/>
    <m/>
    <m/>
    <m/>
    <m/>
    <s v="30092366"/>
    <d v="2024-08-22T00:00:00"/>
    <s v="MOTORCYCLE  COMPREHENSIVE"/>
    <n v="382000"/>
    <n v="1170.3"/>
    <n v="78.02"/>
    <n v="500"/>
  </r>
  <r>
    <s v="KHI/HO/D/MO/MC COMP/P/95768/08/2024"/>
    <m/>
    <x v="22"/>
    <d v="2024-08-22T00:00:00"/>
    <d v="2025-08-22T00:00:00"/>
    <s v="MUHAMMAD ADEEL"/>
    <s v="SUZUKI-GS-150"/>
    <n v="9550"/>
    <n v="7802"/>
    <m/>
    <m/>
    <m/>
    <m/>
    <s v="30092432"/>
    <d v="2024-08-22T00:00:00"/>
    <s v="MOTORCYCLE  COMPREHENSIVE"/>
    <n v="382000"/>
    <n v="1170.3"/>
    <n v="78.02"/>
    <n v="500"/>
  </r>
  <r>
    <s v="KHI/HO/D/MO/MC COMP/P/95769/08/2024"/>
    <m/>
    <x v="22"/>
    <d v="2024-08-22T00:00:00"/>
    <d v="2025-08-22T00:00:00"/>
    <s v="ALI HAIDER"/>
    <s v="SUZUKI-GS 150"/>
    <n v="9550"/>
    <n v="7802"/>
    <m/>
    <m/>
    <m/>
    <m/>
    <s v="30092402"/>
    <d v="2024-08-22T00:00:00"/>
    <s v="MOTORCYCLE  COMPREHENSIVE"/>
    <n v="382000"/>
    <n v="1170.3"/>
    <n v="78.02"/>
    <n v="500"/>
  </r>
  <r>
    <s v="KHI/HO/D/MO/MC COMP/P/95770/08/2024"/>
    <m/>
    <x v="6"/>
    <d v="2024-08-22T00:00:00"/>
    <d v="2025-08-22T00:00:00"/>
    <s v="TALHA BIN ALI"/>
    <s v="SUZUKI-GS 150"/>
    <n v="16235"/>
    <n v="13565"/>
    <m/>
    <m/>
    <m/>
    <m/>
    <s v="30092364"/>
    <d v="2024-08-22T00:00:00"/>
    <s v="MOTORCYCLE  COMPREHENSIVE"/>
    <n v="382000"/>
    <n v="2034.75"/>
    <n v="135.65"/>
    <n v="500"/>
  </r>
  <r>
    <s v="KHI/HO/D/MO/MC COMP/P/95771/08/2024"/>
    <m/>
    <x v="22"/>
    <d v="2024-08-22T00:00:00"/>
    <d v="2025-08-22T00:00:00"/>
    <s v="MUHAMMAD MUDDASSAR ZAFAR"/>
    <s v="SUZUKI-GS-150"/>
    <n v="9550"/>
    <n v="7802"/>
    <m/>
    <m/>
    <m/>
    <m/>
    <s v="30092408"/>
    <d v="2024-08-22T00:00:00"/>
    <s v="MOTORCYCLE  COMPREHENSIVE"/>
    <n v="382000"/>
    <n v="1170.3"/>
    <n v="78.02"/>
    <n v="500"/>
  </r>
  <r>
    <s v="KHI/HO/D/MO/MC COMP/P/95772/08/2024"/>
    <m/>
    <x v="22"/>
    <d v="2024-08-22T00:00:00"/>
    <d v="2025-08-22T00:00:00"/>
    <s v="ABBAS ALI"/>
    <s v="SUZUKI-GD-110S"/>
    <n v="8800"/>
    <n v="7155"/>
    <m/>
    <m/>
    <m/>
    <m/>
    <s v="145161"/>
    <d v="2024-08-22T00:00:00"/>
    <s v="MOTORCYCLE  COMPREHENSIVE"/>
    <n v="352000"/>
    <n v="1073.25"/>
    <n v="71.55"/>
    <n v="500"/>
  </r>
  <r>
    <s v="KHI/HO/D/MO/MC COMP/P/95773/08/2024"/>
    <m/>
    <x v="22"/>
    <d v="2024-08-22T00:00:00"/>
    <d v="2025-08-22T00:00:00"/>
    <s v="SHER AFGAN"/>
    <s v="SUZUKI-GD-110S"/>
    <n v="8800"/>
    <n v="7155"/>
    <m/>
    <m/>
    <m/>
    <m/>
    <s v="145012"/>
    <d v="2024-08-22T00:00:00"/>
    <s v="MOTORCYCLE  COMPREHENSIVE"/>
    <n v="352000"/>
    <n v="1073.25"/>
    <n v="71.55"/>
    <n v="500"/>
  </r>
  <r>
    <s v="KHI/HO/D/MO/MC COMP/P/95774/08/2024"/>
    <m/>
    <x v="22"/>
    <d v="2024-08-22T00:00:00"/>
    <d v="2025-08-22T00:00:00"/>
    <s v="MUHAMMAD WALEED YOUNAS"/>
    <s v="SUZUKI-GD-110S"/>
    <n v="8800"/>
    <n v="7155"/>
    <m/>
    <m/>
    <m/>
    <m/>
    <s v="146233"/>
    <d v="2024-08-22T00:00:00"/>
    <s v="MOTORCYCLE  COMPREHENSIVE"/>
    <n v="352000"/>
    <n v="1073.25"/>
    <n v="71.55"/>
    <n v="500"/>
  </r>
  <r>
    <s v="KHI/HO/D/MO/MC COMP/P/95775/08/2024"/>
    <m/>
    <x v="1"/>
    <d v="2024-08-22T00:00:00"/>
    <d v="2025-08-22T00:00:00"/>
    <s v="HAFIZ-UL-HASSAN"/>
    <s v="SUZUKI-GD-110S"/>
    <n v="14960"/>
    <n v="12466"/>
    <m/>
    <m/>
    <m/>
    <m/>
    <s v="147181"/>
    <d v="2024-08-22T00:00:00"/>
    <s v="MOTORCYCLE  COMPREHENSIVE"/>
    <n v="352000"/>
    <n v="1869.9"/>
    <n v="124.66"/>
    <n v="500"/>
  </r>
  <r>
    <s v="KHI/HO/D/MO/MC COMP/P/95776/08/2024"/>
    <m/>
    <x v="1"/>
    <d v="2025-08-23T00:00:00"/>
    <d v="2026-08-23T00:00:00"/>
    <s v="HAFIZ-UL-HASSAN"/>
    <s v="SUZUKI-GD-110S"/>
    <n v="14960"/>
    <n v="12466"/>
    <m/>
    <m/>
    <m/>
    <m/>
    <s v="147181"/>
    <d v="2024-08-22T00:00:00"/>
    <s v="MOTORCYCLE  COMPREHENSIVE"/>
    <n v="352000"/>
    <n v="1869.9"/>
    <n v="124.66"/>
    <n v="500"/>
  </r>
  <r>
    <s v="KHI/HO/D/MO/MC COMP/P/95777/08/2024"/>
    <m/>
    <x v="22"/>
    <d v="2024-08-22T00:00:00"/>
    <d v="2025-08-22T00:00:00"/>
    <s v="UMAIR ALI"/>
    <s v="SUZUKI-GD-110S"/>
    <n v="8800"/>
    <n v="7155"/>
    <m/>
    <m/>
    <m/>
    <m/>
    <s v="146888"/>
    <d v="2024-08-22T00:00:00"/>
    <s v="MOTORCYCLE  COMPREHENSIVE"/>
    <n v="352000"/>
    <n v="1073.25"/>
    <n v="71.55"/>
    <n v="500"/>
  </r>
  <r>
    <s v="KHI/HO/D/MO/MC COMP/P/95784/08/2024"/>
    <m/>
    <x v="9"/>
    <d v="2024-08-22T00:00:00"/>
    <d v="2025-08-22T00:00:00"/>
    <s v="MEHBOOB ELAHI S/O MUHAMMAD HANIF FAROOQI"/>
    <s v="SUZUKI-GS 150"/>
    <n v="9550"/>
    <n v="7802"/>
    <m/>
    <m/>
    <m/>
    <m/>
    <s v="30092454"/>
    <d v="2024-08-22T00:00:00"/>
    <s v="MOTORCYCLE  COMPREHENSIVE"/>
    <n v="382000"/>
    <n v="1170.3"/>
    <n v="78.02"/>
    <n v="500"/>
  </r>
  <r>
    <s v="KHI/HO/D/MO/MC COMP/P/95790/08/2024"/>
    <m/>
    <x v="11"/>
    <d v="2024-08-22T00:00:00"/>
    <d v="2025-08-22T00:00:00"/>
    <s v="OSAMA SHAH"/>
    <s v="SUZUKI-GS 150"/>
    <n v="16235"/>
    <n v="13565"/>
    <m/>
    <m/>
    <m/>
    <m/>
    <s v="30091795"/>
    <d v="2024-08-22T00:00:00"/>
    <s v="MOTORCYCLE  COMPREHENSIVE"/>
    <n v="382000"/>
    <n v="2034.75"/>
    <n v="135.65"/>
    <n v="500"/>
  </r>
  <r>
    <s v="KHI/HO/D/MO/MC COMP/P/95796/08/2024"/>
    <m/>
    <x v="12"/>
    <d v="2024-08-22T00:00:00"/>
    <d v="2025-08-22T00:00:00"/>
    <s v="SOHAIL IDREES"/>
    <s v="SUZUKI-GD-110S"/>
    <n v="14960"/>
    <n v="12466"/>
    <m/>
    <m/>
    <m/>
    <m/>
    <s v="146803"/>
    <d v="2024-08-22T00:00:00"/>
    <s v="MOTORCYCLE  COMPREHENSIVE"/>
    <n v="352000"/>
    <n v="1869.9"/>
    <n v="124.66"/>
    <n v="500"/>
  </r>
  <r>
    <s v="KHI/HO/D/MO/MC COMP/P/95810/08/2024"/>
    <m/>
    <x v="11"/>
    <d v="2024-08-22T00:00:00"/>
    <d v="2025-08-22T00:00:00"/>
    <s v="SHEIKH USMAN AHMED"/>
    <s v="SUZUKI-GD-110S"/>
    <n v="14960"/>
    <n v="12466"/>
    <m/>
    <m/>
    <m/>
    <m/>
    <s v="146616"/>
    <d v="2024-08-22T00:00:00"/>
    <s v="MOTORCYCLE  COMPREHENSIVE"/>
    <n v="352000"/>
    <n v="1869.9"/>
    <n v="124.66"/>
    <n v="500"/>
  </r>
  <r>
    <s v="KHI/HO/D/MO/MC COMP/P/95811/08/2024"/>
    <m/>
    <x v="11"/>
    <d v="2025-08-23T00:00:00"/>
    <d v="2026-08-23T00:00:00"/>
    <s v="SHEIKH USMAN AHMED"/>
    <s v="SUZUKI-GD-110S"/>
    <n v="14960"/>
    <n v="12466"/>
    <m/>
    <m/>
    <m/>
    <m/>
    <s v="146616"/>
    <d v="2024-08-22T00:00:00"/>
    <s v="MOTORCYCLE  COMPREHENSIVE"/>
    <n v="352000"/>
    <n v="1869.9"/>
    <n v="124.66"/>
    <n v="500"/>
  </r>
  <r>
    <s v="KHI/HO/D/MO/MC COMP/P/95814/08/2024"/>
    <m/>
    <x v="12"/>
    <d v="2024-08-22T00:00:00"/>
    <d v="2025-08-22T00:00:00"/>
    <s v="HASNAIN RAZA"/>
    <s v="SUZUKI-GD-110S"/>
    <n v="14960"/>
    <n v="12466"/>
    <m/>
    <m/>
    <m/>
    <m/>
    <s v="147274"/>
    <d v="2024-08-22T00:00:00"/>
    <s v="MOTORCYCLE  COMPREHENSIVE"/>
    <n v="352000"/>
    <n v="1869.9"/>
    <n v="124.66"/>
    <n v="500"/>
  </r>
  <r>
    <s v="KHI/HO/D/MO/MC COMP/P/95815/08/2024"/>
    <m/>
    <x v="12"/>
    <d v="2025-08-23T00:00:00"/>
    <d v="2026-08-23T00:00:00"/>
    <s v="HASNAIN RAZA"/>
    <s v="SUZUKI-GD-110S"/>
    <n v="14960"/>
    <n v="12466"/>
    <m/>
    <m/>
    <m/>
    <m/>
    <s v="147274"/>
    <d v="2024-08-22T00:00:00"/>
    <s v="MOTORCYCLE  COMPREHENSIVE"/>
    <n v="352000"/>
    <n v="1869.9"/>
    <n v="124.66"/>
    <n v="500"/>
  </r>
  <r>
    <s v="KHI/HO/D/MO/MC COMP/P/95819/08/2024"/>
    <m/>
    <x v="6"/>
    <d v="2024-10-24T00:00:00"/>
    <d v="2025-10-23T00:00:00"/>
    <s v="ABDUL MAJEED"/>
    <s v="SUZUKI-GD-110 EURO II"/>
    <n v="12320"/>
    <n v="10190"/>
    <m/>
    <m/>
    <m/>
    <m/>
    <s v="137075"/>
    <d v="2024-08-22T00:00:00"/>
    <s v="MOTORCYCLE  COMPREHENSIVE"/>
    <n v="352000"/>
    <n v="1528.5"/>
    <n v="101.9"/>
    <n v="500"/>
  </r>
  <r>
    <s v="KHI/HO/D/MO/MC COMP/P/95822/08/2024"/>
    <m/>
    <x v="6"/>
    <d v="2024-10-04T00:00:00"/>
    <d v="2025-10-03T00:00:00"/>
    <s v="AZHAR ABBASI"/>
    <s v="SUZUKI-GD-110S"/>
    <n v="11725"/>
    <n v="9676"/>
    <m/>
    <m/>
    <m/>
    <m/>
    <s v="136296"/>
    <d v="2024-08-22T00:00:00"/>
    <s v="MOTORCYCLE  COMPREHENSIVE"/>
    <n v="335000"/>
    <n v="1451.4"/>
    <n v="96.76"/>
    <n v="500"/>
  </r>
  <r>
    <s v="KHI/HO/D/MO/MC COMP/P/95827/08/2024"/>
    <m/>
    <x v="7"/>
    <d v="2024-08-22T00:00:00"/>
    <d v="2025-08-22T00:00:00"/>
    <s v="ANAS MAVIYA"/>
    <s v="SUZUKI-GD-110S"/>
    <n v="14960"/>
    <n v="12466"/>
    <m/>
    <m/>
    <m/>
    <m/>
    <s v="147169"/>
    <d v="2024-08-22T00:00:00"/>
    <s v="MOTORCYCLE  COMPREHENSIVE"/>
    <n v="352000"/>
    <n v="1869.9"/>
    <n v="124.66"/>
    <n v="500"/>
  </r>
  <r>
    <s v="KHI/HO/D/MO/MC COMP/P/95828/08/2024"/>
    <m/>
    <x v="7"/>
    <d v="2025-08-23T00:00:00"/>
    <d v="2026-08-23T00:00:00"/>
    <s v="ANAS MAVIYA"/>
    <s v="SUZUKI-GD-110S"/>
    <n v="14960"/>
    <n v="12466"/>
    <m/>
    <m/>
    <m/>
    <m/>
    <s v="147169"/>
    <d v="2024-08-22T00:00:00"/>
    <s v="MOTORCYCLE  COMPREHENSIVE"/>
    <n v="352000"/>
    <n v="1869.9"/>
    <n v="124.66"/>
    <n v="500"/>
  </r>
  <r>
    <s v="KHI/HO/D/MO/MC COMP/P/95830/08/2024"/>
    <m/>
    <x v="6"/>
    <d v="2024-11-02T00:00:00"/>
    <d v="2025-11-01T00:00:00"/>
    <s v="KHALID"/>
    <s v="SUZUKI-GD-110S"/>
    <n v="12320"/>
    <n v="10190"/>
    <m/>
    <m/>
    <m/>
    <m/>
    <s v="136293"/>
    <d v="2024-08-22T00:00:00"/>
    <s v="MOTORCYCLE  COMPREHENSIVE"/>
    <n v="352000"/>
    <n v="1528.5"/>
    <n v="101.9"/>
    <n v="500"/>
  </r>
  <r>
    <s v="KHI/HO/D/MO/MC COMP/P/95831/08/2024"/>
    <m/>
    <x v="6"/>
    <d v="2024-10-24T00:00:00"/>
    <d v="2025-10-23T00:00:00"/>
    <s v="M SAAD ZAHID"/>
    <s v="SUZUKI-GS 150"/>
    <n v="13370"/>
    <n v="11095"/>
    <m/>
    <m/>
    <m/>
    <m/>
    <s v="30089073"/>
    <d v="2024-08-22T00:00:00"/>
    <s v="MOTORCYCLE  COMPREHENSIVE"/>
    <n v="382000"/>
    <n v="1664.25"/>
    <n v="110.95"/>
    <n v="500"/>
  </r>
  <r>
    <s v="KHI/HO/D/MO/MC COMP/P/95832/08/2024"/>
    <m/>
    <x v="6"/>
    <d v="2024-11-02T00:00:00"/>
    <d v="2025-11-01T00:00:00"/>
    <s v="YASIR NASEER AHMED"/>
    <s v="SUZUKI-GS 150"/>
    <n v="13370"/>
    <n v="11095"/>
    <m/>
    <m/>
    <m/>
    <m/>
    <s v="30089442"/>
    <d v="2024-08-22T00:00:00"/>
    <s v="MOTORCYCLE  COMPREHENSIVE"/>
    <n v="382000"/>
    <n v="1664.25"/>
    <n v="110.95"/>
    <n v="500"/>
  </r>
  <r>
    <s v="KHI/HO/D/MO/MC COMP/P/95833/08/2024"/>
    <m/>
    <x v="6"/>
    <d v="2024-10-21T00:00:00"/>
    <d v="2025-10-20T00:00:00"/>
    <s v="USAMA ALI"/>
    <s v="SUZUKI-GD-110S"/>
    <n v="11725"/>
    <n v="9676"/>
    <m/>
    <m/>
    <m/>
    <m/>
    <s v="136676"/>
    <d v="2024-08-22T00:00:00"/>
    <s v="MOTORCYCLE  COMPREHENSIVE"/>
    <n v="335000"/>
    <n v="1451.4"/>
    <n v="96.76"/>
    <n v="500"/>
  </r>
  <r>
    <s v="KHI/HO/D/MO/MC COMP/P/95834/08/2024"/>
    <m/>
    <x v="7"/>
    <d v="2024-08-22T00:00:00"/>
    <d v="2025-08-22T00:00:00"/>
    <s v="SYED HAMMAD AJAZ"/>
    <s v="SUZUKI-GD-110S"/>
    <n v="14960"/>
    <n v="12466"/>
    <m/>
    <m/>
    <m/>
    <m/>
    <s v="147297"/>
    <d v="2024-08-22T00:00:00"/>
    <s v="MOTORCYCLE  COMPREHENSIVE"/>
    <n v="352000"/>
    <n v="1869.9"/>
    <n v="124.66"/>
    <n v="500"/>
  </r>
  <r>
    <s v="KHI/HO/D/MO/MC COMP/P/95837/08/2024"/>
    <m/>
    <x v="17"/>
    <d v="2024-08-22T00:00:00"/>
    <d v="2025-08-22T00:00:00"/>
    <s v="MUHAMMAD USAMA"/>
    <s v="SUZUKI-GR150 EURO II"/>
    <n v="13675"/>
    <n v="11358"/>
    <m/>
    <m/>
    <m/>
    <m/>
    <s v="113558"/>
    <d v="2024-08-22T00:00:00"/>
    <s v="MOTORCYCLE  COMPREHENSIVE"/>
    <n v="547000"/>
    <n v="1703.7"/>
    <n v="113.58"/>
    <n v="500"/>
  </r>
  <r>
    <s v="KHI/HO/D/MO/MC COMP/P/95859/08/2024"/>
    <m/>
    <x v="1"/>
    <d v="2024-08-23T00:00:00"/>
    <d v="2025-08-23T00:00:00"/>
    <s v="MUHAMMAD ARIF"/>
    <s v="SUZUKI-GD-110S"/>
    <n v="14960"/>
    <n v="12466"/>
    <m/>
    <m/>
    <m/>
    <m/>
    <s v="147318"/>
    <d v="2024-08-23T00:00:00"/>
    <s v="MOTORCYCLE  COMPREHENSIVE"/>
    <n v="352000"/>
    <n v="1869.9"/>
    <n v="124.66"/>
    <n v="500"/>
  </r>
  <r>
    <s v="KHI/HO/D/MO/MC COMP/P/95860/08/2024"/>
    <m/>
    <x v="1"/>
    <d v="2025-08-24T00:00:00"/>
    <d v="2026-08-24T00:00:00"/>
    <s v="MUHAMMAD ARIF"/>
    <s v="SUZUKI-GD-110S"/>
    <n v="14960"/>
    <n v="12466"/>
    <m/>
    <m/>
    <m/>
    <m/>
    <s v="147318"/>
    <d v="2024-08-23T00:00:00"/>
    <s v="MOTORCYCLE  COMPREHENSIVE"/>
    <n v="352000"/>
    <n v="1869.9"/>
    <n v="124.66"/>
    <n v="500"/>
  </r>
  <r>
    <s v="KHI/HO/D/MO/MC COMP/P/95866/08/2024"/>
    <m/>
    <x v="21"/>
    <d v="2024-08-23T00:00:00"/>
    <d v="2025-08-23T00:00:00"/>
    <s v="MUHAMMAD IMRAN"/>
    <s v="SUZUKI-GD-110S"/>
    <n v="8800"/>
    <n v="7155"/>
    <m/>
    <m/>
    <m/>
    <m/>
    <s v="147409"/>
    <d v="2024-08-23T00:00:00"/>
    <s v="MOTORCYCLE  COMPREHENSIVE"/>
    <n v="352000"/>
    <n v="1073.25"/>
    <n v="71.55"/>
    <n v="500"/>
  </r>
  <r>
    <s v="KHI/HO/D/MO/MC COMP/P/95867/08/2024"/>
    <m/>
    <x v="12"/>
    <d v="2024-08-23T00:00:00"/>
    <d v="2025-08-23T00:00:00"/>
    <s v="HANNAN"/>
    <s v="SUZUKI-GR150 EURO II"/>
    <n v="23248"/>
    <n v="19610"/>
    <m/>
    <m/>
    <m/>
    <m/>
    <s v="113502"/>
    <d v="2024-08-23T00:00:00"/>
    <s v="MOTORCYCLE  COMPREHENSIVE"/>
    <n v="547000"/>
    <n v="2941.5"/>
    <n v="196.1"/>
    <n v="500"/>
  </r>
  <r>
    <s v="KHI/HO/D/MO/MC COMP/P/95868/08/2024"/>
    <m/>
    <x v="3"/>
    <d v="2024-08-23T00:00:00"/>
    <d v="2025-08-23T00:00:00"/>
    <s v="SYED IMRAN SHAH GILLANI"/>
    <s v="SUZUKI-GD-110S"/>
    <n v="8800"/>
    <n v="7155"/>
    <m/>
    <m/>
    <m/>
    <m/>
    <s v="146509"/>
    <d v="2024-08-23T00:00:00"/>
    <s v="MOTORCYCLE  COMPREHENSIVE"/>
    <n v="352000"/>
    <n v="1073.25"/>
    <n v="71.55"/>
    <n v="500"/>
  </r>
  <r>
    <s v="KHI/HO/D/MO/MC COMP/P/95869/08/2024"/>
    <m/>
    <x v="2"/>
    <d v="2024-08-23T00:00:00"/>
    <d v="2025-08-23T00:00:00"/>
    <s v="IRSHAD AKHTAR"/>
    <s v="SUZUKI-GD-110S"/>
    <n v="14960"/>
    <n v="12466"/>
    <m/>
    <m/>
    <m/>
    <m/>
    <s v="146030"/>
    <d v="2024-08-23T00:00:00"/>
    <s v="MOTORCYCLE  COMPREHENSIVE"/>
    <n v="352000"/>
    <n v="1869.9"/>
    <n v="124.66"/>
    <n v="500"/>
  </r>
  <r>
    <s v="KHI/HO/D/MO/MC COMP/P/95870/08/2024"/>
    <m/>
    <x v="22"/>
    <d v="2024-08-23T00:00:00"/>
    <d v="2025-08-23T00:00:00"/>
    <s v="MUHAMMAD WASEEM"/>
    <s v="SUZUKI-GD-110S"/>
    <n v="8800"/>
    <n v="7155"/>
    <m/>
    <m/>
    <m/>
    <m/>
    <s v="145022"/>
    <d v="2024-08-23T00:00:00"/>
    <s v="MOTORCYCLE  COMPREHENSIVE"/>
    <n v="352000"/>
    <n v="1073.25"/>
    <n v="71.55"/>
    <n v="500"/>
  </r>
  <r>
    <s v="KHI/HO/D/MO/MC COMP/P/95871/08/2024"/>
    <m/>
    <x v="22"/>
    <d v="2024-08-23T00:00:00"/>
    <d v="2025-08-23T00:00:00"/>
    <s v="MUHAMMAD ISHAQUE"/>
    <s v="SUZUKI-GR150 EURO II"/>
    <n v="13675"/>
    <n v="11358"/>
    <m/>
    <m/>
    <m/>
    <m/>
    <s v="113449"/>
    <d v="2024-08-23T00:00:00"/>
    <s v="MOTORCYCLE  COMPREHENSIVE"/>
    <n v="547000"/>
    <n v="1703.7"/>
    <n v="113.58"/>
    <n v="500"/>
  </r>
  <r>
    <s v="KHI/HO/D/MO/MC COMP/P/95872/08/2024"/>
    <m/>
    <x v="22"/>
    <d v="2024-08-23T00:00:00"/>
    <d v="2025-08-23T00:00:00"/>
    <s v="KASHIF SIDDIQUE"/>
    <s v="SUZUKI-GD-110S"/>
    <n v="8800"/>
    <n v="7155"/>
    <m/>
    <m/>
    <m/>
    <m/>
    <s v="145172"/>
    <d v="2024-08-23T00:00:00"/>
    <s v="MOTORCYCLE  COMPREHENSIVE"/>
    <n v="352000"/>
    <n v="1073.25"/>
    <n v="71.55"/>
    <n v="500"/>
  </r>
  <r>
    <s v="KHI/HO/D/MO/MC COMP/P/95873/08/2024"/>
    <m/>
    <x v="22"/>
    <d v="2024-08-23T00:00:00"/>
    <d v="2025-08-23T00:00:00"/>
    <s v="ABRAR ALI"/>
    <s v="SUZUKI-GD-110S"/>
    <n v="8800"/>
    <n v="7155"/>
    <m/>
    <m/>
    <m/>
    <m/>
    <s v="145442"/>
    <d v="2024-08-23T00:00:00"/>
    <s v="MOTORCYCLE  COMPREHENSIVE"/>
    <n v="352000"/>
    <n v="1073.25"/>
    <n v="71.55"/>
    <n v="500"/>
  </r>
  <r>
    <s v="KHI/HO/D/MO/MC COMP/P/95878/08/2024"/>
    <m/>
    <x v="7"/>
    <d v="2024-08-23T00:00:00"/>
    <d v="2025-08-23T00:00:00"/>
    <s v="REHMAN WAHID"/>
    <s v="SUZUKI-GR150 EURO II"/>
    <n v="23248"/>
    <n v="19610"/>
    <m/>
    <m/>
    <m/>
    <m/>
    <s v="113563"/>
    <d v="2024-08-23T00:00:00"/>
    <s v="MOTORCYCLE  COMPREHENSIVE"/>
    <n v="547000"/>
    <n v="2941.5"/>
    <n v="196.1"/>
    <n v="500"/>
  </r>
  <r>
    <s v="KHI/HO/D/MO/MC COMP/P/95879/08/2024"/>
    <m/>
    <x v="7"/>
    <d v="2025-08-24T00:00:00"/>
    <d v="2026-08-24T00:00:00"/>
    <s v="REHMAN WAHID"/>
    <s v="SUZUKI-GR150 EURO II"/>
    <n v="23248"/>
    <n v="19610"/>
    <m/>
    <m/>
    <m/>
    <m/>
    <s v="113563"/>
    <d v="2024-08-23T00:00:00"/>
    <s v="MOTORCYCLE  COMPREHENSIVE"/>
    <n v="547000"/>
    <n v="2941.5"/>
    <n v="196.1"/>
    <n v="500"/>
  </r>
  <r>
    <s v="KHI/HO/D/MO/MC COMP/P/95880/08/2024"/>
    <m/>
    <x v="1"/>
    <d v="2024-08-23T00:00:00"/>
    <d v="2025-08-23T00:00:00"/>
    <s v="SIKANDER ALI"/>
    <s v="SUZUKI-GD-110S"/>
    <n v="14960"/>
    <n v="12466"/>
    <m/>
    <m/>
    <m/>
    <m/>
    <s v="147319"/>
    <d v="2024-08-23T00:00:00"/>
    <s v="MOTORCYCLE  COMPREHENSIVE"/>
    <n v="352000"/>
    <n v="1869.9"/>
    <n v="124.66"/>
    <n v="500"/>
  </r>
  <r>
    <s v="KHI/HO/D/MO/MC COMP/P/95884/08/2024"/>
    <m/>
    <x v="11"/>
    <d v="2024-08-23T00:00:00"/>
    <d v="2025-08-23T00:00:00"/>
    <s v="MUSTAFA"/>
    <s v="SUZUKI-GD-110S"/>
    <n v="14960"/>
    <n v="12466"/>
    <m/>
    <m/>
    <m/>
    <m/>
    <s v="146699"/>
    <d v="2024-08-23T00:00:00"/>
    <s v="MOTORCYCLE  COMPREHENSIVE"/>
    <n v="352000"/>
    <n v="1869.9"/>
    <n v="124.66"/>
    <n v="500"/>
  </r>
  <r>
    <s v="KHI/HO/D/MO/MC COMP/P/95885/08/2024"/>
    <m/>
    <x v="7"/>
    <d v="2024-08-23T00:00:00"/>
    <d v="2025-08-23T00:00:00"/>
    <s v="LATEEF SOHAIL"/>
    <s v="SUZUKI-GD-110S"/>
    <n v="14960"/>
    <n v="12466"/>
    <m/>
    <m/>
    <m/>
    <m/>
    <s v="145676"/>
    <d v="2024-08-23T00:00:00"/>
    <s v="MOTORCYCLE  COMPREHENSIVE"/>
    <n v="352000"/>
    <n v="1869.9"/>
    <n v="124.66"/>
    <n v="500"/>
  </r>
  <r>
    <s v="KHI/HO/D/MO/MC COMP/P/95888/08/2024"/>
    <m/>
    <x v="10"/>
    <d v="2024-08-23T00:00:00"/>
    <d v="2025-08-23T00:00:00"/>
    <s v="ZAHID ALI KHAN"/>
    <s v="SUZUKI-GD-110S"/>
    <n v="14960"/>
    <n v="12466"/>
    <m/>
    <m/>
    <m/>
    <m/>
    <s v="146806"/>
    <d v="2024-08-23T00:00:00"/>
    <s v="MOTORCYCLE  COMPREHENSIVE"/>
    <n v="352000"/>
    <n v="1869.9"/>
    <n v="124.66"/>
    <n v="500"/>
  </r>
  <r>
    <s v="KHI/HO/D/MO/MC COMP/P/95889/08/2024"/>
    <m/>
    <x v="3"/>
    <d v="2024-08-23T00:00:00"/>
    <d v="2025-08-23T00:00:00"/>
    <s v="SALAH UD DIN"/>
    <s v="SUZUKI-GD-110S"/>
    <n v="8800"/>
    <n v="7155"/>
    <m/>
    <m/>
    <m/>
    <m/>
    <s v="146988"/>
    <d v="2024-08-23T00:00:00"/>
    <s v="MOTORCYCLE  COMPREHENSIVE"/>
    <n v="352000"/>
    <n v="1073.25"/>
    <n v="71.55"/>
    <n v="500"/>
  </r>
  <r>
    <s v="KHI/HO/D/MO/MC COMP/P/95892/08/2024"/>
    <m/>
    <x v="7"/>
    <d v="2024-08-23T00:00:00"/>
    <d v="2025-08-23T00:00:00"/>
    <s v="SAAD HASAN"/>
    <s v="SUZUKI-GD-110S"/>
    <n v="14960"/>
    <n v="12466"/>
    <m/>
    <m/>
    <m/>
    <m/>
    <s v="147304"/>
    <d v="2024-08-23T00:00:00"/>
    <s v="MOTORCYCLE  COMPREHENSIVE"/>
    <n v="352000"/>
    <n v="1869.9"/>
    <n v="124.66"/>
    <n v="500"/>
  </r>
  <r>
    <s v="KHI/HO/D/MO/MC COMP/P/95893/08/2024"/>
    <m/>
    <x v="7"/>
    <d v="2025-08-24T00:00:00"/>
    <d v="2026-08-24T00:00:00"/>
    <s v="SAAD HASAN"/>
    <s v="SUZUKI-GD-110S"/>
    <n v="14960"/>
    <n v="12466"/>
    <m/>
    <m/>
    <m/>
    <m/>
    <s v="147304"/>
    <d v="2024-08-23T00:00:00"/>
    <s v="MOTORCYCLE  COMPREHENSIVE"/>
    <n v="352000"/>
    <n v="1869.9"/>
    <n v="124.66"/>
    <n v="500"/>
  </r>
  <r>
    <s v="KHI/HO/D/MO/MC COMP/P/95895/08/2024"/>
    <m/>
    <x v="22"/>
    <d v="2024-08-23T00:00:00"/>
    <d v="2025-08-23T00:00:00"/>
    <s v="MUHAMMAD YOUNAS"/>
    <s v="SUZUKI-GR150 EURO II"/>
    <n v="13675"/>
    <n v="11358"/>
    <m/>
    <m/>
    <m/>
    <m/>
    <s v="113447"/>
    <d v="2024-08-23T00:00:00"/>
    <s v="MOTORCYCLE  COMPREHENSIVE"/>
    <n v="547000"/>
    <n v="1703.7"/>
    <n v="113.58"/>
    <n v="500"/>
  </r>
  <r>
    <s v="KHI/HO/D/MO/MC COMP/P/95896/08/2024"/>
    <m/>
    <x v="10"/>
    <d v="2024-08-23T00:00:00"/>
    <d v="2025-08-23T00:00:00"/>
    <s v="UMAIR KHAN"/>
    <s v="SUZUKI-GSX 125"/>
    <n v="21208"/>
    <n v="17852"/>
    <m/>
    <m/>
    <m/>
    <m/>
    <s v="23100018"/>
    <d v="2024-08-23T00:00:00"/>
    <s v="MOTORCYCLE  COMPREHENSIVE"/>
    <n v="499000"/>
    <n v="2677.8"/>
    <n v="178.52"/>
    <n v="500"/>
  </r>
  <r>
    <s v="KHI/HO/D/MO/MC COMP/P/95898/08/2024"/>
    <m/>
    <x v="22"/>
    <d v="2024-08-23T00:00:00"/>
    <d v="2025-08-23T00:00:00"/>
    <s v="NAUMAN ZULFIQAR"/>
    <s v="SUZUKI-GD-110S"/>
    <n v="8800"/>
    <n v="7155"/>
    <m/>
    <m/>
    <m/>
    <m/>
    <s v="146577"/>
    <d v="2024-08-23T00:00:00"/>
    <s v="MOTORCYCLE  COMPREHENSIVE"/>
    <n v="352000"/>
    <n v="1073.25"/>
    <n v="71.55"/>
    <n v="500"/>
  </r>
  <r>
    <s v="KHI/HO/D/MO/MC COMP/P/95904/08/2024"/>
    <m/>
    <x v="22"/>
    <d v="2024-08-23T00:00:00"/>
    <d v="2025-08-23T00:00:00"/>
    <s v="AZIZ UL HASSAN"/>
    <s v="SUZUKI-GD-110S"/>
    <n v="8800"/>
    <n v="7155"/>
    <m/>
    <m/>
    <m/>
    <m/>
    <s v="146231"/>
    <d v="2024-08-23T00:00:00"/>
    <s v="MOTORCYCLE  COMPREHENSIVE"/>
    <n v="352000"/>
    <n v="1073.25"/>
    <n v="71.55"/>
    <n v="500"/>
  </r>
  <r>
    <s v="KHI/HO/D/MO/MC COMP/P/95905/08/2024"/>
    <m/>
    <x v="22"/>
    <d v="2024-08-23T00:00:00"/>
    <d v="2025-08-23T00:00:00"/>
    <s v="NADEEM RAZA"/>
    <s v="SUZUKI-GD-110S"/>
    <n v="8800"/>
    <n v="7155"/>
    <m/>
    <m/>
    <m/>
    <m/>
    <s v="146159"/>
    <d v="2024-08-23T00:00:00"/>
    <s v="MOTORCYCLE  COMPREHENSIVE"/>
    <n v="352000"/>
    <n v="1073.25"/>
    <n v="71.55"/>
    <n v="500"/>
  </r>
  <r>
    <s v="KHI/HO/D/MO/MC COMP/P/95906/08/2024"/>
    <m/>
    <x v="22"/>
    <d v="2024-08-23T00:00:00"/>
    <d v="2025-08-23T00:00:00"/>
    <s v="ARSLAN AHMAD"/>
    <s v="SUZUKI-GD-110S"/>
    <n v="8800"/>
    <n v="7155"/>
    <m/>
    <m/>
    <m/>
    <m/>
    <s v="146220"/>
    <d v="2024-08-23T00:00:00"/>
    <s v="MOTORCYCLE  COMPREHENSIVE"/>
    <n v="352000"/>
    <n v="1073.25"/>
    <n v="71.55"/>
    <n v="500"/>
  </r>
  <r>
    <s v="KHI/HO/D/MO/MC COMP/P/95907/08/2024"/>
    <m/>
    <x v="10"/>
    <d v="2024-08-23T00:00:00"/>
    <d v="2025-08-23T00:00:00"/>
    <s v="SHAHID ALAM"/>
    <s v="SUZUKI-GD-110S"/>
    <n v="14960"/>
    <n v="12466"/>
    <m/>
    <m/>
    <m/>
    <m/>
    <s v="146862"/>
    <d v="2024-08-23T00:00:00"/>
    <s v="MOTORCYCLE  COMPREHENSIVE"/>
    <n v="352000"/>
    <n v="1869.9"/>
    <n v="124.66"/>
    <n v="500"/>
  </r>
  <r>
    <s v="KHI/HO/D/MO/MC COMP/P/95908/08/2024"/>
    <m/>
    <x v="10"/>
    <d v="2025-08-24T00:00:00"/>
    <d v="2026-08-24T00:00:00"/>
    <s v="SHAHID ALAM"/>
    <s v="SUZUKI-GD-110S"/>
    <n v="14960"/>
    <n v="12466"/>
    <m/>
    <m/>
    <m/>
    <m/>
    <s v="146862"/>
    <d v="2024-08-23T00:00:00"/>
    <s v="MOTORCYCLE  COMPREHENSIVE"/>
    <n v="352000"/>
    <n v="1869.9"/>
    <n v="124.66"/>
    <n v="500"/>
  </r>
  <r>
    <s v="KHI/HO/D/MO/MC COMP/P/95909/08/2024"/>
    <m/>
    <x v="22"/>
    <d v="2024-08-23T00:00:00"/>
    <d v="2025-08-23T00:00:00"/>
    <s v="MUHAMMAD NAEEM"/>
    <s v="SUZUKI-GD-110S"/>
    <n v="8800"/>
    <n v="7155"/>
    <m/>
    <m/>
    <m/>
    <m/>
    <s v="146229"/>
    <d v="2024-08-23T00:00:00"/>
    <s v="MOTORCYCLE  COMPREHENSIVE"/>
    <n v="352000"/>
    <n v="1073.25"/>
    <n v="71.55"/>
    <n v="500"/>
  </r>
  <r>
    <s v="KHI/HO/D/MO/MC COMP/P/95910/08/2024"/>
    <m/>
    <x v="12"/>
    <d v="2024-08-23T00:00:00"/>
    <d v="2025-08-23T00:00:00"/>
    <s v="SHERAZ"/>
    <s v="SUZUKI-GD-110S"/>
    <n v="14960"/>
    <n v="12466"/>
    <m/>
    <m/>
    <m/>
    <m/>
    <s v="147303"/>
    <d v="2024-08-23T00:00:00"/>
    <s v="MOTORCYCLE  COMPREHENSIVE"/>
    <n v="352000"/>
    <n v="1869.9"/>
    <n v="124.66"/>
    <n v="500"/>
  </r>
  <r>
    <s v="KHI/HO/D/MO/MC COMP/P/95912/08/2024"/>
    <m/>
    <x v="22"/>
    <d v="2024-08-23T00:00:00"/>
    <d v="2025-08-23T00:00:00"/>
    <s v="MUHAMMAD IRFAN"/>
    <s v="SUZUKI-GD-110S"/>
    <n v="8800"/>
    <n v="7155"/>
    <m/>
    <m/>
    <m/>
    <m/>
    <s v="146573"/>
    <d v="2024-08-23T00:00:00"/>
    <s v="MOTORCYCLE  COMPREHENSIVE"/>
    <n v="352000"/>
    <n v="1073.25"/>
    <n v="71.55"/>
    <n v="500"/>
  </r>
  <r>
    <s v="KHI/HO/D/MO/MC COMP/P/95916/08/2024"/>
    <m/>
    <x v="12"/>
    <d v="2024-08-23T00:00:00"/>
    <d v="2025-08-23T00:00:00"/>
    <s v="TARIQ AZIZ"/>
    <s v="SUZUKI-GD-110S"/>
    <n v="14960"/>
    <n v="12466"/>
    <m/>
    <m/>
    <m/>
    <m/>
    <s v="147265"/>
    <d v="2024-08-23T00:00:00"/>
    <s v="MOTORCYCLE  COMPREHENSIVE"/>
    <n v="352000"/>
    <n v="1869.9"/>
    <n v="124.66"/>
    <n v="500"/>
  </r>
  <r>
    <s v="KHI/HO/D/MO/MC COMP/P/95917/08/2024"/>
    <m/>
    <x v="6"/>
    <d v="2024-08-23T00:00:00"/>
    <d v="2025-08-23T00:00:00"/>
    <s v="MUHAMMAD NOMAN"/>
    <s v="SUZUKI-GD-110S"/>
    <n v="14960.000000000002"/>
    <n v="12396.551724137933"/>
    <n v="4.2500000000000003E-2"/>
    <n v="14960.000000000002"/>
    <n v="12396.551724137933"/>
    <n v="0"/>
    <s v="146668"/>
    <d v="2024-08-23T00:00:00"/>
    <s v="MOTORCYCLE  COMPREHENSIVE"/>
    <n v="352000"/>
    <n v="1859.4827586206898"/>
    <n v="123.96551724137933"/>
    <n v="500"/>
  </r>
  <r>
    <s v="KHI/HO/D/MO/MC COMP/P/95918/08/2024"/>
    <m/>
    <x v="6"/>
    <d v="2024-08-23T00:00:00"/>
    <d v="2025-08-23T00:00:00"/>
    <s v="AQAL KHAN"/>
    <s v="SUZUKI-GD-110S"/>
    <n v="14960"/>
    <n v="12466"/>
    <m/>
    <m/>
    <m/>
    <m/>
    <s v="146654"/>
    <d v="2024-08-23T00:00:00"/>
    <s v="MOTORCYCLE  COMPREHENSIVE"/>
    <n v="352000"/>
    <n v="1869.9"/>
    <n v="124.66"/>
    <n v="500"/>
  </r>
  <r>
    <s v="KHI/HO/D/MO/MC COMP/P/95919/08/2024"/>
    <m/>
    <x v="6"/>
    <d v="2025-08-24T00:00:00"/>
    <d v="2026-08-24T00:00:00"/>
    <s v="AQAL KHAN"/>
    <s v="SUZUKI-GD-110S"/>
    <n v="14960"/>
    <n v="12466"/>
    <m/>
    <m/>
    <m/>
    <m/>
    <s v="146654"/>
    <d v="2024-08-23T00:00:00"/>
    <s v="MOTORCYCLE  COMPREHENSIVE"/>
    <n v="352000"/>
    <n v="1869.9"/>
    <n v="124.66"/>
    <n v="500"/>
  </r>
  <r>
    <s v="KHI/HO/D/MO/MC COMP/P/95920/08/2024"/>
    <m/>
    <x v="6"/>
    <d v="2024-08-23T00:00:00"/>
    <d v="2025-08-23T00:00:00"/>
    <s v="M SAJID SIDDIQUI"/>
    <s v="SUZUKI-GD-110S"/>
    <n v="14960"/>
    <n v="12466"/>
    <m/>
    <m/>
    <m/>
    <m/>
    <s v="146195"/>
    <d v="2024-08-23T00:00:00"/>
    <s v="MOTORCYCLE  COMPREHENSIVE"/>
    <n v="352000"/>
    <n v="1869.9"/>
    <n v="124.66"/>
    <n v="500"/>
  </r>
  <r>
    <s v="KHI/HO/D/MO/MC COMP/P/95921/08/2024"/>
    <m/>
    <x v="6"/>
    <d v="2025-08-24T00:00:00"/>
    <d v="2026-08-24T00:00:00"/>
    <s v="M SAJID SIDDIQUI"/>
    <s v="SUZUKI-GD-110S"/>
    <n v="14960"/>
    <n v="12466"/>
    <m/>
    <m/>
    <m/>
    <m/>
    <s v="146195"/>
    <d v="2024-08-23T00:00:00"/>
    <s v="MOTORCYCLE  COMPREHENSIVE"/>
    <n v="352000"/>
    <n v="1869.9"/>
    <n v="124.66"/>
    <n v="500"/>
  </r>
  <r>
    <s v="KHI/HO/D/MO/MC COMP/P/95923/08/2024"/>
    <m/>
    <x v="9"/>
    <d v="2024-08-24T00:00:00"/>
    <d v="2025-08-24T00:00:00"/>
    <s v="SYED HAIDER ALI ASGHAR S/O SYED ALI ASGHAR"/>
    <s v="SUZUKI-GS 150"/>
    <n v="9550"/>
    <n v="7802"/>
    <m/>
    <m/>
    <m/>
    <m/>
    <s v="30092463"/>
    <d v="2024-08-24T00:00:00"/>
    <s v="MOTORCYCLE  COMPREHENSIVE"/>
    <n v="382000"/>
    <n v="1170.3"/>
    <n v="78.02"/>
    <n v="500"/>
  </r>
  <r>
    <s v="KHI/HO/D/MO/MC COMP/P/95928/08/2024"/>
    <m/>
    <x v="27"/>
    <d v="2024-08-24T00:00:00"/>
    <d v="2025-08-24T00:00:00"/>
    <s v="GHULAM MUSTAFA"/>
    <s v="SUZUKI-GD-110S"/>
    <n v="8800"/>
    <n v="7155"/>
    <m/>
    <m/>
    <m/>
    <m/>
    <s v="145669"/>
    <d v="2024-08-24T00:00:00"/>
    <s v="MOTORCYCLE  COMPREHENSIVE"/>
    <n v="352000"/>
    <n v="1073.25"/>
    <n v="71.55"/>
    <n v="500"/>
  </r>
  <r>
    <s v="KHI/HO/D/MO/MC COMP/P/95930/08/2024"/>
    <m/>
    <x v="27"/>
    <d v="2024-08-24T00:00:00"/>
    <d v="2025-08-24T00:00:00"/>
    <s v="ABDULLAH"/>
    <s v="SUZUKI-GD-110S"/>
    <n v="8800"/>
    <n v="7155"/>
    <m/>
    <m/>
    <m/>
    <m/>
    <s v="145192"/>
    <d v="2024-08-24T00:00:00"/>
    <s v="MOTORCYCLE  COMPREHENSIVE"/>
    <n v="352000"/>
    <n v="1073.25"/>
    <n v="71.55"/>
    <n v="500"/>
  </r>
  <r>
    <s v="KHI/HO/D/MO/MC COMP/P/95931/08/2024"/>
    <m/>
    <x v="27"/>
    <d v="2024-08-24T00:00:00"/>
    <d v="2025-08-24T00:00:00"/>
    <s v="ALEEM ZULFIQAR"/>
    <s v="SUZUKI-GD-110S"/>
    <n v="8800"/>
    <n v="7155"/>
    <m/>
    <m/>
    <m/>
    <m/>
    <s v="145229"/>
    <d v="2024-08-24T00:00:00"/>
    <s v="MOTORCYCLE  COMPREHENSIVE"/>
    <n v="352000"/>
    <n v="1073.25"/>
    <n v="71.55"/>
    <n v="500"/>
  </r>
  <r>
    <s v="KHI/HO/D/MO/MC COMP/P/95932/08/2024"/>
    <m/>
    <x v="27"/>
    <d v="2024-08-24T00:00:00"/>
    <d v="2025-08-24T00:00:00"/>
    <s v="MUHAMMAD HANZALA"/>
    <s v="SUZUKI-GS 150"/>
    <n v="9550"/>
    <n v="7802"/>
    <m/>
    <m/>
    <m/>
    <m/>
    <s v="30091843"/>
    <d v="2024-08-24T00:00:00"/>
    <s v="MOTORCYCLE  COMPREHENSIVE"/>
    <n v="382000"/>
    <n v="1170.3"/>
    <n v="78.02"/>
    <n v="500"/>
  </r>
  <r>
    <s v="KHI/HO/D/MO/MC COMP/P/95933/08/2024"/>
    <m/>
    <x v="27"/>
    <d v="2024-08-24T00:00:00"/>
    <d v="2025-08-24T00:00:00"/>
    <s v="MUHAMMAD SAGHEER"/>
    <s v="SUZUKI-GD-110S"/>
    <n v="8800"/>
    <n v="7155"/>
    <m/>
    <m/>
    <m/>
    <m/>
    <s v="145300"/>
    <d v="2024-08-24T00:00:00"/>
    <s v="MOTORCYCLE  COMPREHENSIVE"/>
    <n v="352000"/>
    <n v="1073.25"/>
    <n v="71.55"/>
    <n v="500"/>
  </r>
  <r>
    <s v="KHI/HO/D/MO/MC COMP/P/95935/08/2024"/>
    <m/>
    <x v="27"/>
    <d v="2024-08-24T00:00:00"/>
    <d v="2025-08-24T00:00:00"/>
    <s v="REHMAN SHABIR"/>
    <s v="SUZUKI-GD-110S"/>
    <n v="8800"/>
    <n v="7155"/>
    <m/>
    <m/>
    <m/>
    <m/>
    <s v="145103"/>
    <d v="2024-08-24T00:00:00"/>
    <s v="MOTORCYCLE  COMPREHENSIVE"/>
    <n v="352000"/>
    <n v="1073.25"/>
    <n v="71.55"/>
    <n v="500"/>
  </r>
  <r>
    <s v="KHI/HO/D/MO/MC COMP/P/95936/08/2024"/>
    <m/>
    <x v="27"/>
    <d v="2024-08-24T00:00:00"/>
    <d v="2025-08-24T00:00:00"/>
    <s v="AHMAD ALI"/>
    <s v="SUZUKI-GD-110S"/>
    <n v="8800"/>
    <n v="7155"/>
    <m/>
    <m/>
    <m/>
    <m/>
    <s v="145665"/>
    <d v="2024-08-24T00:00:00"/>
    <s v="MOTORCYCLE  COMPREHENSIVE"/>
    <n v="352000"/>
    <n v="1073.25"/>
    <n v="71.55"/>
    <n v="500"/>
  </r>
  <r>
    <s v="KHI/HO/D/MO/MC COMP/P/95937/08/2024"/>
    <m/>
    <x v="17"/>
    <d v="2024-08-24T00:00:00"/>
    <d v="2025-08-24T00:00:00"/>
    <s v="MUHAMMAD SAEED"/>
    <s v="SUZUKI-GSX 125"/>
    <n v="12475"/>
    <n v="10323"/>
    <m/>
    <m/>
    <m/>
    <m/>
    <s v="23102603"/>
    <d v="2024-08-24T00:00:00"/>
    <s v="MOTORCYCLE  COMPREHENSIVE"/>
    <n v="499000"/>
    <n v="1548.45"/>
    <n v="103.23"/>
    <n v="500"/>
  </r>
  <r>
    <s v="KHI/HO/D/MO/MC COMP/P/95942/08/2024"/>
    <m/>
    <x v="6"/>
    <d v="2024-08-24T00:00:00"/>
    <d v="2025-08-24T00:00:00"/>
    <s v="S IMRAN JUNAID"/>
    <s v="SUZUKI-GD-110S"/>
    <n v="14960"/>
    <n v="12466"/>
    <m/>
    <m/>
    <m/>
    <m/>
    <s v="146192"/>
    <d v="2024-08-24T00:00:00"/>
    <s v="MOTORCYCLE  COMPREHENSIVE"/>
    <n v="352000"/>
    <n v="1869.9"/>
    <n v="124.66"/>
    <n v="500"/>
  </r>
  <r>
    <s v="KHI/HO/D/MO/MC COMP/P/95943/08/2024"/>
    <m/>
    <x v="6"/>
    <d v="2025-08-25T00:00:00"/>
    <d v="2026-08-25T00:00:00"/>
    <s v="S IMRAN JUNAID"/>
    <s v="SUZUKI-GD-110S"/>
    <n v="14960"/>
    <n v="12466"/>
    <m/>
    <m/>
    <m/>
    <m/>
    <s v="146192"/>
    <d v="2024-08-24T00:00:00"/>
    <s v="MOTORCYCLE  COMPREHENSIVE"/>
    <n v="352000"/>
    <n v="1869.9"/>
    <n v="124.66"/>
    <n v="500"/>
  </r>
  <r>
    <s v="KHI/HO/D/MO/MC COMP/P/95944/08/2024"/>
    <m/>
    <x v="17"/>
    <d v="2024-08-24T00:00:00"/>
    <d v="2025-08-24T00:00:00"/>
    <s v="BILAL YAQOOB MUGHAL"/>
    <s v="SUZUKI-GR150 EURO II"/>
    <n v="13675"/>
    <n v="11358"/>
    <m/>
    <m/>
    <m/>
    <m/>
    <s v="113554"/>
    <d v="2024-08-24T00:00:00"/>
    <s v="MOTORCYCLE  COMPREHENSIVE"/>
    <n v="547000"/>
    <n v="1703.7"/>
    <n v="113.58"/>
    <n v="500"/>
  </r>
  <r>
    <s v="KHI/HO/D/MO/MC COMP/P/95945/08/2024"/>
    <m/>
    <x v="10"/>
    <d v="2024-08-24T00:00:00"/>
    <d v="2025-08-24T00:00:00"/>
    <s v="TAHA KHAN"/>
    <s v="SUZUKI-GR150 EURO II"/>
    <n v="23248"/>
    <n v="19610"/>
    <m/>
    <m/>
    <m/>
    <m/>
    <s v="113562"/>
    <d v="2024-08-24T00:00:00"/>
    <s v="MOTORCYCLE  COMPREHENSIVE"/>
    <n v="547000"/>
    <n v="2941.5"/>
    <n v="196.1"/>
    <n v="500"/>
  </r>
  <r>
    <s v="KHI/HO/D/MO/MC COMP/P/95946/08/2024"/>
    <m/>
    <x v="10"/>
    <d v="2025-08-25T00:00:00"/>
    <d v="2026-08-25T00:00:00"/>
    <s v="TAHA KHAN"/>
    <s v="SUZUKI-GR150 EURO II"/>
    <n v="23248"/>
    <n v="19610"/>
    <m/>
    <m/>
    <m/>
    <m/>
    <s v="113562"/>
    <d v="2024-08-24T00:00:00"/>
    <s v="MOTORCYCLE  COMPREHENSIVE"/>
    <n v="547000"/>
    <n v="2941.5"/>
    <n v="196.1"/>
    <n v="500"/>
  </r>
  <r>
    <s v="KHI/HO/D/MO/MC COMP/P/95947/08/2024"/>
    <m/>
    <x v="11"/>
    <d v="2024-08-24T00:00:00"/>
    <d v="2025-08-24T00:00:00"/>
    <s v="AAMIR"/>
    <s v="SUZUKI-GD-110S"/>
    <n v="14960"/>
    <n v="12466"/>
    <m/>
    <m/>
    <m/>
    <m/>
    <s v="147743"/>
    <d v="2024-08-24T00:00:00"/>
    <s v="MOTORCYCLE  COMPREHENSIVE"/>
    <n v="352000"/>
    <n v="1869.9"/>
    <n v="124.66"/>
    <n v="500"/>
  </r>
  <r>
    <s v="KHI/HO/D/MO/MC COMP/P/95948/08/2024"/>
    <m/>
    <x v="2"/>
    <d v="2024-08-24T00:00:00"/>
    <d v="2025-08-24T00:00:00"/>
    <s v="USAMA YOUNUS"/>
    <s v="SUZUKI-GD-110S"/>
    <n v="14960"/>
    <n v="12466"/>
    <m/>
    <m/>
    <m/>
    <m/>
    <s v="146690"/>
    <d v="2024-08-24T00:00:00"/>
    <s v="MOTORCYCLE  COMPREHENSIVE"/>
    <n v="352000"/>
    <n v="1869.9"/>
    <n v="124.66"/>
    <n v="500"/>
  </r>
  <r>
    <s v="KHI/HO/D/MO/MC COMP/P/95949/08/2024"/>
    <m/>
    <x v="2"/>
    <d v="2025-08-25T00:00:00"/>
    <d v="2026-08-25T00:00:00"/>
    <s v="USAMA YOUNUS"/>
    <s v="SUZUKI-GD-110S"/>
    <n v="14960"/>
    <n v="12466"/>
    <m/>
    <m/>
    <m/>
    <m/>
    <s v="146690"/>
    <d v="2024-08-24T00:00:00"/>
    <s v="MOTORCYCLE  COMPREHENSIVE"/>
    <n v="352000"/>
    <n v="1869.9"/>
    <n v="124.66"/>
    <n v="500"/>
  </r>
  <r>
    <s v="KHI/HO/D/MO/MC COMP/P/95950/08/2024"/>
    <m/>
    <x v="27"/>
    <d v="2024-08-24T00:00:00"/>
    <d v="2025-08-24T00:00:00"/>
    <s v="SOHAIB AZHAR"/>
    <s v="SUZUKI-GD-110S"/>
    <n v="8800"/>
    <n v="7155"/>
    <m/>
    <m/>
    <m/>
    <m/>
    <s v="145302"/>
    <d v="2024-08-24T00:00:00"/>
    <s v="MOTORCYCLE  COMPREHENSIVE"/>
    <n v="352000"/>
    <n v="1073.25"/>
    <n v="71.55"/>
    <n v="500"/>
  </r>
  <r>
    <s v="KHI/HO/D/MO/MC COMP/P/95951/08/2024"/>
    <m/>
    <x v="22"/>
    <d v="2024-08-24T00:00:00"/>
    <d v="2025-08-24T00:00:00"/>
    <s v="MUHAMMAD SHAKEEL"/>
    <s v="SUZUKI-GD-110S"/>
    <n v="8800"/>
    <n v="7155"/>
    <m/>
    <m/>
    <m/>
    <m/>
    <s v="145129"/>
    <d v="2024-08-24T00:00:00"/>
    <s v="MOTORCYCLE  COMPREHENSIVE"/>
    <n v="352000"/>
    <n v="1073.25"/>
    <n v="71.55"/>
    <n v="500"/>
  </r>
  <r>
    <s v="KHI/HO/D/MO/MC COMP/P/95952/08/2024"/>
    <m/>
    <x v="27"/>
    <d v="2024-08-24T00:00:00"/>
    <d v="2025-08-24T00:00:00"/>
    <s v="SHAHZAD REHMAN HUSSAIN"/>
    <s v="SUZUKI-GSX 125"/>
    <n v="12475"/>
    <n v="10323"/>
    <m/>
    <m/>
    <m/>
    <m/>
    <s v="23100454"/>
    <d v="2024-08-24T00:00:00"/>
    <s v="MOTORCYCLE  COMPREHENSIVE"/>
    <n v="499000"/>
    <n v="1548.45"/>
    <n v="103.23"/>
    <n v="500"/>
  </r>
  <r>
    <s v="KHI/HO/D/MO/MC COMP/P/95953/08/2024"/>
    <m/>
    <x v="6"/>
    <d v="2024-08-24T00:00:00"/>
    <d v="2025-08-24T00:00:00"/>
    <s v="H M JAHANZAIB KHAN"/>
    <s v="SUZUKI-GD-110S"/>
    <n v="14960"/>
    <n v="12466"/>
    <m/>
    <m/>
    <m/>
    <m/>
    <s v="145878"/>
    <d v="2024-08-24T00:00:00"/>
    <s v="MOTORCYCLE  COMPREHENSIVE"/>
    <n v="352000"/>
    <n v="1869.9"/>
    <n v="124.66"/>
    <n v="500"/>
  </r>
  <r>
    <s v="KHI/HO/D/MO/MC COMP/P/95954/08/2024"/>
    <m/>
    <x v="6"/>
    <d v="2025-08-25T00:00:00"/>
    <d v="2026-08-25T00:00:00"/>
    <s v="H M JAHANZAIB KHAN"/>
    <s v="SUZUKI-GD-110S"/>
    <n v="14960"/>
    <n v="12466"/>
    <m/>
    <m/>
    <m/>
    <m/>
    <s v="145878"/>
    <d v="2024-08-24T00:00:00"/>
    <s v="MOTORCYCLE  COMPREHENSIVE"/>
    <n v="352000"/>
    <n v="1869.9"/>
    <n v="124.66"/>
    <n v="500"/>
  </r>
  <r>
    <s v="KHI/HO/D/MO/MC COMP/P/95955/08/2024"/>
    <m/>
    <x v="22"/>
    <d v="2024-08-24T00:00:00"/>
    <d v="2025-08-24T00:00:00"/>
    <s v="MUHAMMAD WASEEM AFTAB"/>
    <s v="SUZUKI-GD-110S"/>
    <n v="8800"/>
    <n v="7155"/>
    <m/>
    <m/>
    <m/>
    <m/>
    <s v="146234"/>
    <d v="2024-08-24T00:00:00"/>
    <s v="MOTORCYCLE  COMPREHENSIVE"/>
    <n v="352000"/>
    <n v="1073.25"/>
    <n v="71.55"/>
    <n v="500"/>
  </r>
  <r>
    <s v="KHI/HO/D/MO/MC COMP/P/95956/08/2024"/>
    <m/>
    <x v="22"/>
    <d v="2024-08-24T00:00:00"/>
    <d v="2025-08-24T00:00:00"/>
    <s v="MUHAMMAD SAMI ULLAH"/>
    <s v="SUZUKI-GD-110S"/>
    <n v="8800"/>
    <n v="7155"/>
    <m/>
    <m/>
    <m/>
    <m/>
    <s v="143357"/>
    <d v="2024-08-24T00:00:00"/>
    <s v="MOTORCYCLE  COMPREHENSIVE"/>
    <n v="352000"/>
    <n v="1073.25"/>
    <n v="71.55"/>
    <n v="500"/>
  </r>
  <r>
    <s v="KHI/HO/D/MO/MC COMP/P/95958/08/2024"/>
    <m/>
    <x v="10"/>
    <d v="2024-08-24T00:00:00"/>
    <d v="2025-08-24T00:00:00"/>
    <s v="HAFIZ M JUNAID"/>
    <s v="SUZUKI-GD-110S"/>
    <n v="14960"/>
    <n v="12466"/>
    <m/>
    <m/>
    <m/>
    <m/>
    <s v="146807"/>
    <d v="2024-08-24T00:00:00"/>
    <s v="MOTORCYCLE  COMPREHENSIVE"/>
    <n v="352000"/>
    <n v="1869.9"/>
    <n v="124.66"/>
    <n v="500"/>
  </r>
  <r>
    <s v="KHI/HO/D/MO/MC COMP/P/95959/08/2024"/>
    <m/>
    <x v="10"/>
    <d v="2025-08-25T00:00:00"/>
    <d v="2026-08-25T00:00:00"/>
    <s v="HAFIZ M JUNAID"/>
    <s v="SUZUKI-GD-110S"/>
    <n v="14960"/>
    <n v="12466"/>
    <m/>
    <m/>
    <m/>
    <m/>
    <s v="146807"/>
    <d v="2024-08-24T00:00:00"/>
    <s v="MOTORCYCLE  COMPREHENSIVE"/>
    <n v="352000"/>
    <n v="1869.9"/>
    <n v="124.66"/>
    <n v="500"/>
  </r>
  <r>
    <s v="KHI/HO/D/MO/MC COMP/P/95960/08/2024"/>
    <m/>
    <x v="22"/>
    <d v="2024-08-24T00:00:00"/>
    <d v="2025-08-24T00:00:00"/>
    <s v="MUHAMMAD HASEEB"/>
    <s v="SUZUKI-GD-110S"/>
    <n v="8800"/>
    <n v="7155"/>
    <m/>
    <m/>
    <m/>
    <m/>
    <s v="146431"/>
    <d v="2024-08-24T00:00:00"/>
    <s v="MOTORCYCLE  COMPREHENSIVE"/>
    <n v="352000"/>
    <n v="1073.25"/>
    <n v="71.55"/>
    <n v="500"/>
  </r>
  <r>
    <s v="KHI/HO/D/MO/MC COMP/P/95961/08/2024"/>
    <m/>
    <x v="22"/>
    <d v="2024-08-24T00:00:00"/>
    <d v="2025-08-24T00:00:00"/>
    <s v="ASIF HUSSAIN"/>
    <s v="SUZUKI-GD-110S"/>
    <n v="8800"/>
    <n v="7155"/>
    <m/>
    <m/>
    <m/>
    <m/>
    <s v="145020"/>
    <d v="2024-08-24T00:00:00"/>
    <s v="MOTORCYCLE  COMPREHENSIVE"/>
    <n v="352000"/>
    <n v="1073.25"/>
    <n v="71.55"/>
    <n v="500"/>
  </r>
  <r>
    <s v="KHI/HO/D/MO/MC COMP/P/95962/08/2024"/>
    <m/>
    <x v="22"/>
    <d v="2024-08-24T00:00:00"/>
    <d v="2025-08-24T00:00:00"/>
    <s v="ZAMAN RAUF"/>
    <s v="SUZUKI-GD-110S"/>
    <n v="8800"/>
    <n v="7155"/>
    <m/>
    <m/>
    <m/>
    <m/>
    <s v="146425"/>
    <d v="2024-08-24T00:00:00"/>
    <s v="MOTORCYCLE  COMPREHENSIVE"/>
    <n v="352000"/>
    <n v="1073.25"/>
    <n v="71.55"/>
    <n v="500"/>
  </r>
  <r>
    <s v="KHI/HO/D/MO/MC COMP/P/95963/08/2024"/>
    <m/>
    <x v="22"/>
    <d v="2024-08-24T00:00:00"/>
    <d v="2025-08-24T00:00:00"/>
    <s v="MUHAMMAD SALEEM"/>
    <s v="SUZUKI-GD-110S"/>
    <n v="8800"/>
    <n v="7155"/>
    <m/>
    <m/>
    <m/>
    <m/>
    <s v="146582"/>
    <d v="2024-08-24T00:00:00"/>
    <s v="MOTORCYCLE  COMPREHENSIVE"/>
    <n v="352000"/>
    <n v="1073.25"/>
    <n v="71.55"/>
    <n v="500"/>
  </r>
  <r>
    <s v="KHI/HO/D/MO/MC COMP/P/95964/08/2024"/>
    <m/>
    <x v="22"/>
    <d v="2024-08-24T00:00:00"/>
    <d v="2025-08-24T00:00:00"/>
    <s v="REHAN SHAHID"/>
    <s v="SUZUKI-GD-110S"/>
    <n v="8800"/>
    <n v="7155"/>
    <m/>
    <m/>
    <m/>
    <m/>
    <s v="145023"/>
    <d v="2024-08-24T00:00:00"/>
    <s v="MOTORCYCLE  COMPREHENSIVE"/>
    <n v="352000"/>
    <n v="1073.25"/>
    <n v="71.55"/>
    <n v="500"/>
  </r>
  <r>
    <s v="KHI/HO/D/MO/MC COMP/P/95965/08/2024"/>
    <m/>
    <x v="17"/>
    <d v="2024-08-24T00:00:00"/>
    <d v="2025-08-24T00:00:00"/>
    <s v="MUHAMMAD ADIL IMDAD"/>
    <s v="SUZUKI-GR150 EURO II"/>
    <n v="13675"/>
    <n v="11358"/>
    <m/>
    <m/>
    <m/>
    <m/>
    <s v="113538"/>
    <d v="2024-08-24T00:00:00"/>
    <s v="MOTORCYCLE  COMPREHENSIVE"/>
    <n v="547000"/>
    <n v="1703.7"/>
    <n v="113.58"/>
    <n v="500"/>
  </r>
  <r>
    <s v="KHI/HO/D/MO/MC COMP/P/95966/08/2024"/>
    <m/>
    <x v="22"/>
    <d v="2024-08-24T00:00:00"/>
    <d v="2025-08-24T00:00:00"/>
    <s v="MUHAMMAD SARFRAZ ANWAR"/>
    <s v="SUZUKI-GR150 EURO II"/>
    <n v="13675"/>
    <n v="11358"/>
    <m/>
    <m/>
    <m/>
    <m/>
    <s v="113417"/>
    <d v="2024-08-24T00:00:00"/>
    <s v="MOTORCYCLE  COMPREHENSIVE"/>
    <n v="547000"/>
    <n v="1703.7"/>
    <n v="113.58"/>
    <n v="500"/>
  </r>
  <r>
    <s v="KHI/HO/D/MO/MC COMP/P/95967/08/2024"/>
    <m/>
    <x v="22"/>
    <d v="2024-08-24T00:00:00"/>
    <d v="2025-08-24T00:00:00"/>
    <s v="SUFIYAN PERVAIZ"/>
    <s v="SUZUKI-GD-110S"/>
    <n v="8800"/>
    <n v="7155"/>
    <m/>
    <m/>
    <m/>
    <m/>
    <s v="146352"/>
    <d v="2024-08-24T00:00:00"/>
    <s v="MOTORCYCLE  COMPREHENSIVE"/>
    <n v="352000"/>
    <n v="1073.25"/>
    <n v="71.55"/>
    <n v="500"/>
  </r>
  <r>
    <s v="KHI/HO/D/MO/MC COMP/P/95968/08/2024"/>
    <m/>
    <x v="22"/>
    <d v="2024-08-24T00:00:00"/>
    <d v="2025-08-24T00:00:00"/>
    <s v="SHAFQAT SHAHZAD"/>
    <s v="SUZUKI-GS-150"/>
    <n v="9550"/>
    <n v="7802"/>
    <m/>
    <m/>
    <m/>
    <m/>
    <s v="30092409"/>
    <d v="2024-08-24T00:00:00"/>
    <s v="MOTORCYCLE  COMPREHENSIVE"/>
    <n v="382000"/>
    <n v="1170.3"/>
    <n v="78.02"/>
    <n v="500"/>
  </r>
  <r>
    <s v="KHI/HO/D/MO/MC COMP/P/95969/08/2024"/>
    <m/>
    <x v="7"/>
    <d v="2024-08-24T00:00:00"/>
    <d v="2025-08-24T00:00:00"/>
    <s v="EJAZ MALIK"/>
    <s v="SUZUKI-GD-110S"/>
    <n v="14960"/>
    <n v="12466"/>
    <m/>
    <m/>
    <m/>
    <m/>
    <s v="147272"/>
    <d v="2024-08-24T00:00:00"/>
    <s v="MOTORCYCLE  COMPREHENSIVE"/>
    <n v="352000"/>
    <n v="1869.9"/>
    <n v="124.66"/>
    <n v="500"/>
  </r>
  <r>
    <s v="KHI/HO/D/MO/MC COMP/P/95970/08/2024"/>
    <m/>
    <x v="7"/>
    <d v="2025-08-25T00:00:00"/>
    <d v="2026-08-25T00:00:00"/>
    <s v="EJAZ MALIK"/>
    <s v="SUZUKI-GD-110S"/>
    <n v="14960"/>
    <n v="12466"/>
    <m/>
    <m/>
    <m/>
    <m/>
    <s v="147272"/>
    <d v="2024-08-24T00:00:00"/>
    <s v="MOTORCYCLE  COMPREHENSIVE"/>
    <n v="352000"/>
    <n v="1869.9"/>
    <n v="124.66"/>
    <n v="500"/>
  </r>
  <r>
    <s v="KHI/HO/D/MO/MC COMP/P/95971/08/2024"/>
    <m/>
    <x v="3"/>
    <d v="2024-08-24T00:00:00"/>
    <d v="2025-08-24T00:00:00"/>
    <s v="RASHID MUNIR"/>
    <s v="SUZUKI-GD-110S"/>
    <n v="8800"/>
    <n v="7155"/>
    <m/>
    <m/>
    <m/>
    <m/>
    <s v="146965"/>
    <d v="2024-08-24T00:00:00"/>
    <s v="MOTORCYCLE  COMPREHENSIVE"/>
    <n v="352000"/>
    <n v="1073.25"/>
    <n v="71.55"/>
    <n v="500"/>
  </r>
  <r>
    <s v="KHI/HO/D/MO/MC COMP/P/95972/08/2024"/>
    <m/>
    <x v="3"/>
    <d v="2024-08-24T00:00:00"/>
    <d v="2025-08-24T00:00:00"/>
    <s v="MUHAMMAD KAMRAN"/>
    <s v="SUZUKI-GD-110S"/>
    <n v="8800"/>
    <n v="7155"/>
    <m/>
    <m/>
    <m/>
    <m/>
    <s v="146595"/>
    <d v="2024-08-24T00:00:00"/>
    <s v="MOTORCYCLE  COMPREHENSIVE"/>
    <n v="352000"/>
    <n v="1073.25"/>
    <n v="71.55"/>
    <n v="500"/>
  </r>
  <r>
    <s v="KHI/HO/D/MO/MC COMP/P/95973/08/2024"/>
    <m/>
    <x v="0"/>
    <d v="2024-08-24T00:00:00"/>
    <d v="2025-08-24T00:00:00"/>
    <s v="MUZAHIR ALI"/>
    <s v="SUZUKI-GR150 EURO II"/>
    <n v="23248"/>
    <n v="19610"/>
    <m/>
    <m/>
    <m/>
    <m/>
    <s v="113626"/>
    <d v="2024-08-24T00:00:00"/>
    <s v="MOTORCYCLE  COMPREHENSIVE"/>
    <n v="547000"/>
    <n v="2941.5"/>
    <n v="196.1"/>
    <n v="500"/>
  </r>
  <r>
    <s v="KHI/HO/D/MO/MC COMP/P/95974/08/2024"/>
    <m/>
    <x v="17"/>
    <d v="2024-08-24T00:00:00"/>
    <d v="2025-08-24T00:00:00"/>
    <s v="GHULAM ABAS"/>
    <s v="SUZUKI-GD-110S"/>
    <n v="8800"/>
    <n v="7155"/>
    <m/>
    <m/>
    <m/>
    <m/>
    <s v="146812"/>
    <d v="2024-08-24T00:00:00"/>
    <s v="MOTORCYCLE  COMPREHENSIVE"/>
    <n v="352000"/>
    <n v="1073.25"/>
    <n v="71.55"/>
    <n v="500"/>
  </r>
  <r>
    <s v="KHI/HO/D/MO/MC COMP/P/95975/08/2024"/>
    <m/>
    <x v="0"/>
    <d v="2024-08-24T00:00:00"/>
    <d v="2025-08-24T00:00:00"/>
    <s v="SHAHERYAR MUSTAFA"/>
    <s v="SUZUKI-GR150 EURO II"/>
    <n v="23248"/>
    <n v="19610"/>
    <m/>
    <m/>
    <m/>
    <m/>
    <s v="113556"/>
    <d v="2024-08-24T00:00:00"/>
    <s v="MOTORCYCLE  COMPREHENSIVE"/>
    <n v="547000"/>
    <n v="2941.5"/>
    <n v="196.1"/>
    <n v="500"/>
  </r>
  <r>
    <s v="KHI/HO/D/MO/MC COMP/P/95976/08/2024"/>
    <m/>
    <x v="0"/>
    <d v="2024-08-24T00:00:00"/>
    <d v="2025-08-24T00:00:00"/>
    <s v="MUHAMMAD SEHAN KHAN"/>
    <s v="SUZUKI-GD-110S"/>
    <n v="14960"/>
    <n v="12466"/>
    <m/>
    <m/>
    <m/>
    <m/>
    <s v="147489"/>
    <d v="2024-08-24T00:00:00"/>
    <s v="MOTORCYCLE  COMPREHENSIVE"/>
    <n v="352000"/>
    <n v="1869.9"/>
    <n v="124.66"/>
    <n v="500"/>
  </r>
  <r>
    <s v="KHI/HO/D/MO/MC COMP/P/95977/08/2024"/>
    <m/>
    <x v="0"/>
    <d v="2024-08-24T00:00:00"/>
    <d v="2025-08-24T00:00:00"/>
    <s v="SADIQ HUSSAIN"/>
    <s v="SUZUKI-GSX 125"/>
    <n v="21208"/>
    <n v="17852"/>
    <m/>
    <m/>
    <m/>
    <m/>
    <s v="23102541"/>
    <d v="2024-08-24T00:00:00"/>
    <s v="MOTORCYCLE  COMPREHENSIVE"/>
    <n v="499000"/>
    <n v="2677.8"/>
    <n v="178.52"/>
    <n v="500"/>
  </r>
  <r>
    <s v="KHI/HO/D/MO/MC COMP/P/95978/08/2024"/>
    <m/>
    <x v="0"/>
    <d v="2024-08-24T00:00:00"/>
    <d v="2025-08-24T00:00:00"/>
    <s v="UMAR HAMEED HASHMI"/>
    <s v="SUZUKI-GD-110S"/>
    <n v="14960"/>
    <n v="12466"/>
    <m/>
    <m/>
    <m/>
    <m/>
    <s v="147163"/>
    <d v="2024-08-24T00:00:00"/>
    <s v="MOTORCYCLE  COMPREHENSIVE"/>
    <n v="352000"/>
    <n v="1869.9"/>
    <n v="124.66"/>
    <n v="500"/>
  </r>
  <r>
    <s v="KHI/HO/D/MO/MC COMP/P/95979/08/2024"/>
    <m/>
    <x v="0"/>
    <d v="2025-08-25T00:00:00"/>
    <d v="2026-08-25T00:00:00"/>
    <s v="UMAR HAMEED HASHMI"/>
    <s v="SUZUKI-GD-110S"/>
    <n v="14960"/>
    <n v="12466"/>
    <m/>
    <m/>
    <m/>
    <m/>
    <s v="147163"/>
    <d v="2024-08-24T00:00:00"/>
    <s v="MOTORCYCLE  COMPREHENSIVE"/>
    <n v="352000"/>
    <n v="1869.9"/>
    <n v="124.66"/>
    <n v="500"/>
  </r>
  <r>
    <s v="KHI/HO/D/MO/MC COMP/P/95980/08/2024"/>
    <m/>
    <x v="0"/>
    <d v="2024-08-24T00:00:00"/>
    <d v="2025-08-24T00:00:00"/>
    <s v="KIFAYAT ULLAH"/>
    <s v="SUZUKI-GD-110S"/>
    <n v="14960"/>
    <n v="12466"/>
    <m/>
    <m/>
    <m/>
    <m/>
    <s v="147164"/>
    <d v="2024-08-24T00:00:00"/>
    <s v="MOTORCYCLE  COMPREHENSIVE"/>
    <n v="352000"/>
    <n v="1869.9"/>
    <n v="124.66"/>
    <n v="500"/>
  </r>
  <r>
    <s v="KHI/HO/D/MO/MC COMP/P/95981/08/2024"/>
    <m/>
    <x v="0"/>
    <d v="2025-08-25T00:00:00"/>
    <d v="2026-08-25T00:00:00"/>
    <s v="KIFAYAT ULLAH"/>
    <s v="SUZUKI-GD-110S"/>
    <n v="14960"/>
    <n v="12466"/>
    <m/>
    <m/>
    <m/>
    <m/>
    <s v="147164"/>
    <d v="2024-08-24T00:00:00"/>
    <s v="MOTORCYCLE  COMPREHENSIVE"/>
    <n v="352000"/>
    <n v="1869.9"/>
    <n v="124.66"/>
    <n v="500"/>
  </r>
  <r>
    <s v="KHI/HO/D/MO/MC COMP/P/95982/08/2024"/>
    <m/>
    <x v="0"/>
    <d v="2024-08-24T00:00:00"/>
    <d v="2025-08-24T00:00:00"/>
    <s v="MUHAMMAD AHMED HASSAN"/>
    <s v="SUZUKI-GD-110S"/>
    <n v="14960"/>
    <n v="12466"/>
    <m/>
    <m/>
    <m/>
    <m/>
    <s v="147418"/>
    <d v="2024-08-24T00:00:00"/>
    <s v="MOTORCYCLE  COMPREHENSIVE"/>
    <n v="352000"/>
    <n v="1869.9"/>
    <n v="124.66"/>
    <n v="500"/>
  </r>
  <r>
    <s v="KHI/HO/D/MO/MC COMP/P/95983/08/2024"/>
    <m/>
    <x v="0"/>
    <d v="2025-08-25T00:00:00"/>
    <d v="2026-08-25T00:00:00"/>
    <s v="MUHAMMAD AHMED HASSAN"/>
    <s v="SUZUKI-GD-110S"/>
    <n v="14960"/>
    <n v="12466"/>
    <m/>
    <m/>
    <m/>
    <m/>
    <s v="147418"/>
    <d v="2024-08-24T00:00:00"/>
    <s v="MOTORCYCLE  COMPREHENSIVE"/>
    <n v="352000"/>
    <n v="1869.9"/>
    <n v="124.66"/>
    <n v="500"/>
  </r>
  <r>
    <s v="KHI/HO/D/MO/MC COMP/P/95989/08/2024"/>
    <m/>
    <x v="6"/>
    <d v="2024-10-20T00:00:00"/>
    <d v="2025-10-19T00:00:00"/>
    <s v="MUHAMMAD AYAZ"/>
    <s v="SUZUKI-GD-110S"/>
    <n v="11725"/>
    <n v="9676"/>
    <m/>
    <m/>
    <m/>
    <m/>
    <s v="136674"/>
    <d v="2024-08-26T00:00:00"/>
    <s v="MOTORCYCLE  COMPREHENSIVE"/>
    <n v="335000"/>
    <n v="1451.4"/>
    <n v="96.76"/>
    <n v="500"/>
  </r>
  <r>
    <s v="KHI/HO/D/MO/MC COMP/P/95990/08/2024"/>
    <m/>
    <x v="6"/>
    <d v="2024-10-23T00:00:00"/>
    <d v="2025-10-22T00:00:00"/>
    <s v="M ARSHAD"/>
    <s v="SUZUKI-GD-110 EURO II"/>
    <n v="12320"/>
    <n v="10190"/>
    <m/>
    <m/>
    <m/>
    <m/>
    <s v="137076"/>
    <d v="2024-08-26T00:00:00"/>
    <s v="MOTORCYCLE  COMPREHENSIVE"/>
    <n v="352000"/>
    <n v="1528.5"/>
    <n v="101.9"/>
    <n v="500"/>
  </r>
  <r>
    <s v="KHI/HO/D/MO/MC COMP/P/95991/08/2024"/>
    <m/>
    <x v="6"/>
    <d v="2024-10-03T00:00:00"/>
    <d v="2025-10-02T00:00:00"/>
    <s v="MUHAMMAD UZAIR"/>
    <s v="SUZUKI-GD-110S"/>
    <n v="11725"/>
    <n v="9676"/>
    <m/>
    <m/>
    <m/>
    <m/>
    <s v="135591"/>
    <d v="2024-08-26T00:00:00"/>
    <s v="MOTORCYCLE  COMPREHENSIVE"/>
    <n v="335000"/>
    <n v="1451.4"/>
    <n v="96.76"/>
    <n v="500"/>
  </r>
  <r>
    <s v="KHI/HO/D/MO/MC COMP/P/95992/08/2024"/>
    <m/>
    <x v="6"/>
    <d v="2024-08-22T00:00:00"/>
    <d v="2025-08-21T00:00:00"/>
    <s v="MUHAMMAD YAHYA"/>
    <s v="SUZUKI-GS 150"/>
    <n v="12740"/>
    <n v="10551"/>
    <m/>
    <m/>
    <m/>
    <m/>
    <s v="30088932"/>
    <d v="2024-08-26T00:00:00"/>
    <s v="MOTORCYCLE  COMPREHENSIVE"/>
    <n v="364000"/>
    <n v="1582.65"/>
    <n v="105.51"/>
    <n v="500"/>
  </r>
  <r>
    <s v="KHI/HO/D/MO/MC COMP/P/95993/08/2024"/>
    <m/>
    <x v="6"/>
    <d v="2024-09-08T00:00:00"/>
    <d v="2025-09-07T00:00:00"/>
    <s v="NOOR UL HUDA"/>
    <s v="SUZUKI-GD-110 EURO II"/>
    <n v="11725"/>
    <n v="9676"/>
    <m/>
    <m/>
    <m/>
    <m/>
    <s v="135590"/>
    <d v="2024-08-26T00:00:00"/>
    <s v="MOTORCYCLE  COMPREHENSIVE"/>
    <n v="335000"/>
    <n v="1451.4"/>
    <n v="96.76"/>
    <n v="500"/>
  </r>
  <r>
    <s v="KHI/HO/D/MO/MC COMP/P/95995/08/2024"/>
    <m/>
    <x v="6"/>
    <d v="2024-10-23T00:00:00"/>
    <d v="2025-10-22T00:00:00"/>
    <s v="RIZWAN AHMED KHAN"/>
    <s v="SUZUKI-GD-110 EURO II"/>
    <n v="12320"/>
    <n v="10190"/>
    <m/>
    <m/>
    <m/>
    <m/>
    <s v="137074"/>
    <d v="2024-08-26T00:00:00"/>
    <s v="MOTORCYCLE  COMPREHENSIVE"/>
    <n v="352000"/>
    <n v="1528.5"/>
    <n v="101.9"/>
    <n v="500"/>
  </r>
  <r>
    <s v="KHI/HO/D/MO/MC COMP/P/95996/08/2024"/>
    <m/>
    <x v="6"/>
    <d v="2024-09-03T00:00:00"/>
    <d v="2025-09-02T00:00:00"/>
    <s v="RIZWAN UR RASHID"/>
    <s v="SUZUKI-GS 150"/>
    <n v="12740"/>
    <n v="10551"/>
    <m/>
    <m/>
    <m/>
    <m/>
    <s v="30088851"/>
    <d v="2024-08-26T00:00:00"/>
    <s v="MOTORCYCLE  COMPREHENSIVE"/>
    <n v="364000"/>
    <n v="1582.65"/>
    <n v="105.51"/>
    <n v="500"/>
  </r>
  <r>
    <s v="KHI/HO/D/MO/MC COMP/P/95997/08/2024"/>
    <m/>
    <x v="6"/>
    <d v="2024-09-03T00:00:00"/>
    <d v="2025-09-02T00:00:00"/>
    <s v="SALMAN"/>
    <s v="SUZUKI-GD-110 EURO II"/>
    <n v="11725"/>
    <n v="9676"/>
    <m/>
    <m/>
    <m/>
    <m/>
    <s v="135579"/>
    <d v="2024-08-26T00:00:00"/>
    <s v="MOTORCYCLE  COMPREHENSIVE"/>
    <n v="335000"/>
    <n v="1451.4"/>
    <n v="96.76"/>
    <n v="500"/>
  </r>
  <r>
    <s v="KHI/HO/D/MO/MC COMP/P/95998/08/2024"/>
    <m/>
    <x v="6"/>
    <d v="2024-10-03T00:00:00"/>
    <d v="2025-10-02T00:00:00"/>
    <s v="SHAHZAD RAUF"/>
    <s v="SUZUKI-GS 150"/>
    <n v="12740"/>
    <n v="10551"/>
    <m/>
    <m/>
    <m/>
    <m/>
    <s v="30089190"/>
    <d v="2024-08-26T00:00:00"/>
    <s v="MOTORCYCLE  COMPREHENSIVE"/>
    <n v="364000"/>
    <n v="1582.65"/>
    <n v="105.51"/>
    <n v="500"/>
  </r>
  <r>
    <s v="KHI/HO/D/MO/MC COMP/P/95999/08/2024"/>
    <m/>
    <x v="6"/>
    <d v="2024-11-14T00:00:00"/>
    <d v="2025-11-13T00:00:00"/>
    <s v="SOHAIL JAFFRANI"/>
    <s v="SUZUKI-GD-110 EURO II"/>
    <n v="12320"/>
    <n v="10190"/>
    <m/>
    <m/>
    <m/>
    <m/>
    <s v=" 137627"/>
    <d v="2024-08-26T00:00:00"/>
    <s v="MOTORCYCLE  COMPREHENSIVE"/>
    <n v="352000"/>
    <n v="1528.5"/>
    <n v="101.9"/>
    <n v="500"/>
  </r>
  <r>
    <s v="KHI/HO/D/MO/MC COMP/P/96018/08/2024"/>
    <m/>
    <x v="21"/>
    <d v="2024-08-26T00:00:00"/>
    <d v="2025-08-26T00:00:00"/>
    <s v="MUHAMMAD USMAN GHANI"/>
    <s v="SUZUKI-GD-110S"/>
    <n v="8800"/>
    <n v="7155"/>
    <m/>
    <m/>
    <m/>
    <m/>
    <s v="146975"/>
    <d v="2024-08-26T00:00:00"/>
    <s v="MOTORCYCLE  COMPREHENSIVE"/>
    <n v="352000"/>
    <n v="1073.25"/>
    <n v="71.55"/>
    <n v="500"/>
  </r>
  <r>
    <s v="KHI/HO/D/MO/MC COMP/P/96022/08/2024"/>
    <m/>
    <x v="1"/>
    <d v="2024-08-26T00:00:00"/>
    <d v="2025-08-26T00:00:00"/>
    <s v="MUHAMMAD FURQAN ILYAS"/>
    <s v="SUZUKI-GD-110S"/>
    <n v="14960"/>
    <n v="12466"/>
    <m/>
    <m/>
    <m/>
    <m/>
    <s v="147310"/>
    <d v="2024-08-26T00:00:00"/>
    <s v="MOTORCYCLE  COMPREHENSIVE"/>
    <n v="352000"/>
    <n v="1869.9"/>
    <n v="124.66"/>
    <n v="500"/>
  </r>
  <r>
    <s v="KHI/HO/D/MO/MC COMP/P/96023/08/2024"/>
    <m/>
    <x v="21"/>
    <d v="2024-08-26T00:00:00"/>
    <d v="2025-08-26T00:00:00"/>
    <s v="SHUJAAT HASSAN KHAN"/>
    <s v="SUZUKI-GD-110S"/>
    <n v="8800"/>
    <n v="7155"/>
    <m/>
    <m/>
    <m/>
    <m/>
    <s v="146987"/>
    <d v="2024-08-26T00:00:00"/>
    <s v="MOTORCYCLE  COMPREHENSIVE"/>
    <n v="352000"/>
    <n v="1073.25"/>
    <n v="71.55"/>
    <n v="500"/>
  </r>
  <r>
    <s v="KHI/HO/D/MO/MC COMP/P/96024/08/2024"/>
    <m/>
    <x v="3"/>
    <d v="2024-08-26T00:00:00"/>
    <d v="2025-08-26T00:00:00"/>
    <s v="NAVEED ANJUM"/>
    <s v="SUZUKI-GSX 125"/>
    <n v="12475"/>
    <n v="10323"/>
    <m/>
    <m/>
    <m/>
    <m/>
    <s v="23100466"/>
    <d v="2024-08-26T00:00:00"/>
    <s v="MOTORCYCLE  COMPREHENSIVE"/>
    <n v="499000"/>
    <n v="1548.45"/>
    <n v="103.23"/>
    <n v="500"/>
  </r>
  <r>
    <s v="KHI/HO/D/MO/MC COMP/P/96026/08/2024"/>
    <m/>
    <x v="0"/>
    <d v="2024-08-26T00:00:00"/>
    <d v="2025-08-26T00:00:00"/>
    <s v="Masroor Ahmed"/>
    <s v="SUZUKI-GD-110S"/>
    <n v="14960"/>
    <n v="12466"/>
    <m/>
    <m/>
    <m/>
    <m/>
    <s v="146906"/>
    <d v="2024-08-26T00:00:00"/>
    <s v="MOTORCYCLE  COMPREHENSIVE"/>
    <n v="352000"/>
    <n v="1869.9"/>
    <n v="124.66"/>
    <n v="500"/>
  </r>
  <r>
    <s v="KHI/HO/D/MO/MC COMP/P/96027/08/2024"/>
    <m/>
    <x v="0"/>
    <d v="2025-08-27T00:00:00"/>
    <d v="2026-08-27T00:00:00"/>
    <s v="Masroor Ahmed"/>
    <s v="SUZUKI-GD-110S"/>
    <n v="14960"/>
    <n v="12466"/>
    <m/>
    <m/>
    <m/>
    <m/>
    <s v="146906"/>
    <d v="2024-08-26T00:00:00"/>
    <s v="MOTORCYCLE  COMPREHENSIVE"/>
    <n v="352000"/>
    <n v="1869.9"/>
    <n v="124.66"/>
    <n v="500"/>
  </r>
  <r>
    <s v="KHI/HO/D/MO/MC COMP/P/96029/08/2024"/>
    <m/>
    <x v="14"/>
    <d v="2024-08-26T00:00:00"/>
    <d v="2025-08-26T00:00:00"/>
    <s v="TARIQ ALI"/>
    <s v="SUZUKI-GR150 EURO II"/>
    <n v="13675"/>
    <n v="11358"/>
    <m/>
    <m/>
    <m/>
    <m/>
    <s v="113588"/>
    <d v="2024-08-26T00:00:00"/>
    <s v="MOTORCYCLE  COMPREHENSIVE"/>
    <n v="547000"/>
    <n v="1703.7"/>
    <n v="113.58"/>
    <n v="500"/>
  </r>
  <r>
    <s v="KHI/HO/D/MO/MC COMP/P/96031/08/2024"/>
    <m/>
    <x v="14"/>
    <d v="2024-08-26T00:00:00"/>
    <d v="2025-08-26T00:00:00"/>
    <s v="ALI KHAWAR BUTT"/>
    <s v="SUZUKI-GD-110S"/>
    <n v="8800"/>
    <n v="7155"/>
    <m/>
    <m/>
    <m/>
    <m/>
    <s v="146795"/>
    <d v="2024-08-26T00:00:00"/>
    <s v="MOTORCYCLE  COMPREHENSIVE"/>
    <n v="352000"/>
    <n v="1073.25"/>
    <n v="71.55"/>
    <n v="500"/>
  </r>
  <r>
    <s v="KHI/HO/D/MO/MC COMP/P/96033/08/2024"/>
    <m/>
    <x v="0"/>
    <d v="2024-08-26T00:00:00"/>
    <d v="2025-08-26T00:00:00"/>
    <s v="SHAHZAD KHALIL"/>
    <s v="SUZUKI-GD-110S"/>
    <n v="14960"/>
    <n v="12466"/>
    <m/>
    <m/>
    <m/>
    <m/>
    <s v="147479"/>
    <d v="2024-08-26T00:00:00"/>
    <s v="MOTORCYCLE  COMPREHENSIVE"/>
    <n v="352000"/>
    <n v="1869.9"/>
    <n v="124.66"/>
    <n v="500"/>
  </r>
  <r>
    <s v="KHI/HO/D/MO/MC COMP/P/96034/08/2024"/>
    <m/>
    <x v="14"/>
    <d v="2024-08-26T00:00:00"/>
    <d v="2025-08-26T00:00:00"/>
    <s v="ADEEL ASLAM"/>
    <s v="SUZUKI-GS 150"/>
    <n v="9550"/>
    <n v="7802"/>
    <m/>
    <m/>
    <m/>
    <m/>
    <s v="30092587"/>
    <d v="2024-08-26T00:00:00"/>
    <s v="MOTORCYCLE  COMPREHENSIVE"/>
    <n v="382000"/>
    <n v="1170.3"/>
    <n v="78.02"/>
    <n v="500"/>
  </r>
  <r>
    <s v="KHI/HO/D/MO/MC COMP/P/96036/08/2024"/>
    <m/>
    <x v="14"/>
    <d v="2024-08-26T00:00:00"/>
    <d v="2025-08-26T00:00:00"/>
    <s v="ABDUL JABBAR"/>
    <s v="SUZUKI-GD-110S"/>
    <n v="8800"/>
    <n v="7155"/>
    <m/>
    <m/>
    <m/>
    <m/>
    <s v="146837"/>
    <d v="2024-08-26T00:00:00"/>
    <s v="MOTORCYCLE  COMPREHENSIVE"/>
    <n v="352000"/>
    <n v="1073.25"/>
    <n v="71.55"/>
    <n v="500"/>
  </r>
  <r>
    <s v="KHI/HO/D/MO/MC COMP/P/96037/08/2024"/>
    <m/>
    <x v="9"/>
    <d v="2024-08-26T00:00:00"/>
    <d v="2025-08-26T00:00:00"/>
    <s v="MUNAWAR IQBAL S/O IRSHAD AHMED"/>
    <s v="SUZUKI-GSX 125"/>
    <n v="12475"/>
    <n v="10323"/>
    <m/>
    <m/>
    <m/>
    <m/>
    <s v="2310473"/>
    <d v="2024-08-26T00:00:00"/>
    <s v="MOTORCYCLE  COMPREHENSIVE"/>
    <n v="499000"/>
    <n v="1548.45"/>
    <n v="103.23"/>
    <n v="500"/>
  </r>
  <r>
    <s v="KHI/HO/D/MO/MC COMP/P/96038/08/2024"/>
    <m/>
    <x v="14"/>
    <d v="2024-08-26T00:00:00"/>
    <d v="2025-08-26T00:00:00"/>
    <s v="MUHAMMAD NADEEM SHAHID"/>
    <s v="SUZUKI-GR150 EURO II"/>
    <n v="13675"/>
    <n v="11358"/>
    <m/>
    <m/>
    <m/>
    <m/>
    <s v="113572"/>
    <d v="2024-08-26T00:00:00"/>
    <s v="MOTORCYCLE  COMPREHENSIVE"/>
    <n v="547000"/>
    <n v="1703.7"/>
    <n v="113.58"/>
    <n v="500"/>
  </r>
  <r>
    <s v="KHI/HO/D/MO/MC COMP/P/96039/08/2024"/>
    <m/>
    <x v="14"/>
    <d v="2024-08-26T00:00:00"/>
    <d v="2025-08-26T00:00:00"/>
    <s v="AJAZ HUSSAIN"/>
    <s v="SUZUKI-GD-110S"/>
    <n v="8800"/>
    <n v="7155"/>
    <m/>
    <m/>
    <m/>
    <m/>
    <s v="146873"/>
    <d v="2024-08-26T00:00:00"/>
    <s v="MOTORCYCLE  COMPREHENSIVE"/>
    <n v="352000"/>
    <n v="1073.25"/>
    <n v="71.55"/>
    <n v="500"/>
  </r>
  <r>
    <s v="KHI/HO/D/MO/MC COMP/P/96040/08/2024"/>
    <m/>
    <x v="18"/>
    <d v="2024-08-26T00:00:00"/>
    <d v="2025-08-26T00:00:00"/>
    <s v="WASIF ALI"/>
    <s v="SUZUKI-GS 150"/>
    <n v="9550"/>
    <n v="7802"/>
    <m/>
    <m/>
    <m/>
    <m/>
    <s v="30092381"/>
    <d v="2024-08-26T00:00:00"/>
    <s v="MOTORCYCLE  COMPREHENSIVE"/>
    <n v="382000"/>
    <n v="1170.3"/>
    <n v="78.02"/>
    <n v="500"/>
  </r>
  <r>
    <s v="KHI/HO/D/MO/MC COMP/P/96041/08/2024"/>
    <m/>
    <x v="0"/>
    <d v="2024-08-26T00:00:00"/>
    <d v="2025-08-26T00:00:00"/>
    <s v="ARSHAD MOBIN"/>
    <s v="SUZUKI-GSX 125"/>
    <n v="21208"/>
    <n v="17852"/>
    <m/>
    <m/>
    <m/>
    <m/>
    <s v="23102606"/>
    <d v="2024-08-26T00:00:00"/>
    <s v="MOTORCYCLE  COMPREHENSIVE"/>
    <n v="499000"/>
    <n v="2677.8"/>
    <n v="178.52"/>
    <n v="500"/>
  </r>
  <r>
    <s v="KHI/HO/D/MO/MC COMP/P/96042/08/2024"/>
    <m/>
    <x v="0"/>
    <d v="2025-08-27T00:00:00"/>
    <d v="2026-08-27T00:00:00"/>
    <s v="ARSHAD MOBIN"/>
    <s v="SUZUKI-GSX 125"/>
    <n v="21208"/>
    <n v="17852"/>
    <m/>
    <m/>
    <m/>
    <m/>
    <s v="23102606"/>
    <d v="2024-08-26T00:00:00"/>
    <s v="MOTORCYCLE  COMPREHENSIVE"/>
    <n v="499000"/>
    <n v="2677.8"/>
    <n v="178.52"/>
    <n v="500"/>
  </r>
  <r>
    <s v="KHI/HO/D/MO/MC COMP/P/96043/08/2024"/>
    <m/>
    <x v="18"/>
    <d v="2024-08-26T00:00:00"/>
    <d v="2025-08-26T00:00:00"/>
    <s v="RIAZ AHMAD"/>
    <s v="SUZUKI-GS 150"/>
    <n v="9550"/>
    <n v="7802"/>
    <m/>
    <m/>
    <m/>
    <m/>
    <s v="30092618"/>
    <d v="2024-08-26T00:00:00"/>
    <s v="MOTORCYCLE  COMPREHENSIVE"/>
    <n v="382000"/>
    <n v="1170.3"/>
    <n v="78.02"/>
    <n v="500"/>
  </r>
  <r>
    <s v="KHI/HO/D/MO/MC COMP/P/96045/08/2024"/>
    <m/>
    <x v="18"/>
    <d v="2024-08-26T00:00:00"/>
    <d v="2025-08-26T00:00:00"/>
    <s v="ARSLAN RASHID"/>
    <s v="SUZUKI-GS 150"/>
    <n v="9550"/>
    <n v="7802"/>
    <m/>
    <m/>
    <m/>
    <m/>
    <s v="30092632"/>
    <d v="2024-08-26T00:00:00"/>
    <s v="MOTORCYCLE  COMPREHENSIVE"/>
    <n v="382000"/>
    <n v="1170.3"/>
    <n v="78.02"/>
    <n v="500"/>
  </r>
  <r>
    <s v="KHI/HO/D/MO/MC COMP/P/96046/08/2024"/>
    <m/>
    <x v="18"/>
    <d v="2024-08-26T00:00:00"/>
    <d v="2025-08-26T00:00:00"/>
    <s v="ZEESHAN HAMEED"/>
    <s v="SUZUKI-GR150 EURO II"/>
    <n v="13675"/>
    <n v="11358"/>
    <m/>
    <m/>
    <m/>
    <m/>
    <s v="113580"/>
    <d v="2024-08-26T00:00:00"/>
    <s v="MOTORCYCLE  COMPREHENSIVE"/>
    <n v="547000"/>
    <n v="1703.7"/>
    <n v="113.58"/>
    <n v="500"/>
  </r>
  <r>
    <s v="KHI/HO/D/MO/MC COMP/P/96047/08/2024"/>
    <m/>
    <x v="9"/>
    <d v="2024-08-26T00:00:00"/>
    <d v="2025-08-26T00:00:00"/>
    <s v="ABDUL KARIM S/O MUHAMMAD INAYAT"/>
    <s v="SUZUKI-GSX 125"/>
    <n v="12475"/>
    <n v="10323"/>
    <m/>
    <m/>
    <m/>
    <m/>
    <s v="23102467"/>
    <d v="2024-08-26T00:00:00"/>
    <s v="MOTORCYCLE  COMPREHENSIVE"/>
    <n v="499000"/>
    <n v="1548.45"/>
    <n v="103.23"/>
    <n v="500"/>
  </r>
  <r>
    <s v="KHI/HO/D/MO/MC COMP/P/96049/08/2024"/>
    <m/>
    <x v="18"/>
    <d v="2024-08-26T00:00:00"/>
    <d v="2025-08-26T00:00:00"/>
    <s v="MUHAMMAD ISMAIL AGHA KHAN"/>
    <s v="SUZUKI-GD-110S"/>
    <n v="8800"/>
    <n v="7155"/>
    <m/>
    <m/>
    <m/>
    <m/>
    <s v="146361"/>
    <d v="2024-08-26T00:00:00"/>
    <s v="MOTORCYCLE  COMPREHENSIVE"/>
    <n v="352000"/>
    <n v="1073.25"/>
    <n v="71.55"/>
    <n v="500"/>
  </r>
  <r>
    <s v="KHI/HO/D/MO/MC COMP/P/96052/08/2024"/>
    <m/>
    <x v="18"/>
    <d v="2024-08-26T00:00:00"/>
    <d v="2025-08-26T00:00:00"/>
    <s v="MUHAMMAD ISHTIAQ HANIF MUGHAL"/>
    <s v="SUZUKI-GS 150"/>
    <n v="9550"/>
    <n v="7802"/>
    <m/>
    <m/>
    <m/>
    <m/>
    <s v="30092557"/>
    <d v="2024-08-26T00:00:00"/>
    <s v="MOTORCYCLE  COMPREHENSIVE"/>
    <n v="382000"/>
    <n v="1170.3"/>
    <n v="78.02"/>
    <n v="500"/>
  </r>
  <r>
    <s v="KHI/HO/D/MO/MC COMP/P/96055/08/2024"/>
    <m/>
    <x v="9"/>
    <d v="2024-08-26T00:00:00"/>
    <d v="2025-08-26T00:00:00"/>
    <s v="AFTAB AHMED S/O IFTIKHAR AHMAD"/>
    <s v="SUZUKI-GD-110S"/>
    <n v="8800"/>
    <n v="7155"/>
    <m/>
    <m/>
    <m/>
    <m/>
    <s v="143877"/>
    <d v="2024-08-26T00:00:00"/>
    <s v="MOTORCYCLE  COMPREHENSIVE"/>
    <n v="352000"/>
    <n v="1073.25"/>
    <n v="71.55"/>
    <n v="500"/>
  </r>
  <r>
    <s v="KHI/HO/D/MO/MC COMP/P/96056/08/2024"/>
    <m/>
    <x v="18"/>
    <d v="2024-08-26T00:00:00"/>
    <d v="2025-08-26T00:00:00"/>
    <s v="KALEEM MUSHTAQ"/>
    <s v="SUZUKI-GD-110S"/>
    <n v="8800"/>
    <n v="7155"/>
    <m/>
    <m/>
    <m/>
    <m/>
    <s v="147088"/>
    <d v="2024-08-26T00:00:00"/>
    <s v="MOTORCYCLE  COMPREHENSIVE"/>
    <n v="352000"/>
    <n v="1073.25"/>
    <n v="71.55"/>
    <n v="500"/>
  </r>
  <r>
    <s v="KHI/HO/D/MO/MC COMP/P/96058/08/2024"/>
    <m/>
    <x v="18"/>
    <d v="2024-08-26T00:00:00"/>
    <d v="2025-08-26T00:00:00"/>
    <s v="MUHAMMAD SHEHARYAR"/>
    <s v="SUZUKI-GD-110S"/>
    <n v="8800"/>
    <n v="7155"/>
    <m/>
    <m/>
    <m/>
    <m/>
    <s v="147091"/>
    <d v="2024-08-26T00:00:00"/>
    <s v="MOTORCYCLE  COMPREHENSIVE"/>
    <n v="352000"/>
    <n v="1073.25"/>
    <n v="71.55"/>
    <n v="500"/>
  </r>
  <r>
    <s v="KHI/HO/D/MO/MC COMP/P/96059/08/2024"/>
    <m/>
    <x v="18"/>
    <d v="2024-08-26T00:00:00"/>
    <d v="2025-08-26T00:00:00"/>
    <s v="MUHAMMAD AMIN"/>
    <s v="SUZUKI-GS 150"/>
    <n v="9550"/>
    <n v="7802"/>
    <m/>
    <m/>
    <m/>
    <m/>
    <s v="30092626"/>
    <d v="2024-08-26T00:00:00"/>
    <s v="MOTORCYCLE  COMPREHENSIVE"/>
    <n v="382000"/>
    <n v="1170.3"/>
    <n v="78.02"/>
    <n v="500"/>
  </r>
  <r>
    <s v="KHI/HO/D/MO/MC COMP/P/96060/08/2024"/>
    <m/>
    <x v="2"/>
    <d v="2024-08-26T00:00:00"/>
    <d v="2025-08-26T00:00:00"/>
    <s v="SHEIKH ABDUL AZEEM"/>
    <s v="SUZUKI-GD-110S"/>
    <n v="14960"/>
    <n v="12466"/>
    <m/>
    <m/>
    <m/>
    <m/>
    <s v="147096"/>
    <d v="2024-08-26T00:00:00"/>
    <s v="MOTORCYCLE  COMPREHENSIVE"/>
    <n v="352000"/>
    <n v="1869.9"/>
    <n v="124.66"/>
    <n v="500"/>
  </r>
  <r>
    <s v="KHI/HO/D/MO/MC COMP/P/96062/08/2024"/>
    <m/>
    <x v="18"/>
    <d v="2024-08-26T00:00:00"/>
    <d v="2025-08-26T00:00:00"/>
    <s v="BILAWAL HAMEED"/>
    <s v="SUZUKI-GD-110S"/>
    <n v="8800"/>
    <n v="7155"/>
    <m/>
    <m/>
    <m/>
    <m/>
    <s v="146926"/>
    <d v="2024-08-26T00:00:00"/>
    <s v="MOTORCYCLE  COMPREHENSIVE"/>
    <n v="352000"/>
    <n v="1073.25"/>
    <n v="71.55"/>
    <n v="500"/>
  </r>
  <r>
    <s v="KHI/HO/D/MO/MC COMP/P/96063/08/2024"/>
    <m/>
    <x v="9"/>
    <d v="2024-08-26T00:00:00"/>
    <d v="2025-08-26T00:00:00"/>
    <s v="SAJID HUSSAIN S/O MUHAMMAD ARIF"/>
    <s v="SUZUKI-GD-110S"/>
    <n v="8800"/>
    <n v="7155"/>
    <m/>
    <m/>
    <m/>
    <m/>
    <s v="142525"/>
    <d v="2024-08-26T00:00:00"/>
    <s v="MOTORCYCLE  COMPREHENSIVE"/>
    <n v="352000"/>
    <n v="1073.25"/>
    <n v="71.55"/>
    <n v="500"/>
  </r>
  <r>
    <s v="KHI/HO/D/MO/MC COMP/P/96064/08/2024"/>
    <m/>
    <x v="1"/>
    <d v="2024-08-26T00:00:00"/>
    <d v="2025-08-26T00:00:00"/>
    <s v="ABDUL BASIT MUNIR"/>
    <s v="SUZUKI-GD-110S"/>
    <n v="14960"/>
    <n v="12466"/>
    <m/>
    <m/>
    <m/>
    <m/>
    <s v="147296"/>
    <d v="2024-08-26T00:00:00"/>
    <s v="MOTORCYCLE  COMPREHENSIVE"/>
    <n v="352000"/>
    <n v="1869.9"/>
    <n v="124.66"/>
    <n v="500"/>
  </r>
  <r>
    <s v="KHI/HO/D/MO/MC COMP/P/96065/08/2024"/>
    <m/>
    <x v="18"/>
    <d v="2024-08-26T00:00:00"/>
    <d v="2025-08-26T00:00:00"/>
    <s v="MUHAMMAD FAREED AHMAD"/>
    <s v="SUZUKI-GD-110S"/>
    <n v="8800"/>
    <n v="7155"/>
    <m/>
    <m/>
    <m/>
    <m/>
    <s v="146929"/>
    <d v="2024-08-26T00:00:00"/>
    <s v="MOTORCYCLE  COMPREHENSIVE"/>
    <n v="352000"/>
    <n v="1073.25"/>
    <n v="71.55"/>
    <n v="500"/>
  </r>
  <r>
    <s v="KHI/HO/D/MO/MC COMP/P/96066/08/2024"/>
    <m/>
    <x v="18"/>
    <d v="2024-08-26T00:00:00"/>
    <d v="2025-08-26T00:00:00"/>
    <s v="AMJAD ALI"/>
    <s v="SUZUKI-GS 150"/>
    <n v="9550"/>
    <n v="7802"/>
    <m/>
    <m/>
    <m/>
    <m/>
    <s v="30092629"/>
    <d v="2024-08-26T00:00:00"/>
    <s v="MOTORCYCLE  COMPREHENSIVE"/>
    <n v="382000"/>
    <n v="1170.3"/>
    <n v="78.02"/>
    <n v="500"/>
  </r>
  <r>
    <s v="KHI/HO/D/MO/MC COMP/P/96067/08/2024"/>
    <m/>
    <x v="18"/>
    <d v="2024-08-26T00:00:00"/>
    <d v="2025-08-26T00:00:00"/>
    <s v="SOHAIL ZAFAR"/>
    <s v="SUZUKI-GD-110S"/>
    <n v="8800"/>
    <n v="7155"/>
    <m/>
    <m/>
    <m/>
    <m/>
    <s v="147090"/>
    <d v="2024-08-26T00:00:00"/>
    <s v="MOTORCYCLE  COMPREHENSIVE"/>
    <n v="352000"/>
    <n v="1073.25"/>
    <n v="71.55"/>
    <n v="500"/>
  </r>
  <r>
    <s v="KHI/HO/D/MO/MC COMP/P/96068/08/2024"/>
    <m/>
    <x v="20"/>
    <d v="2024-08-26T00:00:00"/>
    <d v="2025-08-26T00:00:00"/>
    <s v="UMAR SHABBIR"/>
    <s v="SUZUKI-GD-110S"/>
    <n v="8800"/>
    <n v="7155"/>
    <m/>
    <m/>
    <m/>
    <m/>
    <s v="146730"/>
    <d v="2024-08-26T00:00:00"/>
    <s v="MOTORCYCLE  COMPREHENSIVE"/>
    <n v="352000"/>
    <n v="1073.25"/>
    <n v="71.55"/>
    <n v="500"/>
  </r>
  <r>
    <s v="KHI/HO/D/MO/MC COMP/P/96069/08/2024"/>
    <m/>
    <x v="20"/>
    <d v="2024-08-26T00:00:00"/>
    <d v="2025-08-26T00:00:00"/>
    <s v="MUHAMMAD ALEEM"/>
    <s v="SUZUKI-GS 150"/>
    <n v="9550"/>
    <n v="7802"/>
    <m/>
    <m/>
    <m/>
    <m/>
    <s v="30092528"/>
    <d v="2024-08-26T00:00:00"/>
    <s v="MOTORCYCLE  COMPREHENSIVE"/>
    <n v="382000"/>
    <n v="1170.3"/>
    <n v="78.02"/>
    <n v="500"/>
  </r>
  <r>
    <s v="KHI/HO/D/MO/MC COMP/P/96070/08/2024"/>
    <m/>
    <x v="24"/>
    <d v="2024-08-26T00:00:00"/>
    <d v="2025-08-26T00:00:00"/>
    <s v="HAFIZ ZEESHAN JAVED"/>
    <s v="SUZUKI-GS 150"/>
    <n v="9550"/>
    <n v="7802"/>
    <m/>
    <m/>
    <m/>
    <m/>
    <s v="30092374"/>
    <d v="2024-08-26T00:00:00"/>
    <s v="MOTORCYCLE  COMPREHENSIVE"/>
    <n v="382000"/>
    <n v="1170.3"/>
    <n v="78.02"/>
    <n v="500"/>
  </r>
  <r>
    <s v="KHI/HO/D/MO/MC COMP/P/96071/08/2024"/>
    <m/>
    <x v="3"/>
    <d v="2024-08-26T00:00:00"/>
    <d v="2025-08-26T00:00:00"/>
    <s v="ABDUL SALAM"/>
    <s v="SUZUKI-GD-110S"/>
    <n v="8800"/>
    <n v="7155"/>
    <m/>
    <m/>
    <m/>
    <m/>
    <s v="146574"/>
    <d v="2024-08-26T00:00:00"/>
    <s v="MOTORCYCLE  COMPREHENSIVE"/>
    <n v="352000"/>
    <n v="1073.25"/>
    <n v="71.55"/>
    <n v="500"/>
  </r>
  <r>
    <s v="KHI/HO/D/MO/MC COMP/P/96074/08/2024"/>
    <m/>
    <x v="15"/>
    <d v="2024-08-26T00:00:00"/>
    <d v="2025-08-26T00:00:00"/>
    <s v="TANVEER AHMAD"/>
    <s v="SUZUKI-GSX 125"/>
    <n v="12475"/>
    <n v="10323"/>
    <m/>
    <m/>
    <m/>
    <m/>
    <s v="23102553"/>
    <d v="2024-08-26T00:00:00"/>
    <s v="MOTORCYCLE  COMPREHENSIVE"/>
    <n v="499000"/>
    <n v="1548.45"/>
    <n v="103.23"/>
    <n v="500"/>
  </r>
  <r>
    <s v="KHI/HO/D/MO/MC COMP/P/96075/08/2024"/>
    <m/>
    <x v="15"/>
    <d v="2025-08-27T00:00:00"/>
    <d v="2026-08-27T00:00:00"/>
    <s v="TANVEER AHMAD"/>
    <s v="SUZUKI-GSX 125"/>
    <n v="12475"/>
    <n v="10323"/>
    <m/>
    <m/>
    <m/>
    <m/>
    <s v="23102553"/>
    <d v="2024-08-26T00:00:00"/>
    <s v="MOTORCYCLE  COMPREHENSIVE"/>
    <n v="499000"/>
    <n v="1548.45"/>
    <n v="103.23"/>
    <n v="500"/>
  </r>
  <r>
    <s v="KHI/HO/D/MO/MC COMP/P/96087/08/2024"/>
    <m/>
    <x v="2"/>
    <d v="2024-08-27T00:00:00"/>
    <d v="2025-08-27T00:00:00"/>
    <s v="MUHAMMAD IQBAL SABIR"/>
    <s v="SUZUKI-GD-110S"/>
    <n v="14960"/>
    <n v="12466"/>
    <m/>
    <m/>
    <m/>
    <m/>
    <s v="147103"/>
    <d v="2024-08-27T00:00:00"/>
    <s v="MOTORCYCLE  COMPREHENSIVE"/>
    <n v="352000"/>
    <n v="1869.9"/>
    <n v="124.66"/>
    <n v="500"/>
  </r>
  <r>
    <s v="KHI/HO/D/MO/MC COMP/P/96088/08/2024"/>
    <m/>
    <x v="2"/>
    <d v="2025-08-28T00:00:00"/>
    <d v="2026-08-28T00:00:00"/>
    <s v="MUHAMMAD IQBAL SABIR"/>
    <s v="SUZUKI-GD-110S"/>
    <n v="14960"/>
    <n v="12466"/>
    <m/>
    <m/>
    <m/>
    <m/>
    <s v="147103"/>
    <d v="2024-08-27T00:00:00"/>
    <s v="MOTORCYCLE  COMPREHENSIVE"/>
    <n v="352000"/>
    <n v="1869.9"/>
    <n v="124.66"/>
    <n v="500"/>
  </r>
  <r>
    <s v="KHI/HO/D/MO/MC COMP/P/96092/08/2024"/>
    <m/>
    <x v="1"/>
    <d v="2024-08-27T00:00:00"/>
    <d v="2025-08-27T00:00:00"/>
    <s v="NIAZ AHMED"/>
    <s v="SUZUKI-GS 150"/>
    <n v="16235"/>
    <n v="13565"/>
    <m/>
    <m/>
    <m/>
    <m/>
    <s v="30092730"/>
    <d v="2024-08-27T00:00:00"/>
    <s v="MOTORCYCLE  COMPREHENSIVE"/>
    <n v="382000"/>
    <n v="2034.75"/>
    <n v="135.65"/>
    <n v="500"/>
  </r>
  <r>
    <s v="KHI/HO/D/MO/MC COMP/P/96093/08/2024"/>
    <m/>
    <x v="1"/>
    <d v="2025-08-28T00:00:00"/>
    <d v="2026-08-28T00:00:00"/>
    <s v="NIAZ AHMED"/>
    <s v="SUZUKI-GS 150"/>
    <n v="16235"/>
    <n v="13565"/>
    <m/>
    <m/>
    <m/>
    <m/>
    <s v="30092730"/>
    <d v="2024-08-27T00:00:00"/>
    <s v="MOTORCYCLE  COMPREHENSIVE"/>
    <n v="382000"/>
    <n v="2034.75"/>
    <n v="135.65"/>
    <n v="500"/>
  </r>
  <r>
    <s v="KHI/HO/D/MO/MC COMP/P/96100/08/2024"/>
    <m/>
    <x v="1"/>
    <d v="2025-08-28T00:00:00"/>
    <d v="2026-08-28T00:00:00"/>
    <s v="SALMAN"/>
    <s v="SUZUKI-GS 150"/>
    <n v="16235"/>
    <n v="13565"/>
    <m/>
    <m/>
    <m/>
    <m/>
    <s v="30092727"/>
    <d v="2024-08-27T00:00:00"/>
    <s v="MOTORCYCLE  COMPREHENSIVE"/>
    <n v="382000"/>
    <n v="2034.75"/>
    <n v="135.65"/>
    <n v="500"/>
  </r>
  <r>
    <s v="KHI/HO/D/MO/MC COMP/P/96104/08/2024"/>
    <m/>
    <x v="17"/>
    <d v="2024-08-27T00:00:00"/>
    <d v="2025-08-27T00:00:00"/>
    <s v="AAID SHAHID"/>
    <s v="SUZUKI-GSX 125"/>
    <n v="12475"/>
    <n v="10323"/>
    <m/>
    <m/>
    <m/>
    <m/>
    <s v="23102596"/>
    <d v="2024-08-27T00:00:00"/>
    <s v="MOTORCYCLE  COMPREHENSIVE"/>
    <n v="499000"/>
    <n v="1548.45"/>
    <n v="103.23"/>
    <n v="500"/>
  </r>
  <r>
    <s v="KHI/HO/D/MO/MC COMP/P/96108/08/2024"/>
    <m/>
    <x v="1"/>
    <d v="2024-08-27T00:00:00"/>
    <d v="2025-08-27T00:00:00"/>
    <s v="AHSAN AHMED"/>
    <s v="SUZUKI-GD-110S"/>
    <n v="14960"/>
    <n v="12466"/>
    <m/>
    <m/>
    <m/>
    <m/>
    <s v="147427"/>
    <d v="2024-08-27T00:00:00"/>
    <s v="MOTORCYCLE  COMPREHENSIVE"/>
    <n v="352000"/>
    <n v="1869.9"/>
    <n v="124.66"/>
    <n v="500"/>
  </r>
  <r>
    <s v="KHI/HO/D/MO/MC COMP/P/96109/08/2024"/>
    <m/>
    <x v="1"/>
    <d v="2025-08-28T00:00:00"/>
    <d v="2026-08-28T00:00:00"/>
    <s v="AHSAN AHMED"/>
    <s v="SUZUKI-GD-110S"/>
    <n v="14960"/>
    <n v="12466"/>
    <m/>
    <m/>
    <m/>
    <m/>
    <s v="147427"/>
    <d v="2024-08-27T00:00:00"/>
    <s v="MOTORCYCLE  COMPREHENSIVE"/>
    <n v="352000"/>
    <n v="1869.9"/>
    <n v="124.66"/>
    <n v="500"/>
  </r>
  <r>
    <s v="KHI/HO/D/MO/MC COMP/P/96114/08/2024"/>
    <m/>
    <x v="1"/>
    <d v="2024-08-27T00:00:00"/>
    <d v="2025-08-27T00:00:00"/>
    <s v="ABDUL KHAYYAM"/>
    <s v="SUZUKI-GD-110 EURO II"/>
    <n v="14960"/>
    <n v="12466"/>
    <m/>
    <m/>
    <m/>
    <m/>
    <s v="147580"/>
    <d v="2024-08-27T00:00:00"/>
    <s v="MOTORCYCLE  COMPREHENSIVE"/>
    <n v="352000"/>
    <n v="1869.9"/>
    <n v="124.66"/>
    <n v="500"/>
  </r>
  <r>
    <s v="KHI/HO/D/MO/MC COMP/P/96116/08/2024"/>
    <m/>
    <x v="10"/>
    <d v="2024-08-27T00:00:00"/>
    <d v="2025-08-27T00:00:00"/>
    <s v="AQIB"/>
    <s v="SUZUKI-GD-110S"/>
    <n v="14960"/>
    <n v="12466"/>
    <m/>
    <m/>
    <m/>
    <m/>
    <s v="147581"/>
    <d v="2024-08-27T00:00:00"/>
    <s v="MOTORCYCLE  COMPREHENSIVE"/>
    <n v="352000"/>
    <n v="1869.9"/>
    <n v="124.66"/>
    <n v="500"/>
  </r>
  <r>
    <s v="KHI/HO/D/MO/MC COMP/P/96126/08/2024"/>
    <m/>
    <x v="12"/>
    <d v="2024-08-27T00:00:00"/>
    <d v="2025-08-27T00:00:00"/>
    <s v="MUHAMMAD UMAIR"/>
    <s v="SUZUKI-GD-110S"/>
    <n v="14960"/>
    <n v="12466"/>
    <m/>
    <m/>
    <m/>
    <m/>
    <s v="147294"/>
    <d v="2024-08-27T00:00:00"/>
    <s v="MOTORCYCLE  COMPREHENSIVE"/>
    <n v="352000"/>
    <n v="1869.9"/>
    <n v="124.66"/>
    <n v="500"/>
  </r>
  <r>
    <s v="KHI/HO/D/MO/MC COMP/P/96127/08/2024"/>
    <m/>
    <x v="12"/>
    <d v="2025-08-28T00:00:00"/>
    <d v="2026-08-28T00:00:00"/>
    <s v="MUHAMMAD UMAIR"/>
    <s v="SUZUKI-GD-110S"/>
    <n v="14960"/>
    <n v="12466"/>
    <m/>
    <m/>
    <m/>
    <m/>
    <s v="147294"/>
    <d v="2024-08-27T00:00:00"/>
    <s v="MOTORCYCLE  COMPREHENSIVE"/>
    <n v="352000"/>
    <n v="1869.9"/>
    <n v="124.66"/>
    <n v="500"/>
  </r>
  <r>
    <s v="KHI/HO/D/MO/MC COMP/P/96129/08/2024"/>
    <m/>
    <x v="12"/>
    <d v="2024-08-27T00:00:00"/>
    <d v="2025-08-27T00:00:00"/>
    <s v="BILAL KHAN"/>
    <s v="SUZUKI-GS 150"/>
    <n v="16235"/>
    <n v="13565"/>
    <m/>
    <m/>
    <m/>
    <m/>
    <s v="30092771"/>
    <d v="2024-08-27T00:00:00"/>
    <s v="MOTORCYCLE  COMPREHENSIVE"/>
    <n v="382000"/>
    <n v="2034.75"/>
    <n v="135.65"/>
    <n v="500"/>
  </r>
  <r>
    <s v="KHI/HO/D/MO/MC COMP/P/96130/08/2024"/>
    <m/>
    <x v="12"/>
    <d v="2025-08-28T00:00:00"/>
    <d v="2026-08-28T00:00:00"/>
    <s v="BILAL KHAN"/>
    <s v="SUZUKI-GS 150"/>
    <n v="16235"/>
    <n v="13565"/>
    <m/>
    <m/>
    <m/>
    <m/>
    <s v="30092771"/>
    <d v="2024-08-27T00:00:00"/>
    <s v="MOTORCYCLE  COMPREHENSIVE"/>
    <n v="382000"/>
    <n v="2034.75"/>
    <n v="135.65"/>
    <n v="500"/>
  </r>
  <r>
    <s v="KHI/HO/D/MO/MC COMP/P/96137/08/2024"/>
    <m/>
    <x v="12"/>
    <d v="2024-08-27T00:00:00"/>
    <d v="2025-08-27T00:00:00"/>
    <s v="MUHAMMAD OWAIS"/>
    <s v="SUZUKI-GD-110S"/>
    <n v="14960"/>
    <n v="12466"/>
    <m/>
    <m/>
    <m/>
    <m/>
    <s v="147676"/>
    <d v="2024-08-27T00:00:00"/>
    <s v="MOTORCYCLE  COMPREHENSIVE"/>
    <n v="352000"/>
    <n v="1869.9"/>
    <n v="124.66"/>
    <n v="500"/>
  </r>
  <r>
    <s v="KHI/HO/D/MO/MC COMP/P/96138/08/2024"/>
    <m/>
    <x v="10"/>
    <d v="2024-08-27T00:00:00"/>
    <d v="2025-08-27T00:00:00"/>
    <s v="RAAHIM SHAIKH"/>
    <s v="SUZUKI-GS 150"/>
    <n v="16235"/>
    <n v="13565"/>
    <m/>
    <m/>
    <m/>
    <m/>
    <s v="30092721"/>
    <d v="2024-08-27T00:00:00"/>
    <s v="MOTORCYCLE  COMPREHENSIVE"/>
    <n v="382000"/>
    <n v="2034.75"/>
    <n v="135.65"/>
    <n v="500"/>
  </r>
  <r>
    <s v="KHI/HO/D/MO/MC COMP/P/96139/08/2024"/>
    <m/>
    <x v="10"/>
    <d v="2025-08-28T00:00:00"/>
    <d v="2026-08-28T00:00:00"/>
    <s v="RAAHIM SHAIKH"/>
    <s v="SUZUKI-GS 150"/>
    <n v="16235"/>
    <n v="13565"/>
    <m/>
    <m/>
    <m/>
    <m/>
    <s v="30092721"/>
    <d v="2024-08-27T00:00:00"/>
    <s v="MOTORCYCLE  COMPREHENSIVE"/>
    <n v="382000"/>
    <n v="2034.75"/>
    <n v="135.65"/>
    <n v="500"/>
  </r>
  <r>
    <s v="KHI/HO/D/MO/MC COMP/P/96140/08/2024"/>
    <m/>
    <x v="6"/>
    <d v="2024-08-08T00:00:00"/>
    <d v="2025-08-07T00:00:00"/>
    <s v="Ahmed Ali"/>
    <s v="SUZUKI-SUZUKI 110"/>
    <n v="11725"/>
    <n v="9676"/>
    <m/>
    <m/>
    <m/>
    <m/>
    <s v="136373"/>
    <d v="2024-08-27T00:00:00"/>
    <s v="MOTORCYCLE  COMPREHENSIVE"/>
    <n v="335000"/>
    <n v="1451.4"/>
    <n v="96.76"/>
    <n v="500"/>
  </r>
  <r>
    <s v="KHI/HO/D/MO/MC COMP/P/96144/08/2024"/>
    <m/>
    <x v="6"/>
    <d v="2024-08-18T00:00:00"/>
    <d v="2025-08-17T00:00:00"/>
    <s v="M AMIR MEMON HASHMANI"/>
    <s v="SUZUKI-GD-110 EURO II"/>
    <n v="11725"/>
    <n v="9676"/>
    <m/>
    <m/>
    <m/>
    <m/>
    <s v="134565"/>
    <d v="2024-08-27T00:00:00"/>
    <s v="MOTORCYCLE  COMPREHENSIVE"/>
    <n v="335000"/>
    <n v="1451.4"/>
    <n v="96.76"/>
    <n v="500"/>
  </r>
  <r>
    <s v="KHI/HO/D/MO/MC COMP/P/96149/08/2024"/>
    <m/>
    <x v="6"/>
    <d v="2024-07-24T00:00:00"/>
    <d v="2025-07-23T00:00:00"/>
    <s v="MUHAMMAD TUFAIL"/>
    <s v="SUZUKI-GS 150"/>
    <n v="12740"/>
    <n v="10551"/>
    <m/>
    <m/>
    <m/>
    <m/>
    <s v=" 30088563"/>
    <d v="2024-08-27T00:00:00"/>
    <s v="MOTORCYCLE  COMPREHENSIVE"/>
    <n v="364000"/>
    <n v="1582.65"/>
    <n v="105.51"/>
    <n v="500"/>
  </r>
  <r>
    <s v="KHI/HO/D/MO/MC COMP/P/96150/08/2024"/>
    <m/>
    <x v="5"/>
    <d v="2024-08-27T00:00:00"/>
    <d v="2025-08-27T00:00:00"/>
    <s v="SHEIKH RABI MAQSOOD"/>
    <s v="SUZUKI-GS 150"/>
    <n v="9550"/>
    <n v="7802"/>
    <m/>
    <m/>
    <m/>
    <m/>
    <s v="30092599"/>
    <d v="2024-08-27T00:00:00"/>
    <s v="MOTORCYCLE  COMPREHENSIVE"/>
    <n v="382000"/>
    <n v="1170.3"/>
    <n v="78.02"/>
    <n v="500"/>
  </r>
  <r>
    <s v="KHI/HO/D/MO/MC COMP/P/96152/08/2024"/>
    <m/>
    <x v="6"/>
    <d v="2024-08-18T00:00:00"/>
    <d v="2025-08-17T00:00:00"/>
    <s v="S ASIF ALI"/>
    <s v="SUZUKI-GS 150"/>
    <n v="12740"/>
    <n v="10551"/>
    <m/>
    <m/>
    <m/>
    <m/>
    <s v="30088861"/>
    <d v="2024-08-27T00:00:00"/>
    <s v="MOTORCYCLE  COMPREHENSIVE"/>
    <n v="364000"/>
    <n v="1582.65"/>
    <n v="105.51"/>
    <n v="500"/>
  </r>
  <r>
    <s v="KHI/HO/D/MO/MC COMP/P/96153/08/2024"/>
    <m/>
    <x v="6"/>
    <d v="2024-07-24T00:00:00"/>
    <d v="2025-07-23T00:00:00"/>
    <s v="M WAQAS QURESHI"/>
    <s v="SUZUKI-GD-110S"/>
    <n v="11725"/>
    <n v="9676"/>
    <m/>
    <m/>
    <m/>
    <m/>
    <s v="133626"/>
    <d v="2024-08-27T00:00:00"/>
    <s v="MOTORCYCLE  COMPREHENSIVE"/>
    <n v="335000"/>
    <n v="1451.4"/>
    <n v="96.76"/>
    <n v="500"/>
  </r>
  <r>
    <s v="KHI/HO/D/MO/MC COMP/P/96154/08/2024"/>
    <m/>
    <x v="14"/>
    <d v="2024-08-27T00:00:00"/>
    <d v="2025-08-27T00:00:00"/>
    <s v="UMAIR UL HASSAN"/>
    <s v="SUZUKI-GD-110S"/>
    <n v="8800"/>
    <n v="7155"/>
    <m/>
    <m/>
    <m/>
    <m/>
    <s v="146719"/>
    <d v="2024-08-27T00:00:00"/>
    <s v="MOTORCYCLE  COMPREHENSIVE"/>
    <n v="352000"/>
    <n v="1073.25"/>
    <n v="71.55"/>
    <n v="500"/>
  </r>
  <r>
    <s v="KHI/HO/D/MO/MC COMP/P/96156/08/2024"/>
    <m/>
    <x v="24"/>
    <d v="2024-08-27T00:00:00"/>
    <d v="2025-08-27T00:00:00"/>
    <s v="ZAIN TARIQ"/>
    <s v="SUZUKI-GSX 125"/>
    <n v="12475"/>
    <n v="10323"/>
    <m/>
    <m/>
    <m/>
    <m/>
    <s v="23102589"/>
    <d v="2024-08-27T00:00:00"/>
    <s v="MOTORCYCLE  COMPREHENSIVE"/>
    <n v="499000"/>
    <n v="1548.45"/>
    <n v="103.23"/>
    <n v="500"/>
  </r>
  <r>
    <s v="KHI/HO/D/MO/MC COMP/P/96157/08/2024"/>
    <m/>
    <x v="24"/>
    <d v="2024-08-27T00:00:00"/>
    <d v="2025-08-27T00:00:00"/>
    <s v="BALAWAL HUSSAIN"/>
    <s v="SUZUKI-GS 150"/>
    <n v="9550"/>
    <n v="7802"/>
    <m/>
    <m/>
    <m/>
    <m/>
    <s v="30092371"/>
    <d v="2024-08-27T00:00:00"/>
    <s v="MOTORCYCLE  COMPREHENSIVE"/>
    <n v="382000"/>
    <n v="1170.3"/>
    <n v="78.02"/>
    <n v="500"/>
  </r>
  <r>
    <s v="KHI/HO/D/MO/MC COMP/P/96159/08/2024"/>
    <m/>
    <x v="24"/>
    <d v="2024-08-27T00:00:00"/>
    <d v="2025-08-27T00:00:00"/>
    <s v="AKHTAR ALI"/>
    <s v="SUZUKI-GD-110S"/>
    <n v="8800"/>
    <n v="7155"/>
    <m/>
    <m/>
    <m/>
    <m/>
    <s v="146953"/>
    <d v="2024-08-27T00:00:00"/>
    <s v="MOTORCYCLE  COMPREHENSIVE"/>
    <n v="352000"/>
    <n v="1073.25"/>
    <n v="71.55"/>
    <n v="500"/>
  </r>
  <r>
    <s v="KHI/HO/D/MO/MC COMP/P/96160/08/2024"/>
    <m/>
    <x v="16"/>
    <d v="2024-08-27T00:00:00"/>
    <d v="2025-08-27T00:00:00"/>
    <s v="Arif Jatoi"/>
    <s v="SUZUKI-GD-110S"/>
    <n v="14960"/>
    <n v="12466"/>
    <m/>
    <m/>
    <m/>
    <m/>
    <s v="146940"/>
    <d v="2024-08-27T00:00:00"/>
    <s v="MOTORCYCLE  COMPREHENSIVE"/>
    <n v="352000"/>
    <n v="1869.9"/>
    <n v="124.66"/>
    <n v="500"/>
  </r>
  <r>
    <s v="KHI/HO/D/MO/MC COMP/P/96166/08/2024"/>
    <m/>
    <x v="15"/>
    <d v="2024-08-27T00:00:00"/>
    <d v="2025-08-27T00:00:00"/>
    <s v="ABDULLAH"/>
    <s v="SUZUKI-GD-110S"/>
    <n v="8800"/>
    <n v="7155"/>
    <m/>
    <m/>
    <m/>
    <m/>
    <s v="147408"/>
    <d v="2024-08-27T00:00:00"/>
    <s v="MOTORCYCLE  COMPREHENSIVE"/>
    <n v="352000"/>
    <n v="1073.25"/>
    <n v="71.55"/>
    <n v="500"/>
  </r>
  <r>
    <s v="KHI/HO/D/MO/MC COMP/P/96167/08/2024"/>
    <m/>
    <x v="10"/>
    <d v="2024-08-27T00:00:00"/>
    <d v="2025-08-27T00:00:00"/>
    <s v="HASSAM NAZEER"/>
    <s v="SUZUKI-GD-110S"/>
    <n v="14960"/>
    <n v="12466"/>
    <m/>
    <m/>
    <m/>
    <m/>
    <s v="147487"/>
    <d v="2024-08-27T00:00:00"/>
    <s v="MOTORCYCLE  COMPREHENSIVE"/>
    <n v="352000"/>
    <n v="1869.9"/>
    <n v="124.66"/>
    <n v="500"/>
  </r>
  <r>
    <s v="KHI/HO/D/MO/MC COMP/P/96168/08/2024"/>
    <m/>
    <x v="10"/>
    <d v="2025-08-28T00:00:00"/>
    <d v="2026-08-28T00:00:00"/>
    <s v="HASSAM NAZEER"/>
    <s v="SUZUKI-GD-110S"/>
    <n v="14960"/>
    <n v="12466"/>
    <m/>
    <m/>
    <m/>
    <m/>
    <s v="147487"/>
    <d v="2024-08-27T00:00:00"/>
    <s v="MOTORCYCLE  COMPREHENSIVE"/>
    <n v="352000"/>
    <n v="1869.9"/>
    <n v="124.66"/>
    <n v="500"/>
  </r>
  <r>
    <s v="KHI/HO/D/MO/MC COMP/P/96171/08/2024"/>
    <m/>
    <x v="19"/>
    <d v="2024-08-27T00:00:00"/>
    <d v="2025-08-27T00:00:00"/>
    <s v="MUHAMMAD YOUSAF"/>
    <s v="SUZUKI-GD-110S"/>
    <n v="8800"/>
    <n v="7155"/>
    <m/>
    <m/>
    <m/>
    <m/>
    <s v="146658"/>
    <d v="2024-08-27T00:00:00"/>
    <s v="MOTORCYCLE  COMPREHENSIVE"/>
    <n v="352000"/>
    <n v="1073.25"/>
    <n v="71.55"/>
    <n v="500"/>
  </r>
  <r>
    <s v="KHI/HO/D/MO/MC COMP/P/96175/08/2024"/>
    <m/>
    <x v="13"/>
    <d v="2024-08-27T00:00:00"/>
    <d v="2025-08-27T00:00:00"/>
    <s v="M Illyas"/>
    <s v="SUZUKI-GR150 EURO II"/>
    <n v="13675"/>
    <n v="11358"/>
    <m/>
    <m/>
    <m/>
    <m/>
    <s v="113534"/>
    <d v="2024-08-27T00:00:00"/>
    <s v="MOTORCYCLE  COMPREHENSIVE"/>
    <n v="547000"/>
    <n v="1703.7"/>
    <n v="113.58"/>
    <n v="500"/>
  </r>
  <r>
    <s v="KHI/HO/D/MO/MC COMP/P/96177/08/2024"/>
    <m/>
    <x v="13"/>
    <d v="2024-08-27T00:00:00"/>
    <d v="2025-08-27T00:00:00"/>
    <s v="Muzaffar Ali"/>
    <s v="SUZUKI-GD-110S"/>
    <n v="8800"/>
    <n v="7155"/>
    <m/>
    <m/>
    <m/>
    <m/>
    <s v="145709"/>
    <d v="2024-08-27T00:00:00"/>
    <s v="MOTORCYCLE  COMPREHENSIVE"/>
    <n v="352000"/>
    <n v="1073.25"/>
    <n v="71.55"/>
    <n v="500"/>
  </r>
  <r>
    <s v="KHI/HO/D/MO/MC COMP/P/96181/08/2024"/>
    <m/>
    <x v="13"/>
    <d v="2024-08-27T00:00:00"/>
    <d v="2025-08-27T00:00:00"/>
    <s v="Zahoor Ahmad"/>
    <s v="SUZUKI-GD-110S"/>
    <n v="8800"/>
    <n v="7155"/>
    <m/>
    <m/>
    <m/>
    <m/>
    <s v="145484"/>
    <d v="2024-08-27T00:00:00"/>
    <s v="MOTORCYCLE  COMPREHENSIVE"/>
    <n v="352000"/>
    <n v="1073.25"/>
    <n v="71.55"/>
    <n v="500"/>
  </r>
  <r>
    <s v="KHI/HO/D/MO/MC COMP/P/96183/08/2024"/>
    <m/>
    <x v="11"/>
    <d v="2024-08-27T00:00:00"/>
    <d v="2025-08-27T00:00:00"/>
    <s v="NAJAMUDDIN POONAWALA"/>
    <s v="SUZUKI-GR150 EURO II"/>
    <n v="23248"/>
    <n v="19610"/>
    <m/>
    <m/>
    <m/>
    <m/>
    <s v="113567"/>
    <d v="2024-08-27T00:00:00"/>
    <s v="MOTORCYCLE  COMPREHENSIVE"/>
    <n v="547000"/>
    <n v="2941.5"/>
    <n v="196.1"/>
    <n v="500"/>
  </r>
  <r>
    <s v="KHI/HO/D/MO/MC COMP/P/96186/08/2024"/>
    <m/>
    <x v="11"/>
    <d v="2024-08-27T00:00:00"/>
    <d v="2025-08-27T00:00:00"/>
    <s v="YAQOOB ALI"/>
    <s v="SUZUKI-GD-110S"/>
    <n v="14960"/>
    <n v="12466"/>
    <m/>
    <m/>
    <m/>
    <m/>
    <s v="145630"/>
    <d v="2024-08-27T00:00:00"/>
    <s v="MOTORCYCLE  COMPREHENSIVE"/>
    <n v="352000"/>
    <n v="1869.9"/>
    <n v="124.66"/>
    <n v="500"/>
  </r>
  <r>
    <s v="KHI/HO/D/MO/MC COMP/P/96187/08/2024"/>
    <m/>
    <x v="11"/>
    <d v="2025-08-28T00:00:00"/>
    <d v="2026-08-28T00:00:00"/>
    <s v="YAQOOB ALI"/>
    <s v="SUZUKI-GD-110S"/>
    <n v="14960"/>
    <n v="12466"/>
    <m/>
    <m/>
    <m/>
    <m/>
    <s v="145630"/>
    <d v="2024-08-27T00:00:00"/>
    <s v="MOTORCYCLE  COMPREHENSIVE"/>
    <n v="352000"/>
    <n v="1869.9"/>
    <n v="124.66"/>
    <n v="500"/>
  </r>
  <r>
    <s v="KHI/HO/D/MO/MC COMP/P/96188/08/2024"/>
    <m/>
    <x v="11"/>
    <d v="2024-08-27T00:00:00"/>
    <d v="2025-08-27T00:00:00"/>
    <s v="MUHAMMAD IQBAL"/>
    <s v="SUZUKI-GD-110S"/>
    <n v="14960"/>
    <n v="12466"/>
    <m/>
    <m/>
    <m/>
    <m/>
    <s v="147747"/>
    <d v="2024-08-27T00:00:00"/>
    <s v="MOTORCYCLE  COMPREHENSIVE"/>
    <n v="352000"/>
    <n v="1869.9"/>
    <n v="124.66"/>
    <n v="500"/>
  </r>
  <r>
    <s v="KHI/HO/D/MO/MC COMP/P/96189/08/2024"/>
    <m/>
    <x v="11"/>
    <d v="2024-08-27T00:00:00"/>
    <d v="2025-08-27T00:00:00"/>
    <s v="IMRAN"/>
    <s v="SUZUKI-GS 150"/>
    <n v="16235"/>
    <n v="13565"/>
    <m/>
    <m/>
    <m/>
    <m/>
    <s v="30092764"/>
    <d v="2024-08-27T00:00:00"/>
    <s v="MOTORCYCLE  COMPREHENSIVE"/>
    <n v="382000"/>
    <n v="2034.75"/>
    <n v="135.65"/>
    <n v="500"/>
  </r>
  <r>
    <s v="KHI/HO/D/MO/MC COMP/P/96190/08/2024"/>
    <m/>
    <x v="11"/>
    <d v="2025-08-28T00:00:00"/>
    <d v="2026-08-28T00:00:00"/>
    <s v="IMRAN"/>
    <s v="SUZUKI-GS 150"/>
    <n v="16235"/>
    <n v="13565"/>
    <m/>
    <m/>
    <m/>
    <m/>
    <s v="30092764"/>
    <d v="2024-08-27T00:00:00"/>
    <s v="MOTORCYCLE  COMPREHENSIVE"/>
    <n v="382000"/>
    <n v="2034.75"/>
    <n v="135.65"/>
    <n v="500"/>
  </r>
  <r>
    <s v="KHI/HO/D/MO/MC COMP/P/96192/08/2024"/>
    <m/>
    <x v="7"/>
    <d v="2024-08-27T00:00:00"/>
    <d v="2025-08-27T00:00:00"/>
    <s v="MUHAMMAD SAQIB KHATRI"/>
    <s v="SUZUKI-GS 150"/>
    <n v="16235"/>
    <n v="13565"/>
    <m/>
    <m/>
    <m/>
    <m/>
    <s v="30092783"/>
    <d v="2024-08-27T00:00:00"/>
    <s v="MOTORCYCLE  COMPREHENSIVE"/>
    <n v="382000"/>
    <n v="2034.75"/>
    <n v="135.65"/>
    <n v="500"/>
  </r>
  <r>
    <s v="KHI/HO/D/MO/MC COMP/P/96222/08/2024"/>
    <m/>
    <x v="2"/>
    <d v="2024-08-28T00:00:00"/>
    <d v="2025-08-28T00:00:00"/>
    <s v="FAHAD SAEED KHAN"/>
    <s v="SUZUKI-GS 150"/>
    <n v="16235"/>
    <n v="13565"/>
    <m/>
    <m/>
    <m/>
    <m/>
    <s v="30092768"/>
    <d v="2024-08-28T00:00:00"/>
    <s v="MOTORCYCLE  COMPREHENSIVE"/>
    <n v="382000"/>
    <n v="2034.75"/>
    <n v="135.65"/>
    <n v="500"/>
  </r>
  <r>
    <s v="KHI/HO/D/MO/MC COMP/P/96225/08/2024"/>
    <m/>
    <x v="2"/>
    <d v="2024-08-28T00:00:00"/>
    <d v="2025-08-28T00:00:00"/>
    <s v="DANIYAL BHATTI"/>
    <s v="SUZUKI-GS 150"/>
    <n v="16235"/>
    <n v="13565"/>
    <m/>
    <m/>
    <m/>
    <m/>
    <s v="30092774"/>
    <d v="2024-08-28T00:00:00"/>
    <s v="MOTORCYCLE  COMPREHENSIVE"/>
    <n v="382000"/>
    <n v="2034.75"/>
    <n v="135.65"/>
    <n v="500"/>
  </r>
  <r>
    <s v="KHI/HO/D/MO/MC COMP/P/96226/08/2024"/>
    <m/>
    <x v="2"/>
    <d v="2025-08-29T00:00:00"/>
    <d v="2026-08-29T00:00:00"/>
    <s v="DANIYAL BHATTI"/>
    <s v="SUZUKI-GS 150"/>
    <n v="16235"/>
    <n v="13565"/>
    <m/>
    <m/>
    <m/>
    <m/>
    <s v="30092774"/>
    <d v="2024-08-28T00:00:00"/>
    <s v="MOTORCYCLE  COMPREHENSIVE"/>
    <n v="382000"/>
    <n v="2034.75"/>
    <n v="135.65"/>
    <n v="500"/>
  </r>
  <r>
    <s v="KHI/HO/D/MO/MC COMP/P/96231/08/2024"/>
    <m/>
    <x v="2"/>
    <d v="2024-08-28T00:00:00"/>
    <d v="2025-08-28T00:00:00"/>
    <s v="AKBAR ALI"/>
    <s v="SUZUKI-GS 150"/>
    <n v="16235"/>
    <n v="13565"/>
    <m/>
    <m/>
    <m/>
    <m/>
    <s v="30092772"/>
    <d v="2024-08-28T00:00:00"/>
    <s v="MOTORCYCLE  COMPREHENSIVE"/>
    <n v="382000"/>
    <n v="2034.75"/>
    <n v="135.65"/>
    <n v="500"/>
  </r>
  <r>
    <s v="KHI/HO/D/MO/MC COMP/P/96235/08/2024"/>
    <m/>
    <x v="3"/>
    <d v="2024-08-28T00:00:00"/>
    <d v="2025-08-28T00:00:00"/>
    <s v="NADEEM AHMAD"/>
    <s v="SUZUKI-GR150 EURO II"/>
    <n v="13675"/>
    <n v="11358"/>
    <m/>
    <m/>
    <m/>
    <m/>
    <s v="113526"/>
    <d v="2024-08-28T00:00:00"/>
    <s v="MOTORCYCLE  COMPREHENSIVE"/>
    <n v="547000"/>
    <n v="1703.7"/>
    <n v="113.58"/>
    <n v="500"/>
  </r>
  <r>
    <s v="KHI/HO/D/MO/MC COMP/P/96236/08/2024"/>
    <m/>
    <x v="1"/>
    <d v="2024-08-28T00:00:00"/>
    <d v="2025-08-28T00:00:00"/>
    <s v="Arqam Ansari"/>
    <s v="SUZUKI-GS 150"/>
    <n v="16235"/>
    <n v="13565"/>
    <m/>
    <m/>
    <m/>
    <m/>
    <s v="30092736"/>
    <d v="2024-08-28T00:00:00"/>
    <s v="MOTORCYCLE  COMPREHENSIVE"/>
    <n v="382000"/>
    <n v="2034.75"/>
    <n v="135.65"/>
    <n v="500"/>
  </r>
  <r>
    <s v="KHI/HO/D/MO/MC COMP/P/96237/08/2024"/>
    <m/>
    <x v="1"/>
    <d v="2025-08-29T00:00:00"/>
    <d v="2026-08-29T00:00:00"/>
    <s v="Arqam Ansari"/>
    <s v="SUZUKI-GS 150"/>
    <n v="16235"/>
    <n v="13565"/>
    <m/>
    <m/>
    <m/>
    <m/>
    <s v="30092736"/>
    <d v="2024-08-28T00:00:00"/>
    <s v="MOTORCYCLE  COMPREHENSIVE"/>
    <n v="382000"/>
    <n v="2034.75"/>
    <n v="135.65"/>
    <n v="500"/>
  </r>
  <r>
    <s v="KHI/HO/D/MO/MC COMP/P/96238/08/2024"/>
    <m/>
    <x v="0"/>
    <d v="2024-08-28T00:00:00"/>
    <d v="2025-08-28T00:00:00"/>
    <s v="Zulfiqar Ali"/>
    <s v="SUZUKI-GS 150"/>
    <n v="16235"/>
    <n v="13565"/>
    <m/>
    <m/>
    <m/>
    <m/>
    <s v="30092780"/>
    <d v="2024-08-28T00:00:00"/>
    <s v="MOTORCYCLE  COMPREHENSIVE"/>
    <n v="382000"/>
    <n v="2034.75"/>
    <n v="135.65"/>
    <n v="500"/>
  </r>
  <r>
    <s v="KHI/HO/D/MO/MC COMP/P/96239/08/2024"/>
    <m/>
    <x v="0"/>
    <d v="2025-08-29T00:00:00"/>
    <d v="2026-08-29T00:00:00"/>
    <s v="Zulfiqar Ali"/>
    <s v="SUZUKI-GS 150"/>
    <n v="16235"/>
    <n v="13565"/>
    <m/>
    <m/>
    <m/>
    <m/>
    <s v="30092780"/>
    <d v="2024-08-28T00:00:00"/>
    <s v="MOTORCYCLE  COMPREHENSIVE"/>
    <n v="382000"/>
    <n v="2034.75"/>
    <n v="135.65"/>
    <n v="500"/>
  </r>
  <r>
    <s v="KHI/HO/D/MO/MC COMP/P/96241/08/2024"/>
    <m/>
    <x v="2"/>
    <d v="2024-08-28T00:00:00"/>
    <d v="2025-08-28T00:00:00"/>
    <s v="MUHAMMAD UMER KHAN"/>
    <s v="SUZUKI-GS 150"/>
    <n v="16235"/>
    <n v="13565"/>
    <m/>
    <m/>
    <m/>
    <m/>
    <s v="30092767"/>
    <d v="2024-08-28T00:00:00"/>
    <s v="MOTORCYCLE  COMPREHENSIVE"/>
    <n v="382000"/>
    <n v="2034.75"/>
    <n v="135.65"/>
    <n v="500"/>
  </r>
  <r>
    <s v="KHI/HO/D/MO/MC COMP/P/96242/08/2024"/>
    <m/>
    <x v="2"/>
    <d v="2025-08-29T00:00:00"/>
    <d v="2026-08-29T00:00:00"/>
    <s v="MUHAMMAD UMER KHAN"/>
    <s v="SUZUKI-GS 150"/>
    <n v="16235"/>
    <n v="13565"/>
    <m/>
    <m/>
    <m/>
    <m/>
    <s v="30092767"/>
    <d v="2024-08-28T00:00:00"/>
    <s v="MOTORCYCLE  COMPREHENSIVE"/>
    <n v="382000"/>
    <n v="2034.75"/>
    <n v="135.65"/>
    <n v="500"/>
  </r>
  <r>
    <s v="KHI/HO/D/MO/MC COMP/P/96243/08/2024"/>
    <m/>
    <x v="1"/>
    <d v="2024-08-28T00:00:00"/>
    <d v="2025-08-28T00:00:00"/>
    <s v="NAYAB ALI"/>
    <s v="SUZUKI-GD-110S"/>
    <n v="14960"/>
    <n v="12466"/>
    <m/>
    <m/>
    <m/>
    <m/>
    <s v="147594"/>
    <d v="2024-08-28T00:00:00"/>
    <s v="MOTORCYCLE  COMPREHENSIVE"/>
    <n v="352000"/>
    <n v="1869.9"/>
    <n v="124.66"/>
    <n v="500"/>
  </r>
  <r>
    <s v="KHI/HO/D/MO/MC COMP/P/96244/08/2024"/>
    <m/>
    <x v="1"/>
    <d v="2025-08-29T00:00:00"/>
    <d v="2026-08-29T00:00:00"/>
    <s v="NAYAB ALI"/>
    <s v="SUZUKI-GD-110S"/>
    <n v="14960"/>
    <n v="12466"/>
    <m/>
    <m/>
    <m/>
    <m/>
    <s v="147594"/>
    <d v="2024-08-28T00:00:00"/>
    <s v="MOTORCYCLE  COMPREHENSIVE"/>
    <n v="352000"/>
    <n v="1869.9"/>
    <n v="124.66"/>
    <n v="500"/>
  </r>
  <r>
    <s v="KHI/HO/D/MO/MC COMP/P/96245/08/2024"/>
    <m/>
    <x v="1"/>
    <d v="2024-08-28T00:00:00"/>
    <d v="2025-08-28T00:00:00"/>
    <s v="NASIR"/>
    <s v="SUZUKI-GR150 EURO II"/>
    <n v="23248"/>
    <n v="19610"/>
    <m/>
    <m/>
    <m/>
    <m/>
    <s v="113666"/>
    <d v="2024-08-28T00:00:00"/>
    <s v="MOTORCYCLE  COMPREHENSIVE"/>
    <n v="547000"/>
    <n v="2941.5"/>
    <n v="196.1"/>
    <n v="500"/>
  </r>
  <r>
    <s v="KHI/HO/D/MO/MC COMP/P/96246/08/2024"/>
    <m/>
    <x v="1"/>
    <d v="2025-08-29T00:00:00"/>
    <d v="2026-08-29T00:00:00"/>
    <s v="NASIR"/>
    <s v="SUZUKI-GR150 EURO II"/>
    <n v="23248"/>
    <n v="19610"/>
    <m/>
    <m/>
    <m/>
    <m/>
    <s v="113666"/>
    <d v="2024-08-28T00:00:00"/>
    <s v="MOTORCYCLE  COMPREHENSIVE"/>
    <n v="547000"/>
    <n v="2941.5"/>
    <n v="196.1"/>
    <n v="500"/>
  </r>
  <r>
    <s v="KHI/HO/D/MO/MC COMP/P/96247/08/2024"/>
    <m/>
    <x v="2"/>
    <d v="2024-08-28T00:00:00"/>
    <d v="2025-08-28T00:00:00"/>
    <s v="SHEHWAR HUSSAIN"/>
    <s v="SUZUKI-GS 150"/>
    <n v="16235"/>
    <n v="13565"/>
    <m/>
    <m/>
    <m/>
    <m/>
    <s v="30092770"/>
    <d v="2024-08-28T00:00:00"/>
    <s v="MOTORCYCLE  COMPREHENSIVE"/>
    <n v="382000"/>
    <n v="2034.75"/>
    <n v="135.65"/>
    <n v="500"/>
  </r>
  <r>
    <s v="KHI/HO/D/MO/MC COMP/P/96248/08/2024"/>
    <m/>
    <x v="2"/>
    <d v="2025-08-29T00:00:00"/>
    <d v="2026-08-29T00:00:00"/>
    <s v="SHEHWAR HUSSAIN"/>
    <s v="SUZUKI-GS 150"/>
    <n v="16235"/>
    <n v="13565"/>
    <m/>
    <m/>
    <m/>
    <m/>
    <s v="30092770"/>
    <d v="2024-08-28T00:00:00"/>
    <s v="MOTORCYCLE  COMPREHENSIVE"/>
    <n v="382000"/>
    <n v="2034.75"/>
    <n v="135.65"/>
    <n v="500"/>
  </r>
  <r>
    <s v="KHI/HO/D/MO/MC COMP/P/96252/08/2024"/>
    <m/>
    <x v="5"/>
    <d v="2024-08-28T00:00:00"/>
    <d v="2025-08-28T00:00:00"/>
    <s v="HUMZA NOOR SATTARI"/>
    <s v="SUZUKI-GR150 EURO II"/>
    <n v="13675"/>
    <n v="11358"/>
    <m/>
    <m/>
    <m/>
    <m/>
    <s v="113560"/>
    <d v="2024-08-28T00:00:00"/>
    <s v="MOTORCYCLE  COMPREHENSIVE"/>
    <n v="547000"/>
    <n v="1703.7"/>
    <n v="113.58"/>
    <n v="500"/>
  </r>
  <r>
    <s v="KHI/HO/D/MO/MC COMP/P/96253/08/2024"/>
    <m/>
    <x v="5"/>
    <d v="2024-08-28T00:00:00"/>
    <d v="2025-08-28T00:00:00"/>
    <s v="MUHAMMAD BILAL ASLAM"/>
    <s v="SUZUKI-GD-110S"/>
    <n v="8800"/>
    <n v="7155"/>
    <m/>
    <m/>
    <m/>
    <m/>
    <s v="145553"/>
    <d v="2024-08-28T00:00:00"/>
    <s v="MOTORCYCLE  COMPREHENSIVE"/>
    <n v="352000"/>
    <n v="1073.25"/>
    <n v="71.55"/>
    <n v="500"/>
  </r>
  <r>
    <s v="KHI/HO/D/MO/MC COMP/P/96255/08/2024"/>
    <m/>
    <x v="5"/>
    <d v="2024-08-28T00:00:00"/>
    <d v="2025-08-28T00:00:00"/>
    <s v="ALI RAZA"/>
    <s v="SUZUKI-GD-110S"/>
    <n v="8800"/>
    <n v="7155"/>
    <m/>
    <m/>
    <m/>
    <m/>
    <s v="145549"/>
    <d v="2024-08-28T00:00:00"/>
    <s v="MOTORCYCLE  COMPREHENSIVE"/>
    <n v="352000"/>
    <n v="1073.25"/>
    <n v="71.55"/>
    <n v="500"/>
  </r>
  <r>
    <s v="KHI/HO/D/MO/MC COMP/P/96257/08/2024"/>
    <m/>
    <x v="5"/>
    <d v="2024-08-28T00:00:00"/>
    <d v="2025-08-28T00:00:00"/>
    <s v="MEHBOOB ASHRAF"/>
    <s v="SUZUKI-GSX 125"/>
    <n v="12475"/>
    <n v="10323"/>
    <m/>
    <m/>
    <m/>
    <m/>
    <s v="23102586"/>
    <d v="2024-08-28T00:00:00"/>
    <s v="MOTORCYCLE  COMPREHENSIVE"/>
    <n v="499000"/>
    <n v="1548.45"/>
    <n v="103.23"/>
    <n v="500"/>
  </r>
  <r>
    <s v="KHI/HO/D/MO/MC COMP/P/96259/08/2024"/>
    <m/>
    <x v="5"/>
    <d v="2024-08-28T00:00:00"/>
    <d v="2025-08-28T00:00:00"/>
    <s v="MUHAMMAD USMAN SALEEM"/>
    <s v="SUZUKI-GS 150"/>
    <n v="9550"/>
    <n v="7802"/>
    <m/>
    <m/>
    <m/>
    <m/>
    <s v="30092607"/>
    <d v="2024-08-28T00:00:00"/>
    <s v="MOTORCYCLE  COMPREHENSIVE"/>
    <n v="382000"/>
    <n v="1170.3"/>
    <n v="78.02"/>
    <n v="500"/>
  </r>
  <r>
    <s v="KHI/HO/D/MO/MC COMP/P/96262/08/2024"/>
    <m/>
    <x v="5"/>
    <d v="2024-08-28T00:00:00"/>
    <d v="2025-08-28T00:00:00"/>
    <s v="MUHAMMAD SHAFIQUE"/>
    <s v="SUZUKI-GR150 EURO II"/>
    <n v="13675"/>
    <n v="11358"/>
    <m/>
    <m/>
    <m/>
    <m/>
    <s v="113569"/>
    <d v="2024-08-28T00:00:00"/>
    <s v="MOTORCYCLE  COMPREHENSIVE"/>
    <n v="547000"/>
    <n v="1703.7"/>
    <n v="113.58"/>
    <n v="500"/>
  </r>
  <r>
    <s v="KHI/HO/D/MO/MC COMP/P/96264/08/2024"/>
    <m/>
    <x v="0"/>
    <d v="2024-08-28T00:00:00"/>
    <d v="2025-08-28T00:00:00"/>
    <s v="MANSOOR AHMED"/>
    <s v="SUZUKI-GS 150"/>
    <n v="16235"/>
    <n v="13565"/>
    <m/>
    <m/>
    <m/>
    <m/>
    <s v="30092735"/>
    <d v="2024-08-28T00:00:00"/>
    <s v="MOTORCYCLE  COMPREHENSIVE"/>
    <n v="382000"/>
    <n v="2034.75"/>
    <n v="135.65"/>
    <n v="500"/>
  </r>
  <r>
    <s v="KHI/HO/D/MO/MC COMP/P/96265/08/2024"/>
    <m/>
    <x v="0"/>
    <d v="2025-08-29T00:00:00"/>
    <d v="2026-08-29T00:00:00"/>
    <s v="MANSOOR AHMED"/>
    <s v="SUZUKI-GS 150"/>
    <n v="16235"/>
    <n v="13565"/>
    <m/>
    <m/>
    <m/>
    <m/>
    <s v="30092735"/>
    <d v="2024-08-28T00:00:00"/>
    <s v="MOTORCYCLE  COMPREHENSIVE"/>
    <n v="382000"/>
    <n v="2034.75"/>
    <n v="135.65"/>
    <n v="500"/>
  </r>
  <r>
    <s v="KHI/HO/D/MO/MC COMP/P/96266/08/2024"/>
    <m/>
    <x v="13"/>
    <d v="2024-08-28T00:00:00"/>
    <d v="2025-08-28T00:00:00"/>
    <s v="Ali Raza"/>
    <s v="SUZUKI-GS 150"/>
    <n v="9550"/>
    <n v="7802"/>
    <m/>
    <m/>
    <m/>
    <m/>
    <s v="30092596"/>
    <d v="2024-08-28T00:00:00"/>
    <s v="MOTORCYCLE  COMPREHENSIVE"/>
    <n v="382000"/>
    <n v="1170.3"/>
    <n v="78.02"/>
    <n v="500"/>
  </r>
  <r>
    <s v="KHI/HO/D/MO/MC COMP/P/96267/08/2024"/>
    <m/>
    <x v="13"/>
    <d v="2024-08-28T00:00:00"/>
    <d v="2025-08-28T00:00:00"/>
    <s v="John Emberry"/>
    <s v="SUZUKI-GS-150"/>
    <n v="9550"/>
    <n v="7802"/>
    <m/>
    <m/>
    <m/>
    <m/>
    <s v="30092336"/>
    <d v="2024-08-28T00:00:00"/>
    <s v="MOTORCYCLE  COMPREHENSIVE"/>
    <n v="382000"/>
    <n v="1170.3"/>
    <n v="78.02"/>
    <n v="500"/>
  </r>
  <r>
    <s v="KHI/HO/D/MO/MC COMP/P/96268/08/2024"/>
    <m/>
    <x v="13"/>
    <d v="2024-08-28T00:00:00"/>
    <d v="2025-08-28T00:00:00"/>
    <s v="John Emberry"/>
    <s v="SUZUKI-GS-150"/>
    <n v="9550"/>
    <n v="7802"/>
    <m/>
    <m/>
    <m/>
    <m/>
    <s v="30092336"/>
    <d v="2024-08-28T00:00:00"/>
    <s v="MOTORCYCLE  COMPREHENSIVE"/>
    <n v="382000"/>
    <n v="1170.3"/>
    <n v="78.02"/>
    <n v="500"/>
  </r>
  <r>
    <s v="KHI/HO/D/MO/MC COMP/P/96270/08/2024"/>
    <m/>
    <x v="23"/>
    <d v="2024-08-28T00:00:00"/>
    <d v="2025-08-28T00:00:00"/>
    <s v="Siddique Ali"/>
    <s v="SUZUKI-GS 150"/>
    <n v="9550"/>
    <n v="7802"/>
    <m/>
    <m/>
    <m/>
    <m/>
    <s v="30092319"/>
    <d v="2024-08-28T00:00:00"/>
    <s v="MOTORCYCLE  COMPREHENSIVE"/>
    <n v="382000"/>
    <n v="1170.3"/>
    <n v="78.02"/>
    <n v="500"/>
  </r>
  <r>
    <s v="KHI/HO/D/MO/MC COMP/P/96271/08/2024"/>
    <m/>
    <x v="13"/>
    <d v="2024-08-28T00:00:00"/>
    <d v="2025-08-28T00:00:00"/>
    <s v="M Qasim"/>
    <s v="SUZUKI-GS 150"/>
    <n v="9550"/>
    <n v="7802"/>
    <m/>
    <m/>
    <m/>
    <m/>
    <s v="30092206"/>
    <d v="2024-08-28T00:00:00"/>
    <s v="MOTORCYCLE  COMPREHENSIVE"/>
    <n v="382000"/>
    <n v="1170.3"/>
    <n v="78.02"/>
    <n v="500"/>
  </r>
  <r>
    <s v="KHI/HO/D/MO/MC COMP/P/96272/08/2024"/>
    <m/>
    <x v="19"/>
    <d v="2024-08-28T00:00:00"/>
    <d v="2025-08-28T00:00:00"/>
    <s v="AHMAD MIR"/>
    <s v="SUZUKI-GD-110S"/>
    <n v="8800"/>
    <n v="7155"/>
    <m/>
    <m/>
    <m/>
    <m/>
    <s v="146653"/>
    <d v="2024-08-28T00:00:00"/>
    <s v="MOTORCYCLE  COMPREHENSIVE"/>
    <n v="352000"/>
    <n v="1073.25"/>
    <n v="71.55"/>
    <n v="500"/>
  </r>
  <r>
    <s v="KHI/HO/D/MO/MC COMP/P/96273/08/2024"/>
    <m/>
    <x v="13"/>
    <d v="2024-08-28T00:00:00"/>
    <d v="2025-08-28T00:00:00"/>
    <s v="Adeel Ahmad"/>
    <s v="SUZUKI-GS 150"/>
    <n v="9550"/>
    <n v="7802"/>
    <m/>
    <m/>
    <m/>
    <m/>
    <s v="30092329"/>
    <d v="2024-08-28T00:00:00"/>
    <s v="MOTORCYCLE  COMPREHENSIVE"/>
    <n v="382000"/>
    <n v="1170.3"/>
    <n v="78.02"/>
    <n v="500"/>
  </r>
  <r>
    <s v="KHI/HO/D/MO/MC COMP/P/96275/08/2024"/>
    <m/>
    <x v="23"/>
    <d v="2024-08-28T00:00:00"/>
    <d v="2025-08-28T00:00:00"/>
    <s v="Muhammad Danish Arshad"/>
    <s v="SUZUKI-GR150 EURO II"/>
    <n v="13675"/>
    <n v="11358"/>
    <m/>
    <m/>
    <m/>
    <m/>
    <s v="113169"/>
    <d v="2024-08-28T00:00:00"/>
    <s v="MOTORCYCLE  COMPREHENSIVE"/>
    <n v="547000"/>
    <n v="1703.7"/>
    <n v="113.58"/>
    <n v="500"/>
  </r>
  <r>
    <s v="KHI/HO/D/MO/MC COMP/P/96276/08/2024"/>
    <m/>
    <x v="19"/>
    <d v="2024-08-28T00:00:00"/>
    <d v="2025-08-28T00:00:00"/>
    <s v="MUHAMMAD SHAHBAZ"/>
    <s v="SUZUKI-GD-110S"/>
    <n v="8800"/>
    <n v="7155"/>
    <m/>
    <m/>
    <m/>
    <m/>
    <s v="146647"/>
    <d v="2024-08-28T00:00:00"/>
    <s v="MOTORCYCLE  COMPREHENSIVE"/>
    <n v="352000"/>
    <n v="1073.25"/>
    <n v="71.55"/>
    <n v="500"/>
  </r>
  <r>
    <s v="KHI/HO/D/MO/MC COMP/P/96278/08/2024"/>
    <m/>
    <x v="19"/>
    <d v="2024-08-28T00:00:00"/>
    <d v="2025-08-28T00:00:00"/>
    <s v="MUHAMMAD ASIF"/>
    <s v="SUZUKI-GD-110S"/>
    <n v="8800"/>
    <n v="7155"/>
    <m/>
    <m/>
    <m/>
    <m/>
    <s v="146453"/>
    <d v="2024-08-28T00:00:00"/>
    <s v="MOTORCYCLE  COMPREHENSIVE"/>
    <n v="352000"/>
    <n v="1073.25"/>
    <n v="71.55"/>
    <n v="500"/>
  </r>
  <r>
    <s v="KHI/HO/D/MO/MC COMP/P/96279/08/2024"/>
    <m/>
    <x v="13"/>
    <d v="2024-08-28T00:00:00"/>
    <d v="2025-08-28T00:00:00"/>
    <s v="M Imran Ahmad"/>
    <s v="SUZUKI-GS 150"/>
    <n v="9550"/>
    <n v="7802"/>
    <m/>
    <m/>
    <m/>
    <m/>
    <s v="30092209"/>
    <d v="2024-08-28T00:00:00"/>
    <s v="MOTORCYCLE  COMPREHENSIVE"/>
    <n v="382000"/>
    <n v="1170.3"/>
    <n v="78.02"/>
    <n v="500"/>
  </r>
  <r>
    <s v="KHI/HO/D/MO/MC COMP/P/96281/08/2024"/>
    <m/>
    <x v="19"/>
    <d v="2024-08-28T00:00:00"/>
    <d v="2025-08-28T00:00:00"/>
    <s v="AHMED WAHEED"/>
    <s v="SUZUKI-GS 150"/>
    <n v="9550"/>
    <n v="7802"/>
    <m/>
    <m/>
    <m/>
    <m/>
    <s v="30092458"/>
    <d v="2024-08-28T00:00:00"/>
    <s v="MOTORCYCLE  COMPREHENSIVE"/>
    <n v="382000"/>
    <n v="1170.3"/>
    <n v="78.02"/>
    <n v="500"/>
  </r>
  <r>
    <s v="KHI/HO/D/MO/MC COMP/P/96282/08/2024"/>
    <m/>
    <x v="19"/>
    <d v="2024-08-28T00:00:00"/>
    <d v="2025-08-28T00:00:00"/>
    <s v="MUHAMMAD AFAQ"/>
    <s v="SUZUKI-GS 150"/>
    <n v="9550"/>
    <n v="7802"/>
    <m/>
    <m/>
    <m/>
    <m/>
    <s v="30092462"/>
    <d v="2024-08-28T00:00:00"/>
    <s v="MOTORCYCLE  COMPREHENSIVE"/>
    <n v="382000"/>
    <n v="1170.3"/>
    <n v="78.02"/>
    <n v="500"/>
  </r>
  <r>
    <s v="KHI/HO/D/MO/MC COMP/P/96284/08/2024"/>
    <m/>
    <x v="19"/>
    <d v="2024-08-28T00:00:00"/>
    <d v="2025-08-28T00:00:00"/>
    <s v="KHAWAR ALI"/>
    <s v="SUZUKI-GD-110S"/>
    <n v="8800"/>
    <n v="7086.2068965517246"/>
    <n v="2.5000000000000001E-2"/>
    <n v="8800"/>
    <n v="7086.2068965517246"/>
    <n v="0"/>
    <s v="146441"/>
    <d v="2024-08-28T00:00:00"/>
    <s v="MOTORCYCLE  COMPREHENSIVE"/>
    <n v="352000"/>
    <n v="1062.9310344827586"/>
    <n v="70.862068965517253"/>
    <n v="500"/>
  </r>
  <r>
    <s v="KHI/HO/D/MO/MC COMP/P/96286/08/2024"/>
    <m/>
    <x v="19"/>
    <d v="2024-08-28T00:00:00"/>
    <d v="2025-08-28T00:00:00"/>
    <s v="AZHAR MAHMOOD"/>
    <s v="SUZUKI-GS 150"/>
    <n v="9550"/>
    <n v="7802"/>
    <m/>
    <m/>
    <m/>
    <m/>
    <s v="30092449"/>
    <d v="2024-08-28T00:00:00"/>
    <s v="MOTORCYCLE  COMPREHENSIVE"/>
    <n v="382000"/>
    <n v="1170.3"/>
    <n v="78.02"/>
    <n v="500"/>
  </r>
  <r>
    <s v="KHI/HO/D/MO/MC COMP/P/96287/08/2024"/>
    <m/>
    <x v="19"/>
    <d v="2024-08-28T00:00:00"/>
    <d v="2025-08-28T00:00:00"/>
    <s v="MUHAMMAD KASHIF"/>
    <s v="SUZUKI-GD-110S"/>
    <n v="8800"/>
    <n v="7155"/>
    <m/>
    <m/>
    <m/>
    <m/>
    <s v="145835"/>
    <d v="2024-08-28T00:00:00"/>
    <s v="MOTORCYCLE  COMPREHENSIVE"/>
    <n v="352000"/>
    <n v="1073.25"/>
    <n v="71.55"/>
    <n v="500"/>
  </r>
  <r>
    <s v="KHI/HO/D/MO/MC COMP/P/96289/08/2024"/>
    <m/>
    <x v="13"/>
    <d v="2024-08-28T00:00:00"/>
    <d v="2025-08-28T00:00:00"/>
    <s v="Fahad Tariq"/>
    <s v="SUZUKI-GS 150"/>
    <n v="9550"/>
    <n v="7802"/>
    <m/>
    <m/>
    <m/>
    <m/>
    <s v="30092583"/>
    <d v="2024-08-28T00:00:00"/>
    <s v="MOTORCYCLE  COMPREHENSIVE"/>
    <n v="382000"/>
    <n v="1170.3"/>
    <n v="78.02"/>
    <n v="500"/>
  </r>
  <r>
    <s v="KHI/HO/D/MO/MC COMP/P/96290/08/2024"/>
    <m/>
    <x v="19"/>
    <d v="2024-08-28T00:00:00"/>
    <d v="2025-08-28T00:00:00"/>
    <s v="MUHAMMAD AHSAN"/>
    <s v="SUZUKI-GR150 EURO II"/>
    <n v="13675"/>
    <n v="11358"/>
    <m/>
    <m/>
    <m/>
    <m/>
    <s v="113471"/>
    <d v="2024-08-28T00:00:00"/>
    <s v="MOTORCYCLE  COMPREHENSIVE"/>
    <n v="547000"/>
    <n v="1703.7"/>
    <n v="113.58"/>
    <n v="500"/>
  </r>
  <r>
    <s v="KHI/HO/D/MO/MC COMP/P/96292/08/2024"/>
    <m/>
    <x v="19"/>
    <d v="2024-08-28T00:00:00"/>
    <d v="2025-08-28T00:00:00"/>
    <s v="GHULAM HASSAN"/>
    <s v="SUZUKI-GD-110S"/>
    <n v="8800"/>
    <n v="7155"/>
    <m/>
    <m/>
    <m/>
    <m/>
    <s v="146462"/>
    <d v="2024-08-28T00:00:00"/>
    <s v="MOTORCYCLE  COMPREHENSIVE"/>
    <n v="352000"/>
    <n v="1073.25"/>
    <n v="71.55"/>
    <n v="500"/>
  </r>
  <r>
    <s v="KHI/HO/D/MO/MC COMP/P/96294/08/2024"/>
    <m/>
    <x v="13"/>
    <d v="2024-08-28T00:00:00"/>
    <d v="2025-08-28T00:00:00"/>
    <s v="Zubair Yasin"/>
    <s v="SUZUKI-GD-110S"/>
    <n v="8800"/>
    <n v="7155"/>
    <m/>
    <m/>
    <m/>
    <m/>
    <s v="145198"/>
    <d v="2024-08-28T00:00:00"/>
    <s v="MOTORCYCLE  COMPREHENSIVE"/>
    <n v="352000"/>
    <n v="1073.25"/>
    <n v="71.55"/>
    <n v="500"/>
  </r>
  <r>
    <s v="KHI/HO/D/MO/MC COMP/P/96295/08/2024"/>
    <m/>
    <x v="19"/>
    <d v="2024-08-28T00:00:00"/>
    <d v="2025-08-28T00:00:00"/>
    <s v="SHAHZAD"/>
    <s v="SUZUKI-GD-110S"/>
    <n v="8800"/>
    <n v="7155"/>
    <m/>
    <m/>
    <m/>
    <m/>
    <s v="146458"/>
    <d v="2024-08-28T00:00:00"/>
    <s v="MOTORCYCLE  COMPREHENSIVE"/>
    <n v="352000"/>
    <n v="1073.25"/>
    <n v="71.55"/>
    <n v="500"/>
  </r>
  <r>
    <s v="KHI/HO/D/MO/MC COMP/P/96297/08/2024"/>
    <m/>
    <x v="7"/>
    <d v="2024-08-28T00:00:00"/>
    <d v="2025-08-28T00:00:00"/>
    <s v="SYED AZHAR ALI SHAH GHILLANI"/>
    <s v="SUZUKI-GD-110S"/>
    <n v="14960"/>
    <n v="12466"/>
    <m/>
    <m/>
    <m/>
    <m/>
    <s v="145440"/>
    <d v="2024-08-28T00:00:00"/>
    <s v="MOTORCYCLE  COMPREHENSIVE"/>
    <n v="352000"/>
    <n v="1869.9"/>
    <n v="124.66"/>
    <n v="500"/>
  </r>
  <r>
    <s v="KHI/HO/D/MO/MC COMP/P/96298/08/2024"/>
    <m/>
    <x v="7"/>
    <d v="2025-08-29T00:00:00"/>
    <d v="2026-08-29T00:00:00"/>
    <s v="SYED AZHAR ALI SHAH GHILLANI"/>
    <s v="SUZUKI-GD-110S"/>
    <n v="14960"/>
    <n v="12466"/>
    <m/>
    <m/>
    <m/>
    <m/>
    <s v="145440"/>
    <d v="2024-08-28T00:00:00"/>
    <s v="MOTORCYCLE  COMPREHENSIVE"/>
    <n v="352000"/>
    <n v="1869.9"/>
    <n v="124.66"/>
    <n v="500"/>
  </r>
  <r>
    <s v="KHI/HO/D/MO/MC COMP/P/96312/08/2024"/>
    <m/>
    <x v="13"/>
    <d v="2024-08-29T00:00:00"/>
    <d v="2025-08-29T00:00:00"/>
    <s v="Imtiaz Ur Rehman"/>
    <s v="SUZUKI-GD-110S"/>
    <n v="8800"/>
    <n v="7155"/>
    <m/>
    <m/>
    <m/>
    <m/>
    <s v="145443"/>
    <d v="2024-08-29T00:00:00"/>
    <s v="MOTORCYCLE  COMPREHENSIVE"/>
    <n v="352000"/>
    <n v="1073.25"/>
    <n v="71.55"/>
    <n v="500"/>
  </r>
  <r>
    <s v="KHI/HO/D/MO/MC COMP/P/96313/08/2024"/>
    <m/>
    <x v="10"/>
    <d v="2024-08-29T00:00:00"/>
    <d v="2025-08-29T00:00:00"/>
    <s v="ADEEL SARWAR"/>
    <s v="SUZUKI-GS 150"/>
    <n v="16235"/>
    <n v="13565"/>
    <m/>
    <m/>
    <m/>
    <m/>
    <s v="30092724"/>
    <d v="2024-08-29T00:00:00"/>
    <s v="MOTORCYCLE  COMPREHENSIVE"/>
    <n v="382000"/>
    <n v="2034.75"/>
    <n v="135.65"/>
    <n v="500"/>
  </r>
  <r>
    <s v="KHI/HO/D/MO/MC COMP/P/96315/08/2024"/>
    <m/>
    <x v="10"/>
    <d v="2024-08-29T00:00:00"/>
    <d v="2025-08-29T00:00:00"/>
    <s v="MUHAMMAD YASIR"/>
    <s v="SUZUKI-GR150 EURO II"/>
    <n v="23248"/>
    <n v="19610"/>
    <m/>
    <m/>
    <m/>
    <m/>
    <s v="113676"/>
    <d v="2024-08-29T00:00:00"/>
    <s v="MOTORCYCLE  COMPREHENSIVE"/>
    <n v="547000"/>
    <n v="2941.5"/>
    <n v="196.1"/>
    <n v="500"/>
  </r>
  <r>
    <s v="KHI/HO/D/MO/MC COMP/P/96316/08/2024"/>
    <m/>
    <x v="10"/>
    <d v="2025-08-30T00:00:00"/>
    <d v="2026-08-30T00:00:00"/>
    <s v="MUHAMMAD YASIR"/>
    <s v="SUZUKI-GR150 EURO II"/>
    <n v="23248"/>
    <n v="19610"/>
    <m/>
    <m/>
    <m/>
    <m/>
    <s v="113676"/>
    <d v="2024-08-29T00:00:00"/>
    <s v="MOTORCYCLE  COMPREHENSIVE"/>
    <n v="547000"/>
    <n v="2941.5"/>
    <n v="196.1"/>
    <n v="500"/>
  </r>
  <r>
    <s v="KHI/HO/D/MO/MC COMP/P/96317/08/2024"/>
    <m/>
    <x v="10"/>
    <d v="2024-08-29T00:00:00"/>
    <d v="2025-08-29T00:00:00"/>
    <s v="BUILDCON"/>
    <s v="SUZUKI-GR150 EURO II"/>
    <n v="23248"/>
    <n v="19610"/>
    <m/>
    <m/>
    <m/>
    <m/>
    <s v="113649"/>
    <d v="2024-08-29T00:00:00"/>
    <s v="MOTORCYCLE  COMPREHENSIVE"/>
    <n v="547000"/>
    <n v="2941.5"/>
    <n v="196.1"/>
    <n v="500"/>
  </r>
  <r>
    <s v="KHI/HO/D/MO/MC COMP/P/96321/08/2024"/>
    <m/>
    <x v="2"/>
    <d v="2024-08-29T00:00:00"/>
    <d v="2025-08-29T00:00:00"/>
    <s v="KASHIF KHAN"/>
    <s v="SUZUKI-GR150 EURO II"/>
    <n v="23248"/>
    <n v="19610"/>
    <m/>
    <m/>
    <m/>
    <m/>
    <s v="113660"/>
    <d v="2024-08-29T00:00:00"/>
    <s v="MOTORCYCLE  COMPREHENSIVE"/>
    <n v="547000"/>
    <n v="2941.5"/>
    <n v="196.1"/>
    <n v="500"/>
  </r>
  <r>
    <s v="KHI/HO/D/MO/MC COMP/P/96322/08/2024"/>
    <m/>
    <x v="2"/>
    <d v="2025-08-30T00:00:00"/>
    <d v="2026-08-30T00:00:00"/>
    <s v="KASHIF KHAN"/>
    <s v="SUZUKI-GR150 EURO II"/>
    <n v="23248"/>
    <n v="19610"/>
    <m/>
    <m/>
    <m/>
    <m/>
    <s v="113660"/>
    <d v="2024-08-29T00:00:00"/>
    <s v="MOTORCYCLE  COMPREHENSIVE"/>
    <n v="547000"/>
    <n v="2941.5"/>
    <n v="196.1"/>
    <n v="500"/>
  </r>
  <r>
    <s v="KHI/HO/D/MO/MC COMP/P/96329/08/2024"/>
    <m/>
    <x v="10"/>
    <d v="2024-08-29T00:00:00"/>
    <d v="2025-08-29T00:00:00"/>
    <s v="IRFAN"/>
    <s v="SUZUKI-GR150 EURO II"/>
    <n v="23248"/>
    <n v="19610"/>
    <m/>
    <m/>
    <m/>
    <m/>
    <s v="113652"/>
    <d v="2024-08-29T00:00:00"/>
    <s v="MOTORCYCLE  COMPREHENSIVE"/>
    <n v="547000"/>
    <n v="2941.5"/>
    <n v="196.1"/>
    <n v="500"/>
  </r>
  <r>
    <s v="KHI/HO/D/MO/MC COMP/P/96330/08/2024"/>
    <m/>
    <x v="2"/>
    <d v="2024-08-29T00:00:00"/>
    <d v="2025-08-29T00:00:00"/>
    <s v="RAJA MAJID ALI"/>
    <s v="SUZUKI-GD-110S"/>
    <n v="14960"/>
    <n v="12466"/>
    <m/>
    <m/>
    <m/>
    <m/>
    <s v="147686"/>
    <d v="2024-08-29T00:00:00"/>
    <s v="MOTORCYCLE  COMPREHENSIVE"/>
    <n v="352000"/>
    <n v="1869.9"/>
    <n v="124.66"/>
    <n v="500"/>
  </r>
  <r>
    <s v="KHI/HO/D/MO/MC COMP/P/96331/08/2024"/>
    <m/>
    <x v="2"/>
    <d v="2025-08-30T00:00:00"/>
    <d v="2026-08-30T00:00:00"/>
    <s v="RAJA MAJID ALI"/>
    <s v="SUZUKI-GD-110S"/>
    <n v="14960"/>
    <n v="12466"/>
    <m/>
    <m/>
    <m/>
    <m/>
    <s v="147686"/>
    <d v="2024-08-29T00:00:00"/>
    <s v="MOTORCYCLE  COMPREHENSIVE"/>
    <n v="352000"/>
    <n v="1869.9"/>
    <n v="124.66"/>
    <n v="500"/>
  </r>
  <r>
    <s v="KHI/HO/D/MO/MC COMP/P/96334/08/2024"/>
    <m/>
    <x v="2"/>
    <d v="2024-08-29T00:00:00"/>
    <d v="2025-08-29T00:00:00"/>
    <s v="MUHAMMAD UZAIR"/>
    <s v="SUZUKI-GD-110S"/>
    <n v="14960"/>
    <n v="12466"/>
    <m/>
    <m/>
    <m/>
    <m/>
    <s v="147691"/>
    <d v="2024-08-29T00:00:00"/>
    <s v="MOTORCYCLE  COMPREHENSIVE"/>
    <n v="352000"/>
    <n v="1869.9"/>
    <n v="124.66"/>
    <n v="500"/>
  </r>
  <r>
    <s v="KHI/HO/D/MO/MC COMP/P/96342/08/2024"/>
    <m/>
    <x v="2"/>
    <d v="2024-08-29T00:00:00"/>
    <d v="2025-08-29T00:00:00"/>
    <s v="FAWAD AHMED"/>
    <s v="SUZUKI-GD-110S"/>
    <n v="14960"/>
    <n v="12466"/>
    <m/>
    <m/>
    <m/>
    <m/>
    <s v="147692"/>
    <d v="2024-08-29T00:00:00"/>
    <s v="MOTORCYCLE  COMPREHENSIVE"/>
    <n v="352000"/>
    <n v="1869.9"/>
    <n v="124.66"/>
    <n v="500"/>
  </r>
  <r>
    <s v="KHI/HO/D/MO/MC COMP/P/96343/08/2024"/>
    <m/>
    <x v="10"/>
    <d v="2024-08-29T00:00:00"/>
    <d v="2025-08-29T00:00:00"/>
    <s v="MUHAMMAD ALI"/>
    <s v="SUZUKI-GR150 EURO II"/>
    <n v="23248"/>
    <n v="19610"/>
    <m/>
    <m/>
    <m/>
    <m/>
    <s v="113675"/>
    <d v="2024-08-29T00:00:00"/>
    <s v="MOTORCYCLE  COMPREHENSIVE"/>
    <n v="547000"/>
    <n v="2941.5"/>
    <n v="196.1"/>
    <n v="500"/>
  </r>
  <r>
    <s v="KHI/HO/D/MO/MC COMP/P/96345/08/2024"/>
    <m/>
    <x v="1"/>
    <d v="2024-08-29T00:00:00"/>
    <d v="2025-08-29T00:00:00"/>
    <s v="SHEHRYAR ASHRAF"/>
    <s v="SUZUKI-GD-110S"/>
    <n v="14960"/>
    <n v="12466"/>
    <m/>
    <m/>
    <m/>
    <m/>
    <s v="146742"/>
    <d v="2024-08-29T00:00:00"/>
    <s v="MOTORCYCLE  COMPREHENSIVE"/>
    <n v="352000"/>
    <n v="1869.9"/>
    <n v="124.66"/>
    <n v="500"/>
  </r>
  <r>
    <s v="KHI/HO/D/MO/MC COMP/P/96349/08/2024"/>
    <m/>
    <x v="6"/>
    <d v="2024-08-29T00:00:00"/>
    <d v="2025-08-29T00:00:00"/>
    <s v="M ARSALAN JAFRANI"/>
    <s v="SUZUKI-GS 150"/>
    <n v="16235"/>
    <n v="13565"/>
    <m/>
    <m/>
    <m/>
    <m/>
    <s v="30092401"/>
    <d v="2024-08-29T00:00:00"/>
    <s v="MOTORCYCLE  COMPREHENSIVE"/>
    <n v="382000"/>
    <n v="2034.75"/>
    <n v="135.65"/>
    <n v="500"/>
  </r>
  <r>
    <s v="KHI/HO/D/MO/MC COMP/P/96350/08/2024"/>
    <m/>
    <x v="6"/>
    <d v="2025-08-30T00:00:00"/>
    <d v="2026-08-30T00:00:00"/>
    <s v="M ARSALAN JAFRANI"/>
    <s v="SUZUKI-GS 150"/>
    <n v="16235"/>
    <n v="13565"/>
    <m/>
    <m/>
    <m/>
    <m/>
    <s v="30092401"/>
    <d v="2024-08-29T00:00:00"/>
    <s v="MOTORCYCLE  COMPREHENSIVE"/>
    <n v="382000"/>
    <n v="2034.75"/>
    <n v="135.65"/>
    <n v="500"/>
  </r>
  <r>
    <s v="KHI/HO/D/MO/MC COMP/P/96351/08/2024"/>
    <m/>
    <x v="6"/>
    <d v="2024-08-29T00:00:00"/>
    <d v="2025-08-29T00:00:00"/>
    <s v="S HARIS AZFER"/>
    <s v="SUZUKI-GS 150"/>
    <n v="16235"/>
    <n v="13565"/>
    <m/>
    <m/>
    <m/>
    <m/>
    <s v="30092365"/>
    <d v="2024-08-29T00:00:00"/>
    <s v="MOTORCYCLE  COMPREHENSIVE"/>
    <n v="382000"/>
    <n v="2034.75"/>
    <n v="135.65"/>
    <n v="500"/>
  </r>
  <r>
    <s v="KHI/HO/D/MO/MC COMP/P/96352/08/2024"/>
    <m/>
    <x v="6"/>
    <d v="2025-08-30T00:00:00"/>
    <d v="2026-08-30T00:00:00"/>
    <s v="S HARIS AZFER"/>
    <s v="SUZUKI-GS 150"/>
    <n v="16235"/>
    <n v="13565"/>
    <m/>
    <m/>
    <m/>
    <m/>
    <s v="30092365"/>
    <d v="2024-08-29T00:00:00"/>
    <s v="MOTORCYCLE  COMPREHENSIVE"/>
    <n v="382000"/>
    <n v="2034.75"/>
    <n v="135.65"/>
    <n v="500"/>
  </r>
  <r>
    <s v="KHI/HO/D/MO/MC COMP/P/96353/08/2024"/>
    <m/>
    <x v="6"/>
    <d v="2024-08-29T00:00:00"/>
    <d v="2025-08-29T00:00:00"/>
    <s v="AQEEL QURESHI"/>
    <s v="SUZUKI-GD-110S"/>
    <n v="14960"/>
    <n v="12466"/>
    <m/>
    <m/>
    <m/>
    <m/>
    <s v="146188"/>
    <d v="2024-08-29T00:00:00"/>
    <s v="MOTORCYCLE  COMPREHENSIVE"/>
    <n v="352000"/>
    <n v="1869.9"/>
    <n v="124.66"/>
    <n v="500"/>
  </r>
  <r>
    <s v="KHI/HO/D/MO/MC COMP/P/96354/08/2024"/>
    <m/>
    <x v="6"/>
    <d v="2024-08-29T00:00:00"/>
    <d v="2025-08-29T00:00:00"/>
    <s v="FARZANA AKRAM"/>
    <s v="SUZUKI-GR150 EURO II"/>
    <n v="23248"/>
    <n v="19610"/>
    <m/>
    <m/>
    <m/>
    <m/>
    <s v="113605"/>
    <d v="2024-08-29T00:00:00"/>
    <s v="MOTORCYCLE  COMPREHENSIVE"/>
    <n v="547000"/>
    <n v="2941.5"/>
    <n v="196.1"/>
    <n v="500"/>
  </r>
  <r>
    <s v="KHI/HO/D/MO/MC COMP/P/96355/08/2024"/>
    <m/>
    <x v="6"/>
    <d v="2025-08-30T00:00:00"/>
    <d v="2026-08-30T00:00:00"/>
    <s v="FARZANA AKRAM"/>
    <s v="SUZUKI-GR150 EURO II"/>
    <n v="23248"/>
    <n v="19610"/>
    <m/>
    <m/>
    <m/>
    <m/>
    <s v="113605"/>
    <d v="2024-08-29T00:00:00"/>
    <s v="MOTORCYCLE  COMPREHENSIVE"/>
    <n v="547000"/>
    <n v="2941.5"/>
    <n v="196.1"/>
    <n v="500"/>
  </r>
  <r>
    <s v="KHI/HO/D/MO/MC COMP/P/96356/08/2024"/>
    <m/>
    <x v="6"/>
    <d v="2024-08-29T00:00:00"/>
    <d v="2025-08-29T00:00:00"/>
    <s v="M FARRUKH KHAN"/>
    <s v="SUZUKI-GR150 EURO II"/>
    <n v="23248"/>
    <n v="19610"/>
    <m/>
    <m/>
    <m/>
    <m/>
    <s v="113613"/>
    <d v="2024-08-29T00:00:00"/>
    <s v="MOTORCYCLE  COMPREHENSIVE"/>
    <n v="547000"/>
    <n v="2941.5"/>
    <n v="196.1"/>
    <n v="500"/>
  </r>
  <r>
    <s v="KHI/HO/D/MO/MC COMP/P/96357/08/2024"/>
    <m/>
    <x v="6"/>
    <d v="2025-08-30T00:00:00"/>
    <d v="2026-08-30T00:00:00"/>
    <s v="M FARRUKH KHAN"/>
    <s v="SUZUKI-GR150 EURO II"/>
    <n v="23248"/>
    <n v="19610"/>
    <m/>
    <m/>
    <m/>
    <m/>
    <s v="113613"/>
    <d v="2024-08-29T00:00:00"/>
    <s v="MOTORCYCLE  COMPREHENSIVE"/>
    <n v="547000"/>
    <n v="2941.5"/>
    <n v="196.1"/>
    <n v="500"/>
  </r>
  <r>
    <s v="KHI/HO/D/MO/MC COMP/P/96359/08/2024"/>
    <m/>
    <x v="2"/>
    <d v="2024-08-30T00:00:00"/>
    <d v="2025-08-30T00:00:00"/>
    <s v="SYED AHAD ABBAS RIZVI"/>
    <s v="SUZUKI-GS 150"/>
    <n v="16235"/>
    <n v="13565"/>
    <m/>
    <m/>
    <m/>
    <m/>
    <s v="30092801"/>
    <d v="2024-08-30T00:00:00"/>
    <s v="MOTORCYCLE  COMPREHENSIVE"/>
    <n v="382000"/>
    <n v="2034.75"/>
    <n v="135.65"/>
    <n v="500"/>
  </r>
  <r>
    <s v="KHI/HO/D/MO/MC COMP/P/96374/08/2024"/>
    <m/>
    <x v="26"/>
    <d v="2024-08-30T00:00:00"/>
    <d v="2025-08-30T00:00:00"/>
    <s v="MUBASHIR MUMTAZ"/>
    <s v="SUZUKI-GR150 EURO II"/>
    <n v="13675"/>
    <n v="11358"/>
    <m/>
    <m/>
    <m/>
    <m/>
    <s v="G42B-113275"/>
    <d v="2024-08-30T00:00:00"/>
    <s v="MOTORCYCLE  COMPREHENSIVE"/>
    <n v="547000"/>
    <n v="1703.7"/>
    <n v="113.58"/>
    <n v="500"/>
  </r>
  <r>
    <s v="KHI/HO/D/MO/MC COMP/P/96376/08/2024"/>
    <m/>
    <x v="26"/>
    <d v="2024-08-30T00:00:00"/>
    <d v="2025-08-30T00:00:00"/>
    <s v="MUHAMMAD ARBAB ASLAM"/>
    <s v="SUZUKI-GS 150"/>
    <n v="9550"/>
    <n v="7802"/>
    <m/>
    <m/>
    <m/>
    <m/>
    <s v="PKG30092009"/>
    <d v="2024-08-30T00:00:00"/>
    <s v="MOTORCYCLE  COMPREHENSIVE"/>
    <n v="382000"/>
    <n v="1170.3"/>
    <n v="78.02"/>
    <n v="500"/>
  </r>
  <r>
    <s v="KHI/HO/D/MO/MC COMP/P/96378/08/2024"/>
    <m/>
    <x v="26"/>
    <d v="2024-08-30T00:00:00"/>
    <d v="2025-08-30T00:00:00"/>
    <s v="FAISAL AHMED"/>
    <s v="SUZUKI-GR150 EURO II"/>
    <n v="13675"/>
    <n v="11358"/>
    <m/>
    <m/>
    <m/>
    <m/>
    <s v="G42B-113275"/>
    <d v="2024-08-30T00:00:00"/>
    <s v="MOTORCYCLE  COMPREHENSIVE"/>
    <n v="547000"/>
    <n v="1703.7"/>
    <n v="113.58"/>
    <n v="500"/>
  </r>
  <r>
    <s v="KHI/HO/D/MO/MC COMP/P/96381/08/2024"/>
    <m/>
    <x v="11"/>
    <d v="2024-08-30T00:00:00"/>
    <d v="2025-08-30T00:00:00"/>
    <s v="ZAHID UL GHAFOOR"/>
    <s v="SUZUKI-GS 150"/>
    <n v="16235"/>
    <n v="13565"/>
    <m/>
    <m/>
    <m/>
    <m/>
    <s v="30092797"/>
    <d v="2024-08-30T00:00:00"/>
    <s v="MOTORCYCLE  COMPREHENSIVE"/>
    <n v="382000"/>
    <n v="2034.75"/>
    <n v="135.65"/>
    <n v="500"/>
  </r>
  <r>
    <s v="KHI/HO/D/MO/MC COMP/P/96383/08/2024"/>
    <m/>
    <x v="2"/>
    <d v="2024-08-30T00:00:00"/>
    <d v="2025-08-30T00:00:00"/>
    <s v="MUHAMMAD AMIR"/>
    <s v="SUZUKI-GS 150"/>
    <n v="16235"/>
    <n v="13565"/>
    <m/>
    <m/>
    <m/>
    <m/>
    <s v="30092812"/>
    <d v="2024-08-30T00:00:00"/>
    <s v="MOTORCYCLE  COMPREHENSIVE"/>
    <n v="382000"/>
    <n v="2034.75"/>
    <n v="135.65"/>
    <n v="500"/>
  </r>
  <r>
    <s v="KHI/HO/D/MO/MC COMP/P/96384/08/2024"/>
    <m/>
    <x v="2"/>
    <d v="2025-08-31T00:00:00"/>
    <d v="2026-08-31T00:00:00"/>
    <s v="MUHAMMAD AMIR"/>
    <s v="SUZUKI-GS 150"/>
    <n v="16235"/>
    <n v="13565"/>
    <m/>
    <m/>
    <m/>
    <m/>
    <s v="30092812"/>
    <d v="2024-08-30T00:00:00"/>
    <s v="MOTORCYCLE  COMPREHENSIVE"/>
    <n v="382000"/>
    <n v="2034.75"/>
    <n v="135.65"/>
    <n v="500"/>
  </r>
  <r>
    <s v="KHI/HO/D/MO/MC COMP/P/96385/08/2024"/>
    <m/>
    <x v="2"/>
    <d v="2024-08-30T00:00:00"/>
    <d v="2025-08-30T00:00:00"/>
    <s v="INAM ULLAH MAHAR"/>
    <s v="SUZUKI-GS 150"/>
    <n v="16235"/>
    <n v="13565"/>
    <m/>
    <m/>
    <m/>
    <m/>
    <s v="30092810"/>
    <d v="2024-08-30T00:00:00"/>
    <s v="MOTORCYCLE  COMPREHENSIVE"/>
    <n v="382000"/>
    <n v="2034.75"/>
    <n v="135.65"/>
    <n v="500"/>
  </r>
  <r>
    <s v="KHI/HO/D/MO/MC COMP/P/96386/08/2024"/>
    <m/>
    <x v="2"/>
    <d v="2025-08-31T00:00:00"/>
    <d v="2026-08-31T00:00:00"/>
    <s v="INAM ULLAH MAHAR"/>
    <s v="SUZUKI-GS 150"/>
    <n v="16235"/>
    <n v="13565"/>
    <m/>
    <m/>
    <m/>
    <m/>
    <s v="30092810"/>
    <d v="2024-08-30T00:00:00"/>
    <s v="MOTORCYCLE  COMPREHENSIVE"/>
    <n v="382000"/>
    <n v="2034.75"/>
    <n v="135.65"/>
    <n v="500"/>
  </r>
  <r>
    <s v="KHI/HO/D/MO/MC COMP/P/96387/08/2024"/>
    <m/>
    <x v="18"/>
    <d v="2024-08-30T00:00:00"/>
    <d v="2025-08-30T00:00:00"/>
    <s v="MUHAMMAD TALHA"/>
    <s v="SUZUKI-GS 150"/>
    <n v="9550"/>
    <n v="7802"/>
    <m/>
    <m/>
    <m/>
    <m/>
    <s v="30092628"/>
    <d v="2024-08-30T00:00:00"/>
    <s v="MOTORCYCLE  COMPREHENSIVE"/>
    <n v="382000"/>
    <n v="1170.3"/>
    <n v="78.02"/>
    <n v="500"/>
  </r>
  <r>
    <s v="KHI/HO/D/MO/MC COMP/P/96388/08/2024"/>
    <m/>
    <x v="18"/>
    <d v="2024-08-30T00:00:00"/>
    <d v="2025-08-30T00:00:00"/>
    <s v="RANA ASHFAQ MEHMOOD"/>
    <s v="SUZUKI-GS 150"/>
    <n v="9550"/>
    <n v="7802"/>
    <m/>
    <m/>
    <m/>
    <m/>
    <s v="30092624"/>
    <d v="2024-08-30T00:00:00"/>
    <s v="MOTORCYCLE  COMPREHENSIVE"/>
    <n v="382000"/>
    <n v="1170.3"/>
    <n v="78.02"/>
    <n v="500"/>
  </r>
  <r>
    <s v="KHI/HO/D/MO/MC COMP/P/96392/08/2024"/>
    <m/>
    <x v="18"/>
    <d v="2024-08-30T00:00:00"/>
    <d v="2025-08-30T00:00:00"/>
    <s v="AZHAR RASHEED"/>
    <s v="SUZUKI-GD-110S"/>
    <n v="8800"/>
    <n v="7155"/>
    <m/>
    <m/>
    <m/>
    <m/>
    <s v="146900"/>
    <d v="2024-08-30T00:00:00"/>
    <s v="MOTORCYCLE  COMPREHENSIVE"/>
    <n v="352000"/>
    <n v="1073.25"/>
    <n v="71.55"/>
    <n v="500"/>
  </r>
  <r>
    <s v="KHI/HO/D/MO/MC COMP/P/96393/08/2024"/>
    <m/>
    <x v="2"/>
    <d v="2024-08-30T00:00:00"/>
    <d v="2025-08-30T00:00:00"/>
    <s v="MUHAMMAD MUSAB JAN"/>
    <s v="SUZUKI-GS 150"/>
    <n v="16235"/>
    <n v="13565"/>
    <m/>
    <m/>
    <m/>
    <m/>
    <s v="30092816"/>
    <d v="2024-08-30T00:00:00"/>
    <s v="MOTORCYCLE  COMPREHENSIVE"/>
    <n v="382000"/>
    <n v="2034.75"/>
    <n v="135.65"/>
    <n v="500"/>
  </r>
  <r>
    <s v="KHI/HO/D/MO/MC COMP/P/96394/08/2024"/>
    <m/>
    <x v="18"/>
    <d v="2024-08-30T00:00:00"/>
    <d v="2025-08-30T00:00:00"/>
    <s v="SHAHRYAR HAMEED BUTT"/>
    <s v="SUZUKI-GD-110S"/>
    <n v="8800"/>
    <n v="7155"/>
    <m/>
    <m/>
    <m/>
    <m/>
    <s v="147094"/>
    <d v="2024-08-30T00:00:00"/>
    <s v="MOTORCYCLE  COMPREHENSIVE"/>
    <n v="352000"/>
    <n v="1073.25"/>
    <n v="71.55"/>
    <n v="500"/>
  </r>
  <r>
    <s v="KHI/HO/D/MO/MC COMP/P/96395/08/2024"/>
    <m/>
    <x v="2"/>
    <d v="2024-08-30T00:00:00"/>
    <d v="2025-08-30T00:00:00"/>
    <s v="ZUBAIR"/>
    <s v="SUZUKI-GS 150"/>
    <n v="16235"/>
    <n v="13565"/>
    <m/>
    <m/>
    <m/>
    <m/>
    <s v="30092817"/>
    <d v="2024-08-30T00:00:00"/>
    <s v="MOTORCYCLE  COMPREHENSIVE"/>
    <n v="382000"/>
    <n v="2034.75"/>
    <n v="135.65"/>
    <n v="500"/>
  </r>
  <r>
    <s v="KHI/HO/D/MO/MC COMP/P/96397/08/2024"/>
    <m/>
    <x v="12"/>
    <d v="2024-08-30T00:00:00"/>
    <d v="2025-08-30T00:00:00"/>
    <s v="MAJID KHAN"/>
    <s v="SUZUKI-GS 150"/>
    <n v="16235"/>
    <n v="13565"/>
    <m/>
    <m/>
    <m/>
    <m/>
    <s v="30092793"/>
    <d v="2024-08-30T00:00:00"/>
    <s v="MOTORCYCLE  COMPREHENSIVE"/>
    <n v="382000"/>
    <n v="2034.75"/>
    <n v="135.65"/>
    <n v="500"/>
  </r>
  <r>
    <s v="KHI/HO/D/MO/MC COMP/P/96398/08/2024"/>
    <m/>
    <x v="18"/>
    <d v="2024-08-30T00:00:00"/>
    <d v="2025-08-30T00:00:00"/>
    <s v="MUHAMMAD NAEEM ASHFAQ"/>
    <s v="SUZUKI-GD-110S"/>
    <n v="8800"/>
    <n v="7155"/>
    <m/>
    <m/>
    <m/>
    <m/>
    <s v="146927"/>
    <d v="2024-08-30T00:00:00"/>
    <s v="MOTORCYCLE  COMPREHENSIVE"/>
    <n v="352000"/>
    <n v="1073.25"/>
    <n v="71.55"/>
    <n v="500"/>
  </r>
  <r>
    <s v="KHI/HO/D/MO/MC COMP/P/96399/08/2024"/>
    <m/>
    <x v="18"/>
    <d v="2024-08-30T00:00:00"/>
    <d v="2025-08-30T00:00:00"/>
    <s v="ADNAN ARIF"/>
    <s v="SUZUKI-GD-110S"/>
    <n v="8800"/>
    <n v="7155"/>
    <m/>
    <m/>
    <m/>
    <m/>
    <s v="145694"/>
    <d v="2024-08-30T00:00:00"/>
    <s v="MOTORCYCLE  COMPREHENSIVE"/>
    <n v="352000"/>
    <n v="1073.25"/>
    <n v="71.55"/>
    <n v="500"/>
  </r>
  <r>
    <s v="KHI/HO/D/MO/MC COMP/P/96400/08/2024"/>
    <m/>
    <x v="0"/>
    <d v="2024-08-30T00:00:00"/>
    <d v="2025-08-30T00:00:00"/>
    <s v="SYED MUHAMMAD SHANZIL REHMAN"/>
    <s v="SUZUKI-GD-110S"/>
    <n v="14960"/>
    <n v="12466"/>
    <m/>
    <m/>
    <m/>
    <m/>
    <s v="147738"/>
    <d v="2024-08-30T00:00:00"/>
    <s v="MOTORCYCLE  COMPREHENSIVE"/>
    <n v="352000"/>
    <n v="1869.9"/>
    <n v="124.66"/>
    <n v="500"/>
  </r>
  <r>
    <s v="KHI/HO/D/MO/MC COMP/P/96401/08/2024"/>
    <m/>
    <x v="2"/>
    <d v="2024-08-30T00:00:00"/>
    <d v="2025-08-30T00:00:00"/>
    <s v="SYED MOAZ ALI"/>
    <s v="SUZUKI-GD-110S"/>
    <n v="14960"/>
    <n v="12466"/>
    <m/>
    <m/>
    <m/>
    <m/>
    <s v="147170"/>
    <d v="2024-08-30T00:00:00"/>
    <s v="MOTORCYCLE  COMPREHENSIVE"/>
    <n v="352000"/>
    <n v="1869.9"/>
    <n v="124.66"/>
    <n v="500"/>
  </r>
  <r>
    <s v="KHI/HO/D/MO/MC COMP/P/96402/08/2024"/>
    <m/>
    <x v="18"/>
    <d v="2024-08-30T00:00:00"/>
    <d v="2025-08-30T00:00:00"/>
    <s v="MUHAMMAD RIAZ"/>
    <s v="SUZUKI-GD-110S"/>
    <n v="8800"/>
    <n v="7155"/>
    <m/>
    <m/>
    <m/>
    <m/>
    <s v="146528"/>
    <d v="2024-08-30T00:00:00"/>
    <s v="MOTORCYCLE  COMPREHENSIVE"/>
    <n v="352000"/>
    <n v="1073.25"/>
    <n v="71.55"/>
    <n v="500"/>
  </r>
  <r>
    <s v="KHI/HO/D/MO/MC COMP/P/96404/08/2024"/>
    <m/>
    <x v="18"/>
    <d v="2024-08-30T00:00:00"/>
    <d v="2025-08-30T00:00:00"/>
    <s v="MUHAMMAD ADEEL"/>
    <s v="SUZUKI-GR150 EURO II"/>
    <n v="13675"/>
    <n v="11358"/>
    <m/>
    <m/>
    <m/>
    <m/>
    <s v="113584"/>
    <d v="2024-08-30T00:00:00"/>
    <s v="MOTORCYCLE  COMPREHENSIVE"/>
    <n v="547000"/>
    <n v="1703.7"/>
    <n v="113.58"/>
    <n v="500"/>
  </r>
  <r>
    <s v="KHI/HO/D/MO/MC COMP/P/96405/08/2024"/>
    <m/>
    <x v="0"/>
    <d v="2024-08-30T00:00:00"/>
    <d v="2025-08-30T00:00:00"/>
    <s v="MUNEEB UR REHMAN"/>
    <s v="SUZUKI-GR150 EURO II"/>
    <n v="23248"/>
    <n v="19610"/>
    <m/>
    <m/>
    <m/>
    <m/>
    <s v="113657"/>
    <d v="2024-08-30T00:00:00"/>
    <s v="MOTORCYCLE  COMPREHENSIVE"/>
    <n v="547000"/>
    <n v="2941.5"/>
    <n v="196.1"/>
    <n v="500"/>
  </r>
  <r>
    <s v="KHI/HO/D/MO/MC COMP/P/96406/08/2024"/>
    <m/>
    <x v="18"/>
    <d v="2024-08-30T00:00:00"/>
    <d v="2025-08-30T00:00:00"/>
    <s v="MUHAMMAD IMRAN ZIA"/>
    <s v="SUZUKI-GD-110S"/>
    <n v="8800"/>
    <n v="7155"/>
    <m/>
    <m/>
    <m/>
    <m/>
    <s v="146923"/>
    <d v="2024-08-30T00:00:00"/>
    <s v="MOTORCYCLE  COMPREHENSIVE"/>
    <n v="352000"/>
    <n v="1073.25"/>
    <n v="71.55"/>
    <n v="500"/>
  </r>
  <r>
    <s v="KHI/HO/D/MO/MC COMP/P/96407/08/2024"/>
    <m/>
    <x v="18"/>
    <d v="2024-08-30T00:00:00"/>
    <d v="2025-08-30T00:00:00"/>
    <s v="AHSAN SARWAR"/>
    <s v="SUZUKI-GD-110S"/>
    <n v="8800"/>
    <n v="7155"/>
    <m/>
    <m/>
    <m/>
    <m/>
    <s v="146924"/>
    <d v="2024-08-30T00:00:00"/>
    <s v="MOTORCYCLE  COMPREHENSIVE"/>
    <n v="352000"/>
    <n v="1073.25"/>
    <n v="71.55"/>
    <n v="500"/>
  </r>
  <r>
    <s v="KHI/HO/D/MO/MC COMP/P/96408/08/2024"/>
    <m/>
    <x v="10"/>
    <d v="2024-08-30T00:00:00"/>
    <d v="2025-08-30T00:00:00"/>
    <s v="Muhammad Anis"/>
    <s v="SUZUKI-GD-110S"/>
    <n v="14960"/>
    <n v="12466"/>
    <m/>
    <m/>
    <m/>
    <m/>
    <s v="147582"/>
    <d v="2024-08-30T00:00:00"/>
    <s v="MOTORCYCLE  COMPREHENSIVE"/>
    <n v="352000"/>
    <n v="1869.9"/>
    <n v="124.66"/>
    <n v="500"/>
  </r>
  <r>
    <s v="KHI/HO/D/MO/MC COMP/P/96409/08/2024"/>
    <m/>
    <x v="10"/>
    <d v="2025-08-31T00:00:00"/>
    <d v="2026-08-31T00:00:00"/>
    <s v="Muhammad Anis"/>
    <s v="SUZUKI-GD-110S"/>
    <n v="14960"/>
    <n v="12466"/>
    <m/>
    <m/>
    <m/>
    <m/>
    <s v="147582"/>
    <d v="2024-08-30T00:00:00"/>
    <s v="MOTORCYCLE  COMPREHENSIVE"/>
    <n v="352000"/>
    <n v="1869.9"/>
    <n v="124.66"/>
    <n v="500"/>
  </r>
  <r>
    <s v="KHI/HO/D/MO/MC COMP/P/96410/08/2024"/>
    <m/>
    <x v="24"/>
    <d v="2024-08-30T00:00:00"/>
    <d v="2025-08-30T00:00:00"/>
    <s v="ABDUL BASIT"/>
    <s v="SUZUKI-GR150 EURO II"/>
    <n v="13675"/>
    <n v="11358"/>
    <m/>
    <m/>
    <m/>
    <m/>
    <s v="113585"/>
    <d v="2024-08-30T00:00:00"/>
    <s v="MOTORCYCLE  COMPREHENSIVE"/>
    <n v="547000"/>
    <n v="1703.7"/>
    <n v="113.58"/>
    <n v="500"/>
  </r>
  <r>
    <s v="KHI/HO/D/MO/MC COMP/P/96411/08/2024"/>
    <m/>
    <x v="24"/>
    <d v="2024-08-30T00:00:00"/>
    <d v="2025-08-30T00:00:00"/>
    <s v="SALMAN SHAHID"/>
    <s v="SUZUKI-GD-110S"/>
    <n v="8800"/>
    <n v="7155"/>
    <m/>
    <m/>
    <m/>
    <m/>
    <s v="146363"/>
    <d v="2024-08-30T00:00:00"/>
    <s v="MOTORCYCLE  COMPREHENSIVE"/>
    <n v="352000"/>
    <n v="1073.25"/>
    <n v="71.55"/>
    <n v="500"/>
  </r>
  <r>
    <s v="KHI/HO/D/MO/MC COMP/P/96412/08/2024"/>
    <m/>
    <x v="11"/>
    <d v="2024-08-30T00:00:00"/>
    <d v="2025-08-30T00:00:00"/>
    <s v="MUHAMMAD SHOAIB"/>
    <s v="SUZUKI-GR150 EURO II"/>
    <n v="23248"/>
    <n v="19610"/>
    <m/>
    <m/>
    <m/>
    <m/>
    <s v="113655"/>
    <d v="2024-08-30T00:00:00"/>
    <s v="MOTORCYCLE  COMPREHENSIVE"/>
    <n v="547000"/>
    <n v="2941.5"/>
    <n v="196.1"/>
    <n v="500"/>
  </r>
  <r>
    <s v="KHI/HO/D/MO/MC COMP/P/96413/08/2024"/>
    <m/>
    <x v="11"/>
    <d v="2025-08-31T00:00:00"/>
    <d v="2026-08-31T00:00:00"/>
    <s v="MUHAMMAD SHOAIB"/>
    <s v="SUZUKI-GR150 EURO II"/>
    <n v="23248"/>
    <n v="19610"/>
    <m/>
    <m/>
    <m/>
    <m/>
    <s v="113655"/>
    <d v="2024-08-30T00:00:00"/>
    <s v="MOTORCYCLE  COMPREHENSIVE"/>
    <n v="547000"/>
    <n v="2941.5"/>
    <n v="196.1"/>
    <n v="500"/>
  </r>
  <r>
    <s v="KHI/HO/D/MO/MC COMP/P/96414/08/2024"/>
    <m/>
    <x v="12"/>
    <d v="2024-08-30T00:00:00"/>
    <d v="2025-08-30T00:00:00"/>
    <s v="FARAZ"/>
    <s v="SUZUKI-GS 150"/>
    <n v="16235"/>
    <n v="13565"/>
    <m/>
    <m/>
    <m/>
    <m/>
    <s v="30092795"/>
    <d v="2024-08-30T00:00:00"/>
    <s v="MOTORCYCLE  COMPREHENSIVE"/>
    <n v="382000"/>
    <n v="2034.75"/>
    <n v="135.65"/>
    <n v="500"/>
  </r>
  <r>
    <s v="KHI/HO/D/MO/MC COMP/P/96416/08/2024"/>
    <m/>
    <x v="11"/>
    <d v="2024-08-30T00:00:00"/>
    <d v="2025-08-30T00:00:00"/>
    <s v="MUHAMMAD FAYYAZ"/>
    <s v="SUZUKI-GR150 EURO II"/>
    <n v="14960"/>
    <n v="12466"/>
    <m/>
    <m/>
    <m/>
    <m/>
    <s v="146931"/>
    <d v="2024-08-30T00:00:00"/>
    <s v="MOTORCYCLE  COMPREHENSIVE"/>
    <n v="352000"/>
    <n v="1869.9"/>
    <n v="124.66"/>
    <n v="500"/>
  </r>
  <r>
    <s v="KHI/HO/D/MO/MC COMP/P/96417/08/2024"/>
    <m/>
    <x v="11"/>
    <d v="2025-08-31T00:00:00"/>
    <d v="2026-08-31T00:00:00"/>
    <s v="MUHAMMAD FAYYAZ"/>
    <s v="SUZUKI-GR150 EURO II"/>
    <n v="14960"/>
    <n v="12466"/>
    <m/>
    <m/>
    <m/>
    <m/>
    <s v="146931"/>
    <d v="2024-08-30T00:00:00"/>
    <s v="MOTORCYCLE  COMPREHENSIVE"/>
    <n v="352000"/>
    <n v="1869.9"/>
    <n v="124.66"/>
    <n v="500"/>
  </r>
  <r>
    <s v="KHI/HO/D/MO/MC COMP/P/96418/08/2024"/>
    <m/>
    <x v="12"/>
    <d v="2024-08-30T00:00:00"/>
    <d v="2025-08-30T00:00:00"/>
    <s v="MUHAMMAD MURTAZA ALI"/>
    <s v="SUZUKI-GS 150"/>
    <n v="16235"/>
    <n v="13565"/>
    <m/>
    <m/>
    <m/>
    <m/>
    <s v="30092799"/>
    <d v="2024-08-30T00:00:00"/>
    <s v="MOTORCYCLE  COMPREHENSIVE"/>
    <n v="382000"/>
    <n v="2034.75"/>
    <n v="135.65"/>
    <n v="500"/>
  </r>
  <r>
    <s v="KHI/HO/D/MO/MC COMP/P/96419/08/2024"/>
    <m/>
    <x v="12"/>
    <d v="2025-08-31T00:00:00"/>
    <d v="2026-08-31T00:00:00"/>
    <s v="MUHAMMAD MURTAZA ALI"/>
    <s v="SUZUKI-GS 150"/>
    <n v="16235"/>
    <n v="13565"/>
    <m/>
    <m/>
    <m/>
    <m/>
    <s v="30092799"/>
    <d v="2024-08-30T00:00:00"/>
    <s v="MOTORCYCLE  COMPREHENSIVE"/>
    <n v="382000"/>
    <n v="2034.75"/>
    <n v="135.65"/>
    <n v="500"/>
  </r>
  <r>
    <s v="KHI/HO/D/MO/MC COMP/P/96420/08/2024"/>
    <m/>
    <x v="10"/>
    <d v="2024-08-30T00:00:00"/>
    <d v="2025-08-30T00:00:00"/>
    <s v="KASHIF ALI"/>
    <s v="SUZUKI-GD-110S"/>
    <n v="14960"/>
    <n v="12466"/>
    <m/>
    <m/>
    <m/>
    <m/>
    <s v="147527"/>
    <d v="2024-08-30T00:00:00"/>
    <s v="MOTORCYCLE  COMPREHENSIVE"/>
    <n v="352000"/>
    <n v="1869.9"/>
    <n v="124.66"/>
    <n v="500"/>
  </r>
  <r>
    <s v="KHI/HO/D/MO/MC COMP/P/96421/08/2024"/>
    <m/>
    <x v="10"/>
    <d v="2025-08-31T00:00:00"/>
    <d v="2026-08-31T00:00:00"/>
    <s v="KASHIF ALI"/>
    <s v="SUZUKI-GD-110S"/>
    <n v="14960"/>
    <n v="12466"/>
    <m/>
    <m/>
    <m/>
    <m/>
    <s v="147527"/>
    <d v="2024-08-30T00:00:00"/>
    <s v="MOTORCYCLE  COMPREHENSIVE"/>
    <n v="352000"/>
    <n v="1869.9"/>
    <n v="124.66"/>
    <n v="500"/>
  </r>
  <r>
    <s v="KHI/HO/D/MO/MC COMP/P/96422/08/2024"/>
    <m/>
    <x v="11"/>
    <d v="2024-08-30T00:00:00"/>
    <d v="2025-08-30T00:00:00"/>
    <s v="KANWAL"/>
    <s v="SUZUKI-GD-110S"/>
    <n v="14960"/>
    <n v="12466"/>
    <m/>
    <m/>
    <m/>
    <m/>
    <s v="147744"/>
    <d v="2024-08-30T00:00:00"/>
    <s v="MOTORCYCLE  COMPREHENSIVE"/>
    <n v="352000"/>
    <n v="1869.9"/>
    <n v="124.66"/>
    <n v="500"/>
  </r>
  <r>
    <s v="KHI/HO/D/MO/MC COMP/P/96423/08/2024"/>
    <m/>
    <x v="11"/>
    <d v="2025-08-31T00:00:00"/>
    <d v="2026-08-31T00:00:00"/>
    <s v="KANWAL"/>
    <s v="SUZUKI-GD-110S"/>
    <n v="14960"/>
    <n v="12466"/>
    <m/>
    <m/>
    <m/>
    <m/>
    <s v="147744"/>
    <d v="2024-08-30T00:00:00"/>
    <s v="MOTORCYCLE  COMPREHENSIVE"/>
    <n v="352000"/>
    <n v="1869.9"/>
    <n v="124.66"/>
    <n v="500"/>
  </r>
  <r>
    <s v="KHI/HO/D/MO/MC COMP/P/96435/08/2024"/>
    <m/>
    <x v="12"/>
    <d v="2024-08-30T00:00:00"/>
    <d v="2025-08-30T00:00:00"/>
    <s v="SHEHERYAR"/>
    <s v="SUZUKI-GD-110S"/>
    <n v="14960"/>
    <n v="12466"/>
    <m/>
    <m/>
    <m/>
    <m/>
    <s v="147703"/>
    <d v="2024-08-30T00:00:00"/>
    <s v="MOTORCYCLE  COMPREHENSIVE"/>
    <n v="352000"/>
    <n v="1869.9"/>
    <n v="124.66"/>
    <n v="500"/>
  </r>
  <r>
    <s v="KHI/HO/D/MO/MC COMP/P/96436/08/2024"/>
    <m/>
    <x v="12"/>
    <d v="2025-08-31T00:00:00"/>
    <d v="2026-08-31T00:00:00"/>
    <s v="SHEHERYAR"/>
    <s v="SUZUKI-GD-110S"/>
    <n v="14960"/>
    <n v="12466"/>
    <m/>
    <m/>
    <m/>
    <m/>
    <s v="147703"/>
    <d v="2024-08-30T00:00:00"/>
    <s v="MOTORCYCLE  COMPREHENSIVE"/>
    <n v="352000"/>
    <n v="1869.9"/>
    <n v="124.66"/>
    <n v="500"/>
  </r>
  <r>
    <s v="KHI/HO/D/MO/MC COMP/P/96445/08/2024"/>
    <m/>
    <x v="1"/>
    <d v="2024-08-31T00:00:00"/>
    <d v="2025-08-31T00:00:00"/>
    <s v="DANIYAL HUSSAIN"/>
    <s v="SUZUKI-GR150 EURO II"/>
    <n v="23248"/>
    <n v="19610"/>
    <m/>
    <m/>
    <m/>
    <m/>
    <s v="113642"/>
    <d v="2024-08-31T00:00:00"/>
    <s v="MOTORCYCLE  COMPREHENSIVE"/>
    <n v="547000"/>
    <n v="2941.5"/>
    <n v="196.1"/>
    <n v="500"/>
  </r>
  <r>
    <s v="KHI/HO/D/MO/MC COMP/P/96446/08/2024"/>
    <m/>
    <x v="10"/>
    <d v="2024-08-31T00:00:00"/>
    <d v="2025-08-31T00:00:00"/>
    <s v="ABDUL HASEEB"/>
    <s v="SUZUKI-GR150 EURO II"/>
    <n v="23248"/>
    <n v="19610"/>
    <m/>
    <m/>
    <m/>
    <m/>
    <s v="113662"/>
    <d v="2024-08-31T00:00:00"/>
    <s v="MOTORCYCLE  COMPREHENSIVE"/>
    <n v="547000"/>
    <n v="2941.5"/>
    <n v="196.1"/>
    <n v="500"/>
  </r>
  <r>
    <s v="KHI/HO/D/MO/MC COMP/P/96447/08/2024"/>
    <m/>
    <x v="10"/>
    <d v="2025-09-01T00:00:00"/>
    <d v="2026-09-01T00:00:00"/>
    <s v="ABDUL HASEEB"/>
    <s v="SUZUKI-GR150 EURO II"/>
    <n v="23248"/>
    <n v="19610"/>
    <m/>
    <m/>
    <m/>
    <m/>
    <s v="113662"/>
    <d v="2024-08-31T00:00:00"/>
    <s v="MOTORCYCLE  COMPREHENSIVE"/>
    <n v="547000"/>
    <n v="2941.5"/>
    <n v="196.1"/>
    <n v="500"/>
  </r>
  <r>
    <s v="KHI/HO/D/MO/MC COMP/P/96448/08/2024"/>
    <m/>
    <x v="1"/>
    <d v="2024-08-31T00:00:00"/>
    <d v="2025-08-31T00:00:00"/>
    <s v="AASIM SHAHZAD ALAM"/>
    <s v="SUZUKI-GD-110S"/>
    <n v="14960"/>
    <n v="12466"/>
    <m/>
    <m/>
    <m/>
    <m/>
    <s v="147187"/>
    <d v="2024-08-31T00:00:00"/>
    <s v="MOTORCYCLE  COMPREHENSIVE"/>
    <n v="352000"/>
    <n v="1869.9"/>
    <n v="124.66"/>
    <n v="500"/>
  </r>
  <r>
    <s v="KHI/HO/D/MO/MC COMP/P/96451/08/2024"/>
    <m/>
    <x v="1"/>
    <d v="2024-08-31T00:00:00"/>
    <d v="2025-08-31T00:00:00"/>
    <s v="WAQAS YOUNUS"/>
    <s v="SUZUKI-GD-110S"/>
    <n v="14960"/>
    <n v="12466"/>
    <m/>
    <m/>
    <m/>
    <m/>
    <s v="147701"/>
    <d v="2024-08-31T00:00:00"/>
    <s v="MOTORCYCLE  COMPREHENSIVE"/>
    <n v="352000"/>
    <n v="1869.9"/>
    <n v="124.66"/>
    <n v="500"/>
  </r>
  <r>
    <s v="KHI/HO/D/MO/MC COMP/P/96453/08/2024"/>
    <m/>
    <x v="1"/>
    <d v="2024-08-31T00:00:00"/>
    <d v="2025-08-31T00:00:00"/>
    <s v="MUHAMMAD USAMA ALI JILANI"/>
    <s v="SUZUKI-GD-110S"/>
    <n v="14960"/>
    <n v="12466"/>
    <m/>
    <m/>
    <m/>
    <m/>
    <s v="147693"/>
    <d v="2024-08-31T00:00:00"/>
    <s v="MOTORCYCLE  COMPREHENSIVE"/>
    <n v="352000"/>
    <n v="1869.9"/>
    <n v="124.66"/>
    <n v="500"/>
  </r>
  <r>
    <s v="KHI/HO/D/MO/MC COMP/P/96456/08/2024"/>
    <m/>
    <x v="0"/>
    <d v="2024-08-31T00:00:00"/>
    <d v="2025-08-31T00:00:00"/>
    <s v="SHAHARYAR AKHTAR"/>
    <s v="SUZUKI-GS 150"/>
    <n v="16235"/>
    <n v="13565"/>
    <m/>
    <m/>
    <m/>
    <m/>
    <s v="30092794"/>
    <d v="2024-08-31T00:00:00"/>
    <s v="MOTORCYCLE  COMPREHENSIVE"/>
    <n v="382000"/>
    <n v="2034.75"/>
    <n v="135.65"/>
    <n v="500"/>
  </r>
  <r>
    <s v="KHI/HO/D/MO/MC COMP/P/96457/08/2024"/>
    <m/>
    <x v="0"/>
    <d v="2025-09-01T00:00:00"/>
    <d v="2026-09-01T00:00:00"/>
    <s v="SHAHARYAR AKHTAR"/>
    <s v="SUZUKI-GS 150"/>
    <n v="16235"/>
    <n v="13565"/>
    <m/>
    <m/>
    <m/>
    <m/>
    <s v="30092794"/>
    <d v="2024-08-31T00:00:00"/>
    <s v="MOTORCYCLE  COMPREHENSIVE"/>
    <n v="382000"/>
    <n v="2034.75"/>
    <n v="135.65"/>
    <n v="500"/>
  </r>
  <r>
    <s v="KHI/HO/D/MO/MC COMP/P/96460/08/2024"/>
    <m/>
    <x v="4"/>
    <d v="2024-08-31T00:00:00"/>
    <d v="2025-08-31T00:00:00"/>
    <s v="AHMAD ALI"/>
    <s v="SUZUKI-GD-110S"/>
    <n v="8800"/>
    <n v="7155"/>
    <m/>
    <m/>
    <m/>
    <m/>
    <s v="146443"/>
    <d v="2024-08-31T00:00:00"/>
    <s v="MOTORCYCLE  COMPREHENSIVE"/>
    <n v="352000"/>
    <n v="1073.25"/>
    <n v="71.55"/>
    <n v="500"/>
  </r>
  <r>
    <s v="KHI/HO/D/MO/MC COMP/P/96462/08/2024"/>
    <m/>
    <x v="4"/>
    <d v="2024-08-31T00:00:00"/>
    <d v="2025-08-31T00:00:00"/>
    <s v="TAHIR JABBAR"/>
    <s v="SUZUKI-GD-110S"/>
    <n v="8800"/>
    <n v="7155"/>
    <m/>
    <m/>
    <m/>
    <m/>
    <s v="145688"/>
    <d v="2024-08-31T00:00:00"/>
    <s v="MOTORCYCLE  COMPREHENSIVE"/>
    <n v="352000"/>
    <n v="1073.25"/>
    <n v="71.55"/>
    <n v="500"/>
  </r>
  <r>
    <s v="KHI/HO/D/MO/MC COMP/P/96464/08/2024"/>
    <m/>
    <x v="4"/>
    <d v="2024-08-31T00:00:00"/>
    <d v="2025-08-31T00:00:00"/>
    <s v="ABDUL SATTAR"/>
    <s v="SUZUKI-GSX 125"/>
    <n v="12475"/>
    <n v="10323"/>
    <m/>
    <m/>
    <m/>
    <m/>
    <s v="23102474"/>
    <d v="2024-08-31T00:00:00"/>
    <s v="MOTORCYCLE  COMPREHENSIVE"/>
    <n v="499000"/>
    <n v="1548.45"/>
    <n v="103.23"/>
    <n v="500"/>
  </r>
  <r>
    <s v="KHI/HO/D/MO/MC COMP/P/96474/08/2024"/>
    <m/>
    <x v="2"/>
    <d v="2024-08-31T00:00:00"/>
    <d v="2025-08-31T00:00:00"/>
    <s v="RAMEEZ SULTAN"/>
    <s v="SUZUKI-GD-110S"/>
    <n v="14960"/>
    <n v="12466"/>
    <m/>
    <m/>
    <m/>
    <m/>
    <s v="147185"/>
    <d v="2024-08-31T00:00:00"/>
    <s v="MOTORCYCLE  COMPREHENSIVE"/>
    <n v="352000"/>
    <n v="1869.9"/>
    <n v="124.66"/>
    <n v="500"/>
  </r>
  <r>
    <s v="KHI/HO/D/MO/MC COMP/P/96475/08/2024"/>
    <m/>
    <x v="2"/>
    <d v="2025-09-01T00:00:00"/>
    <d v="2026-09-01T00:00:00"/>
    <s v="RAMEEZ SULTAN"/>
    <s v="SUZUKI-GD-110S"/>
    <n v="14960"/>
    <n v="12466"/>
    <m/>
    <m/>
    <m/>
    <m/>
    <s v="147185"/>
    <d v="2024-08-31T00:00:00"/>
    <s v="MOTORCYCLE  COMPREHENSIVE"/>
    <n v="352000"/>
    <n v="1869.9"/>
    <n v="124.66"/>
    <n v="500"/>
  </r>
  <r>
    <s v="KHI/HO/D/MO/MC COMP/P/96481/08/2024"/>
    <m/>
    <x v="1"/>
    <d v="2024-08-31T00:00:00"/>
    <d v="2025-08-31T00:00:00"/>
    <s v="GULL SHER KHAN"/>
    <s v="SUZUKI-GD-110S"/>
    <n v="14960"/>
    <n v="12466"/>
    <m/>
    <m/>
    <m/>
    <m/>
    <s v="146834"/>
    <d v="2024-08-31T00:00:00"/>
    <s v="MOTORCYCLE  COMPREHENSIVE"/>
    <n v="352000"/>
    <n v="1869.9"/>
    <n v="124.66"/>
    <n v="500"/>
  </r>
  <r>
    <s v="KHI/HO/D/MO/MC COMP/P/96482/08/2024"/>
    <m/>
    <x v="1"/>
    <d v="2025-09-01T00:00:00"/>
    <d v="2026-09-01T00:00:00"/>
    <s v="GULL SHER KHAN"/>
    <s v="SUZUKI-GD-110S"/>
    <n v="14960"/>
    <n v="12466"/>
    <m/>
    <m/>
    <m/>
    <m/>
    <s v="146834"/>
    <d v="2024-08-31T00:00:00"/>
    <s v="MOTORCYCLE  COMPREHENSIVE"/>
    <n v="352000"/>
    <n v="1869.9"/>
    <n v="124.66"/>
    <n v="500"/>
  </r>
  <r>
    <s v="KHI/HO/D/MO/MC COMP/P/96487/08/2024"/>
    <m/>
    <x v="1"/>
    <d v="2024-08-31T00:00:00"/>
    <d v="2025-08-31T00:00:00"/>
    <s v="AMMANUEL INAYAT"/>
    <s v="SUZUKI-GD-110S"/>
    <n v="14960"/>
    <n v="12466"/>
    <m/>
    <m/>
    <m/>
    <m/>
    <s v="147180"/>
    <d v="2024-08-31T00:00:00"/>
    <s v="MOTORCYCLE  COMPREHENSIVE"/>
    <n v="352000"/>
    <n v="1869.9"/>
    <n v="124.66"/>
    <n v="500"/>
  </r>
  <r>
    <s v="KHI/HO/D/MO/MC COMP/P/96488/08/2024"/>
    <m/>
    <x v="1"/>
    <d v="2025-09-01T00:00:00"/>
    <d v="2026-09-01T00:00:00"/>
    <s v="AMMANUEL INAYAT"/>
    <s v="SUZUKI-GD-110S"/>
    <n v="14960"/>
    <n v="12466"/>
    <m/>
    <m/>
    <m/>
    <m/>
    <s v="147180"/>
    <d v="2024-08-31T00:00:00"/>
    <s v="MOTORCYCLE  COMPREHENSIVE"/>
    <n v="352000"/>
    <n v="1869.9"/>
    <n v="124.66"/>
    <n v="500"/>
  </r>
  <r>
    <s v="KHI/HO/D/MO/MC COMP/P/96490/08/2024"/>
    <m/>
    <x v="0"/>
    <d v="2024-08-31T00:00:00"/>
    <d v="2025-08-31T00:00:00"/>
    <s v="FAROOQ SATTAR KANDHRO"/>
    <s v="SUZUKI-GS-150"/>
    <n v="16235"/>
    <n v="13565"/>
    <m/>
    <m/>
    <m/>
    <m/>
    <s v="30092729"/>
    <d v="2024-08-31T00:00:00"/>
    <s v="MOTORCYCLE  COMPREHENSIVE"/>
    <n v="382000"/>
    <n v="2034.75"/>
    <n v="135.65"/>
    <n v="500"/>
  </r>
  <r>
    <s v="KHI/HO/D/MO/MC COMP/P/96491/08/2024"/>
    <m/>
    <x v="0"/>
    <d v="2025-09-01T00:00:00"/>
    <d v="2026-09-01T00:00:00"/>
    <s v="FAROOQ SATTAR KANDHRO"/>
    <s v="SUZUKI-GS-150"/>
    <n v="16235"/>
    <n v="13565"/>
    <m/>
    <m/>
    <m/>
    <m/>
    <s v="30092729"/>
    <d v="2024-08-31T00:00:00"/>
    <s v="MOTORCYCLE  COMPREHENSIVE"/>
    <n v="382000"/>
    <n v="2034.75"/>
    <n v="135.65"/>
    <n v="500"/>
  </r>
  <r>
    <s v="KHI/HO/D/MO/MC COMP/P/96492/08/2024"/>
    <m/>
    <x v="4"/>
    <d v="2024-08-31T00:00:00"/>
    <d v="2025-08-31T00:00:00"/>
    <s v="FAHAD MEHMOOD"/>
    <s v="SUZUKI-GR150 EURO II"/>
    <n v="13675"/>
    <n v="11288.793103448277"/>
    <n v="2.5000000000000001E-2"/>
    <n v="13675"/>
    <n v="11288.793103448277"/>
    <n v="0"/>
    <s v="113567"/>
    <d v="2024-08-31T00:00:00"/>
    <s v="MOTORCYCLE  COMPREHENSIVE"/>
    <n v="547000"/>
    <n v="1693.3189655172414"/>
    <n v="112.88793103448278"/>
    <n v="500"/>
  </r>
  <r>
    <s v="KHI/HO/D/MO/MC COMP/P/96495/08/2024"/>
    <m/>
    <x v="4"/>
    <d v="2024-08-31T00:00:00"/>
    <d v="2025-08-31T00:00:00"/>
    <s v="MOHAMMAD ANWAR MUGHAL"/>
    <s v="SUZUKI-GD-110S"/>
    <n v="8800"/>
    <n v="7155"/>
    <m/>
    <m/>
    <m/>
    <m/>
    <s v="147075"/>
    <d v="2024-08-31T00:00:00"/>
    <s v="MOTORCYCLE  COMPREHENSIVE"/>
    <n v="352000"/>
    <n v="1073.25"/>
    <n v="71.55"/>
    <n v="500"/>
  </r>
  <r>
    <s v="KHI/HO/D/MO/MC COMP/P/96496/08/2024"/>
    <m/>
    <x v="12"/>
    <d v="2024-08-31T00:00:00"/>
    <d v="2025-08-31T00:00:00"/>
    <s v="MUHAMMAD ARIF"/>
    <s v="SUZUKI-GD-110S"/>
    <n v="14960"/>
    <n v="12466"/>
    <m/>
    <m/>
    <m/>
    <m/>
    <s v="147704"/>
    <d v="2024-08-31T00:00:00"/>
    <s v="MOTORCYCLE  COMPREHENSIVE"/>
    <n v="352000"/>
    <n v="1869.9"/>
    <n v="124.66"/>
    <n v="500"/>
  </r>
  <r>
    <s v="KHI/HO/D/MO/MC COMP/P/96497/08/2024"/>
    <m/>
    <x v="12"/>
    <d v="2025-09-01T00:00:00"/>
    <d v="2026-09-01T00:00:00"/>
    <s v="MUHAMMAD ARIF"/>
    <s v="SUZUKI-GD-110S"/>
    <n v="14960"/>
    <n v="12466"/>
    <m/>
    <m/>
    <m/>
    <m/>
    <s v="147704"/>
    <d v="2024-08-31T00:00:00"/>
    <s v="MOTORCYCLE  COMPREHENSIVE"/>
    <n v="352000"/>
    <n v="1869.9"/>
    <n v="124.66"/>
    <n v="500"/>
  </r>
  <r>
    <s v="KHI/HO/D/MO/MC COMP/P/96509/08/2024"/>
    <m/>
    <x v="0"/>
    <d v="2024-08-31T00:00:00"/>
    <d v="2025-08-31T00:00:00"/>
    <s v="MOHAMMAD SUFYAN PALWALA"/>
    <s v="SUZUKI-GS-150"/>
    <n v="16235"/>
    <n v="13565"/>
    <m/>
    <m/>
    <m/>
    <m/>
    <s v="30092746"/>
    <d v="2024-08-31T00:00:00"/>
    <s v="MOTORCYCLE  COMPREHENSIVE"/>
    <n v="382000"/>
    <n v="2034.75"/>
    <n v="135.65"/>
    <n v="500"/>
  </r>
  <r>
    <s v="KHI/HO/D/MO/MC COMP/P/96511/08/2024"/>
    <m/>
    <x v="16"/>
    <d v="2024-08-31T00:00:00"/>
    <d v="2025-08-31T00:00:00"/>
    <s v="M Kamran Qureshi"/>
    <s v="SUZUKI-GD-110S"/>
    <n v="14960"/>
    <n v="12466"/>
    <m/>
    <m/>
    <m/>
    <m/>
    <s v="146942"/>
    <d v="2024-08-31T00:00:00"/>
    <s v="MOTORCYCLE  COMPREHENSIVE"/>
    <n v="352000"/>
    <n v="1869.9"/>
    <n v="124.66"/>
    <n v="500"/>
  </r>
  <r>
    <s v="KHI/HO/D/MO/MC COMP/P/96512/08/2024"/>
    <m/>
    <x v="0"/>
    <d v="2024-08-31T00:00:00"/>
    <d v="2025-08-31T00:00:00"/>
    <s v="MOHSIN NADEEM"/>
    <s v="SUZUKI-GS-150"/>
    <n v="16235"/>
    <n v="13565"/>
    <m/>
    <m/>
    <m/>
    <m/>
    <s v="30092811"/>
    <d v="2024-08-31T00:00:00"/>
    <s v="MOTORCYCLE  COMPREHENSIVE"/>
    <n v="382000"/>
    <n v="2034.75"/>
    <n v="135.65"/>
    <n v="500"/>
  </r>
  <r>
    <s v="KHI/HO/D/MO/MC COMP/P/96513/08/2024"/>
    <m/>
    <x v="0"/>
    <d v="2025-09-01T00:00:00"/>
    <d v="2026-09-01T00:00:00"/>
    <s v="MOHSIN NADEEM"/>
    <s v="SUZUKI-GS-150"/>
    <n v="16235"/>
    <n v="13565"/>
    <m/>
    <m/>
    <m/>
    <m/>
    <s v="30092811"/>
    <d v="2024-08-31T00:00:00"/>
    <s v="MOTORCYCLE  COMPREHENSIVE"/>
    <n v="382000"/>
    <n v="2034.75"/>
    <n v="135.65"/>
    <n v="500"/>
  </r>
  <r>
    <s v="KHI/HO/D/MO/MC COMP/P/96514/08/2024"/>
    <m/>
    <x v="0"/>
    <d v="2024-08-31T00:00:00"/>
    <d v="2025-08-31T00:00:00"/>
    <s v="MUHAMMAD ASAD"/>
    <s v="SUZUKI-GS 150"/>
    <n v="16235"/>
    <n v="13565"/>
    <m/>
    <m/>
    <m/>
    <m/>
    <s v="30092813"/>
    <d v="2024-08-31T00:00:00"/>
    <s v="MOTORCYCLE  COMPREHENSIVE"/>
    <n v="382000"/>
    <n v="2034.75"/>
    <n v="135.65"/>
    <n v="500"/>
  </r>
  <r>
    <s v="KHI/HO/D/MO/MC COMP/P/96515/08/2024"/>
    <m/>
    <x v="0"/>
    <d v="2024-08-31T00:00:00"/>
    <d v="2025-08-31T00:00:00"/>
    <s v="MUHAMMAD ISHTAQ BHATTI"/>
    <s v="SUZUKI-GSX 125"/>
    <n v="21208"/>
    <n v="17852"/>
    <m/>
    <m/>
    <m/>
    <m/>
    <s v="23102644"/>
    <d v="2024-08-31T00:00:00"/>
    <s v="MOTORCYCLE  COMPREHENSIVE"/>
    <n v="499000"/>
    <n v="2677.8"/>
    <n v="178.52"/>
    <n v="500"/>
  </r>
  <r>
    <s v="KHI/HO/D/MO/MC COMP/P/96516/08/2024"/>
    <m/>
    <x v="0"/>
    <d v="2025-09-01T00:00:00"/>
    <d v="2026-09-01T00:00:00"/>
    <s v="MUHAMMAD ISHTAQ BHATTI"/>
    <s v="SUZUKI-GSX 125"/>
    <n v="21208"/>
    <n v="17852"/>
    <m/>
    <m/>
    <m/>
    <m/>
    <s v="23102644"/>
    <d v="2024-08-31T00:00:00"/>
    <s v="MOTORCYCLE  COMPREHENSIVE"/>
    <n v="499000"/>
    <n v="2677.8"/>
    <n v="178.52"/>
    <n v="500"/>
  </r>
  <r>
    <s v="KHI/HO/D/MO/MC COMP/P/96517/08/2024"/>
    <m/>
    <x v="0"/>
    <d v="2024-08-31T00:00:00"/>
    <d v="2025-08-31T00:00:00"/>
    <s v="WAQAS MUHAMMAD YOUSUF"/>
    <s v="SUZUKI-GD-110S"/>
    <n v="14960"/>
    <n v="12466"/>
    <m/>
    <m/>
    <m/>
    <m/>
    <s v="146839"/>
    <d v="2024-08-31T00:00:00"/>
    <s v="MOTORCYCLE  COMPREHENSIVE"/>
    <n v="352000"/>
    <n v="1869.9"/>
    <n v="124.66"/>
    <n v="500"/>
  </r>
  <r>
    <s v="KHI/HO/D/MO/MC COMP/P/96518/08/2024"/>
    <m/>
    <x v="0"/>
    <d v="2025-09-01T00:00:00"/>
    <d v="2026-09-01T00:00:00"/>
    <s v="WAQAS MUHAMMAD YOUSUF"/>
    <s v="SUZUKI-GD-110S"/>
    <n v="14960"/>
    <n v="12466"/>
    <m/>
    <m/>
    <m/>
    <m/>
    <s v="146839"/>
    <d v="2024-08-31T00:00:00"/>
    <s v="MOTORCYCLE  COMPREHENSIVE"/>
    <n v="352000"/>
    <n v="1869.9"/>
    <n v="124.66"/>
    <n v="500"/>
  </r>
  <r>
    <s v="KHI/HO/D/MO/MC COMP/P/96519/08/2024"/>
    <m/>
    <x v="15"/>
    <d v="2024-08-31T00:00:00"/>
    <d v="2025-08-31T00:00:00"/>
    <s v="MUNAWAR HUSSAIN"/>
    <s v="SUZUKI-GSX 125"/>
    <n v="12475"/>
    <n v="10323"/>
    <m/>
    <m/>
    <m/>
    <m/>
    <s v="23102613"/>
    <d v="2024-08-31T00:00:00"/>
    <s v="MOTORCYCLE  COMPREHENSIVE"/>
    <n v="499000"/>
    <n v="1548.45"/>
    <n v="103.23"/>
    <n v="500"/>
  </r>
  <r>
    <s v="KHI/HO/D/MO/MC COMP/P/96520/08/2024"/>
    <m/>
    <x v="15"/>
    <d v="2024-08-31T00:00:00"/>
    <d v="2025-08-31T00:00:00"/>
    <s v="MUHAMMAD MAJID SIDDIQUE"/>
    <s v="SUZUKI-GS 150"/>
    <n v="9550"/>
    <n v="7802"/>
    <m/>
    <m/>
    <m/>
    <m/>
    <s v="30092752"/>
    <d v="2024-08-31T00:00:00"/>
    <s v="MOTORCYCLE  COMPREHENSIVE"/>
    <n v="382000"/>
    <n v="1170.3"/>
    <n v="78.02"/>
    <n v="500"/>
  </r>
  <r>
    <s v="KHI/HO/D/MO/MC COMP/P/96522/08/2024"/>
    <m/>
    <x v="0"/>
    <d v="2024-08-31T00:00:00"/>
    <d v="2025-08-31T00:00:00"/>
    <s v="AL AMIN AL FAHAD"/>
    <s v="SUZUKI-GD-110S"/>
    <n v="14960"/>
    <n v="12466"/>
    <m/>
    <m/>
    <m/>
    <m/>
    <s v="147812"/>
    <d v="2024-08-31T00:00:00"/>
    <s v="MOTORCYCLE  COMPREHENSIVE"/>
    <n v="352000"/>
    <n v="1869.9"/>
    <n v="124.66"/>
    <n v="500"/>
  </r>
  <r>
    <s v="KHI/HO/D/MO/MC COMP/P/96523/08/2024"/>
    <m/>
    <x v="0"/>
    <d v="2025-09-01T00:00:00"/>
    <d v="2026-09-01T00:00:00"/>
    <s v="AL AMIN AL FAHAD"/>
    <s v="SUZUKI-GD-110S"/>
    <n v="14960"/>
    <n v="12466"/>
    <m/>
    <m/>
    <m/>
    <m/>
    <s v="147812"/>
    <d v="2024-08-31T00:00:00"/>
    <s v="MOTORCYCLE  COMPREHENSIVE"/>
    <n v="352000"/>
    <n v="1869.9"/>
    <n v="124.66"/>
    <n v="500"/>
  </r>
  <r>
    <s v="KHI/HO/D/MO/MC COMP/P/96525/08/2024"/>
    <m/>
    <x v="0"/>
    <d v="2024-08-31T00:00:00"/>
    <d v="2025-08-31T00:00:00"/>
    <s v="IRFAN AHMED KHAN"/>
    <s v="SUZUKI-GD-110S"/>
    <n v="14960"/>
    <n v="12466"/>
    <m/>
    <m/>
    <m/>
    <m/>
    <s v="147485"/>
    <d v="2024-08-31T00:00:00"/>
    <s v="MOTORCYCLE  COMPREHENSIVE"/>
    <n v="352000"/>
    <n v="1869.9"/>
    <n v="124.66"/>
    <n v="500"/>
  </r>
  <r>
    <s v="KHI/HO/D/MO/MC COMP/P/96526/08/2024"/>
    <m/>
    <x v="0"/>
    <d v="2025-09-01T00:00:00"/>
    <d v="2026-09-01T00:00:00"/>
    <s v="IRFAN AHMED KHAN"/>
    <s v="SUZUKI-GD-110S"/>
    <n v="14960"/>
    <n v="12466"/>
    <m/>
    <m/>
    <m/>
    <m/>
    <s v="147485"/>
    <d v="2024-08-31T00:00:00"/>
    <s v="MOTORCYCLE  COMPREHENSIVE"/>
    <n v="352000"/>
    <n v="1869.9"/>
    <n v="124.66"/>
    <n v="500"/>
  </r>
  <r>
    <s v="KHI/HO/D/MO/MC COMP/P/96527/08/2024"/>
    <m/>
    <x v="0"/>
    <d v="2024-08-31T00:00:00"/>
    <d v="2025-08-31T00:00:00"/>
    <s v="MUHAMMAD USMAN"/>
    <s v="SUZUKI-GR150 EURO II"/>
    <n v="23248"/>
    <n v="19610"/>
    <m/>
    <m/>
    <m/>
    <m/>
    <s v="113467"/>
    <d v="2024-08-31T00:00:00"/>
    <s v="MOTORCYCLE  COMPREHENSIVE"/>
    <n v="547000"/>
    <n v="2941.5"/>
    <n v="196.1"/>
    <n v="500"/>
  </r>
  <r>
    <s v="KHI/HO/D/MO/MC COMP/P/96528/08/2024"/>
    <m/>
    <x v="0"/>
    <d v="2025-09-01T00:00:00"/>
    <d v="2026-09-01T00:00:00"/>
    <s v="MUHAMMAD USMAN"/>
    <s v="SUZUKI-GR150 EURO II"/>
    <n v="23248"/>
    <n v="19610"/>
    <m/>
    <m/>
    <m/>
    <m/>
    <s v="113467"/>
    <d v="2024-08-31T00:00:00"/>
    <s v="MOTORCYCLE  COMPREHENSIVE"/>
    <n v="547000"/>
    <n v="2941.5"/>
    <n v="196.1"/>
    <n v="500"/>
  </r>
  <r>
    <s v="KHI/HO/D/MO/MC COMP/P/96529/08/2024"/>
    <m/>
    <x v="0"/>
    <d v="2024-08-31T00:00:00"/>
    <d v="2025-08-31T00:00:00"/>
    <s v="MUHAMMAD TAIMUR ASLAM"/>
    <s v="SUZUKI-GD-110S"/>
    <n v="14960"/>
    <n v="12466"/>
    <m/>
    <m/>
    <m/>
    <m/>
    <s v="147481"/>
    <d v="2024-08-31T00:00:00"/>
    <s v="MOTORCYCLE  COMPREHENSIVE"/>
    <n v="352000"/>
    <n v="1869.9"/>
    <n v="124.66"/>
    <n v="500"/>
  </r>
  <r>
    <s v="KHI/HO/D/MO/MC COMP/P/96530/08/2024"/>
    <m/>
    <x v="0"/>
    <d v="2024-08-31T00:00:00"/>
    <d v="2025-08-31T00:00:00"/>
    <s v="SYED IRFAN ALI"/>
    <s v="SUZUKI-GS 150"/>
    <n v="16235"/>
    <n v="13565"/>
    <m/>
    <m/>
    <m/>
    <m/>
    <s v="30092726"/>
    <d v="2024-08-31T00:00:00"/>
    <s v="MOTORCYCLE  COMPREHENSIVE"/>
    <n v="382000"/>
    <n v="2034.75"/>
    <n v="135.65"/>
    <n v="500"/>
  </r>
  <r>
    <s v="KHI/HO/D/MO/MC COMP/P/96531/08/2024"/>
    <m/>
    <x v="0"/>
    <d v="2025-09-01T00:00:00"/>
    <d v="2026-09-01T00:00:00"/>
    <s v="SYED IRFAN ALI"/>
    <s v="SUZUKI-GS 150"/>
    <n v="16235"/>
    <n v="13565"/>
    <m/>
    <m/>
    <m/>
    <m/>
    <s v="30092726"/>
    <d v="2024-08-31T00:00:00"/>
    <s v="MOTORCYCLE  COMPREHENSIVE"/>
    <n v="382000"/>
    <n v="2034.75"/>
    <n v="135.65"/>
    <n v="500"/>
  </r>
  <r>
    <s v="KHI/HO/D/MO/MC COMP/P/96532/08/2024"/>
    <m/>
    <x v="0"/>
    <d v="2024-08-31T00:00:00"/>
    <d v="2025-08-31T00:00:00"/>
    <s v="SYED MUBARAK HUSSAIN KAZMI"/>
    <s v="SUZUKI-GS 150"/>
    <n v="16235"/>
    <n v="13565"/>
    <m/>
    <m/>
    <m/>
    <m/>
    <s v="30092725"/>
    <d v="2024-08-31T00:00:00"/>
    <s v="MOTORCYCLE  COMPREHENSIVE"/>
    <n v="382000"/>
    <n v="2034.75"/>
    <n v="135.65"/>
    <n v="500"/>
  </r>
  <r>
    <s v="KHI/HO/D/MO/MC COMP/P/96533/08/2024"/>
    <m/>
    <x v="0"/>
    <d v="2025-09-01T00:00:00"/>
    <d v="2026-09-01T00:00:00"/>
    <s v="SYED MUBARAK HUSSAIN KAZMI"/>
    <s v="SUZUKI-GS 150"/>
    <n v="16235"/>
    <n v="13565"/>
    <m/>
    <m/>
    <m/>
    <m/>
    <s v="30092725"/>
    <d v="2024-08-31T00:00:00"/>
    <s v="MOTORCYCLE  COMPREHENSIVE"/>
    <n v="382000"/>
    <n v="2034.75"/>
    <n v="135.65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28A5F-B70E-4CEC-9635-82F93A9F8D2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owroom">
  <location ref="A3:C32" firstHeaderRow="0" firstDataRow="1" firstDataCol="1"/>
  <pivotFields count="20">
    <pivotField dataField="1" showAll="0"/>
    <pivotField showAll="0"/>
    <pivotField axis="axisRow" showAll="0">
      <items count="31">
        <item x="7"/>
        <item x="12"/>
        <item x="22"/>
        <item x="17"/>
        <item x="6"/>
        <item x="2"/>
        <item x="11"/>
        <item x="1"/>
        <item x="10"/>
        <item x="0"/>
        <item x="15"/>
        <item x="5"/>
        <item x="8"/>
        <item x="25"/>
        <item x="16"/>
        <item x="3"/>
        <item x="21"/>
        <item x="13"/>
        <item x="20"/>
        <item x="4"/>
        <item x="26"/>
        <item x="18"/>
        <item x="9"/>
        <item x="14"/>
        <item x="19"/>
        <item x="24"/>
        <item x="27"/>
        <item m="1" x="28"/>
        <item m="1" x="29"/>
        <item x="23"/>
        <item t="default"/>
      </items>
    </pivotField>
    <pivotField numFmtId="166" showAll="0"/>
    <pivotField numFmtId="166" showAll="0"/>
    <pivotField showAll="0"/>
    <pivotField showAll="0"/>
    <pivotField dataField="1" numFmtId="37" showAll="0"/>
    <pivotField numFmtId="37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No. Of Policies" fld="0" subtotal="count" baseField="0" baseItem="0"/>
    <dataField name="Net Premium" fld="7" baseField="0" baseItem="0" numFmtId="165"/>
  </dataFields>
  <formats count="2">
    <format dxfId="27">
      <pivotArea outline="0" collapsedLevelsAreSubtotals="1" fieldPosition="0"/>
    </format>
    <format dxfId="26">
      <pivotArea dataOnly="0" labelOnly="1" outline="0" axis="axisValues" fieldPosition="0"/>
    </format>
  </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8"/>
  <sheetViews>
    <sheetView showGridLines="0" workbookViewId="0">
      <selection activeCell="J27" sqref="J27"/>
    </sheetView>
  </sheetViews>
  <sheetFormatPr defaultColWidth="0" defaultRowHeight="15" zeroHeight="1" x14ac:dyDescent="0.25"/>
  <cols>
    <col min="1" max="1" width="4.28515625" customWidth="1"/>
    <col min="2" max="2" width="0.5703125" customWidth="1"/>
    <col min="3" max="10" width="8.85546875" customWidth="1"/>
    <col min="11" max="11" width="12.5703125" customWidth="1"/>
    <col min="12" max="12" width="0.5703125" customWidth="1"/>
    <col min="13" max="13" width="4.140625" customWidth="1"/>
    <col min="14" max="21" width="0" hidden="1" customWidth="1"/>
    <col min="22" max="16384" width="8.85546875" hidden="1"/>
  </cols>
  <sheetData>
    <row r="1" spans="2:21" x14ac:dyDescent="0.25"/>
    <row r="2" spans="2:21" x14ac:dyDescent="0.25"/>
    <row r="3" spans="2:21" x14ac:dyDescent="0.25"/>
    <row r="4" spans="2:21" x14ac:dyDescent="0.25"/>
    <row r="5" spans="2:21" x14ac:dyDescent="0.25"/>
    <row r="6" spans="2:21" x14ac:dyDescent="0.25"/>
    <row r="7" spans="2:21" ht="15.75" thickBot="1" x14ac:dyDescent="0.3"/>
    <row r="8" spans="2:21" ht="3" customHeight="1" thickBot="1" x14ac:dyDescent="0.3">
      <c r="B8" s="17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2:21" ht="19.5" thickBot="1" x14ac:dyDescent="0.35">
      <c r="B9" s="20"/>
      <c r="C9" s="70" t="s">
        <v>2632</v>
      </c>
      <c r="D9" s="71"/>
      <c r="E9" s="71"/>
      <c r="F9" s="71"/>
      <c r="G9" s="71"/>
      <c r="H9" s="71"/>
      <c r="I9" s="71"/>
      <c r="J9" s="71"/>
      <c r="K9" s="72"/>
      <c r="L9" s="21"/>
    </row>
    <row r="10" spans="2:21" ht="15.75" thickBot="1" x14ac:dyDescent="0.3">
      <c r="B10" s="20"/>
      <c r="C10" s="5"/>
      <c r="D10" s="6"/>
      <c r="E10" s="6"/>
      <c r="F10" s="6"/>
      <c r="G10" s="6"/>
      <c r="H10" s="6"/>
      <c r="I10" s="6"/>
      <c r="J10" s="6"/>
      <c r="K10" s="7"/>
      <c r="L10" s="21"/>
    </row>
    <row r="11" spans="2:21" s="11" customFormat="1" ht="23.45" customHeight="1" thickBot="1" x14ac:dyDescent="0.3">
      <c r="B11" s="22"/>
      <c r="C11" s="73" t="s">
        <v>2633</v>
      </c>
      <c r="D11" s="74"/>
      <c r="E11" s="74"/>
      <c r="F11" s="74"/>
      <c r="G11" s="74"/>
      <c r="H11" s="74"/>
      <c r="I11" s="74"/>
      <c r="J11" s="74"/>
      <c r="K11" s="75"/>
      <c r="L11" s="23"/>
    </row>
    <row r="12" spans="2:21" ht="15.75" thickBot="1" x14ac:dyDescent="0.3">
      <c r="B12" s="20"/>
      <c r="C12" s="5"/>
      <c r="D12" s="6"/>
      <c r="E12" s="6"/>
      <c r="F12" s="6"/>
      <c r="G12" s="6"/>
      <c r="H12" s="6"/>
      <c r="I12" s="6"/>
      <c r="J12" s="6"/>
      <c r="K12" s="7"/>
      <c r="L12" s="21"/>
    </row>
    <row r="13" spans="2:21" ht="15.75" thickBot="1" x14ac:dyDescent="0.3">
      <c r="B13" s="20"/>
      <c r="C13" s="79" t="s">
        <v>44</v>
      </c>
      <c r="D13" s="80"/>
      <c r="E13" s="79" t="s">
        <v>45</v>
      </c>
      <c r="F13" s="80"/>
      <c r="G13" s="79" t="s">
        <v>46</v>
      </c>
      <c r="H13" s="80"/>
      <c r="I13" s="79" t="s">
        <v>47</v>
      </c>
      <c r="J13" s="81"/>
      <c r="K13" s="80"/>
      <c r="L13" s="21"/>
      <c r="M13" s="8"/>
      <c r="N13" s="8"/>
      <c r="O13" s="8"/>
      <c r="P13" s="8"/>
      <c r="Q13" s="8"/>
      <c r="R13" s="8"/>
      <c r="S13" s="8"/>
      <c r="T13" s="8"/>
      <c r="U13" s="8"/>
    </row>
    <row r="14" spans="2:21" ht="15.75" thickBot="1" x14ac:dyDescent="0.3">
      <c r="B14" s="20"/>
      <c r="C14" s="61"/>
      <c r="D14" s="62"/>
      <c r="E14" s="62"/>
      <c r="F14" s="62"/>
      <c r="G14" s="62"/>
      <c r="H14" s="62"/>
      <c r="I14" s="62"/>
      <c r="J14" s="62"/>
      <c r="K14" s="63"/>
      <c r="L14" s="21"/>
    </row>
    <row r="15" spans="2:21" ht="15.75" thickBot="1" x14ac:dyDescent="0.3">
      <c r="B15" s="20"/>
      <c r="C15" s="82" t="s">
        <v>0</v>
      </c>
      <c r="D15" s="83"/>
      <c r="E15" s="64" t="s">
        <v>3</v>
      </c>
      <c r="F15" s="84"/>
      <c r="G15" s="84"/>
      <c r="H15" s="84"/>
      <c r="I15" s="84"/>
      <c r="J15" s="84"/>
      <c r="K15" s="65"/>
      <c r="L15" s="21"/>
    </row>
    <row r="16" spans="2:21" ht="15.75" thickBot="1" x14ac:dyDescent="0.3">
      <c r="B16" s="20"/>
      <c r="C16" s="15"/>
      <c r="D16" s="16"/>
      <c r="E16" s="6"/>
      <c r="F16" s="6"/>
      <c r="G16" s="6"/>
      <c r="H16" s="6"/>
      <c r="I16" s="6"/>
      <c r="J16" s="6"/>
      <c r="K16" s="7"/>
      <c r="L16" s="21"/>
    </row>
    <row r="17" spans="2:12" ht="15.75" thickBot="1" x14ac:dyDescent="0.3">
      <c r="B17" s="20"/>
      <c r="C17" s="64" t="s">
        <v>1</v>
      </c>
      <c r="D17" s="65"/>
      <c r="E17" s="12" t="s">
        <v>4</v>
      </c>
      <c r="F17" s="13"/>
      <c r="G17" s="13"/>
      <c r="H17" s="13"/>
      <c r="I17" s="13"/>
      <c r="J17" s="13"/>
      <c r="K17" s="14"/>
      <c r="L17" s="21"/>
    </row>
    <row r="18" spans="2:12" x14ac:dyDescent="0.25">
      <c r="B18" s="20"/>
      <c r="C18" s="8"/>
      <c r="D18" s="8"/>
      <c r="L18" s="21"/>
    </row>
    <row r="19" spans="2:12" ht="15.75" thickBot="1" x14ac:dyDescent="0.3">
      <c r="B19" s="20"/>
      <c r="C19" s="8"/>
      <c r="D19" s="8"/>
      <c r="L19" s="21"/>
    </row>
    <row r="20" spans="2:12" ht="15.75" thickBot="1" x14ac:dyDescent="0.3">
      <c r="B20" s="20"/>
      <c r="C20" s="64" t="s">
        <v>5</v>
      </c>
      <c r="D20" s="65"/>
      <c r="E20" s="64" t="s">
        <v>6</v>
      </c>
      <c r="F20" s="65"/>
      <c r="H20" s="64" t="s">
        <v>9</v>
      </c>
      <c r="I20" s="65"/>
      <c r="J20" s="64" t="s">
        <v>10</v>
      </c>
      <c r="K20" s="65"/>
      <c r="L20" s="21"/>
    </row>
    <row r="21" spans="2:12" ht="15.75" thickBot="1" x14ac:dyDescent="0.3">
      <c r="B21" s="20"/>
      <c r="C21" s="66" t="s">
        <v>7</v>
      </c>
      <c r="D21" s="67"/>
      <c r="E21" s="64" t="s">
        <v>6</v>
      </c>
      <c r="F21" s="65"/>
      <c r="H21" s="64" t="s">
        <v>11</v>
      </c>
      <c r="I21" s="65"/>
      <c r="J21" s="64">
        <f>Detail!A1</f>
        <v>1016</v>
      </c>
      <c r="K21" s="65"/>
      <c r="L21" s="21"/>
    </row>
    <row r="22" spans="2:12" ht="15.75" thickBot="1" x14ac:dyDescent="0.3">
      <c r="B22" s="20"/>
      <c r="C22" s="66" t="s">
        <v>8</v>
      </c>
      <c r="D22" s="67"/>
      <c r="E22" s="64" t="s">
        <v>6</v>
      </c>
      <c r="F22" s="65"/>
      <c r="L22" s="21"/>
    </row>
    <row r="23" spans="2:12" ht="15.75" thickBot="1" x14ac:dyDescent="0.3">
      <c r="B23" s="20"/>
      <c r="L23" s="21"/>
    </row>
    <row r="24" spans="2:12" ht="15.75" thickBot="1" x14ac:dyDescent="0.3">
      <c r="B24" s="20"/>
      <c r="C24" s="76"/>
      <c r="D24" s="77"/>
      <c r="E24" s="77"/>
      <c r="F24" s="77"/>
      <c r="G24" s="77"/>
      <c r="H24" s="77"/>
      <c r="I24" s="77"/>
      <c r="J24" s="77"/>
      <c r="K24" s="78"/>
      <c r="L24" s="21"/>
    </row>
    <row r="25" spans="2:12" ht="15.75" thickBot="1" x14ac:dyDescent="0.3">
      <c r="B25" s="20"/>
      <c r="C25" s="56" t="s">
        <v>2</v>
      </c>
      <c r="D25" s="57"/>
      <c r="L25" s="21"/>
    </row>
    <row r="26" spans="2:12" ht="15.75" thickBot="1" x14ac:dyDescent="0.3">
      <c r="B26" s="20"/>
      <c r="L26" s="21"/>
    </row>
    <row r="27" spans="2:12" ht="15.75" thickBot="1" x14ac:dyDescent="0.3">
      <c r="B27" s="20"/>
      <c r="C27" s="68" t="s">
        <v>12</v>
      </c>
      <c r="D27" s="69"/>
      <c r="J27" s="9"/>
      <c r="K27" s="29">
        <f>Detail!I1</f>
        <v>11666621.215517242</v>
      </c>
      <c r="L27" s="21"/>
    </row>
    <row r="28" spans="2:12" ht="15.75" thickBot="1" x14ac:dyDescent="0.3">
      <c r="B28" s="20"/>
      <c r="C28" s="68" t="s">
        <v>2638</v>
      </c>
      <c r="D28" s="69"/>
      <c r="J28" s="9"/>
      <c r="K28" s="29">
        <f>Detail!R1</f>
        <v>1026218.4995689695</v>
      </c>
      <c r="L28" s="21"/>
    </row>
    <row r="29" spans="2:12" ht="15.75" thickBot="1" x14ac:dyDescent="0.3">
      <c r="B29" s="20"/>
      <c r="C29" s="68" t="s">
        <v>13</v>
      </c>
      <c r="D29" s="69"/>
      <c r="J29" s="9"/>
      <c r="K29" s="29">
        <f>Detail!S1</f>
        <v>68414.566637931552</v>
      </c>
      <c r="L29" s="21"/>
    </row>
    <row r="30" spans="2:12" ht="15.75" thickBot="1" x14ac:dyDescent="0.3">
      <c r="B30" s="20"/>
      <c r="C30" s="68" t="s">
        <v>14</v>
      </c>
      <c r="D30" s="69"/>
      <c r="J30" s="9"/>
      <c r="K30" s="29">
        <f>Detail!T1</f>
        <v>297000</v>
      </c>
      <c r="L30" s="21"/>
    </row>
    <row r="31" spans="2:12" ht="15.75" thickBot="1" x14ac:dyDescent="0.3">
      <c r="B31" s="20"/>
      <c r="C31" s="56" t="s">
        <v>15</v>
      </c>
      <c r="D31" s="57"/>
      <c r="J31" s="9"/>
      <c r="K31" s="29">
        <f>Detail!H1</f>
        <v>14053879.25</v>
      </c>
      <c r="L31" s="21"/>
    </row>
    <row r="32" spans="2:12" x14ac:dyDescent="0.25">
      <c r="B32" s="20"/>
      <c r="L32" s="21"/>
    </row>
    <row r="33" spans="2:12" ht="15.75" thickBot="1" x14ac:dyDescent="0.3">
      <c r="B33" s="20"/>
      <c r="L33" s="21"/>
    </row>
    <row r="34" spans="2:12" s="10" customFormat="1" ht="15.75" thickBot="1" x14ac:dyDescent="0.3">
      <c r="B34" s="24"/>
      <c r="C34" s="58" t="str">
        <f>CONCATENATE(C36,F36,C37)</f>
        <v>Payment Of PKR. Rs. 14,053,879/- be cheque in favour of M/s. Salaam Takaful Limited.</v>
      </c>
      <c r="D34" s="59"/>
      <c r="E34" s="59"/>
      <c r="F34" s="59"/>
      <c r="G34" s="59"/>
      <c r="H34" s="59"/>
      <c r="I34" s="59"/>
      <c r="J34" s="59"/>
      <c r="K34" s="60"/>
      <c r="L34" s="25"/>
    </row>
    <row r="35" spans="2:12" s="10" customFormat="1" ht="3" customHeight="1" thickBot="1" x14ac:dyDescent="0.3"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2:12" s="10" customFormat="1" hidden="1" x14ac:dyDescent="0.25">
      <c r="C36" s="10" t="s">
        <v>48</v>
      </c>
      <c r="F36" s="10" t="str">
        <f>TEXT(K31,"##,###,###")</f>
        <v>14,053,879</v>
      </c>
    </row>
    <row r="37" spans="2:12" s="10" customFormat="1" hidden="1" x14ac:dyDescent="0.25">
      <c r="C37" s="10" t="s">
        <v>16</v>
      </c>
    </row>
    <row r="38" spans="2:12" s="10" customFormat="1" x14ac:dyDescent="0.25"/>
  </sheetData>
  <mergeCells count="28">
    <mergeCell ref="C28:D28"/>
    <mergeCell ref="C29:D29"/>
    <mergeCell ref="C30:D30"/>
    <mergeCell ref="C9:K9"/>
    <mergeCell ref="C11:K11"/>
    <mergeCell ref="C24:K24"/>
    <mergeCell ref="G13:H13"/>
    <mergeCell ref="I13:K13"/>
    <mergeCell ref="E13:F13"/>
    <mergeCell ref="C13:D13"/>
    <mergeCell ref="C15:D15"/>
    <mergeCell ref="E15:K15"/>
    <mergeCell ref="C31:D31"/>
    <mergeCell ref="C34:K34"/>
    <mergeCell ref="C14:K14"/>
    <mergeCell ref="C17:D17"/>
    <mergeCell ref="C20:D20"/>
    <mergeCell ref="C21:D21"/>
    <mergeCell ref="C22:D22"/>
    <mergeCell ref="E20:F20"/>
    <mergeCell ref="E21:F21"/>
    <mergeCell ref="E22:F22"/>
    <mergeCell ref="H20:I20"/>
    <mergeCell ref="H21:I21"/>
    <mergeCell ref="J20:K20"/>
    <mergeCell ref="J21:K21"/>
    <mergeCell ref="C25:D25"/>
    <mergeCell ref="C27:D27"/>
  </mergeCells>
  <pageMargins left="0.7" right="0.7" top="0.75" bottom="0.75" header="0.3" footer="0.3"/>
  <pageSetup paperSize="9" scale="98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009E-9C6E-46E0-AFC2-BF11BA307D51}">
  <dimension ref="A3:C44"/>
  <sheetViews>
    <sheetView topLeftCell="A19" workbookViewId="0">
      <selection activeCell="A4" sqref="A4:A31"/>
      <pivotSelection pane="bottomRight" showHeader="1" activeRow="3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5" x14ac:dyDescent="0.25"/>
  <cols>
    <col min="1" max="1" width="35.7109375" bestFit="1" customWidth="1"/>
    <col min="2" max="2" width="14.140625" style="1" bestFit="1" customWidth="1"/>
    <col min="3" max="3" width="12.85546875" bestFit="1" customWidth="1"/>
    <col min="4" max="4" width="5.28515625" bestFit="1" customWidth="1"/>
    <col min="5" max="5" width="12.140625" bestFit="1" customWidth="1"/>
    <col min="6" max="6" width="8.85546875" bestFit="1" customWidth="1"/>
    <col min="7" max="7" width="10.42578125" bestFit="1" customWidth="1"/>
    <col min="8" max="8" width="18" bestFit="1" customWidth="1"/>
    <col min="9" max="9" width="16.85546875" bestFit="1" customWidth="1"/>
    <col min="10" max="10" width="10.7109375" bestFit="1" customWidth="1"/>
    <col min="11" max="11" width="11.28515625" bestFit="1" customWidth="1"/>
    <col min="12" max="12" width="8.5703125" bestFit="1" customWidth="1"/>
    <col min="13" max="13" width="10.7109375" bestFit="1" customWidth="1"/>
    <col min="14" max="14" width="10.5703125" bestFit="1" customWidth="1"/>
    <col min="15" max="15" width="10.7109375" bestFit="1" customWidth="1"/>
    <col min="16" max="16" width="10.5703125" bestFit="1" customWidth="1"/>
    <col min="17" max="17" width="10.7109375" bestFit="1" customWidth="1"/>
    <col min="18" max="18" width="10.5703125" bestFit="1" customWidth="1"/>
    <col min="19" max="19" width="10.7109375" bestFit="1" customWidth="1"/>
    <col min="20" max="20" width="10.5703125" bestFit="1" customWidth="1"/>
    <col min="21" max="21" width="10.7109375" bestFit="1" customWidth="1"/>
    <col min="22" max="22" width="10.5703125" bestFit="1" customWidth="1"/>
    <col min="23" max="23" width="10.7109375" bestFit="1" customWidth="1"/>
    <col min="24" max="24" width="10.5703125" bestFit="1" customWidth="1"/>
    <col min="25" max="25" width="10.7109375" bestFit="1" customWidth="1"/>
    <col min="26" max="26" width="10.5703125" bestFit="1" customWidth="1"/>
    <col min="27" max="27" width="10.7109375" bestFit="1" customWidth="1"/>
    <col min="28" max="28" width="10.5703125" bestFit="1" customWidth="1"/>
    <col min="29" max="29" width="10.7109375" bestFit="1" customWidth="1"/>
    <col min="30" max="30" width="10.5703125" bestFit="1" customWidth="1"/>
    <col min="31" max="31" width="10.7109375" bestFit="1" customWidth="1"/>
    <col min="32" max="32" width="10.5703125" bestFit="1" customWidth="1"/>
    <col min="33" max="33" width="7.85546875" bestFit="1" customWidth="1"/>
    <col min="34" max="34" width="10.7109375" bestFit="1" customWidth="1"/>
    <col min="35" max="35" width="11.7109375" bestFit="1" customWidth="1"/>
    <col min="36" max="36" width="10.7109375" bestFit="1" customWidth="1"/>
    <col min="37" max="37" width="11.7109375" bestFit="1" customWidth="1"/>
    <col min="38" max="38" width="10.7109375" bestFit="1" customWidth="1"/>
    <col min="39" max="39" width="11.7109375" bestFit="1" customWidth="1"/>
    <col min="40" max="40" width="10.7109375" bestFit="1" customWidth="1"/>
    <col min="41" max="41" width="11.7109375" bestFit="1" customWidth="1"/>
    <col min="42" max="42" width="10.7109375" bestFit="1" customWidth="1"/>
    <col min="43" max="43" width="11.7109375" bestFit="1" customWidth="1"/>
    <col min="44" max="44" width="10.7109375" bestFit="1" customWidth="1"/>
    <col min="45" max="45" width="11.7109375" bestFit="1" customWidth="1"/>
    <col min="46" max="46" width="10.7109375" bestFit="1" customWidth="1"/>
    <col min="47" max="47" width="11.7109375" bestFit="1" customWidth="1"/>
    <col min="48" max="48" width="10.7109375" bestFit="1" customWidth="1"/>
    <col min="49" max="49" width="11.7109375" bestFit="1" customWidth="1"/>
    <col min="50" max="50" width="10.7109375" bestFit="1" customWidth="1"/>
    <col min="51" max="51" width="11.7109375" bestFit="1" customWidth="1"/>
    <col min="52" max="52" width="10.7109375" bestFit="1" customWidth="1"/>
    <col min="53" max="53" width="11.7109375" bestFit="1" customWidth="1"/>
    <col min="54" max="54" width="10.7109375" bestFit="1" customWidth="1"/>
    <col min="55" max="55" width="11.7109375" bestFit="1" customWidth="1"/>
    <col min="56" max="56" width="10.7109375" bestFit="1" customWidth="1"/>
    <col min="57" max="57" width="11.7109375" bestFit="1" customWidth="1"/>
    <col min="58" max="58" width="10.7109375" bestFit="1" customWidth="1"/>
    <col min="59" max="59" width="11.7109375" bestFit="1" customWidth="1"/>
    <col min="60" max="60" width="10.7109375" bestFit="1" customWidth="1"/>
    <col min="61" max="61" width="11.7109375" bestFit="1" customWidth="1"/>
    <col min="62" max="62" width="10.7109375" bestFit="1" customWidth="1"/>
    <col min="63" max="63" width="11.7109375" bestFit="1" customWidth="1"/>
    <col min="64" max="64" width="10.7109375" bestFit="1" customWidth="1"/>
    <col min="65" max="65" width="11.7109375" bestFit="1" customWidth="1"/>
    <col min="66" max="66" width="10.7109375" bestFit="1" customWidth="1"/>
    <col min="67" max="67" width="11.7109375" bestFit="1" customWidth="1"/>
    <col min="68" max="68" width="10.7109375" bestFit="1" customWidth="1"/>
    <col min="69" max="69" width="11.7109375" bestFit="1" customWidth="1"/>
    <col min="70" max="70" width="10.7109375" bestFit="1" customWidth="1"/>
    <col min="71" max="71" width="11.7109375" bestFit="1" customWidth="1"/>
    <col min="72" max="72" width="10.7109375" bestFit="1" customWidth="1"/>
    <col min="73" max="73" width="11.7109375" bestFit="1" customWidth="1"/>
    <col min="74" max="74" width="10.7109375" bestFit="1" customWidth="1"/>
    <col min="75" max="75" width="11.7109375" bestFit="1" customWidth="1"/>
    <col min="76" max="76" width="10.7109375" bestFit="1" customWidth="1"/>
    <col min="77" max="77" width="11.7109375" bestFit="1" customWidth="1"/>
    <col min="78" max="78" width="10.7109375" bestFit="1" customWidth="1"/>
    <col min="79" max="79" width="11.7109375" bestFit="1" customWidth="1"/>
    <col min="80" max="80" width="10.7109375" bestFit="1" customWidth="1"/>
    <col min="81" max="81" width="11.7109375" bestFit="1" customWidth="1"/>
    <col min="82" max="82" width="10.7109375" bestFit="1" customWidth="1"/>
    <col min="83" max="83" width="11.7109375" bestFit="1" customWidth="1"/>
    <col min="84" max="84" width="10.7109375" bestFit="1" customWidth="1"/>
    <col min="85" max="85" width="11.7109375" bestFit="1" customWidth="1"/>
    <col min="86" max="86" width="9" bestFit="1" customWidth="1"/>
    <col min="87" max="87" width="12.140625" bestFit="1" customWidth="1"/>
    <col min="88" max="88" width="11.28515625" bestFit="1" customWidth="1"/>
    <col min="89" max="89" width="10.7109375" bestFit="1" customWidth="1"/>
    <col min="90" max="90" width="11.28515625" bestFit="1" customWidth="1"/>
    <col min="91" max="91" width="10.7109375" bestFit="1" customWidth="1"/>
    <col min="92" max="92" width="11.28515625" bestFit="1" customWidth="1"/>
    <col min="93" max="93" width="10.7109375" bestFit="1" customWidth="1"/>
    <col min="94" max="94" width="11.28515625" bestFit="1" customWidth="1"/>
    <col min="95" max="95" width="10.7109375" bestFit="1" customWidth="1"/>
    <col min="96" max="96" width="11.28515625" bestFit="1" customWidth="1"/>
    <col min="97" max="97" width="8.5703125" bestFit="1" customWidth="1"/>
    <col min="98" max="98" width="10.7109375" bestFit="1" customWidth="1"/>
    <col min="99" max="99" width="10.5703125" bestFit="1" customWidth="1"/>
    <col min="100" max="100" width="10.7109375" bestFit="1" customWidth="1"/>
    <col min="101" max="101" width="10.5703125" bestFit="1" customWidth="1"/>
    <col min="102" max="102" width="10.7109375" bestFit="1" customWidth="1"/>
    <col min="103" max="103" width="10.5703125" bestFit="1" customWidth="1"/>
    <col min="104" max="104" width="10.7109375" bestFit="1" customWidth="1"/>
    <col min="105" max="105" width="10.5703125" bestFit="1" customWidth="1"/>
    <col min="106" max="106" width="10.7109375" bestFit="1" customWidth="1"/>
    <col min="107" max="107" width="10.5703125" bestFit="1" customWidth="1"/>
    <col min="108" max="108" width="10.7109375" bestFit="1" customWidth="1"/>
    <col min="109" max="109" width="10.5703125" bestFit="1" customWidth="1"/>
    <col min="110" max="110" width="10.7109375" bestFit="1" customWidth="1"/>
    <col min="111" max="111" width="10.5703125" bestFit="1" customWidth="1"/>
    <col min="112" max="112" width="10.7109375" bestFit="1" customWidth="1"/>
    <col min="113" max="113" width="10.5703125" bestFit="1" customWidth="1"/>
    <col min="114" max="114" width="10.7109375" bestFit="1" customWidth="1"/>
    <col min="115" max="115" width="10.5703125" bestFit="1" customWidth="1"/>
    <col min="116" max="116" width="10.7109375" bestFit="1" customWidth="1"/>
    <col min="117" max="117" width="10.5703125" bestFit="1" customWidth="1"/>
    <col min="119" max="119" width="10.7109375" bestFit="1" customWidth="1"/>
    <col min="120" max="120" width="11.7109375" bestFit="1" customWidth="1"/>
    <col min="121" max="121" width="10.7109375" bestFit="1" customWidth="1"/>
    <col min="122" max="122" width="11.7109375" bestFit="1" customWidth="1"/>
    <col min="123" max="123" width="10.7109375" bestFit="1" customWidth="1"/>
    <col min="124" max="124" width="11.7109375" bestFit="1" customWidth="1"/>
    <col min="125" max="125" width="10.7109375" bestFit="1" customWidth="1"/>
    <col min="126" max="126" width="11.7109375" bestFit="1" customWidth="1"/>
    <col min="127" max="127" width="10.7109375" bestFit="1" customWidth="1"/>
    <col min="128" max="128" width="11.7109375" bestFit="1" customWidth="1"/>
    <col min="129" max="129" width="10.7109375" bestFit="1" customWidth="1"/>
    <col min="130" max="130" width="11.7109375" bestFit="1" customWidth="1"/>
    <col min="131" max="131" width="10.7109375" bestFit="1" customWidth="1"/>
    <col min="132" max="132" width="11.7109375" bestFit="1" customWidth="1"/>
    <col min="133" max="133" width="10.7109375" bestFit="1" customWidth="1"/>
    <col min="134" max="134" width="11.7109375" bestFit="1" customWidth="1"/>
    <col min="135" max="135" width="10.7109375" bestFit="1" customWidth="1"/>
    <col min="136" max="136" width="11.7109375" bestFit="1" customWidth="1"/>
    <col min="137" max="137" width="10.7109375" bestFit="1" customWidth="1"/>
    <col min="138" max="138" width="11.7109375" bestFit="1" customWidth="1"/>
    <col min="139" max="139" width="10.7109375" bestFit="1" customWidth="1"/>
    <col min="140" max="140" width="11.7109375" bestFit="1" customWidth="1"/>
    <col min="141" max="141" width="10.7109375" bestFit="1" customWidth="1"/>
    <col min="142" max="142" width="11.7109375" bestFit="1" customWidth="1"/>
    <col min="143" max="143" width="10.7109375" bestFit="1" customWidth="1"/>
    <col min="144" max="144" width="11.7109375" bestFit="1" customWidth="1"/>
    <col min="145" max="145" width="10.7109375" bestFit="1" customWidth="1"/>
    <col min="146" max="146" width="11.7109375" bestFit="1" customWidth="1"/>
    <col min="147" max="147" width="10.7109375" bestFit="1" customWidth="1"/>
    <col min="148" max="148" width="11.7109375" bestFit="1" customWidth="1"/>
    <col min="149" max="149" width="10.7109375" bestFit="1" customWidth="1"/>
    <col min="150" max="150" width="11.7109375" bestFit="1" customWidth="1"/>
    <col min="151" max="151" width="10.7109375" bestFit="1" customWidth="1"/>
    <col min="152" max="152" width="11.7109375" bestFit="1" customWidth="1"/>
    <col min="153" max="153" width="10.7109375" bestFit="1" customWidth="1"/>
    <col min="154" max="154" width="11.7109375" bestFit="1" customWidth="1"/>
    <col min="155" max="155" width="10.7109375" bestFit="1" customWidth="1"/>
    <col min="156" max="156" width="11.7109375" bestFit="1" customWidth="1"/>
    <col min="157" max="157" width="10.7109375" bestFit="1" customWidth="1"/>
    <col min="158" max="158" width="11.7109375" bestFit="1" customWidth="1"/>
    <col min="159" max="159" width="10.7109375" bestFit="1" customWidth="1"/>
    <col min="160" max="160" width="11.7109375" bestFit="1" customWidth="1"/>
    <col min="161" max="161" width="10.7109375" bestFit="1" customWidth="1"/>
    <col min="162" max="162" width="11.7109375" bestFit="1" customWidth="1"/>
    <col min="163" max="163" width="10.7109375" bestFit="1" customWidth="1"/>
    <col min="164" max="164" width="11.7109375" bestFit="1" customWidth="1"/>
    <col min="165" max="165" width="10.7109375" bestFit="1" customWidth="1"/>
    <col min="166" max="166" width="11.7109375" bestFit="1" customWidth="1"/>
    <col min="167" max="167" width="10.7109375" bestFit="1" customWidth="1"/>
    <col min="168" max="168" width="11.7109375" bestFit="1" customWidth="1"/>
    <col min="169" max="169" width="10.7109375" bestFit="1" customWidth="1"/>
    <col min="170" max="170" width="11.7109375" bestFit="1" customWidth="1"/>
    <col min="171" max="171" width="10.42578125" bestFit="1" customWidth="1"/>
    <col min="172" max="172" width="18" bestFit="1" customWidth="1"/>
    <col min="173" max="173" width="16.85546875" bestFit="1" customWidth="1"/>
  </cols>
  <sheetData>
    <row r="3" spans="1:3" x14ac:dyDescent="0.25">
      <c r="A3" s="3" t="s">
        <v>43</v>
      </c>
      <c r="B3" t="s">
        <v>42</v>
      </c>
      <c r="C3" t="s">
        <v>41</v>
      </c>
    </row>
    <row r="4" spans="1:3" x14ac:dyDescent="0.25">
      <c r="A4" s="30" t="s">
        <v>33</v>
      </c>
      <c r="B4" s="4">
        <v>35</v>
      </c>
      <c r="C4" s="4">
        <v>587352.5</v>
      </c>
    </row>
    <row r="5" spans="1:3" x14ac:dyDescent="0.25">
      <c r="A5" s="30" t="s">
        <v>30</v>
      </c>
      <c r="B5" s="4">
        <v>54</v>
      </c>
      <c r="C5" s="4">
        <v>862030</v>
      </c>
    </row>
    <row r="6" spans="1:3" x14ac:dyDescent="0.25">
      <c r="A6" s="30" t="s">
        <v>34</v>
      </c>
      <c r="B6" s="4">
        <v>70</v>
      </c>
      <c r="C6" s="4">
        <v>670750</v>
      </c>
    </row>
    <row r="7" spans="1:3" x14ac:dyDescent="0.25">
      <c r="A7" s="30" t="s">
        <v>37</v>
      </c>
      <c r="B7" s="4">
        <v>33</v>
      </c>
      <c r="C7" s="4">
        <v>354225</v>
      </c>
    </row>
    <row r="8" spans="1:3" x14ac:dyDescent="0.25">
      <c r="A8" s="30" t="s">
        <v>38</v>
      </c>
      <c r="B8" s="4">
        <v>73</v>
      </c>
      <c r="C8" s="4">
        <v>1192062</v>
      </c>
    </row>
    <row r="9" spans="1:3" x14ac:dyDescent="0.25">
      <c r="A9" s="30" t="s">
        <v>36</v>
      </c>
      <c r="B9" s="4">
        <v>48</v>
      </c>
      <c r="C9" s="4">
        <v>797770.5</v>
      </c>
    </row>
    <row r="10" spans="1:3" x14ac:dyDescent="0.25">
      <c r="A10" s="30" t="s">
        <v>39</v>
      </c>
      <c r="B10" s="4">
        <v>36</v>
      </c>
      <c r="C10" s="4">
        <v>612259</v>
      </c>
    </row>
    <row r="11" spans="1:3" x14ac:dyDescent="0.25">
      <c r="A11" s="30" t="s">
        <v>31</v>
      </c>
      <c r="B11" s="4">
        <v>89</v>
      </c>
      <c r="C11" s="4">
        <v>1458051.5</v>
      </c>
    </row>
    <row r="12" spans="1:3" x14ac:dyDescent="0.25">
      <c r="A12" s="30" t="s">
        <v>35</v>
      </c>
      <c r="B12" s="4">
        <v>65</v>
      </c>
      <c r="C12" s="4">
        <v>1146064</v>
      </c>
    </row>
    <row r="13" spans="1:3" x14ac:dyDescent="0.25">
      <c r="A13" s="30" t="s">
        <v>32</v>
      </c>
      <c r="B13" s="4">
        <v>154</v>
      </c>
      <c r="C13" s="4">
        <v>2699250.75</v>
      </c>
    </row>
    <row r="14" spans="1:3" x14ac:dyDescent="0.25">
      <c r="A14" s="30" t="s">
        <v>49</v>
      </c>
      <c r="B14" s="4">
        <v>13</v>
      </c>
      <c r="C14" s="4">
        <v>132100</v>
      </c>
    </row>
    <row r="15" spans="1:3" x14ac:dyDescent="0.25">
      <c r="A15" s="30" t="s">
        <v>50</v>
      </c>
      <c r="B15" s="4">
        <v>14</v>
      </c>
      <c r="C15" s="4">
        <v>144800</v>
      </c>
    </row>
    <row r="16" spans="1:3" x14ac:dyDescent="0.25">
      <c r="A16" s="30" t="s">
        <v>92</v>
      </c>
      <c r="B16" s="4">
        <v>35</v>
      </c>
      <c r="C16" s="4">
        <v>354575</v>
      </c>
    </row>
    <row r="17" spans="1:3" x14ac:dyDescent="0.25">
      <c r="A17" s="30" t="s">
        <v>51</v>
      </c>
      <c r="B17" s="4">
        <v>22</v>
      </c>
      <c r="C17" s="4">
        <v>205150</v>
      </c>
    </row>
    <row r="18" spans="1:3" x14ac:dyDescent="0.25">
      <c r="A18" s="30" t="s">
        <v>52</v>
      </c>
      <c r="B18" s="4">
        <v>19</v>
      </c>
      <c r="C18" s="4">
        <v>313439</v>
      </c>
    </row>
    <row r="19" spans="1:3" x14ac:dyDescent="0.25">
      <c r="A19" s="30" t="s">
        <v>53</v>
      </c>
      <c r="B19" s="4">
        <v>34</v>
      </c>
      <c r="C19" s="4">
        <v>331675</v>
      </c>
    </row>
    <row r="20" spans="1:3" x14ac:dyDescent="0.25">
      <c r="A20" s="30" t="s">
        <v>54</v>
      </c>
      <c r="B20" s="4">
        <v>12</v>
      </c>
      <c r="C20" s="4">
        <v>122025</v>
      </c>
    </row>
    <row r="21" spans="1:3" x14ac:dyDescent="0.25">
      <c r="A21" s="30" t="s">
        <v>67</v>
      </c>
      <c r="B21" s="4">
        <v>26</v>
      </c>
      <c r="C21" s="4">
        <v>251975</v>
      </c>
    </row>
    <row r="22" spans="1:3" x14ac:dyDescent="0.25">
      <c r="A22" s="30" t="s">
        <v>72</v>
      </c>
      <c r="B22" s="4">
        <v>15</v>
      </c>
      <c r="C22" s="4">
        <v>150900</v>
      </c>
    </row>
    <row r="23" spans="1:3" x14ac:dyDescent="0.25">
      <c r="A23" s="30" t="s">
        <v>55</v>
      </c>
      <c r="B23" s="4">
        <v>17</v>
      </c>
      <c r="C23" s="4">
        <v>170375</v>
      </c>
    </row>
    <row r="24" spans="1:3" x14ac:dyDescent="0.25">
      <c r="A24" s="30" t="s">
        <v>70</v>
      </c>
      <c r="B24" s="4">
        <v>6</v>
      </c>
      <c r="C24" s="4">
        <v>64800</v>
      </c>
    </row>
    <row r="25" spans="1:3" x14ac:dyDescent="0.25">
      <c r="A25" s="30" t="s">
        <v>66</v>
      </c>
      <c r="B25" s="4">
        <v>50</v>
      </c>
      <c r="C25" s="4">
        <v>481850</v>
      </c>
    </row>
    <row r="26" spans="1:3" x14ac:dyDescent="0.25">
      <c r="A26" s="30" t="s">
        <v>71</v>
      </c>
      <c r="B26" s="4">
        <v>20</v>
      </c>
      <c r="C26" s="4">
        <v>206150</v>
      </c>
    </row>
    <row r="27" spans="1:3" x14ac:dyDescent="0.25">
      <c r="A27" s="30" t="s">
        <v>73</v>
      </c>
      <c r="B27" s="4">
        <v>17</v>
      </c>
      <c r="C27" s="4">
        <v>172850</v>
      </c>
    </row>
    <row r="28" spans="1:3" x14ac:dyDescent="0.25">
      <c r="A28" s="30" t="s">
        <v>80</v>
      </c>
      <c r="B28" s="4">
        <v>29</v>
      </c>
      <c r="C28" s="4">
        <v>270875</v>
      </c>
    </row>
    <row r="29" spans="1:3" x14ac:dyDescent="0.25">
      <c r="A29" s="30" t="s">
        <v>81</v>
      </c>
      <c r="B29" s="4">
        <v>13</v>
      </c>
      <c r="C29" s="4">
        <v>125200</v>
      </c>
    </row>
    <row r="30" spans="1:3" x14ac:dyDescent="0.25">
      <c r="A30" s="30" t="s">
        <v>91</v>
      </c>
      <c r="B30" s="4">
        <v>9</v>
      </c>
      <c r="C30" s="4">
        <v>83625</v>
      </c>
    </row>
    <row r="31" spans="1:3" x14ac:dyDescent="0.25">
      <c r="A31" s="30" t="s">
        <v>1146</v>
      </c>
      <c r="B31" s="4">
        <v>8</v>
      </c>
      <c r="C31" s="4">
        <v>91700</v>
      </c>
    </row>
    <row r="32" spans="1:3" x14ac:dyDescent="0.25">
      <c r="A32" s="30" t="s">
        <v>40</v>
      </c>
      <c r="B32" s="4">
        <v>1016</v>
      </c>
      <c r="C32" s="4">
        <v>14053879.25</v>
      </c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375C-9CAC-4F68-AD57-A0E165361B63}">
  <dimension ref="A1:T1018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35.7109375" customWidth="1"/>
    <col min="2" max="2" width="30.42578125" bestFit="1" customWidth="1"/>
    <col min="3" max="3" width="22.85546875" bestFit="1" customWidth="1"/>
    <col min="4" max="4" width="13.42578125" bestFit="1" customWidth="1"/>
    <col min="5" max="5" width="12.28515625" bestFit="1" customWidth="1"/>
    <col min="6" max="6" width="32.7109375" customWidth="1"/>
    <col min="7" max="7" width="23.28515625" customWidth="1"/>
    <col min="8" max="9" width="10.85546875" bestFit="1" customWidth="1"/>
    <col min="10" max="13" width="10.85546875" customWidth="1"/>
    <col min="14" max="14" width="8.85546875" bestFit="1" customWidth="1"/>
    <col min="15" max="15" width="11.85546875" bestFit="1" customWidth="1"/>
    <col min="16" max="16" width="31" style="11" customWidth="1"/>
    <col min="17" max="17" width="14" bestFit="1" customWidth="1"/>
    <col min="18" max="18" width="11.42578125" bestFit="1" customWidth="1"/>
    <col min="19" max="19" width="9.5703125" bestFit="1" customWidth="1"/>
    <col min="20" max="20" width="13.140625" bestFit="1" customWidth="1"/>
  </cols>
  <sheetData>
    <row r="1" spans="1:20" x14ac:dyDescent="0.25">
      <c r="A1">
        <f>COUNTIFS(T3:T1048576,"&gt;=0")</f>
        <v>1016</v>
      </c>
      <c r="H1" s="2">
        <f>SUBTOTAL(9,H3:H1018)</f>
        <v>14053879.25</v>
      </c>
      <c r="I1" s="2">
        <f>SUBTOTAL(9,I3:I1018)</f>
        <v>11666621.215517242</v>
      </c>
      <c r="J1" s="2"/>
      <c r="K1" s="2"/>
      <c r="L1" s="2"/>
      <c r="M1" s="2"/>
      <c r="R1" s="2">
        <f>SUBTOTAL(9,R3:R596)</f>
        <v>1026218.4995689695</v>
      </c>
      <c r="S1" s="2">
        <f>SUBTOTAL(9,S3:S596)</f>
        <v>68414.566637931552</v>
      </c>
      <c r="T1" s="2">
        <f>SUBTOTAL(9,T3:T596)</f>
        <v>297000</v>
      </c>
    </row>
    <row r="2" spans="1:20" x14ac:dyDescent="0.25">
      <c r="A2" s="31" t="s">
        <v>17</v>
      </c>
      <c r="B2" s="31" t="s">
        <v>90</v>
      </c>
      <c r="C2" s="31" t="s">
        <v>18</v>
      </c>
      <c r="D2" s="31" t="s">
        <v>19</v>
      </c>
      <c r="E2" s="31" t="s">
        <v>20</v>
      </c>
      <c r="F2" s="31" t="s">
        <v>21</v>
      </c>
      <c r="G2" s="31" t="s">
        <v>22</v>
      </c>
      <c r="H2" s="43" t="s">
        <v>23</v>
      </c>
      <c r="I2" s="43" t="s">
        <v>24</v>
      </c>
      <c r="J2" s="31" t="s">
        <v>2636</v>
      </c>
      <c r="K2" s="31" t="s">
        <v>23</v>
      </c>
      <c r="L2" s="31" t="s">
        <v>24</v>
      </c>
      <c r="M2" s="31" t="s">
        <v>2634</v>
      </c>
      <c r="N2" s="31" t="s">
        <v>25</v>
      </c>
      <c r="O2" s="31" t="s">
        <v>26</v>
      </c>
      <c r="P2" s="45" t="s">
        <v>27</v>
      </c>
      <c r="Q2" s="31" t="s">
        <v>28</v>
      </c>
      <c r="R2" s="32" t="s">
        <v>2637</v>
      </c>
      <c r="S2" s="31" t="s">
        <v>29</v>
      </c>
      <c r="T2" s="31" t="s">
        <v>14</v>
      </c>
    </row>
    <row r="3" spans="1:20" x14ac:dyDescent="0.25">
      <c r="A3" s="36" t="s">
        <v>130</v>
      </c>
      <c r="B3" s="36"/>
      <c r="C3" s="36" t="s">
        <v>32</v>
      </c>
      <c r="D3" s="39">
        <v>45505</v>
      </c>
      <c r="E3" s="39">
        <v>45870</v>
      </c>
      <c r="F3" s="36" t="s">
        <v>1147</v>
      </c>
      <c r="G3" s="36" t="s">
        <v>63</v>
      </c>
      <c r="H3" s="41">
        <f t="shared" ref="H3:H31" si="0">K3</f>
        <v>23247.5</v>
      </c>
      <c r="I3" s="41">
        <f t="shared" ref="I3:I31" si="1">L3</f>
        <v>19540.948275862069</v>
      </c>
      <c r="J3" s="42">
        <v>4.2500000000000003E-2</v>
      </c>
      <c r="K3" s="41">
        <f>Q3*J3</f>
        <v>23247.5</v>
      </c>
      <c r="L3" s="41">
        <f>K3/116%-T3</f>
        <v>19540.948275862069</v>
      </c>
      <c r="M3" s="41">
        <f>K3-H3</f>
        <v>0</v>
      </c>
      <c r="N3" s="36" t="s">
        <v>1844</v>
      </c>
      <c r="O3" s="37">
        <v>45505</v>
      </c>
      <c r="P3" s="34" t="s">
        <v>58</v>
      </c>
      <c r="Q3" s="38">
        <v>547000</v>
      </c>
      <c r="R3" s="33">
        <f>I3*15/100</f>
        <v>2931.1422413793102</v>
      </c>
      <c r="S3" s="35">
        <f t="shared" ref="S3:S66" si="2">I3*1/100</f>
        <v>195.4094827586207</v>
      </c>
      <c r="T3" s="34">
        <v>500</v>
      </c>
    </row>
    <row r="4" spans="1:20" x14ac:dyDescent="0.25">
      <c r="A4" s="36" t="s">
        <v>131</v>
      </c>
      <c r="B4" s="36"/>
      <c r="C4" s="36" t="s">
        <v>32</v>
      </c>
      <c r="D4" s="39">
        <v>45871</v>
      </c>
      <c r="E4" s="39">
        <v>46236</v>
      </c>
      <c r="F4" s="36" t="s">
        <v>1147</v>
      </c>
      <c r="G4" s="36" t="s">
        <v>63</v>
      </c>
      <c r="H4" s="41">
        <f t="shared" si="0"/>
        <v>23247.5</v>
      </c>
      <c r="I4" s="41">
        <f t="shared" si="1"/>
        <v>19540.948275862069</v>
      </c>
      <c r="J4" s="42">
        <v>4.2500000000000003E-2</v>
      </c>
      <c r="K4" s="41">
        <f>Q4*J4</f>
        <v>23247.5</v>
      </c>
      <c r="L4" s="41">
        <f>K4/116%-T4</f>
        <v>19540.948275862069</v>
      </c>
      <c r="M4" s="41">
        <f t="shared" ref="M4:M31" si="3">K4-H4</f>
        <v>0</v>
      </c>
      <c r="N4" s="36" t="s">
        <v>1844</v>
      </c>
      <c r="O4" s="37">
        <v>45505</v>
      </c>
      <c r="P4" s="44" t="s">
        <v>58</v>
      </c>
      <c r="Q4" s="38">
        <v>547000</v>
      </c>
      <c r="R4" s="33">
        <f t="shared" ref="R4:R67" si="4">I4*15/100</f>
        <v>2931.1422413793102</v>
      </c>
      <c r="S4" s="35">
        <f t="shared" si="2"/>
        <v>195.4094827586207</v>
      </c>
      <c r="T4" s="34">
        <v>500</v>
      </c>
    </row>
    <row r="5" spans="1:20" x14ac:dyDescent="0.25">
      <c r="A5" s="36" t="s">
        <v>132</v>
      </c>
      <c r="B5" s="36"/>
      <c r="C5" s="36" t="s">
        <v>32</v>
      </c>
      <c r="D5" s="39">
        <v>45505</v>
      </c>
      <c r="E5" s="39">
        <v>45870</v>
      </c>
      <c r="F5" s="36" t="s">
        <v>1148</v>
      </c>
      <c r="G5" s="36" t="s">
        <v>63</v>
      </c>
      <c r="H5" s="41">
        <f t="shared" si="0"/>
        <v>23247.5</v>
      </c>
      <c r="I5" s="41">
        <f t="shared" si="1"/>
        <v>19540.948275862069</v>
      </c>
      <c r="J5" s="42">
        <v>4.2500000000000003E-2</v>
      </c>
      <c r="K5" s="41">
        <f t="shared" ref="K5:K31" si="5">Q5*J5</f>
        <v>23247.5</v>
      </c>
      <c r="L5" s="41">
        <f t="shared" ref="L5:L31" si="6">K5/116%-T5</f>
        <v>19540.948275862069</v>
      </c>
      <c r="M5" s="41">
        <f t="shared" si="3"/>
        <v>0</v>
      </c>
      <c r="N5" s="36" t="s">
        <v>1845</v>
      </c>
      <c r="O5" s="37">
        <v>45505</v>
      </c>
      <c r="P5" s="44" t="s">
        <v>58</v>
      </c>
      <c r="Q5" s="38">
        <v>547000</v>
      </c>
      <c r="R5" s="33">
        <f t="shared" si="4"/>
        <v>2931.1422413793102</v>
      </c>
      <c r="S5" s="35">
        <f t="shared" si="2"/>
        <v>195.4094827586207</v>
      </c>
      <c r="T5" s="34">
        <v>500</v>
      </c>
    </row>
    <row r="6" spans="1:20" x14ac:dyDescent="0.25">
      <c r="A6" s="36" t="s">
        <v>133</v>
      </c>
      <c r="B6" s="36"/>
      <c r="C6" s="36" t="s">
        <v>32</v>
      </c>
      <c r="D6" s="39">
        <v>45871</v>
      </c>
      <c r="E6" s="39">
        <v>46236</v>
      </c>
      <c r="F6" s="36" t="s">
        <v>1148</v>
      </c>
      <c r="G6" s="36" t="s">
        <v>63</v>
      </c>
      <c r="H6" s="41">
        <f t="shared" si="0"/>
        <v>23247.5</v>
      </c>
      <c r="I6" s="41">
        <f t="shared" si="1"/>
        <v>19540.948275862069</v>
      </c>
      <c r="J6" s="42">
        <v>4.2500000000000003E-2</v>
      </c>
      <c r="K6" s="41">
        <f t="shared" si="5"/>
        <v>23247.5</v>
      </c>
      <c r="L6" s="41">
        <f t="shared" si="6"/>
        <v>19540.948275862069</v>
      </c>
      <c r="M6" s="41">
        <f t="shared" si="3"/>
        <v>0</v>
      </c>
      <c r="N6" s="36" t="s">
        <v>1845</v>
      </c>
      <c r="O6" s="37">
        <v>45505</v>
      </c>
      <c r="P6" s="44" t="s">
        <v>58</v>
      </c>
      <c r="Q6" s="38">
        <v>547000</v>
      </c>
      <c r="R6" s="33">
        <f t="shared" si="4"/>
        <v>2931.1422413793102</v>
      </c>
      <c r="S6" s="35">
        <f t="shared" si="2"/>
        <v>195.4094827586207</v>
      </c>
      <c r="T6" s="34">
        <v>500</v>
      </c>
    </row>
    <row r="7" spans="1:20" x14ac:dyDescent="0.25">
      <c r="A7" s="36" t="s">
        <v>134</v>
      </c>
      <c r="B7" s="36"/>
      <c r="C7" s="36" t="s">
        <v>31</v>
      </c>
      <c r="D7" s="39">
        <v>45505</v>
      </c>
      <c r="E7" s="39">
        <v>45870</v>
      </c>
      <c r="F7" s="36" t="s">
        <v>1149</v>
      </c>
      <c r="G7" s="36" t="s">
        <v>63</v>
      </c>
      <c r="H7" s="41">
        <f t="shared" si="0"/>
        <v>23247.5</v>
      </c>
      <c r="I7" s="41">
        <f t="shared" si="1"/>
        <v>19540.948275862069</v>
      </c>
      <c r="J7" s="42">
        <v>4.2500000000000003E-2</v>
      </c>
      <c r="K7" s="41">
        <f t="shared" si="5"/>
        <v>23247.5</v>
      </c>
      <c r="L7" s="41">
        <f t="shared" si="6"/>
        <v>19540.948275862069</v>
      </c>
      <c r="M7" s="41">
        <f t="shared" si="3"/>
        <v>0</v>
      </c>
      <c r="N7" s="36" t="s">
        <v>1846</v>
      </c>
      <c r="O7" s="37">
        <v>45505</v>
      </c>
      <c r="P7" s="44" t="s">
        <v>58</v>
      </c>
      <c r="Q7" s="38">
        <v>547000</v>
      </c>
      <c r="R7" s="33">
        <f t="shared" si="4"/>
        <v>2931.1422413793102</v>
      </c>
      <c r="S7" s="35">
        <f t="shared" si="2"/>
        <v>195.4094827586207</v>
      </c>
      <c r="T7" s="34">
        <v>500</v>
      </c>
    </row>
    <row r="8" spans="1:20" x14ac:dyDescent="0.25">
      <c r="A8" s="36" t="s">
        <v>135</v>
      </c>
      <c r="B8" s="36"/>
      <c r="C8" s="36" t="s">
        <v>32</v>
      </c>
      <c r="D8" s="39">
        <v>45505</v>
      </c>
      <c r="E8" s="39">
        <v>45870</v>
      </c>
      <c r="F8" s="36" t="s">
        <v>1150</v>
      </c>
      <c r="G8" s="36" t="s">
        <v>64</v>
      </c>
      <c r="H8" s="41">
        <f t="shared" si="0"/>
        <v>21207.5</v>
      </c>
      <c r="I8" s="41">
        <f t="shared" si="1"/>
        <v>17782.327586206899</v>
      </c>
      <c r="J8" s="42">
        <v>4.2500000000000003E-2</v>
      </c>
      <c r="K8" s="41">
        <f t="shared" si="5"/>
        <v>21207.5</v>
      </c>
      <c r="L8" s="41">
        <f t="shared" si="6"/>
        <v>17782.327586206899</v>
      </c>
      <c r="M8" s="41">
        <f t="shared" si="3"/>
        <v>0</v>
      </c>
      <c r="N8" s="36" t="s">
        <v>1847</v>
      </c>
      <c r="O8" s="37">
        <v>45505</v>
      </c>
      <c r="P8" s="44" t="s">
        <v>58</v>
      </c>
      <c r="Q8" s="38">
        <v>499000</v>
      </c>
      <c r="R8" s="33">
        <f t="shared" si="4"/>
        <v>2667.3491379310349</v>
      </c>
      <c r="S8" s="35">
        <f t="shared" si="2"/>
        <v>177.82327586206898</v>
      </c>
      <c r="T8" s="34">
        <v>500</v>
      </c>
    </row>
    <row r="9" spans="1:20" x14ac:dyDescent="0.25">
      <c r="A9" s="36" t="s">
        <v>136</v>
      </c>
      <c r="B9" s="36"/>
      <c r="C9" s="36" t="s">
        <v>32</v>
      </c>
      <c r="D9" s="39">
        <v>45871</v>
      </c>
      <c r="E9" s="39">
        <v>46236</v>
      </c>
      <c r="F9" s="36" t="s">
        <v>1150</v>
      </c>
      <c r="G9" s="36" t="s">
        <v>64</v>
      </c>
      <c r="H9" s="41">
        <f t="shared" si="0"/>
        <v>21207.5</v>
      </c>
      <c r="I9" s="41">
        <f t="shared" si="1"/>
        <v>17782.327586206899</v>
      </c>
      <c r="J9" s="42">
        <v>4.2500000000000003E-2</v>
      </c>
      <c r="K9" s="41">
        <f t="shared" si="5"/>
        <v>21207.5</v>
      </c>
      <c r="L9" s="41">
        <f t="shared" si="6"/>
        <v>17782.327586206899</v>
      </c>
      <c r="M9" s="41">
        <f t="shared" si="3"/>
        <v>0</v>
      </c>
      <c r="N9" s="36" t="s">
        <v>1847</v>
      </c>
      <c r="O9" s="37">
        <v>45505</v>
      </c>
      <c r="P9" s="44" t="s">
        <v>58</v>
      </c>
      <c r="Q9" s="38">
        <v>499000</v>
      </c>
      <c r="R9" s="33">
        <f t="shared" si="4"/>
        <v>2667.3491379310349</v>
      </c>
      <c r="S9" s="35">
        <f t="shared" si="2"/>
        <v>177.82327586206898</v>
      </c>
      <c r="T9" s="34">
        <v>500</v>
      </c>
    </row>
    <row r="10" spans="1:20" x14ac:dyDescent="0.25">
      <c r="A10" s="36" t="s">
        <v>137</v>
      </c>
      <c r="B10" s="36"/>
      <c r="C10" s="36" t="s">
        <v>31</v>
      </c>
      <c r="D10" s="39">
        <v>45505</v>
      </c>
      <c r="E10" s="39">
        <v>45870</v>
      </c>
      <c r="F10" s="36" t="s">
        <v>1151</v>
      </c>
      <c r="G10" s="36" t="s">
        <v>62</v>
      </c>
      <c r="H10" s="41">
        <f t="shared" si="0"/>
        <v>16235.000000000002</v>
      </c>
      <c r="I10" s="41">
        <f t="shared" si="1"/>
        <v>13495.689655172417</v>
      </c>
      <c r="J10" s="42">
        <v>4.2500000000000003E-2</v>
      </c>
      <c r="K10" s="41">
        <f t="shared" si="5"/>
        <v>16235.000000000002</v>
      </c>
      <c r="L10" s="41">
        <f t="shared" si="6"/>
        <v>13495.689655172417</v>
      </c>
      <c r="M10" s="41">
        <f t="shared" si="3"/>
        <v>0</v>
      </c>
      <c r="N10" s="36" t="s">
        <v>1848</v>
      </c>
      <c r="O10" s="37">
        <v>45505</v>
      </c>
      <c r="P10" s="44" t="s">
        <v>58</v>
      </c>
      <c r="Q10" s="38">
        <v>382000</v>
      </c>
      <c r="R10" s="33">
        <f t="shared" si="4"/>
        <v>2024.3534482758625</v>
      </c>
      <c r="S10" s="35">
        <f t="shared" si="2"/>
        <v>134.95689655172416</v>
      </c>
      <c r="T10" s="34">
        <v>500</v>
      </c>
    </row>
    <row r="11" spans="1:20" x14ac:dyDescent="0.25">
      <c r="A11" s="36" t="s">
        <v>138</v>
      </c>
      <c r="B11" s="36"/>
      <c r="C11" s="36" t="s">
        <v>31</v>
      </c>
      <c r="D11" s="39">
        <v>45871</v>
      </c>
      <c r="E11" s="39">
        <v>46236</v>
      </c>
      <c r="F11" s="36" t="s">
        <v>1151</v>
      </c>
      <c r="G11" s="36" t="s">
        <v>62</v>
      </c>
      <c r="H11" s="41">
        <f t="shared" si="0"/>
        <v>16235.000000000002</v>
      </c>
      <c r="I11" s="41">
        <f t="shared" si="1"/>
        <v>13495.689655172417</v>
      </c>
      <c r="J11" s="42">
        <v>4.2500000000000003E-2</v>
      </c>
      <c r="K11" s="41">
        <f t="shared" si="5"/>
        <v>16235.000000000002</v>
      </c>
      <c r="L11" s="41">
        <f t="shared" si="6"/>
        <v>13495.689655172417</v>
      </c>
      <c r="M11" s="41">
        <f t="shared" si="3"/>
        <v>0</v>
      </c>
      <c r="N11" s="36" t="s">
        <v>1848</v>
      </c>
      <c r="O11" s="37">
        <v>45505</v>
      </c>
      <c r="P11" s="44" t="s">
        <v>58</v>
      </c>
      <c r="Q11" s="38">
        <v>382000</v>
      </c>
      <c r="R11" s="33">
        <f t="shared" si="4"/>
        <v>2024.3534482758625</v>
      </c>
      <c r="S11" s="35">
        <f t="shared" si="2"/>
        <v>134.95689655172416</v>
      </c>
      <c r="T11" s="34">
        <v>500</v>
      </c>
    </row>
    <row r="12" spans="1:20" x14ac:dyDescent="0.25">
      <c r="A12" s="36" t="s">
        <v>139</v>
      </c>
      <c r="B12" s="36"/>
      <c r="C12" s="36" t="s">
        <v>32</v>
      </c>
      <c r="D12" s="39">
        <v>45505</v>
      </c>
      <c r="E12" s="39">
        <v>45870</v>
      </c>
      <c r="F12" s="36" t="s">
        <v>1152</v>
      </c>
      <c r="G12" s="36" t="s">
        <v>62</v>
      </c>
      <c r="H12" s="41">
        <f t="shared" si="0"/>
        <v>16235.000000000002</v>
      </c>
      <c r="I12" s="41">
        <f t="shared" si="1"/>
        <v>13495.689655172417</v>
      </c>
      <c r="J12" s="42">
        <v>4.2500000000000003E-2</v>
      </c>
      <c r="K12" s="41">
        <f t="shared" si="5"/>
        <v>16235.000000000002</v>
      </c>
      <c r="L12" s="41">
        <f t="shared" si="6"/>
        <v>13495.689655172417</v>
      </c>
      <c r="M12" s="41">
        <f t="shared" si="3"/>
        <v>0</v>
      </c>
      <c r="N12" s="36" t="s">
        <v>1849</v>
      </c>
      <c r="O12" s="37">
        <v>45505</v>
      </c>
      <c r="P12" s="44" t="s">
        <v>58</v>
      </c>
      <c r="Q12" s="38">
        <v>382000</v>
      </c>
      <c r="R12" s="33">
        <f t="shared" si="4"/>
        <v>2024.3534482758625</v>
      </c>
      <c r="S12" s="35">
        <f t="shared" si="2"/>
        <v>134.95689655172416</v>
      </c>
      <c r="T12" s="34">
        <v>500</v>
      </c>
    </row>
    <row r="13" spans="1:20" x14ac:dyDescent="0.25">
      <c r="A13" s="36" t="s">
        <v>140</v>
      </c>
      <c r="B13" s="36"/>
      <c r="C13" s="36" t="s">
        <v>32</v>
      </c>
      <c r="D13" s="39">
        <v>45871</v>
      </c>
      <c r="E13" s="39">
        <v>46236</v>
      </c>
      <c r="F13" s="36" t="s">
        <v>1152</v>
      </c>
      <c r="G13" s="36" t="s">
        <v>62</v>
      </c>
      <c r="H13" s="41">
        <f t="shared" si="0"/>
        <v>16235.000000000002</v>
      </c>
      <c r="I13" s="41">
        <f t="shared" si="1"/>
        <v>13495.689655172417</v>
      </c>
      <c r="J13" s="42">
        <v>4.2500000000000003E-2</v>
      </c>
      <c r="K13" s="41">
        <f t="shared" si="5"/>
        <v>16235.000000000002</v>
      </c>
      <c r="L13" s="41">
        <f t="shared" si="6"/>
        <v>13495.689655172417</v>
      </c>
      <c r="M13" s="41">
        <f t="shared" si="3"/>
        <v>0</v>
      </c>
      <c r="N13" s="36" t="s">
        <v>1849</v>
      </c>
      <c r="O13" s="37">
        <v>45505</v>
      </c>
      <c r="P13" s="44" t="s">
        <v>58</v>
      </c>
      <c r="Q13" s="38">
        <v>382000</v>
      </c>
      <c r="R13" s="33">
        <f t="shared" si="4"/>
        <v>2024.3534482758625</v>
      </c>
      <c r="S13" s="35">
        <f t="shared" si="2"/>
        <v>134.95689655172416</v>
      </c>
      <c r="T13" s="34">
        <v>500</v>
      </c>
    </row>
    <row r="14" spans="1:20" x14ac:dyDescent="0.25">
      <c r="A14" s="36" t="s">
        <v>141</v>
      </c>
      <c r="B14" s="36"/>
      <c r="C14" s="36" t="s">
        <v>31</v>
      </c>
      <c r="D14" s="39">
        <v>45505</v>
      </c>
      <c r="E14" s="39">
        <v>45870</v>
      </c>
      <c r="F14" s="36" t="s">
        <v>1153</v>
      </c>
      <c r="G14" s="36" t="s">
        <v>65</v>
      </c>
      <c r="H14" s="41">
        <f t="shared" si="0"/>
        <v>16235.000000000002</v>
      </c>
      <c r="I14" s="41">
        <f t="shared" si="1"/>
        <v>13495.689655172417</v>
      </c>
      <c r="J14" s="42">
        <v>4.2500000000000003E-2</v>
      </c>
      <c r="K14" s="41">
        <f t="shared" si="5"/>
        <v>16235.000000000002</v>
      </c>
      <c r="L14" s="41">
        <f t="shared" si="6"/>
        <v>13495.689655172417</v>
      </c>
      <c r="M14" s="41">
        <f t="shared" si="3"/>
        <v>0</v>
      </c>
      <c r="N14" s="36" t="s">
        <v>1850</v>
      </c>
      <c r="O14" s="37">
        <v>45505</v>
      </c>
      <c r="P14" s="44" t="s">
        <v>58</v>
      </c>
      <c r="Q14" s="38">
        <v>382000</v>
      </c>
      <c r="R14" s="33">
        <f t="shared" si="4"/>
        <v>2024.3534482758625</v>
      </c>
      <c r="S14" s="35">
        <f t="shared" si="2"/>
        <v>134.95689655172416</v>
      </c>
      <c r="T14" s="34">
        <v>500</v>
      </c>
    </row>
    <row r="15" spans="1:20" x14ac:dyDescent="0.25">
      <c r="A15" s="36" t="s">
        <v>142</v>
      </c>
      <c r="B15" s="36"/>
      <c r="C15" s="36" t="s">
        <v>31</v>
      </c>
      <c r="D15" s="39">
        <v>45871</v>
      </c>
      <c r="E15" s="39">
        <v>46236</v>
      </c>
      <c r="F15" s="36" t="s">
        <v>1153</v>
      </c>
      <c r="G15" s="36" t="s">
        <v>65</v>
      </c>
      <c r="H15" s="41">
        <f t="shared" si="0"/>
        <v>16235.000000000002</v>
      </c>
      <c r="I15" s="41">
        <f t="shared" si="1"/>
        <v>13495.689655172417</v>
      </c>
      <c r="J15" s="42">
        <v>4.2500000000000003E-2</v>
      </c>
      <c r="K15" s="41">
        <f t="shared" si="5"/>
        <v>16235.000000000002</v>
      </c>
      <c r="L15" s="41">
        <f t="shared" si="6"/>
        <v>13495.689655172417</v>
      </c>
      <c r="M15" s="41">
        <f t="shared" si="3"/>
        <v>0</v>
      </c>
      <c r="N15" s="36" t="s">
        <v>1850</v>
      </c>
      <c r="O15" s="37">
        <v>45505</v>
      </c>
      <c r="P15" s="44" t="s">
        <v>58</v>
      </c>
      <c r="Q15" s="38">
        <v>382000</v>
      </c>
      <c r="R15" s="33">
        <f t="shared" si="4"/>
        <v>2024.3534482758625</v>
      </c>
      <c r="S15" s="35">
        <f t="shared" si="2"/>
        <v>134.95689655172416</v>
      </c>
      <c r="T15" s="34">
        <v>500</v>
      </c>
    </row>
    <row r="16" spans="1:20" x14ac:dyDescent="0.25">
      <c r="A16" s="36" t="s">
        <v>143</v>
      </c>
      <c r="B16" s="36"/>
      <c r="C16" s="36" t="s">
        <v>32</v>
      </c>
      <c r="D16" s="39">
        <v>45505</v>
      </c>
      <c r="E16" s="39">
        <v>45870</v>
      </c>
      <c r="F16" s="36" t="s">
        <v>1154</v>
      </c>
      <c r="G16" s="36" t="s">
        <v>62</v>
      </c>
      <c r="H16" s="41">
        <f t="shared" si="0"/>
        <v>16235.000000000002</v>
      </c>
      <c r="I16" s="41">
        <f t="shared" si="1"/>
        <v>13495.689655172417</v>
      </c>
      <c r="J16" s="42">
        <v>4.2500000000000003E-2</v>
      </c>
      <c r="K16" s="41">
        <f t="shared" si="5"/>
        <v>16235.000000000002</v>
      </c>
      <c r="L16" s="41">
        <f t="shared" si="6"/>
        <v>13495.689655172417</v>
      </c>
      <c r="M16" s="41">
        <f t="shared" si="3"/>
        <v>0</v>
      </c>
      <c r="N16" s="36" t="s">
        <v>1851</v>
      </c>
      <c r="O16" s="37">
        <v>45505</v>
      </c>
      <c r="P16" s="44" t="s">
        <v>58</v>
      </c>
      <c r="Q16" s="38">
        <v>382000</v>
      </c>
      <c r="R16" s="33">
        <f t="shared" si="4"/>
        <v>2024.3534482758625</v>
      </c>
      <c r="S16" s="35">
        <f t="shared" si="2"/>
        <v>134.95689655172416</v>
      </c>
      <c r="T16" s="34">
        <v>500</v>
      </c>
    </row>
    <row r="17" spans="1:20" x14ac:dyDescent="0.25">
      <c r="A17" s="36" t="s">
        <v>144</v>
      </c>
      <c r="B17" s="36"/>
      <c r="C17" s="36" t="s">
        <v>32</v>
      </c>
      <c r="D17" s="39">
        <v>45871</v>
      </c>
      <c r="E17" s="39">
        <v>46236</v>
      </c>
      <c r="F17" s="36" t="s">
        <v>1154</v>
      </c>
      <c r="G17" s="36" t="s">
        <v>62</v>
      </c>
      <c r="H17" s="41">
        <f t="shared" si="0"/>
        <v>16235.000000000002</v>
      </c>
      <c r="I17" s="41">
        <f t="shared" si="1"/>
        <v>13495.689655172417</v>
      </c>
      <c r="J17" s="42">
        <v>4.2500000000000003E-2</v>
      </c>
      <c r="K17" s="41">
        <f t="shared" si="5"/>
        <v>16235.000000000002</v>
      </c>
      <c r="L17" s="41">
        <f t="shared" si="6"/>
        <v>13495.689655172417</v>
      </c>
      <c r="M17" s="41">
        <f t="shared" si="3"/>
        <v>0</v>
      </c>
      <c r="N17" s="36" t="s">
        <v>1851</v>
      </c>
      <c r="O17" s="37">
        <v>45505</v>
      </c>
      <c r="P17" s="44" t="s">
        <v>58</v>
      </c>
      <c r="Q17" s="38">
        <v>382000</v>
      </c>
      <c r="R17" s="33">
        <f t="shared" si="4"/>
        <v>2024.3534482758625</v>
      </c>
      <c r="S17" s="35">
        <f t="shared" si="2"/>
        <v>134.95689655172416</v>
      </c>
      <c r="T17" s="34">
        <v>500</v>
      </c>
    </row>
    <row r="18" spans="1:20" x14ac:dyDescent="0.25">
      <c r="A18" s="36" t="s">
        <v>145</v>
      </c>
      <c r="B18" s="36"/>
      <c r="C18" s="36" t="s">
        <v>36</v>
      </c>
      <c r="D18" s="39">
        <v>45505</v>
      </c>
      <c r="E18" s="39">
        <v>45870</v>
      </c>
      <c r="F18" s="36" t="s">
        <v>1155</v>
      </c>
      <c r="G18" s="36" t="s">
        <v>61</v>
      </c>
      <c r="H18" s="41">
        <f t="shared" si="0"/>
        <v>14960.000000000002</v>
      </c>
      <c r="I18" s="41">
        <f t="shared" si="1"/>
        <v>12396.551724137933</v>
      </c>
      <c r="J18" s="42">
        <v>4.2500000000000003E-2</v>
      </c>
      <c r="K18" s="41">
        <f t="shared" si="5"/>
        <v>14960.000000000002</v>
      </c>
      <c r="L18" s="41">
        <f t="shared" si="6"/>
        <v>12396.551724137933</v>
      </c>
      <c r="M18" s="41">
        <f t="shared" si="3"/>
        <v>0</v>
      </c>
      <c r="N18" s="36" t="s">
        <v>1852</v>
      </c>
      <c r="O18" s="37">
        <v>45505</v>
      </c>
      <c r="P18" s="44" t="s">
        <v>58</v>
      </c>
      <c r="Q18" s="38">
        <v>352000</v>
      </c>
      <c r="R18" s="33">
        <f t="shared" si="4"/>
        <v>1859.4827586206898</v>
      </c>
      <c r="S18" s="35">
        <f t="shared" si="2"/>
        <v>123.96551724137933</v>
      </c>
      <c r="T18" s="34">
        <v>500</v>
      </c>
    </row>
    <row r="19" spans="1:20" x14ac:dyDescent="0.25">
      <c r="A19" s="36" t="s">
        <v>146</v>
      </c>
      <c r="B19" s="36"/>
      <c r="C19" s="36" t="s">
        <v>32</v>
      </c>
      <c r="D19" s="39">
        <v>45505</v>
      </c>
      <c r="E19" s="39">
        <v>45870</v>
      </c>
      <c r="F19" s="36" t="s">
        <v>1156</v>
      </c>
      <c r="G19" s="36" t="s">
        <v>62</v>
      </c>
      <c r="H19" s="41">
        <f t="shared" si="0"/>
        <v>16235.000000000002</v>
      </c>
      <c r="I19" s="41">
        <f t="shared" si="1"/>
        <v>13495.689655172417</v>
      </c>
      <c r="J19" s="42">
        <v>4.2500000000000003E-2</v>
      </c>
      <c r="K19" s="41">
        <f t="shared" si="5"/>
        <v>16235.000000000002</v>
      </c>
      <c r="L19" s="41">
        <f t="shared" si="6"/>
        <v>13495.689655172417</v>
      </c>
      <c r="M19" s="41">
        <f t="shared" si="3"/>
        <v>0</v>
      </c>
      <c r="N19" s="36" t="s">
        <v>1853</v>
      </c>
      <c r="O19" s="37">
        <v>45505</v>
      </c>
      <c r="P19" s="44" t="s">
        <v>58</v>
      </c>
      <c r="Q19" s="38">
        <v>382000</v>
      </c>
      <c r="R19" s="33">
        <f t="shared" si="4"/>
        <v>2024.3534482758625</v>
      </c>
      <c r="S19" s="35">
        <f t="shared" si="2"/>
        <v>134.95689655172416</v>
      </c>
      <c r="T19" s="34">
        <v>500</v>
      </c>
    </row>
    <row r="20" spans="1:20" x14ac:dyDescent="0.25">
      <c r="A20" s="36" t="s">
        <v>147</v>
      </c>
      <c r="B20" s="36"/>
      <c r="C20" s="36" t="s">
        <v>32</v>
      </c>
      <c r="D20" s="39">
        <v>45871</v>
      </c>
      <c r="E20" s="39">
        <v>46236</v>
      </c>
      <c r="F20" s="36" t="s">
        <v>1156</v>
      </c>
      <c r="G20" s="36" t="s">
        <v>62</v>
      </c>
      <c r="H20" s="41">
        <f t="shared" si="0"/>
        <v>16235.000000000002</v>
      </c>
      <c r="I20" s="41">
        <f t="shared" si="1"/>
        <v>13495.689655172417</v>
      </c>
      <c r="J20" s="42">
        <v>4.2500000000000003E-2</v>
      </c>
      <c r="K20" s="41">
        <f t="shared" si="5"/>
        <v>16235.000000000002</v>
      </c>
      <c r="L20" s="41">
        <f t="shared" si="6"/>
        <v>13495.689655172417</v>
      </c>
      <c r="M20" s="41">
        <f t="shared" si="3"/>
        <v>0</v>
      </c>
      <c r="N20" s="36" t="s">
        <v>1853</v>
      </c>
      <c r="O20" s="37">
        <v>45505</v>
      </c>
      <c r="P20" s="44" t="s">
        <v>58</v>
      </c>
      <c r="Q20" s="38">
        <v>382000</v>
      </c>
      <c r="R20" s="33">
        <f t="shared" si="4"/>
        <v>2024.3534482758625</v>
      </c>
      <c r="S20" s="35">
        <f t="shared" si="2"/>
        <v>134.95689655172416</v>
      </c>
      <c r="T20" s="34">
        <v>500</v>
      </c>
    </row>
    <row r="21" spans="1:20" x14ac:dyDescent="0.25">
      <c r="A21" s="36" t="s">
        <v>148</v>
      </c>
      <c r="B21" s="36"/>
      <c r="C21" s="36" t="s">
        <v>31</v>
      </c>
      <c r="D21" s="39">
        <v>45505</v>
      </c>
      <c r="E21" s="39">
        <v>45870</v>
      </c>
      <c r="F21" s="36" t="s">
        <v>1157</v>
      </c>
      <c r="G21" s="36" t="s">
        <v>62</v>
      </c>
      <c r="H21" s="41">
        <f t="shared" si="0"/>
        <v>16235.000000000002</v>
      </c>
      <c r="I21" s="41">
        <f t="shared" si="1"/>
        <v>13495.689655172417</v>
      </c>
      <c r="J21" s="42">
        <v>4.2500000000000003E-2</v>
      </c>
      <c r="K21" s="41">
        <f t="shared" si="5"/>
        <v>16235.000000000002</v>
      </c>
      <c r="L21" s="41">
        <f t="shared" si="6"/>
        <v>13495.689655172417</v>
      </c>
      <c r="M21" s="41">
        <f t="shared" si="3"/>
        <v>0</v>
      </c>
      <c r="N21" s="36" t="s">
        <v>1854</v>
      </c>
      <c r="O21" s="37">
        <v>45505</v>
      </c>
      <c r="P21" s="44" t="s">
        <v>58</v>
      </c>
      <c r="Q21" s="38">
        <v>382000</v>
      </c>
      <c r="R21" s="33">
        <f t="shared" si="4"/>
        <v>2024.3534482758625</v>
      </c>
      <c r="S21" s="35">
        <f t="shared" si="2"/>
        <v>134.95689655172416</v>
      </c>
      <c r="T21" s="34">
        <v>500</v>
      </c>
    </row>
    <row r="22" spans="1:20" x14ac:dyDescent="0.25">
      <c r="A22" s="36" t="s">
        <v>149</v>
      </c>
      <c r="B22" s="36"/>
      <c r="C22" s="36" t="s">
        <v>32</v>
      </c>
      <c r="D22" s="39">
        <v>45505</v>
      </c>
      <c r="E22" s="39">
        <v>45870</v>
      </c>
      <c r="F22" s="36" t="s">
        <v>1158</v>
      </c>
      <c r="G22" s="36" t="s">
        <v>63</v>
      </c>
      <c r="H22" s="41">
        <f t="shared" si="0"/>
        <v>23247.5</v>
      </c>
      <c r="I22" s="41">
        <f t="shared" si="1"/>
        <v>19540.948275862069</v>
      </c>
      <c r="J22" s="42">
        <v>4.2500000000000003E-2</v>
      </c>
      <c r="K22" s="41">
        <f t="shared" si="5"/>
        <v>23247.5</v>
      </c>
      <c r="L22" s="41">
        <f t="shared" si="6"/>
        <v>19540.948275862069</v>
      </c>
      <c r="M22" s="41">
        <f t="shared" si="3"/>
        <v>0</v>
      </c>
      <c r="N22" s="36" t="s">
        <v>1855</v>
      </c>
      <c r="O22" s="37">
        <v>45505</v>
      </c>
      <c r="P22" s="44" t="s">
        <v>58</v>
      </c>
      <c r="Q22" s="38">
        <v>547000</v>
      </c>
      <c r="R22" s="33">
        <f t="shared" si="4"/>
        <v>2931.1422413793102</v>
      </c>
      <c r="S22" s="35">
        <f t="shared" si="2"/>
        <v>195.4094827586207</v>
      </c>
      <c r="T22" s="34">
        <v>500</v>
      </c>
    </row>
    <row r="23" spans="1:20" x14ac:dyDescent="0.25">
      <c r="A23" s="36" t="s">
        <v>150</v>
      </c>
      <c r="B23" s="36"/>
      <c r="C23" s="36" t="s">
        <v>32</v>
      </c>
      <c r="D23" s="39">
        <v>45871</v>
      </c>
      <c r="E23" s="39">
        <v>46236</v>
      </c>
      <c r="F23" s="36" t="s">
        <v>1158</v>
      </c>
      <c r="G23" s="36" t="s">
        <v>63</v>
      </c>
      <c r="H23" s="41">
        <f t="shared" si="0"/>
        <v>23247.5</v>
      </c>
      <c r="I23" s="41">
        <f t="shared" si="1"/>
        <v>19540.948275862069</v>
      </c>
      <c r="J23" s="42">
        <v>4.2500000000000003E-2</v>
      </c>
      <c r="K23" s="41">
        <f t="shared" si="5"/>
        <v>23247.5</v>
      </c>
      <c r="L23" s="41">
        <f t="shared" si="6"/>
        <v>19540.948275862069</v>
      </c>
      <c r="M23" s="41">
        <f t="shared" si="3"/>
        <v>0</v>
      </c>
      <c r="N23" s="36" t="s">
        <v>1855</v>
      </c>
      <c r="O23" s="37">
        <v>45505</v>
      </c>
      <c r="P23" s="44" t="s">
        <v>58</v>
      </c>
      <c r="Q23" s="38">
        <v>547000</v>
      </c>
      <c r="R23" s="33">
        <f t="shared" si="4"/>
        <v>2931.1422413793102</v>
      </c>
      <c r="S23" s="35">
        <f t="shared" si="2"/>
        <v>195.4094827586207</v>
      </c>
      <c r="T23" s="34">
        <v>500</v>
      </c>
    </row>
    <row r="24" spans="1:20" x14ac:dyDescent="0.25">
      <c r="A24" s="36" t="s">
        <v>151</v>
      </c>
      <c r="B24" s="36"/>
      <c r="C24" s="36" t="s">
        <v>31</v>
      </c>
      <c r="D24" s="39">
        <v>45505</v>
      </c>
      <c r="E24" s="39">
        <v>45870</v>
      </c>
      <c r="F24" s="36" t="s">
        <v>1159</v>
      </c>
      <c r="G24" s="36" t="s">
        <v>61</v>
      </c>
      <c r="H24" s="41">
        <f t="shared" si="0"/>
        <v>14960.000000000002</v>
      </c>
      <c r="I24" s="41">
        <f t="shared" si="1"/>
        <v>12396.551724137933</v>
      </c>
      <c r="J24" s="42">
        <v>4.2500000000000003E-2</v>
      </c>
      <c r="K24" s="41">
        <f t="shared" si="5"/>
        <v>14960.000000000002</v>
      </c>
      <c r="L24" s="41">
        <f t="shared" si="6"/>
        <v>12396.551724137933</v>
      </c>
      <c r="M24" s="41">
        <f t="shared" si="3"/>
        <v>0</v>
      </c>
      <c r="N24" s="36" t="s">
        <v>1856</v>
      </c>
      <c r="O24" s="37">
        <v>45505</v>
      </c>
      <c r="P24" s="44" t="s">
        <v>58</v>
      </c>
      <c r="Q24" s="38">
        <v>352000</v>
      </c>
      <c r="R24" s="33">
        <f t="shared" si="4"/>
        <v>1859.4827586206898</v>
      </c>
      <c r="S24" s="35">
        <f t="shared" si="2"/>
        <v>123.96551724137933</v>
      </c>
      <c r="T24" s="34">
        <v>500</v>
      </c>
    </row>
    <row r="25" spans="1:20" x14ac:dyDescent="0.25">
      <c r="A25" s="36" t="s">
        <v>152</v>
      </c>
      <c r="B25" s="36"/>
      <c r="C25" s="36" t="s">
        <v>31</v>
      </c>
      <c r="D25" s="39">
        <v>45871</v>
      </c>
      <c r="E25" s="39">
        <v>46236</v>
      </c>
      <c r="F25" s="36" t="s">
        <v>1159</v>
      </c>
      <c r="G25" s="36" t="s">
        <v>61</v>
      </c>
      <c r="H25" s="41">
        <f t="shared" si="0"/>
        <v>14960.000000000002</v>
      </c>
      <c r="I25" s="41">
        <f t="shared" si="1"/>
        <v>12396.551724137933</v>
      </c>
      <c r="J25" s="42">
        <v>4.2500000000000003E-2</v>
      </c>
      <c r="K25" s="41">
        <f t="shared" si="5"/>
        <v>14960.000000000002</v>
      </c>
      <c r="L25" s="41">
        <f t="shared" si="6"/>
        <v>12396.551724137933</v>
      </c>
      <c r="M25" s="41">
        <f t="shared" si="3"/>
        <v>0</v>
      </c>
      <c r="N25" s="36" t="s">
        <v>1856</v>
      </c>
      <c r="O25" s="37">
        <v>45505</v>
      </c>
      <c r="P25" s="44" t="s">
        <v>58</v>
      </c>
      <c r="Q25" s="38">
        <v>352000</v>
      </c>
      <c r="R25" s="33">
        <f t="shared" si="4"/>
        <v>1859.4827586206898</v>
      </c>
      <c r="S25" s="35">
        <f t="shared" si="2"/>
        <v>123.96551724137933</v>
      </c>
      <c r="T25" s="34">
        <v>500</v>
      </c>
    </row>
    <row r="26" spans="1:20" x14ac:dyDescent="0.25">
      <c r="A26" s="36" t="s">
        <v>153</v>
      </c>
      <c r="B26" s="36"/>
      <c r="C26" s="36" t="s">
        <v>32</v>
      </c>
      <c r="D26" s="39">
        <v>45505</v>
      </c>
      <c r="E26" s="39">
        <v>45870</v>
      </c>
      <c r="F26" s="36" t="s">
        <v>1160</v>
      </c>
      <c r="G26" s="36" t="s">
        <v>64</v>
      </c>
      <c r="H26" s="41">
        <f t="shared" si="0"/>
        <v>21207.5</v>
      </c>
      <c r="I26" s="41">
        <f t="shared" si="1"/>
        <v>17782.327586206899</v>
      </c>
      <c r="J26" s="42">
        <v>4.2500000000000003E-2</v>
      </c>
      <c r="K26" s="41">
        <f t="shared" si="5"/>
        <v>21207.5</v>
      </c>
      <c r="L26" s="41">
        <f t="shared" si="6"/>
        <v>17782.327586206899</v>
      </c>
      <c r="M26" s="41">
        <f t="shared" si="3"/>
        <v>0</v>
      </c>
      <c r="N26" s="36" t="s">
        <v>1857</v>
      </c>
      <c r="O26" s="37">
        <v>45505</v>
      </c>
      <c r="P26" s="44" t="s">
        <v>58</v>
      </c>
      <c r="Q26" s="38">
        <v>499000</v>
      </c>
      <c r="R26" s="33">
        <f t="shared" si="4"/>
        <v>2667.3491379310349</v>
      </c>
      <c r="S26" s="35">
        <f t="shared" si="2"/>
        <v>177.82327586206898</v>
      </c>
      <c r="T26" s="34">
        <v>500</v>
      </c>
    </row>
    <row r="27" spans="1:20" x14ac:dyDescent="0.25">
      <c r="A27" s="36" t="s">
        <v>154</v>
      </c>
      <c r="B27" s="36"/>
      <c r="C27" s="36" t="s">
        <v>32</v>
      </c>
      <c r="D27" s="39">
        <v>45871</v>
      </c>
      <c r="E27" s="39">
        <v>46236</v>
      </c>
      <c r="F27" s="36" t="s">
        <v>1160</v>
      </c>
      <c r="G27" s="36" t="s">
        <v>64</v>
      </c>
      <c r="H27" s="41">
        <f t="shared" si="0"/>
        <v>21207.5</v>
      </c>
      <c r="I27" s="41">
        <f t="shared" si="1"/>
        <v>17782.327586206899</v>
      </c>
      <c r="J27" s="42">
        <v>4.2500000000000003E-2</v>
      </c>
      <c r="K27" s="41">
        <f t="shared" si="5"/>
        <v>21207.5</v>
      </c>
      <c r="L27" s="41">
        <f t="shared" si="6"/>
        <v>17782.327586206899</v>
      </c>
      <c r="M27" s="41">
        <f t="shared" si="3"/>
        <v>0</v>
      </c>
      <c r="N27" s="36" t="s">
        <v>1857</v>
      </c>
      <c r="O27" s="37">
        <v>45505</v>
      </c>
      <c r="P27" s="44" t="s">
        <v>58</v>
      </c>
      <c r="Q27" s="38">
        <v>499000</v>
      </c>
      <c r="R27" s="33">
        <f t="shared" si="4"/>
        <v>2667.3491379310349</v>
      </c>
      <c r="S27" s="35">
        <f t="shared" si="2"/>
        <v>177.82327586206898</v>
      </c>
      <c r="T27" s="34">
        <v>500</v>
      </c>
    </row>
    <row r="28" spans="1:20" x14ac:dyDescent="0.25">
      <c r="A28" s="36" t="s">
        <v>155</v>
      </c>
      <c r="B28" s="36"/>
      <c r="C28" s="36" t="s">
        <v>32</v>
      </c>
      <c r="D28" s="39">
        <v>45505</v>
      </c>
      <c r="E28" s="39">
        <v>45870</v>
      </c>
      <c r="F28" s="36" t="s">
        <v>1161</v>
      </c>
      <c r="G28" s="36" t="s">
        <v>62</v>
      </c>
      <c r="H28" s="41">
        <f t="shared" si="0"/>
        <v>16235.000000000002</v>
      </c>
      <c r="I28" s="41">
        <f t="shared" si="1"/>
        <v>13495.689655172417</v>
      </c>
      <c r="J28" s="42">
        <v>4.2500000000000003E-2</v>
      </c>
      <c r="K28" s="41">
        <f t="shared" si="5"/>
        <v>16235.000000000002</v>
      </c>
      <c r="L28" s="41">
        <f t="shared" si="6"/>
        <v>13495.689655172417</v>
      </c>
      <c r="M28" s="41">
        <f t="shared" si="3"/>
        <v>0</v>
      </c>
      <c r="N28" s="36" t="s">
        <v>1858</v>
      </c>
      <c r="O28" s="37">
        <v>45505</v>
      </c>
      <c r="P28" s="44" t="s">
        <v>58</v>
      </c>
      <c r="Q28" s="38">
        <v>382000</v>
      </c>
      <c r="R28" s="33">
        <f t="shared" si="4"/>
        <v>2024.3534482758625</v>
      </c>
      <c r="S28" s="35">
        <f t="shared" si="2"/>
        <v>134.95689655172416</v>
      </c>
      <c r="T28" s="34">
        <v>500</v>
      </c>
    </row>
    <row r="29" spans="1:20" x14ac:dyDescent="0.25">
      <c r="A29" s="36" t="s">
        <v>156</v>
      </c>
      <c r="B29" s="36"/>
      <c r="C29" s="36" t="s">
        <v>32</v>
      </c>
      <c r="D29" s="39">
        <v>45871</v>
      </c>
      <c r="E29" s="39">
        <v>46236</v>
      </c>
      <c r="F29" s="36" t="s">
        <v>1161</v>
      </c>
      <c r="G29" s="36" t="s">
        <v>62</v>
      </c>
      <c r="H29" s="41">
        <f t="shared" si="0"/>
        <v>16235.000000000002</v>
      </c>
      <c r="I29" s="41">
        <f t="shared" si="1"/>
        <v>13495.689655172417</v>
      </c>
      <c r="J29" s="42">
        <v>4.2500000000000003E-2</v>
      </c>
      <c r="K29" s="41">
        <f t="shared" si="5"/>
        <v>16235.000000000002</v>
      </c>
      <c r="L29" s="41">
        <f t="shared" si="6"/>
        <v>13495.689655172417</v>
      </c>
      <c r="M29" s="41">
        <f t="shared" si="3"/>
        <v>0</v>
      </c>
      <c r="N29" s="36" t="s">
        <v>1858</v>
      </c>
      <c r="O29" s="37">
        <v>45505</v>
      </c>
      <c r="P29" s="44" t="s">
        <v>58</v>
      </c>
      <c r="Q29" s="38">
        <v>382000</v>
      </c>
      <c r="R29" s="33">
        <f t="shared" si="4"/>
        <v>2024.3534482758625</v>
      </c>
      <c r="S29" s="35">
        <f t="shared" si="2"/>
        <v>134.95689655172416</v>
      </c>
      <c r="T29" s="34">
        <v>500</v>
      </c>
    </row>
    <row r="30" spans="1:20" x14ac:dyDescent="0.25">
      <c r="A30" s="36" t="s">
        <v>157</v>
      </c>
      <c r="B30" s="36"/>
      <c r="C30" s="36" t="s">
        <v>32</v>
      </c>
      <c r="D30" s="39">
        <v>45505</v>
      </c>
      <c r="E30" s="39">
        <v>45870</v>
      </c>
      <c r="F30" s="36" t="s">
        <v>1162</v>
      </c>
      <c r="G30" s="36" t="s">
        <v>62</v>
      </c>
      <c r="H30" s="41">
        <f t="shared" si="0"/>
        <v>16235.000000000002</v>
      </c>
      <c r="I30" s="41">
        <f t="shared" si="1"/>
        <v>13495.689655172417</v>
      </c>
      <c r="J30" s="42">
        <v>4.2500000000000003E-2</v>
      </c>
      <c r="K30" s="41">
        <f t="shared" si="5"/>
        <v>16235.000000000002</v>
      </c>
      <c r="L30" s="41">
        <f t="shared" si="6"/>
        <v>13495.689655172417</v>
      </c>
      <c r="M30" s="41">
        <f t="shared" si="3"/>
        <v>0</v>
      </c>
      <c r="N30" s="36" t="s">
        <v>1859</v>
      </c>
      <c r="O30" s="37">
        <v>45505</v>
      </c>
      <c r="P30" s="44" t="s">
        <v>58</v>
      </c>
      <c r="Q30" s="38">
        <v>382000</v>
      </c>
      <c r="R30" s="33">
        <f t="shared" si="4"/>
        <v>2024.3534482758625</v>
      </c>
      <c r="S30" s="35">
        <f t="shared" si="2"/>
        <v>134.95689655172416</v>
      </c>
      <c r="T30" s="34">
        <v>500</v>
      </c>
    </row>
    <row r="31" spans="1:20" x14ac:dyDescent="0.25">
      <c r="A31" s="36" t="s">
        <v>158</v>
      </c>
      <c r="B31" s="36"/>
      <c r="C31" s="36" t="s">
        <v>32</v>
      </c>
      <c r="D31" s="39">
        <v>45871</v>
      </c>
      <c r="E31" s="39">
        <v>46236</v>
      </c>
      <c r="F31" s="36" t="s">
        <v>1162</v>
      </c>
      <c r="G31" s="36" t="s">
        <v>62</v>
      </c>
      <c r="H31" s="41">
        <f t="shared" si="0"/>
        <v>16235.000000000002</v>
      </c>
      <c r="I31" s="41">
        <f t="shared" si="1"/>
        <v>13495.689655172417</v>
      </c>
      <c r="J31" s="42">
        <v>4.2500000000000003E-2</v>
      </c>
      <c r="K31" s="41">
        <f t="shared" si="5"/>
        <v>16235.000000000002</v>
      </c>
      <c r="L31" s="41">
        <f t="shared" si="6"/>
        <v>13495.689655172417</v>
      </c>
      <c r="M31" s="41">
        <f t="shared" si="3"/>
        <v>0</v>
      </c>
      <c r="N31" s="36" t="s">
        <v>1859</v>
      </c>
      <c r="O31" s="37">
        <v>45505</v>
      </c>
      <c r="P31" s="44" t="s">
        <v>58</v>
      </c>
      <c r="Q31" s="38">
        <v>382000</v>
      </c>
      <c r="R31" s="33">
        <f t="shared" si="4"/>
        <v>2024.3534482758625</v>
      </c>
      <c r="S31" s="35">
        <f t="shared" si="2"/>
        <v>134.95689655172416</v>
      </c>
      <c r="T31" s="34">
        <v>500</v>
      </c>
    </row>
    <row r="32" spans="1:20" x14ac:dyDescent="0.25">
      <c r="A32" s="36" t="s">
        <v>159</v>
      </c>
      <c r="B32" s="36"/>
      <c r="C32" s="36" t="s">
        <v>53</v>
      </c>
      <c r="D32" s="39">
        <v>45505</v>
      </c>
      <c r="E32" s="39">
        <v>45870</v>
      </c>
      <c r="F32" s="36" t="s">
        <v>1163</v>
      </c>
      <c r="G32" s="36" t="s">
        <v>64</v>
      </c>
      <c r="H32" s="41">
        <f>K32</f>
        <v>12475</v>
      </c>
      <c r="I32" s="41">
        <f>L32</f>
        <v>10254.310344827587</v>
      </c>
      <c r="J32" s="42">
        <v>2.5000000000000001E-2</v>
      </c>
      <c r="K32" s="41">
        <f t="shared" ref="K32" si="7">Q32*J32</f>
        <v>12475</v>
      </c>
      <c r="L32" s="41">
        <f t="shared" ref="L32" si="8">K32/116%-T32</f>
        <v>10254.310344827587</v>
      </c>
      <c r="M32" s="40"/>
      <c r="N32" s="36" t="s">
        <v>1860</v>
      </c>
      <c r="O32" s="37">
        <v>45505</v>
      </c>
      <c r="P32" s="44" t="s">
        <v>58</v>
      </c>
      <c r="Q32" s="38">
        <v>499000</v>
      </c>
      <c r="R32" s="33">
        <f t="shared" si="4"/>
        <v>1538.1465517241379</v>
      </c>
      <c r="S32" s="35">
        <f t="shared" si="2"/>
        <v>102.54310344827587</v>
      </c>
      <c r="T32" s="34">
        <v>500</v>
      </c>
    </row>
    <row r="33" spans="1:20" x14ac:dyDescent="0.25">
      <c r="A33" s="36" t="s">
        <v>160</v>
      </c>
      <c r="B33" s="36"/>
      <c r="C33" s="36" t="s">
        <v>31</v>
      </c>
      <c r="D33" s="39">
        <v>45506</v>
      </c>
      <c r="E33" s="39">
        <v>45871</v>
      </c>
      <c r="F33" s="36" t="s">
        <v>1164</v>
      </c>
      <c r="G33" s="36" t="s">
        <v>65</v>
      </c>
      <c r="H33" s="41">
        <f t="shared" ref="H33:I35" si="9">K33</f>
        <v>16235.000000000002</v>
      </c>
      <c r="I33" s="41">
        <f t="shared" si="9"/>
        <v>13495.689655172417</v>
      </c>
      <c r="J33" s="42">
        <v>4.2500000000000003E-2</v>
      </c>
      <c r="K33" s="41">
        <f t="shared" ref="K33:K36" si="10">Q33*J33</f>
        <v>16235.000000000002</v>
      </c>
      <c r="L33" s="41">
        <f t="shared" ref="L33:L36" si="11">K33/116%-T33</f>
        <v>13495.689655172417</v>
      </c>
      <c r="M33" s="41">
        <f t="shared" ref="M33:M35" si="12">K33-H33</f>
        <v>0</v>
      </c>
      <c r="N33" s="36" t="s">
        <v>1861</v>
      </c>
      <c r="O33" s="37">
        <v>45506</v>
      </c>
      <c r="P33" s="44" t="s">
        <v>58</v>
      </c>
      <c r="Q33" s="38">
        <v>382000</v>
      </c>
      <c r="R33" s="33">
        <f t="shared" si="4"/>
        <v>2024.3534482758625</v>
      </c>
      <c r="S33" s="35">
        <f t="shared" si="2"/>
        <v>134.95689655172416</v>
      </c>
      <c r="T33" s="34">
        <v>500</v>
      </c>
    </row>
    <row r="34" spans="1:20" x14ac:dyDescent="0.25">
      <c r="A34" s="36" t="s">
        <v>161</v>
      </c>
      <c r="B34" s="36"/>
      <c r="C34" s="36" t="s">
        <v>31</v>
      </c>
      <c r="D34" s="39">
        <v>45872</v>
      </c>
      <c r="E34" s="39">
        <v>46237</v>
      </c>
      <c r="F34" s="36" t="s">
        <v>1164</v>
      </c>
      <c r="G34" s="36" t="s">
        <v>65</v>
      </c>
      <c r="H34" s="41">
        <f t="shared" si="9"/>
        <v>16235.000000000002</v>
      </c>
      <c r="I34" s="41">
        <f t="shared" si="9"/>
        <v>13495.689655172417</v>
      </c>
      <c r="J34" s="42">
        <v>4.2500000000000003E-2</v>
      </c>
      <c r="K34" s="41">
        <f t="shared" si="10"/>
        <v>16235.000000000002</v>
      </c>
      <c r="L34" s="41">
        <f t="shared" si="11"/>
        <v>13495.689655172417</v>
      </c>
      <c r="M34" s="41">
        <f t="shared" si="12"/>
        <v>0</v>
      </c>
      <c r="N34" s="36" t="s">
        <v>1861</v>
      </c>
      <c r="O34" s="37">
        <v>45506</v>
      </c>
      <c r="P34" s="44" t="s">
        <v>58</v>
      </c>
      <c r="Q34" s="38">
        <v>382000</v>
      </c>
      <c r="R34" s="33">
        <f t="shared" si="4"/>
        <v>2024.3534482758625</v>
      </c>
      <c r="S34" s="35">
        <f t="shared" si="2"/>
        <v>134.95689655172416</v>
      </c>
      <c r="T34" s="34">
        <v>500</v>
      </c>
    </row>
    <row r="35" spans="1:20" x14ac:dyDescent="0.25">
      <c r="A35" s="36" t="s">
        <v>162</v>
      </c>
      <c r="B35" s="36"/>
      <c r="C35" s="36" t="s">
        <v>32</v>
      </c>
      <c r="D35" s="39">
        <v>45506</v>
      </c>
      <c r="E35" s="39">
        <v>45871</v>
      </c>
      <c r="F35" s="36" t="s">
        <v>1165</v>
      </c>
      <c r="G35" s="36" t="s">
        <v>61</v>
      </c>
      <c r="H35" s="41">
        <f t="shared" si="9"/>
        <v>14960.000000000002</v>
      </c>
      <c r="I35" s="41">
        <f t="shared" si="9"/>
        <v>12396.551724137933</v>
      </c>
      <c r="J35" s="42">
        <v>4.2500000000000003E-2</v>
      </c>
      <c r="K35" s="41">
        <f t="shared" si="10"/>
        <v>14960.000000000002</v>
      </c>
      <c r="L35" s="41">
        <f t="shared" si="11"/>
        <v>12396.551724137933</v>
      </c>
      <c r="M35" s="41">
        <f t="shared" si="12"/>
        <v>0</v>
      </c>
      <c r="N35" s="36" t="s">
        <v>1862</v>
      </c>
      <c r="O35" s="37">
        <v>45506</v>
      </c>
      <c r="P35" s="44" t="s">
        <v>58</v>
      </c>
      <c r="Q35" s="38">
        <v>352000</v>
      </c>
      <c r="R35" s="33">
        <f t="shared" si="4"/>
        <v>1859.4827586206898</v>
      </c>
      <c r="S35" s="35">
        <f t="shared" si="2"/>
        <v>123.96551724137933</v>
      </c>
      <c r="T35" s="34">
        <v>500</v>
      </c>
    </row>
    <row r="36" spans="1:20" x14ac:dyDescent="0.25">
      <c r="A36" s="36" t="s">
        <v>163</v>
      </c>
      <c r="B36" s="36"/>
      <c r="C36" s="36" t="s">
        <v>55</v>
      </c>
      <c r="D36" s="39">
        <v>45506</v>
      </c>
      <c r="E36" s="39">
        <v>45871</v>
      </c>
      <c r="F36" s="36" t="s">
        <v>1166</v>
      </c>
      <c r="G36" s="36" t="s">
        <v>61</v>
      </c>
      <c r="H36" s="41">
        <f>K36</f>
        <v>8800</v>
      </c>
      <c r="I36" s="41">
        <f>L36</f>
        <v>7086.2068965517246</v>
      </c>
      <c r="J36" s="42">
        <v>2.5000000000000001E-2</v>
      </c>
      <c r="K36" s="41">
        <f t="shared" si="10"/>
        <v>8800</v>
      </c>
      <c r="L36" s="41">
        <f t="shared" si="11"/>
        <v>7086.2068965517246</v>
      </c>
      <c r="M36" s="40"/>
      <c r="N36" s="36" t="s">
        <v>1863</v>
      </c>
      <c r="O36" s="37">
        <v>45506</v>
      </c>
      <c r="P36" s="44" t="s">
        <v>58</v>
      </c>
      <c r="Q36" s="38">
        <v>352000</v>
      </c>
      <c r="R36" s="33">
        <f t="shared" si="4"/>
        <v>1062.9310344827586</v>
      </c>
      <c r="S36" s="35">
        <f t="shared" si="2"/>
        <v>70.862068965517253</v>
      </c>
      <c r="T36" s="34">
        <v>500</v>
      </c>
    </row>
    <row r="37" spans="1:20" x14ac:dyDescent="0.25">
      <c r="A37" s="36" t="s">
        <v>164</v>
      </c>
      <c r="B37" s="36"/>
      <c r="C37" s="36" t="s">
        <v>32</v>
      </c>
      <c r="D37" s="39">
        <v>45506</v>
      </c>
      <c r="E37" s="39">
        <v>45871</v>
      </c>
      <c r="F37" s="36" t="s">
        <v>1167</v>
      </c>
      <c r="G37" s="36" t="s">
        <v>64</v>
      </c>
      <c r="H37" s="41">
        <f t="shared" ref="H37:I41" si="13">K37</f>
        <v>20378.75</v>
      </c>
      <c r="I37" s="41">
        <f t="shared" si="13"/>
        <v>17067.887931034486</v>
      </c>
      <c r="J37" s="42">
        <v>4.2500000000000003E-2</v>
      </c>
      <c r="K37" s="41">
        <f t="shared" ref="K37:K41" si="14">Q37*J37</f>
        <v>20378.75</v>
      </c>
      <c r="L37" s="41">
        <f t="shared" ref="L37:L41" si="15">K37/116%-T37</f>
        <v>17067.887931034486</v>
      </c>
      <c r="M37" s="41">
        <f t="shared" ref="M37:M41" si="16">K37-H37</f>
        <v>0</v>
      </c>
      <c r="N37" s="36" t="s">
        <v>1864</v>
      </c>
      <c r="O37" s="37">
        <v>45506</v>
      </c>
      <c r="P37" s="44" t="s">
        <v>58</v>
      </c>
      <c r="Q37" s="38">
        <v>479500</v>
      </c>
      <c r="R37" s="33">
        <f t="shared" si="4"/>
        <v>2560.1831896551726</v>
      </c>
      <c r="S37" s="35">
        <f t="shared" si="2"/>
        <v>170.67887931034485</v>
      </c>
      <c r="T37" s="34">
        <v>500</v>
      </c>
    </row>
    <row r="38" spans="1:20" x14ac:dyDescent="0.25">
      <c r="A38" s="36" t="s">
        <v>165</v>
      </c>
      <c r="B38" s="36"/>
      <c r="C38" s="36" t="s">
        <v>32</v>
      </c>
      <c r="D38" s="39">
        <v>45506</v>
      </c>
      <c r="E38" s="39">
        <v>45871</v>
      </c>
      <c r="F38" s="36" t="s">
        <v>1168</v>
      </c>
      <c r="G38" s="36" t="s">
        <v>61</v>
      </c>
      <c r="H38" s="41">
        <f t="shared" si="13"/>
        <v>14960.000000000002</v>
      </c>
      <c r="I38" s="41">
        <f t="shared" si="13"/>
        <v>12396.551724137933</v>
      </c>
      <c r="J38" s="42">
        <v>4.2500000000000003E-2</v>
      </c>
      <c r="K38" s="41">
        <f t="shared" si="14"/>
        <v>14960.000000000002</v>
      </c>
      <c r="L38" s="41">
        <f t="shared" si="15"/>
        <v>12396.551724137933</v>
      </c>
      <c r="M38" s="41">
        <f t="shared" si="16"/>
        <v>0</v>
      </c>
      <c r="N38" s="36" t="s">
        <v>1865</v>
      </c>
      <c r="O38" s="37">
        <v>45506</v>
      </c>
      <c r="P38" s="44" t="s">
        <v>58</v>
      </c>
      <c r="Q38" s="38">
        <v>352000</v>
      </c>
      <c r="R38" s="33">
        <f t="shared" si="4"/>
        <v>1859.4827586206898</v>
      </c>
      <c r="S38" s="35">
        <f t="shared" si="2"/>
        <v>123.96551724137933</v>
      </c>
      <c r="T38" s="34">
        <v>500</v>
      </c>
    </row>
    <row r="39" spans="1:20" x14ac:dyDescent="0.25">
      <c r="A39" s="36" t="s">
        <v>166</v>
      </c>
      <c r="B39" s="36"/>
      <c r="C39" s="36" t="s">
        <v>32</v>
      </c>
      <c r="D39" s="39">
        <v>45872</v>
      </c>
      <c r="E39" s="39">
        <v>46237</v>
      </c>
      <c r="F39" s="36" t="s">
        <v>1168</v>
      </c>
      <c r="G39" s="36" t="s">
        <v>61</v>
      </c>
      <c r="H39" s="41">
        <f t="shared" si="13"/>
        <v>14960.000000000002</v>
      </c>
      <c r="I39" s="41">
        <f t="shared" si="13"/>
        <v>12396.551724137933</v>
      </c>
      <c r="J39" s="42">
        <v>4.2500000000000003E-2</v>
      </c>
      <c r="K39" s="41">
        <f t="shared" si="14"/>
        <v>14960.000000000002</v>
      </c>
      <c r="L39" s="41">
        <f t="shared" si="15"/>
        <v>12396.551724137933</v>
      </c>
      <c r="M39" s="41">
        <f t="shared" si="16"/>
        <v>0</v>
      </c>
      <c r="N39" s="36" t="s">
        <v>1865</v>
      </c>
      <c r="O39" s="37">
        <v>45506</v>
      </c>
      <c r="P39" s="44" t="s">
        <v>58</v>
      </c>
      <c r="Q39" s="38">
        <v>352000</v>
      </c>
      <c r="R39" s="33">
        <f t="shared" si="4"/>
        <v>1859.4827586206898</v>
      </c>
      <c r="S39" s="35">
        <f t="shared" si="2"/>
        <v>123.96551724137933</v>
      </c>
      <c r="T39" s="34">
        <v>500</v>
      </c>
    </row>
    <row r="40" spans="1:20" x14ac:dyDescent="0.25">
      <c r="A40" s="36" t="s">
        <v>167</v>
      </c>
      <c r="B40" s="36"/>
      <c r="C40" s="36" t="s">
        <v>32</v>
      </c>
      <c r="D40" s="39">
        <v>45506</v>
      </c>
      <c r="E40" s="39">
        <v>45871</v>
      </c>
      <c r="F40" s="36" t="s">
        <v>1169</v>
      </c>
      <c r="G40" s="36" t="s">
        <v>62</v>
      </c>
      <c r="H40" s="41">
        <f t="shared" si="13"/>
        <v>16235.000000000002</v>
      </c>
      <c r="I40" s="41">
        <f t="shared" si="13"/>
        <v>13495.689655172417</v>
      </c>
      <c r="J40" s="42">
        <v>4.2500000000000003E-2</v>
      </c>
      <c r="K40" s="41">
        <f t="shared" si="14"/>
        <v>16235.000000000002</v>
      </c>
      <c r="L40" s="41">
        <f t="shared" si="15"/>
        <v>13495.689655172417</v>
      </c>
      <c r="M40" s="41">
        <f t="shared" si="16"/>
        <v>0</v>
      </c>
      <c r="N40" s="36" t="s">
        <v>1866</v>
      </c>
      <c r="O40" s="37">
        <v>45506</v>
      </c>
      <c r="P40" s="44" t="s">
        <v>58</v>
      </c>
      <c r="Q40" s="38">
        <v>382000</v>
      </c>
      <c r="R40" s="33">
        <f t="shared" si="4"/>
        <v>2024.3534482758625</v>
      </c>
      <c r="S40" s="35">
        <f t="shared" si="2"/>
        <v>134.95689655172416</v>
      </c>
      <c r="T40" s="34">
        <v>500</v>
      </c>
    </row>
    <row r="41" spans="1:20" x14ac:dyDescent="0.25">
      <c r="A41" s="36" t="s">
        <v>168</v>
      </c>
      <c r="B41" s="36"/>
      <c r="C41" s="36" t="s">
        <v>32</v>
      </c>
      <c r="D41" s="39">
        <v>45872</v>
      </c>
      <c r="E41" s="39">
        <v>46237</v>
      </c>
      <c r="F41" s="36" t="s">
        <v>1169</v>
      </c>
      <c r="G41" s="36" t="s">
        <v>62</v>
      </c>
      <c r="H41" s="41">
        <f t="shared" si="13"/>
        <v>16235.000000000002</v>
      </c>
      <c r="I41" s="41">
        <f t="shared" si="13"/>
        <v>13495.689655172417</v>
      </c>
      <c r="J41" s="42">
        <v>4.2500000000000003E-2</v>
      </c>
      <c r="K41" s="41">
        <f t="shared" si="14"/>
        <v>16235.000000000002</v>
      </c>
      <c r="L41" s="41">
        <f t="shared" si="15"/>
        <v>13495.689655172417</v>
      </c>
      <c r="M41" s="41">
        <f t="shared" si="16"/>
        <v>0</v>
      </c>
      <c r="N41" s="36" t="s">
        <v>1866</v>
      </c>
      <c r="O41" s="37">
        <v>45506</v>
      </c>
      <c r="P41" s="44" t="s">
        <v>58</v>
      </c>
      <c r="Q41" s="38">
        <v>382000</v>
      </c>
      <c r="R41" s="33">
        <f t="shared" si="4"/>
        <v>2024.3534482758625</v>
      </c>
      <c r="S41" s="35">
        <f t="shared" si="2"/>
        <v>134.95689655172416</v>
      </c>
      <c r="T41" s="34">
        <v>500</v>
      </c>
    </row>
    <row r="42" spans="1:20" x14ac:dyDescent="0.25">
      <c r="A42" s="36" t="s">
        <v>169</v>
      </c>
      <c r="B42" s="36"/>
      <c r="C42" s="36" t="s">
        <v>50</v>
      </c>
      <c r="D42" s="39">
        <v>45506</v>
      </c>
      <c r="E42" s="39">
        <v>45871</v>
      </c>
      <c r="F42" s="36" t="s">
        <v>86</v>
      </c>
      <c r="G42" s="36" t="s">
        <v>62</v>
      </c>
      <c r="H42" s="41">
        <f>K42</f>
        <v>9550</v>
      </c>
      <c r="I42" s="41">
        <f>L42</f>
        <v>7732.7586206896558</v>
      </c>
      <c r="J42" s="42">
        <v>2.5000000000000001E-2</v>
      </c>
      <c r="K42" s="41">
        <f t="shared" ref="K42" si="17">Q42*J42</f>
        <v>9550</v>
      </c>
      <c r="L42" s="41">
        <f t="shared" ref="L42" si="18">K42/116%-T42</f>
        <v>7732.7586206896558</v>
      </c>
      <c r="M42" s="40"/>
      <c r="N42" s="36" t="s">
        <v>1867</v>
      </c>
      <c r="O42" s="37">
        <v>45506</v>
      </c>
      <c r="P42" s="44" t="s">
        <v>58</v>
      </c>
      <c r="Q42" s="38">
        <v>382000</v>
      </c>
      <c r="R42" s="33">
        <f t="shared" si="4"/>
        <v>1159.9137931034484</v>
      </c>
      <c r="S42" s="35">
        <f t="shared" si="2"/>
        <v>77.327586206896555</v>
      </c>
      <c r="T42" s="34">
        <v>500</v>
      </c>
    </row>
    <row r="43" spans="1:20" x14ac:dyDescent="0.25">
      <c r="A43" s="36" t="s">
        <v>170</v>
      </c>
      <c r="B43" s="36"/>
      <c r="C43" s="36" t="s">
        <v>32</v>
      </c>
      <c r="D43" s="39">
        <v>45506</v>
      </c>
      <c r="E43" s="39">
        <v>45871</v>
      </c>
      <c r="F43" s="36" t="s">
        <v>1170</v>
      </c>
      <c r="G43" s="36" t="s">
        <v>61</v>
      </c>
      <c r="H43" s="41">
        <f t="shared" ref="H43:H53" si="19">K43</f>
        <v>14960.000000000002</v>
      </c>
      <c r="I43" s="41">
        <f t="shared" ref="I43:I53" si="20">L43</f>
        <v>12396.551724137933</v>
      </c>
      <c r="J43" s="42">
        <v>4.2500000000000003E-2</v>
      </c>
      <c r="K43" s="41">
        <f t="shared" ref="K43:K53" si="21">Q43*J43</f>
        <v>14960.000000000002</v>
      </c>
      <c r="L43" s="41">
        <f t="shared" ref="L43:L53" si="22">K43/116%-T43</f>
        <v>12396.551724137933</v>
      </c>
      <c r="M43" s="41">
        <f t="shared" ref="M43:M53" si="23">K43-H43</f>
        <v>0</v>
      </c>
      <c r="N43" s="36" t="s">
        <v>1868</v>
      </c>
      <c r="O43" s="37">
        <v>45506</v>
      </c>
      <c r="P43" s="44" t="s">
        <v>58</v>
      </c>
      <c r="Q43" s="38">
        <v>352000</v>
      </c>
      <c r="R43" s="33">
        <f t="shared" si="4"/>
        <v>1859.4827586206898</v>
      </c>
      <c r="S43" s="35">
        <f t="shared" si="2"/>
        <v>123.96551724137933</v>
      </c>
      <c r="T43" s="34">
        <v>500</v>
      </c>
    </row>
    <row r="44" spans="1:20" x14ac:dyDescent="0.25">
      <c r="A44" s="36" t="s">
        <v>171</v>
      </c>
      <c r="B44" s="36"/>
      <c r="C44" s="36" t="s">
        <v>32</v>
      </c>
      <c r="D44" s="39">
        <v>45872</v>
      </c>
      <c r="E44" s="39">
        <v>46237</v>
      </c>
      <c r="F44" s="36" t="s">
        <v>1170</v>
      </c>
      <c r="G44" s="36" t="s">
        <v>61</v>
      </c>
      <c r="H44" s="41">
        <f t="shared" si="19"/>
        <v>14960.000000000002</v>
      </c>
      <c r="I44" s="41">
        <f t="shared" si="20"/>
        <v>12396.551724137933</v>
      </c>
      <c r="J44" s="42">
        <v>4.2500000000000003E-2</v>
      </c>
      <c r="K44" s="41">
        <f t="shared" si="21"/>
        <v>14960.000000000002</v>
      </c>
      <c r="L44" s="41">
        <f t="shared" si="22"/>
        <v>12396.551724137933</v>
      </c>
      <c r="M44" s="41">
        <f t="shared" si="23"/>
        <v>0</v>
      </c>
      <c r="N44" s="36" t="s">
        <v>1868</v>
      </c>
      <c r="O44" s="37">
        <v>45506</v>
      </c>
      <c r="P44" s="44" t="s">
        <v>58</v>
      </c>
      <c r="Q44" s="38">
        <v>352000</v>
      </c>
      <c r="R44" s="33">
        <f t="shared" si="4"/>
        <v>1859.4827586206898</v>
      </c>
      <c r="S44" s="35">
        <f t="shared" si="2"/>
        <v>123.96551724137933</v>
      </c>
      <c r="T44" s="34">
        <v>500</v>
      </c>
    </row>
    <row r="45" spans="1:20" x14ac:dyDescent="0.25">
      <c r="A45" s="36" t="s">
        <v>172</v>
      </c>
      <c r="B45" s="36"/>
      <c r="C45" s="36" t="s">
        <v>32</v>
      </c>
      <c r="D45" s="39">
        <v>45506</v>
      </c>
      <c r="E45" s="39">
        <v>45871</v>
      </c>
      <c r="F45" s="36" t="s">
        <v>1171</v>
      </c>
      <c r="G45" s="36" t="s">
        <v>63</v>
      </c>
      <c r="H45" s="41">
        <f t="shared" si="19"/>
        <v>23247.5</v>
      </c>
      <c r="I45" s="41">
        <f t="shared" si="20"/>
        <v>19540.948275862069</v>
      </c>
      <c r="J45" s="42">
        <v>4.2500000000000003E-2</v>
      </c>
      <c r="K45" s="41">
        <f t="shared" si="21"/>
        <v>23247.5</v>
      </c>
      <c r="L45" s="41">
        <f t="shared" si="22"/>
        <v>19540.948275862069</v>
      </c>
      <c r="M45" s="41">
        <f t="shared" si="23"/>
        <v>0</v>
      </c>
      <c r="N45" s="36" t="s">
        <v>1869</v>
      </c>
      <c r="O45" s="37">
        <v>45506</v>
      </c>
      <c r="P45" s="44" t="s">
        <v>58</v>
      </c>
      <c r="Q45" s="38">
        <v>547000</v>
      </c>
      <c r="R45" s="33">
        <f t="shared" si="4"/>
        <v>2931.1422413793102</v>
      </c>
      <c r="S45" s="35">
        <f t="shared" si="2"/>
        <v>195.4094827586207</v>
      </c>
      <c r="T45" s="34">
        <v>500</v>
      </c>
    </row>
    <row r="46" spans="1:20" x14ac:dyDescent="0.25">
      <c r="A46" s="36" t="s">
        <v>173</v>
      </c>
      <c r="B46" s="36"/>
      <c r="C46" s="36" t="s">
        <v>32</v>
      </c>
      <c r="D46" s="39">
        <v>45872</v>
      </c>
      <c r="E46" s="39">
        <v>46237</v>
      </c>
      <c r="F46" s="36" t="s">
        <v>1171</v>
      </c>
      <c r="G46" s="36" t="s">
        <v>63</v>
      </c>
      <c r="H46" s="41">
        <f t="shared" si="19"/>
        <v>23247.5</v>
      </c>
      <c r="I46" s="41">
        <f t="shared" si="20"/>
        <v>19540.948275862069</v>
      </c>
      <c r="J46" s="42">
        <v>4.2500000000000003E-2</v>
      </c>
      <c r="K46" s="41">
        <f t="shared" si="21"/>
        <v>23247.5</v>
      </c>
      <c r="L46" s="41">
        <f t="shared" si="22"/>
        <v>19540.948275862069</v>
      </c>
      <c r="M46" s="41">
        <f t="shared" si="23"/>
        <v>0</v>
      </c>
      <c r="N46" s="36" t="s">
        <v>1869</v>
      </c>
      <c r="O46" s="37">
        <v>45506</v>
      </c>
      <c r="P46" s="44" t="s">
        <v>58</v>
      </c>
      <c r="Q46" s="38">
        <v>547000</v>
      </c>
      <c r="R46" s="33">
        <f t="shared" si="4"/>
        <v>2931.1422413793102</v>
      </c>
      <c r="S46" s="35">
        <f t="shared" si="2"/>
        <v>195.4094827586207</v>
      </c>
      <c r="T46" s="34">
        <v>500</v>
      </c>
    </row>
    <row r="47" spans="1:20" x14ac:dyDescent="0.25">
      <c r="A47" s="36" t="s">
        <v>174</v>
      </c>
      <c r="B47" s="36"/>
      <c r="C47" s="36" t="s">
        <v>36</v>
      </c>
      <c r="D47" s="39">
        <v>45506</v>
      </c>
      <c r="E47" s="39">
        <v>45871</v>
      </c>
      <c r="F47" s="36" t="s">
        <v>1172</v>
      </c>
      <c r="G47" s="36" t="s">
        <v>62</v>
      </c>
      <c r="H47" s="41">
        <f t="shared" si="19"/>
        <v>16235.000000000002</v>
      </c>
      <c r="I47" s="41">
        <f t="shared" si="20"/>
        <v>13495.689655172417</v>
      </c>
      <c r="J47" s="42">
        <v>4.2500000000000003E-2</v>
      </c>
      <c r="K47" s="41">
        <f t="shared" si="21"/>
        <v>16235.000000000002</v>
      </c>
      <c r="L47" s="41">
        <f t="shared" si="22"/>
        <v>13495.689655172417</v>
      </c>
      <c r="M47" s="41">
        <f t="shared" si="23"/>
        <v>0</v>
      </c>
      <c r="N47" s="36" t="s">
        <v>1870</v>
      </c>
      <c r="O47" s="37">
        <v>45506</v>
      </c>
      <c r="P47" s="44" t="s">
        <v>58</v>
      </c>
      <c r="Q47" s="38">
        <v>382000</v>
      </c>
      <c r="R47" s="33">
        <f t="shared" si="4"/>
        <v>2024.3534482758625</v>
      </c>
      <c r="S47" s="35">
        <f t="shared" si="2"/>
        <v>134.95689655172416</v>
      </c>
      <c r="T47" s="34">
        <v>500</v>
      </c>
    </row>
    <row r="48" spans="1:20" x14ac:dyDescent="0.25">
      <c r="A48" s="36" t="s">
        <v>175</v>
      </c>
      <c r="B48" s="36"/>
      <c r="C48" s="36" t="s">
        <v>38</v>
      </c>
      <c r="D48" s="39">
        <v>45506</v>
      </c>
      <c r="E48" s="39">
        <v>45871</v>
      </c>
      <c r="F48" s="36" t="s">
        <v>1173</v>
      </c>
      <c r="G48" s="36" t="s">
        <v>62</v>
      </c>
      <c r="H48" s="41">
        <f t="shared" si="19"/>
        <v>16235.000000000002</v>
      </c>
      <c r="I48" s="41">
        <f t="shared" si="20"/>
        <v>13495.689655172417</v>
      </c>
      <c r="J48" s="42">
        <v>4.2500000000000003E-2</v>
      </c>
      <c r="K48" s="41">
        <f t="shared" si="21"/>
        <v>16235.000000000002</v>
      </c>
      <c r="L48" s="41">
        <f t="shared" si="22"/>
        <v>13495.689655172417</v>
      </c>
      <c r="M48" s="41">
        <f t="shared" si="23"/>
        <v>0</v>
      </c>
      <c r="N48" s="36" t="s">
        <v>1871</v>
      </c>
      <c r="O48" s="37">
        <v>45506</v>
      </c>
      <c r="P48" s="44" t="s">
        <v>58</v>
      </c>
      <c r="Q48" s="38">
        <v>382000</v>
      </c>
      <c r="R48" s="33">
        <f t="shared" si="4"/>
        <v>2024.3534482758625</v>
      </c>
      <c r="S48" s="35">
        <f t="shared" si="2"/>
        <v>134.95689655172416</v>
      </c>
      <c r="T48" s="34">
        <v>500</v>
      </c>
    </row>
    <row r="49" spans="1:20" x14ac:dyDescent="0.25">
      <c r="A49" s="36" t="s">
        <v>176</v>
      </c>
      <c r="B49" s="36"/>
      <c r="C49" s="36" t="s">
        <v>38</v>
      </c>
      <c r="D49" s="39">
        <v>45872</v>
      </c>
      <c r="E49" s="39">
        <v>46237</v>
      </c>
      <c r="F49" s="36" t="s">
        <v>1173</v>
      </c>
      <c r="G49" s="36" t="s">
        <v>62</v>
      </c>
      <c r="H49" s="41">
        <f t="shared" si="19"/>
        <v>16235.000000000002</v>
      </c>
      <c r="I49" s="41">
        <f t="shared" si="20"/>
        <v>13495.689655172417</v>
      </c>
      <c r="J49" s="42">
        <v>4.2500000000000003E-2</v>
      </c>
      <c r="K49" s="41">
        <f t="shared" si="21"/>
        <v>16235.000000000002</v>
      </c>
      <c r="L49" s="41">
        <f t="shared" si="22"/>
        <v>13495.689655172417</v>
      </c>
      <c r="M49" s="41">
        <f t="shared" si="23"/>
        <v>0</v>
      </c>
      <c r="N49" s="36" t="s">
        <v>1871</v>
      </c>
      <c r="O49" s="37">
        <v>45506</v>
      </c>
      <c r="P49" s="44" t="s">
        <v>58</v>
      </c>
      <c r="Q49" s="38">
        <v>382000</v>
      </c>
      <c r="R49" s="33">
        <f t="shared" si="4"/>
        <v>2024.3534482758625</v>
      </c>
      <c r="S49" s="35">
        <f t="shared" si="2"/>
        <v>134.95689655172416</v>
      </c>
      <c r="T49" s="34">
        <v>500</v>
      </c>
    </row>
    <row r="50" spans="1:20" x14ac:dyDescent="0.25">
      <c r="A50" s="36" t="s">
        <v>177</v>
      </c>
      <c r="B50" s="36"/>
      <c r="C50" s="36" t="s">
        <v>33</v>
      </c>
      <c r="D50" s="39">
        <v>45506</v>
      </c>
      <c r="E50" s="39">
        <v>45871</v>
      </c>
      <c r="F50" s="36" t="s">
        <v>1174</v>
      </c>
      <c r="G50" s="36" t="s">
        <v>61</v>
      </c>
      <c r="H50" s="41">
        <f t="shared" si="19"/>
        <v>14960.000000000002</v>
      </c>
      <c r="I50" s="41">
        <f t="shared" si="20"/>
        <v>12396.551724137933</v>
      </c>
      <c r="J50" s="42">
        <v>4.2500000000000003E-2</v>
      </c>
      <c r="K50" s="41">
        <f t="shared" si="21"/>
        <v>14960.000000000002</v>
      </c>
      <c r="L50" s="41">
        <f t="shared" si="22"/>
        <v>12396.551724137933</v>
      </c>
      <c r="M50" s="41">
        <f t="shared" si="23"/>
        <v>0</v>
      </c>
      <c r="N50" s="36" t="s">
        <v>1872</v>
      </c>
      <c r="O50" s="37">
        <v>45506</v>
      </c>
      <c r="P50" s="44" t="s">
        <v>58</v>
      </c>
      <c r="Q50" s="38">
        <v>352000</v>
      </c>
      <c r="R50" s="33">
        <f t="shared" si="4"/>
        <v>1859.4827586206898</v>
      </c>
      <c r="S50" s="35">
        <f t="shared" si="2"/>
        <v>123.96551724137933</v>
      </c>
      <c r="T50" s="34">
        <v>500</v>
      </c>
    </row>
    <row r="51" spans="1:20" x14ac:dyDescent="0.25">
      <c r="A51" s="36" t="s">
        <v>178</v>
      </c>
      <c r="B51" s="36"/>
      <c r="C51" s="36" t="s">
        <v>33</v>
      </c>
      <c r="D51" s="39">
        <v>45872</v>
      </c>
      <c r="E51" s="39">
        <v>46237</v>
      </c>
      <c r="F51" s="36" t="s">
        <v>1174</v>
      </c>
      <c r="G51" s="36" t="s">
        <v>61</v>
      </c>
      <c r="H51" s="41">
        <f t="shared" si="19"/>
        <v>14960.000000000002</v>
      </c>
      <c r="I51" s="41">
        <f t="shared" si="20"/>
        <v>12396.551724137933</v>
      </c>
      <c r="J51" s="42">
        <v>4.2500000000000003E-2</v>
      </c>
      <c r="K51" s="41">
        <f t="shared" si="21"/>
        <v>14960.000000000002</v>
      </c>
      <c r="L51" s="41">
        <f t="shared" si="22"/>
        <v>12396.551724137933</v>
      </c>
      <c r="M51" s="41">
        <f t="shared" si="23"/>
        <v>0</v>
      </c>
      <c r="N51" s="36" t="s">
        <v>1872</v>
      </c>
      <c r="O51" s="37">
        <v>45506</v>
      </c>
      <c r="P51" s="44" t="s">
        <v>58</v>
      </c>
      <c r="Q51" s="38">
        <v>352000</v>
      </c>
      <c r="R51" s="33">
        <f t="shared" si="4"/>
        <v>1859.4827586206898</v>
      </c>
      <c r="S51" s="35">
        <f t="shared" si="2"/>
        <v>123.96551724137933</v>
      </c>
      <c r="T51" s="34">
        <v>500</v>
      </c>
    </row>
    <row r="52" spans="1:20" x14ac:dyDescent="0.25">
      <c r="A52" s="36" t="s">
        <v>179</v>
      </c>
      <c r="B52" s="36"/>
      <c r="C52" s="36" t="s">
        <v>32</v>
      </c>
      <c r="D52" s="39">
        <v>45506</v>
      </c>
      <c r="E52" s="39">
        <v>45871</v>
      </c>
      <c r="F52" s="36" t="s">
        <v>1175</v>
      </c>
      <c r="G52" s="36" t="s">
        <v>63</v>
      </c>
      <c r="H52" s="41">
        <f t="shared" si="19"/>
        <v>23247.5</v>
      </c>
      <c r="I52" s="41">
        <f t="shared" si="20"/>
        <v>19540.948275862069</v>
      </c>
      <c r="J52" s="42">
        <v>4.2500000000000003E-2</v>
      </c>
      <c r="K52" s="41">
        <f t="shared" si="21"/>
        <v>23247.5</v>
      </c>
      <c r="L52" s="41">
        <f t="shared" si="22"/>
        <v>19540.948275862069</v>
      </c>
      <c r="M52" s="41">
        <f t="shared" si="23"/>
        <v>0</v>
      </c>
      <c r="N52" s="36" t="s">
        <v>1873</v>
      </c>
      <c r="O52" s="37">
        <v>45506</v>
      </c>
      <c r="P52" s="44" t="s">
        <v>58</v>
      </c>
      <c r="Q52" s="38">
        <v>547000</v>
      </c>
      <c r="R52" s="33">
        <f t="shared" si="4"/>
        <v>2931.1422413793102</v>
      </c>
      <c r="S52" s="35">
        <f t="shared" si="2"/>
        <v>195.4094827586207</v>
      </c>
      <c r="T52" s="34">
        <v>500</v>
      </c>
    </row>
    <row r="53" spans="1:20" x14ac:dyDescent="0.25">
      <c r="A53" s="36" t="s">
        <v>180</v>
      </c>
      <c r="B53" s="36"/>
      <c r="C53" s="36" t="s">
        <v>32</v>
      </c>
      <c r="D53" s="39">
        <v>45872</v>
      </c>
      <c r="E53" s="39">
        <v>46237</v>
      </c>
      <c r="F53" s="36" t="s">
        <v>1175</v>
      </c>
      <c r="G53" s="36" t="s">
        <v>63</v>
      </c>
      <c r="H53" s="41">
        <f t="shared" si="19"/>
        <v>23247.5</v>
      </c>
      <c r="I53" s="41">
        <f t="shared" si="20"/>
        <v>19540.948275862069</v>
      </c>
      <c r="J53" s="42">
        <v>4.2500000000000003E-2</v>
      </c>
      <c r="K53" s="41">
        <f t="shared" si="21"/>
        <v>23247.5</v>
      </c>
      <c r="L53" s="41">
        <f t="shared" si="22"/>
        <v>19540.948275862069</v>
      </c>
      <c r="M53" s="41">
        <f t="shared" si="23"/>
        <v>0</v>
      </c>
      <c r="N53" s="36" t="s">
        <v>1873</v>
      </c>
      <c r="O53" s="37">
        <v>45506</v>
      </c>
      <c r="P53" s="44" t="s">
        <v>58</v>
      </c>
      <c r="Q53" s="38">
        <v>547000</v>
      </c>
      <c r="R53" s="33">
        <f t="shared" si="4"/>
        <v>2931.1422413793102</v>
      </c>
      <c r="S53" s="35">
        <f t="shared" si="2"/>
        <v>195.4094827586207</v>
      </c>
      <c r="T53" s="34">
        <v>500</v>
      </c>
    </row>
    <row r="54" spans="1:20" x14ac:dyDescent="0.25">
      <c r="A54" s="36" t="s">
        <v>181</v>
      </c>
      <c r="B54" s="36"/>
      <c r="C54" s="36" t="s">
        <v>92</v>
      </c>
      <c r="D54" s="39">
        <v>45506</v>
      </c>
      <c r="E54" s="39">
        <v>45871</v>
      </c>
      <c r="F54" s="36" t="s">
        <v>1176</v>
      </c>
      <c r="G54" s="36" t="s">
        <v>63</v>
      </c>
      <c r="H54" s="41">
        <f>K54</f>
        <v>13675</v>
      </c>
      <c r="I54" s="41">
        <f>L54</f>
        <v>11288.793103448277</v>
      </c>
      <c r="J54" s="42">
        <v>2.5000000000000001E-2</v>
      </c>
      <c r="K54" s="41">
        <f t="shared" ref="K54" si="24">Q54*J54</f>
        <v>13675</v>
      </c>
      <c r="L54" s="41">
        <f t="shared" ref="L54" si="25">K54/116%-T54</f>
        <v>11288.793103448277</v>
      </c>
      <c r="M54" s="40"/>
      <c r="N54" s="36" t="s">
        <v>1874</v>
      </c>
      <c r="O54" s="37">
        <v>45506</v>
      </c>
      <c r="P54" s="44" t="s">
        <v>58</v>
      </c>
      <c r="Q54" s="38">
        <v>547000</v>
      </c>
      <c r="R54" s="33">
        <f t="shared" si="4"/>
        <v>1693.3189655172414</v>
      </c>
      <c r="S54" s="35">
        <f t="shared" si="2"/>
        <v>112.88793103448278</v>
      </c>
      <c r="T54" s="34">
        <v>500</v>
      </c>
    </row>
    <row r="55" spans="1:20" x14ac:dyDescent="0.25">
      <c r="A55" s="36" t="s">
        <v>182</v>
      </c>
      <c r="B55" s="36"/>
      <c r="C55" s="36" t="s">
        <v>32</v>
      </c>
      <c r="D55" s="39">
        <v>45506</v>
      </c>
      <c r="E55" s="39">
        <v>45871</v>
      </c>
      <c r="F55" s="36" t="s">
        <v>1177</v>
      </c>
      <c r="G55" s="36" t="s">
        <v>63</v>
      </c>
      <c r="H55" s="41">
        <f t="shared" ref="H55:H66" si="26">K55</f>
        <v>23247.5</v>
      </c>
      <c r="I55" s="41">
        <f t="shared" ref="I55:I66" si="27">L55</f>
        <v>19540.948275862069</v>
      </c>
      <c r="J55" s="42">
        <v>4.2500000000000003E-2</v>
      </c>
      <c r="K55" s="41">
        <f t="shared" ref="K55:K66" si="28">Q55*J55</f>
        <v>23247.5</v>
      </c>
      <c r="L55" s="41">
        <f t="shared" ref="L55:L66" si="29">K55/116%-T55</f>
        <v>19540.948275862069</v>
      </c>
      <c r="M55" s="41">
        <f t="shared" ref="M55:M66" si="30">K55-H55</f>
        <v>0</v>
      </c>
      <c r="N55" s="36" t="s">
        <v>1875</v>
      </c>
      <c r="O55" s="37">
        <v>45506</v>
      </c>
      <c r="P55" s="44" t="s">
        <v>58</v>
      </c>
      <c r="Q55" s="38">
        <v>547000</v>
      </c>
      <c r="R55" s="33">
        <f t="shared" si="4"/>
        <v>2931.1422413793102</v>
      </c>
      <c r="S55" s="35">
        <f t="shared" si="2"/>
        <v>195.4094827586207</v>
      </c>
      <c r="T55" s="34">
        <v>500</v>
      </c>
    </row>
    <row r="56" spans="1:20" x14ac:dyDescent="0.25">
      <c r="A56" s="36" t="s">
        <v>183</v>
      </c>
      <c r="B56" s="36"/>
      <c r="C56" s="36" t="s">
        <v>32</v>
      </c>
      <c r="D56" s="39">
        <v>45872</v>
      </c>
      <c r="E56" s="39">
        <v>46237</v>
      </c>
      <c r="F56" s="36" t="s">
        <v>1177</v>
      </c>
      <c r="G56" s="36" t="s">
        <v>63</v>
      </c>
      <c r="H56" s="41">
        <f t="shared" si="26"/>
        <v>23247.5</v>
      </c>
      <c r="I56" s="41">
        <f t="shared" si="27"/>
        <v>19540.948275862069</v>
      </c>
      <c r="J56" s="42">
        <v>4.2500000000000003E-2</v>
      </c>
      <c r="K56" s="41">
        <f t="shared" si="28"/>
        <v>23247.5</v>
      </c>
      <c r="L56" s="41">
        <f t="shared" si="29"/>
        <v>19540.948275862069</v>
      </c>
      <c r="M56" s="41">
        <f t="shared" si="30"/>
        <v>0</v>
      </c>
      <c r="N56" s="36" t="s">
        <v>1875</v>
      </c>
      <c r="O56" s="37">
        <v>45506</v>
      </c>
      <c r="P56" s="44" t="s">
        <v>58</v>
      </c>
      <c r="Q56" s="38">
        <v>547000</v>
      </c>
      <c r="R56" s="33">
        <f t="shared" si="4"/>
        <v>2931.1422413793102</v>
      </c>
      <c r="S56" s="35">
        <f t="shared" si="2"/>
        <v>195.4094827586207</v>
      </c>
      <c r="T56" s="34">
        <v>500</v>
      </c>
    </row>
    <row r="57" spans="1:20" x14ac:dyDescent="0.25">
      <c r="A57" s="36" t="s">
        <v>184</v>
      </c>
      <c r="B57" s="36"/>
      <c r="C57" s="36" t="s">
        <v>38</v>
      </c>
      <c r="D57" s="39">
        <v>45506</v>
      </c>
      <c r="E57" s="39">
        <v>45871</v>
      </c>
      <c r="F57" s="36" t="s">
        <v>1178</v>
      </c>
      <c r="G57" s="36" t="s">
        <v>63</v>
      </c>
      <c r="H57" s="41">
        <f t="shared" si="26"/>
        <v>23247.5</v>
      </c>
      <c r="I57" s="41">
        <f t="shared" si="27"/>
        <v>19540.948275862069</v>
      </c>
      <c r="J57" s="42">
        <v>4.2500000000000003E-2</v>
      </c>
      <c r="K57" s="41">
        <f t="shared" si="28"/>
        <v>23247.5</v>
      </c>
      <c r="L57" s="41">
        <f t="shared" si="29"/>
        <v>19540.948275862069</v>
      </c>
      <c r="M57" s="41">
        <f t="shared" si="30"/>
        <v>0</v>
      </c>
      <c r="N57" s="36" t="s">
        <v>1876</v>
      </c>
      <c r="O57" s="37">
        <v>45506</v>
      </c>
      <c r="P57" s="44" t="s">
        <v>58</v>
      </c>
      <c r="Q57" s="38">
        <v>547000</v>
      </c>
      <c r="R57" s="33">
        <f t="shared" si="4"/>
        <v>2931.1422413793102</v>
      </c>
      <c r="S57" s="35">
        <f t="shared" si="2"/>
        <v>195.4094827586207</v>
      </c>
      <c r="T57" s="34">
        <v>500</v>
      </c>
    </row>
    <row r="58" spans="1:20" x14ac:dyDescent="0.25">
      <c r="A58" s="36" t="s">
        <v>185</v>
      </c>
      <c r="B58" s="36"/>
      <c r="C58" s="36" t="s">
        <v>38</v>
      </c>
      <c r="D58" s="39">
        <v>45872</v>
      </c>
      <c r="E58" s="39">
        <v>46237</v>
      </c>
      <c r="F58" s="36" t="s">
        <v>1178</v>
      </c>
      <c r="G58" s="36" t="s">
        <v>63</v>
      </c>
      <c r="H58" s="41">
        <f t="shared" si="26"/>
        <v>23247.5</v>
      </c>
      <c r="I58" s="41">
        <f t="shared" si="27"/>
        <v>19540.948275862069</v>
      </c>
      <c r="J58" s="42">
        <v>4.2500000000000003E-2</v>
      </c>
      <c r="K58" s="41">
        <f t="shared" si="28"/>
        <v>23247.5</v>
      </c>
      <c r="L58" s="41">
        <f t="shared" si="29"/>
        <v>19540.948275862069</v>
      </c>
      <c r="M58" s="41">
        <f t="shared" si="30"/>
        <v>0</v>
      </c>
      <c r="N58" s="36" t="s">
        <v>1876</v>
      </c>
      <c r="O58" s="37">
        <v>45506</v>
      </c>
      <c r="P58" s="44" t="s">
        <v>58</v>
      </c>
      <c r="Q58" s="38">
        <v>547000</v>
      </c>
      <c r="R58" s="33">
        <f t="shared" si="4"/>
        <v>2931.1422413793102</v>
      </c>
      <c r="S58" s="35">
        <f t="shared" si="2"/>
        <v>195.4094827586207</v>
      </c>
      <c r="T58" s="34">
        <v>500</v>
      </c>
    </row>
    <row r="59" spans="1:20" x14ac:dyDescent="0.25">
      <c r="A59" s="36" t="s">
        <v>186</v>
      </c>
      <c r="B59" s="36"/>
      <c r="C59" s="36" t="s">
        <v>31</v>
      </c>
      <c r="D59" s="39">
        <v>45506</v>
      </c>
      <c r="E59" s="39">
        <v>45871</v>
      </c>
      <c r="F59" s="36" t="s">
        <v>69</v>
      </c>
      <c r="G59" s="36" t="s">
        <v>61</v>
      </c>
      <c r="H59" s="41">
        <f t="shared" si="26"/>
        <v>14960.000000000002</v>
      </c>
      <c r="I59" s="41">
        <f t="shared" si="27"/>
        <v>12396.551724137933</v>
      </c>
      <c r="J59" s="42">
        <v>4.2500000000000003E-2</v>
      </c>
      <c r="K59" s="41">
        <f t="shared" si="28"/>
        <v>14960.000000000002</v>
      </c>
      <c r="L59" s="41">
        <f t="shared" si="29"/>
        <v>12396.551724137933</v>
      </c>
      <c r="M59" s="41">
        <f t="shared" si="30"/>
        <v>0</v>
      </c>
      <c r="N59" s="36" t="s">
        <v>1877</v>
      </c>
      <c r="O59" s="37">
        <v>45506</v>
      </c>
      <c r="P59" s="44" t="s">
        <v>58</v>
      </c>
      <c r="Q59" s="38">
        <v>352000</v>
      </c>
      <c r="R59" s="33">
        <f t="shared" si="4"/>
        <v>1859.4827586206898</v>
      </c>
      <c r="S59" s="35">
        <f t="shared" si="2"/>
        <v>123.96551724137933</v>
      </c>
      <c r="T59" s="34">
        <v>500</v>
      </c>
    </row>
    <row r="60" spans="1:20" x14ac:dyDescent="0.25">
      <c r="A60" s="36" t="s">
        <v>187</v>
      </c>
      <c r="B60" s="36"/>
      <c r="C60" s="36" t="s">
        <v>38</v>
      </c>
      <c r="D60" s="39">
        <v>45506</v>
      </c>
      <c r="E60" s="39">
        <v>45871</v>
      </c>
      <c r="F60" s="36" t="s">
        <v>1179</v>
      </c>
      <c r="G60" s="36" t="s">
        <v>61</v>
      </c>
      <c r="H60" s="41">
        <f t="shared" si="26"/>
        <v>14960.000000000002</v>
      </c>
      <c r="I60" s="41">
        <f t="shared" si="27"/>
        <v>12396.551724137933</v>
      </c>
      <c r="J60" s="42">
        <v>4.2500000000000003E-2</v>
      </c>
      <c r="K60" s="41">
        <f t="shared" si="28"/>
        <v>14960.000000000002</v>
      </c>
      <c r="L60" s="41">
        <f t="shared" si="29"/>
        <v>12396.551724137933</v>
      </c>
      <c r="M60" s="41">
        <f t="shared" si="30"/>
        <v>0</v>
      </c>
      <c r="N60" s="36" t="s">
        <v>1878</v>
      </c>
      <c r="O60" s="37">
        <v>45506</v>
      </c>
      <c r="P60" s="44" t="s">
        <v>58</v>
      </c>
      <c r="Q60" s="38">
        <v>352000</v>
      </c>
      <c r="R60" s="33">
        <f t="shared" si="4"/>
        <v>1859.4827586206898</v>
      </c>
      <c r="S60" s="35">
        <f t="shared" si="2"/>
        <v>123.96551724137933</v>
      </c>
      <c r="T60" s="34">
        <v>500</v>
      </c>
    </row>
    <row r="61" spans="1:20" x14ac:dyDescent="0.25">
      <c r="A61" s="36" t="s">
        <v>188</v>
      </c>
      <c r="B61" s="36"/>
      <c r="C61" s="36" t="s">
        <v>38</v>
      </c>
      <c r="D61" s="39">
        <v>45872</v>
      </c>
      <c r="E61" s="39">
        <v>46237</v>
      </c>
      <c r="F61" s="36" t="s">
        <v>1179</v>
      </c>
      <c r="G61" s="36" t="s">
        <v>61</v>
      </c>
      <c r="H61" s="41">
        <f t="shared" si="26"/>
        <v>14960.000000000002</v>
      </c>
      <c r="I61" s="41">
        <f t="shared" si="27"/>
        <v>12396.551724137933</v>
      </c>
      <c r="J61" s="42">
        <v>4.2500000000000003E-2</v>
      </c>
      <c r="K61" s="41">
        <f t="shared" si="28"/>
        <v>14960.000000000002</v>
      </c>
      <c r="L61" s="41">
        <f t="shared" si="29"/>
        <v>12396.551724137933</v>
      </c>
      <c r="M61" s="41">
        <f t="shared" si="30"/>
        <v>0</v>
      </c>
      <c r="N61" s="36" t="s">
        <v>1878</v>
      </c>
      <c r="O61" s="37">
        <v>45506</v>
      </c>
      <c r="P61" s="44" t="s">
        <v>58</v>
      </c>
      <c r="Q61" s="38">
        <v>352000</v>
      </c>
      <c r="R61" s="33">
        <f t="shared" si="4"/>
        <v>1859.4827586206898</v>
      </c>
      <c r="S61" s="35">
        <f t="shared" si="2"/>
        <v>123.96551724137933</v>
      </c>
      <c r="T61" s="34">
        <v>500</v>
      </c>
    </row>
    <row r="62" spans="1:20" x14ac:dyDescent="0.25">
      <c r="A62" s="36" t="s">
        <v>189</v>
      </c>
      <c r="B62" s="36"/>
      <c r="C62" s="36" t="s">
        <v>31</v>
      </c>
      <c r="D62" s="39">
        <v>45506</v>
      </c>
      <c r="E62" s="39">
        <v>45871</v>
      </c>
      <c r="F62" s="36" t="s">
        <v>1180</v>
      </c>
      <c r="G62" s="36" t="s">
        <v>61</v>
      </c>
      <c r="H62" s="41">
        <f t="shared" si="26"/>
        <v>14960.000000000002</v>
      </c>
      <c r="I62" s="41">
        <f t="shared" si="27"/>
        <v>12396.551724137933</v>
      </c>
      <c r="J62" s="42">
        <v>4.2500000000000003E-2</v>
      </c>
      <c r="K62" s="41">
        <f t="shared" si="28"/>
        <v>14960.000000000002</v>
      </c>
      <c r="L62" s="41">
        <f t="shared" si="29"/>
        <v>12396.551724137933</v>
      </c>
      <c r="M62" s="41">
        <f t="shared" si="30"/>
        <v>0</v>
      </c>
      <c r="N62" s="36" t="s">
        <v>1879</v>
      </c>
      <c r="O62" s="37">
        <v>45506</v>
      </c>
      <c r="P62" s="44" t="s">
        <v>58</v>
      </c>
      <c r="Q62" s="38">
        <v>352000</v>
      </c>
      <c r="R62" s="33">
        <f t="shared" si="4"/>
        <v>1859.4827586206898</v>
      </c>
      <c r="S62" s="35">
        <f t="shared" si="2"/>
        <v>123.96551724137933</v>
      </c>
      <c r="T62" s="34">
        <v>500</v>
      </c>
    </row>
    <row r="63" spans="1:20" x14ac:dyDescent="0.25">
      <c r="A63" s="36" t="s">
        <v>190</v>
      </c>
      <c r="B63" s="36"/>
      <c r="C63" s="36" t="s">
        <v>31</v>
      </c>
      <c r="D63" s="39">
        <v>45872</v>
      </c>
      <c r="E63" s="39">
        <v>46237</v>
      </c>
      <c r="F63" s="36" t="s">
        <v>1180</v>
      </c>
      <c r="G63" s="36" t="s">
        <v>61</v>
      </c>
      <c r="H63" s="41">
        <f t="shared" si="26"/>
        <v>14960.000000000002</v>
      </c>
      <c r="I63" s="41">
        <f t="shared" si="27"/>
        <v>12396.551724137933</v>
      </c>
      <c r="J63" s="42">
        <v>4.2500000000000003E-2</v>
      </c>
      <c r="K63" s="41">
        <f t="shared" si="28"/>
        <v>14960.000000000002</v>
      </c>
      <c r="L63" s="41">
        <f t="shared" si="29"/>
        <v>12396.551724137933</v>
      </c>
      <c r="M63" s="41">
        <f t="shared" si="30"/>
        <v>0</v>
      </c>
      <c r="N63" s="36" t="s">
        <v>1879</v>
      </c>
      <c r="O63" s="37">
        <v>45506</v>
      </c>
      <c r="P63" s="44" t="s">
        <v>58</v>
      </c>
      <c r="Q63" s="38">
        <v>352000</v>
      </c>
      <c r="R63" s="33">
        <f t="shared" si="4"/>
        <v>1859.4827586206898</v>
      </c>
      <c r="S63" s="35">
        <f t="shared" si="2"/>
        <v>123.96551724137933</v>
      </c>
      <c r="T63" s="34">
        <v>500</v>
      </c>
    </row>
    <row r="64" spans="1:20" x14ac:dyDescent="0.25">
      <c r="A64" s="36" t="s">
        <v>191</v>
      </c>
      <c r="B64" s="36"/>
      <c r="C64" s="36" t="s">
        <v>31</v>
      </c>
      <c r="D64" s="39">
        <v>45506</v>
      </c>
      <c r="E64" s="39">
        <v>45871</v>
      </c>
      <c r="F64" s="36" t="s">
        <v>1181</v>
      </c>
      <c r="G64" s="36" t="s">
        <v>61</v>
      </c>
      <c r="H64" s="41">
        <f t="shared" si="26"/>
        <v>14960.000000000002</v>
      </c>
      <c r="I64" s="41">
        <f t="shared" si="27"/>
        <v>12396.551724137933</v>
      </c>
      <c r="J64" s="42">
        <v>4.2500000000000003E-2</v>
      </c>
      <c r="K64" s="41">
        <f t="shared" si="28"/>
        <v>14960.000000000002</v>
      </c>
      <c r="L64" s="41">
        <f t="shared" si="29"/>
        <v>12396.551724137933</v>
      </c>
      <c r="M64" s="41">
        <f t="shared" si="30"/>
        <v>0</v>
      </c>
      <c r="N64" s="36" t="s">
        <v>1880</v>
      </c>
      <c r="O64" s="37">
        <v>45506</v>
      </c>
      <c r="P64" s="44" t="s">
        <v>58</v>
      </c>
      <c r="Q64" s="38">
        <v>352000</v>
      </c>
      <c r="R64" s="33">
        <f t="shared" si="4"/>
        <v>1859.4827586206898</v>
      </c>
      <c r="S64" s="35">
        <f t="shared" si="2"/>
        <v>123.96551724137933</v>
      </c>
      <c r="T64" s="34">
        <v>500</v>
      </c>
    </row>
    <row r="65" spans="1:20" x14ac:dyDescent="0.25">
      <c r="A65" s="36" t="s">
        <v>192</v>
      </c>
      <c r="B65" s="36"/>
      <c r="C65" s="36" t="s">
        <v>38</v>
      </c>
      <c r="D65" s="39">
        <v>45506</v>
      </c>
      <c r="E65" s="39">
        <v>45871</v>
      </c>
      <c r="F65" s="36" t="s">
        <v>1182</v>
      </c>
      <c r="G65" s="36" t="s">
        <v>63</v>
      </c>
      <c r="H65" s="41">
        <f t="shared" si="26"/>
        <v>23247.5</v>
      </c>
      <c r="I65" s="41">
        <f t="shared" si="27"/>
        <v>19540.948275862069</v>
      </c>
      <c r="J65" s="42">
        <v>4.2500000000000003E-2</v>
      </c>
      <c r="K65" s="41">
        <f t="shared" si="28"/>
        <v>23247.5</v>
      </c>
      <c r="L65" s="41">
        <f t="shared" si="29"/>
        <v>19540.948275862069</v>
      </c>
      <c r="M65" s="41">
        <f t="shared" si="30"/>
        <v>0</v>
      </c>
      <c r="N65" s="36" t="s">
        <v>1881</v>
      </c>
      <c r="O65" s="37">
        <v>45506</v>
      </c>
      <c r="P65" s="44" t="s">
        <v>58</v>
      </c>
      <c r="Q65" s="38">
        <v>547000</v>
      </c>
      <c r="R65" s="33">
        <f t="shared" si="4"/>
        <v>2931.1422413793102</v>
      </c>
      <c r="S65" s="35">
        <f t="shared" si="2"/>
        <v>195.4094827586207</v>
      </c>
      <c r="T65" s="34">
        <v>500</v>
      </c>
    </row>
    <row r="66" spans="1:20" x14ac:dyDescent="0.25">
      <c r="A66" s="36" t="s">
        <v>193</v>
      </c>
      <c r="B66" s="36"/>
      <c r="C66" s="36" t="s">
        <v>38</v>
      </c>
      <c r="D66" s="39">
        <v>45872</v>
      </c>
      <c r="E66" s="39">
        <v>46237</v>
      </c>
      <c r="F66" s="36" t="s">
        <v>1182</v>
      </c>
      <c r="G66" s="36" t="s">
        <v>63</v>
      </c>
      <c r="H66" s="41">
        <f t="shared" si="26"/>
        <v>23247.5</v>
      </c>
      <c r="I66" s="41">
        <f t="shared" si="27"/>
        <v>19540.948275862069</v>
      </c>
      <c r="J66" s="42">
        <v>4.2500000000000003E-2</v>
      </c>
      <c r="K66" s="41">
        <f t="shared" si="28"/>
        <v>23247.5</v>
      </c>
      <c r="L66" s="41">
        <f t="shared" si="29"/>
        <v>19540.948275862069</v>
      </c>
      <c r="M66" s="41">
        <f t="shared" si="30"/>
        <v>0</v>
      </c>
      <c r="N66" s="36" t="s">
        <v>1881</v>
      </c>
      <c r="O66" s="37">
        <v>45506</v>
      </c>
      <c r="P66" s="44" t="s">
        <v>58</v>
      </c>
      <c r="Q66" s="38">
        <v>547000</v>
      </c>
      <c r="R66" s="33">
        <f t="shared" si="4"/>
        <v>2931.1422413793102</v>
      </c>
      <c r="S66" s="35">
        <f t="shared" si="2"/>
        <v>195.4094827586207</v>
      </c>
      <c r="T66" s="34">
        <v>500</v>
      </c>
    </row>
    <row r="67" spans="1:20" x14ac:dyDescent="0.25">
      <c r="A67" s="36" t="s">
        <v>194</v>
      </c>
      <c r="B67" s="36"/>
      <c r="C67" s="36" t="s">
        <v>71</v>
      </c>
      <c r="D67" s="39">
        <v>45507</v>
      </c>
      <c r="E67" s="39">
        <v>45872</v>
      </c>
      <c r="F67" s="36" t="s">
        <v>1183</v>
      </c>
      <c r="G67" s="36" t="s">
        <v>61</v>
      </c>
      <c r="H67" s="41">
        <f>K67</f>
        <v>8800</v>
      </c>
      <c r="I67" s="41">
        <f>L67</f>
        <v>7086.2068965517246</v>
      </c>
      <c r="J67" s="42">
        <v>2.5000000000000001E-2</v>
      </c>
      <c r="K67" s="41">
        <f t="shared" ref="K67" si="31">Q67*J67</f>
        <v>8800</v>
      </c>
      <c r="L67" s="41">
        <f t="shared" ref="L67" si="32">K67/116%-T67</f>
        <v>7086.2068965517246</v>
      </c>
      <c r="M67" s="40"/>
      <c r="N67" s="36" t="s">
        <v>1882</v>
      </c>
      <c r="O67" s="37">
        <v>45507</v>
      </c>
      <c r="P67" s="44" t="s">
        <v>58</v>
      </c>
      <c r="Q67" s="38">
        <v>352000</v>
      </c>
      <c r="R67" s="33">
        <f t="shared" si="4"/>
        <v>1062.9310344827586</v>
      </c>
      <c r="S67" s="35">
        <f t="shared" ref="S67:S130" si="33">I67*1/100</f>
        <v>70.862068965517253</v>
      </c>
      <c r="T67" s="34">
        <v>500</v>
      </c>
    </row>
    <row r="68" spans="1:20" x14ac:dyDescent="0.25">
      <c r="A68" s="36" t="s">
        <v>195</v>
      </c>
      <c r="B68" s="36"/>
      <c r="C68" s="36" t="s">
        <v>36</v>
      </c>
      <c r="D68" s="39">
        <v>45507</v>
      </c>
      <c r="E68" s="39">
        <v>45872</v>
      </c>
      <c r="F68" s="36" t="s">
        <v>1184</v>
      </c>
      <c r="G68" s="36" t="s">
        <v>65</v>
      </c>
      <c r="H68" s="41">
        <f t="shared" ref="H68:I71" si="34">K68</f>
        <v>16235.000000000002</v>
      </c>
      <c r="I68" s="41">
        <f t="shared" si="34"/>
        <v>13495.689655172417</v>
      </c>
      <c r="J68" s="42">
        <v>4.2500000000000003E-2</v>
      </c>
      <c r="K68" s="41">
        <f t="shared" ref="K68:K71" si="35">Q68*J68</f>
        <v>16235.000000000002</v>
      </c>
      <c r="L68" s="41">
        <f t="shared" ref="L68:L71" si="36">K68/116%-T68</f>
        <v>13495.689655172417</v>
      </c>
      <c r="M68" s="41">
        <f t="shared" ref="M68:M71" si="37">K68-H68</f>
        <v>0</v>
      </c>
      <c r="N68" s="36" t="s">
        <v>1883</v>
      </c>
      <c r="O68" s="37">
        <v>45507</v>
      </c>
      <c r="P68" s="44" t="s">
        <v>58</v>
      </c>
      <c r="Q68" s="38">
        <v>382000</v>
      </c>
      <c r="R68" s="33">
        <f t="shared" ref="R68:R131" si="38">I68*15/100</f>
        <v>2024.3534482758625</v>
      </c>
      <c r="S68" s="35">
        <f t="shared" si="33"/>
        <v>134.95689655172416</v>
      </c>
      <c r="T68" s="34">
        <v>500</v>
      </c>
    </row>
    <row r="69" spans="1:20" x14ac:dyDescent="0.25">
      <c r="A69" s="36" t="s">
        <v>196</v>
      </c>
      <c r="B69" s="36"/>
      <c r="C69" s="36" t="s">
        <v>36</v>
      </c>
      <c r="D69" s="39">
        <v>45507</v>
      </c>
      <c r="E69" s="39">
        <v>45872</v>
      </c>
      <c r="F69" s="36" t="s">
        <v>1185</v>
      </c>
      <c r="G69" s="36" t="s">
        <v>63</v>
      </c>
      <c r="H69" s="41">
        <f t="shared" si="34"/>
        <v>23247.5</v>
      </c>
      <c r="I69" s="41">
        <f t="shared" si="34"/>
        <v>19540.948275862069</v>
      </c>
      <c r="J69" s="42">
        <v>4.2500000000000003E-2</v>
      </c>
      <c r="K69" s="41">
        <f t="shared" si="35"/>
        <v>23247.5</v>
      </c>
      <c r="L69" s="41">
        <f t="shared" si="36"/>
        <v>19540.948275862069</v>
      </c>
      <c r="M69" s="41">
        <f t="shared" si="37"/>
        <v>0</v>
      </c>
      <c r="N69" s="36" t="s">
        <v>1875</v>
      </c>
      <c r="O69" s="37">
        <v>45507</v>
      </c>
      <c r="P69" s="44" t="s">
        <v>58</v>
      </c>
      <c r="Q69" s="38">
        <v>547000</v>
      </c>
      <c r="R69" s="33">
        <f t="shared" si="38"/>
        <v>2931.1422413793102</v>
      </c>
      <c r="S69" s="35">
        <f t="shared" si="33"/>
        <v>195.4094827586207</v>
      </c>
      <c r="T69" s="34">
        <v>500</v>
      </c>
    </row>
    <row r="70" spans="1:20" x14ac:dyDescent="0.25">
      <c r="A70" s="36" t="s">
        <v>197</v>
      </c>
      <c r="B70" s="36"/>
      <c r="C70" s="36" t="s">
        <v>32</v>
      </c>
      <c r="D70" s="39">
        <v>45507</v>
      </c>
      <c r="E70" s="39">
        <v>45872</v>
      </c>
      <c r="F70" s="36" t="s">
        <v>1186</v>
      </c>
      <c r="G70" s="36" t="s">
        <v>61</v>
      </c>
      <c r="H70" s="41">
        <f t="shared" si="34"/>
        <v>14960.000000000002</v>
      </c>
      <c r="I70" s="41">
        <f t="shared" si="34"/>
        <v>12396.551724137933</v>
      </c>
      <c r="J70" s="42">
        <v>4.2500000000000003E-2</v>
      </c>
      <c r="K70" s="41">
        <f t="shared" si="35"/>
        <v>14960.000000000002</v>
      </c>
      <c r="L70" s="41">
        <f t="shared" si="36"/>
        <v>12396.551724137933</v>
      </c>
      <c r="M70" s="41">
        <f t="shared" si="37"/>
        <v>0</v>
      </c>
      <c r="N70" s="36" t="s">
        <v>1884</v>
      </c>
      <c r="O70" s="37">
        <v>45507</v>
      </c>
      <c r="P70" s="44" t="s">
        <v>58</v>
      </c>
      <c r="Q70" s="38">
        <v>352000</v>
      </c>
      <c r="R70" s="33">
        <f t="shared" si="38"/>
        <v>1859.4827586206898</v>
      </c>
      <c r="S70" s="35">
        <f t="shared" si="33"/>
        <v>123.96551724137933</v>
      </c>
      <c r="T70" s="34">
        <v>500</v>
      </c>
    </row>
    <row r="71" spans="1:20" x14ac:dyDescent="0.25">
      <c r="A71" s="36" t="s">
        <v>198</v>
      </c>
      <c r="B71" s="36"/>
      <c r="C71" s="36" t="s">
        <v>32</v>
      </c>
      <c r="D71" s="39">
        <v>45873</v>
      </c>
      <c r="E71" s="39">
        <v>46238</v>
      </c>
      <c r="F71" s="36" t="s">
        <v>1186</v>
      </c>
      <c r="G71" s="36" t="s">
        <v>61</v>
      </c>
      <c r="H71" s="41">
        <f t="shared" si="34"/>
        <v>14960.000000000002</v>
      </c>
      <c r="I71" s="41">
        <f t="shared" si="34"/>
        <v>12396.551724137933</v>
      </c>
      <c r="J71" s="42">
        <v>4.2500000000000003E-2</v>
      </c>
      <c r="K71" s="41">
        <f t="shared" si="35"/>
        <v>14960.000000000002</v>
      </c>
      <c r="L71" s="41">
        <f t="shared" si="36"/>
        <v>12396.551724137933</v>
      </c>
      <c r="M71" s="41">
        <f t="shared" si="37"/>
        <v>0</v>
      </c>
      <c r="N71" s="36" t="s">
        <v>1884</v>
      </c>
      <c r="O71" s="37">
        <v>45507</v>
      </c>
      <c r="P71" s="44" t="s">
        <v>58</v>
      </c>
      <c r="Q71" s="38">
        <v>352000</v>
      </c>
      <c r="R71" s="33">
        <f t="shared" si="38"/>
        <v>1859.4827586206898</v>
      </c>
      <c r="S71" s="35">
        <f t="shared" si="33"/>
        <v>123.96551724137933</v>
      </c>
      <c r="T71" s="34">
        <v>500</v>
      </c>
    </row>
    <row r="72" spans="1:20" x14ac:dyDescent="0.25">
      <c r="A72" s="36" t="s">
        <v>199</v>
      </c>
      <c r="B72" s="36"/>
      <c r="C72" s="36" t="s">
        <v>71</v>
      </c>
      <c r="D72" s="39">
        <v>45507</v>
      </c>
      <c r="E72" s="39">
        <v>45872</v>
      </c>
      <c r="F72" s="36" t="s">
        <v>1187</v>
      </c>
      <c r="G72" s="36" t="s">
        <v>61</v>
      </c>
      <c r="H72" s="41">
        <f>K72</f>
        <v>8800</v>
      </c>
      <c r="I72" s="41">
        <f>L72</f>
        <v>7086.2068965517246</v>
      </c>
      <c r="J72" s="42">
        <v>2.5000000000000001E-2</v>
      </c>
      <c r="K72" s="41">
        <f t="shared" ref="K72" si="39">Q72*J72</f>
        <v>8800</v>
      </c>
      <c r="L72" s="41">
        <f t="shared" ref="L72" si="40">K72/116%-T72</f>
        <v>7086.2068965517246</v>
      </c>
      <c r="M72" s="40"/>
      <c r="N72" s="36" t="s">
        <v>1885</v>
      </c>
      <c r="O72" s="37">
        <v>45507</v>
      </c>
      <c r="P72" s="44" t="s">
        <v>58</v>
      </c>
      <c r="Q72" s="38">
        <v>352000</v>
      </c>
      <c r="R72" s="33">
        <f t="shared" si="38"/>
        <v>1062.9310344827586</v>
      </c>
      <c r="S72" s="35">
        <f t="shared" si="33"/>
        <v>70.862068965517253</v>
      </c>
      <c r="T72" s="34">
        <v>500</v>
      </c>
    </row>
    <row r="73" spans="1:20" x14ac:dyDescent="0.25">
      <c r="A73" s="36" t="s">
        <v>200</v>
      </c>
      <c r="B73" s="36"/>
      <c r="C73" s="36" t="s">
        <v>71</v>
      </c>
      <c r="D73" s="39">
        <v>45507</v>
      </c>
      <c r="E73" s="39">
        <v>45872</v>
      </c>
      <c r="F73" s="36" t="s">
        <v>1188</v>
      </c>
      <c r="G73" s="36" t="s">
        <v>63</v>
      </c>
      <c r="H73" s="41">
        <f>K73</f>
        <v>13675</v>
      </c>
      <c r="I73" s="41">
        <f>L73</f>
        <v>11288.793103448277</v>
      </c>
      <c r="J73" s="42">
        <v>2.5000000000000001E-2</v>
      </c>
      <c r="K73" s="41">
        <f t="shared" ref="K73" si="41">Q73*J73</f>
        <v>13675</v>
      </c>
      <c r="L73" s="41">
        <f t="shared" ref="L73" si="42">K73/116%-T73</f>
        <v>11288.793103448277</v>
      </c>
      <c r="M73" s="40"/>
      <c r="N73" s="36" t="s">
        <v>1886</v>
      </c>
      <c r="O73" s="37">
        <v>45507</v>
      </c>
      <c r="P73" s="44" t="s">
        <v>58</v>
      </c>
      <c r="Q73" s="38">
        <v>547000</v>
      </c>
      <c r="R73" s="33">
        <f t="shared" si="38"/>
        <v>1693.3189655172414</v>
      </c>
      <c r="S73" s="35">
        <f t="shared" si="33"/>
        <v>112.88793103448278</v>
      </c>
      <c r="T73" s="34">
        <v>500</v>
      </c>
    </row>
    <row r="74" spans="1:20" x14ac:dyDescent="0.25">
      <c r="A74" s="36" t="s">
        <v>201</v>
      </c>
      <c r="B74" s="36"/>
      <c r="C74" s="36" t="s">
        <v>31</v>
      </c>
      <c r="D74" s="39">
        <v>45507</v>
      </c>
      <c r="E74" s="39">
        <v>45872</v>
      </c>
      <c r="F74" s="36" t="s">
        <v>1189</v>
      </c>
      <c r="G74" s="36" t="s">
        <v>61</v>
      </c>
      <c r="H74" s="41">
        <f t="shared" ref="H74:H88" si="43">K74</f>
        <v>14960.000000000002</v>
      </c>
      <c r="I74" s="41">
        <f t="shared" ref="I74:I88" si="44">L74</f>
        <v>12396.551724137933</v>
      </c>
      <c r="J74" s="42">
        <v>4.2500000000000003E-2</v>
      </c>
      <c r="K74" s="41">
        <f t="shared" ref="K74:K88" si="45">Q74*J74</f>
        <v>14960.000000000002</v>
      </c>
      <c r="L74" s="41">
        <f t="shared" ref="L74:L88" si="46">K74/116%-T74</f>
        <v>12396.551724137933</v>
      </c>
      <c r="M74" s="41">
        <f t="shared" ref="M74:M88" si="47">K74-H74</f>
        <v>0</v>
      </c>
      <c r="N74" s="36" t="s">
        <v>1887</v>
      </c>
      <c r="O74" s="37">
        <v>45507</v>
      </c>
      <c r="P74" s="44" t="s">
        <v>58</v>
      </c>
      <c r="Q74" s="38">
        <v>352000</v>
      </c>
      <c r="R74" s="33">
        <f t="shared" si="38"/>
        <v>1859.4827586206898</v>
      </c>
      <c r="S74" s="35">
        <f t="shared" si="33"/>
        <v>123.96551724137933</v>
      </c>
      <c r="T74" s="34">
        <v>500</v>
      </c>
    </row>
    <row r="75" spans="1:20" x14ac:dyDescent="0.25">
      <c r="A75" s="36" t="s">
        <v>202</v>
      </c>
      <c r="B75" s="36"/>
      <c r="C75" s="36" t="s">
        <v>35</v>
      </c>
      <c r="D75" s="39">
        <v>45507</v>
      </c>
      <c r="E75" s="39">
        <v>45872</v>
      </c>
      <c r="F75" s="36" t="s">
        <v>1190</v>
      </c>
      <c r="G75" s="36" t="s">
        <v>63</v>
      </c>
      <c r="H75" s="41">
        <f t="shared" si="43"/>
        <v>23247.5</v>
      </c>
      <c r="I75" s="41">
        <f t="shared" si="44"/>
        <v>19540.948275862069</v>
      </c>
      <c r="J75" s="42">
        <v>4.2500000000000003E-2</v>
      </c>
      <c r="K75" s="41">
        <f t="shared" si="45"/>
        <v>23247.5</v>
      </c>
      <c r="L75" s="41">
        <f t="shared" si="46"/>
        <v>19540.948275862069</v>
      </c>
      <c r="M75" s="41">
        <f t="shared" si="47"/>
        <v>0</v>
      </c>
      <c r="N75" s="36" t="s">
        <v>1888</v>
      </c>
      <c r="O75" s="37">
        <v>45507</v>
      </c>
      <c r="P75" s="44" t="s">
        <v>58</v>
      </c>
      <c r="Q75" s="38">
        <v>547000</v>
      </c>
      <c r="R75" s="33">
        <f t="shared" si="38"/>
        <v>2931.1422413793102</v>
      </c>
      <c r="S75" s="35">
        <f t="shared" si="33"/>
        <v>195.4094827586207</v>
      </c>
      <c r="T75" s="34">
        <v>500</v>
      </c>
    </row>
    <row r="76" spans="1:20" x14ac:dyDescent="0.25">
      <c r="A76" s="36" t="s">
        <v>203</v>
      </c>
      <c r="B76" s="36"/>
      <c r="C76" s="36" t="s">
        <v>35</v>
      </c>
      <c r="D76" s="39">
        <v>45873</v>
      </c>
      <c r="E76" s="39">
        <v>46238</v>
      </c>
      <c r="F76" s="36" t="s">
        <v>1190</v>
      </c>
      <c r="G76" s="36" t="s">
        <v>63</v>
      </c>
      <c r="H76" s="41">
        <f t="shared" si="43"/>
        <v>23247.5</v>
      </c>
      <c r="I76" s="41">
        <f t="shared" si="44"/>
        <v>19540.948275862069</v>
      </c>
      <c r="J76" s="42">
        <v>4.2500000000000003E-2</v>
      </c>
      <c r="K76" s="41">
        <f t="shared" si="45"/>
        <v>23247.5</v>
      </c>
      <c r="L76" s="41">
        <f t="shared" si="46"/>
        <v>19540.948275862069</v>
      </c>
      <c r="M76" s="41">
        <f t="shared" si="47"/>
        <v>0</v>
      </c>
      <c r="N76" s="36" t="s">
        <v>1888</v>
      </c>
      <c r="O76" s="37">
        <v>45507</v>
      </c>
      <c r="P76" s="44" t="s">
        <v>58</v>
      </c>
      <c r="Q76" s="38">
        <v>547000</v>
      </c>
      <c r="R76" s="33">
        <f t="shared" si="38"/>
        <v>2931.1422413793102</v>
      </c>
      <c r="S76" s="35">
        <f t="shared" si="33"/>
        <v>195.4094827586207</v>
      </c>
      <c r="T76" s="34">
        <v>500</v>
      </c>
    </row>
    <row r="77" spans="1:20" x14ac:dyDescent="0.25">
      <c r="A77" s="36" t="s">
        <v>204</v>
      </c>
      <c r="B77" s="36"/>
      <c r="C77" s="36" t="s">
        <v>35</v>
      </c>
      <c r="D77" s="39">
        <v>45507</v>
      </c>
      <c r="E77" s="39">
        <v>45872</v>
      </c>
      <c r="F77" s="36" t="s">
        <v>1191</v>
      </c>
      <c r="G77" s="36" t="s">
        <v>61</v>
      </c>
      <c r="H77" s="41">
        <f t="shared" si="43"/>
        <v>14960.000000000002</v>
      </c>
      <c r="I77" s="41">
        <f t="shared" si="44"/>
        <v>12396.551724137933</v>
      </c>
      <c r="J77" s="42">
        <v>4.2500000000000003E-2</v>
      </c>
      <c r="K77" s="41">
        <f t="shared" si="45"/>
        <v>14960.000000000002</v>
      </c>
      <c r="L77" s="41">
        <f t="shared" si="46"/>
        <v>12396.551724137933</v>
      </c>
      <c r="M77" s="41">
        <f t="shared" si="47"/>
        <v>0</v>
      </c>
      <c r="N77" s="36" t="s">
        <v>1889</v>
      </c>
      <c r="O77" s="37">
        <v>45507</v>
      </c>
      <c r="P77" s="44" t="s">
        <v>58</v>
      </c>
      <c r="Q77" s="38">
        <v>352000</v>
      </c>
      <c r="R77" s="33">
        <f t="shared" si="38"/>
        <v>1859.4827586206898</v>
      </c>
      <c r="S77" s="35">
        <f t="shared" si="33"/>
        <v>123.96551724137933</v>
      </c>
      <c r="T77" s="34">
        <v>500</v>
      </c>
    </row>
    <row r="78" spans="1:20" x14ac:dyDescent="0.25">
      <c r="A78" s="36" t="s">
        <v>205</v>
      </c>
      <c r="B78" s="36"/>
      <c r="C78" s="36" t="s">
        <v>32</v>
      </c>
      <c r="D78" s="39">
        <v>45507</v>
      </c>
      <c r="E78" s="39">
        <v>45872</v>
      </c>
      <c r="F78" s="36" t="s">
        <v>1192</v>
      </c>
      <c r="G78" s="36" t="s">
        <v>62</v>
      </c>
      <c r="H78" s="41">
        <f t="shared" si="43"/>
        <v>16235.000000000002</v>
      </c>
      <c r="I78" s="41">
        <f t="shared" si="44"/>
        <v>13495.689655172417</v>
      </c>
      <c r="J78" s="42">
        <v>4.2500000000000003E-2</v>
      </c>
      <c r="K78" s="41">
        <f t="shared" si="45"/>
        <v>16235.000000000002</v>
      </c>
      <c r="L78" s="41">
        <f t="shared" si="46"/>
        <v>13495.689655172417</v>
      </c>
      <c r="M78" s="41">
        <f t="shared" si="47"/>
        <v>0</v>
      </c>
      <c r="N78" s="36" t="s">
        <v>1890</v>
      </c>
      <c r="O78" s="37">
        <v>45507</v>
      </c>
      <c r="P78" s="44" t="s">
        <v>58</v>
      </c>
      <c r="Q78" s="38">
        <v>382000</v>
      </c>
      <c r="R78" s="33">
        <f t="shared" si="38"/>
        <v>2024.3534482758625</v>
      </c>
      <c r="S78" s="35">
        <f t="shared" si="33"/>
        <v>134.95689655172416</v>
      </c>
      <c r="T78" s="34">
        <v>500</v>
      </c>
    </row>
    <row r="79" spans="1:20" x14ac:dyDescent="0.25">
      <c r="A79" s="36" t="s">
        <v>206</v>
      </c>
      <c r="B79" s="36"/>
      <c r="C79" s="36" t="s">
        <v>31</v>
      </c>
      <c r="D79" s="39">
        <v>45507</v>
      </c>
      <c r="E79" s="39">
        <v>45872</v>
      </c>
      <c r="F79" s="36" t="s">
        <v>1193</v>
      </c>
      <c r="G79" s="36" t="s">
        <v>63</v>
      </c>
      <c r="H79" s="41">
        <f t="shared" si="43"/>
        <v>23247.5</v>
      </c>
      <c r="I79" s="41">
        <f t="shared" si="44"/>
        <v>19540.948275862069</v>
      </c>
      <c r="J79" s="42">
        <v>4.2500000000000003E-2</v>
      </c>
      <c r="K79" s="41">
        <f t="shared" si="45"/>
        <v>23247.5</v>
      </c>
      <c r="L79" s="41">
        <f t="shared" si="46"/>
        <v>19540.948275862069</v>
      </c>
      <c r="M79" s="41">
        <f t="shared" si="47"/>
        <v>0</v>
      </c>
      <c r="N79" s="36" t="s">
        <v>1891</v>
      </c>
      <c r="O79" s="37">
        <v>45507</v>
      </c>
      <c r="P79" s="44" t="s">
        <v>58</v>
      </c>
      <c r="Q79" s="38">
        <v>547000</v>
      </c>
      <c r="R79" s="33">
        <f t="shared" si="38"/>
        <v>2931.1422413793102</v>
      </c>
      <c r="S79" s="35">
        <f t="shared" si="33"/>
        <v>195.4094827586207</v>
      </c>
      <c r="T79" s="34">
        <v>500</v>
      </c>
    </row>
    <row r="80" spans="1:20" x14ac:dyDescent="0.25">
      <c r="A80" s="36" t="s">
        <v>207</v>
      </c>
      <c r="B80" s="36"/>
      <c r="C80" s="36" t="s">
        <v>31</v>
      </c>
      <c r="D80" s="39">
        <v>45873</v>
      </c>
      <c r="E80" s="39">
        <v>46238</v>
      </c>
      <c r="F80" s="36" t="s">
        <v>1193</v>
      </c>
      <c r="G80" s="36" t="s">
        <v>63</v>
      </c>
      <c r="H80" s="41">
        <f t="shared" si="43"/>
        <v>23247.5</v>
      </c>
      <c r="I80" s="41">
        <f t="shared" si="44"/>
        <v>19540.948275862069</v>
      </c>
      <c r="J80" s="42">
        <v>4.2500000000000003E-2</v>
      </c>
      <c r="K80" s="41">
        <f t="shared" si="45"/>
        <v>23247.5</v>
      </c>
      <c r="L80" s="41">
        <f t="shared" si="46"/>
        <v>19540.948275862069</v>
      </c>
      <c r="M80" s="41">
        <f t="shared" si="47"/>
        <v>0</v>
      </c>
      <c r="N80" s="36" t="s">
        <v>1891</v>
      </c>
      <c r="O80" s="37">
        <v>45507</v>
      </c>
      <c r="P80" s="44" t="s">
        <v>58</v>
      </c>
      <c r="Q80" s="38">
        <v>547000</v>
      </c>
      <c r="R80" s="33">
        <f t="shared" si="38"/>
        <v>2931.1422413793102</v>
      </c>
      <c r="S80" s="35">
        <f t="shared" si="33"/>
        <v>195.4094827586207</v>
      </c>
      <c r="T80" s="34">
        <v>500</v>
      </c>
    </row>
    <row r="81" spans="1:20" x14ac:dyDescent="0.25">
      <c r="A81" s="36" t="s">
        <v>208</v>
      </c>
      <c r="B81" s="36"/>
      <c r="C81" s="36" t="s">
        <v>35</v>
      </c>
      <c r="D81" s="39">
        <v>45507</v>
      </c>
      <c r="E81" s="39">
        <v>45872</v>
      </c>
      <c r="F81" s="36" t="s">
        <v>1194</v>
      </c>
      <c r="G81" s="36" t="s">
        <v>62</v>
      </c>
      <c r="H81" s="41">
        <f t="shared" si="43"/>
        <v>16235.000000000002</v>
      </c>
      <c r="I81" s="41">
        <f t="shared" si="44"/>
        <v>13495.689655172417</v>
      </c>
      <c r="J81" s="42">
        <v>4.2500000000000003E-2</v>
      </c>
      <c r="K81" s="41">
        <f t="shared" si="45"/>
        <v>16235.000000000002</v>
      </c>
      <c r="L81" s="41">
        <f t="shared" si="46"/>
        <v>13495.689655172417</v>
      </c>
      <c r="M81" s="41">
        <f t="shared" si="47"/>
        <v>0</v>
      </c>
      <c r="N81" s="36" t="s">
        <v>1892</v>
      </c>
      <c r="O81" s="37">
        <v>45507</v>
      </c>
      <c r="P81" s="44" t="s">
        <v>58</v>
      </c>
      <c r="Q81" s="38">
        <v>382000</v>
      </c>
      <c r="R81" s="33">
        <f t="shared" si="38"/>
        <v>2024.3534482758625</v>
      </c>
      <c r="S81" s="35">
        <f t="shared" si="33"/>
        <v>134.95689655172416</v>
      </c>
      <c r="T81" s="34">
        <v>500</v>
      </c>
    </row>
    <row r="82" spans="1:20" x14ac:dyDescent="0.25">
      <c r="A82" s="36" t="s">
        <v>209</v>
      </c>
      <c r="B82" s="36"/>
      <c r="C82" s="36" t="s">
        <v>32</v>
      </c>
      <c r="D82" s="39">
        <v>45507</v>
      </c>
      <c r="E82" s="39">
        <v>45872</v>
      </c>
      <c r="F82" s="36" t="s">
        <v>1195</v>
      </c>
      <c r="G82" s="36" t="s">
        <v>61</v>
      </c>
      <c r="H82" s="41">
        <f t="shared" si="43"/>
        <v>14960.000000000002</v>
      </c>
      <c r="I82" s="41">
        <f t="shared" si="44"/>
        <v>12396.551724137933</v>
      </c>
      <c r="J82" s="42">
        <v>4.2500000000000003E-2</v>
      </c>
      <c r="K82" s="41">
        <f t="shared" si="45"/>
        <v>14960.000000000002</v>
      </c>
      <c r="L82" s="41">
        <f t="shared" si="46"/>
        <v>12396.551724137933</v>
      </c>
      <c r="M82" s="41">
        <f t="shared" si="47"/>
        <v>0</v>
      </c>
      <c r="N82" s="36" t="s">
        <v>1893</v>
      </c>
      <c r="O82" s="37">
        <v>45507</v>
      </c>
      <c r="P82" s="44" t="s">
        <v>58</v>
      </c>
      <c r="Q82" s="38">
        <v>352000</v>
      </c>
      <c r="R82" s="33">
        <f t="shared" si="38"/>
        <v>1859.4827586206898</v>
      </c>
      <c r="S82" s="35">
        <f t="shared" si="33"/>
        <v>123.96551724137933</v>
      </c>
      <c r="T82" s="34">
        <v>500</v>
      </c>
    </row>
    <row r="83" spans="1:20" x14ac:dyDescent="0.25">
      <c r="A83" s="36" t="s">
        <v>210</v>
      </c>
      <c r="B83" s="36"/>
      <c r="C83" s="36" t="s">
        <v>32</v>
      </c>
      <c r="D83" s="39">
        <v>45873</v>
      </c>
      <c r="E83" s="39">
        <v>46238</v>
      </c>
      <c r="F83" s="36" t="s">
        <v>1195</v>
      </c>
      <c r="G83" s="36" t="s">
        <v>61</v>
      </c>
      <c r="H83" s="41">
        <f t="shared" si="43"/>
        <v>14960.000000000002</v>
      </c>
      <c r="I83" s="41">
        <f t="shared" si="44"/>
        <v>12396.551724137933</v>
      </c>
      <c r="J83" s="42">
        <v>4.2500000000000003E-2</v>
      </c>
      <c r="K83" s="41">
        <f t="shared" si="45"/>
        <v>14960.000000000002</v>
      </c>
      <c r="L83" s="41">
        <f t="shared" si="46"/>
        <v>12396.551724137933</v>
      </c>
      <c r="M83" s="41">
        <f t="shared" si="47"/>
        <v>0</v>
      </c>
      <c r="N83" s="36" t="s">
        <v>1893</v>
      </c>
      <c r="O83" s="37">
        <v>45507</v>
      </c>
      <c r="P83" s="44" t="s">
        <v>58</v>
      </c>
      <c r="Q83" s="38">
        <v>352000</v>
      </c>
      <c r="R83" s="33">
        <f t="shared" si="38"/>
        <v>1859.4827586206898</v>
      </c>
      <c r="S83" s="35">
        <f t="shared" si="33"/>
        <v>123.96551724137933</v>
      </c>
      <c r="T83" s="34">
        <v>500</v>
      </c>
    </row>
    <row r="84" spans="1:20" x14ac:dyDescent="0.25">
      <c r="A84" s="36" t="s">
        <v>211</v>
      </c>
      <c r="B84" s="36"/>
      <c r="C84" s="36" t="s">
        <v>35</v>
      </c>
      <c r="D84" s="39">
        <v>45507</v>
      </c>
      <c r="E84" s="39">
        <v>45872</v>
      </c>
      <c r="F84" s="36" t="s">
        <v>1196</v>
      </c>
      <c r="G84" s="36" t="s">
        <v>62</v>
      </c>
      <c r="H84" s="41">
        <f t="shared" si="43"/>
        <v>16235.000000000002</v>
      </c>
      <c r="I84" s="41">
        <f t="shared" si="44"/>
        <v>13495.689655172417</v>
      </c>
      <c r="J84" s="42">
        <v>4.2500000000000003E-2</v>
      </c>
      <c r="K84" s="41">
        <f t="shared" si="45"/>
        <v>16235.000000000002</v>
      </c>
      <c r="L84" s="41">
        <f t="shared" si="46"/>
        <v>13495.689655172417</v>
      </c>
      <c r="M84" s="41">
        <f t="shared" si="47"/>
        <v>0</v>
      </c>
      <c r="N84" s="36" t="s">
        <v>1894</v>
      </c>
      <c r="O84" s="37">
        <v>45507</v>
      </c>
      <c r="P84" s="44" t="s">
        <v>58</v>
      </c>
      <c r="Q84" s="38">
        <v>382000</v>
      </c>
      <c r="R84" s="33">
        <f t="shared" si="38"/>
        <v>2024.3534482758625</v>
      </c>
      <c r="S84" s="35">
        <f t="shared" si="33"/>
        <v>134.95689655172416</v>
      </c>
      <c r="T84" s="34">
        <v>500</v>
      </c>
    </row>
    <row r="85" spans="1:20" x14ac:dyDescent="0.25">
      <c r="A85" s="36" t="s">
        <v>212</v>
      </c>
      <c r="B85" s="36"/>
      <c r="C85" s="36" t="s">
        <v>35</v>
      </c>
      <c r="D85" s="39">
        <v>45873</v>
      </c>
      <c r="E85" s="39">
        <v>46238</v>
      </c>
      <c r="F85" s="36" t="s">
        <v>1196</v>
      </c>
      <c r="G85" s="36" t="s">
        <v>62</v>
      </c>
      <c r="H85" s="41">
        <f t="shared" si="43"/>
        <v>16235.000000000002</v>
      </c>
      <c r="I85" s="41">
        <f t="shared" si="44"/>
        <v>13495.689655172417</v>
      </c>
      <c r="J85" s="42">
        <v>4.2500000000000003E-2</v>
      </c>
      <c r="K85" s="41">
        <f t="shared" si="45"/>
        <v>16235.000000000002</v>
      </c>
      <c r="L85" s="41">
        <f t="shared" si="46"/>
        <v>13495.689655172417</v>
      </c>
      <c r="M85" s="41">
        <f t="shared" si="47"/>
        <v>0</v>
      </c>
      <c r="N85" s="36" t="s">
        <v>1894</v>
      </c>
      <c r="O85" s="37">
        <v>45507</v>
      </c>
      <c r="P85" s="44" t="s">
        <v>58</v>
      </c>
      <c r="Q85" s="38">
        <v>382000</v>
      </c>
      <c r="R85" s="33">
        <f t="shared" si="38"/>
        <v>2024.3534482758625</v>
      </c>
      <c r="S85" s="35">
        <f t="shared" si="33"/>
        <v>134.95689655172416</v>
      </c>
      <c r="T85" s="34">
        <v>500</v>
      </c>
    </row>
    <row r="86" spans="1:20" x14ac:dyDescent="0.25">
      <c r="A86" s="36" t="s">
        <v>213</v>
      </c>
      <c r="B86" s="36"/>
      <c r="C86" s="36" t="s">
        <v>33</v>
      </c>
      <c r="D86" s="39">
        <v>45507</v>
      </c>
      <c r="E86" s="39">
        <v>45872</v>
      </c>
      <c r="F86" s="36" t="s">
        <v>1197</v>
      </c>
      <c r="G86" s="36" t="s">
        <v>62</v>
      </c>
      <c r="H86" s="41">
        <f t="shared" si="43"/>
        <v>16235.000000000002</v>
      </c>
      <c r="I86" s="41">
        <f t="shared" si="44"/>
        <v>13495.689655172417</v>
      </c>
      <c r="J86" s="42">
        <v>4.2500000000000003E-2</v>
      </c>
      <c r="K86" s="41">
        <f t="shared" si="45"/>
        <v>16235.000000000002</v>
      </c>
      <c r="L86" s="41">
        <f t="shared" si="46"/>
        <v>13495.689655172417</v>
      </c>
      <c r="M86" s="41">
        <f t="shared" si="47"/>
        <v>0</v>
      </c>
      <c r="N86" s="36" t="s">
        <v>1895</v>
      </c>
      <c r="O86" s="37">
        <v>45507</v>
      </c>
      <c r="P86" s="44" t="s">
        <v>58</v>
      </c>
      <c r="Q86" s="38">
        <v>382000</v>
      </c>
      <c r="R86" s="33">
        <f t="shared" si="38"/>
        <v>2024.3534482758625</v>
      </c>
      <c r="S86" s="35">
        <f t="shared" si="33"/>
        <v>134.95689655172416</v>
      </c>
      <c r="T86" s="34">
        <v>500</v>
      </c>
    </row>
    <row r="87" spans="1:20" x14ac:dyDescent="0.25">
      <c r="A87" s="36" t="s">
        <v>214</v>
      </c>
      <c r="B87" s="36"/>
      <c r="C87" s="36" t="s">
        <v>33</v>
      </c>
      <c r="D87" s="39">
        <v>45873</v>
      </c>
      <c r="E87" s="39">
        <v>46238</v>
      </c>
      <c r="F87" s="36" t="s">
        <v>1197</v>
      </c>
      <c r="G87" s="36" t="s">
        <v>62</v>
      </c>
      <c r="H87" s="41">
        <f t="shared" si="43"/>
        <v>16235.000000000002</v>
      </c>
      <c r="I87" s="41">
        <f t="shared" si="44"/>
        <v>13495.689655172417</v>
      </c>
      <c r="J87" s="42">
        <v>4.2500000000000003E-2</v>
      </c>
      <c r="K87" s="41">
        <f t="shared" si="45"/>
        <v>16235.000000000002</v>
      </c>
      <c r="L87" s="41">
        <f t="shared" si="46"/>
        <v>13495.689655172417</v>
      </c>
      <c r="M87" s="41">
        <f t="shared" si="47"/>
        <v>0</v>
      </c>
      <c r="N87" s="36" t="s">
        <v>1895</v>
      </c>
      <c r="O87" s="37">
        <v>45507</v>
      </c>
      <c r="P87" s="44" t="s">
        <v>58</v>
      </c>
      <c r="Q87" s="38">
        <v>382000</v>
      </c>
      <c r="R87" s="33">
        <f t="shared" si="38"/>
        <v>2024.3534482758625</v>
      </c>
      <c r="S87" s="35">
        <f t="shared" si="33"/>
        <v>134.95689655172416</v>
      </c>
      <c r="T87" s="34">
        <v>500</v>
      </c>
    </row>
    <row r="88" spans="1:20" x14ac:dyDescent="0.25">
      <c r="A88" s="36" t="s">
        <v>215</v>
      </c>
      <c r="B88" s="36"/>
      <c r="C88" s="36" t="s">
        <v>39</v>
      </c>
      <c r="D88" s="39">
        <v>45507</v>
      </c>
      <c r="E88" s="39">
        <v>45872</v>
      </c>
      <c r="F88" s="36" t="s">
        <v>1198</v>
      </c>
      <c r="G88" s="36" t="s">
        <v>62</v>
      </c>
      <c r="H88" s="41">
        <f t="shared" si="43"/>
        <v>16235.000000000002</v>
      </c>
      <c r="I88" s="41">
        <f t="shared" si="44"/>
        <v>13495.689655172417</v>
      </c>
      <c r="J88" s="42">
        <v>4.2500000000000003E-2</v>
      </c>
      <c r="K88" s="41">
        <f t="shared" si="45"/>
        <v>16235.000000000002</v>
      </c>
      <c r="L88" s="41">
        <f t="shared" si="46"/>
        <v>13495.689655172417</v>
      </c>
      <c r="M88" s="41">
        <f t="shared" si="47"/>
        <v>0</v>
      </c>
      <c r="N88" s="36" t="s">
        <v>1896</v>
      </c>
      <c r="O88" s="37">
        <v>45507</v>
      </c>
      <c r="P88" s="44" t="s">
        <v>58</v>
      </c>
      <c r="Q88" s="38">
        <v>382000</v>
      </c>
      <c r="R88" s="33">
        <f t="shared" si="38"/>
        <v>2024.3534482758625</v>
      </c>
      <c r="S88" s="35">
        <f t="shared" si="33"/>
        <v>134.95689655172416</v>
      </c>
      <c r="T88" s="34">
        <v>500</v>
      </c>
    </row>
    <row r="89" spans="1:20" x14ac:dyDescent="0.25">
      <c r="A89" s="36" t="s">
        <v>216</v>
      </c>
      <c r="B89" s="36"/>
      <c r="C89" s="36" t="s">
        <v>55</v>
      </c>
      <c r="D89" s="39">
        <v>45507</v>
      </c>
      <c r="E89" s="39">
        <v>45872</v>
      </c>
      <c r="F89" s="36" t="s">
        <v>1199</v>
      </c>
      <c r="G89" s="36" t="s">
        <v>61</v>
      </c>
      <c r="H89" s="41">
        <f t="shared" ref="H89:I92" si="48">K89</f>
        <v>8800</v>
      </c>
      <c r="I89" s="41">
        <f t="shared" si="48"/>
        <v>7086.2068965517246</v>
      </c>
      <c r="J89" s="42">
        <v>2.5000000000000001E-2</v>
      </c>
      <c r="K89" s="41">
        <f t="shared" ref="K89" si="49">Q89*J89</f>
        <v>8800</v>
      </c>
      <c r="L89" s="41">
        <f t="shared" ref="L89" si="50">K89/116%-T89</f>
        <v>7086.2068965517246</v>
      </c>
      <c r="M89" s="40"/>
      <c r="N89" s="36" t="s">
        <v>1897</v>
      </c>
      <c r="O89" s="37">
        <v>45507</v>
      </c>
      <c r="P89" s="44" t="s">
        <v>58</v>
      </c>
      <c r="Q89" s="38">
        <v>352000</v>
      </c>
      <c r="R89" s="33">
        <f t="shared" si="38"/>
        <v>1062.9310344827586</v>
      </c>
      <c r="S89" s="35">
        <f t="shared" si="33"/>
        <v>70.862068965517253</v>
      </c>
      <c r="T89" s="34">
        <v>500</v>
      </c>
    </row>
    <row r="90" spans="1:20" x14ac:dyDescent="0.25">
      <c r="A90" s="36" t="s">
        <v>217</v>
      </c>
      <c r="B90" s="36"/>
      <c r="C90" s="36" t="s">
        <v>31</v>
      </c>
      <c r="D90" s="39">
        <v>45507</v>
      </c>
      <c r="E90" s="39">
        <v>45872</v>
      </c>
      <c r="F90" s="36" t="s">
        <v>1200</v>
      </c>
      <c r="G90" s="36" t="s">
        <v>62</v>
      </c>
      <c r="H90" s="41">
        <f t="shared" si="48"/>
        <v>16235.000000000002</v>
      </c>
      <c r="I90" s="41">
        <f t="shared" si="48"/>
        <v>13495.689655172417</v>
      </c>
      <c r="J90" s="42">
        <v>4.2500000000000003E-2</v>
      </c>
      <c r="K90" s="41">
        <f t="shared" ref="K90:K97" si="51">Q90*J90</f>
        <v>16235.000000000002</v>
      </c>
      <c r="L90" s="41">
        <f t="shared" ref="L90:L97" si="52">K90/116%-T90</f>
        <v>13495.689655172417</v>
      </c>
      <c r="M90" s="41">
        <f t="shared" ref="M90:M91" si="53">K90-H90</f>
        <v>0</v>
      </c>
      <c r="N90" s="36" t="s">
        <v>1898</v>
      </c>
      <c r="O90" s="37">
        <v>45507</v>
      </c>
      <c r="P90" s="44" t="s">
        <v>58</v>
      </c>
      <c r="Q90" s="38">
        <v>382000</v>
      </c>
      <c r="R90" s="33">
        <f t="shared" si="38"/>
        <v>2024.3534482758625</v>
      </c>
      <c r="S90" s="35">
        <f t="shared" si="33"/>
        <v>134.95689655172416</v>
      </c>
      <c r="T90" s="34">
        <v>500</v>
      </c>
    </row>
    <row r="91" spans="1:20" x14ac:dyDescent="0.25">
      <c r="A91" s="36" t="s">
        <v>218</v>
      </c>
      <c r="B91" s="36"/>
      <c r="C91" s="36" t="s">
        <v>31</v>
      </c>
      <c r="D91" s="39">
        <v>45873</v>
      </c>
      <c r="E91" s="39">
        <v>46238</v>
      </c>
      <c r="F91" s="36" t="s">
        <v>1200</v>
      </c>
      <c r="G91" s="36" t="s">
        <v>62</v>
      </c>
      <c r="H91" s="41">
        <f t="shared" si="48"/>
        <v>16235.000000000002</v>
      </c>
      <c r="I91" s="41">
        <f t="shared" si="48"/>
        <v>13495.689655172417</v>
      </c>
      <c r="J91" s="42">
        <v>4.2500000000000003E-2</v>
      </c>
      <c r="K91" s="41">
        <f t="shared" si="51"/>
        <v>16235.000000000002</v>
      </c>
      <c r="L91" s="41">
        <f t="shared" si="52"/>
        <v>13495.689655172417</v>
      </c>
      <c r="M91" s="41">
        <f t="shared" si="53"/>
        <v>0</v>
      </c>
      <c r="N91" s="36" t="s">
        <v>1898</v>
      </c>
      <c r="O91" s="37">
        <v>45507</v>
      </c>
      <c r="P91" s="44" t="s">
        <v>58</v>
      </c>
      <c r="Q91" s="38">
        <v>382000</v>
      </c>
      <c r="R91" s="33">
        <f t="shared" si="38"/>
        <v>2024.3534482758625</v>
      </c>
      <c r="S91" s="35">
        <f t="shared" si="33"/>
        <v>134.95689655172416</v>
      </c>
      <c r="T91" s="34">
        <v>500</v>
      </c>
    </row>
    <row r="92" spans="1:20" x14ac:dyDescent="0.25">
      <c r="A92" s="36" t="s">
        <v>219</v>
      </c>
      <c r="B92" s="36"/>
      <c r="C92" s="36" t="s">
        <v>71</v>
      </c>
      <c r="D92" s="39">
        <v>45507</v>
      </c>
      <c r="E92" s="39">
        <v>45872</v>
      </c>
      <c r="F92" s="36" t="s">
        <v>1201</v>
      </c>
      <c r="G92" s="36" t="s">
        <v>65</v>
      </c>
      <c r="H92" s="41">
        <f t="shared" si="48"/>
        <v>9550</v>
      </c>
      <c r="I92" s="41">
        <f t="shared" si="48"/>
        <v>7732.7586206896558</v>
      </c>
      <c r="J92" s="42">
        <v>2.5000000000000001E-2</v>
      </c>
      <c r="K92" s="41">
        <f t="shared" si="51"/>
        <v>9550</v>
      </c>
      <c r="L92" s="41">
        <f t="shared" si="52"/>
        <v>7732.7586206896558</v>
      </c>
      <c r="M92" s="40"/>
      <c r="N92" s="36" t="s">
        <v>1899</v>
      </c>
      <c r="O92" s="37">
        <v>45507</v>
      </c>
      <c r="P92" s="44" t="s">
        <v>58</v>
      </c>
      <c r="Q92" s="38">
        <v>382000</v>
      </c>
      <c r="R92" s="33">
        <f t="shared" si="38"/>
        <v>1159.9137931034484</v>
      </c>
      <c r="S92" s="35">
        <f t="shared" si="33"/>
        <v>77.327586206896555</v>
      </c>
      <c r="T92" s="34">
        <v>500</v>
      </c>
    </row>
    <row r="93" spans="1:20" x14ac:dyDescent="0.25">
      <c r="A93" s="36" t="s">
        <v>220</v>
      </c>
      <c r="B93" s="36"/>
      <c r="C93" s="36" t="s">
        <v>71</v>
      </c>
      <c r="D93" s="39">
        <v>45507</v>
      </c>
      <c r="E93" s="39">
        <v>45872</v>
      </c>
      <c r="F93" s="36" t="s">
        <v>1202</v>
      </c>
      <c r="G93" s="36" t="s">
        <v>62</v>
      </c>
      <c r="H93" s="41">
        <f t="shared" ref="H93:H97" si="54">K93</f>
        <v>9550</v>
      </c>
      <c r="I93" s="41">
        <f t="shared" ref="I93:I97" si="55">L93</f>
        <v>7732.7586206896558</v>
      </c>
      <c r="J93" s="42">
        <v>2.5000000000000001E-2</v>
      </c>
      <c r="K93" s="41">
        <f t="shared" si="51"/>
        <v>9550</v>
      </c>
      <c r="L93" s="41">
        <f t="shared" si="52"/>
        <v>7732.7586206896558</v>
      </c>
      <c r="M93" s="40"/>
      <c r="N93" s="36" t="s">
        <v>1900</v>
      </c>
      <c r="O93" s="37">
        <v>45507</v>
      </c>
      <c r="P93" s="44" t="s">
        <v>58</v>
      </c>
      <c r="Q93" s="38">
        <v>382000</v>
      </c>
      <c r="R93" s="33">
        <f t="shared" si="38"/>
        <v>1159.9137931034484</v>
      </c>
      <c r="S93" s="35">
        <f t="shared" si="33"/>
        <v>77.327586206896555</v>
      </c>
      <c r="T93" s="34">
        <v>500</v>
      </c>
    </row>
    <row r="94" spans="1:20" x14ac:dyDescent="0.25">
      <c r="A94" s="36" t="s">
        <v>221</v>
      </c>
      <c r="B94" s="36"/>
      <c r="C94" s="36" t="s">
        <v>71</v>
      </c>
      <c r="D94" s="39">
        <v>45507</v>
      </c>
      <c r="E94" s="39">
        <v>45872</v>
      </c>
      <c r="F94" s="36" t="s">
        <v>1203</v>
      </c>
      <c r="G94" s="36" t="s">
        <v>63</v>
      </c>
      <c r="H94" s="41">
        <f t="shared" si="54"/>
        <v>9550</v>
      </c>
      <c r="I94" s="41">
        <f t="shared" si="55"/>
        <v>7732.7586206896558</v>
      </c>
      <c r="J94" s="42">
        <v>2.5000000000000001E-2</v>
      </c>
      <c r="K94" s="41">
        <f t="shared" si="51"/>
        <v>9550</v>
      </c>
      <c r="L94" s="41">
        <f t="shared" si="52"/>
        <v>7732.7586206896558</v>
      </c>
      <c r="M94" s="40"/>
      <c r="N94" s="36" t="s">
        <v>1901</v>
      </c>
      <c r="O94" s="37">
        <v>45507</v>
      </c>
      <c r="P94" s="44" t="s">
        <v>58</v>
      </c>
      <c r="Q94" s="38">
        <v>382000</v>
      </c>
      <c r="R94" s="33">
        <f t="shared" si="38"/>
        <v>1159.9137931034484</v>
      </c>
      <c r="S94" s="35">
        <f t="shared" si="33"/>
        <v>77.327586206896555</v>
      </c>
      <c r="T94" s="34">
        <v>500</v>
      </c>
    </row>
    <row r="95" spans="1:20" x14ac:dyDescent="0.25">
      <c r="A95" s="36" t="s">
        <v>222</v>
      </c>
      <c r="B95" s="36"/>
      <c r="C95" s="36" t="s">
        <v>71</v>
      </c>
      <c r="D95" s="39">
        <v>45507</v>
      </c>
      <c r="E95" s="39">
        <v>45872</v>
      </c>
      <c r="F95" s="36" t="s">
        <v>1204</v>
      </c>
      <c r="G95" s="36" t="s">
        <v>63</v>
      </c>
      <c r="H95" s="41">
        <f t="shared" si="54"/>
        <v>13675</v>
      </c>
      <c r="I95" s="41">
        <f t="shared" si="55"/>
        <v>11288.793103448277</v>
      </c>
      <c r="J95" s="42">
        <v>2.5000000000000001E-2</v>
      </c>
      <c r="K95" s="41">
        <f t="shared" si="51"/>
        <v>13675</v>
      </c>
      <c r="L95" s="41">
        <f t="shared" si="52"/>
        <v>11288.793103448277</v>
      </c>
      <c r="M95" s="40"/>
      <c r="N95" s="36" t="s">
        <v>1902</v>
      </c>
      <c r="O95" s="37">
        <v>45507</v>
      </c>
      <c r="P95" s="44" t="s">
        <v>58</v>
      </c>
      <c r="Q95" s="38">
        <v>547000</v>
      </c>
      <c r="R95" s="33">
        <f t="shared" si="38"/>
        <v>1693.3189655172414</v>
      </c>
      <c r="S95" s="35">
        <f t="shared" si="33"/>
        <v>112.88793103448278</v>
      </c>
      <c r="T95" s="34">
        <v>500</v>
      </c>
    </row>
    <row r="96" spans="1:20" x14ac:dyDescent="0.25">
      <c r="A96" s="36" t="s">
        <v>223</v>
      </c>
      <c r="B96" s="36"/>
      <c r="C96" s="36" t="s">
        <v>92</v>
      </c>
      <c r="D96" s="39">
        <v>45507</v>
      </c>
      <c r="E96" s="39">
        <v>45872</v>
      </c>
      <c r="F96" s="36" t="s">
        <v>1205</v>
      </c>
      <c r="G96" s="36" t="s">
        <v>64</v>
      </c>
      <c r="H96" s="41">
        <f t="shared" si="54"/>
        <v>12475</v>
      </c>
      <c r="I96" s="41">
        <f t="shared" si="55"/>
        <v>10254.310344827587</v>
      </c>
      <c r="J96" s="42">
        <v>2.5000000000000001E-2</v>
      </c>
      <c r="K96" s="41">
        <f t="shared" si="51"/>
        <v>12475</v>
      </c>
      <c r="L96" s="41">
        <f t="shared" si="52"/>
        <v>10254.310344827587</v>
      </c>
      <c r="M96" s="40"/>
      <c r="N96" s="36" t="s">
        <v>1903</v>
      </c>
      <c r="O96" s="37">
        <v>45507</v>
      </c>
      <c r="P96" s="44" t="s">
        <v>58</v>
      </c>
      <c r="Q96" s="38">
        <v>499000</v>
      </c>
      <c r="R96" s="33">
        <f t="shared" si="38"/>
        <v>1538.1465517241379</v>
      </c>
      <c r="S96" s="35">
        <f t="shared" si="33"/>
        <v>102.54310344827587</v>
      </c>
      <c r="T96" s="34">
        <v>500</v>
      </c>
    </row>
    <row r="97" spans="1:20" x14ac:dyDescent="0.25">
      <c r="A97" s="36" t="s">
        <v>224</v>
      </c>
      <c r="B97" s="36"/>
      <c r="C97" s="36" t="s">
        <v>92</v>
      </c>
      <c r="D97" s="39">
        <v>45507</v>
      </c>
      <c r="E97" s="39">
        <v>45872</v>
      </c>
      <c r="F97" s="36" t="s">
        <v>1206</v>
      </c>
      <c r="G97" s="36" t="s">
        <v>62</v>
      </c>
      <c r="H97" s="41">
        <f t="shared" si="54"/>
        <v>9550</v>
      </c>
      <c r="I97" s="41">
        <f t="shared" si="55"/>
        <v>7732.7586206896558</v>
      </c>
      <c r="J97" s="42">
        <v>2.5000000000000001E-2</v>
      </c>
      <c r="K97" s="41">
        <f t="shared" si="51"/>
        <v>9550</v>
      </c>
      <c r="L97" s="41">
        <f t="shared" si="52"/>
        <v>7732.7586206896558</v>
      </c>
      <c r="M97" s="40"/>
      <c r="N97" s="36" t="s">
        <v>1904</v>
      </c>
      <c r="O97" s="37">
        <v>45507</v>
      </c>
      <c r="P97" s="44" t="s">
        <v>58</v>
      </c>
      <c r="Q97" s="38">
        <v>382000</v>
      </c>
      <c r="R97" s="33">
        <f t="shared" si="38"/>
        <v>1159.9137931034484</v>
      </c>
      <c r="S97" s="35">
        <f t="shared" si="33"/>
        <v>77.327586206896555</v>
      </c>
      <c r="T97" s="34">
        <v>500</v>
      </c>
    </row>
    <row r="98" spans="1:20" x14ac:dyDescent="0.25">
      <c r="A98" s="36" t="s">
        <v>225</v>
      </c>
      <c r="B98" s="36"/>
      <c r="C98" s="36" t="s">
        <v>30</v>
      </c>
      <c r="D98" s="39">
        <v>45509</v>
      </c>
      <c r="E98" s="39">
        <v>45874</v>
      </c>
      <c r="F98" s="36" t="s">
        <v>1207</v>
      </c>
      <c r="G98" s="36" t="s">
        <v>61</v>
      </c>
      <c r="H98" s="41">
        <f t="shared" ref="H98:I100" si="56">K98</f>
        <v>14960.000000000002</v>
      </c>
      <c r="I98" s="41">
        <f t="shared" si="56"/>
        <v>12396.551724137933</v>
      </c>
      <c r="J98" s="42">
        <v>4.2500000000000003E-2</v>
      </c>
      <c r="K98" s="41">
        <f t="shared" ref="K98:K100" si="57">Q98*J98</f>
        <v>14960.000000000002</v>
      </c>
      <c r="L98" s="41">
        <f t="shared" ref="L98:L100" si="58">K98/116%-T98</f>
        <v>12396.551724137933</v>
      </c>
      <c r="M98" s="41">
        <f t="shared" ref="M98:M100" si="59">K98-H98</f>
        <v>0</v>
      </c>
      <c r="N98" s="36" t="s">
        <v>1905</v>
      </c>
      <c r="O98" s="37">
        <v>45509</v>
      </c>
      <c r="P98" s="44" t="s">
        <v>58</v>
      </c>
      <c r="Q98" s="38">
        <v>352000</v>
      </c>
      <c r="R98" s="33">
        <f t="shared" si="38"/>
        <v>1859.4827586206898</v>
      </c>
      <c r="S98" s="35">
        <f t="shared" si="33"/>
        <v>123.96551724137933</v>
      </c>
      <c r="T98" s="34">
        <v>500</v>
      </c>
    </row>
    <row r="99" spans="1:20" x14ac:dyDescent="0.25">
      <c r="A99" s="36" t="s">
        <v>226</v>
      </c>
      <c r="B99" s="36"/>
      <c r="C99" s="36" t="s">
        <v>35</v>
      </c>
      <c r="D99" s="39">
        <v>45509</v>
      </c>
      <c r="E99" s="39">
        <v>45874</v>
      </c>
      <c r="F99" s="36" t="s">
        <v>1208</v>
      </c>
      <c r="G99" s="36" t="s">
        <v>61</v>
      </c>
      <c r="H99" s="41">
        <f t="shared" si="56"/>
        <v>14960.000000000002</v>
      </c>
      <c r="I99" s="41">
        <f t="shared" si="56"/>
        <v>12396.551724137933</v>
      </c>
      <c r="J99" s="42">
        <v>4.2500000000000003E-2</v>
      </c>
      <c r="K99" s="41">
        <f t="shared" si="57"/>
        <v>14960.000000000002</v>
      </c>
      <c r="L99" s="41">
        <f t="shared" si="58"/>
        <v>12396.551724137933</v>
      </c>
      <c r="M99" s="41">
        <f t="shared" si="59"/>
        <v>0</v>
      </c>
      <c r="N99" s="36" t="s">
        <v>1906</v>
      </c>
      <c r="O99" s="37">
        <v>45509</v>
      </c>
      <c r="P99" s="44" t="s">
        <v>58</v>
      </c>
      <c r="Q99" s="38">
        <v>352000</v>
      </c>
      <c r="R99" s="33">
        <f t="shared" si="38"/>
        <v>1859.4827586206898</v>
      </c>
      <c r="S99" s="35">
        <f t="shared" si="33"/>
        <v>123.96551724137933</v>
      </c>
      <c r="T99" s="34">
        <v>500</v>
      </c>
    </row>
    <row r="100" spans="1:20" x14ac:dyDescent="0.25">
      <c r="A100" s="36" t="s">
        <v>227</v>
      </c>
      <c r="B100" s="36"/>
      <c r="C100" s="36" t="s">
        <v>35</v>
      </c>
      <c r="D100" s="39">
        <v>45875</v>
      </c>
      <c r="E100" s="39">
        <v>46240</v>
      </c>
      <c r="F100" s="36" t="s">
        <v>1208</v>
      </c>
      <c r="G100" s="36" t="s">
        <v>61</v>
      </c>
      <c r="H100" s="41">
        <f t="shared" si="56"/>
        <v>14960.000000000002</v>
      </c>
      <c r="I100" s="41">
        <f t="shared" si="56"/>
        <v>12396.551724137933</v>
      </c>
      <c r="J100" s="42">
        <v>4.2500000000000003E-2</v>
      </c>
      <c r="K100" s="41">
        <f t="shared" si="57"/>
        <v>14960.000000000002</v>
      </c>
      <c r="L100" s="41">
        <f t="shared" si="58"/>
        <v>12396.551724137933</v>
      </c>
      <c r="M100" s="41">
        <f t="shared" si="59"/>
        <v>0</v>
      </c>
      <c r="N100" s="36" t="s">
        <v>1906</v>
      </c>
      <c r="O100" s="37">
        <v>45509</v>
      </c>
      <c r="P100" s="44" t="s">
        <v>58</v>
      </c>
      <c r="Q100" s="38">
        <v>352000</v>
      </c>
      <c r="R100" s="33">
        <f t="shared" si="38"/>
        <v>1859.4827586206898</v>
      </c>
      <c r="S100" s="35">
        <f t="shared" si="33"/>
        <v>123.96551724137933</v>
      </c>
      <c r="T100" s="34">
        <v>500</v>
      </c>
    </row>
    <row r="101" spans="1:20" x14ac:dyDescent="0.25">
      <c r="A101" s="36" t="s">
        <v>228</v>
      </c>
      <c r="B101" s="36"/>
      <c r="C101" s="36" t="s">
        <v>53</v>
      </c>
      <c r="D101" s="39">
        <v>45509</v>
      </c>
      <c r="E101" s="39">
        <v>45874</v>
      </c>
      <c r="F101" s="36" t="s">
        <v>1209</v>
      </c>
      <c r="G101" s="36" t="s">
        <v>61</v>
      </c>
      <c r="H101" s="41">
        <f>K101</f>
        <v>8800</v>
      </c>
      <c r="I101" s="41">
        <f>L101</f>
        <v>7086.2068965517246</v>
      </c>
      <c r="J101" s="42">
        <v>2.5000000000000001E-2</v>
      </c>
      <c r="K101" s="41">
        <f t="shared" ref="K101" si="60">Q101*J101</f>
        <v>8800</v>
      </c>
      <c r="L101" s="41">
        <f t="shared" ref="L101" si="61">K101/116%-T101</f>
        <v>7086.2068965517246</v>
      </c>
      <c r="M101" s="40"/>
      <c r="N101" s="36" t="s">
        <v>1907</v>
      </c>
      <c r="O101" s="37">
        <v>45509</v>
      </c>
      <c r="P101" s="44" t="s">
        <v>58</v>
      </c>
      <c r="Q101" s="38">
        <v>352000</v>
      </c>
      <c r="R101" s="33">
        <f t="shared" si="38"/>
        <v>1062.9310344827586</v>
      </c>
      <c r="S101" s="35">
        <f t="shared" si="33"/>
        <v>70.862068965517253</v>
      </c>
      <c r="T101" s="34">
        <v>500</v>
      </c>
    </row>
    <row r="102" spans="1:20" x14ac:dyDescent="0.25">
      <c r="A102" s="36" t="s">
        <v>229</v>
      </c>
      <c r="B102" s="36"/>
      <c r="C102" s="36" t="s">
        <v>30</v>
      </c>
      <c r="D102" s="39">
        <v>45509</v>
      </c>
      <c r="E102" s="39">
        <v>45874</v>
      </c>
      <c r="F102" s="36" t="s">
        <v>1210</v>
      </c>
      <c r="G102" s="36" t="s">
        <v>61</v>
      </c>
      <c r="H102" s="41">
        <f t="shared" ref="H102:I104" si="62">K102</f>
        <v>14960.000000000002</v>
      </c>
      <c r="I102" s="41">
        <f t="shared" si="62"/>
        <v>12396.551724137933</v>
      </c>
      <c r="J102" s="42">
        <v>4.2500000000000003E-2</v>
      </c>
      <c r="K102" s="41">
        <f t="shared" ref="K102:K114" si="63">Q102*J102</f>
        <v>14960.000000000002</v>
      </c>
      <c r="L102" s="41">
        <f t="shared" ref="L102:L114" si="64">K102/116%-T102</f>
        <v>12396.551724137933</v>
      </c>
      <c r="M102" s="41">
        <f t="shared" ref="M102:M104" si="65">K102-H102</f>
        <v>0</v>
      </c>
      <c r="N102" s="36" t="s">
        <v>1908</v>
      </c>
      <c r="O102" s="37">
        <v>45509</v>
      </c>
      <c r="P102" s="44" t="s">
        <v>58</v>
      </c>
      <c r="Q102" s="38">
        <v>352000</v>
      </c>
      <c r="R102" s="33">
        <f t="shared" si="38"/>
        <v>1859.4827586206898</v>
      </c>
      <c r="S102" s="35">
        <f t="shared" si="33"/>
        <v>123.96551724137933</v>
      </c>
      <c r="T102" s="34">
        <v>500</v>
      </c>
    </row>
    <row r="103" spans="1:20" x14ac:dyDescent="0.25">
      <c r="A103" s="36" t="s">
        <v>230</v>
      </c>
      <c r="B103" s="36"/>
      <c r="C103" s="36" t="s">
        <v>35</v>
      </c>
      <c r="D103" s="39">
        <v>45509</v>
      </c>
      <c r="E103" s="39">
        <v>45874</v>
      </c>
      <c r="F103" s="36" t="s">
        <v>1211</v>
      </c>
      <c r="G103" s="36" t="s">
        <v>61</v>
      </c>
      <c r="H103" s="41">
        <f t="shared" si="62"/>
        <v>14960.000000000002</v>
      </c>
      <c r="I103" s="41">
        <f t="shared" si="62"/>
        <v>12396.551724137933</v>
      </c>
      <c r="J103" s="42">
        <v>4.2500000000000003E-2</v>
      </c>
      <c r="K103" s="41">
        <f t="shared" si="63"/>
        <v>14960.000000000002</v>
      </c>
      <c r="L103" s="41">
        <f t="shared" si="64"/>
        <v>12396.551724137933</v>
      </c>
      <c r="M103" s="41">
        <f t="shared" si="65"/>
        <v>0</v>
      </c>
      <c r="N103" s="36" t="s">
        <v>1909</v>
      </c>
      <c r="O103" s="37">
        <v>45509</v>
      </c>
      <c r="P103" s="44" t="s">
        <v>58</v>
      </c>
      <c r="Q103" s="38">
        <v>352000</v>
      </c>
      <c r="R103" s="33">
        <f t="shared" si="38"/>
        <v>1859.4827586206898</v>
      </c>
      <c r="S103" s="35">
        <f t="shared" si="33"/>
        <v>123.96551724137933</v>
      </c>
      <c r="T103" s="34">
        <v>500</v>
      </c>
    </row>
    <row r="104" spans="1:20" x14ac:dyDescent="0.25">
      <c r="A104" s="36" t="s">
        <v>231</v>
      </c>
      <c r="B104" s="36"/>
      <c r="C104" s="36" t="s">
        <v>35</v>
      </c>
      <c r="D104" s="39">
        <v>45875</v>
      </c>
      <c r="E104" s="39">
        <v>46240</v>
      </c>
      <c r="F104" s="36" t="s">
        <v>1211</v>
      </c>
      <c r="G104" s="36" t="s">
        <v>61</v>
      </c>
      <c r="H104" s="41">
        <f t="shared" si="62"/>
        <v>14960.000000000002</v>
      </c>
      <c r="I104" s="41">
        <f t="shared" si="62"/>
        <v>12396.551724137933</v>
      </c>
      <c r="J104" s="42">
        <v>4.2500000000000003E-2</v>
      </c>
      <c r="K104" s="41">
        <f t="shared" si="63"/>
        <v>14960.000000000002</v>
      </c>
      <c r="L104" s="41">
        <f t="shared" si="64"/>
        <v>12396.551724137933</v>
      </c>
      <c r="M104" s="41">
        <f t="shared" si="65"/>
        <v>0</v>
      </c>
      <c r="N104" s="36" t="s">
        <v>1909</v>
      </c>
      <c r="O104" s="37">
        <v>45509</v>
      </c>
      <c r="P104" s="44" t="s">
        <v>58</v>
      </c>
      <c r="Q104" s="38">
        <v>352000</v>
      </c>
      <c r="R104" s="33">
        <f t="shared" si="38"/>
        <v>1859.4827586206898</v>
      </c>
      <c r="S104" s="35">
        <f t="shared" si="33"/>
        <v>123.96551724137933</v>
      </c>
      <c r="T104" s="34">
        <v>500</v>
      </c>
    </row>
    <row r="105" spans="1:20" x14ac:dyDescent="0.25">
      <c r="A105" s="36" t="s">
        <v>232</v>
      </c>
      <c r="B105" s="36"/>
      <c r="C105" s="36" t="s">
        <v>50</v>
      </c>
      <c r="D105" s="39">
        <v>45509</v>
      </c>
      <c r="E105" s="39">
        <v>45874</v>
      </c>
      <c r="F105" s="36" t="s">
        <v>1212</v>
      </c>
      <c r="G105" s="36" t="s">
        <v>61</v>
      </c>
      <c r="H105" s="41">
        <f>K105</f>
        <v>8800</v>
      </c>
      <c r="I105" s="41">
        <f>L105</f>
        <v>7086.2068965517246</v>
      </c>
      <c r="J105" s="42">
        <v>2.5000000000000001E-2</v>
      </c>
      <c r="K105" s="41">
        <f t="shared" si="63"/>
        <v>8800</v>
      </c>
      <c r="L105" s="41">
        <f t="shared" si="64"/>
        <v>7086.2068965517246</v>
      </c>
      <c r="M105" s="40"/>
      <c r="N105" s="36" t="s">
        <v>1910</v>
      </c>
      <c r="O105" s="37">
        <v>45509</v>
      </c>
      <c r="P105" s="44" t="s">
        <v>58</v>
      </c>
      <c r="Q105" s="38">
        <v>352000</v>
      </c>
      <c r="R105" s="33">
        <f t="shared" si="38"/>
        <v>1062.9310344827586</v>
      </c>
      <c r="S105" s="35">
        <f t="shared" si="33"/>
        <v>70.862068965517253</v>
      </c>
      <c r="T105" s="34">
        <v>500</v>
      </c>
    </row>
    <row r="106" spans="1:20" x14ac:dyDescent="0.25">
      <c r="A106" s="36" t="s">
        <v>233</v>
      </c>
      <c r="B106" s="36"/>
      <c r="C106" s="36" t="s">
        <v>50</v>
      </c>
      <c r="D106" s="39">
        <v>45509</v>
      </c>
      <c r="E106" s="39">
        <v>45874</v>
      </c>
      <c r="F106" s="36" t="s">
        <v>1213</v>
      </c>
      <c r="G106" s="36" t="s">
        <v>61</v>
      </c>
      <c r="H106" s="41">
        <f t="shared" ref="H106:H114" si="66">K106</f>
        <v>8800</v>
      </c>
      <c r="I106" s="41">
        <f t="shared" ref="I106:I114" si="67">L106</f>
        <v>7086.2068965517246</v>
      </c>
      <c r="J106" s="42">
        <v>2.5000000000000001E-2</v>
      </c>
      <c r="K106" s="41">
        <f t="shared" si="63"/>
        <v>8800</v>
      </c>
      <c r="L106" s="41">
        <f t="shared" si="64"/>
        <v>7086.2068965517246</v>
      </c>
      <c r="M106" s="40"/>
      <c r="N106" s="36" t="s">
        <v>1911</v>
      </c>
      <c r="O106" s="37">
        <v>45509</v>
      </c>
      <c r="P106" s="44" t="s">
        <v>58</v>
      </c>
      <c r="Q106" s="38">
        <v>352000</v>
      </c>
      <c r="R106" s="33">
        <f t="shared" si="38"/>
        <v>1062.9310344827586</v>
      </c>
      <c r="S106" s="35">
        <f t="shared" si="33"/>
        <v>70.862068965517253</v>
      </c>
      <c r="T106" s="34">
        <v>500</v>
      </c>
    </row>
    <row r="107" spans="1:20" x14ac:dyDescent="0.25">
      <c r="A107" s="36" t="s">
        <v>234</v>
      </c>
      <c r="B107" s="36"/>
      <c r="C107" s="36" t="s">
        <v>67</v>
      </c>
      <c r="D107" s="39">
        <v>45509</v>
      </c>
      <c r="E107" s="39">
        <v>45874</v>
      </c>
      <c r="F107" s="36" t="s">
        <v>1214</v>
      </c>
      <c r="G107" s="36" t="s">
        <v>63</v>
      </c>
      <c r="H107" s="41">
        <f t="shared" si="66"/>
        <v>13675</v>
      </c>
      <c r="I107" s="41">
        <f t="shared" si="67"/>
        <v>11288.793103448277</v>
      </c>
      <c r="J107" s="42">
        <v>2.5000000000000001E-2</v>
      </c>
      <c r="K107" s="41">
        <f t="shared" si="63"/>
        <v>13675</v>
      </c>
      <c r="L107" s="41">
        <f t="shared" si="64"/>
        <v>11288.793103448277</v>
      </c>
      <c r="M107" s="40"/>
      <c r="N107" s="36" t="s">
        <v>1912</v>
      </c>
      <c r="O107" s="37">
        <v>45509</v>
      </c>
      <c r="P107" s="44" t="s">
        <v>58</v>
      </c>
      <c r="Q107" s="38">
        <v>547000</v>
      </c>
      <c r="R107" s="33">
        <f t="shared" si="38"/>
        <v>1693.3189655172414</v>
      </c>
      <c r="S107" s="35">
        <f t="shared" si="33"/>
        <v>112.88793103448278</v>
      </c>
      <c r="T107" s="34">
        <v>500</v>
      </c>
    </row>
    <row r="108" spans="1:20" x14ac:dyDescent="0.25">
      <c r="A108" s="36" t="s">
        <v>235</v>
      </c>
      <c r="B108" s="36"/>
      <c r="C108" s="36" t="s">
        <v>67</v>
      </c>
      <c r="D108" s="39">
        <v>45509</v>
      </c>
      <c r="E108" s="39">
        <v>45874</v>
      </c>
      <c r="F108" s="36" t="s">
        <v>1215</v>
      </c>
      <c r="G108" s="36" t="s">
        <v>64</v>
      </c>
      <c r="H108" s="41">
        <f t="shared" si="66"/>
        <v>12475</v>
      </c>
      <c r="I108" s="41">
        <f t="shared" si="67"/>
        <v>10254.310344827587</v>
      </c>
      <c r="J108" s="42">
        <v>2.5000000000000001E-2</v>
      </c>
      <c r="K108" s="41">
        <f t="shared" si="63"/>
        <v>12475</v>
      </c>
      <c r="L108" s="41">
        <f t="shared" si="64"/>
        <v>10254.310344827587</v>
      </c>
      <c r="M108" s="40"/>
      <c r="N108" s="36" t="s">
        <v>1913</v>
      </c>
      <c r="O108" s="37">
        <v>45509</v>
      </c>
      <c r="P108" s="44" t="s">
        <v>58</v>
      </c>
      <c r="Q108" s="38">
        <v>499000</v>
      </c>
      <c r="R108" s="33">
        <f t="shared" si="38"/>
        <v>1538.1465517241379</v>
      </c>
      <c r="S108" s="35">
        <f t="shared" si="33"/>
        <v>102.54310344827587</v>
      </c>
      <c r="T108" s="34">
        <v>500</v>
      </c>
    </row>
    <row r="109" spans="1:20" x14ac:dyDescent="0.25">
      <c r="A109" s="36" t="s">
        <v>236</v>
      </c>
      <c r="B109" s="36"/>
      <c r="C109" s="36" t="s">
        <v>73</v>
      </c>
      <c r="D109" s="39">
        <v>45509</v>
      </c>
      <c r="E109" s="39">
        <v>45874</v>
      </c>
      <c r="F109" s="36" t="s">
        <v>1216</v>
      </c>
      <c r="G109" s="36" t="s">
        <v>62</v>
      </c>
      <c r="H109" s="41">
        <f t="shared" si="66"/>
        <v>9550</v>
      </c>
      <c r="I109" s="41">
        <f t="shared" si="67"/>
        <v>7732.7586206896558</v>
      </c>
      <c r="J109" s="42">
        <v>2.5000000000000001E-2</v>
      </c>
      <c r="K109" s="41">
        <f t="shared" si="63"/>
        <v>9550</v>
      </c>
      <c r="L109" s="41">
        <f t="shared" si="64"/>
        <v>7732.7586206896558</v>
      </c>
      <c r="M109" s="40"/>
      <c r="N109" s="36" t="s">
        <v>1914</v>
      </c>
      <c r="O109" s="37">
        <v>45509</v>
      </c>
      <c r="P109" s="44" t="s">
        <v>58</v>
      </c>
      <c r="Q109" s="38">
        <v>382000</v>
      </c>
      <c r="R109" s="33">
        <f t="shared" si="38"/>
        <v>1159.9137931034484</v>
      </c>
      <c r="S109" s="35">
        <f t="shared" si="33"/>
        <v>77.327586206896555</v>
      </c>
      <c r="T109" s="34">
        <v>500</v>
      </c>
    </row>
    <row r="110" spans="1:20" x14ac:dyDescent="0.25">
      <c r="A110" s="36" t="s">
        <v>237</v>
      </c>
      <c r="B110" s="36"/>
      <c r="C110" s="36" t="s">
        <v>67</v>
      </c>
      <c r="D110" s="39">
        <v>45509</v>
      </c>
      <c r="E110" s="39">
        <v>45874</v>
      </c>
      <c r="F110" s="36" t="s">
        <v>1217</v>
      </c>
      <c r="G110" s="36" t="s">
        <v>61</v>
      </c>
      <c r="H110" s="41">
        <f t="shared" si="66"/>
        <v>8800</v>
      </c>
      <c r="I110" s="41">
        <f t="shared" si="67"/>
        <v>7086.2068965517246</v>
      </c>
      <c r="J110" s="42">
        <v>2.5000000000000001E-2</v>
      </c>
      <c r="K110" s="41">
        <f t="shared" si="63"/>
        <v>8800</v>
      </c>
      <c r="L110" s="41">
        <f t="shared" si="64"/>
        <v>7086.2068965517246</v>
      </c>
      <c r="M110" s="40"/>
      <c r="N110" s="36" t="s">
        <v>1915</v>
      </c>
      <c r="O110" s="37">
        <v>45509</v>
      </c>
      <c r="P110" s="44" t="s">
        <v>58</v>
      </c>
      <c r="Q110" s="38">
        <v>352000</v>
      </c>
      <c r="R110" s="33">
        <f t="shared" si="38"/>
        <v>1062.9310344827586</v>
      </c>
      <c r="S110" s="35">
        <f t="shared" si="33"/>
        <v>70.862068965517253</v>
      </c>
      <c r="T110" s="34">
        <v>500</v>
      </c>
    </row>
    <row r="111" spans="1:20" x14ac:dyDescent="0.25">
      <c r="A111" s="36" t="s">
        <v>238</v>
      </c>
      <c r="B111" s="36"/>
      <c r="C111" s="36" t="s">
        <v>73</v>
      </c>
      <c r="D111" s="39">
        <v>45509</v>
      </c>
      <c r="E111" s="39">
        <v>45874</v>
      </c>
      <c r="F111" s="36" t="s">
        <v>1218</v>
      </c>
      <c r="G111" s="36" t="s">
        <v>61</v>
      </c>
      <c r="H111" s="41">
        <f t="shared" si="66"/>
        <v>8800</v>
      </c>
      <c r="I111" s="41">
        <f t="shared" si="67"/>
        <v>7086.2068965517246</v>
      </c>
      <c r="J111" s="42">
        <v>2.5000000000000001E-2</v>
      </c>
      <c r="K111" s="41">
        <f t="shared" si="63"/>
        <v>8800</v>
      </c>
      <c r="L111" s="41">
        <f t="shared" si="64"/>
        <v>7086.2068965517246</v>
      </c>
      <c r="M111" s="40"/>
      <c r="N111" s="36" t="s">
        <v>1916</v>
      </c>
      <c r="O111" s="37">
        <v>45509</v>
      </c>
      <c r="P111" s="44" t="s">
        <v>58</v>
      </c>
      <c r="Q111" s="38">
        <v>352000</v>
      </c>
      <c r="R111" s="33">
        <f t="shared" si="38"/>
        <v>1062.9310344827586</v>
      </c>
      <c r="S111" s="35">
        <f t="shared" si="33"/>
        <v>70.862068965517253</v>
      </c>
      <c r="T111" s="34">
        <v>500</v>
      </c>
    </row>
    <row r="112" spans="1:20" x14ac:dyDescent="0.25">
      <c r="A112" s="36" t="s">
        <v>239</v>
      </c>
      <c r="B112" s="36"/>
      <c r="C112" s="36" t="s">
        <v>67</v>
      </c>
      <c r="D112" s="39">
        <v>45509</v>
      </c>
      <c r="E112" s="39">
        <v>45874</v>
      </c>
      <c r="F112" s="36" t="s">
        <v>1219</v>
      </c>
      <c r="G112" s="36" t="s">
        <v>65</v>
      </c>
      <c r="H112" s="41">
        <f t="shared" si="66"/>
        <v>9550</v>
      </c>
      <c r="I112" s="41">
        <f t="shared" si="67"/>
        <v>7732.7586206896558</v>
      </c>
      <c r="J112" s="42">
        <v>2.5000000000000001E-2</v>
      </c>
      <c r="K112" s="41">
        <f t="shared" si="63"/>
        <v>9550</v>
      </c>
      <c r="L112" s="41">
        <f t="shared" si="64"/>
        <v>7732.7586206896558</v>
      </c>
      <c r="M112" s="40"/>
      <c r="N112" s="36" t="s">
        <v>1917</v>
      </c>
      <c r="O112" s="37">
        <v>45509</v>
      </c>
      <c r="P112" s="44" t="s">
        <v>58</v>
      </c>
      <c r="Q112" s="38">
        <v>382000</v>
      </c>
      <c r="R112" s="33">
        <f t="shared" si="38"/>
        <v>1159.9137931034484</v>
      </c>
      <c r="S112" s="35">
        <f t="shared" si="33"/>
        <v>77.327586206896555</v>
      </c>
      <c r="T112" s="34">
        <v>500</v>
      </c>
    </row>
    <row r="113" spans="1:20" x14ac:dyDescent="0.25">
      <c r="A113" s="36" t="s">
        <v>240</v>
      </c>
      <c r="B113" s="36"/>
      <c r="C113" s="36" t="s">
        <v>73</v>
      </c>
      <c r="D113" s="39">
        <v>45509</v>
      </c>
      <c r="E113" s="39">
        <v>45874</v>
      </c>
      <c r="F113" s="36" t="s">
        <v>1220</v>
      </c>
      <c r="G113" s="36" t="s">
        <v>63</v>
      </c>
      <c r="H113" s="41">
        <f t="shared" si="66"/>
        <v>13675</v>
      </c>
      <c r="I113" s="41">
        <f t="shared" si="67"/>
        <v>11288.793103448277</v>
      </c>
      <c r="J113" s="42">
        <v>2.5000000000000001E-2</v>
      </c>
      <c r="K113" s="41">
        <f t="shared" si="63"/>
        <v>13675</v>
      </c>
      <c r="L113" s="41">
        <f t="shared" si="64"/>
        <v>11288.793103448277</v>
      </c>
      <c r="M113" s="40"/>
      <c r="N113" s="36" t="s">
        <v>1918</v>
      </c>
      <c r="O113" s="37">
        <v>45509</v>
      </c>
      <c r="P113" s="44" t="s">
        <v>58</v>
      </c>
      <c r="Q113" s="38">
        <v>547000</v>
      </c>
      <c r="R113" s="33">
        <f t="shared" si="38"/>
        <v>1693.3189655172414</v>
      </c>
      <c r="S113" s="35">
        <f t="shared" si="33"/>
        <v>112.88793103448278</v>
      </c>
      <c r="T113" s="34">
        <v>500</v>
      </c>
    </row>
    <row r="114" spans="1:20" x14ac:dyDescent="0.25">
      <c r="A114" s="36" t="s">
        <v>241</v>
      </c>
      <c r="B114" s="36"/>
      <c r="C114" s="36" t="s">
        <v>73</v>
      </c>
      <c r="D114" s="39">
        <v>45509</v>
      </c>
      <c r="E114" s="39">
        <v>45874</v>
      </c>
      <c r="F114" s="36" t="s">
        <v>1221</v>
      </c>
      <c r="G114" s="36" t="s">
        <v>65</v>
      </c>
      <c r="H114" s="41">
        <f t="shared" si="66"/>
        <v>9550</v>
      </c>
      <c r="I114" s="41">
        <f t="shared" si="67"/>
        <v>7732.7586206896558</v>
      </c>
      <c r="J114" s="42">
        <v>2.5000000000000001E-2</v>
      </c>
      <c r="K114" s="41">
        <f t="shared" si="63"/>
        <v>9550</v>
      </c>
      <c r="L114" s="41">
        <f t="shared" si="64"/>
        <v>7732.7586206896558</v>
      </c>
      <c r="M114" s="40"/>
      <c r="N114" s="36" t="s">
        <v>1919</v>
      </c>
      <c r="O114" s="37">
        <v>45509</v>
      </c>
      <c r="P114" s="44" t="s">
        <v>58</v>
      </c>
      <c r="Q114" s="38">
        <v>382000</v>
      </c>
      <c r="R114" s="33">
        <f t="shared" si="38"/>
        <v>1159.9137931034484</v>
      </c>
      <c r="S114" s="35">
        <f t="shared" si="33"/>
        <v>77.327586206896555</v>
      </c>
      <c r="T114" s="34">
        <v>500</v>
      </c>
    </row>
    <row r="115" spans="1:20" x14ac:dyDescent="0.25">
      <c r="A115" s="36" t="s">
        <v>242</v>
      </c>
      <c r="B115" s="36"/>
      <c r="C115" s="36" t="s">
        <v>31</v>
      </c>
      <c r="D115" s="39">
        <v>45509</v>
      </c>
      <c r="E115" s="39">
        <v>45874</v>
      </c>
      <c r="F115" s="36" t="s">
        <v>1222</v>
      </c>
      <c r="G115" s="36" t="s">
        <v>61</v>
      </c>
      <c r="H115" s="41">
        <f>K115</f>
        <v>14960.000000000002</v>
      </c>
      <c r="I115" s="41">
        <f>L115</f>
        <v>12396.551724137933</v>
      </c>
      <c r="J115" s="42">
        <v>4.2500000000000003E-2</v>
      </c>
      <c r="K115" s="41">
        <f>Q115*J115</f>
        <v>14960.000000000002</v>
      </c>
      <c r="L115" s="41">
        <f>K115/116%-T115</f>
        <v>12396.551724137933</v>
      </c>
      <c r="M115" s="41">
        <f>K115-H115</f>
        <v>0</v>
      </c>
      <c r="N115" s="36" t="s">
        <v>1920</v>
      </c>
      <c r="O115" s="37">
        <v>45509</v>
      </c>
      <c r="P115" s="44" t="s">
        <v>58</v>
      </c>
      <c r="Q115" s="38">
        <v>352000</v>
      </c>
      <c r="R115" s="33">
        <f t="shared" si="38"/>
        <v>1859.4827586206898</v>
      </c>
      <c r="S115" s="35">
        <f t="shared" si="33"/>
        <v>123.96551724137933</v>
      </c>
      <c r="T115" s="34">
        <v>500</v>
      </c>
    </row>
    <row r="116" spans="1:20" x14ac:dyDescent="0.25">
      <c r="A116" s="36" t="s">
        <v>243</v>
      </c>
      <c r="B116" s="36"/>
      <c r="C116" s="36" t="s">
        <v>73</v>
      </c>
      <c r="D116" s="39">
        <v>45509</v>
      </c>
      <c r="E116" s="39">
        <v>45874</v>
      </c>
      <c r="F116" s="36" t="s">
        <v>1223</v>
      </c>
      <c r="G116" s="36" t="s">
        <v>63</v>
      </c>
      <c r="H116" s="41">
        <f>K116</f>
        <v>13675</v>
      </c>
      <c r="I116" s="41">
        <f>L116</f>
        <v>11288.793103448277</v>
      </c>
      <c r="J116" s="42">
        <v>2.5000000000000001E-2</v>
      </c>
      <c r="K116" s="41">
        <f t="shared" ref="K116:K118" si="68">Q116*J116</f>
        <v>13675</v>
      </c>
      <c r="L116" s="41">
        <f t="shared" ref="L116:L118" si="69">K116/116%-T116</f>
        <v>11288.793103448277</v>
      </c>
      <c r="M116" s="40"/>
      <c r="N116" s="36" t="s">
        <v>1921</v>
      </c>
      <c r="O116" s="37">
        <v>45509</v>
      </c>
      <c r="P116" s="44" t="s">
        <v>58</v>
      </c>
      <c r="Q116" s="38">
        <v>547000</v>
      </c>
      <c r="R116" s="33">
        <f t="shared" si="38"/>
        <v>1693.3189655172414</v>
      </c>
      <c r="S116" s="35">
        <f t="shared" si="33"/>
        <v>112.88793103448278</v>
      </c>
      <c r="T116" s="34">
        <v>500</v>
      </c>
    </row>
    <row r="117" spans="1:20" x14ac:dyDescent="0.25">
      <c r="A117" s="36" t="s">
        <v>244</v>
      </c>
      <c r="B117" s="36"/>
      <c r="C117" s="36" t="s">
        <v>73</v>
      </c>
      <c r="D117" s="39">
        <v>45509</v>
      </c>
      <c r="E117" s="39">
        <v>45874</v>
      </c>
      <c r="F117" s="36" t="s">
        <v>1224</v>
      </c>
      <c r="G117" s="36" t="s">
        <v>62</v>
      </c>
      <c r="H117" s="41">
        <f t="shared" ref="H117:H118" si="70">K117</f>
        <v>9550</v>
      </c>
      <c r="I117" s="41">
        <f t="shared" ref="I117:I118" si="71">L117</f>
        <v>7732.7586206896558</v>
      </c>
      <c r="J117" s="42">
        <v>2.5000000000000001E-2</v>
      </c>
      <c r="K117" s="41">
        <f t="shared" si="68"/>
        <v>9550</v>
      </c>
      <c r="L117" s="41">
        <f t="shared" si="69"/>
        <v>7732.7586206896558</v>
      </c>
      <c r="M117" s="40"/>
      <c r="N117" s="36" t="s">
        <v>1922</v>
      </c>
      <c r="O117" s="37">
        <v>45509</v>
      </c>
      <c r="P117" s="44" t="s">
        <v>58</v>
      </c>
      <c r="Q117" s="38">
        <v>382000</v>
      </c>
      <c r="R117" s="33">
        <f t="shared" si="38"/>
        <v>1159.9137931034484</v>
      </c>
      <c r="S117" s="35">
        <f t="shared" si="33"/>
        <v>77.327586206896555</v>
      </c>
      <c r="T117" s="34">
        <v>500</v>
      </c>
    </row>
    <row r="118" spans="1:20" x14ac:dyDescent="0.25">
      <c r="A118" s="36" t="s">
        <v>245</v>
      </c>
      <c r="B118" s="36"/>
      <c r="C118" s="36" t="s">
        <v>73</v>
      </c>
      <c r="D118" s="39">
        <v>45509</v>
      </c>
      <c r="E118" s="39">
        <v>45874</v>
      </c>
      <c r="F118" s="36" t="s">
        <v>1225</v>
      </c>
      <c r="G118" s="36" t="s">
        <v>62</v>
      </c>
      <c r="H118" s="41">
        <f t="shared" si="70"/>
        <v>9550</v>
      </c>
      <c r="I118" s="41">
        <f t="shared" si="71"/>
        <v>7732.7586206896558</v>
      </c>
      <c r="J118" s="42">
        <v>2.5000000000000001E-2</v>
      </c>
      <c r="K118" s="41">
        <f t="shared" si="68"/>
        <v>9550</v>
      </c>
      <c r="L118" s="41">
        <f t="shared" si="69"/>
        <v>7732.7586206896558</v>
      </c>
      <c r="M118" s="40"/>
      <c r="N118" s="36" t="s">
        <v>1922</v>
      </c>
      <c r="O118" s="37">
        <v>45509</v>
      </c>
      <c r="P118" s="44" t="s">
        <v>58</v>
      </c>
      <c r="Q118" s="38">
        <v>382000</v>
      </c>
      <c r="R118" s="33">
        <f t="shared" si="38"/>
        <v>1159.9137931034484</v>
      </c>
      <c r="S118" s="35">
        <f t="shared" si="33"/>
        <v>77.327586206896555</v>
      </c>
      <c r="T118" s="34">
        <v>500</v>
      </c>
    </row>
    <row r="119" spans="1:20" x14ac:dyDescent="0.25">
      <c r="A119" s="36" t="s">
        <v>246</v>
      </c>
      <c r="B119" s="36"/>
      <c r="C119" s="36" t="s">
        <v>32</v>
      </c>
      <c r="D119" s="39">
        <v>45509</v>
      </c>
      <c r="E119" s="39">
        <v>45874</v>
      </c>
      <c r="F119" s="36" t="s">
        <v>1226</v>
      </c>
      <c r="G119" s="36" t="s">
        <v>62</v>
      </c>
      <c r="H119" s="41">
        <f t="shared" ref="H119:I121" si="72">K119</f>
        <v>16235.000000000002</v>
      </c>
      <c r="I119" s="41">
        <f t="shared" si="72"/>
        <v>13495.689655172417</v>
      </c>
      <c r="J119" s="42">
        <v>4.2500000000000003E-2</v>
      </c>
      <c r="K119" s="41">
        <f t="shared" ref="K119:K121" si="73">Q119*J119</f>
        <v>16235.000000000002</v>
      </c>
      <c r="L119" s="41">
        <f t="shared" ref="L119:L121" si="74">K119/116%-T119</f>
        <v>13495.689655172417</v>
      </c>
      <c r="M119" s="41">
        <f t="shared" ref="M119:M120" si="75">K119-H119</f>
        <v>0</v>
      </c>
      <c r="N119" s="36" t="s">
        <v>1923</v>
      </c>
      <c r="O119" s="37">
        <v>45509</v>
      </c>
      <c r="P119" s="44" t="s">
        <v>58</v>
      </c>
      <c r="Q119" s="38">
        <v>382000</v>
      </c>
      <c r="R119" s="33">
        <f t="shared" si="38"/>
        <v>2024.3534482758625</v>
      </c>
      <c r="S119" s="35">
        <f t="shared" si="33"/>
        <v>134.95689655172416</v>
      </c>
      <c r="T119" s="34">
        <v>500</v>
      </c>
    </row>
    <row r="120" spans="1:20" x14ac:dyDescent="0.25">
      <c r="A120" s="36" t="s">
        <v>247</v>
      </c>
      <c r="B120" s="36"/>
      <c r="C120" s="36" t="s">
        <v>30</v>
      </c>
      <c r="D120" s="39">
        <v>45509</v>
      </c>
      <c r="E120" s="39">
        <v>45874</v>
      </c>
      <c r="F120" s="36" t="s">
        <v>125</v>
      </c>
      <c r="G120" s="36" t="s">
        <v>61</v>
      </c>
      <c r="H120" s="41">
        <f t="shared" si="72"/>
        <v>14960.000000000002</v>
      </c>
      <c r="I120" s="41">
        <f t="shared" si="72"/>
        <v>12396.551724137933</v>
      </c>
      <c r="J120" s="42">
        <v>4.2500000000000003E-2</v>
      </c>
      <c r="K120" s="41">
        <f t="shared" si="73"/>
        <v>14960.000000000002</v>
      </c>
      <c r="L120" s="41">
        <f t="shared" si="74"/>
        <v>12396.551724137933</v>
      </c>
      <c r="M120" s="41">
        <f t="shared" si="75"/>
        <v>0</v>
      </c>
      <c r="N120" s="36" t="s">
        <v>1924</v>
      </c>
      <c r="O120" s="37">
        <v>45509</v>
      </c>
      <c r="P120" s="44" t="s">
        <v>58</v>
      </c>
      <c r="Q120" s="38">
        <v>352000</v>
      </c>
      <c r="R120" s="33">
        <f t="shared" si="38"/>
        <v>1859.4827586206898</v>
      </c>
      <c r="S120" s="35">
        <f t="shared" si="33"/>
        <v>123.96551724137933</v>
      </c>
      <c r="T120" s="34">
        <v>500</v>
      </c>
    </row>
    <row r="121" spans="1:20" x14ac:dyDescent="0.25">
      <c r="A121" s="36" t="s">
        <v>248</v>
      </c>
      <c r="B121" s="36"/>
      <c r="C121" s="36" t="s">
        <v>49</v>
      </c>
      <c r="D121" s="39">
        <v>45509</v>
      </c>
      <c r="E121" s="39">
        <v>45874</v>
      </c>
      <c r="F121" s="36" t="s">
        <v>1227</v>
      </c>
      <c r="G121" s="36" t="s">
        <v>61</v>
      </c>
      <c r="H121" s="41">
        <f t="shared" si="72"/>
        <v>8800</v>
      </c>
      <c r="I121" s="41">
        <f t="shared" si="72"/>
        <v>7086.2068965517246</v>
      </c>
      <c r="J121" s="42">
        <v>2.5000000000000001E-2</v>
      </c>
      <c r="K121" s="41">
        <f t="shared" si="73"/>
        <v>8800</v>
      </c>
      <c r="L121" s="41">
        <f t="shared" si="74"/>
        <v>7086.2068965517246</v>
      </c>
      <c r="M121" s="40"/>
      <c r="N121" s="36" t="s">
        <v>1925</v>
      </c>
      <c r="O121" s="37">
        <v>45509</v>
      </c>
      <c r="P121" s="44" t="s">
        <v>58</v>
      </c>
      <c r="Q121" s="38">
        <v>352000</v>
      </c>
      <c r="R121" s="33">
        <f t="shared" si="38"/>
        <v>1062.9310344827586</v>
      </c>
      <c r="S121" s="35">
        <f t="shared" si="33"/>
        <v>70.862068965517253</v>
      </c>
      <c r="T121" s="34">
        <v>500</v>
      </c>
    </row>
    <row r="122" spans="1:20" x14ac:dyDescent="0.25">
      <c r="A122" s="36" t="s">
        <v>249</v>
      </c>
      <c r="B122" s="36"/>
      <c r="C122" s="36" t="s">
        <v>33</v>
      </c>
      <c r="D122" s="39">
        <v>45509</v>
      </c>
      <c r="E122" s="39">
        <v>45874</v>
      </c>
      <c r="F122" s="36" t="s">
        <v>1228</v>
      </c>
      <c r="G122" s="36" t="s">
        <v>62</v>
      </c>
      <c r="H122" s="41">
        <f t="shared" ref="H122:H156" si="76">K122</f>
        <v>16235.000000000002</v>
      </c>
      <c r="I122" s="41">
        <f t="shared" ref="I122:I156" si="77">L122</f>
        <v>13495.689655172417</v>
      </c>
      <c r="J122" s="42">
        <v>4.2500000000000003E-2</v>
      </c>
      <c r="K122" s="41">
        <f t="shared" ref="K122:K156" si="78">Q122*J122</f>
        <v>16235.000000000002</v>
      </c>
      <c r="L122" s="41">
        <f t="shared" ref="L122:L156" si="79">K122/116%-T122</f>
        <v>13495.689655172417</v>
      </c>
      <c r="M122" s="41">
        <f t="shared" ref="M122:M156" si="80">K122-H122</f>
        <v>0</v>
      </c>
      <c r="N122" s="36" t="s">
        <v>1926</v>
      </c>
      <c r="O122" s="37">
        <v>45509</v>
      </c>
      <c r="P122" s="44" t="s">
        <v>58</v>
      </c>
      <c r="Q122" s="38">
        <v>382000</v>
      </c>
      <c r="R122" s="33">
        <f t="shared" si="38"/>
        <v>2024.3534482758625</v>
      </c>
      <c r="S122" s="35">
        <f t="shared" si="33"/>
        <v>134.95689655172416</v>
      </c>
      <c r="T122" s="34">
        <v>500</v>
      </c>
    </row>
    <row r="123" spans="1:20" x14ac:dyDescent="0.25">
      <c r="A123" s="36" t="s">
        <v>250</v>
      </c>
      <c r="B123" s="36"/>
      <c r="C123" s="36" t="s">
        <v>33</v>
      </c>
      <c r="D123" s="39">
        <v>45875</v>
      </c>
      <c r="E123" s="39">
        <v>46240</v>
      </c>
      <c r="F123" s="36" t="s">
        <v>1228</v>
      </c>
      <c r="G123" s="36" t="s">
        <v>62</v>
      </c>
      <c r="H123" s="41">
        <f t="shared" si="76"/>
        <v>16235.000000000002</v>
      </c>
      <c r="I123" s="41">
        <f t="shared" si="77"/>
        <v>13495.689655172417</v>
      </c>
      <c r="J123" s="42">
        <v>4.2500000000000003E-2</v>
      </c>
      <c r="K123" s="41">
        <f t="shared" si="78"/>
        <v>16235.000000000002</v>
      </c>
      <c r="L123" s="41">
        <f t="shared" si="79"/>
        <v>13495.689655172417</v>
      </c>
      <c r="M123" s="41">
        <f t="shared" si="80"/>
        <v>0</v>
      </c>
      <c r="N123" s="36" t="s">
        <v>1926</v>
      </c>
      <c r="O123" s="37">
        <v>45509</v>
      </c>
      <c r="P123" s="44" t="s">
        <v>58</v>
      </c>
      <c r="Q123" s="38">
        <v>382000</v>
      </c>
      <c r="R123" s="33">
        <f t="shared" si="38"/>
        <v>2024.3534482758625</v>
      </c>
      <c r="S123" s="35">
        <f t="shared" si="33"/>
        <v>134.95689655172416</v>
      </c>
      <c r="T123" s="34">
        <v>500</v>
      </c>
    </row>
    <row r="124" spans="1:20" x14ac:dyDescent="0.25">
      <c r="A124" s="36" t="s">
        <v>251</v>
      </c>
      <c r="B124" s="36"/>
      <c r="C124" s="36" t="s">
        <v>32</v>
      </c>
      <c r="D124" s="39">
        <v>45509</v>
      </c>
      <c r="E124" s="39">
        <v>45874</v>
      </c>
      <c r="F124" s="36" t="s">
        <v>1229</v>
      </c>
      <c r="G124" s="36" t="s">
        <v>65</v>
      </c>
      <c r="H124" s="41">
        <f t="shared" si="76"/>
        <v>16235.000000000002</v>
      </c>
      <c r="I124" s="41">
        <f t="shared" si="77"/>
        <v>13495.689655172417</v>
      </c>
      <c r="J124" s="42">
        <v>4.2500000000000003E-2</v>
      </c>
      <c r="K124" s="41">
        <f t="shared" si="78"/>
        <v>16235.000000000002</v>
      </c>
      <c r="L124" s="41">
        <f t="shared" si="79"/>
        <v>13495.689655172417</v>
      </c>
      <c r="M124" s="41">
        <f t="shared" si="80"/>
        <v>0</v>
      </c>
      <c r="N124" s="36" t="s">
        <v>1927</v>
      </c>
      <c r="O124" s="37">
        <v>45509</v>
      </c>
      <c r="P124" s="44" t="s">
        <v>58</v>
      </c>
      <c r="Q124" s="38">
        <v>382000</v>
      </c>
      <c r="R124" s="33">
        <f t="shared" si="38"/>
        <v>2024.3534482758625</v>
      </c>
      <c r="S124" s="35">
        <f t="shared" si="33"/>
        <v>134.95689655172416</v>
      </c>
      <c r="T124" s="34">
        <v>500</v>
      </c>
    </row>
    <row r="125" spans="1:20" x14ac:dyDescent="0.25">
      <c r="A125" s="36" t="s">
        <v>252</v>
      </c>
      <c r="B125" s="36"/>
      <c r="C125" s="36" t="s">
        <v>32</v>
      </c>
      <c r="D125" s="39">
        <v>45875</v>
      </c>
      <c r="E125" s="39">
        <v>46240</v>
      </c>
      <c r="F125" s="36" t="s">
        <v>1229</v>
      </c>
      <c r="G125" s="36" t="s">
        <v>65</v>
      </c>
      <c r="H125" s="41">
        <f t="shared" si="76"/>
        <v>16235.000000000002</v>
      </c>
      <c r="I125" s="41">
        <f t="shared" si="77"/>
        <v>13495.689655172417</v>
      </c>
      <c r="J125" s="42">
        <v>4.2500000000000003E-2</v>
      </c>
      <c r="K125" s="41">
        <f t="shared" si="78"/>
        <v>16235.000000000002</v>
      </c>
      <c r="L125" s="41">
        <f t="shared" si="79"/>
        <v>13495.689655172417</v>
      </c>
      <c r="M125" s="41">
        <f t="shared" si="80"/>
        <v>0</v>
      </c>
      <c r="N125" s="36" t="s">
        <v>1927</v>
      </c>
      <c r="O125" s="37">
        <v>45509</v>
      </c>
      <c r="P125" s="44" t="s">
        <v>58</v>
      </c>
      <c r="Q125" s="38">
        <v>382000</v>
      </c>
      <c r="R125" s="33">
        <f t="shared" si="38"/>
        <v>2024.3534482758625</v>
      </c>
      <c r="S125" s="35">
        <f t="shared" si="33"/>
        <v>134.95689655172416</v>
      </c>
      <c r="T125" s="34">
        <v>500</v>
      </c>
    </row>
    <row r="126" spans="1:20" x14ac:dyDescent="0.25">
      <c r="A126" s="36" t="s">
        <v>253</v>
      </c>
      <c r="B126" s="36"/>
      <c r="C126" s="36" t="s">
        <v>35</v>
      </c>
      <c r="D126" s="39">
        <v>45509</v>
      </c>
      <c r="E126" s="39">
        <v>45874</v>
      </c>
      <c r="F126" s="36" t="s">
        <v>1230</v>
      </c>
      <c r="G126" s="36" t="s">
        <v>61</v>
      </c>
      <c r="H126" s="41">
        <f t="shared" si="76"/>
        <v>14960.000000000002</v>
      </c>
      <c r="I126" s="41">
        <f t="shared" si="77"/>
        <v>12396.551724137933</v>
      </c>
      <c r="J126" s="42">
        <v>4.2500000000000003E-2</v>
      </c>
      <c r="K126" s="41">
        <f t="shared" si="78"/>
        <v>14960.000000000002</v>
      </c>
      <c r="L126" s="41">
        <f t="shared" si="79"/>
        <v>12396.551724137933</v>
      </c>
      <c r="M126" s="41">
        <f t="shared" si="80"/>
        <v>0</v>
      </c>
      <c r="N126" s="36" t="s">
        <v>1928</v>
      </c>
      <c r="O126" s="37">
        <v>45509</v>
      </c>
      <c r="P126" s="44" t="s">
        <v>58</v>
      </c>
      <c r="Q126" s="38">
        <v>352000</v>
      </c>
      <c r="R126" s="33">
        <f t="shared" si="38"/>
        <v>1859.4827586206898</v>
      </c>
      <c r="S126" s="35">
        <f t="shared" si="33"/>
        <v>123.96551724137933</v>
      </c>
      <c r="T126" s="34">
        <v>500</v>
      </c>
    </row>
    <row r="127" spans="1:20" x14ac:dyDescent="0.25">
      <c r="A127" s="36" t="s">
        <v>254</v>
      </c>
      <c r="B127" s="36"/>
      <c r="C127" s="36" t="s">
        <v>39</v>
      </c>
      <c r="D127" s="39">
        <v>45509</v>
      </c>
      <c r="E127" s="39">
        <v>45874</v>
      </c>
      <c r="F127" s="36" t="s">
        <v>1231</v>
      </c>
      <c r="G127" s="36" t="s">
        <v>61</v>
      </c>
      <c r="H127" s="41">
        <f t="shared" si="76"/>
        <v>14960.000000000002</v>
      </c>
      <c r="I127" s="41">
        <f t="shared" si="77"/>
        <v>12396.551724137933</v>
      </c>
      <c r="J127" s="42">
        <v>4.2500000000000003E-2</v>
      </c>
      <c r="K127" s="41">
        <f t="shared" si="78"/>
        <v>14960.000000000002</v>
      </c>
      <c r="L127" s="41">
        <f t="shared" si="79"/>
        <v>12396.551724137933</v>
      </c>
      <c r="M127" s="41">
        <f t="shared" si="80"/>
        <v>0</v>
      </c>
      <c r="N127" s="36" t="s">
        <v>1929</v>
      </c>
      <c r="O127" s="37">
        <v>45509</v>
      </c>
      <c r="P127" s="44" t="s">
        <v>58</v>
      </c>
      <c r="Q127" s="38">
        <v>352000</v>
      </c>
      <c r="R127" s="33">
        <f t="shared" si="38"/>
        <v>1859.4827586206898</v>
      </c>
      <c r="S127" s="35">
        <f t="shared" si="33"/>
        <v>123.96551724137933</v>
      </c>
      <c r="T127" s="34">
        <v>500</v>
      </c>
    </row>
    <row r="128" spans="1:20" x14ac:dyDescent="0.25">
      <c r="A128" s="36" t="s">
        <v>255</v>
      </c>
      <c r="B128" s="36"/>
      <c r="C128" s="36" t="s">
        <v>32</v>
      </c>
      <c r="D128" s="39">
        <v>45509</v>
      </c>
      <c r="E128" s="39">
        <v>45874</v>
      </c>
      <c r="F128" s="36" t="s">
        <v>1232</v>
      </c>
      <c r="G128" s="36" t="s">
        <v>62</v>
      </c>
      <c r="H128" s="41">
        <f t="shared" si="76"/>
        <v>16235.000000000002</v>
      </c>
      <c r="I128" s="41">
        <f t="shared" si="77"/>
        <v>13495.689655172417</v>
      </c>
      <c r="J128" s="42">
        <v>4.2500000000000003E-2</v>
      </c>
      <c r="K128" s="41">
        <f t="shared" si="78"/>
        <v>16235.000000000002</v>
      </c>
      <c r="L128" s="41">
        <f t="shared" si="79"/>
        <v>13495.689655172417</v>
      </c>
      <c r="M128" s="41">
        <f t="shared" si="80"/>
        <v>0</v>
      </c>
      <c r="N128" s="36" t="s">
        <v>1930</v>
      </c>
      <c r="O128" s="37">
        <v>45509</v>
      </c>
      <c r="P128" s="44" t="s">
        <v>58</v>
      </c>
      <c r="Q128" s="38">
        <v>382000</v>
      </c>
      <c r="R128" s="33">
        <f t="shared" si="38"/>
        <v>2024.3534482758625</v>
      </c>
      <c r="S128" s="35">
        <f t="shared" si="33"/>
        <v>134.95689655172416</v>
      </c>
      <c r="T128" s="34">
        <v>500</v>
      </c>
    </row>
    <row r="129" spans="1:20" x14ac:dyDescent="0.25">
      <c r="A129" s="36" t="s">
        <v>256</v>
      </c>
      <c r="B129" s="36"/>
      <c r="C129" s="36" t="s">
        <v>33</v>
      </c>
      <c r="D129" s="39">
        <v>45509</v>
      </c>
      <c r="E129" s="39">
        <v>45874</v>
      </c>
      <c r="F129" s="36" t="s">
        <v>1233</v>
      </c>
      <c r="G129" s="36" t="s">
        <v>62</v>
      </c>
      <c r="H129" s="41">
        <f t="shared" si="76"/>
        <v>16235.000000000002</v>
      </c>
      <c r="I129" s="41">
        <f t="shared" si="77"/>
        <v>13495.689655172417</v>
      </c>
      <c r="J129" s="42">
        <v>4.2500000000000003E-2</v>
      </c>
      <c r="K129" s="41">
        <f t="shared" si="78"/>
        <v>16235.000000000002</v>
      </c>
      <c r="L129" s="41">
        <f t="shared" si="79"/>
        <v>13495.689655172417</v>
      </c>
      <c r="M129" s="41">
        <f t="shared" si="80"/>
        <v>0</v>
      </c>
      <c r="N129" s="36" t="s">
        <v>1931</v>
      </c>
      <c r="O129" s="37">
        <v>45509</v>
      </c>
      <c r="P129" s="44" t="s">
        <v>58</v>
      </c>
      <c r="Q129" s="38">
        <v>382000</v>
      </c>
      <c r="R129" s="33">
        <f t="shared" si="38"/>
        <v>2024.3534482758625</v>
      </c>
      <c r="S129" s="35">
        <f t="shared" si="33"/>
        <v>134.95689655172416</v>
      </c>
      <c r="T129" s="34">
        <v>500</v>
      </c>
    </row>
    <row r="130" spans="1:20" x14ac:dyDescent="0.25">
      <c r="A130" s="36" t="s">
        <v>257</v>
      </c>
      <c r="B130" s="36"/>
      <c r="C130" s="36" t="s">
        <v>33</v>
      </c>
      <c r="D130" s="39">
        <v>45875</v>
      </c>
      <c r="E130" s="39">
        <v>46240</v>
      </c>
      <c r="F130" s="36" t="s">
        <v>1233</v>
      </c>
      <c r="G130" s="36" t="s">
        <v>62</v>
      </c>
      <c r="H130" s="41">
        <f t="shared" si="76"/>
        <v>16235.000000000002</v>
      </c>
      <c r="I130" s="41">
        <f t="shared" si="77"/>
        <v>13495.689655172417</v>
      </c>
      <c r="J130" s="42">
        <v>4.2500000000000003E-2</v>
      </c>
      <c r="K130" s="41">
        <f t="shared" si="78"/>
        <v>16235.000000000002</v>
      </c>
      <c r="L130" s="41">
        <f t="shared" si="79"/>
        <v>13495.689655172417</v>
      </c>
      <c r="M130" s="41">
        <f t="shared" si="80"/>
        <v>0</v>
      </c>
      <c r="N130" s="36" t="s">
        <v>1931</v>
      </c>
      <c r="O130" s="37">
        <v>45509</v>
      </c>
      <c r="P130" s="44" t="s">
        <v>58</v>
      </c>
      <c r="Q130" s="38">
        <v>382000</v>
      </c>
      <c r="R130" s="33">
        <f t="shared" si="38"/>
        <v>2024.3534482758625</v>
      </c>
      <c r="S130" s="35">
        <f t="shared" si="33"/>
        <v>134.95689655172416</v>
      </c>
      <c r="T130" s="34">
        <v>500</v>
      </c>
    </row>
    <row r="131" spans="1:20" x14ac:dyDescent="0.25">
      <c r="A131" s="36" t="s">
        <v>258</v>
      </c>
      <c r="B131" s="36"/>
      <c r="C131" s="36" t="s">
        <v>32</v>
      </c>
      <c r="D131" s="39">
        <v>45509</v>
      </c>
      <c r="E131" s="39">
        <v>45874</v>
      </c>
      <c r="F131" s="36" t="s">
        <v>1234</v>
      </c>
      <c r="G131" s="36" t="s">
        <v>63</v>
      </c>
      <c r="H131" s="41">
        <f t="shared" si="76"/>
        <v>23247.5</v>
      </c>
      <c r="I131" s="41">
        <f t="shared" si="77"/>
        <v>19540.948275862069</v>
      </c>
      <c r="J131" s="42">
        <v>4.2500000000000003E-2</v>
      </c>
      <c r="K131" s="41">
        <f t="shared" si="78"/>
        <v>23247.5</v>
      </c>
      <c r="L131" s="41">
        <f t="shared" si="79"/>
        <v>19540.948275862069</v>
      </c>
      <c r="M131" s="41">
        <f t="shared" si="80"/>
        <v>0</v>
      </c>
      <c r="N131" s="36" t="s">
        <v>1932</v>
      </c>
      <c r="O131" s="37">
        <v>45509</v>
      </c>
      <c r="P131" s="44" t="s">
        <v>58</v>
      </c>
      <c r="Q131" s="38">
        <v>547000</v>
      </c>
      <c r="R131" s="33">
        <f t="shared" si="38"/>
        <v>2931.1422413793102</v>
      </c>
      <c r="S131" s="35">
        <f t="shared" ref="S131:S194" si="81">I131*1/100</f>
        <v>195.4094827586207</v>
      </c>
      <c r="T131" s="34">
        <v>500</v>
      </c>
    </row>
    <row r="132" spans="1:20" x14ac:dyDescent="0.25">
      <c r="A132" s="36" t="s">
        <v>259</v>
      </c>
      <c r="B132" s="36"/>
      <c r="C132" s="36" t="s">
        <v>35</v>
      </c>
      <c r="D132" s="39">
        <v>45509</v>
      </c>
      <c r="E132" s="39">
        <v>45874</v>
      </c>
      <c r="F132" s="36" t="s">
        <v>1235</v>
      </c>
      <c r="G132" s="36" t="s">
        <v>61</v>
      </c>
      <c r="H132" s="41">
        <f t="shared" si="76"/>
        <v>14960.000000000002</v>
      </c>
      <c r="I132" s="41">
        <f t="shared" si="77"/>
        <v>12396.551724137933</v>
      </c>
      <c r="J132" s="42">
        <v>4.2500000000000003E-2</v>
      </c>
      <c r="K132" s="41">
        <f t="shared" si="78"/>
        <v>14960.000000000002</v>
      </c>
      <c r="L132" s="41">
        <f t="shared" si="79"/>
        <v>12396.551724137933</v>
      </c>
      <c r="M132" s="41">
        <f t="shared" si="80"/>
        <v>0</v>
      </c>
      <c r="N132" s="36" t="s">
        <v>1933</v>
      </c>
      <c r="O132" s="37">
        <v>45509</v>
      </c>
      <c r="P132" s="44" t="s">
        <v>58</v>
      </c>
      <c r="Q132" s="38">
        <v>352000</v>
      </c>
      <c r="R132" s="33">
        <f t="shared" ref="R132:R195" si="82">I132*15/100</f>
        <v>1859.4827586206898</v>
      </c>
      <c r="S132" s="35">
        <f t="shared" si="81"/>
        <v>123.96551724137933</v>
      </c>
      <c r="T132" s="34">
        <v>500</v>
      </c>
    </row>
    <row r="133" spans="1:20" x14ac:dyDescent="0.25">
      <c r="A133" s="36" t="s">
        <v>260</v>
      </c>
      <c r="B133" s="36"/>
      <c r="C133" s="36" t="s">
        <v>35</v>
      </c>
      <c r="D133" s="39">
        <v>45875</v>
      </c>
      <c r="E133" s="39">
        <v>46240</v>
      </c>
      <c r="F133" s="36" t="s">
        <v>1235</v>
      </c>
      <c r="G133" s="36" t="s">
        <v>61</v>
      </c>
      <c r="H133" s="41">
        <f t="shared" si="76"/>
        <v>14960.000000000002</v>
      </c>
      <c r="I133" s="41">
        <f t="shared" si="77"/>
        <v>12396.551724137933</v>
      </c>
      <c r="J133" s="42">
        <v>4.2500000000000003E-2</v>
      </c>
      <c r="K133" s="41">
        <f t="shared" si="78"/>
        <v>14960.000000000002</v>
      </c>
      <c r="L133" s="41">
        <f t="shared" si="79"/>
        <v>12396.551724137933</v>
      </c>
      <c r="M133" s="41">
        <f t="shared" si="80"/>
        <v>0</v>
      </c>
      <c r="N133" s="36" t="s">
        <v>1933</v>
      </c>
      <c r="O133" s="37">
        <v>45509</v>
      </c>
      <c r="P133" s="44" t="s">
        <v>58</v>
      </c>
      <c r="Q133" s="38">
        <v>352000</v>
      </c>
      <c r="R133" s="33">
        <f t="shared" si="82"/>
        <v>1859.4827586206898</v>
      </c>
      <c r="S133" s="35">
        <f t="shared" si="81"/>
        <v>123.96551724137933</v>
      </c>
      <c r="T133" s="34">
        <v>500</v>
      </c>
    </row>
    <row r="134" spans="1:20" x14ac:dyDescent="0.25">
      <c r="A134" s="36" t="s">
        <v>261</v>
      </c>
      <c r="B134" s="36"/>
      <c r="C134" s="36" t="s">
        <v>33</v>
      </c>
      <c r="D134" s="39">
        <v>45509</v>
      </c>
      <c r="E134" s="39">
        <v>45874</v>
      </c>
      <c r="F134" s="36" t="s">
        <v>1236</v>
      </c>
      <c r="G134" s="36" t="s">
        <v>63</v>
      </c>
      <c r="H134" s="41">
        <f t="shared" si="76"/>
        <v>23247.5</v>
      </c>
      <c r="I134" s="41">
        <f t="shared" si="77"/>
        <v>19540.948275862069</v>
      </c>
      <c r="J134" s="42">
        <v>4.2500000000000003E-2</v>
      </c>
      <c r="K134" s="41">
        <f t="shared" si="78"/>
        <v>23247.5</v>
      </c>
      <c r="L134" s="41">
        <f t="shared" si="79"/>
        <v>19540.948275862069</v>
      </c>
      <c r="M134" s="41">
        <f t="shared" si="80"/>
        <v>0</v>
      </c>
      <c r="N134" s="36" t="s">
        <v>1934</v>
      </c>
      <c r="O134" s="37">
        <v>45509</v>
      </c>
      <c r="P134" s="44" t="s">
        <v>58</v>
      </c>
      <c r="Q134" s="38">
        <v>547000</v>
      </c>
      <c r="R134" s="33">
        <f t="shared" si="82"/>
        <v>2931.1422413793102</v>
      </c>
      <c r="S134" s="35">
        <f t="shared" si="81"/>
        <v>195.4094827586207</v>
      </c>
      <c r="T134" s="34">
        <v>500</v>
      </c>
    </row>
    <row r="135" spans="1:20" x14ac:dyDescent="0.25">
      <c r="A135" s="36" t="s">
        <v>262</v>
      </c>
      <c r="B135" s="36"/>
      <c r="C135" s="36" t="s">
        <v>52</v>
      </c>
      <c r="D135" s="39">
        <v>45509</v>
      </c>
      <c r="E135" s="39">
        <v>45874</v>
      </c>
      <c r="F135" s="36" t="s">
        <v>1237</v>
      </c>
      <c r="G135" s="36" t="s">
        <v>61</v>
      </c>
      <c r="H135" s="41">
        <f t="shared" si="76"/>
        <v>14960.000000000002</v>
      </c>
      <c r="I135" s="41">
        <f t="shared" si="77"/>
        <v>12396.551724137933</v>
      </c>
      <c r="J135" s="42">
        <v>4.2500000000000003E-2</v>
      </c>
      <c r="K135" s="41">
        <f t="shared" si="78"/>
        <v>14960.000000000002</v>
      </c>
      <c r="L135" s="41">
        <f t="shared" si="79"/>
        <v>12396.551724137933</v>
      </c>
      <c r="M135" s="41">
        <f t="shared" si="80"/>
        <v>0</v>
      </c>
      <c r="N135" s="36" t="s">
        <v>1935</v>
      </c>
      <c r="O135" s="37">
        <v>45509</v>
      </c>
      <c r="P135" s="44" t="s">
        <v>58</v>
      </c>
      <c r="Q135" s="38">
        <v>352000</v>
      </c>
      <c r="R135" s="33">
        <f t="shared" si="82"/>
        <v>1859.4827586206898</v>
      </c>
      <c r="S135" s="35">
        <f t="shared" si="81"/>
        <v>123.96551724137933</v>
      </c>
      <c r="T135" s="34">
        <v>500</v>
      </c>
    </row>
    <row r="136" spans="1:20" x14ac:dyDescent="0.25">
      <c r="A136" s="36" t="s">
        <v>263</v>
      </c>
      <c r="B136" s="36"/>
      <c r="C136" s="36" t="s">
        <v>35</v>
      </c>
      <c r="D136" s="39">
        <v>45509</v>
      </c>
      <c r="E136" s="39">
        <v>45874</v>
      </c>
      <c r="F136" s="36" t="s">
        <v>1238</v>
      </c>
      <c r="G136" s="36" t="s">
        <v>62</v>
      </c>
      <c r="H136" s="41">
        <f t="shared" si="76"/>
        <v>16235.000000000002</v>
      </c>
      <c r="I136" s="41">
        <f t="shared" si="77"/>
        <v>13495.689655172417</v>
      </c>
      <c r="J136" s="42">
        <v>4.2500000000000003E-2</v>
      </c>
      <c r="K136" s="41">
        <f t="shared" si="78"/>
        <v>16235.000000000002</v>
      </c>
      <c r="L136" s="41">
        <f t="shared" si="79"/>
        <v>13495.689655172417</v>
      </c>
      <c r="M136" s="41">
        <f t="shared" si="80"/>
        <v>0</v>
      </c>
      <c r="N136" s="36" t="s">
        <v>1936</v>
      </c>
      <c r="O136" s="37">
        <v>45509</v>
      </c>
      <c r="P136" s="44" t="s">
        <v>58</v>
      </c>
      <c r="Q136" s="38">
        <v>382000</v>
      </c>
      <c r="R136" s="33">
        <f t="shared" si="82"/>
        <v>2024.3534482758625</v>
      </c>
      <c r="S136" s="35">
        <f t="shared" si="81"/>
        <v>134.95689655172416</v>
      </c>
      <c r="T136" s="34">
        <v>500</v>
      </c>
    </row>
    <row r="137" spans="1:20" x14ac:dyDescent="0.25">
      <c r="A137" s="36" t="s">
        <v>264</v>
      </c>
      <c r="B137" s="36"/>
      <c r="C137" s="36" t="s">
        <v>35</v>
      </c>
      <c r="D137" s="39">
        <v>45875</v>
      </c>
      <c r="E137" s="39">
        <v>46240</v>
      </c>
      <c r="F137" s="36" t="s">
        <v>1238</v>
      </c>
      <c r="G137" s="36" t="s">
        <v>62</v>
      </c>
      <c r="H137" s="41">
        <f t="shared" si="76"/>
        <v>16235.000000000002</v>
      </c>
      <c r="I137" s="41">
        <f t="shared" si="77"/>
        <v>13495.689655172417</v>
      </c>
      <c r="J137" s="42">
        <v>4.2500000000000003E-2</v>
      </c>
      <c r="K137" s="41">
        <f t="shared" si="78"/>
        <v>16235.000000000002</v>
      </c>
      <c r="L137" s="41">
        <f t="shared" si="79"/>
        <v>13495.689655172417</v>
      </c>
      <c r="M137" s="41">
        <f t="shared" si="80"/>
        <v>0</v>
      </c>
      <c r="N137" s="36" t="s">
        <v>1936</v>
      </c>
      <c r="O137" s="37">
        <v>45509</v>
      </c>
      <c r="P137" s="44" t="s">
        <v>58</v>
      </c>
      <c r="Q137" s="38">
        <v>382000</v>
      </c>
      <c r="R137" s="33">
        <f t="shared" si="82"/>
        <v>2024.3534482758625</v>
      </c>
      <c r="S137" s="35">
        <f t="shared" si="81"/>
        <v>134.95689655172416</v>
      </c>
      <c r="T137" s="34">
        <v>500</v>
      </c>
    </row>
    <row r="138" spans="1:20" x14ac:dyDescent="0.25">
      <c r="A138" s="36" t="s">
        <v>265</v>
      </c>
      <c r="B138" s="36"/>
      <c r="C138" s="36" t="s">
        <v>52</v>
      </c>
      <c r="D138" s="39">
        <v>45509</v>
      </c>
      <c r="E138" s="39">
        <v>45874</v>
      </c>
      <c r="F138" s="36" t="s">
        <v>1239</v>
      </c>
      <c r="G138" s="36" t="s">
        <v>62</v>
      </c>
      <c r="H138" s="41">
        <f t="shared" si="76"/>
        <v>16235.000000000002</v>
      </c>
      <c r="I138" s="41">
        <f t="shared" si="77"/>
        <v>13495.689655172417</v>
      </c>
      <c r="J138" s="42">
        <v>4.2500000000000003E-2</v>
      </c>
      <c r="K138" s="41">
        <f t="shared" si="78"/>
        <v>16235.000000000002</v>
      </c>
      <c r="L138" s="41">
        <f t="shared" si="79"/>
        <v>13495.689655172417</v>
      </c>
      <c r="M138" s="41">
        <f t="shared" si="80"/>
        <v>0</v>
      </c>
      <c r="N138" s="36" t="s">
        <v>1937</v>
      </c>
      <c r="O138" s="37">
        <v>45509</v>
      </c>
      <c r="P138" s="44" t="s">
        <v>58</v>
      </c>
      <c r="Q138" s="38">
        <v>382000</v>
      </c>
      <c r="R138" s="33">
        <f t="shared" si="82"/>
        <v>2024.3534482758625</v>
      </c>
      <c r="S138" s="35">
        <f t="shared" si="81"/>
        <v>134.95689655172416</v>
      </c>
      <c r="T138" s="34">
        <v>500</v>
      </c>
    </row>
    <row r="139" spans="1:20" x14ac:dyDescent="0.25">
      <c r="A139" s="36" t="s">
        <v>266</v>
      </c>
      <c r="B139" s="36"/>
      <c r="C139" s="36" t="s">
        <v>52</v>
      </c>
      <c r="D139" s="39">
        <v>45509</v>
      </c>
      <c r="E139" s="39">
        <v>45874</v>
      </c>
      <c r="F139" s="36" t="s">
        <v>1240</v>
      </c>
      <c r="G139" s="36" t="s">
        <v>61</v>
      </c>
      <c r="H139" s="41">
        <f t="shared" si="76"/>
        <v>14960.000000000002</v>
      </c>
      <c r="I139" s="41">
        <f t="shared" si="77"/>
        <v>12396.551724137933</v>
      </c>
      <c r="J139" s="42">
        <v>4.2500000000000003E-2</v>
      </c>
      <c r="K139" s="41">
        <f t="shared" si="78"/>
        <v>14960.000000000002</v>
      </c>
      <c r="L139" s="41">
        <f t="shared" si="79"/>
        <v>12396.551724137933</v>
      </c>
      <c r="M139" s="41">
        <f t="shared" si="80"/>
        <v>0</v>
      </c>
      <c r="N139" s="36" t="s">
        <v>1938</v>
      </c>
      <c r="O139" s="37">
        <v>45509</v>
      </c>
      <c r="P139" s="44" t="s">
        <v>58</v>
      </c>
      <c r="Q139" s="38">
        <v>352000</v>
      </c>
      <c r="R139" s="33">
        <f t="shared" si="82"/>
        <v>1859.4827586206898</v>
      </c>
      <c r="S139" s="35">
        <f t="shared" si="81"/>
        <v>123.96551724137933</v>
      </c>
      <c r="T139" s="34">
        <v>500</v>
      </c>
    </row>
    <row r="140" spans="1:20" x14ac:dyDescent="0.25">
      <c r="A140" s="36" t="s">
        <v>267</v>
      </c>
      <c r="B140" s="36"/>
      <c r="C140" s="36" t="s">
        <v>52</v>
      </c>
      <c r="D140" s="39">
        <v>45875</v>
      </c>
      <c r="E140" s="39">
        <v>46240</v>
      </c>
      <c r="F140" s="36" t="s">
        <v>1240</v>
      </c>
      <c r="G140" s="36" t="s">
        <v>61</v>
      </c>
      <c r="H140" s="41">
        <f t="shared" si="76"/>
        <v>14960.000000000002</v>
      </c>
      <c r="I140" s="41">
        <f t="shared" si="77"/>
        <v>12396.551724137933</v>
      </c>
      <c r="J140" s="42">
        <v>4.2500000000000003E-2</v>
      </c>
      <c r="K140" s="41">
        <f t="shared" si="78"/>
        <v>14960.000000000002</v>
      </c>
      <c r="L140" s="41">
        <f t="shared" si="79"/>
        <v>12396.551724137933</v>
      </c>
      <c r="M140" s="41">
        <f t="shared" si="80"/>
        <v>0</v>
      </c>
      <c r="N140" s="36" t="s">
        <v>1938</v>
      </c>
      <c r="O140" s="37">
        <v>45509</v>
      </c>
      <c r="P140" s="44" t="s">
        <v>58</v>
      </c>
      <c r="Q140" s="38">
        <v>352000</v>
      </c>
      <c r="R140" s="33">
        <f t="shared" si="82"/>
        <v>1859.4827586206898</v>
      </c>
      <c r="S140" s="35">
        <f t="shared" si="81"/>
        <v>123.96551724137933</v>
      </c>
      <c r="T140" s="34">
        <v>500</v>
      </c>
    </row>
    <row r="141" spans="1:20" x14ac:dyDescent="0.25">
      <c r="A141" s="36" t="s">
        <v>268</v>
      </c>
      <c r="B141" s="36"/>
      <c r="C141" s="36" t="s">
        <v>39</v>
      </c>
      <c r="D141" s="39">
        <v>45509</v>
      </c>
      <c r="E141" s="39">
        <v>45874</v>
      </c>
      <c r="F141" s="36" t="s">
        <v>1241</v>
      </c>
      <c r="G141" s="36" t="s">
        <v>61</v>
      </c>
      <c r="H141" s="41">
        <f t="shared" si="76"/>
        <v>14960.000000000002</v>
      </c>
      <c r="I141" s="41">
        <f t="shared" si="77"/>
        <v>12396.551724137933</v>
      </c>
      <c r="J141" s="42">
        <v>4.2500000000000003E-2</v>
      </c>
      <c r="K141" s="41">
        <f t="shared" si="78"/>
        <v>14960.000000000002</v>
      </c>
      <c r="L141" s="41">
        <f t="shared" si="79"/>
        <v>12396.551724137933</v>
      </c>
      <c r="M141" s="41">
        <f t="shared" si="80"/>
        <v>0</v>
      </c>
      <c r="N141" s="36" t="s">
        <v>1939</v>
      </c>
      <c r="O141" s="37">
        <v>45509</v>
      </c>
      <c r="P141" s="44" t="s">
        <v>58</v>
      </c>
      <c r="Q141" s="38">
        <v>352000</v>
      </c>
      <c r="R141" s="33">
        <f t="shared" si="82"/>
        <v>1859.4827586206898</v>
      </c>
      <c r="S141" s="35">
        <f t="shared" si="81"/>
        <v>123.96551724137933</v>
      </c>
      <c r="T141" s="34">
        <v>500</v>
      </c>
    </row>
    <row r="142" spans="1:20" x14ac:dyDescent="0.25">
      <c r="A142" s="36" t="s">
        <v>269</v>
      </c>
      <c r="B142" s="36"/>
      <c r="C142" s="36" t="s">
        <v>39</v>
      </c>
      <c r="D142" s="39">
        <v>45875</v>
      </c>
      <c r="E142" s="39">
        <v>46240</v>
      </c>
      <c r="F142" s="36" t="s">
        <v>1241</v>
      </c>
      <c r="G142" s="36" t="s">
        <v>61</v>
      </c>
      <c r="H142" s="41">
        <f t="shared" si="76"/>
        <v>14960.000000000002</v>
      </c>
      <c r="I142" s="41">
        <f t="shared" si="77"/>
        <v>12396.551724137933</v>
      </c>
      <c r="J142" s="42">
        <v>4.2500000000000003E-2</v>
      </c>
      <c r="K142" s="41">
        <f t="shared" si="78"/>
        <v>14960.000000000002</v>
      </c>
      <c r="L142" s="41">
        <f t="shared" si="79"/>
        <v>12396.551724137933</v>
      </c>
      <c r="M142" s="41">
        <f t="shared" si="80"/>
        <v>0</v>
      </c>
      <c r="N142" s="36" t="s">
        <v>1939</v>
      </c>
      <c r="O142" s="37">
        <v>45509</v>
      </c>
      <c r="P142" s="44" t="s">
        <v>58</v>
      </c>
      <c r="Q142" s="38">
        <v>352000</v>
      </c>
      <c r="R142" s="33">
        <f t="shared" si="82"/>
        <v>1859.4827586206898</v>
      </c>
      <c r="S142" s="35">
        <f t="shared" si="81"/>
        <v>123.96551724137933</v>
      </c>
      <c r="T142" s="34">
        <v>500</v>
      </c>
    </row>
    <row r="143" spans="1:20" x14ac:dyDescent="0.25">
      <c r="A143" s="36" t="s">
        <v>270</v>
      </c>
      <c r="B143" s="36"/>
      <c r="C143" s="36" t="s">
        <v>32</v>
      </c>
      <c r="D143" s="39">
        <v>45509</v>
      </c>
      <c r="E143" s="39">
        <v>45874</v>
      </c>
      <c r="F143" s="36" t="s">
        <v>1242</v>
      </c>
      <c r="G143" s="36" t="s">
        <v>61</v>
      </c>
      <c r="H143" s="41">
        <f t="shared" si="76"/>
        <v>14960.000000000002</v>
      </c>
      <c r="I143" s="41">
        <f t="shared" si="77"/>
        <v>12396.551724137933</v>
      </c>
      <c r="J143" s="42">
        <v>4.2500000000000003E-2</v>
      </c>
      <c r="K143" s="41">
        <f t="shared" si="78"/>
        <v>14960.000000000002</v>
      </c>
      <c r="L143" s="41">
        <f t="shared" si="79"/>
        <v>12396.551724137933</v>
      </c>
      <c r="M143" s="41">
        <f t="shared" si="80"/>
        <v>0</v>
      </c>
      <c r="N143" s="36" t="s">
        <v>1940</v>
      </c>
      <c r="O143" s="37">
        <v>45509</v>
      </c>
      <c r="P143" s="44" t="s">
        <v>58</v>
      </c>
      <c r="Q143" s="38">
        <v>352000</v>
      </c>
      <c r="R143" s="33">
        <f t="shared" si="82"/>
        <v>1859.4827586206898</v>
      </c>
      <c r="S143" s="35">
        <f t="shared" si="81"/>
        <v>123.96551724137933</v>
      </c>
      <c r="T143" s="34">
        <v>500</v>
      </c>
    </row>
    <row r="144" spans="1:20" x14ac:dyDescent="0.25">
      <c r="A144" s="36" t="s">
        <v>271</v>
      </c>
      <c r="B144" s="36"/>
      <c r="C144" s="36" t="s">
        <v>32</v>
      </c>
      <c r="D144" s="39">
        <v>45875</v>
      </c>
      <c r="E144" s="39">
        <v>46240</v>
      </c>
      <c r="F144" s="36" t="s">
        <v>1242</v>
      </c>
      <c r="G144" s="36" t="s">
        <v>61</v>
      </c>
      <c r="H144" s="41">
        <f t="shared" si="76"/>
        <v>14960.000000000002</v>
      </c>
      <c r="I144" s="41">
        <f t="shared" si="77"/>
        <v>12396.551724137933</v>
      </c>
      <c r="J144" s="42">
        <v>4.2500000000000003E-2</v>
      </c>
      <c r="K144" s="41">
        <f t="shared" si="78"/>
        <v>14960.000000000002</v>
      </c>
      <c r="L144" s="41">
        <f t="shared" si="79"/>
        <v>12396.551724137933</v>
      </c>
      <c r="M144" s="41">
        <f t="shared" si="80"/>
        <v>0</v>
      </c>
      <c r="N144" s="36" t="s">
        <v>1940</v>
      </c>
      <c r="O144" s="37">
        <v>45509</v>
      </c>
      <c r="P144" s="44" t="s">
        <v>58</v>
      </c>
      <c r="Q144" s="38">
        <v>352000</v>
      </c>
      <c r="R144" s="33">
        <f t="shared" si="82"/>
        <v>1859.4827586206898</v>
      </c>
      <c r="S144" s="35">
        <f t="shared" si="81"/>
        <v>123.96551724137933</v>
      </c>
      <c r="T144" s="34">
        <v>500</v>
      </c>
    </row>
    <row r="145" spans="1:20" x14ac:dyDescent="0.25">
      <c r="A145" s="36" t="s">
        <v>272</v>
      </c>
      <c r="B145" s="36"/>
      <c r="C145" s="36" t="s">
        <v>39</v>
      </c>
      <c r="D145" s="39">
        <v>45509</v>
      </c>
      <c r="E145" s="39">
        <v>45874</v>
      </c>
      <c r="F145" s="36" t="s">
        <v>1243</v>
      </c>
      <c r="G145" s="36" t="s">
        <v>61</v>
      </c>
      <c r="H145" s="41">
        <f t="shared" si="76"/>
        <v>14960.000000000002</v>
      </c>
      <c r="I145" s="41">
        <f t="shared" si="77"/>
        <v>12396.551724137933</v>
      </c>
      <c r="J145" s="42">
        <v>4.2500000000000003E-2</v>
      </c>
      <c r="K145" s="41">
        <f t="shared" si="78"/>
        <v>14960.000000000002</v>
      </c>
      <c r="L145" s="41">
        <f t="shared" si="79"/>
        <v>12396.551724137933</v>
      </c>
      <c r="M145" s="41">
        <f t="shared" si="80"/>
        <v>0</v>
      </c>
      <c r="N145" s="36" t="s">
        <v>1941</v>
      </c>
      <c r="O145" s="37">
        <v>45509</v>
      </c>
      <c r="P145" s="44" t="s">
        <v>58</v>
      </c>
      <c r="Q145" s="38">
        <v>352000</v>
      </c>
      <c r="R145" s="33">
        <f t="shared" si="82"/>
        <v>1859.4827586206898</v>
      </c>
      <c r="S145" s="35">
        <f t="shared" si="81"/>
        <v>123.96551724137933</v>
      </c>
      <c r="T145" s="34">
        <v>500</v>
      </c>
    </row>
    <row r="146" spans="1:20" x14ac:dyDescent="0.25">
      <c r="A146" s="36" t="s">
        <v>273</v>
      </c>
      <c r="B146" s="36"/>
      <c r="C146" s="36" t="s">
        <v>39</v>
      </c>
      <c r="D146" s="39">
        <v>45509</v>
      </c>
      <c r="E146" s="39">
        <v>45874</v>
      </c>
      <c r="F146" s="36" t="s">
        <v>1243</v>
      </c>
      <c r="G146" s="36" t="s">
        <v>61</v>
      </c>
      <c r="H146" s="41">
        <f t="shared" si="76"/>
        <v>14960.000000000002</v>
      </c>
      <c r="I146" s="41">
        <f t="shared" si="77"/>
        <v>12396.551724137933</v>
      </c>
      <c r="J146" s="42">
        <v>4.2500000000000003E-2</v>
      </c>
      <c r="K146" s="41">
        <f t="shared" si="78"/>
        <v>14960.000000000002</v>
      </c>
      <c r="L146" s="41">
        <f t="shared" si="79"/>
        <v>12396.551724137933</v>
      </c>
      <c r="M146" s="41">
        <f t="shared" si="80"/>
        <v>0</v>
      </c>
      <c r="N146" s="36" t="s">
        <v>1941</v>
      </c>
      <c r="O146" s="37">
        <v>45509</v>
      </c>
      <c r="P146" s="44" t="s">
        <v>58</v>
      </c>
      <c r="Q146" s="38">
        <v>352000</v>
      </c>
      <c r="R146" s="33">
        <f t="shared" si="82"/>
        <v>1859.4827586206898</v>
      </c>
      <c r="S146" s="35">
        <f t="shared" si="81"/>
        <v>123.96551724137933</v>
      </c>
      <c r="T146" s="34">
        <v>500</v>
      </c>
    </row>
    <row r="147" spans="1:20" x14ac:dyDescent="0.25">
      <c r="A147" s="36" t="s">
        <v>274</v>
      </c>
      <c r="B147" s="36"/>
      <c r="C147" s="36" t="s">
        <v>32</v>
      </c>
      <c r="D147" s="39">
        <v>45509</v>
      </c>
      <c r="E147" s="39">
        <v>45874</v>
      </c>
      <c r="F147" s="36" t="s">
        <v>1244</v>
      </c>
      <c r="G147" s="36" t="s">
        <v>61</v>
      </c>
      <c r="H147" s="41">
        <f t="shared" si="76"/>
        <v>14960.000000000002</v>
      </c>
      <c r="I147" s="41">
        <f t="shared" si="77"/>
        <v>12396.551724137933</v>
      </c>
      <c r="J147" s="42">
        <v>4.2500000000000003E-2</v>
      </c>
      <c r="K147" s="41">
        <f t="shared" si="78"/>
        <v>14960.000000000002</v>
      </c>
      <c r="L147" s="41">
        <f t="shared" si="79"/>
        <v>12396.551724137933</v>
      </c>
      <c r="M147" s="41">
        <f t="shared" si="80"/>
        <v>0</v>
      </c>
      <c r="N147" s="36" t="s">
        <v>1942</v>
      </c>
      <c r="O147" s="37">
        <v>45509</v>
      </c>
      <c r="P147" s="44" t="s">
        <v>58</v>
      </c>
      <c r="Q147" s="38">
        <v>352000</v>
      </c>
      <c r="R147" s="33">
        <f t="shared" si="82"/>
        <v>1859.4827586206898</v>
      </c>
      <c r="S147" s="35">
        <f t="shared" si="81"/>
        <v>123.96551724137933</v>
      </c>
      <c r="T147" s="34">
        <v>500</v>
      </c>
    </row>
    <row r="148" spans="1:20" x14ac:dyDescent="0.25">
      <c r="A148" s="36" t="s">
        <v>275</v>
      </c>
      <c r="B148" s="36"/>
      <c r="C148" s="36" t="s">
        <v>32</v>
      </c>
      <c r="D148" s="39">
        <v>45875</v>
      </c>
      <c r="E148" s="39">
        <v>46240</v>
      </c>
      <c r="F148" s="36" t="s">
        <v>1244</v>
      </c>
      <c r="G148" s="36" t="s">
        <v>61</v>
      </c>
      <c r="H148" s="41">
        <f t="shared" si="76"/>
        <v>14960.000000000002</v>
      </c>
      <c r="I148" s="41">
        <f t="shared" si="77"/>
        <v>12396.551724137933</v>
      </c>
      <c r="J148" s="42">
        <v>4.2500000000000003E-2</v>
      </c>
      <c r="K148" s="41">
        <f t="shared" si="78"/>
        <v>14960.000000000002</v>
      </c>
      <c r="L148" s="41">
        <f t="shared" si="79"/>
        <v>12396.551724137933</v>
      </c>
      <c r="M148" s="41">
        <f t="shared" si="80"/>
        <v>0</v>
      </c>
      <c r="N148" s="36" t="s">
        <v>1942</v>
      </c>
      <c r="O148" s="37">
        <v>45509</v>
      </c>
      <c r="P148" s="44" t="s">
        <v>58</v>
      </c>
      <c r="Q148" s="38">
        <v>352000</v>
      </c>
      <c r="R148" s="33">
        <f t="shared" si="82"/>
        <v>1859.4827586206898</v>
      </c>
      <c r="S148" s="35">
        <f t="shared" si="81"/>
        <v>123.96551724137933</v>
      </c>
      <c r="T148" s="34">
        <v>500</v>
      </c>
    </row>
    <row r="149" spans="1:20" x14ac:dyDescent="0.25">
      <c r="A149" s="36" t="s">
        <v>276</v>
      </c>
      <c r="B149" s="36"/>
      <c r="C149" s="36" t="s">
        <v>32</v>
      </c>
      <c r="D149" s="39">
        <v>45509</v>
      </c>
      <c r="E149" s="39">
        <v>45874</v>
      </c>
      <c r="F149" s="36" t="s">
        <v>1245</v>
      </c>
      <c r="G149" s="36" t="s">
        <v>61</v>
      </c>
      <c r="H149" s="41">
        <f t="shared" si="76"/>
        <v>14960.000000000002</v>
      </c>
      <c r="I149" s="41">
        <f t="shared" si="77"/>
        <v>12396.551724137933</v>
      </c>
      <c r="J149" s="42">
        <v>4.2500000000000003E-2</v>
      </c>
      <c r="K149" s="41">
        <f t="shared" si="78"/>
        <v>14960.000000000002</v>
      </c>
      <c r="L149" s="41">
        <f t="shared" si="79"/>
        <v>12396.551724137933</v>
      </c>
      <c r="M149" s="41">
        <f t="shared" si="80"/>
        <v>0</v>
      </c>
      <c r="N149" s="36" t="s">
        <v>1943</v>
      </c>
      <c r="O149" s="37">
        <v>45509</v>
      </c>
      <c r="P149" s="44" t="s">
        <v>58</v>
      </c>
      <c r="Q149" s="38">
        <v>352000</v>
      </c>
      <c r="R149" s="33">
        <f t="shared" si="82"/>
        <v>1859.4827586206898</v>
      </c>
      <c r="S149" s="35">
        <f t="shared" si="81"/>
        <v>123.96551724137933</v>
      </c>
      <c r="T149" s="34">
        <v>500</v>
      </c>
    </row>
    <row r="150" spans="1:20" x14ac:dyDescent="0.25">
      <c r="A150" s="36" t="s">
        <v>277</v>
      </c>
      <c r="B150" s="36"/>
      <c r="C150" s="36" t="s">
        <v>32</v>
      </c>
      <c r="D150" s="39">
        <v>45875</v>
      </c>
      <c r="E150" s="39">
        <v>46240</v>
      </c>
      <c r="F150" s="36" t="s">
        <v>1245</v>
      </c>
      <c r="G150" s="36" t="s">
        <v>61</v>
      </c>
      <c r="H150" s="41">
        <f t="shared" si="76"/>
        <v>14960.000000000002</v>
      </c>
      <c r="I150" s="41">
        <f t="shared" si="77"/>
        <v>12396.551724137933</v>
      </c>
      <c r="J150" s="42">
        <v>4.2500000000000003E-2</v>
      </c>
      <c r="K150" s="41">
        <f t="shared" si="78"/>
        <v>14960.000000000002</v>
      </c>
      <c r="L150" s="41">
        <f t="shared" si="79"/>
        <v>12396.551724137933</v>
      </c>
      <c r="M150" s="41">
        <f t="shared" si="80"/>
        <v>0</v>
      </c>
      <c r="N150" s="36" t="s">
        <v>1943</v>
      </c>
      <c r="O150" s="37">
        <v>45509</v>
      </c>
      <c r="P150" s="44" t="s">
        <v>58</v>
      </c>
      <c r="Q150" s="38">
        <v>352000</v>
      </c>
      <c r="R150" s="33">
        <f t="shared" si="82"/>
        <v>1859.4827586206898</v>
      </c>
      <c r="S150" s="35">
        <f t="shared" si="81"/>
        <v>123.96551724137933</v>
      </c>
      <c r="T150" s="34">
        <v>500</v>
      </c>
    </row>
    <row r="151" spans="1:20" x14ac:dyDescent="0.25">
      <c r="A151" s="36" t="s">
        <v>278</v>
      </c>
      <c r="B151" s="36"/>
      <c r="C151" s="36" t="s">
        <v>32</v>
      </c>
      <c r="D151" s="39">
        <v>45509</v>
      </c>
      <c r="E151" s="39">
        <v>45874</v>
      </c>
      <c r="F151" s="36" t="s">
        <v>1246</v>
      </c>
      <c r="G151" s="36" t="s">
        <v>62</v>
      </c>
      <c r="H151" s="41">
        <f t="shared" si="76"/>
        <v>16235.000000000002</v>
      </c>
      <c r="I151" s="41">
        <f t="shared" si="77"/>
        <v>13495.689655172417</v>
      </c>
      <c r="J151" s="42">
        <v>4.2500000000000003E-2</v>
      </c>
      <c r="K151" s="41">
        <f t="shared" si="78"/>
        <v>16235.000000000002</v>
      </c>
      <c r="L151" s="41">
        <f t="shared" si="79"/>
        <v>13495.689655172417</v>
      </c>
      <c r="M151" s="41">
        <f t="shared" si="80"/>
        <v>0</v>
      </c>
      <c r="N151" s="36" t="s">
        <v>1944</v>
      </c>
      <c r="O151" s="37">
        <v>45509</v>
      </c>
      <c r="P151" s="44" t="s">
        <v>58</v>
      </c>
      <c r="Q151" s="38">
        <v>382000</v>
      </c>
      <c r="R151" s="33">
        <f t="shared" si="82"/>
        <v>2024.3534482758625</v>
      </c>
      <c r="S151" s="35">
        <f t="shared" si="81"/>
        <v>134.95689655172416</v>
      </c>
      <c r="T151" s="34">
        <v>500</v>
      </c>
    </row>
    <row r="152" spans="1:20" x14ac:dyDescent="0.25">
      <c r="A152" s="36" t="s">
        <v>279</v>
      </c>
      <c r="B152" s="36"/>
      <c r="C152" s="36" t="s">
        <v>32</v>
      </c>
      <c r="D152" s="39">
        <v>45875</v>
      </c>
      <c r="E152" s="39">
        <v>46240</v>
      </c>
      <c r="F152" s="36" t="s">
        <v>1246</v>
      </c>
      <c r="G152" s="36" t="s">
        <v>62</v>
      </c>
      <c r="H152" s="41">
        <f t="shared" si="76"/>
        <v>16235.000000000002</v>
      </c>
      <c r="I152" s="41">
        <f t="shared" si="77"/>
        <v>13495.689655172417</v>
      </c>
      <c r="J152" s="42">
        <v>4.2500000000000003E-2</v>
      </c>
      <c r="K152" s="41">
        <f t="shared" si="78"/>
        <v>16235.000000000002</v>
      </c>
      <c r="L152" s="41">
        <f t="shared" si="79"/>
        <v>13495.689655172417</v>
      </c>
      <c r="M152" s="41">
        <f t="shared" si="80"/>
        <v>0</v>
      </c>
      <c r="N152" s="36" t="s">
        <v>1944</v>
      </c>
      <c r="O152" s="37">
        <v>45509</v>
      </c>
      <c r="P152" s="44" t="s">
        <v>58</v>
      </c>
      <c r="Q152" s="38">
        <v>382000</v>
      </c>
      <c r="R152" s="33">
        <f t="shared" si="82"/>
        <v>2024.3534482758625</v>
      </c>
      <c r="S152" s="35">
        <f t="shared" si="81"/>
        <v>134.95689655172416</v>
      </c>
      <c r="T152" s="34">
        <v>500</v>
      </c>
    </row>
    <row r="153" spans="1:20" x14ac:dyDescent="0.25">
      <c r="A153" s="36" t="s">
        <v>280</v>
      </c>
      <c r="B153" s="36"/>
      <c r="C153" s="36" t="s">
        <v>39</v>
      </c>
      <c r="D153" s="39">
        <v>45509</v>
      </c>
      <c r="E153" s="39">
        <v>45874</v>
      </c>
      <c r="F153" s="36" t="s">
        <v>1247</v>
      </c>
      <c r="G153" s="36" t="s">
        <v>62</v>
      </c>
      <c r="H153" s="41">
        <f t="shared" si="76"/>
        <v>16235.000000000002</v>
      </c>
      <c r="I153" s="41">
        <f t="shared" si="77"/>
        <v>13495.689655172417</v>
      </c>
      <c r="J153" s="42">
        <v>4.2500000000000003E-2</v>
      </c>
      <c r="K153" s="41">
        <f t="shared" si="78"/>
        <v>16235.000000000002</v>
      </c>
      <c r="L153" s="41">
        <f t="shared" si="79"/>
        <v>13495.689655172417</v>
      </c>
      <c r="M153" s="41">
        <f t="shared" si="80"/>
        <v>0</v>
      </c>
      <c r="N153" s="36" t="s">
        <v>1945</v>
      </c>
      <c r="O153" s="37">
        <v>45509</v>
      </c>
      <c r="P153" s="44" t="s">
        <v>58</v>
      </c>
      <c r="Q153" s="38">
        <v>382000</v>
      </c>
      <c r="R153" s="33">
        <f t="shared" si="82"/>
        <v>2024.3534482758625</v>
      </c>
      <c r="S153" s="35">
        <f t="shared" si="81"/>
        <v>134.95689655172416</v>
      </c>
      <c r="T153" s="34">
        <v>500</v>
      </c>
    </row>
    <row r="154" spans="1:20" x14ac:dyDescent="0.25">
      <c r="A154" s="36" t="s">
        <v>281</v>
      </c>
      <c r="B154" s="36"/>
      <c r="C154" s="36" t="s">
        <v>39</v>
      </c>
      <c r="D154" s="39">
        <v>45875</v>
      </c>
      <c r="E154" s="39">
        <v>46240</v>
      </c>
      <c r="F154" s="36" t="s">
        <v>1247</v>
      </c>
      <c r="G154" s="36" t="s">
        <v>62</v>
      </c>
      <c r="H154" s="41">
        <f t="shared" si="76"/>
        <v>16235.000000000002</v>
      </c>
      <c r="I154" s="41">
        <f t="shared" si="77"/>
        <v>13495.689655172417</v>
      </c>
      <c r="J154" s="42">
        <v>4.2500000000000003E-2</v>
      </c>
      <c r="K154" s="41">
        <f t="shared" si="78"/>
        <v>16235.000000000002</v>
      </c>
      <c r="L154" s="41">
        <f t="shared" si="79"/>
        <v>13495.689655172417</v>
      </c>
      <c r="M154" s="41">
        <f t="shared" si="80"/>
        <v>0</v>
      </c>
      <c r="N154" s="36" t="s">
        <v>1945</v>
      </c>
      <c r="O154" s="37">
        <v>45509</v>
      </c>
      <c r="P154" s="44" t="s">
        <v>58</v>
      </c>
      <c r="Q154" s="38">
        <v>382000</v>
      </c>
      <c r="R154" s="33">
        <f t="shared" si="82"/>
        <v>2024.3534482758625</v>
      </c>
      <c r="S154" s="35">
        <f t="shared" si="81"/>
        <v>134.95689655172416</v>
      </c>
      <c r="T154" s="34">
        <v>500</v>
      </c>
    </row>
    <row r="155" spans="1:20" x14ac:dyDescent="0.25">
      <c r="A155" s="36" t="s">
        <v>282</v>
      </c>
      <c r="B155" s="36"/>
      <c r="C155" s="36" t="s">
        <v>39</v>
      </c>
      <c r="D155" s="39">
        <v>45509</v>
      </c>
      <c r="E155" s="39">
        <v>45874</v>
      </c>
      <c r="F155" s="36" t="s">
        <v>1248</v>
      </c>
      <c r="G155" s="36" t="s">
        <v>62</v>
      </c>
      <c r="H155" s="41">
        <f t="shared" si="76"/>
        <v>16235.000000000002</v>
      </c>
      <c r="I155" s="41">
        <f t="shared" si="77"/>
        <v>13495.689655172417</v>
      </c>
      <c r="J155" s="42">
        <v>4.2500000000000003E-2</v>
      </c>
      <c r="K155" s="41">
        <f t="shared" si="78"/>
        <v>16235.000000000002</v>
      </c>
      <c r="L155" s="41">
        <f t="shared" si="79"/>
        <v>13495.689655172417</v>
      </c>
      <c r="M155" s="41">
        <f t="shared" si="80"/>
        <v>0</v>
      </c>
      <c r="N155" s="36" t="s">
        <v>1946</v>
      </c>
      <c r="O155" s="37">
        <v>45509</v>
      </c>
      <c r="P155" s="44" t="s">
        <v>58</v>
      </c>
      <c r="Q155" s="38">
        <v>382000</v>
      </c>
      <c r="R155" s="33">
        <f t="shared" si="82"/>
        <v>2024.3534482758625</v>
      </c>
      <c r="S155" s="35">
        <f t="shared" si="81"/>
        <v>134.95689655172416</v>
      </c>
      <c r="T155" s="34">
        <v>500</v>
      </c>
    </row>
    <row r="156" spans="1:20" x14ac:dyDescent="0.25">
      <c r="A156" s="36" t="s">
        <v>283</v>
      </c>
      <c r="B156" s="36"/>
      <c r="C156" s="36" t="s">
        <v>39</v>
      </c>
      <c r="D156" s="39">
        <v>45875</v>
      </c>
      <c r="E156" s="39">
        <v>46240</v>
      </c>
      <c r="F156" s="36" t="s">
        <v>1248</v>
      </c>
      <c r="G156" s="36" t="s">
        <v>62</v>
      </c>
      <c r="H156" s="41">
        <f t="shared" si="76"/>
        <v>16235.000000000002</v>
      </c>
      <c r="I156" s="41">
        <f t="shared" si="77"/>
        <v>13495.689655172417</v>
      </c>
      <c r="J156" s="42">
        <v>4.2500000000000003E-2</v>
      </c>
      <c r="K156" s="41">
        <f t="shared" si="78"/>
        <v>16235.000000000002</v>
      </c>
      <c r="L156" s="41">
        <f t="shared" si="79"/>
        <v>13495.689655172417</v>
      </c>
      <c r="M156" s="41">
        <f t="shared" si="80"/>
        <v>0</v>
      </c>
      <c r="N156" s="36" t="s">
        <v>1946</v>
      </c>
      <c r="O156" s="37">
        <v>45509</v>
      </c>
      <c r="P156" s="44" t="s">
        <v>58</v>
      </c>
      <c r="Q156" s="38">
        <v>382000</v>
      </c>
      <c r="R156" s="33">
        <f t="shared" si="82"/>
        <v>2024.3534482758625</v>
      </c>
      <c r="S156" s="35">
        <f t="shared" si="81"/>
        <v>134.95689655172416</v>
      </c>
      <c r="T156" s="34">
        <v>500</v>
      </c>
    </row>
    <row r="157" spans="1:20" x14ac:dyDescent="0.25">
      <c r="A157" s="36" t="s">
        <v>284</v>
      </c>
      <c r="B157" s="36"/>
      <c r="C157" s="36" t="s">
        <v>37</v>
      </c>
      <c r="D157" s="39">
        <v>45510</v>
      </c>
      <c r="E157" s="39">
        <v>45875</v>
      </c>
      <c r="F157" s="36" t="s">
        <v>1249</v>
      </c>
      <c r="G157" s="36" t="s">
        <v>61</v>
      </c>
      <c r="H157" s="38">
        <v>8800</v>
      </c>
      <c r="I157" s="40">
        <v>7155</v>
      </c>
      <c r="J157" s="40"/>
      <c r="K157" s="40"/>
      <c r="L157" s="40"/>
      <c r="M157" s="40"/>
      <c r="N157" s="36" t="s">
        <v>1947</v>
      </c>
      <c r="O157" s="37">
        <v>45510</v>
      </c>
      <c r="P157" s="44" t="s">
        <v>58</v>
      </c>
      <c r="Q157" s="38">
        <v>352000</v>
      </c>
      <c r="R157" s="33">
        <f t="shared" si="82"/>
        <v>1073.25</v>
      </c>
      <c r="S157" s="35">
        <f t="shared" si="81"/>
        <v>71.55</v>
      </c>
      <c r="T157" s="34">
        <v>500</v>
      </c>
    </row>
    <row r="158" spans="1:20" x14ac:dyDescent="0.25">
      <c r="A158" s="36" t="s">
        <v>285</v>
      </c>
      <c r="B158" s="36"/>
      <c r="C158" s="36" t="s">
        <v>53</v>
      </c>
      <c r="D158" s="39">
        <v>45510</v>
      </c>
      <c r="E158" s="39">
        <v>45875</v>
      </c>
      <c r="F158" s="36" t="s">
        <v>78</v>
      </c>
      <c r="G158" s="36" t="s">
        <v>61</v>
      </c>
      <c r="H158" s="38">
        <v>8800</v>
      </c>
      <c r="I158" s="40">
        <v>7155</v>
      </c>
      <c r="J158" s="40"/>
      <c r="K158" s="40"/>
      <c r="L158" s="40"/>
      <c r="M158" s="40"/>
      <c r="N158" s="36" t="s">
        <v>1948</v>
      </c>
      <c r="O158" s="37">
        <v>45510</v>
      </c>
      <c r="P158" s="44" t="s">
        <v>58</v>
      </c>
      <c r="Q158" s="38">
        <v>352000</v>
      </c>
      <c r="R158" s="33">
        <f t="shared" si="82"/>
        <v>1073.25</v>
      </c>
      <c r="S158" s="35">
        <f t="shared" si="81"/>
        <v>71.55</v>
      </c>
      <c r="T158" s="34">
        <v>500</v>
      </c>
    </row>
    <row r="159" spans="1:20" x14ac:dyDescent="0.25">
      <c r="A159" s="36" t="s">
        <v>286</v>
      </c>
      <c r="B159" s="36"/>
      <c r="C159" s="36" t="s">
        <v>53</v>
      </c>
      <c r="D159" s="39">
        <v>45510</v>
      </c>
      <c r="E159" s="39">
        <v>45875</v>
      </c>
      <c r="F159" s="36" t="s">
        <v>1250</v>
      </c>
      <c r="G159" s="36" t="s">
        <v>61</v>
      </c>
      <c r="H159" s="38">
        <v>8800</v>
      </c>
      <c r="I159" s="40">
        <v>7155</v>
      </c>
      <c r="J159" s="40"/>
      <c r="K159" s="40"/>
      <c r="L159" s="40"/>
      <c r="M159" s="40"/>
      <c r="N159" s="36" t="s">
        <v>1949</v>
      </c>
      <c r="O159" s="37">
        <v>45510</v>
      </c>
      <c r="P159" s="44" t="s">
        <v>58</v>
      </c>
      <c r="Q159" s="38">
        <v>352000</v>
      </c>
      <c r="R159" s="33">
        <f t="shared" si="82"/>
        <v>1073.25</v>
      </c>
      <c r="S159" s="35">
        <f t="shared" si="81"/>
        <v>71.55</v>
      </c>
      <c r="T159" s="34">
        <v>500</v>
      </c>
    </row>
    <row r="160" spans="1:20" x14ac:dyDescent="0.25">
      <c r="A160" s="36" t="s">
        <v>287</v>
      </c>
      <c r="B160" s="36"/>
      <c r="C160" s="36" t="s">
        <v>67</v>
      </c>
      <c r="D160" s="39">
        <v>45510</v>
      </c>
      <c r="E160" s="39">
        <v>45875</v>
      </c>
      <c r="F160" s="36" t="s">
        <v>1251</v>
      </c>
      <c r="G160" s="36" t="s">
        <v>61</v>
      </c>
      <c r="H160" s="38">
        <v>8800</v>
      </c>
      <c r="I160" s="40">
        <v>7155</v>
      </c>
      <c r="J160" s="40"/>
      <c r="K160" s="40"/>
      <c r="L160" s="40"/>
      <c r="M160" s="40"/>
      <c r="N160" s="36" t="s">
        <v>1950</v>
      </c>
      <c r="O160" s="37">
        <v>45510</v>
      </c>
      <c r="P160" s="44" t="s">
        <v>58</v>
      </c>
      <c r="Q160" s="38">
        <v>352000</v>
      </c>
      <c r="R160" s="33">
        <f t="shared" si="82"/>
        <v>1073.25</v>
      </c>
      <c r="S160" s="35">
        <f t="shared" si="81"/>
        <v>71.55</v>
      </c>
      <c r="T160" s="34">
        <v>500</v>
      </c>
    </row>
    <row r="161" spans="1:20" x14ac:dyDescent="0.25">
      <c r="A161" s="36" t="s">
        <v>288</v>
      </c>
      <c r="B161" s="36"/>
      <c r="C161" s="36" t="s">
        <v>53</v>
      </c>
      <c r="D161" s="39">
        <v>45510</v>
      </c>
      <c r="E161" s="39">
        <v>45875</v>
      </c>
      <c r="F161" s="36" t="s">
        <v>1252</v>
      </c>
      <c r="G161" s="36" t="s">
        <v>61</v>
      </c>
      <c r="H161" s="38">
        <v>8800</v>
      </c>
      <c r="I161" s="40">
        <v>7155</v>
      </c>
      <c r="J161" s="40"/>
      <c r="K161" s="40"/>
      <c r="L161" s="40"/>
      <c r="M161" s="40"/>
      <c r="N161" s="36" t="s">
        <v>1951</v>
      </c>
      <c r="O161" s="37">
        <v>45510</v>
      </c>
      <c r="P161" s="44" t="s">
        <v>58</v>
      </c>
      <c r="Q161" s="38">
        <v>352000</v>
      </c>
      <c r="R161" s="33">
        <f t="shared" si="82"/>
        <v>1073.25</v>
      </c>
      <c r="S161" s="35">
        <f t="shared" si="81"/>
        <v>71.55</v>
      </c>
      <c r="T161" s="34">
        <v>500</v>
      </c>
    </row>
    <row r="162" spans="1:20" x14ac:dyDescent="0.25">
      <c r="A162" s="36" t="s">
        <v>289</v>
      </c>
      <c r="B162" s="36"/>
      <c r="C162" s="36" t="s">
        <v>67</v>
      </c>
      <c r="D162" s="39">
        <v>45510</v>
      </c>
      <c r="E162" s="39">
        <v>45875</v>
      </c>
      <c r="F162" s="36" t="s">
        <v>1253</v>
      </c>
      <c r="G162" s="36" t="s">
        <v>62</v>
      </c>
      <c r="H162" s="38">
        <v>9550</v>
      </c>
      <c r="I162" s="40">
        <v>7802</v>
      </c>
      <c r="J162" s="40"/>
      <c r="K162" s="40"/>
      <c r="L162" s="40"/>
      <c r="M162" s="40"/>
      <c r="N162" s="36" t="s">
        <v>1952</v>
      </c>
      <c r="O162" s="37">
        <v>45510</v>
      </c>
      <c r="P162" s="44" t="s">
        <v>58</v>
      </c>
      <c r="Q162" s="38">
        <v>382000</v>
      </c>
      <c r="R162" s="33">
        <f t="shared" si="82"/>
        <v>1170.3</v>
      </c>
      <c r="S162" s="35">
        <f t="shared" si="81"/>
        <v>78.02</v>
      </c>
      <c r="T162" s="34">
        <v>500</v>
      </c>
    </row>
    <row r="163" spans="1:20" x14ac:dyDescent="0.25">
      <c r="A163" s="36" t="s">
        <v>290</v>
      </c>
      <c r="B163" s="36"/>
      <c r="C163" s="36" t="s">
        <v>66</v>
      </c>
      <c r="D163" s="39">
        <v>45510</v>
      </c>
      <c r="E163" s="39">
        <v>45875</v>
      </c>
      <c r="F163" s="36" t="s">
        <v>1254</v>
      </c>
      <c r="G163" s="36" t="s">
        <v>62</v>
      </c>
      <c r="H163" s="38">
        <v>9550</v>
      </c>
      <c r="I163" s="40">
        <v>7802</v>
      </c>
      <c r="J163" s="40"/>
      <c r="K163" s="40"/>
      <c r="L163" s="40"/>
      <c r="M163" s="40"/>
      <c r="N163" s="36" t="s">
        <v>1953</v>
      </c>
      <c r="O163" s="37">
        <v>45510</v>
      </c>
      <c r="P163" s="44" t="s">
        <v>58</v>
      </c>
      <c r="Q163" s="38">
        <v>382000</v>
      </c>
      <c r="R163" s="33">
        <f t="shared" si="82"/>
        <v>1170.3</v>
      </c>
      <c r="S163" s="35">
        <f t="shared" si="81"/>
        <v>78.02</v>
      </c>
      <c r="T163" s="34">
        <v>500</v>
      </c>
    </row>
    <row r="164" spans="1:20" x14ac:dyDescent="0.25">
      <c r="A164" s="36" t="s">
        <v>291</v>
      </c>
      <c r="B164" s="36"/>
      <c r="C164" s="36" t="s">
        <v>66</v>
      </c>
      <c r="D164" s="39">
        <v>45510</v>
      </c>
      <c r="E164" s="39">
        <v>45875</v>
      </c>
      <c r="F164" s="36" t="s">
        <v>1255</v>
      </c>
      <c r="G164" s="36" t="s">
        <v>62</v>
      </c>
      <c r="H164" s="38">
        <v>9550</v>
      </c>
      <c r="I164" s="40">
        <v>7802</v>
      </c>
      <c r="J164" s="40"/>
      <c r="K164" s="40"/>
      <c r="L164" s="40"/>
      <c r="M164" s="40"/>
      <c r="N164" s="36" t="s">
        <v>1954</v>
      </c>
      <c r="O164" s="37">
        <v>45510</v>
      </c>
      <c r="P164" s="44" t="s">
        <v>58</v>
      </c>
      <c r="Q164" s="38">
        <v>382000</v>
      </c>
      <c r="R164" s="33">
        <f t="shared" si="82"/>
        <v>1170.3</v>
      </c>
      <c r="S164" s="35">
        <f t="shared" si="81"/>
        <v>78.02</v>
      </c>
      <c r="T164" s="34">
        <v>500</v>
      </c>
    </row>
    <row r="165" spans="1:20" x14ac:dyDescent="0.25">
      <c r="A165" s="36" t="s">
        <v>292</v>
      </c>
      <c r="B165" s="36"/>
      <c r="C165" s="36" t="s">
        <v>67</v>
      </c>
      <c r="D165" s="39">
        <v>45510</v>
      </c>
      <c r="E165" s="39">
        <v>45875</v>
      </c>
      <c r="F165" s="36" t="s">
        <v>1256</v>
      </c>
      <c r="G165" s="36" t="s">
        <v>61</v>
      </c>
      <c r="H165" s="38">
        <v>8800</v>
      </c>
      <c r="I165" s="40">
        <v>7155</v>
      </c>
      <c r="J165" s="40"/>
      <c r="K165" s="40"/>
      <c r="L165" s="40"/>
      <c r="M165" s="40"/>
      <c r="N165" s="36" t="s">
        <v>1955</v>
      </c>
      <c r="O165" s="37">
        <v>45510</v>
      </c>
      <c r="P165" s="44" t="s">
        <v>58</v>
      </c>
      <c r="Q165" s="38">
        <v>352000</v>
      </c>
      <c r="R165" s="33">
        <f t="shared" si="82"/>
        <v>1073.25</v>
      </c>
      <c r="S165" s="35">
        <f t="shared" si="81"/>
        <v>71.55</v>
      </c>
      <c r="T165" s="34">
        <v>500</v>
      </c>
    </row>
    <row r="166" spans="1:20" x14ac:dyDescent="0.25">
      <c r="A166" s="36" t="s">
        <v>293</v>
      </c>
      <c r="B166" s="36"/>
      <c r="C166" s="36" t="s">
        <v>66</v>
      </c>
      <c r="D166" s="39">
        <v>45510</v>
      </c>
      <c r="E166" s="39">
        <v>45875</v>
      </c>
      <c r="F166" s="36" t="s">
        <v>1257</v>
      </c>
      <c r="G166" s="36" t="s">
        <v>61</v>
      </c>
      <c r="H166" s="38">
        <v>8800</v>
      </c>
      <c r="I166" s="40">
        <v>7155</v>
      </c>
      <c r="J166" s="40"/>
      <c r="K166" s="40"/>
      <c r="L166" s="40"/>
      <c r="M166" s="40"/>
      <c r="N166" s="36" t="s">
        <v>1956</v>
      </c>
      <c r="O166" s="37">
        <v>45510</v>
      </c>
      <c r="P166" s="44" t="s">
        <v>58</v>
      </c>
      <c r="Q166" s="38">
        <v>352000</v>
      </c>
      <c r="R166" s="33">
        <f t="shared" si="82"/>
        <v>1073.25</v>
      </c>
      <c r="S166" s="35">
        <f t="shared" si="81"/>
        <v>71.55</v>
      </c>
      <c r="T166" s="34">
        <v>500</v>
      </c>
    </row>
    <row r="167" spans="1:20" x14ac:dyDescent="0.25">
      <c r="A167" s="36" t="s">
        <v>294</v>
      </c>
      <c r="B167" s="36"/>
      <c r="C167" s="36" t="s">
        <v>66</v>
      </c>
      <c r="D167" s="39">
        <v>45510</v>
      </c>
      <c r="E167" s="39">
        <v>45875</v>
      </c>
      <c r="F167" s="36" t="s">
        <v>1258</v>
      </c>
      <c r="G167" s="36" t="s">
        <v>62</v>
      </c>
      <c r="H167" s="38">
        <v>9550</v>
      </c>
      <c r="I167" s="40">
        <v>7802</v>
      </c>
      <c r="J167" s="40"/>
      <c r="K167" s="40"/>
      <c r="L167" s="40"/>
      <c r="M167" s="40"/>
      <c r="N167" s="36" t="s">
        <v>1957</v>
      </c>
      <c r="O167" s="37">
        <v>45510</v>
      </c>
      <c r="P167" s="44" t="s">
        <v>58</v>
      </c>
      <c r="Q167" s="38">
        <v>382000</v>
      </c>
      <c r="R167" s="33">
        <f t="shared" si="82"/>
        <v>1170.3</v>
      </c>
      <c r="S167" s="35">
        <f t="shared" si="81"/>
        <v>78.02</v>
      </c>
      <c r="T167" s="34">
        <v>500</v>
      </c>
    </row>
    <row r="168" spans="1:20" x14ac:dyDescent="0.25">
      <c r="A168" s="36" t="s">
        <v>295</v>
      </c>
      <c r="B168" s="36"/>
      <c r="C168" s="36" t="s">
        <v>66</v>
      </c>
      <c r="D168" s="39">
        <v>45510</v>
      </c>
      <c r="E168" s="39">
        <v>45875</v>
      </c>
      <c r="F168" s="36" t="s">
        <v>123</v>
      </c>
      <c r="G168" s="36" t="s">
        <v>61</v>
      </c>
      <c r="H168" s="38">
        <v>8800</v>
      </c>
      <c r="I168" s="40">
        <v>7155</v>
      </c>
      <c r="J168" s="40"/>
      <c r="K168" s="40"/>
      <c r="L168" s="40"/>
      <c r="M168" s="40"/>
      <c r="N168" s="36" t="s">
        <v>1958</v>
      </c>
      <c r="O168" s="37">
        <v>45510</v>
      </c>
      <c r="P168" s="44" t="s">
        <v>58</v>
      </c>
      <c r="Q168" s="38">
        <v>352000</v>
      </c>
      <c r="R168" s="33">
        <f t="shared" si="82"/>
        <v>1073.25</v>
      </c>
      <c r="S168" s="35">
        <f t="shared" si="81"/>
        <v>71.55</v>
      </c>
      <c r="T168" s="34">
        <v>500</v>
      </c>
    </row>
    <row r="169" spans="1:20" x14ac:dyDescent="0.25">
      <c r="A169" s="36" t="s">
        <v>296</v>
      </c>
      <c r="B169" s="36"/>
      <c r="C169" s="36" t="s">
        <v>67</v>
      </c>
      <c r="D169" s="39">
        <v>45510</v>
      </c>
      <c r="E169" s="39">
        <v>45875</v>
      </c>
      <c r="F169" s="36" t="s">
        <v>1259</v>
      </c>
      <c r="G169" s="36" t="s">
        <v>62</v>
      </c>
      <c r="H169" s="38">
        <v>9550</v>
      </c>
      <c r="I169" s="40">
        <v>7802</v>
      </c>
      <c r="J169" s="40"/>
      <c r="K169" s="40"/>
      <c r="L169" s="40"/>
      <c r="M169" s="40"/>
      <c r="N169" s="36" t="s">
        <v>1959</v>
      </c>
      <c r="O169" s="37">
        <v>45510</v>
      </c>
      <c r="P169" s="44" t="s">
        <v>58</v>
      </c>
      <c r="Q169" s="38">
        <v>382000</v>
      </c>
      <c r="R169" s="33">
        <f t="shared" si="82"/>
        <v>1170.3</v>
      </c>
      <c r="S169" s="35">
        <f t="shared" si="81"/>
        <v>78.02</v>
      </c>
      <c r="T169" s="34">
        <v>500</v>
      </c>
    </row>
    <row r="170" spans="1:20" x14ac:dyDescent="0.25">
      <c r="A170" s="36" t="s">
        <v>297</v>
      </c>
      <c r="B170" s="36"/>
      <c r="C170" s="36" t="s">
        <v>66</v>
      </c>
      <c r="D170" s="39">
        <v>45510</v>
      </c>
      <c r="E170" s="39">
        <v>45875</v>
      </c>
      <c r="F170" s="36" t="s">
        <v>1260</v>
      </c>
      <c r="G170" s="36" t="s">
        <v>62</v>
      </c>
      <c r="H170" s="38">
        <v>9550</v>
      </c>
      <c r="I170" s="40">
        <v>7802</v>
      </c>
      <c r="J170" s="40"/>
      <c r="K170" s="40"/>
      <c r="L170" s="40"/>
      <c r="M170" s="40"/>
      <c r="N170" s="36" t="s">
        <v>1960</v>
      </c>
      <c r="O170" s="37">
        <v>45510</v>
      </c>
      <c r="P170" s="44" t="s">
        <v>58</v>
      </c>
      <c r="Q170" s="38">
        <v>382000</v>
      </c>
      <c r="R170" s="33">
        <f t="shared" si="82"/>
        <v>1170.3</v>
      </c>
      <c r="S170" s="35">
        <f t="shared" si="81"/>
        <v>78.02</v>
      </c>
      <c r="T170" s="34">
        <v>500</v>
      </c>
    </row>
    <row r="171" spans="1:20" x14ac:dyDescent="0.25">
      <c r="A171" s="36" t="s">
        <v>298</v>
      </c>
      <c r="B171" s="36"/>
      <c r="C171" s="36" t="s">
        <v>66</v>
      </c>
      <c r="D171" s="39">
        <v>45510</v>
      </c>
      <c r="E171" s="39">
        <v>45875</v>
      </c>
      <c r="F171" s="36" t="s">
        <v>1260</v>
      </c>
      <c r="G171" s="36" t="s">
        <v>62</v>
      </c>
      <c r="H171" s="38">
        <v>9550</v>
      </c>
      <c r="I171" s="40">
        <v>7802</v>
      </c>
      <c r="J171" s="40"/>
      <c r="K171" s="40"/>
      <c r="L171" s="40"/>
      <c r="M171" s="40"/>
      <c r="N171" s="36" t="s">
        <v>1960</v>
      </c>
      <c r="O171" s="37">
        <v>45510</v>
      </c>
      <c r="P171" s="44" t="s">
        <v>58</v>
      </c>
      <c r="Q171" s="38">
        <v>382000</v>
      </c>
      <c r="R171" s="33">
        <f t="shared" si="82"/>
        <v>1170.3</v>
      </c>
      <c r="S171" s="35">
        <f t="shared" si="81"/>
        <v>78.02</v>
      </c>
      <c r="T171" s="34">
        <v>500</v>
      </c>
    </row>
    <row r="172" spans="1:20" x14ac:dyDescent="0.25">
      <c r="A172" s="36" t="s">
        <v>299</v>
      </c>
      <c r="B172" s="36"/>
      <c r="C172" s="36" t="s">
        <v>67</v>
      </c>
      <c r="D172" s="39">
        <v>45510</v>
      </c>
      <c r="E172" s="39">
        <v>45875</v>
      </c>
      <c r="F172" s="36" t="s">
        <v>1261</v>
      </c>
      <c r="G172" s="36" t="s">
        <v>62</v>
      </c>
      <c r="H172" s="38">
        <v>9550</v>
      </c>
      <c r="I172" s="40">
        <v>7802</v>
      </c>
      <c r="J172" s="40"/>
      <c r="K172" s="40"/>
      <c r="L172" s="40"/>
      <c r="M172" s="40"/>
      <c r="N172" s="36" t="s">
        <v>1961</v>
      </c>
      <c r="O172" s="37">
        <v>45510</v>
      </c>
      <c r="P172" s="44" t="s">
        <v>58</v>
      </c>
      <c r="Q172" s="38">
        <v>382000</v>
      </c>
      <c r="R172" s="33">
        <f t="shared" si="82"/>
        <v>1170.3</v>
      </c>
      <c r="S172" s="35">
        <f t="shared" si="81"/>
        <v>78.02</v>
      </c>
      <c r="T172" s="34">
        <v>500</v>
      </c>
    </row>
    <row r="173" spans="1:20" x14ac:dyDescent="0.25">
      <c r="A173" s="36" t="s">
        <v>300</v>
      </c>
      <c r="B173" s="36"/>
      <c r="C173" s="36" t="s">
        <v>66</v>
      </c>
      <c r="D173" s="39">
        <v>45510</v>
      </c>
      <c r="E173" s="39">
        <v>45875</v>
      </c>
      <c r="F173" s="36" t="s">
        <v>1262</v>
      </c>
      <c r="G173" s="36" t="s">
        <v>62</v>
      </c>
      <c r="H173" s="38">
        <v>9550</v>
      </c>
      <c r="I173" s="40">
        <v>7802</v>
      </c>
      <c r="J173" s="40"/>
      <c r="K173" s="40"/>
      <c r="L173" s="40"/>
      <c r="M173" s="40"/>
      <c r="N173" s="36" t="s">
        <v>1962</v>
      </c>
      <c r="O173" s="37">
        <v>45510</v>
      </c>
      <c r="P173" s="44" t="s">
        <v>58</v>
      </c>
      <c r="Q173" s="38">
        <v>382000</v>
      </c>
      <c r="R173" s="33">
        <f t="shared" si="82"/>
        <v>1170.3</v>
      </c>
      <c r="S173" s="35">
        <f t="shared" si="81"/>
        <v>78.02</v>
      </c>
      <c r="T173" s="34">
        <v>500</v>
      </c>
    </row>
    <row r="174" spans="1:20" x14ac:dyDescent="0.25">
      <c r="A174" s="36" t="s">
        <v>301</v>
      </c>
      <c r="B174" s="36"/>
      <c r="C174" s="36" t="s">
        <v>92</v>
      </c>
      <c r="D174" s="39">
        <v>45510</v>
      </c>
      <c r="E174" s="39">
        <v>45875</v>
      </c>
      <c r="F174" s="36" t="s">
        <v>1263</v>
      </c>
      <c r="G174" s="36" t="s">
        <v>61</v>
      </c>
      <c r="H174" s="38">
        <v>8800</v>
      </c>
      <c r="I174" s="40">
        <v>7155</v>
      </c>
      <c r="J174" s="40"/>
      <c r="K174" s="40"/>
      <c r="L174" s="40"/>
      <c r="M174" s="40"/>
      <c r="N174" s="36" t="s">
        <v>1963</v>
      </c>
      <c r="O174" s="37">
        <v>45510</v>
      </c>
      <c r="P174" s="44" t="s">
        <v>58</v>
      </c>
      <c r="Q174" s="38">
        <v>352000</v>
      </c>
      <c r="R174" s="33">
        <f t="shared" si="82"/>
        <v>1073.25</v>
      </c>
      <c r="S174" s="35">
        <f t="shared" si="81"/>
        <v>71.55</v>
      </c>
      <c r="T174" s="34">
        <v>500</v>
      </c>
    </row>
    <row r="175" spans="1:20" x14ac:dyDescent="0.25">
      <c r="A175" s="36" t="s">
        <v>302</v>
      </c>
      <c r="B175" s="36"/>
      <c r="C175" s="36" t="s">
        <v>92</v>
      </c>
      <c r="D175" s="39">
        <v>45510</v>
      </c>
      <c r="E175" s="39">
        <v>45875</v>
      </c>
      <c r="F175" s="36" t="s">
        <v>1264</v>
      </c>
      <c r="G175" s="36" t="s">
        <v>61</v>
      </c>
      <c r="H175" s="38">
        <v>8800</v>
      </c>
      <c r="I175" s="40">
        <v>7155</v>
      </c>
      <c r="J175" s="40"/>
      <c r="K175" s="40"/>
      <c r="L175" s="40"/>
      <c r="M175" s="40"/>
      <c r="N175" s="36" t="s">
        <v>1964</v>
      </c>
      <c r="O175" s="37">
        <v>45510</v>
      </c>
      <c r="P175" s="44" t="s">
        <v>58</v>
      </c>
      <c r="Q175" s="38">
        <v>352000</v>
      </c>
      <c r="R175" s="33">
        <f t="shared" si="82"/>
        <v>1073.25</v>
      </c>
      <c r="S175" s="35">
        <f t="shared" si="81"/>
        <v>71.55</v>
      </c>
      <c r="T175" s="34">
        <v>500</v>
      </c>
    </row>
    <row r="176" spans="1:20" x14ac:dyDescent="0.25">
      <c r="A176" s="36" t="s">
        <v>303</v>
      </c>
      <c r="B176" s="36"/>
      <c r="C176" s="36" t="s">
        <v>92</v>
      </c>
      <c r="D176" s="39">
        <v>45510</v>
      </c>
      <c r="E176" s="39">
        <v>45875</v>
      </c>
      <c r="F176" s="36" t="s">
        <v>1264</v>
      </c>
      <c r="G176" s="36" t="s">
        <v>61</v>
      </c>
      <c r="H176" s="38">
        <v>8800</v>
      </c>
      <c r="I176" s="40">
        <v>7155</v>
      </c>
      <c r="J176" s="40"/>
      <c r="K176" s="40"/>
      <c r="L176" s="40"/>
      <c r="M176" s="40"/>
      <c r="N176" s="36" t="s">
        <v>1964</v>
      </c>
      <c r="O176" s="37">
        <v>45510</v>
      </c>
      <c r="P176" s="44" t="s">
        <v>58</v>
      </c>
      <c r="Q176" s="38">
        <v>352000</v>
      </c>
      <c r="R176" s="33">
        <f t="shared" si="82"/>
        <v>1073.25</v>
      </c>
      <c r="S176" s="35">
        <f t="shared" si="81"/>
        <v>71.55</v>
      </c>
      <c r="T176" s="34">
        <v>500</v>
      </c>
    </row>
    <row r="177" spans="1:20" x14ac:dyDescent="0.25">
      <c r="A177" s="36" t="s">
        <v>304</v>
      </c>
      <c r="B177" s="36"/>
      <c r="C177" s="36" t="s">
        <v>49</v>
      </c>
      <c r="D177" s="39">
        <v>45510</v>
      </c>
      <c r="E177" s="39">
        <v>45875</v>
      </c>
      <c r="F177" s="36" t="s">
        <v>1265</v>
      </c>
      <c r="G177" s="36" t="s">
        <v>61</v>
      </c>
      <c r="H177" s="38">
        <v>8800</v>
      </c>
      <c r="I177" s="40">
        <v>7155</v>
      </c>
      <c r="J177" s="40"/>
      <c r="K177" s="40"/>
      <c r="L177" s="40"/>
      <c r="M177" s="40"/>
      <c r="N177" s="36" t="s">
        <v>1965</v>
      </c>
      <c r="O177" s="37">
        <v>45510</v>
      </c>
      <c r="P177" s="44" t="s">
        <v>58</v>
      </c>
      <c r="Q177" s="38">
        <v>352000</v>
      </c>
      <c r="R177" s="33">
        <f t="shared" si="82"/>
        <v>1073.25</v>
      </c>
      <c r="S177" s="35">
        <f t="shared" si="81"/>
        <v>71.55</v>
      </c>
      <c r="T177" s="34">
        <v>500</v>
      </c>
    </row>
    <row r="178" spans="1:20" x14ac:dyDescent="0.25">
      <c r="A178" s="36" t="s">
        <v>305</v>
      </c>
      <c r="B178" s="36"/>
      <c r="C178" s="36" t="s">
        <v>92</v>
      </c>
      <c r="D178" s="39">
        <v>45510</v>
      </c>
      <c r="E178" s="39">
        <v>45875</v>
      </c>
      <c r="F178" s="36" t="s">
        <v>1266</v>
      </c>
      <c r="G178" s="36" t="s">
        <v>61</v>
      </c>
      <c r="H178" s="38">
        <v>8800</v>
      </c>
      <c r="I178" s="40">
        <v>7155</v>
      </c>
      <c r="J178" s="40"/>
      <c r="K178" s="40"/>
      <c r="L178" s="40"/>
      <c r="M178" s="40"/>
      <c r="N178" s="36" t="s">
        <v>1966</v>
      </c>
      <c r="O178" s="37">
        <v>45510</v>
      </c>
      <c r="P178" s="44" t="s">
        <v>58</v>
      </c>
      <c r="Q178" s="38">
        <v>352000</v>
      </c>
      <c r="R178" s="33">
        <f t="shared" si="82"/>
        <v>1073.25</v>
      </c>
      <c r="S178" s="35">
        <f t="shared" si="81"/>
        <v>71.55</v>
      </c>
      <c r="T178" s="34">
        <v>500</v>
      </c>
    </row>
    <row r="179" spans="1:20" x14ac:dyDescent="0.25">
      <c r="A179" s="36" t="s">
        <v>306</v>
      </c>
      <c r="B179" s="36"/>
      <c r="C179" s="36" t="s">
        <v>92</v>
      </c>
      <c r="D179" s="39">
        <v>45510</v>
      </c>
      <c r="E179" s="39">
        <v>45875</v>
      </c>
      <c r="F179" s="36" t="s">
        <v>1267</v>
      </c>
      <c r="G179" s="36" t="s">
        <v>65</v>
      </c>
      <c r="H179" s="38">
        <v>9550</v>
      </c>
      <c r="I179" s="40">
        <v>7802</v>
      </c>
      <c r="J179" s="40"/>
      <c r="K179" s="40"/>
      <c r="L179" s="40"/>
      <c r="M179" s="40"/>
      <c r="N179" s="36" t="s">
        <v>1967</v>
      </c>
      <c r="O179" s="37">
        <v>45510</v>
      </c>
      <c r="P179" s="44" t="s">
        <v>58</v>
      </c>
      <c r="Q179" s="38">
        <v>382000</v>
      </c>
      <c r="R179" s="33">
        <f t="shared" si="82"/>
        <v>1170.3</v>
      </c>
      <c r="S179" s="35">
        <f t="shared" si="81"/>
        <v>78.02</v>
      </c>
      <c r="T179" s="34">
        <v>500</v>
      </c>
    </row>
    <row r="180" spans="1:20" x14ac:dyDescent="0.25">
      <c r="A180" s="36" t="s">
        <v>307</v>
      </c>
      <c r="B180" s="36"/>
      <c r="C180" s="36" t="s">
        <v>33</v>
      </c>
      <c r="D180" s="39">
        <v>45510</v>
      </c>
      <c r="E180" s="39">
        <v>45875</v>
      </c>
      <c r="F180" s="36" t="s">
        <v>1268</v>
      </c>
      <c r="G180" s="36" t="s">
        <v>62</v>
      </c>
      <c r="H180" s="41">
        <f>K180</f>
        <v>16235.000000000002</v>
      </c>
      <c r="I180" s="41">
        <f>L180</f>
        <v>13495.689655172417</v>
      </c>
      <c r="J180" s="42">
        <v>4.2500000000000003E-2</v>
      </c>
      <c r="K180" s="41">
        <f>Q180*J180</f>
        <v>16235.000000000002</v>
      </c>
      <c r="L180" s="41">
        <f>K180/116%-T180</f>
        <v>13495.689655172417</v>
      </c>
      <c r="M180" s="41">
        <f>K180-H180</f>
        <v>0</v>
      </c>
      <c r="N180" s="36" t="s">
        <v>1968</v>
      </c>
      <c r="O180" s="37">
        <v>45510</v>
      </c>
      <c r="P180" s="44" t="s">
        <v>58</v>
      </c>
      <c r="Q180" s="38">
        <v>382000</v>
      </c>
      <c r="R180" s="33">
        <f t="shared" si="82"/>
        <v>2024.3534482758625</v>
      </c>
      <c r="S180" s="35">
        <f t="shared" si="81"/>
        <v>134.95689655172416</v>
      </c>
      <c r="T180" s="34">
        <v>500</v>
      </c>
    </row>
    <row r="181" spans="1:20" x14ac:dyDescent="0.25">
      <c r="A181" s="36" t="s">
        <v>308</v>
      </c>
      <c r="B181" s="36"/>
      <c r="C181" s="36" t="s">
        <v>92</v>
      </c>
      <c r="D181" s="39">
        <v>45510</v>
      </c>
      <c r="E181" s="39">
        <v>45875</v>
      </c>
      <c r="F181" s="36" t="s">
        <v>1269</v>
      </c>
      <c r="G181" s="36" t="s">
        <v>61</v>
      </c>
      <c r="H181" s="38">
        <v>8800</v>
      </c>
      <c r="I181" s="40">
        <v>7155</v>
      </c>
      <c r="J181" s="40"/>
      <c r="K181" s="40"/>
      <c r="L181" s="40"/>
      <c r="M181" s="40"/>
      <c r="N181" s="36" t="s">
        <v>1969</v>
      </c>
      <c r="O181" s="37">
        <v>45510</v>
      </c>
      <c r="P181" s="44" t="s">
        <v>58</v>
      </c>
      <c r="Q181" s="38">
        <v>352000</v>
      </c>
      <c r="R181" s="33">
        <f t="shared" si="82"/>
        <v>1073.25</v>
      </c>
      <c r="S181" s="35">
        <f t="shared" si="81"/>
        <v>71.55</v>
      </c>
      <c r="T181" s="34">
        <v>500</v>
      </c>
    </row>
    <row r="182" spans="1:20" x14ac:dyDescent="0.25">
      <c r="A182" s="36" t="s">
        <v>309</v>
      </c>
      <c r="B182" s="36"/>
      <c r="C182" s="36" t="s">
        <v>52</v>
      </c>
      <c r="D182" s="39">
        <v>45510</v>
      </c>
      <c r="E182" s="39">
        <v>45875</v>
      </c>
      <c r="F182" s="36" t="s">
        <v>1270</v>
      </c>
      <c r="G182" s="36" t="s">
        <v>62</v>
      </c>
      <c r="H182" s="38">
        <v>16235</v>
      </c>
      <c r="I182" s="40">
        <v>13565</v>
      </c>
      <c r="J182" s="40"/>
      <c r="K182" s="40"/>
      <c r="L182" s="40"/>
      <c r="M182" s="40"/>
      <c r="N182" s="36" t="s">
        <v>1970</v>
      </c>
      <c r="O182" s="37">
        <v>45510</v>
      </c>
      <c r="P182" s="44" t="s">
        <v>58</v>
      </c>
      <c r="Q182" s="38">
        <v>382000</v>
      </c>
      <c r="R182" s="33">
        <f t="shared" si="82"/>
        <v>2034.75</v>
      </c>
      <c r="S182" s="35">
        <f t="shared" si="81"/>
        <v>135.65</v>
      </c>
      <c r="T182" s="34">
        <v>500</v>
      </c>
    </row>
    <row r="183" spans="1:20" x14ac:dyDescent="0.25">
      <c r="A183" s="36" t="s">
        <v>310</v>
      </c>
      <c r="B183" s="36"/>
      <c r="C183" s="36" t="s">
        <v>52</v>
      </c>
      <c r="D183" s="39">
        <v>45876</v>
      </c>
      <c r="E183" s="39">
        <v>46241</v>
      </c>
      <c r="F183" s="36" t="s">
        <v>1270</v>
      </c>
      <c r="G183" s="36" t="s">
        <v>62</v>
      </c>
      <c r="H183" s="38">
        <v>16235</v>
      </c>
      <c r="I183" s="40">
        <v>13565</v>
      </c>
      <c r="J183" s="40"/>
      <c r="K183" s="40"/>
      <c r="L183" s="40"/>
      <c r="M183" s="40"/>
      <c r="N183" s="36" t="s">
        <v>1970</v>
      </c>
      <c r="O183" s="37">
        <v>45510</v>
      </c>
      <c r="P183" s="44" t="s">
        <v>58</v>
      </c>
      <c r="Q183" s="38">
        <v>382000</v>
      </c>
      <c r="R183" s="33">
        <f t="shared" si="82"/>
        <v>2034.75</v>
      </c>
      <c r="S183" s="35">
        <f t="shared" si="81"/>
        <v>135.65</v>
      </c>
      <c r="T183" s="34">
        <v>500</v>
      </c>
    </row>
    <row r="184" spans="1:20" x14ac:dyDescent="0.25">
      <c r="A184" s="36" t="s">
        <v>311</v>
      </c>
      <c r="B184" s="36"/>
      <c r="C184" s="36" t="s">
        <v>37</v>
      </c>
      <c r="D184" s="39">
        <v>45510</v>
      </c>
      <c r="E184" s="39">
        <v>45875</v>
      </c>
      <c r="F184" s="36" t="s">
        <v>1271</v>
      </c>
      <c r="G184" s="36" t="s">
        <v>63</v>
      </c>
      <c r="H184" s="38">
        <v>13675</v>
      </c>
      <c r="I184" s="40">
        <v>11358</v>
      </c>
      <c r="J184" s="40"/>
      <c r="K184" s="40"/>
      <c r="L184" s="40"/>
      <c r="M184" s="40"/>
      <c r="N184" s="36" t="s">
        <v>1971</v>
      </c>
      <c r="O184" s="37">
        <v>45510</v>
      </c>
      <c r="P184" s="44" t="s">
        <v>58</v>
      </c>
      <c r="Q184" s="38">
        <v>547000</v>
      </c>
      <c r="R184" s="33">
        <f t="shared" si="82"/>
        <v>1703.7</v>
      </c>
      <c r="S184" s="35">
        <f t="shared" si="81"/>
        <v>113.58</v>
      </c>
      <c r="T184" s="34">
        <v>500</v>
      </c>
    </row>
    <row r="185" spans="1:20" x14ac:dyDescent="0.25">
      <c r="A185" s="36" t="s">
        <v>312</v>
      </c>
      <c r="B185" s="36"/>
      <c r="C185" s="36" t="s">
        <v>92</v>
      </c>
      <c r="D185" s="39">
        <v>45510</v>
      </c>
      <c r="E185" s="39">
        <v>45875</v>
      </c>
      <c r="F185" s="36" t="s">
        <v>1272</v>
      </c>
      <c r="G185" s="36" t="s">
        <v>61</v>
      </c>
      <c r="H185" s="38">
        <v>8800</v>
      </c>
      <c r="I185" s="40">
        <v>7155</v>
      </c>
      <c r="J185" s="40"/>
      <c r="K185" s="40"/>
      <c r="L185" s="40"/>
      <c r="M185" s="40"/>
      <c r="N185" s="36" t="s">
        <v>1972</v>
      </c>
      <c r="O185" s="37">
        <v>45510</v>
      </c>
      <c r="P185" s="44" t="s">
        <v>58</v>
      </c>
      <c r="Q185" s="38">
        <v>352000</v>
      </c>
      <c r="R185" s="33">
        <f t="shared" si="82"/>
        <v>1073.25</v>
      </c>
      <c r="S185" s="35">
        <f t="shared" si="81"/>
        <v>71.55</v>
      </c>
      <c r="T185" s="34">
        <v>500</v>
      </c>
    </row>
    <row r="186" spans="1:20" x14ac:dyDescent="0.25">
      <c r="A186" s="36" t="s">
        <v>313</v>
      </c>
      <c r="B186" s="36"/>
      <c r="C186" s="36" t="s">
        <v>52</v>
      </c>
      <c r="D186" s="39">
        <v>45510</v>
      </c>
      <c r="E186" s="39">
        <v>45875</v>
      </c>
      <c r="F186" s="36" t="s">
        <v>1273</v>
      </c>
      <c r="G186" s="36" t="s">
        <v>62</v>
      </c>
      <c r="H186" s="38">
        <v>16235</v>
      </c>
      <c r="I186" s="40">
        <v>13565</v>
      </c>
      <c r="J186" s="40"/>
      <c r="K186" s="40"/>
      <c r="L186" s="40"/>
      <c r="M186" s="40"/>
      <c r="N186" s="36" t="s">
        <v>1973</v>
      </c>
      <c r="O186" s="37">
        <v>45510</v>
      </c>
      <c r="P186" s="44" t="s">
        <v>58</v>
      </c>
      <c r="Q186" s="38">
        <v>382000</v>
      </c>
      <c r="R186" s="33">
        <f t="shared" si="82"/>
        <v>2034.75</v>
      </c>
      <c r="S186" s="35">
        <f t="shared" si="81"/>
        <v>135.65</v>
      </c>
      <c r="T186" s="34">
        <v>500</v>
      </c>
    </row>
    <row r="187" spans="1:20" x14ac:dyDescent="0.25">
      <c r="A187" s="36" t="s">
        <v>314</v>
      </c>
      <c r="B187" s="36"/>
      <c r="C187" s="36" t="s">
        <v>52</v>
      </c>
      <c r="D187" s="39">
        <v>45510</v>
      </c>
      <c r="E187" s="39">
        <v>45875</v>
      </c>
      <c r="F187" s="36" t="s">
        <v>1269</v>
      </c>
      <c r="G187" s="36" t="s">
        <v>62</v>
      </c>
      <c r="H187" s="38">
        <v>16235</v>
      </c>
      <c r="I187" s="40">
        <v>13565</v>
      </c>
      <c r="J187" s="40"/>
      <c r="K187" s="40"/>
      <c r="L187" s="40"/>
      <c r="M187" s="40"/>
      <c r="N187" s="36" t="s">
        <v>1974</v>
      </c>
      <c r="O187" s="37">
        <v>45510</v>
      </c>
      <c r="P187" s="44" t="s">
        <v>58</v>
      </c>
      <c r="Q187" s="38">
        <v>382000</v>
      </c>
      <c r="R187" s="33">
        <f t="shared" si="82"/>
        <v>2034.75</v>
      </c>
      <c r="S187" s="35">
        <f t="shared" si="81"/>
        <v>135.65</v>
      </c>
      <c r="T187" s="34">
        <v>500</v>
      </c>
    </row>
    <row r="188" spans="1:20" x14ac:dyDescent="0.25">
      <c r="A188" s="36" t="s">
        <v>315</v>
      </c>
      <c r="B188" s="36"/>
      <c r="C188" s="36" t="s">
        <v>52</v>
      </c>
      <c r="D188" s="39">
        <v>45510</v>
      </c>
      <c r="E188" s="39">
        <v>45875</v>
      </c>
      <c r="F188" s="36" t="s">
        <v>1274</v>
      </c>
      <c r="G188" s="36" t="s">
        <v>63</v>
      </c>
      <c r="H188" s="38">
        <v>23248</v>
      </c>
      <c r="I188" s="40">
        <v>19610</v>
      </c>
      <c r="J188" s="40"/>
      <c r="K188" s="40"/>
      <c r="L188" s="40"/>
      <c r="M188" s="40"/>
      <c r="N188" s="36" t="s">
        <v>1975</v>
      </c>
      <c r="O188" s="37">
        <v>45510</v>
      </c>
      <c r="P188" s="44" t="s">
        <v>58</v>
      </c>
      <c r="Q188" s="38">
        <v>547000</v>
      </c>
      <c r="R188" s="33">
        <f t="shared" si="82"/>
        <v>2941.5</v>
      </c>
      <c r="S188" s="35">
        <f t="shared" si="81"/>
        <v>196.1</v>
      </c>
      <c r="T188" s="34">
        <v>500</v>
      </c>
    </row>
    <row r="189" spans="1:20" x14ac:dyDescent="0.25">
      <c r="A189" s="36" t="s">
        <v>316</v>
      </c>
      <c r="B189" s="36"/>
      <c r="C189" s="36" t="s">
        <v>52</v>
      </c>
      <c r="D189" s="39">
        <v>45510</v>
      </c>
      <c r="E189" s="39">
        <v>45875</v>
      </c>
      <c r="F189" s="36" t="s">
        <v>1275</v>
      </c>
      <c r="G189" s="36" t="s">
        <v>64</v>
      </c>
      <c r="H189" s="38">
        <v>21208</v>
      </c>
      <c r="I189" s="40">
        <v>17852</v>
      </c>
      <c r="J189" s="40"/>
      <c r="K189" s="40"/>
      <c r="L189" s="40"/>
      <c r="M189" s="40"/>
      <c r="N189" s="36" t="s">
        <v>1976</v>
      </c>
      <c r="O189" s="37">
        <v>45510</v>
      </c>
      <c r="P189" s="44" t="s">
        <v>58</v>
      </c>
      <c r="Q189" s="38">
        <v>499000</v>
      </c>
      <c r="R189" s="33">
        <f t="shared" si="82"/>
        <v>2677.8</v>
      </c>
      <c r="S189" s="35">
        <f t="shared" si="81"/>
        <v>178.52</v>
      </c>
      <c r="T189" s="34">
        <v>500</v>
      </c>
    </row>
    <row r="190" spans="1:20" x14ac:dyDescent="0.25">
      <c r="A190" s="36" t="s">
        <v>317</v>
      </c>
      <c r="B190" s="36"/>
      <c r="C190" s="36" t="s">
        <v>35</v>
      </c>
      <c r="D190" s="39">
        <v>45511</v>
      </c>
      <c r="E190" s="39">
        <v>45876</v>
      </c>
      <c r="F190" s="36" t="s">
        <v>1276</v>
      </c>
      <c r="G190" s="36" t="s">
        <v>61</v>
      </c>
      <c r="H190" s="38">
        <v>14960</v>
      </c>
      <c r="I190" s="40">
        <v>12466</v>
      </c>
      <c r="J190" s="40"/>
      <c r="K190" s="40"/>
      <c r="L190" s="40"/>
      <c r="M190" s="40"/>
      <c r="N190" s="36" t="s">
        <v>1977</v>
      </c>
      <c r="O190" s="37">
        <v>45511</v>
      </c>
      <c r="P190" s="44" t="s">
        <v>58</v>
      </c>
      <c r="Q190" s="38">
        <v>352000</v>
      </c>
      <c r="R190" s="33">
        <f t="shared" si="82"/>
        <v>1869.9</v>
      </c>
      <c r="S190" s="35">
        <f t="shared" si="81"/>
        <v>124.66</v>
      </c>
      <c r="T190" s="34">
        <v>500</v>
      </c>
    </row>
    <row r="191" spans="1:20" x14ac:dyDescent="0.25">
      <c r="A191" s="36" t="s">
        <v>318</v>
      </c>
      <c r="B191" s="36"/>
      <c r="C191" s="36" t="s">
        <v>71</v>
      </c>
      <c r="D191" s="39">
        <v>45511</v>
      </c>
      <c r="E191" s="39">
        <v>45876</v>
      </c>
      <c r="F191" s="36" t="s">
        <v>1277</v>
      </c>
      <c r="G191" s="36" t="s">
        <v>61</v>
      </c>
      <c r="H191" s="38">
        <v>8800</v>
      </c>
      <c r="I191" s="40">
        <v>7155</v>
      </c>
      <c r="J191" s="40"/>
      <c r="K191" s="40"/>
      <c r="L191" s="40"/>
      <c r="M191" s="40"/>
      <c r="N191" s="36" t="s">
        <v>1978</v>
      </c>
      <c r="O191" s="37">
        <v>45511</v>
      </c>
      <c r="P191" s="44" t="s">
        <v>58</v>
      </c>
      <c r="Q191" s="38">
        <v>352000</v>
      </c>
      <c r="R191" s="33">
        <f t="shared" si="82"/>
        <v>1073.25</v>
      </c>
      <c r="S191" s="35">
        <f t="shared" si="81"/>
        <v>71.55</v>
      </c>
      <c r="T191" s="34">
        <v>500</v>
      </c>
    </row>
    <row r="192" spans="1:20" x14ac:dyDescent="0.25">
      <c r="A192" s="36" t="s">
        <v>319</v>
      </c>
      <c r="B192" s="36"/>
      <c r="C192" s="36" t="s">
        <v>37</v>
      </c>
      <c r="D192" s="39">
        <v>45511</v>
      </c>
      <c r="E192" s="39">
        <v>45876</v>
      </c>
      <c r="F192" s="36" t="s">
        <v>1278</v>
      </c>
      <c r="G192" s="36" t="s">
        <v>64</v>
      </c>
      <c r="H192" s="38">
        <v>12475</v>
      </c>
      <c r="I192" s="40">
        <v>10323</v>
      </c>
      <c r="J192" s="40"/>
      <c r="K192" s="40"/>
      <c r="L192" s="40"/>
      <c r="M192" s="40"/>
      <c r="N192" s="36" t="s">
        <v>1979</v>
      </c>
      <c r="O192" s="37">
        <v>45511</v>
      </c>
      <c r="P192" s="44" t="s">
        <v>58</v>
      </c>
      <c r="Q192" s="38">
        <v>499000</v>
      </c>
      <c r="R192" s="33">
        <f t="shared" si="82"/>
        <v>1548.45</v>
      </c>
      <c r="S192" s="35">
        <f t="shared" si="81"/>
        <v>103.23</v>
      </c>
      <c r="T192" s="34">
        <v>500</v>
      </c>
    </row>
    <row r="193" spans="1:20" x14ac:dyDescent="0.25">
      <c r="A193" s="36" t="s">
        <v>320</v>
      </c>
      <c r="B193" s="36"/>
      <c r="C193" s="36" t="s">
        <v>71</v>
      </c>
      <c r="D193" s="39">
        <v>45511</v>
      </c>
      <c r="E193" s="39">
        <v>45876</v>
      </c>
      <c r="F193" s="36" t="s">
        <v>1279</v>
      </c>
      <c r="G193" s="36" t="s">
        <v>61</v>
      </c>
      <c r="H193" s="38">
        <v>8800</v>
      </c>
      <c r="I193" s="40">
        <v>7155</v>
      </c>
      <c r="J193" s="40"/>
      <c r="K193" s="40"/>
      <c r="L193" s="40"/>
      <c r="M193" s="40"/>
      <c r="N193" s="36" t="s">
        <v>1980</v>
      </c>
      <c r="O193" s="37">
        <v>45511</v>
      </c>
      <c r="P193" s="44" t="s">
        <v>58</v>
      </c>
      <c r="Q193" s="38">
        <v>352000</v>
      </c>
      <c r="R193" s="33">
        <f t="shared" si="82"/>
        <v>1073.25</v>
      </c>
      <c r="S193" s="35">
        <f t="shared" si="81"/>
        <v>71.55</v>
      </c>
      <c r="T193" s="34">
        <v>500</v>
      </c>
    </row>
    <row r="194" spans="1:20" x14ac:dyDescent="0.25">
      <c r="A194" s="36" t="s">
        <v>321</v>
      </c>
      <c r="B194" s="36"/>
      <c r="C194" s="36" t="s">
        <v>35</v>
      </c>
      <c r="D194" s="39">
        <v>45511</v>
      </c>
      <c r="E194" s="39">
        <v>45876</v>
      </c>
      <c r="F194" s="36" t="s">
        <v>1280</v>
      </c>
      <c r="G194" s="36" t="s">
        <v>63</v>
      </c>
      <c r="H194" s="38">
        <v>23248</v>
      </c>
      <c r="I194" s="40">
        <v>19610</v>
      </c>
      <c r="J194" s="40"/>
      <c r="K194" s="40"/>
      <c r="L194" s="40"/>
      <c r="M194" s="40"/>
      <c r="N194" s="36" t="s">
        <v>1981</v>
      </c>
      <c r="O194" s="37">
        <v>45511</v>
      </c>
      <c r="P194" s="44" t="s">
        <v>58</v>
      </c>
      <c r="Q194" s="38">
        <v>547000</v>
      </c>
      <c r="R194" s="33">
        <f t="shared" si="82"/>
        <v>2941.5</v>
      </c>
      <c r="S194" s="35">
        <f t="shared" si="81"/>
        <v>196.1</v>
      </c>
      <c r="T194" s="34">
        <v>500</v>
      </c>
    </row>
    <row r="195" spans="1:20" x14ac:dyDescent="0.25">
      <c r="A195" s="36" t="s">
        <v>322</v>
      </c>
      <c r="B195" s="36"/>
      <c r="C195" s="36" t="s">
        <v>35</v>
      </c>
      <c r="D195" s="39">
        <v>45877</v>
      </c>
      <c r="E195" s="39">
        <v>46242</v>
      </c>
      <c r="F195" s="36" t="s">
        <v>1280</v>
      </c>
      <c r="G195" s="36" t="s">
        <v>63</v>
      </c>
      <c r="H195" s="38">
        <v>23248</v>
      </c>
      <c r="I195" s="40">
        <v>19610</v>
      </c>
      <c r="J195" s="40"/>
      <c r="K195" s="40"/>
      <c r="L195" s="40"/>
      <c r="M195" s="40"/>
      <c r="N195" s="36" t="s">
        <v>1981</v>
      </c>
      <c r="O195" s="37">
        <v>45511</v>
      </c>
      <c r="P195" s="44" t="s">
        <v>58</v>
      </c>
      <c r="Q195" s="38">
        <v>547000</v>
      </c>
      <c r="R195" s="33">
        <f t="shared" si="82"/>
        <v>2941.5</v>
      </c>
      <c r="S195" s="35">
        <f t="shared" ref="S195:S258" si="83">I195*1/100</f>
        <v>196.1</v>
      </c>
      <c r="T195" s="34">
        <v>500</v>
      </c>
    </row>
    <row r="196" spans="1:20" x14ac:dyDescent="0.25">
      <c r="A196" s="36" t="s">
        <v>323</v>
      </c>
      <c r="B196" s="36"/>
      <c r="C196" s="36" t="s">
        <v>31</v>
      </c>
      <c r="D196" s="39">
        <v>45511</v>
      </c>
      <c r="E196" s="39">
        <v>45876</v>
      </c>
      <c r="F196" s="36" t="s">
        <v>1281</v>
      </c>
      <c r="G196" s="36" t="s">
        <v>61</v>
      </c>
      <c r="H196" s="38">
        <v>14960</v>
      </c>
      <c r="I196" s="40">
        <v>12466</v>
      </c>
      <c r="J196" s="40"/>
      <c r="K196" s="40"/>
      <c r="L196" s="40"/>
      <c r="M196" s="40"/>
      <c r="N196" s="36" t="s">
        <v>1982</v>
      </c>
      <c r="O196" s="37">
        <v>45511</v>
      </c>
      <c r="P196" s="44" t="s">
        <v>58</v>
      </c>
      <c r="Q196" s="38">
        <v>352000</v>
      </c>
      <c r="R196" s="33">
        <f t="shared" ref="R196:R259" si="84">I196*15/100</f>
        <v>1869.9</v>
      </c>
      <c r="S196" s="35">
        <f t="shared" si="83"/>
        <v>124.66</v>
      </c>
      <c r="T196" s="34">
        <v>500</v>
      </c>
    </row>
    <row r="197" spans="1:20" x14ac:dyDescent="0.25">
      <c r="A197" s="36" t="s">
        <v>324</v>
      </c>
      <c r="B197" s="36"/>
      <c r="C197" s="36" t="s">
        <v>31</v>
      </c>
      <c r="D197" s="39">
        <v>45877</v>
      </c>
      <c r="E197" s="39">
        <v>46242</v>
      </c>
      <c r="F197" s="36" t="s">
        <v>1281</v>
      </c>
      <c r="G197" s="36" t="s">
        <v>61</v>
      </c>
      <c r="H197" s="38">
        <v>14960</v>
      </c>
      <c r="I197" s="40">
        <v>12466</v>
      </c>
      <c r="J197" s="40"/>
      <c r="K197" s="40"/>
      <c r="L197" s="40"/>
      <c r="M197" s="40"/>
      <c r="N197" s="36" t="s">
        <v>1982</v>
      </c>
      <c r="O197" s="37">
        <v>45511</v>
      </c>
      <c r="P197" s="44" t="s">
        <v>58</v>
      </c>
      <c r="Q197" s="38">
        <v>352000</v>
      </c>
      <c r="R197" s="33">
        <f t="shared" si="84"/>
        <v>1869.9</v>
      </c>
      <c r="S197" s="35">
        <f t="shared" si="83"/>
        <v>124.66</v>
      </c>
      <c r="T197" s="34">
        <v>500</v>
      </c>
    </row>
    <row r="198" spans="1:20" x14ac:dyDescent="0.25">
      <c r="A198" s="36" t="s">
        <v>325</v>
      </c>
      <c r="B198" s="36"/>
      <c r="C198" s="36" t="s">
        <v>31</v>
      </c>
      <c r="D198" s="39">
        <v>45511</v>
      </c>
      <c r="E198" s="39">
        <v>45876</v>
      </c>
      <c r="F198" s="36" t="s">
        <v>1282</v>
      </c>
      <c r="G198" s="36" t="s">
        <v>61</v>
      </c>
      <c r="H198" s="38">
        <v>14960</v>
      </c>
      <c r="I198" s="40">
        <v>12466</v>
      </c>
      <c r="J198" s="40"/>
      <c r="K198" s="40"/>
      <c r="L198" s="40"/>
      <c r="M198" s="40"/>
      <c r="N198" s="36" t="s">
        <v>1983</v>
      </c>
      <c r="O198" s="37">
        <v>45511</v>
      </c>
      <c r="P198" s="44" t="s">
        <v>58</v>
      </c>
      <c r="Q198" s="38">
        <v>352000</v>
      </c>
      <c r="R198" s="33">
        <f t="shared" si="84"/>
        <v>1869.9</v>
      </c>
      <c r="S198" s="35">
        <f t="shared" si="83"/>
        <v>124.66</v>
      </c>
      <c r="T198" s="34">
        <v>500</v>
      </c>
    </row>
    <row r="199" spans="1:20" x14ac:dyDescent="0.25">
      <c r="A199" s="36" t="s">
        <v>326</v>
      </c>
      <c r="B199" s="36"/>
      <c r="C199" s="36" t="s">
        <v>80</v>
      </c>
      <c r="D199" s="39">
        <v>45511</v>
      </c>
      <c r="E199" s="39">
        <v>45876</v>
      </c>
      <c r="F199" s="36" t="s">
        <v>1283</v>
      </c>
      <c r="G199" s="36" t="s">
        <v>61</v>
      </c>
      <c r="H199" s="38">
        <v>8800</v>
      </c>
      <c r="I199" s="40">
        <v>7155</v>
      </c>
      <c r="J199" s="40"/>
      <c r="K199" s="40"/>
      <c r="L199" s="40"/>
      <c r="M199" s="40"/>
      <c r="N199" s="36" t="s">
        <v>1984</v>
      </c>
      <c r="O199" s="37">
        <v>45511</v>
      </c>
      <c r="P199" s="44" t="s">
        <v>58</v>
      </c>
      <c r="Q199" s="38">
        <v>352000</v>
      </c>
      <c r="R199" s="33">
        <f t="shared" si="84"/>
        <v>1073.25</v>
      </c>
      <c r="S199" s="35">
        <f t="shared" si="83"/>
        <v>71.55</v>
      </c>
      <c r="T199" s="34">
        <v>500</v>
      </c>
    </row>
    <row r="200" spans="1:20" x14ac:dyDescent="0.25">
      <c r="A200" s="36" t="s">
        <v>327</v>
      </c>
      <c r="B200" s="36"/>
      <c r="C200" s="36" t="s">
        <v>80</v>
      </c>
      <c r="D200" s="39">
        <v>45511</v>
      </c>
      <c r="E200" s="39">
        <v>45876</v>
      </c>
      <c r="F200" s="36" t="s">
        <v>1284</v>
      </c>
      <c r="G200" s="36" t="s">
        <v>61</v>
      </c>
      <c r="H200" s="38">
        <v>8800</v>
      </c>
      <c r="I200" s="40">
        <v>7155</v>
      </c>
      <c r="J200" s="40"/>
      <c r="K200" s="40"/>
      <c r="L200" s="40"/>
      <c r="M200" s="40"/>
      <c r="N200" s="36" t="s">
        <v>1985</v>
      </c>
      <c r="O200" s="37">
        <v>45511</v>
      </c>
      <c r="P200" s="44" t="s">
        <v>58</v>
      </c>
      <c r="Q200" s="38">
        <v>352000</v>
      </c>
      <c r="R200" s="33">
        <f t="shared" si="84"/>
        <v>1073.25</v>
      </c>
      <c r="S200" s="35">
        <f t="shared" si="83"/>
        <v>71.55</v>
      </c>
      <c r="T200" s="34">
        <v>500</v>
      </c>
    </row>
    <row r="201" spans="1:20" x14ac:dyDescent="0.25">
      <c r="A201" s="36" t="s">
        <v>328</v>
      </c>
      <c r="B201" s="36"/>
      <c r="C201" s="36" t="s">
        <v>31</v>
      </c>
      <c r="D201" s="39">
        <v>45511</v>
      </c>
      <c r="E201" s="39">
        <v>45876</v>
      </c>
      <c r="F201" s="36" t="s">
        <v>1285</v>
      </c>
      <c r="G201" s="36" t="s">
        <v>62</v>
      </c>
      <c r="H201" s="38">
        <v>16235</v>
      </c>
      <c r="I201" s="40">
        <v>13565</v>
      </c>
      <c r="J201" s="40"/>
      <c r="K201" s="40"/>
      <c r="L201" s="40"/>
      <c r="M201" s="40"/>
      <c r="N201" s="36" t="s">
        <v>1986</v>
      </c>
      <c r="O201" s="37">
        <v>45511</v>
      </c>
      <c r="P201" s="44" t="s">
        <v>58</v>
      </c>
      <c r="Q201" s="38">
        <v>382000</v>
      </c>
      <c r="R201" s="33">
        <f t="shared" si="84"/>
        <v>2034.75</v>
      </c>
      <c r="S201" s="35">
        <f t="shared" si="83"/>
        <v>135.65</v>
      </c>
      <c r="T201" s="34">
        <v>500</v>
      </c>
    </row>
    <row r="202" spans="1:20" x14ac:dyDescent="0.25">
      <c r="A202" s="36" t="s">
        <v>329</v>
      </c>
      <c r="B202" s="36"/>
      <c r="C202" s="36" t="s">
        <v>31</v>
      </c>
      <c r="D202" s="39">
        <v>45877</v>
      </c>
      <c r="E202" s="39">
        <v>46242</v>
      </c>
      <c r="F202" s="36" t="s">
        <v>1285</v>
      </c>
      <c r="G202" s="36" t="s">
        <v>62</v>
      </c>
      <c r="H202" s="38">
        <v>16235</v>
      </c>
      <c r="I202" s="40">
        <v>13565</v>
      </c>
      <c r="J202" s="40"/>
      <c r="K202" s="40"/>
      <c r="L202" s="40"/>
      <c r="M202" s="40"/>
      <c r="N202" s="36" t="s">
        <v>1986</v>
      </c>
      <c r="O202" s="37">
        <v>45511</v>
      </c>
      <c r="P202" s="44" t="s">
        <v>58</v>
      </c>
      <c r="Q202" s="38">
        <v>382000</v>
      </c>
      <c r="R202" s="33">
        <f t="shared" si="84"/>
        <v>2034.75</v>
      </c>
      <c r="S202" s="35">
        <f t="shared" si="83"/>
        <v>135.65</v>
      </c>
      <c r="T202" s="34">
        <v>500</v>
      </c>
    </row>
    <row r="203" spans="1:20" x14ac:dyDescent="0.25">
      <c r="A203" s="36" t="s">
        <v>330</v>
      </c>
      <c r="B203" s="36"/>
      <c r="C203" s="36" t="s">
        <v>31</v>
      </c>
      <c r="D203" s="39">
        <v>45511</v>
      </c>
      <c r="E203" s="39">
        <v>45876</v>
      </c>
      <c r="F203" s="36" t="s">
        <v>1286</v>
      </c>
      <c r="G203" s="36" t="s">
        <v>61</v>
      </c>
      <c r="H203" s="38">
        <v>14960</v>
      </c>
      <c r="I203" s="40">
        <v>12466</v>
      </c>
      <c r="J203" s="40"/>
      <c r="K203" s="40"/>
      <c r="L203" s="40"/>
      <c r="M203" s="40"/>
      <c r="N203" s="36" t="s">
        <v>1987</v>
      </c>
      <c r="O203" s="37">
        <v>45511</v>
      </c>
      <c r="P203" s="44" t="s">
        <v>58</v>
      </c>
      <c r="Q203" s="38">
        <v>352000</v>
      </c>
      <c r="R203" s="33">
        <f t="shared" si="84"/>
        <v>1869.9</v>
      </c>
      <c r="S203" s="35">
        <f t="shared" si="83"/>
        <v>124.66</v>
      </c>
      <c r="T203" s="34">
        <v>500</v>
      </c>
    </row>
    <row r="204" spans="1:20" x14ac:dyDescent="0.25">
      <c r="A204" s="36" t="s">
        <v>331</v>
      </c>
      <c r="B204" s="36"/>
      <c r="C204" s="36" t="s">
        <v>53</v>
      </c>
      <c r="D204" s="39">
        <v>45511</v>
      </c>
      <c r="E204" s="39">
        <v>45876</v>
      </c>
      <c r="F204" s="36" t="s">
        <v>1287</v>
      </c>
      <c r="G204" s="36" t="s">
        <v>61</v>
      </c>
      <c r="H204" s="38">
        <v>8800</v>
      </c>
      <c r="I204" s="40">
        <v>7155</v>
      </c>
      <c r="J204" s="40"/>
      <c r="K204" s="40"/>
      <c r="L204" s="40"/>
      <c r="M204" s="40"/>
      <c r="N204" s="36" t="s">
        <v>1988</v>
      </c>
      <c r="O204" s="37">
        <v>45511</v>
      </c>
      <c r="P204" s="44" t="s">
        <v>58</v>
      </c>
      <c r="Q204" s="38">
        <v>352000</v>
      </c>
      <c r="R204" s="33">
        <f t="shared" si="84"/>
        <v>1073.25</v>
      </c>
      <c r="S204" s="35">
        <f t="shared" si="83"/>
        <v>71.55</v>
      </c>
      <c r="T204" s="34">
        <v>500</v>
      </c>
    </row>
    <row r="205" spans="1:20" x14ac:dyDescent="0.25">
      <c r="A205" s="36" t="s">
        <v>332</v>
      </c>
      <c r="B205" s="36"/>
      <c r="C205" s="36" t="s">
        <v>66</v>
      </c>
      <c r="D205" s="39">
        <v>45511</v>
      </c>
      <c r="E205" s="39">
        <v>45876</v>
      </c>
      <c r="F205" s="36" t="s">
        <v>1288</v>
      </c>
      <c r="G205" s="36" t="s">
        <v>63</v>
      </c>
      <c r="H205" s="38">
        <v>13675</v>
      </c>
      <c r="I205" s="40">
        <v>11358</v>
      </c>
      <c r="J205" s="40"/>
      <c r="K205" s="40"/>
      <c r="L205" s="40"/>
      <c r="M205" s="40"/>
      <c r="N205" s="36" t="s">
        <v>1989</v>
      </c>
      <c r="O205" s="37">
        <v>45511</v>
      </c>
      <c r="P205" s="44" t="s">
        <v>58</v>
      </c>
      <c r="Q205" s="38">
        <v>547000</v>
      </c>
      <c r="R205" s="33">
        <f t="shared" si="84"/>
        <v>1703.7</v>
      </c>
      <c r="S205" s="35">
        <f t="shared" si="83"/>
        <v>113.58</v>
      </c>
      <c r="T205" s="34">
        <v>500</v>
      </c>
    </row>
    <row r="206" spans="1:20" x14ac:dyDescent="0.25">
      <c r="A206" s="36" t="s">
        <v>333</v>
      </c>
      <c r="B206" s="36"/>
      <c r="C206" s="36" t="s">
        <v>35</v>
      </c>
      <c r="D206" s="39">
        <v>45511</v>
      </c>
      <c r="E206" s="39">
        <v>45876</v>
      </c>
      <c r="F206" s="36" t="s">
        <v>1289</v>
      </c>
      <c r="G206" s="36" t="s">
        <v>61</v>
      </c>
      <c r="H206" s="38">
        <v>14960</v>
      </c>
      <c r="I206" s="40">
        <v>12466</v>
      </c>
      <c r="J206" s="40"/>
      <c r="K206" s="40"/>
      <c r="L206" s="40"/>
      <c r="M206" s="40"/>
      <c r="N206" s="36" t="s">
        <v>1990</v>
      </c>
      <c r="O206" s="37">
        <v>45511</v>
      </c>
      <c r="P206" s="44" t="s">
        <v>58</v>
      </c>
      <c r="Q206" s="38">
        <v>352000</v>
      </c>
      <c r="R206" s="33">
        <f t="shared" si="84"/>
        <v>1869.9</v>
      </c>
      <c r="S206" s="35">
        <f t="shared" si="83"/>
        <v>124.66</v>
      </c>
      <c r="T206" s="34">
        <v>500</v>
      </c>
    </row>
    <row r="207" spans="1:20" x14ac:dyDescent="0.25">
      <c r="A207" s="36" t="s">
        <v>334</v>
      </c>
      <c r="B207" s="36"/>
      <c r="C207" s="36" t="s">
        <v>66</v>
      </c>
      <c r="D207" s="39">
        <v>45511</v>
      </c>
      <c r="E207" s="39">
        <v>45876</v>
      </c>
      <c r="F207" s="36" t="s">
        <v>56</v>
      </c>
      <c r="G207" s="36" t="s">
        <v>61</v>
      </c>
      <c r="H207" s="38">
        <v>8800</v>
      </c>
      <c r="I207" s="40">
        <v>7155</v>
      </c>
      <c r="J207" s="40"/>
      <c r="K207" s="40"/>
      <c r="L207" s="40"/>
      <c r="M207" s="40"/>
      <c r="N207" s="36" t="s">
        <v>1991</v>
      </c>
      <c r="O207" s="37">
        <v>45511</v>
      </c>
      <c r="P207" s="44" t="s">
        <v>58</v>
      </c>
      <c r="Q207" s="38">
        <v>352000</v>
      </c>
      <c r="R207" s="33">
        <f t="shared" si="84"/>
        <v>1073.25</v>
      </c>
      <c r="S207" s="35">
        <f t="shared" si="83"/>
        <v>71.55</v>
      </c>
      <c r="T207" s="34">
        <v>500</v>
      </c>
    </row>
    <row r="208" spans="1:20" x14ac:dyDescent="0.25">
      <c r="A208" s="36" t="s">
        <v>335</v>
      </c>
      <c r="B208" s="36"/>
      <c r="C208" s="36" t="s">
        <v>66</v>
      </c>
      <c r="D208" s="39">
        <v>45511</v>
      </c>
      <c r="E208" s="39">
        <v>45876</v>
      </c>
      <c r="F208" s="36" t="s">
        <v>1290</v>
      </c>
      <c r="G208" s="36" t="s">
        <v>61</v>
      </c>
      <c r="H208" s="38">
        <v>8800</v>
      </c>
      <c r="I208" s="40">
        <v>7155</v>
      </c>
      <c r="J208" s="40"/>
      <c r="K208" s="40"/>
      <c r="L208" s="40"/>
      <c r="M208" s="40"/>
      <c r="N208" s="36" t="s">
        <v>1992</v>
      </c>
      <c r="O208" s="37">
        <v>45511</v>
      </c>
      <c r="P208" s="44" t="s">
        <v>58</v>
      </c>
      <c r="Q208" s="38">
        <v>352000</v>
      </c>
      <c r="R208" s="33">
        <f t="shared" si="84"/>
        <v>1073.25</v>
      </c>
      <c r="S208" s="35">
        <f t="shared" si="83"/>
        <v>71.55</v>
      </c>
      <c r="T208" s="34">
        <v>500</v>
      </c>
    </row>
    <row r="209" spans="1:20" x14ac:dyDescent="0.25">
      <c r="A209" s="36" t="s">
        <v>336</v>
      </c>
      <c r="B209" s="36"/>
      <c r="C209" s="36" t="s">
        <v>66</v>
      </c>
      <c r="D209" s="39">
        <v>45511</v>
      </c>
      <c r="E209" s="39">
        <v>45876</v>
      </c>
      <c r="F209" s="36" t="s">
        <v>1291</v>
      </c>
      <c r="G209" s="36" t="s">
        <v>64</v>
      </c>
      <c r="H209" s="38">
        <v>12475</v>
      </c>
      <c r="I209" s="40">
        <v>10323</v>
      </c>
      <c r="J209" s="40"/>
      <c r="K209" s="40"/>
      <c r="L209" s="40"/>
      <c r="M209" s="40"/>
      <c r="N209" s="36" t="s">
        <v>1993</v>
      </c>
      <c r="O209" s="37">
        <v>45511</v>
      </c>
      <c r="P209" s="44" t="s">
        <v>58</v>
      </c>
      <c r="Q209" s="38">
        <v>499000</v>
      </c>
      <c r="R209" s="33">
        <f t="shared" si="84"/>
        <v>1548.45</v>
      </c>
      <c r="S209" s="35">
        <f t="shared" si="83"/>
        <v>103.23</v>
      </c>
      <c r="T209" s="34">
        <v>500</v>
      </c>
    </row>
    <row r="210" spans="1:20" x14ac:dyDescent="0.25">
      <c r="A210" s="36" t="s">
        <v>337</v>
      </c>
      <c r="B210" s="36"/>
      <c r="C210" s="36" t="s">
        <v>33</v>
      </c>
      <c r="D210" s="39">
        <v>45511</v>
      </c>
      <c r="E210" s="39">
        <v>45876</v>
      </c>
      <c r="F210" s="36" t="s">
        <v>1292</v>
      </c>
      <c r="G210" s="36" t="s">
        <v>61</v>
      </c>
      <c r="H210" s="38">
        <v>14960</v>
      </c>
      <c r="I210" s="40">
        <v>12466</v>
      </c>
      <c r="J210" s="40"/>
      <c r="K210" s="40"/>
      <c r="L210" s="40"/>
      <c r="M210" s="40"/>
      <c r="N210" s="36" t="s">
        <v>1994</v>
      </c>
      <c r="O210" s="37">
        <v>45511</v>
      </c>
      <c r="P210" s="44" t="s">
        <v>58</v>
      </c>
      <c r="Q210" s="38">
        <v>352000</v>
      </c>
      <c r="R210" s="33">
        <f t="shared" si="84"/>
        <v>1869.9</v>
      </c>
      <c r="S210" s="35">
        <f t="shared" si="83"/>
        <v>124.66</v>
      </c>
      <c r="T210" s="34">
        <v>500</v>
      </c>
    </row>
    <row r="211" spans="1:20" x14ac:dyDescent="0.25">
      <c r="A211" s="36" t="s">
        <v>338</v>
      </c>
      <c r="B211" s="36"/>
      <c r="C211" s="36" t="s">
        <v>33</v>
      </c>
      <c r="D211" s="39">
        <v>45877</v>
      </c>
      <c r="E211" s="39">
        <v>46242</v>
      </c>
      <c r="F211" s="36" t="s">
        <v>1292</v>
      </c>
      <c r="G211" s="36" t="s">
        <v>61</v>
      </c>
      <c r="H211" s="38">
        <v>14960</v>
      </c>
      <c r="I211" s="40">
        <v>12466</v>
      </c>
      <c r="J211" s="40"/>
      <c r="K211" s="40"/>
      <c r="L211" s="40"/>
      <c r="M211" s="40"/>
      <c r="N211" s="36" t="s">
        <v>1994</v>
      </c>
      <c r="O211" s="37">
        <v>45511</v>
      </c>
      <c r="P211" s="44" t="s">
        <v>58</v>
      </c>
      <c r="Q211" s="38">
        <v>352000</v>
      </c>
      <c r="R211" s="33">
        <f t="shared" si="84"/>
        <v>1869.9</v>
      </c>
      <c r="S211" s="35">
        <f t="shared" si="83"/>
        <v>124.66</v>
      </c>
      <c r="T211" s="34">
        <v>500</v>
      </c>
    </row>
    <row r="212" spans="1:20" x14ac:dyDescent="0.25">
      <c r="A212" s="36" t="s">
        <v>339</v>
      </c>
      <c r="B212" s="36"/>
      <c r="C212" s="36" t="s">
        <v>72</v>
      </c>
      <c r="D212" s="39">
        <v>45511</v>
      </c>
      <c r="E212" s="39">
        <v>45876</v>
      </c>
      <c r="F212" s="36" t="s">
        <v>1293</v>
      </c>
      <c r="G212" s="36" t="s">
        <v>64</v>
      </c>
      <c r="H212" s="38">
        <v>12475</v>
      </c>
      <c r="I212" s="40">
        <v>10323</v>
      </c>
      <c r="J212" s="40"/>
      <c r="K212" s="40"/>
      <c r="L212" s="40"/>
      <c r="M212" s="40"/>
      <c r="N212" s="36" t="s">
        <v>1995</v>
      </c>
      <c r="O212" s="37">
        <v>45511</v>
      </c>
      <c r="P212" s="44" t="s">
        <v>58</v>
      </c>
      <c r="Q212" s="38">
        <v>499000</v>
      </c>
      <c r="R212" s="33">
        <f t="shared" si="84"/>
        <v>1548.45</v>
      </c>
      <c r="S212" s="35">
        <f t="shared" si="83"/>
        <v>103.23</v>
      </c>
      <c r="T212" s="34">
        <v>500</v>
      </c>
    </row>
    <row r="213" spans="1:20" x14ac:dyDescent="0.25">
      <c r="A213" s="36" t="s">
        <v>340</v>
      </c>
      <c r="B213" s="36"/>
      <c r="C213" s="36" t="s">
        <v>72</v>
      </c>
      <c r="D213" s="39">
        <v>45511</v>
      </c>
      <c r="E213" s="39">
        <v>45876</v>
      </c>
      <c r="F213" s="36" t="s">
        <v>1294</v>
      </c>
      <c r="G213" s="36" t="s">
        <v>61</v>
      </c>
      <c r="H213" s="38">
        <v>8800</v>
      </c>
      <c r="I213" s="40">
        <v>7155</v>
      </c>
      <c r="J213" s="40"/>
      <c r="K213" s="40"/>
      <c r="L213" s="40"/>
      <c r="M213" s="40"/>
      <c r="N213" s="36" t="s">
        <v>1996</v>
      </c>
      <c r="O213" s="37">
        <v>45511</v>
      </c>
      <c r="P213" s="44" t="s">
        <v>58</v>
      </c>
      <c r="Q213" s="38">
        <v>352000</v>
      </c>
      <c r="R213" s="33">
        <f t="shared" si="84"/>
        <v>1073.25</v>
      </c>
      <c r="S213" s="35">
        <f t="shared" si="83"/>
        <v>71.55</v>
      </c>
      <c r="T213" s="34">
        <v>500</v>
      </c>
    </row>
    <row r="214" spans="1:20" x14ac:dyDescent="0.25">
      <c r="A214" s="36" t="s">
        <v>341</v>
      </c>
      <c r="B214" s="36"/>
      <c r="C214" s="36" t="s">
        <v>72</v>
      </c>
      <c r="D214" s="39">
        <v>45511</v>
      </c>
      <c r="E214" s="39">
        <v>45876</v>
      </c>
      <c r="F214" s="36" t="s">
        <v>1295</v>
      </c>
      <c r="G214" s="36" t="s">
        <v>61</v>
      </c>
      <c r="H214" s="38">
        <v>8800</v>
      </c>
      <c r="I214" s="40">
        <v>7155</v>
      </c>
      <c r="J214" s="40"/>
      <c r="K214" s="40"/>
      <c r="L214" s="40"/>
      <c r="M214" s="40"/>
      <c r="N214" s="36" t="s">
        <v>1997</v>
      </c>
      <c r="O214" s="37">
        <v>45511</v>
      </c>
      <c r="P214" s="44" t="s">
        <v>58</v>
      </c>
      <c r="Q214" s="38">
        <v>352000</v>
      </c>
      <c r="R214" s="33">
        <f t="shared" si="84"/>
        <v>1073.25</v>
      </c>
      <c r="S214" s="35">
        <f t="shared" si="83"/>
        <v>71.55</v>
      </c>
      <c r="T214" s="34">
        <v>500</v>
      </c>
    </row>
    <row r="215" spans="1:20" x14ac:dyDescent="0.25">
      <c r="A215" s="36" t="s">
        <v>342</v>
      </c>
      <c r="B215" s="36"/>
      <c r="C215" s="36" t="s">
        <v>55</v>
      </c>
      <c r="D215" s="39">
        <v>45511</v>
      </c>
      <c r="E215" s="39">
        <v>45876</v>
      </c>
      <c r="F215" s="36" t="s">
        <v>1296</v>
      </c>
      <c r="G215" s="36" t="s">
        <v>61</v>
      </c>
      <c r="H215" s="38">
        <v>8800</v>
      </c>
      <c r="I215" s="40">
        <v>7155</v>
      </c>
      <c r="J215" s="40"/>
      <c r="K215" s="40"/>
      <c r="L215" s="40"/>
      <c r="M215" s="40"/>
      <c r="N215" s="36" t="s">
        <v>1998</v>
      </c>
      <c r="O215" s="37">
        <v>45511</v>
      </c>
      <c r="P215" s="44" t="s">
        <v>58</v>
      </c>
      <c r="Q215" s="38">
        <v>352000</v>
      </c>
      <c r="R215" s="33">
        <f t="shared" si="84"/>
        <v>1073.25</v>
      </c>
      <c r="S215" s="35">
        <f t="shared" si="83"/>
        <v>71.55</v>
      </c>
      <c r="T215" s="34">
        <v>500</v>
      </c>
    </row>
    <row r="216" spans="1:20" x14ac:dyDescent="0.25">
      <c r="A216" s="36" t="s">
        <v>343</v>
      </c>
      <c r="B216" s="36"/>
      <c r="C216" s="36" t="s">
        <v>55</v>
      </c>
      <c r="D216" s="39">
        <v>45511</v>
      </c>
      <c r="E216" s="39">
        <v>45876</v>
      </c>
      <c r="F216" s="36" t="s">
        <v>1297</v>
      </c>
      <c r="G216" s="36" t="s">
        <v>63</v>
      </c>
      <c r="H216" s="38">
        <v>13675</v>
      </c>
      <c r="I216" s="40">
        <v>11358</v>
      </c>
      <c r="J216" s="40"/>
      <c r="K216" s="40"/>
      <c r="L216" s="40"/>
      <c r="M216" s="40"/>
      <c r="N216" s="36" t="s">
        <v>1999</v>
      </c>
      <c r="O216" s="37">
        <v>45511</v>
      </c>
      <c r="P216" s="44" t="s">
        <v>58</v>
      </c>
      <c r="Q216" s="38">
        <v>547000</v>
      </c>
      <c r="R216" s="33">
        <f t="shared" si="84"/>
        <v>1703.7</v>
      </c>
      <c r="S216" s="35">
        <f t="shared" si="83"/>
        <v>113.58</v>
      </c>
      <c r="T216" s="34">
        <v>500</v>
      </c>
    </row>
    <row r="217" spans="1:20" x14ac:dyDescent="0.25">
      <c r="A217" s="36" t="s">
        <v>344</v>
      </c>
      <c r="B217" s="36"/>
      <c r="C217" s="36" t="s">
        <v>35</v>
      </c>
      <c r="D217" s="39">
        <v>45512</v>
      </c>
      <c r="E217" s="39">
        <v>45877</v>
      </c>
      <c r="F217" s="36" t="s">
        <v>1298</v>
      </c>
      <c r="G217" s="36" t="s">
        <v>61</v>
      </c>
      <c r="H217" s="38">
        <v>14960</v>
      </c>
      <c r="I217" s="40">
        <v>12466</v>
      </c>
      <c r="J217" s="40"/>
      <c r="K217" s="40"/>
      <c r="L217" s="40"/>
      <c r="M217" s="40"/>
      <c r="N217" s="36" t="s">
        <v>2000</v>
      </c>
      <c r="O217" s="37">
        <v>45512</v>
      </c>
      <c r="P217" s="44" t="s">
        <v>58</v>
      </c>
      <c r="Q217" s="38">
        <v>352000</v>
      </c>
      <c r="R217" s="33">
        <f t="shared" si="84"/>
        <v>1869.9</v>
      </c>
      <c r="S217" s="35">
        <f t="shared" si="83"/>
        <v>124.66</v>
      </c>
      <c r="T217" s="34">
        <v>500</v>
      </c>
    </row>
    <row r="218" spans="1:20" x14ac:dyDescent="0.25">
      <c r="A218" s="36" t="s">
        <v>345</v>
      </c>
      <c r="B218" s="36"/>
      <c r="C218" s="36" t="s">
        <v>53</v>
      </c>
      <c r="D218" s="39">
        <v>45512</v>
      </c>
      <c r="E218" s="39">
        <v>45877</v>
      </c>
      <c r="F218" s="36" t="s">
        <v>69</v>
      </c>
      <c r="G218" s="36" t="s">
        <v>61</v>
      </c>
      <c r="H218" s="38">
        <v>8800</v>
      </c>
      <c r="I218" s="40">
        <v>7155</v>
      </c>
      <c r="J218" s="40"/>
      <c r="K218" s="40"/>
      <c r="L218" s="40"/>
      <c r="M218" s="40"/>
      <c r="N218" s="36" t="s">
        <v>2001</v>
      </c>
      <c r="O218" s="37">
        <v>45512</v>
      </c>
      <c r="P218" s="44" t="s">
        <v>58</v>
      </c>
      <c r="Q218" s="38">
        <v>352000</v>
      </c>
      <c r="R218" s="33">
        <f t="shared" si="84"/>
        <v>1073.25</v>
      </c>
      <c r="S218" s="35">
        <f t="shared" si="83"/>
        <v>71.55</v>
      </c>
      <c r="T218" s="34">
        <v>500</v>
      </c>
    </row>
    <row r="219" spans="1:20" x14ac:dyDescent="0.25">
      <c r="A219" s="36" t="s">
        <v>346</v>
      </c>
      <c r="B219" s="36"/>
      <c r="C219" s="36" t="s">
        <v>31</v>
      </c>
      <c r="D219" s="39">
        <v>45512</v>
      </c>
      <c r="E219" s="39">
        <v>45877</v>
      </c>
      <c r="F219" s="36" t="s">
        <v>1299</v>
      </c>
      <c r="G219" s="36" t="s">
        <v>61</v>
      </c>
      <c r="H219" s="38">
        <v>14960</v>
      </c>
      <c r="I219" s="40">
        <v>12466</v>
      </c>
      <c r="J219" s="40"/>
      <c r="K219" s="40"/>
      <c r="L219" s="40"/>
      <c r="M219" s="40"/>
      <c r="N219" s="36" t="s">
        <v>2002</v>
      </c>
      <c r="O219" s="37">
        <v>45512</v>
      </c>
      <c r="P219" s="44" t="s">
        <v>58</v>
      </c>
      <c r="Q219" s="38">
        <v>352000</v>
      </c>
      <c r="R219" s="33">
        <f t="shared" si="84"/>
        <v>1869.9</v>
      </c>
      <c r="S219" s="35">
        <f t="shared" si="83"/>
        <v>124.66</v>
      </c>
      <c r="T219" s="34">
        <v>500</v>
      </c>
    </row>
    <row r="220" spans="1:20" x14ac:dyDescent="0.25">
      <c r="A220" s="36" t="s">
        <v>347</v>
      </c>
      <c r="B220" s="36"/>
      <c r="C220" s="36" t="s">
        <v>31</v>
      </c>
      <c r="D220" s="39">
        <v>45512</v>
      </c>
      <c r="E220" s="39">
        <v>45877</v>
      </c>
      <c r="F220" s="36" t="s">
        <v>1300</v>
      </c>
      <c r="G220" s="36" t="s">
        <v>63</v>
      </c>
      <c r="H220" s="38">
        <v>23248</v>
      </c>
      <c r="I220" s="40">
        <v>19610</v>
      </c>
      <c r="J220" s="40"/>
      <c r="K220" s="40"/>
      <c r="L220" s="40"/>
      <c r="M220" s="40"/>
      <c r="N220" s="36" t="s">
        <v>2003</v>
      </c>
      <c r="O220" s="37">
        <v>45512</v>
      </c>
      <c r="P220" s="44" t="s">
        <v>58</v>
      </c>
      <c r="Q220" s="38">
        <v>547000</v>
      </c>
      <c r="R220" s="33">
        <f t="shared" si="84"/>
        <v>2941.5</v>
      </c>
      <c r="S220" s="35">
        <f t="shared" si="83"/>
        <v>196.1</v>
      </c>
      <c r="T220" s="34">
        <v>500</v>
      </c>
    </row>
    <row r="221" spans="1:20" x14ac:dyDescent="0.25">
      <c r="A221" s="36" t="s">
        <v>348</v>
      </c>
      <c r="B221" s="36"/>
      <c r="C221" s="36" t="s">
        <v>33</v>
      </c>
      <c r="D221" s="39">
        <v>45512</v>
      </c>
      <c r="E221" s="39">
        <v>45877</v>
      </c>
      <c r="F221" s="36" t="s">
        <v>1301</v>
      </c>
      <c r="G221" s="36" t="s">
        <v>61</v>
      </c>
      <c r="H221" s="38">
        <v>14960</v>
      </c>
      <c r="I221" s="40">
        <v>12466</v>
      </c>
      <c r="J221" s="40"/>
      <c r="K221" s="40"/>
      <c r="L221" s="40"/>
      <c r="M221" s="40"/>
      <c r="N221" s="36" t="s">
        <v>2004</v>
      </c>
      <c r="O221" s="37">
        <v>45512</v>
      </c>
      <c r="P221" s="44" t="s">
        <v>58</v>
      </c>
      <c r="Q221" s="38">
        <v>352000</v>
      </c>
      <c r="R221" s="33">
        <f t="shared" si="84"/>
        <v>1869.9</v>
      </c>
      <c r="S221" s="35">
        <f t="shared" si="83"/>
        <v>124.66</v>
      </c>
      <c r="T221" s="34">
        <v>500</v>
      </c>
    </row>
    <row r="222" spans="1:20" x14ac:dyDescent="0.25">
      <c r="A222" s="36" t="s">
        <v>349</v>
      </c>
      <c r="B222" s="36"/>
      <c r="C222" s="36" t="s">
        <v>33</v>
      </c>
      <c r="D222" s="39">
        <v>45878</v>
      </c>
      <c r="E222" s="39">
        <v>46243</v>
      </c>
      <c r="F222" s="36" t="s">
        <v>1301</v>
      </c>
      <c r="G222" s="36" t="s">
        <v>61</v>
      </c>
      <c r="H222" s="38">
        <v>14960</v>
      </c>
      <c r="I222" s="40">
        <v>12466</v>
      </c>
      <c r="J222" s="40"/>
      <c r="K222" s="40"/>
      <c r="L222" s="40"/>
      <c r="M222" s="40"/>
      <c r="N222" s="36" t="s">
        <v>2004</v>
      </c>
      <c r="O222" s="37">
        <v>45512</v>
      </c>
      <c r="P222" s="44" t="s">
        <v>58</v>
      </c>
      <c r="Q222" s="38">
        <v>352000</v>
      </c>
      <c r="R222" s="33">
        <f t="shared" si="84"/>
        <v>1869.9</v>
      </c>
      <c r="S222" s="35">
        <f t="shared" si="83"/>
        <v>124.66</v>
      </c>
      <c r="T222" s="34">
        <v>500</v>
      </c>
    </row>
    <row r="223" spans="1:20" x14ac:dyDescent="0.25">
      <c r="A223" s="36" t="s">
        <v>350</v>
      </c>
      <c r="B223" s="36"/>
      <c r="C223" s="36" t="s">
        <v>31</v>
      </c>
      <c r="D223" s="39">
        <v>45512</v>
      </c>
      <c r="E223" s="39">
        <v>45877</v>
      </c>
      <c r="F223" s="36" t="s">
        <v>1302</v>
      </c>
      <c r="G223" s="36" t="s">
        <v>61</v>
      </c>
      <c r="H223" s="38">
        <v>14960</v>
      </c>
      <c r="I223" s="40">
        <v>12466</v>
      </c>
      <c r="J223" s="40"/>
      <c r="K223" s="40"/>
      <c r="L223" s="40"/>
      <c r="M223" s="40"/>
      <c r="N223" s="36" t="s">
        <v>2005</v>
      </c>
      <c r="O223" s="37">
        <v>45512</v>
      </c>
      <c r="P223" s="44" t="s">
        <v>58</v>
      </c>
      <c r="Q223" s="38">
        <v>352000</v>
      </c>
      <c r="R223" s="33">
        <f t="shared" si="84"/>
        <v>1869.9</v>
      </c>
      <c r="S223" s="35">
        <f t="shared" si="83"/>
        <v>124.66</v>
      </c>
      <c r="T223" s="34">
        <v>500</v>
      </c>
    </row>
    <row r="224" spans="1:20" x14ac:dyDescent="0.25">
      <c r="A224" s="36" t="s">
        <v>351</v>
      </c>
      <c r="B224" s="36"/>
      <c r="C224" s="36" t="s">
        <v>31</v>
      </c>
      <c r="D224" s="39">
        <v>45878</v>
      </c>
      <c r="E224" s="39">
        <v>46243</v>
      </c>
      <c r="F224" s="36" t="s">
        <v>1302</v>
      </c>
      <c r="G224" s="36" t="s">
        <v>61</v>
      </c>
      <c r="H224" s="38">
        <v>14960</v>
      </c>
      <c r="I224" s="40">
        <v>12466</v>
      </c>
      <c r="J224" s="40"/>
      <c r="K224" s="40"/>
      <c r="L224" s="40"/>
      <c r="M224" s="40"/>
      <c r="N224" s="36" t="s">
        <v>2005</v>
      </c>
      <c r="O224" s="37">
        <v>45512</v>
      </c>
      <c r="P224" s="44" t="s">
        <v>58</v>
      </c>
      <c r="Q224" s="38">
        <v>352000</v>
      </c>
      <c r="R224" s="33">
        <f t="shared" si="84"/>
        <v>1869.9</v>
      </c>
      <c r="S224" s="35">
        <f t="shared" si="83"/>
        <v>124.66</v>
      </c>
      <c r="T224" s="34">
        <v>500</v>
      </c>
    </row>
    <row r="225" spans="1:20" x14ac:dyDescent="0.25">
      <c r="A225" s="36" t="s">
        <v>352</v>
      </c>
      <c r="B225" s="36"/>
      <c r="C225" s="36" t="s">
        <v>49</v>
      </c>
      <c r="D225" s="39">
        <v>45512</v>
      </c>
      <c r="E225" s="39">
        <v>45877</v>
      </c>
      <c r="F225" s="36" t="s">
        <v>1303</v>
      </c>
      <c r="G225" s="36" t="s">
        <v>62</v>
      </c>
      <c r="H225" s="38">
        <v>9550</v>
      </c>
      <c r="I225" s="40">
        <v>7802</v>
      </c>
      <c r="J225" s="40"/>
      <c r="K225" s="40"/>
      <c r="L225" s="40"/>
      <c r="M225" s="40"/>
      <c r="N225" s="36" t="s">
        <v>2006</v>
      </c>
      <c r="O225" s="37">
        <v>45512</v>
      </c>
      <c r="P225" s="44" t="s">
        <v>58</v>
      </c>
      <c r="Q225" s="38">
        <v>382000</v>
      </c>
      <c r="R225" s="33">
        <f t="shared" si="84"/>
        <v>1170.3</v>
      </c>
      <c r="S225" s="35">
        <f t="shared" si="83"/>
        <v>78.02</v>
      </c>
      <c r="T225" s="34">
        <v>500</v>
      </c>
    </row>
    <row r="226" spans="1:20" x14ac:dyDescent="0.25">
      <c r="A226" s="36" t="s">
        <v>353</v>
      </c>
      <c r="B226" s="36"/>
      <c r="C226" s="36" t="s">
        <v>37</v>
      </c>
      <c r="D226" s="39">
        <v>45512</v>
      </c>
      <c r="E226" s="39">
        <v>45877</v>
      </c>
      <c r="F226" s="36" t="s">
        <v>1304</v>
      </c>
      <c r="G226" s="36" t="s">
        <v>61</v>
      </c>
      <c r="H226" s="38">
        <v>8800</v>
      </c>
      <c r="I226" s="40">
        <v>7155</v>
      </c>
      <c r="J226" s="40"/>
      <c r="K226" s="40"/>
      <c r="L226" s="40"/>
      <c r="M226" s="40"/>
      <c r="N226" s="36" t="s">
        <v>2007</v>
      </c>
      <c r="O226" s="37">
        <v>45512</v>
      </c>
      <c r="P226" s="44" t="s">
        <v>58</v>
      </c>
      <c r="Q226" s="38">
        <v>352000</v>
      </c>
      <c r="R226" s="33">
        <f t="shared" si="84"/>
        <v>1073.25</v>
      </c>
      <c r="S226" s="35">
        <f t="shared" si="83"/>
        <v>71.55</v>
      </c>
      <c r="T226" s="34">
        <v>500</v>
      </c>
    </row>
    <row r="227" spans="1:20" x14ac:dyDescent="0.25">
      <c r="A227" s="36" t="s">
        <v>354</v>
      </c>
      <c r="B227" s="36"/>
      <c r="C227" s="36" t="s">
        <v>37</v>
      </c>
      <c r="D227" s="39">
        <v>45512</v>
      </c>
      <c r="E227" s="39">
        <v>45877</v>
      </c>
      <c r="F227" s="36" t="s">
        <v>74</v>
      </c>
      <c r="G227" s="36" t="s">
        <v>64</v>
      </c>
      <c r="H227" s="38">
        <v>12475</v>
      </c>
      <c r="I227" s="40">
        <v>10323</v>
      </c>
      <c r="J227" s="40"/>
      <c r="K227" s="40"/>
      <c r="L227" s="40"/>
      <c r="M227" s="40"/>
      <c r="N227" s="36" t="s">
        <v>2008</v>
      </c>
      <c r="O227" s="37">
        <v>45512</v>
      </c>
      <c r="P227" s="44" t="s">
        <v>58</v>
      </c>
      <c r="Q227" s="38">
        <v>499000</v>
      </c>
      <c r="R227" s="33">
        <f t="shared" si="84"/>
        <v>1548.45</v>
      </c>
      <c r="S227" s="35">
        <f t="shared" si="83"/>
        <v>103.23</v>
      </c>
      <c r="T227" s="34">
        <v>500</v>
      </c>
    </row>
    <row r="228" spans="1:20" x14ac:dyDescent="0.25">
      <c r="A228" s="36" t="s">
        <v>355</v>
      </c>
      <c r="B228" s="36"/>
      <c r="C228" s="36" t="s">
        <v>53</v>
      </c>
      <c r="D228" s="39">
        <v>45512</v>
      </c>
      <c r="E228" s="39">
        <v>45877</v>
      </c>
      <c r="F228" s="36" t="s">
        <v>1305</v>
      </c>
      <c r="G228" s="36" t="s">
        <v>61</v>
      </c>
      <c r="H228" s="38">
        <v>8800</v>
      </c>
      <c r="I228" s="40">
        <v>7155</v>
      </c>
      <c r="J228" s="40"/>
      <c r="K228" s="40"/>
      <c r="L228" s="40"/>
      <c r="M228" s="40"/>
      <c r="N228" s="36" t="s">
        <v>2009</v>
      </c>
      <c r="O228" s="37">
        <v>45512</v>
      </c>
      <c r="P228" s="44" t="s">
        <v>58</v>
      </c>
      <c r="Q228" s="38">
        <v>352000</v>
      </c>
      <c r="R228" s="33">
        <f t="shared" si="84"/>
        <v>1073.25</v>
      </c>
      <c r="S228" s="35">
        <f t="shared" si="83"/>
        <v>71.55</v>
      </c>
      <c r="T228" s="34">
        <v>500</v>
      </c>
    </row>
    <row r="229" spans="1:20" x14ac:dyDescent="0.25">
      <c r="A229" s="36" t="s">
        <v>356</v>
      </c>
      <c r="B229" s="36"/>
      <c r="C229" s="36" t="s">
        <v>31</v>
      </c>
      <c r="D229" s="39">
        <v>45512</v>
      </c>
      <c r="E229" s="39">
        <v>45877</v>
      </c>
      <c r="F229" s="36" t="s">
        <v>1306</v>
      </c>
      <c r="G229" s="36" t="s">
        <v>61</v>
      </c>
      <c r="H229" s="38">
        <v>14960</v>
      </c>
      <c r="I229" s="40">
        <v>12466</v>
      </c>
      <c r="J229" s="40"/>
      <c r="K229" s="40"/>
      <c r="L229" s="40"/>
      <c r="M229" s="40"/>
      <c r="N229" s="36" t="s">
        <v>2010</v>
      </c>
      <c r="O229" s="37">
        <v>45512</v>
      </c>
      <c r="P229" s="44" t="s">
        <v>58</v>
      </c>
      <c r="Q229" s="38">
        <v>352000</v>
      </c>
      <c r="R229" s="33">
        <f t="shared" si="84"/>
        <v>1869.9</v>
      </c>
      <c r="S229" s="35">
        <f t="shared" si="83"/>
        <v>124.66</v>
      </c>
      <c r="T229" s="34">
        <v>500</v>
      </c>
    </row>
    <row r="230" spans="1:20" x14ac:dyDescent="0.25">
      <c r="A230" s="36" t="s">
        <v>357</v>
      </c>
      <c r="B230" s="36"/>
      <c r="C230" s="36" t="s">
        <v>31</v>
      </c>
      <c r="D230" s="39">
        <v>45878</v>
      </c>
      <c r="E230" s="39">
        <v>46243</v>
      </c>
      <c r="F230" s="36" t="s">
        <v>1306</v>
      </c>
      <c r="G230" s="36" t="s">
        <v>61</v>
      </c>
      <c r="H230" s="38">
        <v>14960</v>
      </c>
      <c r="I230" s="40">
        <v>12466</v>
      </c>
      <c r="J230" s="40"/>
      <c r="K230" s="40"/>
      <c r="L230" s="40"/>
      <c r="M230" s="40"/>
      <c r="N230" s="36" t="s">
        <v>2010</v>
      </c>
      <c r="O230" s="37">
        <v>45512</v>
      </c>
      <c r="P230" s="44" t="s">
        <v>58</v>
      </c>
      <c r="Q230" s="38">
        <v>352000</v>
      </c>
      <c r="R230" s="33">
        <f t="shared" si="84"/>
        <v>1869.9</v>
      </c>
      <c r="S230" s="35">
        <f t="shared" si="83"/>
        <v>124.66</v>
      </c>
      <c r="T230" s="34">
        <v>500</v>
      </c>
    </row>
    <row r="231" spans="1:20" x14ac:dyDescent="0.25">
      <c r="A231" s="36" t="s">
        <v>358</v>
      </c>
      <c r="B231" s="36"/>
      <c r="C231" s="36" t="s">
        <v>53</v>
      </c>
      <c r="D231" s="39">
        <v>45512</v>
      </c>
      <c r="E231" s="39">
        <v>45877</v>
      </c>
      <c r="F231" s="36" t="s">
        <v>1307</v>
      </c>
      <c r="G231" s="36" t="s">
        <v>61</v>
      </c>
      <c r="H231" s="38">
        <v>8800</v>
      </c>
      <c r="I231" s="40">
        <v>7155</v>
      </c>
      <c r="J231" s="40"/>
      <c r="K231" s="40"/>
      <c r="L231" s="40"/>
      <c r="M231" s="40"/>
      <c r="N231" s="36" t="s">
        <v>2011</v>
      </c>
      <c r="O231" s="37">
        <v>45512</v>
      </c>
      <c r="P231" s="44" t="s">
        <v>58</v>
      </c>
      <c r="Q231" s="38">
        <v>352000</v>
      </c>
      <c r="R231" s="33">
        <f t="shared" si="84"/>
        <v>1073.25</v>
      </c>
      <c r="S231" s="35">
        <f t="shared" si="83"/>
        <v>71.55</v>
      </c>
      <c r="T231" s="34">
        <v>500</v>
      </c>
    </row>
    <row r="232" spans="1:20" x14ac:dyDescent="0.25">
      <c r="A232" s="36" t="s">
        <v>359</v>
      </c>
      <c r="B232" s="36"/>
      <c r="C232" s="36" t="s">
        <v>31</v>
      </c>
      <c r="D232" s="39">
        <v>45512</v>
      </c>
      <c r="E232" s="39">
        <v>45877</v>
      </c>
      <c r="F232" s="36" t="s">
        <v>1308</v>
      </c>
      <c r="G232" s="36" t="s">
        <v>61</v>
      </c>
      <c r="H232" s="38">
        <v>14960</v>
      </c>
      <c r="I232" s="40">
        <v>12466</v>
      </c>
      <c r="J232" s="40"/>
      <c r="K232" s="40"/>
      <c r="L232" s="40"/>
      <c r="M232" s="40"/>
      <c r="N232" s="36" t="s">
        <v>2012</v>
      </c>
      <c r="O232" s="37">
        <v>45512</v>
      </c>
      <c r="P232" s="44" t="s">
        <v>58</v>
      </c>
      <c r="Q232" s="38">
        <v>352000</v>
      </c>
      <c r="R232" s="33">
        <f t="shared" si="84"/>
        <v>1869.9</v>
      </c>
      <c r="S232" s="35">
        <f t="shared" si="83"/>
        <v>124.66</v>
      </c>
      <c r="T232" s="34">
        <v>500</v>
      </c>
    </row>
    <row r="233" spans="1:20" x14ac:dyDescent="0.25">
      <c r="A233" s="36" t="s">
        <v>360</v>
      </c>
      <c r="B233" s="36"/>
      <c r="C233" s="36" t="s">
        <v>31</v>
      </c>
      <c r="D233" s="39">
        <v>45878</v>
      </c>
      <c r="E233" s="39">
        <v>46243</v>
      </c>
      <c r="F233" s="36" t="s">
        <v>1308</v>
      </c>
      <c r="G233" s="36" t="s">
        <v>61</v>
      </c>
      <c r="H233" s="38">
        <v>14960</v>
      </c>
      <c r="I233" s="40">
        <v>12466</v>
      </c>
      <c r="J233" s="40"/>
      <c r="K233" s="40"/>
      <c r="L233" s="40"/>
      <c r="M233" s="40"/>
      <c r="N233" s="36" t="s">
        <v>2012</v>
      </c>
      <c r="O233" s="37">
        <v>45512</v>
      </c>
      <c r="P233" s="44" t="s">
        <v>58</v>
      </c>
      <c r="Q233" s="38">
        <v>352000</v>
      </c>
      <c r="R233" s="33">
        <f t="shared" si="84"/>
        <v>1869.9</v>
      </c>
      <c r="S233" s="35">
        <f t="shared" si="83"/>
        <v>124.66</v>
      </c>
      <c r="T233" s="34">
        <v>500</v>
      </c>
    </row>
    <row r="234" spans="1:20" x14ac:dyDescent="0.25">
      <c r="A234" s="36" t="s">
        <v>361</v>
      </c>
      <c r="B234" s="36"/>
      <c r="C234" s="36" t="s">
        <v>37</v>
      </c>
      <c r="D234" s="39">
        <v>45512</v>
      </c>
      <c r="E234" s="39">
        <v>45877</v>
      </c>
      <c r="F234" s="36" t="s">
        <v>1309</v>
      </c>
      <c r="G234" s="36" t="s">
        <v>63</v>
      </c>
      <c r="H234" s="38">
        <v>13675</v>
      </c>
      <c r="I234" s="40">
        <v>11358</v>
      </c>
      <c r="J234" s="40"/>
      <c r="K234" s="40"/>
      <c r="L234" s="40"/>
      <c r="M234" s="40"/>
      <c r="N234" s="36" t="s">
        <v>2013</v>
      </c>
      <c r="O234" s="37">
        <v>45512</v>
      </c>
      <c r="P234" s="44" t="s">
        <v>58</v>
      </c>
      <c r="Q234" s="38">
        <v>547000</v>
      </c>
      <c r="R234" s="33">
        <f t="shared" si="84"/>
        <v>1703.7</v>
      </c>
      <c r="S234" s="35">
        <f t="shared" si="83"/>
        <v>113.58</v>
      </c>
      <c r="T234" s="34">
        <v>500</v>
      </c>
    </row>
    <row r="235" spans="1:20" x14ac:dyDescent="0.25">
      <c r="A235" s="36" t="s">
        <v>362</v>
      </c>
      <c r="B235" s="36"/>
      <c r="C235" s="36" t="s">
        <v>37</v>
      </c>
      <c r="D235" s="39">
        <v>45512</v>
      </c>
      <c r="E235" s="39">
        <v>45877</v>
      </c>
      <c r="F235" s="36" t="s">
        <v>1310</v>
      </c>
      <c r="G235" s="36" t="s">
        <v>62</v>
      </c>
      <c r="H235" s="38">
        <v>9550</v>
      </c>
      <c r="I235" s="40">
        <v>7802</v>
      </c>
      <c r="J235" s="40"/>
      <c r="K235" s="40"/>
      <c r="L235" s="40"/>
      <c r="M235" s="40"/>
      <c r="N235" s="36" t="s">
        <v>2014</v>
      </c>
      <c r="O235" s="37">
        <v>45512</v>
      </c>
      <c r="P235" s="44" t="s">
        <v>58</v>
      </c>
      <c r="Q235" s="38">
        <v>382000</v>
      </c>
      <c r="R235" s="33">
        <f t="shared" si="84"/>
        <v>1170.3</v>
      </c>
      <c r="S235" s="35">
        <f t="shared" si="83"/>
        <v>78.02</v>
      </c>
      <c r="T235" s="34">
        <v>500</v>
      </c>
    </row>
    <row r="236" spans="1:20" x14ac:dyDescent="0.25">
      <c r="A236" s="36" t="s">
        <v>363</v>
      </c>
      <c r="B236" s="36"/>
      <c r="C236" s="36" t="s">
        <v>37</v>
      </c>
      <c r="D236" s="39">
        <v>45512</v>
      </c>
      <c r="E236" s="39">
        <v>45877</v>
      </c>
      <c r="F236" s="36" t="s">
        <v>1278</v>
      </c>
      <c r="G236" s="36" t="s">
        <v>64</v>
      </c>
      <c r="H236" s="38">
        <v>12475</v>
      </c>
      <c r="I236" s="40">
        <v>10323</v>
      </c>
      <c r="J236" s="40"/>
      <c r="K236" s="40"/>
      <c r="L236" s="40"/>
      <c r="M236" s="40"/>
      <c r="N236" s="36" t="s">
        <v>1979</v>
      </c>
      <c r="O236" s="37">
        <v>45512</v>
      </c>
      <c r="P236" s="44" t="s">
        <v>58</v>
      </c>
      <c r="Q236" s="38">
        <v>499000</v>
      </c>
      <c r="R236" s="33">
        <f t="shared" si="84"/>
        <v>1548.45</v>
      </c>
      <c r="S236" s="35">
        <f t="shared" si="83"/>
        <v>103.23</v>
      </c>
      <c r="T236" s="34">
        <v>500</v>
      </c>
    </row>
    <row r="237" spans="1:20" x14ac:dyDescent="0.25">
      <c r="A237" s="36" t="s">
        <v>364</v>
      </c>
      <c r="B237" s="36"/>
      <c r="C237" s="36" t="s">
        <v>32</v>
      </c>
      <c r="D237" s="39">
        <v>45512</v>
      </c>
      <c r="E237" s="39">
        <v>45877</v>
      </c>
      <c r="F237" s="36" t="s">
        <v>1311</v>
      </c>
      <c r="G237" s="36" t="s">
        <v>63</v>
      </c>
      <c r="H237" s="41">
        <f>K237</f>
        <v>23247.5</v>
      </c>
      <c r="I237" s="41">
        <f>L237</f>
        <v>19540.948275862069</v>
      </c>
      <c r="J237" s="42">
        <v>4.2500000000000003E-2</v>
      </c>
      <c r="K237" s="41">
        <f>Q237*J237</f>
        <v>23247.5</v>
      </c>
      <c r="L237" s="41">
        <f>K237/116%-T237</f>
        <v>19540.948275862069</v>
      </c>
      <c r="M237" s="41">
        <f>K237-H237</f>
        <v>0</v>
      </c>
      <c r="N237" s="36" t="s">
        <v>2015</v>
      </c>
      <c r="O237" s="37">
        <v>45512</v>
      </c>
      <c r="P237" s="44" t="s">
        <v>58</v>
      </c>
      <c r="Q237" s="38">
        <v>547000</v>
      </c>
      <c r="R237" s="33">
        <f t="shared" si="84"/>
        <v>2931.1422413793102</v>
      </c>
      <c r="S237" s="35">
        <f t="shared" si="83"/>
        <v>195.4094827586207</v>
      </c>
      <c r="T237" s="34">
        <v>500</v>
      </c>
    </row>
    <row r="238" spans="1:20" x14ac:dyDescent="0.25">
      <c r="A238" s="36" t="s">
        <v>365</v>
      </c>
      <c r="B238" s="36"/>
      <c r="C238" s="36" t="s">
        <v>37</v>
      </c>
      <c r="D238" s="39">
        <v>45512</v>
      </c>
      <c r="E238" s="39">
        <v>45877</v>
      </c>
      <c r="F238" s="36" t="s">
        <v>1312</v>
      </c>
      <c r="G238" s="36" t="s">
        <v>61</v>
      </c>
      <c r="H238" s="38">
        <v>8800</v>
      </c>
      <c r="I238" s="40">
        <v>7155</v>
      </c>
      <c r="J238" s="40"/>
      <c r="K238" s="40"/>
      <c r="L238" s="40"/>
      <c r="M238" s="40"/>
      <c r="N238" s="36" t="s">
        <v>2016</v>
      </c>
      <c r="O238" s="37">
        <v>45512</v>
      </c>
      <c r="P238" s="44" t="s">
        <v>58</v>
      </c>
      <c r="Q238" s="38">
        <v>352000</v>
      </c>
      <c r="R238" s="33">
        <f t="shared" si="84"/>
        <v>1073.25</v>
      </c>
      <c r="S238" s="35">
        <f t="shared" si="83"/>
        <v>71.55</v>
      </c>
      <c r="T238" s="34">
        <v>500</v>
      </c>
    </row>
    <row r="239" spans="1:20" x14ac:dyDescent="0.25">
      <c r="A239" s="36" t="s">
        <v>366</v>
      </c>
      <c r="B239" s="36"/>
      <c r="C239" s="36" t="s">
        <v>37</v>
      </c>
      <c r="D239" s="39">
        <v>45512</v>
      </c>
      <c r="E239" s="39">
        <v>45877</v>
      </c>
      <c r="F239" s="36" t="s">
        <v>74</v>
      </c>
      <c r="G239" s="36" t="s">
        <v>64</v>
      </c>
      <c r="H239" s="38">
        <v>12475</v>
      </c>
      <c r="I239" s="40">
        <v>10323</v>
      </c>
      <c r="J239" s="40"/>
      <c r="K239" s="40"/>
      <c r="L239" s="40"/>
      <c r="M239" s="40"/>
      <c r="N239" s="36" t="s">
        <v>2008</v>
      </c>
      <c r="O239" s="37">
        <v>45512</v>
      </c>
      <c r="P239" s="44" t="s">
        <v>58</v>
      </c>
      <c r="Q239" s="38">
        <v>499000</v>
      </c>
      <c r="R239" s="33">
        <f t="shared" si="84"/>
        <v>1548.45</v>
      </c>
      <c r="S239" s="35">
        <f t="shared" si="83"/>
        <v>103.23</v>
      </c>
      <c r="T239" s="34">
        <v>500</v>
      </c>
    </row>
    <row r="240" spans="1:20" x14ac:dyDescent="0.25">
      <c r="A240" s="36" t="s">
        <v>367</v>
      </c>
      <c r="B240" s="36"/>
      <c r="C240" s="36" t="s">
        <v>54</v>
      </c>
      <c r="D240" s="39">
        <v>45512</v>
      </c>
      <c r="E240" s="39">
        <v>45877</v>
      </c>
      <c r="F240" s="36" t="s">
        <v>1313</v>
      </c>
      <c r="G240" s="36" t="s">
        <v>65</v>
      </c>
      <c r="H240" s="38">
        <v>9550</v>
      </c>
      <c r="I240" s="40">
        <v>7802</v>
      </c>
      <c r="J240" s="40"/>
      <c r="K240" s="40"/>
      <c r="L240" s="40"/>
      <c r="M240" s="40"/>
      <c r="N240" s="36" t="s">
        <v>2017</v>
      </c>
      <c r="O240" s="37">
        <v>45512</v>
      </c>
      <c r="P240" s="44" t="s">
        <v>58</v>
      </c>
      <c r="Q240" s="38">
        <v>382000</v>
      </c>
      <c r="R240" s="33">
        <f t="shared" si="84"/>
        <v>1170.3</v>
      </c>
      <c r="S240" s="35">
        <f t="shared" si="83"/>
        <v>78.02</v>
      </c>
      <c r="T240" s="34">
        <v>500</v>
      </c>
    </row>
    <row r="241" spans="1:20" x14ac:dyDescent="0.25">
      <c r="A241" s="36" t="s">
        <v>368</v>
      </c>
      <c r="B241" s="36"/>
      <c r="C241" s="36" t="s">
        <v>54</v>
      </c>
      <c r="D241" s="39">
        <v>45512</v>
      </c>
      <c r="E241" s="39">
        <v>45877</v>
      </c>
      <c r="F241" s="36" t="s">
        <v>1314</v>
      </c>
      <c r="G241" s="36" t="s">
        <v>61</v>
      </c>
      <c r="H241" s="38">
        <v>8800</v>
      </c>
      <c r="I241" s="40">
        <v>7155</v>
      </c>
      <c r="J241" s="40"/>
      <c r="K241" s="40"/>
      <c r="L241" s="40"/>
      <c r="M241" s="40"/>
      <c r="N241" s="36" t="s">
        <v>2018</v>
      </c>
      <c r="O241" s="37">
        <v>45512</v>
      </c>
      <c r="P241" s="44" t="s">
        <v>58</v>
      </c>
      <c r="Q241" s="38">
        <v>352000</v>
      </c>
      <c r="R241" s="33">
        <f t="shared" si="84"/>
        <v>1073.25</v>
      </c>
      <c r="S241" s="35">
        <f t="shared" si="83"/>
        <v>71.55</v>
      </c>
      <c r="T241" s="34">
        <v>500</v>
      </c>
    </row>
    <row r="242" spans="1:20" x14ac:dyDescent="0.25">
      <c r="A242" s="36" t="s">
        <v>369</v>
      </c>
      <c r="B242" s="36"/>
      <c r="C242" s="36" t="s">
        <v>54</v>
      </c>
      <c r="D242" s="39">
        <v>45512</v>
      </c>
      <c r="E242" s="39">
        <v>45877</v>
      </c>
      <c r="F242" s="36" t="s">
        <v>1315</v>
      </c>
      <c r="G242" s="36" t="s">
        <v>65</v>
      </c>
      <c r="H242" s="38">
        <v>9550</v>
      </c>
      <c r="I242" s="40">
        <v>7802</v>
      </c>
      <c r="J242" s="40"/>
      <c r="K242" s="40"/>
      <c r="L242" s="40"/>
      <c r="M242" s="40"/>
      <c r="N242" s="36" t="s">
        <v>2019</v>
      </c>
      <c r="O242" s="37">
        <v>45512</v>
      </c>
      <c r="P242" s="44" t="s">
        <v>58</v>
      </c>
      <c r="Q242" s="38">
        <v>382000</v>
      </c>
      <c r="R242" s="33">
        <f t="shared" si="84"/>
        <v>1170.3</v>
      </c>
      <c r="S242" s="35">
        <f t="shared" si="83"/>
        <v>78.02</v>
      </c>
      <c r="T242" s="34">
        <v>500</v>
      </c>
    </row>
    <row r="243" spans="1:20" x14ac:dyDescent="0.25">
      <c r="A243" s="36" t="s">
        <v>370</v>
      </c>
      <c r="B243" s="36"/>
      <c r="C243" s="36" t="s">
        <v>92</v>
      </c>
      <c r="D243" s="39">
        <v>45512</v>
      </c>
      <c r="E243" s="39">
        <v>45877</v>
      </c>
      <c r="F243" s="36" t="s">
        <v>1316</v>
      </c>
      <c r="G243" s="36" t="s">
        <v>64</v>
      </c>
      <c r="H243" s="38">
        <v>12475</v>
      </c>
      <c r="I243" s="40">
        <v>10323</v>
      </c>
      <c r="J243" s="40"/>
      <c r="K243" s="40"/>
      <c r="L243" s="40"/>
      <c r="M243" s="40"/>
      <c r="N243" s="36" t="s">
        <v>2020</v>
      </c>
      <c r="O243" s="37">
        <v>45512</v>
      </c>
      <c r="P243" s="44" t="s">
        <v>58</v>
      </c>
      <c r="Q243" s="38">
        <v>499000</v>
      </c>
      <c r="R243" s="33">
        <f t="shared" si="84"/>
        <v>1548.45</v>
      </c>
      <c r="S243" s="35">
        <f t="shared" si="83"/>
        <v>103.23</v>
      </c>
      <c r="T243" s="34">
        <v>500</v>
      </c>
    </row>
    <row r="244" spans="1:20" x14ac:dyDescent="0.25">
      <c r="A244" s="36" t="s">
        <v>371</v>
      </c>
      <c r="B244" s="36"/>
      <c r="C244" s="36" t="s">
        <v>31</v>
      </c>
      <c r="D244" s="39">
        <v>45512</v>
      </c>
      <c r="E244" s="39">
        <v>45877</v>
      </c>
      <c r="F244" s="36" t="s">
        <v>1317</v>
      </c>
      <c r="G244" s="36" t="s">
        <v>61</v>
      </c>
      <c r="H244" s="38">
        <v>14960</v>
      </c>
      <c r="I244" s="40">
        <v>12466</v>
      </c>
      <c r="J244" s="40"/>
      <c r="K244" s="40"/>
      <c r="L244" s="40"/>
      <c r="M244" s="40"/>
      <c r="N244" s="36" t="s">
        <v>2021</v>
      </c>
      <c r="O244" s="37">
        <v>45512</v>
      </c>
      <c r="P244" s="44" t="s">
        <v>58</v>
      </c>
      <c r="Q244" s="38">
        <v>352000</v>
      </c>
      <c r="R244" s="33">
        <f t="shared" si="84"/>
        <v>1869.9</v>
      </c>
      <c r="S244" s="35">
        <f t="shared" si="83"/>
        <v>124.66</v>
      </c>
      <c r="T244" s="34">
        <v>500</v>
      </c>
    </row>
    <row r="245" spans="1:20" x14ac:dyDescent="0.25">
      <c r="A245" s="36" t="s">
        <v>372</v>
      </c>
      <c r="B245" s="36"/>
      <c r="C245" s="36" t="s">
        <v>31</v>
      </c>
      <c r="D245" s="39">
        <v>45878</v>
      </c>
      <c r="E245" s="39">
        <v>46243</v>
      </c>
      <c r="F245" s="36" t="s">
        <v>1317</v>
      </c>
      <c r="G245" s="36" t="s">
        <v>61</v>
      </c>
      <c r="H245" s="38">
        <v>14960</v>
      </c>
      <c r="I245" s="40">
        <v>12466</v>
      </c>
      <c r="J245" s="40"/>
      <c r="K245" s="40"/>
      <c r="L245" s="40"/>
      <c r="M245" s="40"/>
      <c r="N245" s="36" t="s">
        <v>2021</v>
      </c>
      <c r="O245" s="37">
        <v>45512</v>
      </c>
      <c r="P245" s="44" t="s">
        <v>58</v>
      </c>
      <c r="Q245" s="38">
        <v>352000</v>
      </c>
      <c r="R245" s="33">
        <f t="shared" si="84"/>
        <v>1869.9</v>
      </c>
      <c r="S245" s="35">
        <f t="shared" si="83"/>
        <v>124.66</v>
      </c>
      <c r="T245" s="34">
        <v>500</v>
      </c>
    </row>
    <row r="246" spans="1:20" x14ac:dyDescent="0.25">
      <c r="A246" s="36" t="s">
        <v>373</v>
      </c>
      <c r="B246" s="36"/>
      <c r="C246" s="36" t="s">
        <v>54</v>
      </c>
      <c r="D246" s="39">
        <v>45512</v>
      </c>
      <c r="E246" s="39">
        <v>45877</v>
      </c>
      <c r="F246" s="36" t="s">
        <v>102</v>
      </c>
      <c r="G246" s="36" t="s">
        <v>65</v>
      </c>
      <c r="H246" s="38">
        <v>9550</v>
      </c>
      <c r="I246" s="40">
        <v>7802</v>
      </c>
      <c r="J246" s="40"/>
      <c r="K246" s="40"/>
      <c r="L246" s="40"/>
      <c r="M246" s="40"/>
      <c r="N246" s="36" t="s">
        <v>2022</v>
      </c>
      <c r="O246" s="37">
        <v>45512</v>
      </c>
      <c r="P246" s="44" t="s">
        <v>58</v>
      </c>
      <c r="Q246" s="38">
        <v>382000</v>
      </c>
      <c r="R246" s="33">
        <f t="shared" si="84"/>
        <v>1170.3</v>
      </c>
      <c r="S246" s="35">
        <f t="shared" si="83"/>
        <v>78.02</v>
      </c>
      <c r="T246" s="34">
        <v>500</v>
      </c>
    </row>
    <row r="247" spans="1:20" x14ac:dyDescent="0.25">
      <c r="A247" s="36" t="s">
        <v>374</v>
      </c>
      <c r="B247" s="36"/>
      <c r="C247" s="36" t="s">
        <v>92</v>
      </c>
      <c r="D247" s="39">
        <v>45512</v>
      </c>
      <c r="E247" s="39">
        <v>45877</v>
      </c>
      <c r="F247" s="36" t="s">
        <v>1318</v>
      </c>
      <c r="G247" s="36" t="s">
        <v>63</v>
      </c>
      <c r="H247" s="38">
        <v>13675</v>
      </c>
      <c r="I247" s="40">
        <v>11358</v>
      </c>
      <c r="J247" s="40"/>
      <c r="K247" s="40"/>
      <c r="L247" s="40"/>
      <c r="M247" s="40"/>
      <c r="N247" s="36" t="s">
        <v>2023</v>
      </c>
      <c r="O247" s="37">
        <v>45512</v>
      </c>
      <c r="P247" s="44" t="s">
        <v>58</v>
      </c>
      <c r="Q247" s="38">
        <v>547000</v>
      </c>
      <c r="R247" s="33">
        <f t="shared" si="84"/>
        <v>1703.7</v>
      </c>
      <c r="S247" s="35">
        <f t="shared" si="83"/>
        <v>113.58</v>
      </c>
      <c r="T247" s="34">
        <v>500</v>
      </c>
    </row>
    <row r="248" spans="1:20" x14ac:dyDescent="0.25">
      <c r="A248" s="36" t="s">
        <v>375</v>
      </c>
      <c r="B248" s="36"/>
      <c r="C248" s="36" t="s">
        <v>92</v>
      </c>
      <c r="D248" s="39">
        <v>45512</v>
      </c>
      <c r="E248" s="39">
        <v>45877</v>
      </c>
      <c r="F248" s="36" t="s">
        <v>1318</v>
      </c>
      <c r="G248" s="36" t="s">
        <v>63</v>
      </c>
      <c r="H248" s="38">
        <v>13675</v>
      </c>
      <c r="I248" s="40">
        <v>11358</v>
      </c>
      <c r="J248" s="40"/>
      <c r="K248" s="40"/>
      <c r="L248" s="40"/>
      <c r="M248" s="40"/>
      <c r="N248" s="36" t="s">
        <v>2023</v>
      </c>
      <c r="O248" s="37">
        <v>45512</v>
      </c>
      <c r="P248" s="44" t="s">
        <v>58</v>
      </c>
      <c r="Q248" s="38">
        <v>547000</v>
      </c>
      <c r="R248" s="33">
        <f t="shared" si="84"/>
        <v>1703.7</v>
      </c>
      <c r="S248" s="35">
        <f t="shared" si="83"/>
        <v>113.58</v>
      </c>
      <c r="T248" s="34">
        <v>500</v>
      </c>
    </row>
    <row r="249" spans="1:20" x14ac:dyDescent="0.25">
      <c r="A249" s="36" t="s">
        <v>376</v>
      </c>
      <c r="B249" s="36"/>
      <c r="C249" s="36" t="s">
        <v>80</v>
      </c>
      <c r="D249" s="39">
        <v>45512</v>
      </c>
      <c r="E249" s="39">
        <v>45877</v>
      </c>
      <c r="F249" s="36" t="s">
        <v>1319</v>
      </c>
      <c r="G249" s="36" t="s">
        <v>61</v>
      </c>
      <c r="H249" s="38">
        <v>8800</v>
      </c>
      <c r="I249" s="40">
        <v>7155</v>
      </c>
      <c r="J249" s="40"/>
      <c r="K249" s="40"/>
      <c r="L249" s="40"/>
      <c r="M249" s="40"/>
      <c r="N249" s="36" t="s">
        <v>2024</v>
      </c>
      <c r="O249" s="37">
        <v>45512</v>
      </c>
      <c r="P249" s="44" t="s">
        <v>58</v>
      </c>
      <c r="Q249" s="38">
        <v>352000</v>
      </c>
      <c r="R249" s="33">
        <f t="shared" si="84"/>
        <v>1073.25</v>
      </c>
      <c r="S249" s="35">
        <f t="shared" si="83"/>
        <v>71.55</v>
      </c>
      <c r="T249" s="34">
        <v>500</v>
      </c>
    </row>
    <row r="250" spans="1:20" x14ac:dyDescent="0.25">
      <c r="A250" s="36" t="s">
        <v>377</v>
      </c>
      <c r="B250" s="36"/>
      <c r="C250" s="36" t="s">
        <v>54</v>
      </c>
      <c r="D250" s="39">
        <v>45512</v>
      </c>
      <c r="E250" s="39">
        <v>45877</v>
      </c>
      <c r="F250" s="36" t="s">
        <v>1320</v>
      </c>
      <c r="G250" s="36" t="s">
        <v>65</v>
      </c>
      <c r="H250" s="38">
        <v>9550</v>
      </c>
      <c r="I250" s="40">
        <v>7802</v>
      </c>
      <c r="J250" s="40"/>
      <c r="K250" s="40"/>
      <c r="L250" s="40"/>
      <c r="M250" s="40"/>
      <c r="N250" s="36" t="s">
        <v>2025</v>
      </c>
      <c r="O250" s="37">
        <v>45512</v>
      </c>
      <c r="P250" s="44" t="s">
        <v>58</v>
      </c>
      <c r="Q250" s="38">
        <v>382000</v>
      </c>
      <c r="R250" s="33">
        <f t="shared" si="84"/>
        <v>1170.3</v>
      </c>
      <c r="S250" s="35">
        <f t="shared" si="83"/>
        <v>78.02</v>
      </c>
      <c r="T250" s="34">
        <v>500</v>
      </c>
    </row>
    <row r="251" spans="1:20" x14ac:dyDescent="0.25">
      <c r="A251" s="36" t="s">
        <v>378</v>
      </c>
      <c r="B251" s="36"/>
      <c r="C251" s="36" t="s">
        <v>80</v>
      </c>
      <c r="D251" s="39">
        <v>45512</v>
      </c>
      <c r="E251" s="39">
        <v>45877</v>
      </c>
      <c r="F251" s="36" t="s">
        <v>78</v>
      </c>
      <c r="G251" s="36" t="s">
        <v>63</v>
      </c>
      <c r="H251" s="38">
        <v>13675</v>
      </c>
      <c r="I251" s="40">
        <v>11358</v>
      </c>
      <c r="J251" s="40"/>
      <c r="K251" s="40"/>
      <c r="L251" s="40"/>
      <c r="M251" s="40"/>
      <c r="N251" s="36" t="s">
        <v>2026</v>
      </c>
      <c r="O251" s="37">
        <v>45512</v>
      </c>
      <c r="P251" s="44" t="s">
        <v>58</v>
      </c>
      <c r="Q251" s="38">
        <v>547000</v>
      </c>
      <c r="R251" s="33">
        <f t="shared" si="84"/>
        <v>1703.7</v>
      </c>
      <c r="S251" s="35">
        <f t="shared" si="83"/>
        <v>113.58</v>
      </c>
      <c r="T251" s="34">
        <v>500</v>
      </c>
    </row>
    <row r="252" spans="1:20" x14ac:dyDescent="0.25">
      <c r="A252" s="36" t="s">
        <v>379</v>
      </c>
      <c r="B252" s="36"/>
      <c r="C252" s="36" t="s">
        <v>54</v>
      </c>
      <c r="D252" s="39">
        <v>45512</v>
      </c>
      <c r="E252" s="39">
        <v>45877</v>
      </c>
      <c r="F252" s="36" t="s">
        <v>1321</v>
      </c>
      <c r="G252" s="36" t="s">
        <v>63</v>
      </c>
      <c r="H252" s="38">
        <v>13675</v>
      </c>
      <c r="I252" s="40">
        <v>11358</v>
      </c>
      <c r="J252" s="40"/>
      <c r="K252" s="40"/>
      <c r="L252" s="40"/>
      <c r="M252" s="40"/>
      <c r="N252" s="36" t="s">
        <v>2027</v>
      </c>
      <c r="O252" s="37">
        <v>45512</v>
      </c>
      <c r="P252" s="44" t="s">
        <v>58</v>
      </c>
      <c r="Q252" s="38">
        <v>547000</v>
      </c>
      <c r="R252" s="33">
        <f t="shared" si="84"/>
        <v>1703.7</v>
      </c>
      <c r="S252" s="35">
        <f t="shared" si="83"/>
        <v>113.58</v>
      </c>
      <c r="T252" s="34">
        <v>500</v>
      </c>
    </row>
    <row r="253" spans="1:20" x14ac:dyDescent="0.25">
      <c r="A253" s="36" t="s">
        <v>380</v>
      </c>
      <c r="B253" s="36"/>
      <c r="C253" s="36" t="s">
        <v>80</v>
      </c>
      <c r="D253" s="39">
        <v>45512</v>
      </c>
      <c r="E253" s="39">
        <v>45877</v>
      </c>
      <c r="F253" s="36" t="s">
        <v>60</v>
      </c>
      <c r="G253" s="36" t="s">
        <v>61</v>
      </c>
      <c r="H253" s="38">
        <v>8800</v>
      </c>
      <c r="I253" s="40">
        <v>7155</v>
      </c>
      <c r="J253" s="40"/>
      <c r="K253" s="40"/>
      <c r="L253" s="40"/>
      <c r="M253" s="40"/>
      <c r="N253" s="36" t="s">
        <v>2028</v>
      </c>
      <c r="O253" s="37">
        <v>45512</v>
      </c>
      <c r="P253" s="44" t="s">
        <v>58</v>
      </c>
      <c r="Q253" s="38">
        <v>352000</v>
      </c>
      <c r="R253" s="33">
        <f t="shared" si="84"/>
        <v>1073.25</v>
      </c>
      <c r="S253" s="35">
        <f t="shared" si="83"/>
        <v>71.55</v>
      </c>
      <c r="T253" s="34">
        <v>500</v>
      </c>
    </row>
    <row r="254" spans="1:20" x14ac:dyDescent="0.25">
      <c r="A254" s="36" t="s">
        <v>381</v>
      </c>
      <c r="B254" s="36"/>
      <c r="C254" s="36" t="s">
        <v>80</v>
      </c>
      <c r="D254" s="39">
        <v>45512</v>
      </c>
      <c r="E254" s="39">
        <v>45877</v>
      </c>
      <c r="F254" s="36" t="s">
        <v>1322</v>
      </c>
      <c r="G254" s="36" t="s">
        <v>61</v>
      </c>
      <c r="H254" s="38">
        <v>8800</v>
      </c>
      <c r="I254" s="40">
        <v>7155</v>
      </c>
      <c r="J254" s="40"/>
      <c r="K254" s="40"/>
      <c r="L254" s="40"/>
      <c r="M254" s="40"/>
      <c r="N254" s="36" t="s">
        <v>2029</v>
      </c>
      <c r="O254" s="37">
        <v>45512</v>
      </c>
      <c r="P254" s="44" t="s">
        <v>58</v>
      </c>
      <c r="Q254" s="38">
        <v>352000</v>
      </c>
      <c r="R254" s="33">
        <f t="shared" si="84"/>
        <v>1073.25</v>
      </c>
      <c r="S254" s="35">
        <f t="shared" si="83"/>
        <v>71.55</v>
      </c>
      <c r="T254" s="34">
        <v>500</v>
      </c>
    </row>
    <row r="255" spans="1:20" x14ac:dyDescent="0.25">
      <c r="A255" s="36" t="s">
        <v>382</v>
      </c>
      <c r="B255" s="36"/>
      <c r="C255" s="36" t="s">
        <v>80</v>
      </c>
      <c r="D255" s="39">
        <v>45512</v>
      </c>
      <c r="E255" s="39">
        <v>45877</v>
      </c>
      <c r="F255" s="36" t="s">
        <v>1323</v>
      </c>
      <c r="G255" s="36" t="s">
        <v>61</v>
      </c>
      <c r="H255" s="38">
        <v>8800</v>
      </c>
      <c r="I255" s="40">
        <v>7155</v>
      </c>
      <c r="J255" s="40"/>
      <c r="K255" s="40"/>
      <c r="L255" s="40"/>
      <c r="M255" s="40"/>
      <c r="N255" s="36" t="s">
        <v>2030</v>
      </c>
      <c r="O255" s="37">
        <v>45512</v>
      </c>
      <c r="P255" s="44" t="s">
        <v>58</v>
      </c>
      <c r="Q255" s="38">
        <v>352000</v>
      </c>
      <c r="R255" s="33">
        <f t="shared" si="84"/>
        <v>1073.25</v>
      </c>
      <c r="S255" s="35">
        <f t="shared" si="83"/>
        <v>71.55</v>
      </c>
      <c r="T255" s="34">
        <v>500</v>
      </c>
    </row>
    <row r="256" spans="1:20" x14ac:dyDescent="0.25">
      <c r="A256" s="36" t="s">
        <v>383</v>
      </c>
      <c r="B256" s="36"/>
      <c r="C256" s="36" t="s">
        <v>38</v>
      </c>
      <c r="D256" s="39">
        <v>45512</v>
      </c>
      <c r="E256" s="39">
        <v>45877</v>
      </c>
      <c r="F256" s="36" t="s">
        <v>1324</v>
      </c>
      <c r="G256" s="36" t="s">
        <v>62</v>
      </c>
      <c r="H256" s="38">
        <v>16235</v>
      </c>
      <c r="I256" s="40">
        <v>13565</v>
      </c>
      <c r="J256" s="40"/>
      <c r="K256" s="40"/>
      <c r="L256" s="40"/>
      <c r="M256" s="40"/>
      <c r="N256" s="36" t="s">
        <v>2031</v>
      </c>
      <c r="O256" s="37">
        <v>45512</v>
      </c>
      <c r="P256" s="44" t="s">
        <v>58</v>
      </c>
      <c r="Q256" s="38">
        <v>382000</v>
      </c>
      <c r="R256" s="33">
        <f t="shared" si="84"/>
        <v>2034.75</v>
      </c>
      <c r="S256" s="35">
        <f t="shared" si="83"/>
        <v>135.65</v>
      </c>
      <c r="T256" s="34">
        <v>500</v>
      </c>
    </row>
    <row r="257" spans="1:20" x14ac:dyDescent="0.25">
      <c r="A257" s="36" t="s">
        <v>384</v>
      </c>
      <c r="B257" s="36"/>
      <c r="C257" s="36" t="s">
        <v>38</v>
      </c>
      <c r="D257" s="39">
        <v>45878</v>
      </c>
      <c r="E257" s="39">
        <v>46243</v>
      </c>
      <c r="F257" s="36" t="s">
        <v>1324</v>
      </c>
      <c r="G257" s="36" t="s">
        <v>62</v>
      </c>
      <c r="H257" s="38">
        <v>16235</v>
      </c>
      <c r="I257" s="40">
        <v>13565</v>
      </c>
      <c r="J257" s="40"/>
      <c r="K257" s="40"/>
      <c r="L257" s="40"/>
      <c r="M257" s="40"/>
      <c r="N257" s="36" t="s">
        <v>2031</v>
      </c>
      <c r="O257" s="37">
        <v>45512</v>
      </c>
      <c r="P257" s="44" t="s">
        <v>58</v>
      </c>
      <c r="Q257" s="38">
        <v>382000</v>
      </c>
      <c r="R257" s="33">
        <f t="shared" si="84"/>
        <v>2034.75</v>
      </c>
      <c r="S257" s="35">
        <f t="shared" si="83"/>
        <v>135.65</v>
      </c>
      <c r="T257" s="34">
        <v>500</v>
      </c>
    </row>
    <row r="258" spans="1:20" x14ac:dyDescent="0.25">
      <c r="A258" s="36" t="s">
        <v>385</v>
      </c>
      <c r="B258" s="36"/>
      <c r="C258" s="36" t="s">
        <v>80</v>
      </c>
      <c r="D258" s="39">
        <v>45512</v>
      </c>
      <c r="E258" s="39">
        <v>45877</v>
      </c>
      <c r="F258" s="36" t="s">
        <v>1325</v>
      </c>
      <c r="G258" s="36" t="s">
        <v>64</v>
      </c>
      <c r="H258" s="38">
        <v>12475</v>
      </c>
      <c r="I258" s="40">
        <v>10323</v>
      </c>
      <c r="J258" s="40"/>
      <c r="K258" s="40"/>
      <c r="L258" s="40"/>
      <c r="M258" s="40"/>
      <c r="N258" s="36" t="s">
        <v>2032</v>
      </c>
      <c r="O258" s="37">
        <v>45512</v>
      </c>
      <c r="P258" s="44" t="s">
        <v>58</v>
      </c>
      <c r="Q258" s="38">
        <v>499000</v>
      </c>
      <c r="R258" s="33">
        <f t="shared" si="84"/>
        <v>1548.45</v>
      </c>
      <c r="S258" s="35">
        <f t="shared" si="83"/>
        <v>103.23</v>
      </c>
      <c r="T258" s="34">
        <v>500</v>
      </c>
    </row>
    <row r="259" spans="1:20" x14ac:dyDescent="0.25">
      <c r="A259" s="36" t="s">
        <v>386</v>
      </c>
      <c r="B259" s="36"/>
      <c r="C259" s="36" t="s">
        <v>53</v>
      </c>
      <c r="D259" s="39">
        <v>45512</v>
      </c>
      <c r="E259" s="39">
        <v>45877</v>
      </c>
      <c r="F259" s="36" t="s">
        <v>105</v>
      </c>
      <c r="G259" s="36" t="s">
        <v>63</v>
      </c>
      <c r="H259" s="38">
        <v>13675</v>
      </c>
      <c r="I259" s="40">
        <v>11358</v>
      </c>
      <c r="J259" s="40"/>
      <c r="K259" s="40"/>
      <c r="L259" s="40"/>
      <c r="M259" s="40"/>
      <c r="N259" s="36" t="s">
        <v>2033</v>
      </c>
      <c r="O259" s="37">
        <v>45512</v>
      </c>
      <c r="P259" s="44" t="s">
        <v>58</v>
      </c>
      <c r="Q259" s="38">
        <v>547000</v>
      </c>
      <c r="R259" s="33">
        <f t="shared" si="84"/>
        <v>1703.7</v>
      </c>
      <c r="S259" s="35">
        <f t="shared" ref="S259:S322" si="85">I259*1/100</f>
        <v>113.58</v>
      </c>
      <c r="T259" s="34">
        <v>500</v>
      </c>
    </row>
    <row r="260" spans="1:20" x14ac:dyDescent="0.25">
      <c r="A260" s="36" t="s">
        <v>387</v>
      </c>
      <c r="B260" s="36"/>
      <c r="C260" s="36" t="s">
        <v>53</v>
      </c>
      <c r="D260" s="39">
        <v>45512</v>
      </c>
      <c r="E260" s="39">
        <v>45877</v>
      </c>
      <c r="F260" s="36" t="s">
        <v>1326</v>
      </c>
      <c r="G260" s="36" t="s">
        <v>62</v>
      </c>
      <c r="H260" s="38">
        <v>9550</v>
      </c>
      <c r="I260" s="40">
        <v>7802</v>
      </c>
      <c r="J260" s="40"/>
      <c r="K260" s="40"/>
      <c r="L260" s="40"/>
      <c r="M260" s="40"/>
      <c r="N260" s="36" t="s">
        <v>2034</v>
      </c>
      <c r="O260" s="37">
        <v>45512</v>
      </c>
      <c r="P260" s="44" t="s">
        <v>58</v>
      </c>
      <c r="Q260" s="38">
        <v>382000</v>
      </c>
      <c r="R260" s="33">
        <f t="shared" ref="R260:R323" si="86">I260*15/100</f>
        <v>1170.3</v>
      </c>
      <c r="S260" s="35">
        <f t="shared" si="85"/>
        <v>78.02</v>
      </c>
      <c r="T260" s="34">
        <v>500</v>
      </c>
    </row>
    <row r="261" spans="1:20" x14ac:dyDescent="0.25">
      <c r="A261" s="36" t="s">
        <v>388</v>
      </c>
      <c r="B261" s="36"/>
      <c r="C261" s="36" t="s">
        <v>52</v>
      </c>
      <c r="D261" s="39">
        <v>45512</v>
      </c>
      <c r="E261" s="39">
        <v>45877</v>
      </c>
      <c r="F261" s="36" t="s">
        <v>1327</v>
      </c>
      <c r="G261" s="36" t="s">
        <v>63</v>
      </c>
      <c r="H261" s="38">
        <v>23248</v>
      </c>
      <c r="I261" s="40">
        <v>19610</v>
      </c>
      <c r="J261" s="40"/>
      <c r="K261" s="40"/>
      <c r="L261" s="40"/>
      <c r="M261" s="40"/>
      <c r="N261" s="36" t="s">
        <v>2035</v>
      </c>
      <c r="O261" s="37">
        <v>45512</v>
      </c>
      <c r="P261" s="44" t="s">
        <v>58</v>
      </c>
      <c r="Q261" s="38">
        <v>547000</v>
      </c>
      <c r="R261" s="33">
        <f t="shared" si="86"/>
        <v>2941.5</v>
      </c>
      <c r="S261" s="35">
        <f t="shared" si="85"/>
        <v>196.1</v>
      </c>
      <c r="T261" s="34">
        <v>500</v>
      </c>
    </row>
    <row r="262" spans="1:20" x14ac:dyDescent="0.25">
      <c r="A262" s="36" t="s">
        <v>389</v>
      </c>
      <c r="B262" s="36"/>
      <c r="C262" s="36" t="s">
        <v>36</v>
      </c>
      <c r="D262" s="39">
        <v>45513</v>
      </c>
      <c r="E262" s="39">
        <v>45878</v>
      </c>
      <c r="F262" s="36" t="s">
        <v>1328</v>
      </c>
      <c r="G262" s="36" t="s">
        <v>63</v>
      </c>
      <c r="H262" s="38">
        <v>23248</v>
      </c>
      <c r="I262" s="40">
        <v>19610</v>
      </c>
      <c r="J262" s="40"/>
      <c r="K262" s="40"/>
      <c r="L262" s="40"/>
      <c r="M262" s="40"/>
      <c r="N262" s="36" t="s">
        <v>2036</v>
      </c>
      <c r="O262" s="37">
        <v>45513</v>
      </c>
      <c r="P262" s="44" t="s">
        <v>58</v>
      </c>
      <c r="Q262" s="38">
        <v>547000</v>
      </c>
      <c r="R262" s="33">
        <f t="shared" si="86"/>
        <v>2941.5</v>
      </c>
      <c r="S262" s="35">
        <f t="shared" si="85"/>
        <v>196.1</v>
      </c>
      <c r="T262" s="34">
        <v>500</v>
      </c>
    </row>
    <row r="263" spans="1:20" x14ac:dyDescent="0.25">
      <c r="A263" s="36" t="s">
        <v>390</v>
      </c>
      <c r="B263" s="36"/>
      <c r="C263" s="36" t="s">
        <v>36</v>
      </c>
      <c r="D263" s="39">
        <v>45879</v>
      </c>
      <c r="E263" s="39">
        <v>46244</v>
      </c>
      <c r="F263" s="36" t="s">
        <v>1329</v>
      </c>
      <c r="G263" s="36" t="s">
        <v>63</v>
      </c>
      <c r="H263" s="38">
        <v>23248</v>
      </c>
      <c r="I263" s="40">
        <v>19610</v>
      </c>
      <c r="J263" s="40"/>
      <c r="K263" s="40"/>
      <c r="L263" s="40"/>
      <c r="M263" s="40"/>
      <c r="N263" s="36" t="s">
        <v>2036</v>
      </c>
      <c r="O263" s="37">
        <v>45513</v>
      </c>
      <c r="P263" s="44" t="s">
        <v>58</v>
      </c>
      <c r="Q263" s="38">
        <v>547000</v>
      </c>
      <c r="R263" s="33">
        <f t="shared" si="86"/>
        <v>2941.5</v>
      </c>
      <c r="S263" s="35">
        <f t="shared" si="85"/>
        <v>196.1</v>
      </c>
      <c r="T263" s="34">
        <v>500</v>
      </c>
    </row>
    <row r="264" spans="1:20" x14ac:dyDescent="0.25">
      <c r="A264" s="36" t="s">
        <v>391</v>
      </c>
      <c r="B264" s="36"/>
      <c r="C264" s="36" t="s">
        <v>30</v>
      </c>
      <c r="D264" s="39">
        <v>45513</v>
      </c>
      <c r="E264" s="39">
        <v>45878</v>
      </c>
      <c r="F264" s="36" t="s">
        <v>1330</v>
      </c>
      <c r="G264" s="36" t="s">
        <v>61</v>
      </c>
      <c r="H264" s="38">
        <v>14960</v>
      </c>
      <c r="I264" s="40">
        <v>12466</v>
      </c>
      <c r="J264" s="40"/>
      <c r="K264" s="40"/>
      <c r="L264" s="40"/>
      <c r="M264" s="40"/>
      <c r="N264" s="36" t="s">
        <v>2037</v>
      </c>
      <c r="O264" s="37">
        <v>45513</v>
      </c>
      <c r="P264" s="44" t="s">
        <v>58</v>
      </c>
      <c r="Q264" s="38">
        <v>352000</v>
      </c>
      <c r="R264" s="33">
        <f t="shared" si="86"/>
        <v>1869.9</v>
      </c>
      <c r="S264" s="35">
        <f t="shared" si="85"/>
        <v>124.66</v>
      </c>
      <c r="T264" s="34">
        <v>500</v>
      </c>
    </row>
    <row r="265" spans="1:20" x14ac:dyDescent="0.25">
      <c r="A265" s="36" t="s">
        <v>392</v>
      </c>
      <c r="B265" s="36"/>
      <c r="C265" s="36" t="s">
        <v>30</v>
      </c>
      <c r="D265" s="39">
        <v>45879</v>
      </c>
      <c r="E265" s="39">
        <v>46244</v>
      </c>
      <c r="F265" s="36" t="s">
        <v>1330</v>
      </c>
      <c r="G265" s="36" t="s">
        <v>61</v>
      </c>
      <c r="H265" s="38">
        <v>14960</v>
      </c>
      <c r="I265" s="40">
        <v>12466</v>
      </c>
      <c r="J265" s="40"/>
      <c r="K265" s="40"/>
      <c r="L265" s="40"/>
      <c r="M265" s="40"/>
      <c r="N265" s="36" t="s">
        <v>2037</v>
      </c>
      <c r="O265" s="37">
        <v>45513</v>
      </c>
      <c r="P265" s="44" t="s">
        <v>58</v>
      </c>
      <c r="Q265" s="38">
        <v>352000</v>
      </c>
      <c r="R265" s="33">
        <f t="shared" si="86"/>
        <v>1869.9</v>
      </c>
      <c r="S265" s="35">
        <f t="shared" si="85"/>
        <v>124.66</v>
      </c>
      <c r="T265" s="34">
        <v>500</v>
      </c>
    </row>
    <row r="266" spans="1:20" x14ac:dyDescent="0.25">
      <c r="A266" s="36" t="s">
        <v>393</v>
      </c>
      <c r="B266" s="36"/>
      <c r="C266" s="36" t="s">
        <v>92</v>
      </c>
      <c r="D266" s="39">
        <v>45513</v>
      </c>
      <c r="E266" s="39">
        <v>45878</v>
      </c>
      <c r="F266" s="36" t="s">
        <v>1331</v>
      </c>
      <c r="G266" s="36" t="s">
        <v>61</v>
      </c>
      <c r="H266" s="38">
        <v>8800</v>
      </c>
      <c r="I266" s="40">
        <v>7155</v>
      </c>
      <c r="J266" s="40"/>
      <c r="K266" s="40"/>
      <c r="L266" s="40"/>
      <c r="M266" s="40"/>
      <c r="N266" s="36" t="s">
        <v>2038</v>
      </c>
      <c r="O266" s="37">
        <v>45513</v>
      </c>
      <c r="P266" s="44" t="s">
        <v>58</v>
      </c>
      <c r="Q266" s="38">
        <v>352000</v>
      </c>
      <c r="R266" s="33">
        <f t="shared" si="86"/>
        <v>1073.25</v>
      </c>
      <c r="S266" s="35">
        <f t="shared" si="85"/>
        <v>71.55</v>
      </c>
      <c r="T266" s="34">
        <v>500</v>
      </c>
    </row>
    <row r="267" spans="1:20" x14ac:dyDescent="0.25">
      <c r="A267" s="36" t="s">
        <v>394</v>
      </c>
      <c r="B267" s="36"/>
      <c r="C267" s="36" t="s">
        <v>92</v>
      </c>
      <c r="D267" s="39">
        <v>45513</v>
      </c>
      <c r="E267" s="39">
        <v>45878</v>
      </c>
      <c r="F267" s="36" t="s">
        <v>1332</v>
      </c>
      <c r="G267" s="36" t="s">
        <v>63</v>
      </c>
      <c r="H267" s="38">
        <v>13675</v>
      </c>
      <c r="I267" s="40">
        <v>11358</v>
      </c>
      <c r="J267" s="40"/>
      <c r="K267" s="40"/>
      <c r="L267" s="40"/>
      <c r="M267" s="40"/>
      <c r="N267" s="36" t="s">
        <v>2039</v>
      </c>
      <c r="O267" s="37">
        <v>45513</v>
      </c>
      <c r="P267" s="44" t="s">
        <v>58</v>
      </c>
      <c r="Q267" s="38">
        <v>547000</v>
      </c>
      <c r="R267" s="33">
        <f t="shared" si="86"/>
        <v>1703.7</v>
      </c>
      <c r="S267" s="35">
        <f t="shared" si="85"/>
        <v>113.58</v>
      </c>
      <c r="T267" s="34">
        <v>500</v>
      </c>
    </row>
    <row r="268" spans="1:20" x14ac:dyDescent="0.25">
      <c r="A268" s="36" t="s">
        <v>395</v>
      </c>
      <c r="B268" s="36"/>
      <c r="C268" s="36" t="s">
        <v>37</v>
      </c>
      <c r="D268" s="39">
        <v>45513</v>
      </c>
      <c r="E268" s="39">
        <v>45878</v>
      </c>
      <c r="F268" s="36" t="s">
        <v>1333</v>
      </c>
      <c r="G268" s="36" t="s">
        <v>65</v>
      </c>
      <c r="H268" s="38">
        <v>9550</v>
      </c>
      <c r="I268" s="40">
        <v>7802</v>
      </c>
      <c r="J268" s="40"/>
      <c r="K268" s="40"/>
      <c r="L268" s="40"/>
      <c r="M268" s="40"/>
      <c r="N268" s="36" t="s">
        <v>2040</v>
      </c>
      <c r="O268" s="37">
        <v>45513</v>
      </c>
      <c r="P268" s="44" t="s">
        <v>58</v>
      </c>
      <c r="Q268" s="38">
        <v>382000</v>
      </c>
      <c r="R268" s="33">
        <f t="shared" si="86"/>
        <v>1170.3</v>
      </c>
      <c r="S268" s="35">
        <f t="shared" si="85"/>
        <v>78.02</v>
      </c>
      <c r="T268" s="34">
        <v>500</v>
      </c>
    </row>
    <row r="269" spans="1:20" x14ac:dyDescent="0.25">
      <c r="A269" s="36" t="s">
        <v>396</v>
      </c>
      <c r="B269" s="36"/>
      <c r="C269" s="36" t="s">
        <v>30</v>
      </c>
      <c r="D269" s="39">
        <v>45513</v>
      </c>
      <c r="E269" s="39">
        <v>45878</v>
      </c>
      <c r="F269" s="36" t="s">
        <v>1334</v>
      </c>
      <c r="G269" s="36" t="s">
        <v>63</v>
      </c>
      <c r="H269" s="38">
        <v>23248</v>
      </c>
      <c r="I269" s="40">
        <v>19610</v>
      </c>
      <c r="J269" s="40"/>
      <c r="K269" s="40"/>
      <c r="L269" s="40"/>
      <c r="M269" s="40"/>
      <c r="N269" s="36" t="s">
        <v>2041</v>
      </c>
      <c r="O269" s="37">
        <v>45513</v>
      </c>
      <c r="P269" s="44" t="s">
        <v>58</v>
      </c>
      <c r="Q269" s="38">
        <v>547000</v>
      </c>
      <c r="R269" s="33">
        <f t="shared" si="86"/>
        <v>2941.5</v>
      </c>
      <c r="S269" s="35">
        <f t="shared" si="85"/>
        <v>196.1</v>
      </c>
      <c r="T269" s="34">
        <v>500</v>
      </c>
    </row>
    <row r="270" spans="1:20" x14ac:dyDescent="0.25">
      <c r="A270" s="36" t="s">
        <v>397</v>
      </c>
      <c r="B270" s="36"/>
      <c r="C270" s="36" t="s">
        <v>30</v>
      </c>
      <c r="D270" s="39">
        <v>45879</v>
      </c>
      <c r="E270" s="39">
        <v>46244</v>
      </c>
      <c r="F270" s="36" t="s">
        <v>1334</v>
      </c>
      <c r="G270" s="36" t="s">
        <v>63</v>
      </c>
      <c r="H270" s="38">
        <v>23248</v>
      </c>
      <c r="I270" s="40">
        <v>19610</v>
      </c>
      <c r="J270" s="40"/>
      <c r="K270" s="40"/>
      <c r="L270" s="40"/>
      <c r="M270" s="40"/>
      <c r="N270" s="36" t="s">
        <v>2041</v>
      </c>
      <c r="O270" s="37">
        <v>45513</v>
      </c>
      <c r="P270" s="44" t="s">
        <v>58</v>
      </c>
      <c r="Q270" s="38">
        <v>547000</v>
      </c>
      <c r="R270" s="33">
        <f t="shared" si="86"/>
        <v>2941.5</v>
      </c>
      <c r="S270" s="35">
        <f t="shared" si="85"/>
        <v>196.1</v>
      </c>
      <c r="T270" s="34">
        <v>500</v>
      </c>
    </row>
    <row r="271" spans="1:20" x14ac:dyDescent="0.25">
      <c r="A271" s="36" t="s">
        <v>398</v>
      </c>
      <c r="B271" s="36"/>
      <c r="C271" s="36" t="s">
        <v>37</v>
      </c>
      <c r="D271" s="39">
        <v>45513</v>
      </c>
      <c r="E271" s="39">
        <v>45878</v>
      </c>
      <c r="F271" s="36" t="s">
        <v>1335</v>
      </c>
      <c r="G271" s="36" t="s">
        <v>61</v>
      </c>
      <c r="H271" s="38">
        <v>8800</v>
      </c>
      <c r="I271" s="40">
        <v>7155</v>
      </c>
      <c r="J271" s="40"/>
      <c r="K271" s="40"/>
      <c r="L271" s="40"/>
      <c r="M271" s="40"/>
      <c r="N271" s="36" t="s">
        <v>2042</v>
      </c>
      <c r="O271" s="37">
        <v>45513</v>
      </c>
      <c r="P271" s="44" t="s">
        <v>58</v>
      </c>
      <c r="Q271" s="38">
        <v>352000</v>
      </c>
      <c r="R271" s="33">
        <f t="shared" si="86"/>
        <v>1073.25</v>
      </c>
      <c r="S271" s="35">
        <f t="shared" si="85"/>
        <v>71.55</v>
      </c>
      <c r="T271" s="34">
        <v>500</v>
      </c>
    </row>
    <row r="272" spans="1:20" x14ac:dyDescent="0.25">
      <c r="A272" s="36" t="s">
        <v>399</v>
      </c>
      <c r="B272" s="36"/>
      <c r="C272" s="36" t="s">
        <v>37</v>
      </c>
      <c r="D272" s="39">
        <v>45513</v>
      </c>
      <c r="E272" s="39">
        <v>45878</v>
      </c>
      <c r="F272" s="36" t="s">
        <v>1336</v>
      </c>
      <c r="G272" s="36" t="s">
        <v>61</v>
      </c>
      <c r="H272" s="38">
        <v>8800</v>
      </c>
      <c r="I272" s="40">
        <v>7155</v>
      </c>
      <c r="J272" s="40"/>
      <c r="K272" s="40"/>
      <c r="L272" s="40"/>
      <c r="M272" s="40"/>
      <c r="N272" s="36" t="s">
        <v>2043</v>
      </c>
      <c r="O272" s="37">
        <v>45513</v>
      </c>
      <c r="P272" s="44" t="s">
        <v>58</v>
      </c>
      <c r="Q272" s="38">
        <v>352000</v>
      </c>
      <c r="R272" s="33">
        <f t="shared" si="86"/>
        <v>1073.25</v>
      </c>
      <c r="S272" s="35">
        <f t="shared" si="85"/>
        <v>71.55</v>
      </c>
      <c r="T272" s="34">
        <v>500</v>
      </c>
    </row>
    <row r="273" spans="1:20" x14ac:dyDescent="0.25">
      <c r="A273" s="36" t="s">
        <v>400</v>
      </c>
      <c r="B273" s="36"/>
      <c r="C273" s="36" t="s">
        <v>37</v>
      </c>
      <c r="D273" s="39">
        <v>45513</v>
      </c>
      <c r="E273" s="39">
        <v>45878</v>
      </c>
      <c r="F273" s="36" t="s">
        <v>1337</v>
      </c>
      <c r="G273" s="36" t="s">
        <v>61</v>
      </c>
      <c r="H273" s="38">
        <v>8800</v>
      </c>
      <c r="I273" s="40">
        <v>7155</v>
      </c>
      <c r="J273" s="40"/>
      <c r="K273" s="40"/>
      <c r="L273" s="40"/>
      <c r="M273" s="40"/>
      <c r="N273" s="36" t="s">
        <v>2044</v>
      </c>
      <c r="O273" s="37">
        <v>45513</v>
      </c>
      <c r="P273" s="44" t="s">
        <v>58</v>
      </c>
      <c r="Q273" s="38">
        <v>352000</v>
      </c>
      <c r="R273" s="33">
        <f t="shared" si="86"/>
        <v>1073.25</v>
      </c>
      <c r="S273" s="35">
        <f t="shared" si="85"/>
        <v>71.55</v>
      </c>
      <c r="T273" s="34">
        <v>500</v>
      </c>
    </row>
    <row r="274" spans="1:20" x14ac:dyDescent="0.25">
      <c r="A274" s="36" t="s">
        <v>401</v>
      </c>
      <c r="B274" s="36"/>
      <c r="C274" s="36" t="s">
        <v>37</v>
      </c>
      <c r="D274" s="39">
        <v>45513</v>
      </c>
      <c r="E274" s="39">
        <v>45878</v>
      </c>
      <c r="F274" s="36" t="s">
        <v>1338</v>
      </c>
      <c r="G274" s="36" t="s">
        <v>61</v>
      </c>
      <c r="H274" s="38">
        <v>8800</v>
      </c>
      <c r="I274" s="40">
        <v>7155</v>
      </c>
      <c r="J274" s="40"/>
      <c r="K274" s="40"/>
      <c r="L274" s="40"/>
      <c r="M274" s="40"/>
      <c r="N274" s="36" t="s">
        <v>2045</v>
      </c>
      <c r="O274" s="37">
        <v>45513</v>
      </c>
      <c r="P274" s="44" t="s">
        <v>58</v>
      </c>
      <c r="Q274" s="38">
        <v>352000</v>
      </c>
      <c r="R274" s="33">
        <f t="shared" si="86"/>
        <v>1073.25</v>
      </c>
      <c r="S274" s="35">
        <f t="shared" si="85"/>
        <v>71.55</v>
      </c>
      <c r="T274" s="34">
        <v>500</v>
      </c>
    </row>
    <row r="275" spans="1:20" x14ac:dyDescent="0.25">
      <c r="A275" s="36" t="s">
        <v>402</v>
      </c>
      <c r="B275" s="36"/>
      <c r="C275" s="36" t="s">
        <v>37</v>
      </c>
      <c r="D275" s="39">
        <v>45513</v>
      </c>
      <c r="E275" s="39">
        <v>45878</v>
      </c>
      <c r="F275" s="36" t="s">
        <v>1339</v>
      </c>
      <c r="G275" s="36" t="s">
        <v>61</v>
      </c>
      <c r="H275" s="38">
        <v>8800</v>
      </c>
      <c r="I275" s="40">
        <v>7155</v>
      </c>
      <c r="J275" s="40"/>
      <c r="K275" s="40"/>
      <c r="L275" s="40"/>
      <c r="M275" s="40"/>
      <c r="N275" s="36" t="s">
        <v>2046</v>
      </c>
      <c r="O275" s="37">
        <v>45513</v>
      </c>
      <c r="P275" s="44" t="s">
        <v>58</v>
      </c>
      <c r="Q275" s="38">
        <v>352000</v>
      </c>
      <c r="R275" s="33">
        <f t="shared" si="86"/>
        <v>1073.25</v>
      </c>
      <c r="S275" s="35">
        <f t="shared" si="85"/>
        <v>71.55</v>
      </c>
      <c r="T275" s="34">
        <v>500</v>
      </c>
    </row>
    <row r="276" spans="1:20" x14ac:dyDescent="0.25">
      <c r="A276" s="36" t="s">
        <v>403</v>
      </c>
      <c r="B276" s="36"/>
      <c r="C276" s="36" t="s">
        <v>37</v>
      </c>
      <c r="D276" s="39">
        <v>45513</v>
      </c>
      <c r="E276" s="39">
        <v>45878</v>
      </c>
      <c r="F276" s="36" t="s">
        <v>87</v>
      </c>
      <c r="G276" s="36" t="s">
        <v>61</v>
      </c>
      <c r="H276" s="38">
        <v>8800</v>
      </c>
      <c r="I276" s="40">
        <v>7155</v>
      </c>
      <c r="J276" s="40"/>
      <c r="K276" s="40"/>
      <c r="L276" s="40"/>
      <c r="M276" s="40"/>
      <c r="N276" s="36" t="s">
        <v>2047</v>
      </c>
      <c r="O276" s="37">
        <v>45513</v>
      </c>
      <c r="P276" s="44" t="s">
        <v>58</v>
      </c>
      <c r="Q276" s="38">
        <v>352000</v>
      </c>
      <c r="R276" s="33">
        <f t="shared" si="86"/>
        <v>1073.25</v>
      </c>
      <c r="S276" s="35">
        <f t="shared" si="85"/>
        <v>71.55</v>
      </c>
      <c r="T276" s="34">
        <v>500</v>
      </c>
    </row>
    <row r="277" spans="1:20" x14ac:dyDescent="0.25">
      <c r="A277" s="36" t="s">
        <v>404</v>
      </c>
      <c r="B277" s="36"/>
      <c r="C277" s="36" t="s">
        <v>37</v>
      </c>
      <c r="D277" s="39">
        <v>45513</v>
      </c>
      <c r="E277" s="39">
        <v>45878</v>
      </c>
      <c r="F277" s="36" t="s">
        <v>1340</v>
      </c>
      <c r="G277" s="36" t="s">
        <v>61</v>
      </c>
      <c r="H277" s="38">
        <v>8800</v>
      </c>
      <c r="I277" s="40">
        <v>7155</v>
      </c>
      <c r="J277" s="40"/>
      <c r="K277" s="40"/>
      <c r="L277" s="40"/>
      <c r="M277" s="40"/>
      <c r="N277" s="36" t="s">
        <v>2048</v>
      </c>
      <c r="O277" s="37">
        <v>45513</v>
      </c>
      <c r="P277" s="44" t="s">
        <v>58</v>
      </c>
      <c r="Q277" s="38">
        <v>352000</v>
      </c>
      <c r="R277" s="33">
        <f t="shared" si="86"/>
        <v>1073.25</v>
      </c>
      <c r="S277" s="35">
        <f t="shared" si="85"/>
        <v>71.55</v>
      </c>
      <c r="T277" s="34">
        <v>500</v>
      </c>
    </row>
    <row r="278" spans="1:20" x14ac:dyDescent="0.25">
      <c r="A278" s="36" t="s">
        <v>405</v>
      </c>
      <c r="B278" s="36"/>
      <c r="C278" s="36" t="s">
        <v>36</v>
      </c>
      <c r="D278" s="39">
        <v>45513</v>
      </c>
      <c r="E278" s="39">
        <v>45878</v>
      </c>
      <c r="F278" s="36" t="s">
        <v>122</v>
      </c>
      <c r="G278" s="36" t="s">
        <v>63</v>
      </c>
      <c r="H278" s="38">
        <v>23248</v>
      </c>
      <c r="I278" s="40">
        <v>19610</v>
      </c>
      <c r="J278" s="40"/>
      <c r="K278" s="40"/>
      <c r="L278" s="40"/>
      <c r="M278" s="40"/>
      <c r="N278" s="36" t="s">
        <v>2049</v>
      </c>
      <c r="O278" s="37">
        <v>45513</v>
      </c>
      <c r="P278" s="44" t="s">
        <v>58</v>
      </c>
      <c r="Q278" s="38">
        <v>547000</v>
      </c>
      <c r="R278" s="33">
        <f t="shared" si="86"/>
        <v>2941.5</v>
      </c>
      <c r="S278" s="35">
        <f t="shared" si="85"/>
        <v>196.1</v>
      </c>
      <c r="T278" s="34">
        <v>500</v>
      </c>
    </row>
    <row r="279" spans="1:20" x14ac:dyDescent="0.25">
      <c r="A279" s="36" t="s">
        <v>406</v>
      </c>
      <c r="B279" s="36"/>
      <c r="C279" s="36" t="s">
        <v>36</v>
      </c>
      <c r="D279" s="39">
        <v>45879</v>
      </c>
      <c r="E279" s="39">
        <v>46244</v>
      </c>
      <c r="F279" s="36" t="s">
        <v>122</v>
      </c>
      <c r="G279" s="36" t="s">
        <v>63</v>
      </c>
      <c r="H279" s="38">
        <v>23248</v>
      </c>
      <c r="I279" s="40">
        <v>19610</v>
      </c>
      <c r="J279" s="40"/>
      <c r="K279" s="40"/>
      <c r="L279" s="40"/>
      <c r="M279" s="40"/>
      <c r="N279" s="36" t="s">
        <v>2049</v>
      </c>
      <c r="O279" s="37">
        <v>45513</v>
      </c>
      <c r="P279" s="44" t="s">
        <v>58</v>
      </c>
      <c r="Q279" s="38">
        <v>547000</v>
      </c>
      <c r="R279" s="33">
        <f t="shared" si="86"/>
        <v>2941.5</v>
      </c>
      <c r="S279" s="35">
        <f t="shared" si="85"/>
        <v>196.1</v>
      </c>
      <c r="T279" s="34">
        <v>500</v>
      </c>
    </row>
    <row r="280" spans="1:20" x14ac:dyDescent="0.25">
      <c r="A280" s="36" t="s">
        <v>407</v>
      </c>
      <c r="B280" s="36"/>
      <c r="C280" s="36" t="s">
        <v>37</v>
      </c>
      <c r="D280" s="39">
        <v>45513</v>
      </c>
      <c r="E280" s="39">
        <v>45878</v>
      </c>
      <c r="F280" s="36" t="s">
        <v>1341</v>
      </c>
      <c r="G280" s="36" t="s">
        <v>64</v>
      </c>
      <c r="H280" s="38">
        <v>12475</v>
      </c>
      <c r="I280" s="40">
        <v>10323</v>
      </c>
      <c r="J280" s="40"/>
      <c r="K280" s="40"/>
      <c r="L280" s="40"/>
      <c r="M280" s="40"/>
      <c r="N280" s="36" t="s">
        <v>2050</v>
      </c>
      <c r="O280" s="37">
        <v>45513</v>
      </c>
      <c r="P280" s="44" t="s">
        <v>58</v>
      </c>
      <c r="Q280" s="38">
        <v>499000</v>
      </c>
      <c r="R280" s="33">
        <f t="shared" si="86"/>
        <v>1548.45</v>
      </c>
      <c r="S280" s="35">
        <f t="shared" si="85"/>
        <v>103.23</v>
      </c>
      <c r="T280" s="34">
        <v>500</v>
      </c>
    </row>
    <row r="281" spans="1:20" x14ac:dyDescent="0.25">
      <c r="A281" s="36" t="s">
        <v>408</v>
      </c>
      <c r="B281" s="36"/>
      <c r="C281" s="36" t="s">
        <v>32</v>
      </c>
      <c r="D281" s="39">
        <v>45513</v>
      </c>
      <c r="E281" s="39">
        <v>45878</v>
      </c>
      <c r="F281" s="36" t="s">
        <v>1342</v>
      </c>
      <c r="G281" s="36" t="s">
        <v>61</v>
      </c>
      <c r="H281" s="38">
        <v>14960</v>
      </c>
      <c r="I281" s="40">
        <v>12466</v>
      </c>
      <c r="J281" s="40"/>
      <c r="K281" s="40"/>
      <c r="L281" s="40"/>
      <c r="M281" s="40"/>
      <c r="N281" s="36" t="s">
        <v>2051</v>
      </c>
      <c r="O281" s="37">
        <v>45513</v>
      </c>
      <c r="P281" s="44" t="s">
        <v>58</v>
      </c>
      <c r="Q281" s="38">
        <v>352000</v>
      </c>
      <c r="R281" s="33">
        <f t="shared" si="86"/>
        <v>1869.9</v>
      </c>
      <c r="S281" s="35">
        <f t="shared" si="85"/>
        <v>124.66</v>
      </c>
      <c r="T281" s="34">
        <v>500</v>
      </c>
    </row>
    <row r="282" spans="1:20" x14ac:dyDescent="0.25">
      <c r="A282" s="36" t="s">
        <v>409</v>
      </c>
      <c r="B282" s="36"/>
      <c r="C282" s="36" t="s">
        <v>32</v>
      </c>
      <c r="D282" s="39">
        <v>45879</v>
      </c>
      <c r="E282" s="39">
        <v>46244</v>
      </c>
      <c r="F282" s="36" t="s">
        <v>1342</v>
      </c>
      <c r="G282" s="36" t="s">
        <v>61</v>
      </c>
      <c r="H282" s="38">
        <v>14960</v>
      </c>
      <c r="I282" s="40">
        <v>12466</v>
      </c>
      <c r="J282" s="40"/>
      <c r="K282" s="40"/>
      <c r="L282" s="40"/>
      <c r="M282" s="40"/>
      <c r="N282" s="36" t="s">
        <v>2051</v>
      </c>
      <c r="O282" s="37">
        <v>45513</v>
      </c>
      <c r="P282" s="44" t="s">
        <v>58</v>
      </c>
      <c r="Q282" s="38">
        <v>352000</v>
      </c>
      <c r="R282" s="33">
        <f t="shared" si="86"/>
        <v>1869.9</v>
      </c>
      <c r="S282" s="35">
        <f t="shared" si="85"/>
        <v>124.66</v>
      </c>
      <c r="T282" s="34">
        <v>500</v>
      </c>
    </row>
    <row r="283" spans="1:20" x14ac:dyDescent="0.25">
      <c r="A283" s="36" t="s">
        <v>410</v>
      </c>
      <c r="B283" s="36"/>
      <c r="C283" s="36" t="s">
        <v>31</v>
      </c>
      <c r="D283" s="39">
        <v>45513</v>
      </c>
      <c r="E283" s="39">
        <v>45878</v>
      </c>
      <c r="F283" s="36" t="s">
        <v>1343</v>
      </c>
      <c r="G283" s="36" t="s">
        <v>62</v>
      </c>
      <c r="H283" s="38">
        <v>16235</v>
      </c>
      <c r="I283" s="40">
        <v>13565</v>
      </c>
      <c r="J283" s="40"/>
      <c r="K283" s="40"/>
      <c r="L283" s="40"/>
      <c r="M283" s="40"/>
      <c r="N283" s="36" t="s">
        <v>2052</v>
      </c>
      <c r="O283" s="37">
        <v>45513</v>
      </c>
      <c r="P283" s="44" t="s">
        <v>58</v>
      </c>
      <c r="Q283" s="38">
        <v>382000</v>
      </c>
      <c r="R283" s="33">
        <f t="shared" si="86"/>
        <v>2034.75</v>
      </c>
      <c r="S283" s="35">
        <f t="shared" si="85"/>
        <v>135.65</v>
      </c>
      <c r="T283" s="34">
        <v>500</v>
      </c>
    </row>
    <row r="284" spans="1:20" x14ac:dyDescent="0.25">
      <c r="A284" s="36" t="s">
        <v>411</v>
      </c>
      <c r="B284" s="36"/>
      <c r="C284" s="36" t="s">
        <v>31</v>
      </c>
      <c r="D284" s="39">
        <v>45879</v>
      </c>
      <c r="E284" s="39">
        <v>46244</v>
      </c>
      <c r="F284" s="36" t="s">
        <v>1343</v>
      </c>
      <c r="G284" s="36" t="s">
        <v>62</v>
      </c>
      <c r="H284" s="38">
        <v>16235</v>
      </c>
      <c r="I284" s="40">
        <v>13565</v>
      </c>
      <c r="J284" s="40"/>
      <c r="K284" s="40"/>
      <c r="L284" s="40"/>
      <c r="M284" s="40"/>
      <c r="N284" s="36" t="s">
        <v>2052</v>
      </c>
      <c r="O284" s="37">
        <v>45513</v>
      </c>
      <c r="P284" s="44" t="s">
        <v>58</v>
      </c>
      <c r="Q284" s="38">
        <v>382000</v>
      </c>
      <c r="R284" s="33">
        <f t="shared" si="86"/>
        <v>2034.75</v>
      </c>
      <c r="S284" s="35">
        <f t="shared" si="85"/>
        <v>135.65</v>
      </c>
      <c r="T284" s="34">
        <v>500</v>
      </c>
    </row>
    <row r="285" spans="1:20" x14ac:dyDescent="0.25">
      <c r="A285" s="36" t="s">
        <v>412</v>
      </c>
      <c r="B285" s="36"/>
      <c r="C285" s="36" t="s">
        <v>32</v>
      </c>
      <c r="D285" s="39">
        <v>45513</v>
      </c>
      <c r="E285" s="39">
        <v>45878</v>
      </c>
      <c r="F285" s="36" t="s">
        <v>1344</v>
      </c>
      <c r="G285" s="36" t="s">
        <v>61</v>
      </c>
      <c r="H285" s="38">
        <v>14960</v>
      </c>
      <c r="I285" s="40">
        <v>12466</v>
      </c>
      <c r="J285" s="40"/>
      <c r="K285" s="40"/>
      <c r="L285" s="40"/>
      <c r="M285" s="40"/>
      <c r="N285" s="36" t="s">
        <v>2053</v>
      </c>
      <c r="O285" s="37">
        <v>45513</v>
      </c>
      <c r="P285" s="44" t="s">
        <v>58</v>
      </c>
      <c r="Q285" s="38">
        <v>352000</v>
      </c>
      <c r="R285" s="33">
        <f t="shared" si="86"/>
        <v>1869.9</v>
      </c>
      <c r="S285" s="35">
        <f t="shared" si="85"/>
        <v>124.66</v>
      </c>
      <c r="T285" s="34">
        <v>500</v>
      </c>
    </row>
    <row r="286" spans="1:20" x14ac:dyDescent="0.25">
      <c r="A286" s="36" t="s">
        <v>413</v>
      </c>
      <c r="B286" s="36"/>
      <c r="C286" s="36" t="s">
        <v>32</v>
      </c>
      <c r="D286" s="39">
        <v>45879</v>
      </c>
      <c r="E286" s="39">
        <v>46244</v>
      </c>
      <c r="F286" s="36" t="s">
        <v>1344</v>
      </c>
      <c r="G286" s="36" t="s">
        <v>61</v>
      </c>
      <c r="H286" s="38">
        <v>14960</v>
      </c>
      <c r="I286" s="40">
        <v>12466</v>
      </c>
      <c r="J286" s="40"/>
      <c r="K286" s="40"/>
      <c r="L286" s="40"/>
      <c r="M286" s="40"/>
      <c r="N286" s="36" t="s">
        <v>2053</v>
      </c>
      <c r="O286" s="37">
        <v>45513</v>
      </c>
      <c r="P286" s="44" t="s">
        <v>58</v>
      </c>
      <c r="Q286" s="38">
        <v>352000</v>
      </c>
      <c r="R286" s="33">
        <f t="shared" si="86"/>
        <v>1869.9</v>
      </c>
      <c r="S286" s="35">
        <f t="shared" si="85"/>
        <v>124.66</v>
      </c>
      <c r="T286" s="34">
        <v>500</v>
      </c>
    </row>
    <row r="287" spans="1:20" x14ac:dyDescent="0.25">
      <c r="A287" s="36" t="s">
        <v>414</v>
      </c>
      <c r="B287" s="36"/>
      <c r="C287" s="36" t="s">
        <v>31</v>
      </c>
      <c r="D287" s="39">
        <v>45513</v>
      </c>
      <c r="E287" s="39">
        <v>45878</v>
      </c>
      <c r="F287" s="36" t="s">
        <v>1345</v>
      </c>
      <c r="G287" s="36" t="s">
        <v>61</v>
      </c>
      <c r="H287" s="38">
        <v>14960</v>
      </c>
      <c r="I287" s="40">
        <v>12466</v>
      </c>
      <c r="J287" s="40"/>
      <c r="K287" s="40"/>
      <c r="L287" s="40"/>
      <c r="M287" s="40"/>
      <c r="N287" s="36" t="s">
        <v>2054</v>
      </c>
      <c r="O287" s="37">
        <v>45513</v>
      </c>
      <c r="P287" s="44" t="s">
        <v>58</v>
      </c>
      <c r="Q287" s="38">
        <v>352000</v>
      </c>
      <c r="R287" s="33">
        <f t="shared" si="86"/>
        <v>1869.9</v>
      </c>
      <c r="S287" s="35">
        <f t="shared" si="85"/>
        <v>124.66</v>
      </c>
      <c r="T287" s="34">
        <v>500</v>
      </c>
    </row>
    <row r="288" spans="1:20" x14ac:dyDescent="0.25">
      <c r="A288" s="36" t="s">
        <v>415</v>
      </c>
      <c r="B288" s="36"/>
      <c r="C288" s="36" t="s">
        <v>31</v>
      </c>
      <c r="D288" s="39">
        <v>45879</v>
      </c>
      <c r="E288" s="39">
        <v>46244</v>
      </c>
      <c r="F288" s="36" t="s">
        <v>1345</v>
      </c>
      <c r="G288" s="36" t="s">
        <v>61</v>
      </c>
      <c r="H288" s="38">
        <v>14960</v>
      </c>
      <c r="I288" s="40">
        <v>12466</v>
      </c>
      <c r="J288" s="40"/>
      <c r="K288" s="40"/>
      <c r="L288" s="40"/>
      <c r="M288" s="40"/>
      <c r="N288" s="36" t="s">
        <v>2054</v>
      </c>
      <c r="O288" s="37">
        <v>45513</v>
      </c>
      <c r="P288" s="44" t="s">
        <v>58</v>
      </c>
      <c r="Q288" s="38">
        <v>352000</v>
      </c>
      <c r="R288" s="33">
        <f t="shared" si="86"/>
        <v>1869.9</v>
      </c>
      <c r="S288" s="35">
        <f t="shared" si="85"/>
        <v>124.66</v>
      </c>
      <c r="T288" s="34">
        <v>500</v>
      </c>
    </row>
    <row r="289" spans="1:20" x14ac:dyDescent="0.25">
      <c r="A289" s="36" t="s">
        <v>416</v>
      </c>
      <c r="B289" s="36"/>
      <c r="C289" s="36" t="s">
        <v>37</v>
      </c>
      <c r="D289" s="39">
        <v>45513</v>
      </c>
      <c r="E289" s="39">
        <v>45878</v>
      </c>
      <c r="F289" s="36" t="s">
        <v>1346</v>
      </c>
      <c r="G289" s="36" t="s">
        <v>63</v>
      </c>
      <c r="H289" s="38">
        <v>13675</v>
      </c>
      <c r="I289" s="40">
        <v>11358</v>
      </c>
      <c r="J289" s="40"/>
      <c r="K289" s="40"/>
      <c r="L289" s="40"/>
      <c r="M289" s="40"/>
      <c r="N289" s="36" t="s">
        <v>2055</v>
      </c>
      <c r="O289" s="37">
        <v>45513</v>
      </c>
      <c r="P289" s="44" t="s">
        <v>58</v>
      </c>
      <c r="Q289" s="38">
        <v>547000</v>
      </c>
      <c r="R289" s="33">
        <f t="shared" si="86"/>
        <v>1703.7</v>
      </c>
      <c r="S289" s="35">
        <f t="shared" si="85"/>
        <v>113.58</v>
      </c>
      <c r="T289" s="34">
        <v>500</v>
      </c>
    </row>
    <row r="290" spans="1:20" x14ac:dyDescent="0.25">
      <c r="A290" s="36" t="s">
        <v>417</v>
      </c>
      <c r="B290" s="36"/>
      <c r="C290" s="36" t="s">
        <v>30</v>
      </c>
      <c r="D290" s="39">
        <v>45513</v>
      </c>
      <c r="E290" s="39">
        <v>45878</v>
      </c>
      <c r="F290" s="36" t="s">
        <v>1347</v>
      </c>
      <c r="G290" s="36" t="s">
        <v>61</v>
      </c>
      <c r="H290" s="38">
        <v>14960</v>
      </c>
      <c r="I290" s="40">
        <v>12466</v>
      </c>
      <c r="J290" s="40"/>
      <c r="K290" s="40"/>
      <c r="L290" s="40"/>
      <c r="M290" s="40"/>
      <c r="N290" s="36" t="s">
        <v>2056</v>
      </c>
      <c r="O290" s="37">
        <v>45513</v>
      </c>
      <c r="P290" s="44" t="s">
        <v>58</v>
      </c>
      <c r="Q290" s="38">
        <v>352000</v>
      </c>
      <c r="R290" s="33">
        <f t="shared" si="86"/>
        <v>1869.9</v>
      </c>
      <c r="S290" s="35">
        <f t="shared" si="85"/>
        <v>124.66</v>
      </c>
      <c r="T290" s="34">
        <v>500</v>
      </c>
    </row>
    <row r="291" spans="1:20" x14ac:dyDescent="0.25">
      <c r="A291" s="36" t="s">
        <v>418</v>
      </c>
      <c r="B291" s="36"/>
      <c r="C291" s="36" t="s">
        <v>30</v>
      </c>
      <c r="D291" s="39">
        <v>45879</v>
      </c>
      <c r="E291" s="39">
        <v>46244</v>
      </c>
      <c r="F291" s="36" t="s">
        <v>1347</v>
      </c>
      <c r="G291" s="36" t="s">
        <v>61</v>
      </c>
      <c r="H291" s="38">
        <v>14960</v>
      </c>
      <c r="I291" s="40">
        <v>12466</v>
      </c>
      <c r="J291" s="40"/>
      <c r="K291" s="40"/>
      <c r="L291" s="40"/>
      <c r="M291" s="40"/>
      <c r="N291" s="36" t="s">
        <v>2056</v>
      </c>
      <c r="O291" s="37">
        <v>45513</v>
      </c>
      <c r="P291" s="44" t="s">
        <v>58</v>
      </c>
      <c r="Q291" s="38">
        <v>352000</v>
      </c>
      <c r="R291" s="33">
        <f t="shared" si="86"/>
        <v>1869.9</v>
      </c>
      <c r="S291" s="35">
        <f t="shared" si="85"/>
        <v>124.66</v>
      </c>
      <c r="T291" s="34">
        <v>500</v>
      </c>
    </row>
    <row r="292" spans="1:20" x14ac:dyDescent="0.25">
      <c r="A292" s="36" t="s">
        <v>419</v>
      </c>
      <c r="B292" s="36"/>
      <c r="C292" s="36" t="s">
        <v>31</v>
      </c>
      <c r="D292" s="39">
        <v>45513</v>
      </c>
      <c r="E292" s="39">
        <v>45878</v>
      </c>
      <c r="F292" s="36" t="s">
        <v>1348</v>
      </c>
      <c r="G292" s="36" t="s">
        <v>61</v>
      </c>
      <c r="H292" s="38">
        <v>14960</v>
      </c>
      <c r="I292" s="40">
        <v>12466</v>
      </c>
      <c r="J292" s="40"/>
      <c r="K292" s="40"/>
      <c r="L292" s="40"/>
      <c r="M292" s="40"/>
      <c r="N292" s="36" t="s">
        <v>2057</v>
      </c>
      <c r="O292" s="37">
        <v>45513</v>
      </c>
      <c r="P292" s="44" t="s">
        <v>58</v>
      </c>
      <c r="Q292" s="38">
        <v>352000</v>
      </c>
      <c r="R292" s="33">
        <f t="shared" si="86"/>
        <v>1869.9</v>
      </c>
      <c r="S292" s="35">
        <f t="shared" si="85"/>
        <v>124.66</v>
      </c>
      <c r="T292" s="34">
        <v>500</v>
      </c>
    </row>
    <row r="293" spans="1:20" x14ac:dyDescent="0.25">
      <c r="A293" s="36" t="s">
        <v>420</v>
      </c>
      <c r="B293" s="36"/>
      <c r="C293" s="36" t="s">
        <v>31</v>
      </c>
      <c r="D293" s="39">
        <v>45879</v>
      </c>
      <c r="E293" s="39">
        <v>46244</v>
      </c>
      <c r="F293" s="36" t="s">
        <v>1348</v>
      </c>
      <c r="G293" s="36" t="s">
        <v>61</v>
      </c>
      <c r="H293" s="38">
        <v>14960</v>
      </c>
      <c r="I293" s="40">
        <v>12466</v>
      </c>
      <c r="J293" s="40"/>
      <c r="K293" s="40"/>
      <c r="L293" s="40"/>
      <c r="M293" s="40"/>
      <c r="N293" s="36" t="s">
        <v>2057</v>
      </c>
      <c r="O293" s="37">
        <v>45513</v>
      </c>
      <c r="P293" s="44" t="s">
        <v>58</v>
      </c>
      <c r="Q293" s="38">
        <v>352000</v>
      </c>
      <c r="R293" s="33">
        <f t="shared" si="86"/>
        <v>1869.9</v>
      </c>
      <c r="S293" s="35">
        <f t="shared" si="85"/>
        <v>124.66</v>
      </c>
      <c r="T293" s="34">
        <v>500</v>
      </c>
    </row>
    <row r="294" spans="1:20" x14ac:dyDescent="0.25">
      <c r="A294" s="36" t="s">
        <v>421</v>
      </c>
      <c r="B294" s="36"/>
      <c r="C294" s="36" t="s">
        <v>35</v>
      </c>
      <c r="D294" s="39">
        <v>45513</v>
      </c>
      <c r="E294" s="39">
        <v>45878</v>
      </c>
      <c r="F294" s="36" t="s">
        <v>1349</v>
      </c>
      <c r="G294" s="36" t="s">
        <v>61</v>
      </c>
      <c r="H294" s="38">
        <v>14960</v>
      </c>
      <c r="I294" s="40">
        <v>12466</v>
      </c>
      <c r="J294" s="40"/>
      <c r="K294" s="40"/>
      <c r="L294" s="40"/>
      <c r="M294" s="40"/>
      <c r="N294" s="36" t="s">
        <v>2058</v>
      </c>
      <c r="O294" s="37">
        <v>45513</v>
      </c>
      <c r="P294" s="44" t="s">
        <v>58</v>
      </c>
      <c r="Q294" s="38">
        <v>352000</v>
      </c>
      <c r="R294" s="33">
        <f t="shared" si="86"/>
        <v>1869.9</v>
      </c>
      <c r="S294" s="35">
        <f t="shared" si="85"/>
        <v>124.66</v>
      </c>
      <c r="T294" s="34">
        <v>500</v>
      </c>
    </row>
    <row r="295" spans="1:20" x14ac:dyDescent="0.25">
      <c r="A295" s="36" t="s">
        <v>422</v>
      </c>
      <c r="B295" s="36"/>
      <c r="C295" s="36" t="s">
        <v>92</v>
      </c>
      <c r="D295" s="39">
        <v>45513</v>
      </c>
      <c r="E295" s="39">
        <v>45878</v>
      </c>
      <c r="F295" s="36" t="s">
        <v>1350</v>
      </c>
      <c r="G295" s="36" t="s">
        <v>62</v>
      </c>
      <c r="H295" s="38">
        <v>9550</v>
      </c>
      <c r="I295" s="40">
        <v>7802</v>
      </c>
      <c r="J295" s="40"/>
      <c r="K295" s="40"/>
      <c r="L295" s="40"/>
      <c r="M295" s="40"/>
      <c r="N295" s="36" t="s">
        <v>2059</v>
      </c>
      <c r="O295" s="37">
        <v>45513</v>
      </c>
      <c r="P295" s="44" t="s">
        <v>58</v>
      </c>
      <c r="Q295" s="38">
        <v>382000</v>
      </c>
      <c r="R295" s="33">
        <f t="shared" si="86"/>
        <v>1170.3</v>
      </c>
      <c r="S295" s="35">
        <f t="shared" si="85"/>
        <v>78.02</v>
      </c>
      <c r="T295" s="34">
        <v>500</v>
      </c>
    </row>
    <row r="296" spans="1:20" x14ac:dyDescent="0.25">
      <c r="A296" s="36" t="s">
        <v>423</v>
      </c>
      <c r="B296" s="36"/>
      <c r="C296" s="36" t="s">
        <v>92</v>
      </c>
      <c r="D296" s="39">
        <v>45513</v>
      </c>
      <c r="E296" s="39">
        <v>45878</v>
      </c>
      <c r="F296" s="36" t="s">
        <v>1350</v>
      </c>
      <c r="G296" s="36" t="s">
        <v>62</v>
      </c>
      <c r="H296" s="38">
        <v>9550</v>
      </c>
      <c r="I296" s="40">
        <v>7802</v>
      </c>
      <c r="J296" s="40"/>
      <c r="K296" s="40"/>
      <c r="L296" s="40"/>
      <c r="M296" s="40"/>
      <c r="N296" s="36" t="s">
        <v>2059</v>
      </c>
      <c r="O296" s="37">
        <v>45513</v>
      </c>
      <c r="P296" s="44" t="s">
        <v>58</v>
      </c>
      <c r="Q296" s="38">
        <v>382000</v>
      </c>
      <c r="R296" s="33">
        <f t="shared" si="86"/>
        <v>1170.3</v>
      </c>
      <c r="S296" s="35">
        <f t="shared" si="85"/>
        <v>78.02</v>
      </c>
      <c r="T296" s="34">
        <v>500</v>
      </c>
    </row>
    <row r="297" spans="1:20" x14ac:dyDescent="0.25">
      <c r="A297" s="36" t="s">
        <v>424</v>
      </c>
      <c r="B297" s="36"/>
      <c r="C297" s="36" t="s">
        <v>92</v>
      </c>
      <c r="D297" s="39">
        <v>45513</v>
      </c>
      <c r="E297" s="39">
        <v>45878</v>
      </c>
      <c r="F297" s="36" t="s">
        <v>1351</v>
      </c>
      <c r="G297" s="36" t="s">
        <v>62</v>
      </c>
      <c r="H297" s="38">
        <v>9550</v>
      </c>
      <c r="I297" s="40">
        <v>7802</v>
      </c>
      <c r="J297" s="40"/>
      <c r="K297" s="40"/>
      <c r="L297" s="40"/>
      <c r="M297" s="40"/>
      <c r="N297" s="36" t="s">
        <v>2060</v>
      </c>
      <c r="O297" s="37">
        <v>45513</v>
      </c>
      <c r="P297" s="44" t="s">
        <v>58</v>
      </c>
      <c r="Q297" s="38">
        <v>382000</v>
      </c>
      <c r="R297" s="33">
        <f t="shared" si="86"/>
        <v>1170.3</v>
      </c>
      <c r="S297" s="35">
        <f t="shared" si="85"/>
        <v>78.02</v>
      </c>
      <c r="T297" s="34">
        <v>500</v>
      </c>
    </row>
    <row r="298" spans="1:20" x14ac:dyDescent="0.25">
      <c r="A298" s="36" t="s">
        <v>425</v>
      </c>
      <c r="B298" s="36"/>
      <c r="C298" s="36" t="s">
        <v>53</v>
      </c>
      <c r="D298" s="39">
        <v>45513</v>
      </c>
      <c r="E298" s="39">
        <v>45878</v>
      </c>
      <c r="F298" s="36" t="s">
        <v>1352</v>
      </c>
      <c r="G298" s="36" t="s">
        <v>61</v>
      </c>
      <c r="H298" s="38">
        <v>8800</v>
      </c>
      <c r="I298" s="40">
        <v>7155</v>
      </c>
      <c r="J298" s="40"/>
      <c r="K298" s="40"/>
      <c r="L298" s="40"/>
      <c r="M298" s="40"/>
      <c r="N298" s="36" t="s">
        <v>2061</v>
      </c>
      <c r="O298" s="37">
        <v>45513</v>
      </c>
      <c r="P298" s="44" t="s">
        <v>58</v>
      </c>
      <c r="Q298" s="38">
        <v>352000</v>
      </c>
      <c r="R298" s="33">
        <f t="shared" si="86"/>
        <v>1073.25</v>
      </c>
      <c r="S298" s="35">
        <f t="shared" si="85"/>
        <v>71.55</v>
      </c>
      <c r="T298" s="34">
        <v>500</v>
      </c>
    </row>
    <row r="299" spans="1:20" x14ac:dyDescent="0.25">
      <c r="A299" s="36" t="s">
        <v>426</v>
      </c>
      <c r="B299" s="36"/>
      <c r="C299" s="36" t="s">
        <v>53</v>
      </c>
      <c r="D299" s="39">
        <v>45879</v>
      </c>
      <c r="E299" s="39">
        <v>46244</v>
      </c>
      <c r="F299" s="36" t="s">
        <v>1352</v>
      </c>
      <c r="G299" s="36" t="s">
        <v>61</v>
      </c>
      <c r="H299" s="38">
        <v>8800</v>
      </c>
      <c r="I299" s="40">
        <v>7155</v>
      </c>
      <c r="J299" s="40"/>
      <c r="K299" s="40"/>
      <c r="L299" s="40"/>
      <c r="M299" s="40"/>
      <c r="N299" s="36" t="s">
        <v>2061</v>
      </c>
      <c r="O299" s="37">
        <v>45513</v>
      </c>
      <c r="P299" s="44" t="s">
        <v>58</v>
      </c>
      <c r="Q299" s="38">
        <v>352000</v>
      </c>
      <c r="R299" s="33">
        <f t="shared" si="86"/>
        <v>1073.25</v>
      </c>
      <c r="S299" s="35">
        <f t="shared" si="85"/>
        <v>71.55</v>
      </c>
      <c r="T299" s="34">
        <v>500</v>
      </c>
    </row>
    <row r="300" spans="1:20" x14ac:dyDescent="0.25">
      <c r="A300" s="36" t="s">
        <v>427</v>
      </c>
      <c r="B300" s="36"/>
      <c r="C300" s="36" t="s">
        <v>32</v>
      </c>
      <c r="D300" s="39">
        <v>45513</v>
      </c>
      <c r="E300" s="39">
        <v>45878</v>
      </c>
      <c r="F300" s="36" t="s">
        <v>1353</v>
      </c>
      <c r="G300" s="36" t="s">
        <v>63</v>
      </c>
      <c r="H300" s="38">
        <v>22355</v>
      </c>
      <c r="I300" s="40">
        <v>18841</v>
      </c>
      <c r="J300" s="40"/>
      <c r="K300" s="40"/>
      <c r="L300" s="40"/>
      <c r="M300" s="40"/>
      <c r="N300" s="36" t="s">
        <v>2062</v>
      </c>
      <c r="O300" s="37">
        <v>45513</v>
      </c>
      <c r="P300" s="44" t="s">
        <v>58</v>
      </c>
      <c r="Q300" s="38">
        <v>526000</v>
      </c>
      <c r="R300" s="33">
        <f t="shared" si="86"/>
        <v>2826.15</v>
      </c>
      <c r="S300" s="35">
        <f t="shared" si="85"/>
        <v>188.41</v>
      </c>
      <c r="T300" s="34">
        <v>500</v>
      </c>
    </row>
    <row r="301" spans="1:20" x14ac:dyDescent="0.25">
      <c r="A301" s="36" t="s">
        <v>428</v>
      </c>
      <c r="B301" s="36"/>
      <c r="C301" s="36" t="s">
        <v>34</v>
      </c>
      <c r="D301" s="39">
        <v>45513</v>
      </c>
      <c r="E301" s="39">
        <v>45878</v>
      </c>
      <c r="F301" s="36" t="s">
        <v>1354</v>
      </c>
      <c r="G301" s="36" t="s">
        <v>61</v>
      </c>
      <c r="H301" s="38">
        <v>8800</v>
      </c>
      <c r="I301" s="40">
        <v>7155</v>
      </c>
      <c r="J301" s="40"/>
      <c r="K301" s="40"/>
      <c r="L301" s="40"/>
      <c r="M301" s="40"/>
      <c r="N301" s="36" t="s">
        <v>2063</v>
      </c>
      <c r="O301" s="37">
        <v>45513</v>
      </c>
      <c r="P301" s="44" t="s">
        <v>58</v>
      </c>
      <c r="Q301" s="38">
        <v>352000</v>
      </c>
      <c r="R301" s="33">
        <f t="shared" si="86"/>
        <v>1073.25</v>
      </c>
      <c r="S301" s="35">
        <f t="shared" si="85"/>
        <v>71.55</v>
      </c>
      <c r="T301" s="34">
        <v>500</v>
      </c>
    </row>
    <row r="302" spans="1:20" x14ac:dyDescent="0.25">
      <c r="A302" s="36" t="s">
        <v>429</v>
      </c>
      <c r="B302" s="36"/>
      <c r="C302" s="36" t="s">
        <v>34</v>
      </c>
      <c r="D302" s="39">
        <v>45513</v>
      </c>
      <c r="E302" s="39">
        <v>45878</v>
      </c>
      <c r="F302" s="36" t="s">
        <v>1355</v>
      </c>
      <c r="G302" s="36" t="s">
        <v>62</v>
      </c>
      <c r="H302" s="38">
        <v>9550</v>
      </c>
      <c r="I302" s="40">
        <v>7802</v>
      </c>
      <c r="J302" s="40"/>
      <c r="K302" s="40"/>
      <c r="L302" s="40"/>
      <c r="M302" s="40"/>
      <c r="N302" s="36" t="s">
        <v>2064</v>
      </c>
      <c r="O302" s="37">
        <v>45513</v>
      </c>
      <c r="P302" s="44" t="s">
        <v>58</v>
      </c>
      <c r="Q302" s="38">
        <v>382000</v>
      </c>
      <c r="R302" s="33">
        <f t="shared" si="86"/>
        <v>1170.3</v>
      </c>
      <c r="S302" s="35">
        <f t="shared" si="85"/>
        <v>78.02</v>
      </c>
      <c r="T302" s="34">
        <v>500</v>
      </c>
    </row>
    <row r="303" spans="1:20" x14ac:dyDescent="0.25">
      <c r="A303" s="36" t="s">
        <v>430</v>
      </c>
      <c r="B303" s="36"/>
      <c r="C303" s="36" t="s">
        <v>34</v>
      </c>
      <c r="D303" s="39">
        <v>45513</v>
      </c>
      <c r="E303" s="39">
        <v>45878</v>
      </c>
      <c r="F303" s="36" t="s">
        <v>1356</v>
      </c>
      <c r="G303" s="36" t="s">
        <v>63</v>
      </c>
      <c r="H303" s="38">
        <v>13675</v>
      </c>
      <c r="I303" s="40">
        <v>11358</v>
      </c>
      <c r="J303" s="40"/>
      <c r="K303" s="40"/>
      <c r="L303" s="40"/>
      <c r="M303" s="40"/>
      <c r="N303" s="36" t="s">
        <v>2065</v>
      </c>
      <c r="O303" s="37">
        <v>45513</v>
      </c>
      <c r="P303" s="44" t="s">
        <v>58</v>
      </c>
      <c r="Q303" s="38">
        <v>547000</v>
      </c>
      <c r="R303" s="33">
        <f t="shared" si="86"/>
        <v>1703.7</v>
      </c>
      <c r="S303" s="35">
        <f t="shared" si="85"/>
        <v>113.58</v>
      </c>
      <c r="T303" s="34">
        <v>500</v>
      </c>
    </row>
    <row r="304" spans="1:20" x14ac:dyDescent="0.25">
      <c r="A304" s="36" t="s">
        <v>431</v>
      </c>
      <c r="B304" s="36"/>
      <c r="C304" s="36" t="s">
        <v>34</v>
      </c>
      <c r="D304" s="39">
        <v>45513</v>
      </c>
      <c r="E304" s="39">
        <v>45878</v>
      </c>
      <c r="F304" s="36" t="s">
        <v>1357</v>
      </c>
      <c r="G304" s="36" t="s">
        <v>61</v>
      </c>
      <c r="H304" s="38">
        <v>8800</v>
      </c>
      <c r="I304" s="40">
        <v>7155</v>
      </c>
      <c r="J304" s="40"/>
      <c r="K304" s="40"/>
      <c r="L304" s="40"/>
      <c r="M304" s="40"/>
      <c r="N304" s="36" t="s">
        <v>2066</v>
      </c>
      <c r="O304" s="37">
        <v>45513</v>
      </c>
      <c r="P304" s="44" t="s">
        <v>58</v>
      </c>
      <c r="Q304" s="38">
        <v>352000</v>
      </c>
      <c r="R304" s="33">
        <f t="shared" si="86"/>
        <v>1073.25</v>
      </c>
      <c r="S304" s="35">
        <f t="shared" si="85"/>
        <v>71.55</v>
      </c>
      <c r="T304" s="34">
        <v>500</v>
      </c>
    </row>
    <row r="305" spans="1:20" x14ac:dyDescent="0.25">
      <c r="A305" s="36" t="s">
        <v>432</v>
      </c>
      <c r="B305" s="36"/>
      <c r="C305" s="36" t="s">
        <v>34</v>
      </c>
      <c r="D305" s="39">
        <v>45513</v>
      </c>
      <c r="E305" s="39">
        <v>45878</v>
      </c>
      <c r="F305" s="36" t="s">
        <v>1358</v>
      </c>
      <c r="G305" s="36" t="s">
        <v>61</v>
      </c>
      <c r="H305" s="38">
        <v>8800</v>
      </c>
      <c r="I305" s="40">
        <v>7155</v>
      </c>
      <c r="J305" s="40"/>
      <c r="K305" s="40"/>
      <c r="L305" s="40"/>
      <c r="M305" s="40"/>
      <c r="N305" s="36" t="s">
        <v>2067</v>
      </c>
      <c r="O305" s="37">
        <v>45513</v>
      </c>
      <c r="P305" s="44" t="s">
        <v>58</v>
      </c>
      <c r="Q305" s="38">
        <v>352000</v>
      </c>
      <c r="R305" s="33">
        <f t="shared" si="86"/>
        <v>1073.25</v>
      </c>
      <c r="S305" s="35">
        <f t="shared" si="85"/>
        <v>71.55</v>
      </c>
      <c r="T305" s="34">
        <v>500</v>
      </c>
    </row>
    <row r="306" spans="1:20" x14ac:dyDescent="0.25">
      <c r="A306" s="36" t="s">
        <v>433</v>
      </c>
      <c r="B306" s="36"/>
      <c r="C306" s="36" t="s">
        <v>34</v>
      </c>
      <c r="D306" s="39">
        <v>45513</v>
      </c>
      <c r="E306" s="39">
        <v>45878</v>
      </c>
      <c r="F306" s="36" t="s">
        <v>119</v>
      </c>
      <c r="G306" s="36" t="s">
        <v>61</v>
      </c>
      <c r="H306" s="38">
        <v>8800</v>
      </c>
      <c r="I306" s="40">
        <v>7155</v>
      </c>
      <c r="J306" s="40"/>
      <c r="K306" s="40"/>
      <c r="L306" s="40"/>
      <c r="M306" s="40"/>
      <c r="N306" s="36" t="s">
        <v>2068</v>
      </c>
      <c r="O306" s="37">
        <v>45513</v>
      </c>
      <c r="P306" s="44" t="s">
        <v>58</v>
      </c>
      <c r="Q306" s="38">
        <v>352000</v>
      </c>
      <c r="R306" s="33">
        <f t="shared" si="86"/>
        <v>1073.25</v>
      </c>
      <c r="S306" s="35">
        <f t="shared" si="85"/>
        <v>71.55</v>
      </c>
      <c r="T306" s="34">
        <v>500</v>
      </c>
    </row>
    <row r="307" spans="1:20" x14ac:dyDescent="0.25">
      <c r="A307" s="36" t="s">
        <v>434</v>
      </c>
      <c r="B307" s="36"/>
      <c r="C307" s="36" t="s">
        <v>53</v>
      </c>
      <c r="D307" s="39">
        <v>45513</v>
      </c>
      <c r="E307" s="39">
        <v>45878</v>
      </c>
      <c r="F307" s="36" t="s">
        <v>1359</v>
      </c>
      <c r="G307" s="36" t="s">
        <v>61</v>
      </c>
      <c r="H307" s="38">
        <v>8800</v>
      </c>
      <c r="I307" s="40">
        <v>7155</v>
      </c>
      <c r="J307" s="40"/>
      <c r="K307" s="40"/>
      <c r="L307" s="40"/>
      <c r="M307" s="40"/>
      <c r="N307" s="36" t="s">
        <v>2069</v>
      </c>
      <c r="O307" s="37">
        <v>45513</v>
      </c>
      <c r="P307" s="44" t="s">
        <v>58</v>
      </c>
      <c r="Q307" s="38">
        <v>352000</v>
      </c>
      <c r="R307" s="33">
        <f t="shared" si="86"/>
        <v>1073.25</v>
      </c>
      <c r="S307" s="35">
        <f t="shared" si="85"/>
        <v>71.55</v>
      </c>
      <c r="T307" s="34">
        <v>500</v>
      </c>
    </row>
    <row r="308" spans="1:20" x14ac:dyDescent="0.25">
      <c r="A308" s="36" t="s">
        <v>435</v>
      </c>
      <c r="B308" s="36"/>
      <c r="C308" s="36" t="s">
        <v>34</v>
      </c>
      <c r="D308" s="39">
        <v>45513</v>
      </c>
      <c r="E308" s="39">
        <v>45878</v>
      </c>
      <c r="F308" s="36" t="s">
        <v>109</v>
      </c>
      <c r="G308" s="36" t="s">
        <v>63</v>
      </c>
      <c r="H308" s="38">
        <v>13675</v>
      </c>
      <c r="I308" s="40">
        <v>11358</v>
      </c>
      <c r="J308" s="40"/>
      <c r="K308" s="40"/>
      <c r="L308" s="40"/>
      <c r="M308" s="40"/>
      <c r="N308" s="36" t="s">
        <v>2070</v>
      </c>
      <c r="O308" s="37">
        <v>45513</v>
      </c>
      <c r="P308" s="44" t="s">
        <v>58</v>
      </c>
      <c r="Q308" s="38">
        <v>547000</v>
      </c>
      <c r="R308" s="33">
        <f t="shared" si="86"/>
        <v>1703.7</v>
      </c>
      <c r="S308" s="35">
        <f t="shared" si="85"/>
        <v>113.58</v>
      </c>
      <c r="T308" s="34">
        <v>500</v>
      </c>
    </row>
    <row r="309" spans="1:20" x14ac:dyDescent="0.25">
      <c r="A309" s="36" t="s">
        <v>436</v>
      </c>
      <c r="B309" s="36"/>
      <c r="C309" s="36" t="s">
        <v>34</v>
      </c>
      <c r="D309" s="39">
        <v>45513</v>
      </c>
      <c r="E309" s="39">
        <v>45878</v>
      </c>
      <c r="F309" s="36" t="s">
        <v>1360</v>
      </c>
      <c r="G309" s="36" t="s">
        <v>61</v>
      </c>
      <c r="H309" s="38">
        <v>8800</v>
      </c>
      <c r="I309" s="40">
        <v>7155</v>
      </c>
      <c r="J309" s="40"/>
      <c r="K309" s="40"/>
      <c r="L309" s="40"/>
      <c r="M309" s="40"/>
      <c r="N309" s="36" t="s">
        <v>2071</v>
      </c>
      <c r="O309" s="37">
        <v>45513</v>
      </c>
      <c r="P309" s="44" t="s">
        <v>58</v>
      </c>
      <c r="Q309" s="38">
        <v>352000</v>
      </c>
      <c r="R309" s="33">
        <f t="shared" si="86"/>
        <v>1073.25</v>
      </c>
      <c r="S309" s="35">
        <f t="shared" si="85"/>
        <v>71.55</v>
      </c>
      <c r="T309" s="34">
        <v>500</v>
      </c>
    </row>
    <row r="310" spans="1:20" x14ac:dyDescent="0.25">
      <c r="A310" s="36" t="s">
        <v>437</v>
      </c>
      <c r="B310" s="36"/>
      <c r="C310" s="36" t="s">
        <v>32</v>
      </c>
      <c r="D310" s="39">
        <v>45513</v>
      </c>
      <c r="E310" s="39">
        <v>45878</v>
      </c>
      <c r="F310" s="36" t="s">
        <v>1361</v>
      </c>
      <c r="G310" s="36" t="s">
        <v>61</v>
      </c>
      <c r="H310" s="38">
        <v>14365</v>
      </c>
      <c r="I310" s="40">
        <v>11953</v>
      </c>
      <c r="J310" s="40"/>
      <c r="K310" s="40"/>
      <c r="L310" s="40"/>
      <c r="M310" s="40"/>
      <c r="N310" s="36" t="s">
        <v>2072</v>
      </c>
      <c r="O310" s="37">
        <v>45513</v>
      </c>
      <c r="P310" s="44" t="s">
        <v>58</v>
      </c>
      <c r="Q310" s="38">
        <v>338000</v>
      </c>
      <c r="R310" s="33">
        <f t="shared" si="86"/>
        <v>1792.95</v>
      </c>
      <c r="S310" s="35">
        <f t="shared" si="85"/>
        <v>119.53</v>
      </c>
      <c r="T310" s="34">
        <v>500</v>
      </c>
    </row>
    <row r="311" spans="1:20" x14ac:dyDescent="0.25">
      <c r="A311" s="36" t="s">
        <v>438</v>
      </c>
      <c r="B311" s="36"/>
      <c r="C311" s="36" t="s">
        <v>34</v>
      </c>
      <c r="D311" s="39">
        <v>45513</v>
      </c>
      <c r="E311" s="39">
        <v>45878</v>
      </c>
      <c r="F311" s="36" t="s">
        <v>111</v>
      </c>
      <c r="G311" s="36" t="s">
        <v>61</v>
      </c>
      <c r="H311" s="38">
        <v>8800</v>
      </c>
      <c r="I311" s="40">
        <v>7155</v>
      </c>
      <c r="J311" s="40"/>
      <c r="K311" s="40"/>
      <c r="L311" s="40"/>
      <c r="M311" s="40"/>
      <c r="N311" s="36" t="s">
        <v>2073</v>
      </c>
      <c r="O311" s="37">
        <v>45513</v>
      </c>
      <c r="P311" s="44" t="s">
        <v>58</v>
      </c>
      <c r="Q311" s="38">
        <v>352000</v>
      </c>
      <c r="R311" s="33">
        <f t="shared" si="86"/>
        <v>1073.25</v>
      </c>
      <c r="S311" s="35">
        <f t="shared" si="85"/>
        <v>71.55</v>
      </c>
      <c r="T311" s="34">
        <v>500</v>
      </c>
    </row>
    <row r="312" spans="1:20" x14ac:dyDescent="0.25">
      <c r="A312" s="36" t="s">
        <v>439</v>
      </c>
      <c r="B312" s="36"/>
      <c r="C312" s="36" t="s">
        <v>34</v>
      </c>
      <c r="D312" s="39">
        <v>45513</v>
      </c>
      <c r="E312" s="39">
        <v>45878</v>
      </c>
      <c r="F312" s="36" t="s">
        <v>1362</v>
      </c>
      <c r="G312" s="36" t="s">
        <v>61</v>
      </c>
      <c r="H312" s="38">
        <v>8800</v>
      </c>
      <c r="I312" s="40">
        <v>7155</v>
      </c>
      <c r="J312" s="40"/>
      <c r="K312" s="40"/>
      <c r="L312" s="40"/>
      <c r="M312" s="40"/>
      <c r="N312" s="36" t="s">
        <v>2074</v>
      </c>
      <c r="O312" s="37">
        <v>45513</v>
      </c>
      <c r="P312" s="44" t="s">
        <v>58</v>
      </c>
      <c r="Q312" s="38">
        <v>352000</v>
      </c>
      <c r="R312" s="33">
        <f t="shared" si="86"/>
        <v>1073.25</v>
      </c>
      <c r="S312" s="35">
        <f t="shared" si="85"/>
        <v>71.55</v>
      </c>
      <c r="T312" s="34">
        <v>500</v>
      </c>
    </row>
    <row r="313" spans="1:20" x14ac:dyDescent="0.25">
      <c r="A313" s="36" t="s">
        <v>440</v>
      </c>
      <c r="B313" s="36"/>
      <c r="C313" s="36" t="s">
        <v>92</v>
      </c>
      <c r="D313" s="39">
        <v>45514</v>
      </c>
      <c r="E313" s="39">
        <v>45879</v>
      </c>
      <c r="F313" s="36" t="s">
        <v>1363</v>
      </c>
      <c r="G313" s="36" t="s">
        <v>64</v>
      </c>
      <c r="H313" s="38">
        <v>12475</v>
      </c>
      <c r="I313" s="40">
        <v>10323</v>
      </c>
      <c r="J313" s="40"/>
      <c r="K313" s="40"/>
      <c r="L313" s="40"/>
      <c r="M313" s="40"/>
      <c r="N313" s="36" t="s">
        <v>2075</v>
      </c>
      <c r="O313" s="37">
        <v>45514</v>
      </c>
      <c r="P313" s="44" t="s">
        <v>58</v>
      </c>
      <c r="Q313" s="38">
        <v>499000</v>
      </c>
      <c r="R313" s="33">
        <f t="shared" si="86"/>
        <v>1548.45</v>
      </c>
      <c r="S313" s="35">
        <f t="shared" si="85"/>
        <v>103.23</v>
      </c>
      <c r="T313" s="34">
        <v>500</v>
      </c>
    </row>
    <row r="314" spans="1:20" x14ac:dyDescent="0.25">
      <c r="A314" s="36" t="s">
        <v>441</v>
      </c>
      <c r="B314" s="36"/>
      <c r="C314" s="36" t="s">
        <v>92</v>
      </c>
      <c r="D314" s="39">
        <v>45514</v>
      </c>
      <c r="E314" s="39">
        <v>45879</v>
      </c>
      <c r="F314" s="36" t="s">
        <v>1364</v>
      </c>
      <c r="G314" s="36" t="s">
        <v>61</v>
      </c>
      <c r="H314" s="38">
        <v>8800</v>
      </c>
      <c r="I314" s="40">
        <v>7155</v>
      </c>
      <c r="J314" s="40"/>
      <c r="K314" s="40"/>
      <c r="L314" s="40"/>
      <c r="M314" s="40"/>
      <c r="N314" s="36" t="s">
        <v>2076</v>
      </c>
      <c r="O314" s="37">
        <v>45514</v>
      </c>
      <c r="P314" s="44" t="s">
        <v>58</v>
      </c>
      <c r="Q314" s="38">
        <v>352000</v>
      </c>
      <c r="R314" s="33">
        <f t="shared" si="86"/>
        <v>1073.25</v>
      </c>
      <c r="S314" s="35">
        <f t="shared" si="85"/>
        <v>71.55</v>
      </c>
      <c r="T314" s="34">
        <v>500</v>
      </c>
    </row>
    <row r="315" spans="1:20" x14ac:dyDescent="0.25">
      <c r="A315" s="36" t="s">
        <v>442</v>
      </c>
      <c r="B315" s="36"/>
      <c r="C315" s="36" t="s">
        <v>92</v>
      </c>
      <c r="D315" s="39">
        <v>45514</v>
      </c>
      <c r="E315" s="39">
        <v>45879</v>
      </c>
      <c r="F315" s="36" t="s">
        <v>1365</v>
      </c>
      <c r="G315" s="36" t="s">
        <v>61</v>
      </c>
      <c r="H315" s="38">
        <v>8800</v>
      </c>
      <c r="I315" s="40">
        <v>7155</v>
      </c>
      <c r="J315" s="40"/>
      <c r="K315" s="40"/>
      <c r="L315" s="40"/>
      <c r="M315" s="40"/>
      <c r="N315" s="36" t="s">
        <v>2077</v>
      </c>
      <c r="O315" s="37">
        <v>45514</v>
      </c>
      <c r="P315" s="44" t="s">
        <v>58</v>
      </c>
      <c r="Q315" s="38">
        <v>352000</v>
      </c>
      <c r="R315" s="33">
        <f t="shared" si="86"/>
        <v>1073.25</v>
      </c>
      <c r="S315" s="35">
        <f t="shared" si="85"/>
        <v>71.55</v>
      </c>
      <c r="T315" s="34">
        <v>500</v>
      </c>
    </row>
    <row r="316" spans="1:20" x14ac:dyDescent="0.25">
      <c r="A316" s="36" t="s">
        <v>443</v>
      </c>
      <c r="B316" s="36"/>
      <c r="C316" s="36" t="s">
        <v>32</v>
      </c>
      <c r="D316" s="39">
        <v>45514</v>
      </c>
      <c r="E316" s="39">
        <v>45879</v>
      </c>
      <c r="F316" s="36" t="s">
        <v>79</v>
      </c>
      <c r="G316" s="36" t="s">
        <v>62</v>
      </c>
      <c r="H316" s="38">
        <v>16235</v>
      </c>
      <c r="I316" s="40">
        <v>13565</v>
      </c>
      <c r="J316" s="40"/>
      <c r="K316" s="40"/>
      <c r="L316" s="40"/>
      <c r="M316" s="40"/>
      <c r="N316" s="36" t="s">
        <v>2078</v>
      </c>
      <c r="O316" s="37">
        <v>45514</v>
      </c>
      <c r="P316" s="44" t="s">
        <v>58</v>
      </c>
      <c r="Q316" s="38">
        <v>382000</v>
      </c>
      <c r="R316" s="33">
        <f t="shared" si="86"/>
        <v>2034.75</v>
      </c>
      <c r="S316" s="35">
        <f t="shared" si="85"/>
        <v>135.65</v>
      </c>
      <c r="T316" s="34">
        <v>500</v>
      </c>
    </row>
    <row r="317" spans="1:20" x14ac:dyDescent="0.25">
      <c r="A317" s="36" t="s">
        <v>444</v>
      </c>
      <c r="B317" s="36"/>
      <c r="C317" s="36" t="s">
        <v>32</v>
      </c>
      <c r="D317" s="39">
        <v>45880</v>
      </c>
      <c r="E317" s="39">
        <v>46245</v>
      </c>
      <c r="F317" s="36" t="s">
        <v>79</v>
      </c>
      <c r="G317" s="36" t="s">
        <v>62</v>
      </c>
      <c r="H317" s="38">
        <v>16235</v>
      </c>
      <c r="I317" s="40">
        <v>13565</v>
      </c>
      <c r="J317" s="40"/>
      <c r="K317" s="40"/>
      <c r="L317" s="40"/>
      <c r="M317" s="40"/>
      <c r="N317" s="36" t="s">
        <v>2078</v>
      </c>
      <c r="O317" s="37">
        <v>45514</v>
      </c>
      <c r="P317" s="44" t="s">
        <v>58</v>
      </c>
      <c r="Q317" s="38">
        <v>382000</v>
      </c>
      <c r="R317" s="33">
        <f t="shared" si="86"/>
        <v>2034.75</v>
      </c>
      <c r="S317" s="35">
        <f t="shared" si="85"/>
        <v>135.65</v>
      </c>
      <c r="T317" s="34">
        <v>500</v>
      </c>
    </row>
    <row r="318" spans="1:20" x14ac:dyDescent="0.25">
      <c r="A318" s="36" t="s">
        <v>445</v>
      </c>
      <c r="B318" s="36"/>
      <c r="C318" s="36" t="s">
        <v>92</v>
      </c>
      <c r="D318" s="39">
        <v>45514</v>
      </c>
      <c r="E318" s="39">
        <v>45879</v>
      </c>
      <c r="F318" s="36" t="s">
        <v>1366</v>
      </c>
      <c r="G318" s="36" t="s">
        <v>62</v>
      </c>
      <c r="H318" s="38">
        <v>9550</v>
      </c>
      <c r="I318" s="40">
        <v>7802</v>
      </c>
      <c r="J318" s="40"/>
      <c r="K318" s="40"/>
      <c r="L318" s="40"/>
      <c r="M318" s="40"/>
      <c r="N318" s="36" t="s">
        <v>2079</v>
      </c>
      <c r="O318" s="37">
        <v>45514</v>
      </c>
      <c r="P318" s="44" t="s">
        <v>58</v>
      </c>
      <c r="Q318" s="38">
        <v>382000</v>
      </c>
      <c r="R318" s="33">
        <f t="shared" si="86"/>
        <v>1170.3</v>
      </c>
      <c r="S318" s="35">
        <f t="shared" si="85"/>
        <v>78.02</v>
      </c>
      <c r="T318" s="34">
        <v>500</v>
      </c>
    </row>
    <row r="319" spans="1:20" x14ac:dyDescent="0.25">
      <c r="A319" s="36" t="s">
        <v>446</v>
      </c>
      <c r="B319" s="36"/>
      <c r="C319" s="36" t="s">
        <v>92</v>
      </c>
      <c r="D319" s="39">
        <v>45514</v>
      </c>
      <c r="E319" s="39">
        <v>45879</v>
      </c>
      <c r="F319" s="36" t="s">
        <v>1367</v>
      </c>
      <c r="G319" s="36" t="s">
        <v>63</v>
      </c>
      <c r="H319" s="38">
        <v>13675</v>
      </c>
      <c r="I319" s="40">
        <v>11358</v>
      </c>
      <c r="J319" s="40"/>
      <c r="K319" s="40"/>
      <c r="L319" s="40"/>
      <c r="M319" s="40"/>
      <c r="N319" s="36" t="s">
        <v>2080</v>
      </c>
      <c r="O319" s="37">
        <v>45514</v>
      </c>
      <c r="P319" s="44" t="s">
        <v>58</v>
      </c>
      <c r="Q319" s="38">
        <v>547000</v>
      </c>
      <c r="R319" s="33">
        <f t="shared" si="86"/>
        <v>1703.7</v>
      </c>
      <c r="S319" s="35">
        <f t="shared" si="85"/>
        <v>113.58</v>
      </c>
      <c r="T319" s="34">
        <v>500</v>
      </c>
    </row>
    <row r="320" spans="1:20" x14ac:dyDescent="0.25">
      <c r="A320" s="36" t="s">
        <v>447</v>
      </c>
      <c r="B320" s="36"/>
      <c r="C320" s="36" t="s">
        <v>92</v>
      </c>
      <c r="D320" s="39">
        <v>45514</v>
      </c>
      <c r="E320" s="39">
        <v>45879</v>
      </c>
      <c r="F320" s="36" t="s">
        <v>98</v>
      </c>
      <c r="G320" s="36" t="s">
        <v>61</v>
      </c>
      <c r="H320" s="38">
        <v>8800</v>
      </c>
      <c r="I320" s="40">
        <v>7155</v>
      </c>
      <c r="J320" s="40"/>
      <c r="K320" s="40"/>
      <c r="L320" s="40"/>
      <c r="M320" s="40"/>
      <c r="N320" s="36" t="s">
        <v>2081</v>
      </c>
      <c r="O320" s="37">
        <v>45514</v>
      </c>
      <c r="P320" s="44" t="s">
        <v>58</v>
      </c>
      <c r="Q320" s="38">
        <v>352000</v>
      </c>
      <c r="R320" s="33">
        <f t="shared" si="86"/>
        <v>1073.25</v>
      </c>
      <c r="S320" s="35">
        <f t="shared" si="85"/>
        <v>71.55</v>
      </c>
      <c r="T320" s="34">
        <v>500</v>
      </c>
    </row>
    <row r="321" spans="1:20" x14ac:dyDescent="0.25">
      <c r="A321" s="36" t="s">
        <v>448</v>
      </c>
      <c r="B321" s="36"/>
      <c r="C321" s="36" t="s">
        <v>36</v>
      </c>
      <c r="D321" s="39">
        <v>45514</v>
      </c>
      <c r="E321" s="39">
        <v>45879</v>
      </c>
      <c r="F321" s="36" t="s">
        <v>1368</v>
      </c>
      <c r="G321" s="36" t="s">
        <v>61</v>
      </c>
      <c r="H321" s="38">
        <v>14960</v>
      </c>
      <c r="I321" s="40">
        <v>12466</v>
      </c>
      <c r="J321" s="40"/>
      <c r="K321" s="40"/>
      <c r="L321" s="40"/>
      <c r="M321" s="40"/>
      <c r="N321" s="36" t="s">
        <v>2082</v>
      </c>
      <c r="O321" s="37">
        <v>45514</v>
      </c>
      <c r="P321" s="44" t="s">
        <v>58</v>
      </c>
      <c r="Q321" s="38">
        <v>352000</v>
      </c>
      <c r="R321" s="33">
        <f t="shared" si="86"/>
        <v>1869.9</v>
      </c>
      <c r="S321" s="35">
        <f t="shared" si="85"/>
        <v>124.66</v>
      </c>
      <c r="T321" s="34">
        <v>500</v>
      </c>
    </row>
    <row r="322" spans="1:20" x14ac:dyDescent="0.25">
      <c r="A322" s="36" t="s">
        <v>449</v>
      </c>
      <c r="B322" s="36"/>
      <c r="C322" s="36" t="s">
        <v>36</v>
      </c>
      <c r="D322" s="39">
        <v>45880</v>
      </c>
      <c r="E322" s="39">
        <v>46245</v>
      </c>
      <c r="F322" s="36" t="s">
        <v>1368</v>
      </c>
      <c r="G322" s="36" t="s">
        <v>61</v>
      </c>
      <c r="H322" s="38">
        <v>14960</v>
      </c>
      <c r="I322" s="40">
        <v>12466</v>
      </c>
      <c r="J322" s="40"/>
      <c r="K322" s="40"/>
      <c r="L322" s="40"/>
      <c r="M322" s="40"/>
      <c r="N322" s="36" t="s">
        <v>2082</v>
      </c>
      <c r="O322" s="37">
        <v>45514</v>
      </c>
      <c r="P322" s="44" t="s">
        <v>58</v>
      </c>
      <c r="Q322" s="38">
        <v>352000</v>
      </c>
      <c r="R322" s="33">
        <f t="shared" si="86"/>
        <v>1869.9</v>
      </c>
      <c r="S322" s="35">
        <f t="shared" si="85"/>
        <v>124.66</v>
      </c>
      <c r="T322" s="34">
        <v>500</v>
      </c>
    </row>
    <row r="323" spans="1:20" x14ac:dyDescent="0.25">
      <c r="A323" s="36" t="s">
        <v>450</v>
      </c>
      <c r="B323" s="36"/>
      <c r="C323" s="36" t="s">
        <v>30</v>
      </c>
      <c r="D323" s="39">
        <v>45514</v>
      </c>
      <c r="E323" s="39">
        <v>45879</v>
      </c>
      <c r="F323" s="36" t="s">
        <v>1369</v>
      </c>
      <c r="G323" s="36" t="s">
        <v>62</v>
      </c>
      <c r="H323" s="38">
        <v>16235</v>
      </c>
      <c r="I323" s="40">
        <v>13565</v>
      </c>
      <c r="J323" s="40"/>
      <c r="K323" s="40"/>
      <c r="L323" s="40"/>
      <c r="M323" s="40"/>
      <c r="N323" s="36" t="s">
        <v>2083</v>
      </c>
      <c r="O323" s="37">
        <v>45514</v>
      </c>
      <c r="P323" s="44" t="s">
        <v>58</v>
      </c>
      <c r="Q323" s="38">
        <v>382000</v>
      </c>
      <c r="R323" s="33">
        <f t="shared" si="86"/>
        <v>2034.75</v>
      </c>
      <c r="S323" s="35">
        <f t="shared" ref="S323:S386" si="87">I323*1/100</f>
        <v>135.65</v>
      </c>
      <c r="T323" s="34">
        <v>500</v>
      </c>
    </row>
    <row r="324" spans="1:20" x14ac:dyDescent="0.25">
      <c r="A324" s="36" t="s">
        <v>451</v>
      </c>
      <c r="B324" s="36"/>
      <c r="C324" s="36" t="s">
        <v>30</v>
      </c>
      <c r="D324" s="39">
        <v>45880</v>
      </c>
      <c r="E324" s="39">
        <v>46245</v>
      </c>
      <c r="F324" s="36" t="s">
        <v>1369</v>
      </c>
      <c r="G324" s="36" t="s">
        <v>62</v>
      </c>
      <c r="H324" s="38">
        <v>16235</v>
      </c>
      <c r="I324" s="40">
        <v>13565</v>
      </c>
      <c r="J324" s="40"/>
      <c r="K324" s="40"/>
      <c r="L324" s="40"/>
      <c r="M324" s="40"/>
      <c r="N324" s="36" t="s">
        <v>2083</v>
      </c>
      <c r="O324" s="37">
        <v>45514</v>
      </c>
      <c r="P324" s="44" t="s">
        <v>58</v>
      </c>
      <c r="Q324" s="38">
        <v>382000</v>
      </c>
      <c r="R324" s="33">
        <f t="shared" ref="R324:R387" si="88">I324*15/100</f>
        <v>2034.75</v>
      </c>
      <c r="S324" s="35">
        <f t="shared" si="87"/>
        <v>135.65</v>
      </c>
      <c r="T324" s="34">
        <v>500</v>
      </c>
    </row>
    <row r="325" spans="1:20" x14ac:dyDescent="0.25">
      <c r="A325" s="36" t="s">
        <v>452</v>
      </c>
      <c r="B325" s="36"/>
      <c r="C325" s="36" t="s">
        <v>92</v>
      </c>
      <c r="D325" s="39">
        <v>45514</v>
      </c>
      <c r="E325" s="39">
        <v>45879</v>
      </c>
      <c r="F325" s="36" t="s">
        <v>1370</v>
      </c>
      <c r="G325" s="36" t="s">
        <v>64</v>
      </c>
      <c r="H325" s="38">
        <v>12475</v>
      </c>
      <c r="I325" s="40">
        <v>10323</v>
      </c>
      <c r="J325" s="40"/>
      <c r="K325" s="40"/>
      <c r="L325" s="40"/>
      <c r="M325" s="40"/>
      <c r="N325" s="36" t="s">
        <v>2084</v>
      </c>
      <c r="O325" s="37">
        <v>45514</v>
      </c>
      <c r="P325" s="44" t="s">
        <v>58</v>
      </c>
      <c r="Q325" s="38">
        <v>499000</v>
      </c>
      <c r="R325" s="33">
        <f t="shared" si="88"/>
        <v>1548.45</v>
      </c>
      <c r="S325" s="35">
        <f t="shared" si="87"/>
        <v>103.23</v>
      </c>
      <c r="T325" s="34">
        <v>500</v>
      </c>
    </row>
    <row r="326" spans="1:20" x14ac:dyDescent="0.25">
      <c r="A326" s="36" t="s">
        <v>453</v>
      </c>
      <c r="B326" s="36"/>
      <c r="C326" s="36" t="s">
        <v>92</v>
      </c>
      <c r="D326" s="39">
        <v>45514</v>
      </c>
      <c r="E326" s="39">
        <v>45879</v>
      </c>
      <c r="F326" s="36" t="s">
        <v>1371</v>
      </c>
      <c r="G326" s="36" t="s">
        <v>62</v>
      </c>
      <c r="H326" s="38">
        <v>9550</v>
      </c>
      <c r="I326" s="40">
        <v>7802</v>
      </c>
      <c r="J326" s="40"/>
      <c r="K326" s="40"/>
      <c r="L326" s="40"/>
      <c r="M326" s="40"/>
      <c r="N326" s="36" t="s">
        <v>2085</v>
      </c>
      <c r="O326" s="37">
        <v>45514</v>
      </c>
      <c r="P326" s="44" t="s">
        <v>58</v>
      </c>
      <c r="Q326" s="38">
        <v>382000</v>
      </c>
      <c r="R326" s="33">
        <f t="shared" si="88"/>
        <v>1170.3</v>
      </c>
      <c r="S326" s="35">
        <f t="shared" si="87"/>
        <v>78.02</v>
      </c>
      <c r="T326" s="34">
        <v>500</v>
      </c>
    </row>
    <row r="327" spans="1:20" x14ac:dyDescent="0.25">
      <c r="A327" s="36" t="s">
        <v>454</v>
      </c>
      <c r="B327" s="36"/>
      <c r="C327" s="36" t="s">
        <v>39</v>
      </c>
      <c r="D327" s="39">
        <v>45514</v>
      </c>
      <c r="E327" s="39">
        <v>45879</v>
      </c>
      <c r="F327" s="36" t="s">
        <v>1372</v>
      </c>
      <c r="G327" s="36" t="s">
        <v>63</v>
      </c>
      <c r="H327" s="38">
        <v>23248</v>
      </c>
      <c r="I327" s="40">
        <v>19610</v>
      </c>
      <c r="J327" s="40"/>
      <c r="K327" s="40"/>
      <c r="L327" s="40"/>
      <c r="M327" s="40"/>
      <c r="N327" s="36" t="s">
        <v>2086</v>
      </c>
      <c r="O327" s="37">
        <v>45514</v>
      </c>
      <c r="P327" s="44" t="s">
        <v>58</v>
      </c>
      <c r="Q327" s="38">
        <v>547000</v>
      </c>
      <c r="R327" s="33">
        <f t="shared" si="88"/>
        <v>2941.5</v>
      </c>
      <c r="S327" s="35">
        <f t="shared" si="87"/>
        <v>196.1</v>
      </c>
      <c r="T327" s="34">
        <v>500</v>
      </c>
    </row>
    <row r="328" spans="1:20" x14ac:dyDescent="0.25">
      <c r="A328" s="36" t="s">
        <v>455</v>
      </c>
      <c r="B328" s="36"/>
      <c r="C328" s="36" t="s">
        <v>92</v>
      </c>
      <c r="D328" s="39">
        <v>45514</v>
      </c>
      <c r="E328" s="39">
        <v>45879</v>
      </c>
      <c r="F328" s="36" t="s">
        <v>1206</v>
      </c>
      <c r="G328" s="36" t="s">
        <v>61</v>
      </c>
      <c r="H328" s="38">
        <v>8800</v>
      </c>
      <c r="I328" s="40">
        <v>7155</v>
      </c>
      <c r="J328" s="40"/>
      <c r="K328" s="40"/>
      <c r="L328" s="40"/>
      <c r="M328" s="40"/>
      <c r="N328" s="36" t="s">
        <v>2087</v>
      </c>
      <c r="O328" s="37">
        <v>45514</v>
      </c>
      <c r="P328" s="44" t="s">
        <v>58</v>
      </c>
      <c r="Q328" s="38">
        <v>352000</v>
      </c>
      <c r="R328" s="33">
        <f t="shared" si="88"/>
        <v>1073.25</v>
      </c>
      <c r="S328" s="35">
        <f t="shared" si="87"/>
        <v>71.55</v>
      </c>
      <c r="T328" s="34">
        <v>500</v>
      </c>
    </row>
    <row r="329" spans="1:20" x14ac:dyDescent="0.25">
      <c r="A329" s="36" t="s">
        <v>456</v>
      </c>
      <c r="B329" s="36"/>
      <c r="C329" s="36" t="s">
        <v>30</v>
      </c>
      <c r="D329" s="39">
        <v>45514</v>
      </c>
      <c r="E329" s="39">
        <v>45879</v>
      </c>
      <c r="F329" s="36" t="s">
        <v>56</v>
      </c>
      <c r="G329" s="36" t="s">
        <v>61</v>
      </c>
      <c r="H329" s="38">
        <v>14960</v>
      </c>
      <c r="I329" s="40">
        <v>12466</v>
      </c>
      <c r="J329" s="40"/>
      <c r="K329" s="40"/>
      <c r="L329" s="40"/>
      <c r="M329" s="40"/>
      <c r="N329" s="36" t="s">
        <v>2088</v>
      </c>
      <c r="O329" s="37">
        <v>45514</v>
      </c>
      <c r="P329" s="44" t="s">
        <v>58</v>
      </c>
      <c r="Q329" s="38">
        <v>352000</v>
      </c>
      <c r="R329" s="33">
        <f t="shared" si="88"/>
        <v>1869.9</v>
      </c>
      <c r="S329" s="35">
        <f t="shared" si="87"/>
        <v>124.66</v>
      </c>
      <c r="T329" s="34">
        <v>500</v>
      </c>
    </row>
    <row r="330" spans="1:20" x14ac:dyDescent="0.25">
      <c r="A330" s="36" t="s">
        <v>457</v>
      </c>
      <c r="B330" s="36"/>
      <c r="C330" s="36" t="s">
        <v>30</v>
      </c>
      <c r="D330" s="39">
        <v>45880</v>
      </c>
      <c r="E330" s="39">
        <v>46245</v>
      </c>
      <c r="F330" s="36" t="s">
        <v>56</v>
      </c>
      <c r="G330" s="36" t="s">
        <v>61</v>
      </c>
      <c r="H330" s="38">
        <v>14960</v>
      </c>
      <c r="I330" s="40">
        <v>12466</v>
      </c>
      <c r="J330" s="40"/>
      <c r="K330" s="40"/>
      <c r="L330" s="40"/>
      <c r="M330" s="40"/>
      <c r="N330" s="36" t="s">
        <v>2088</v>
      </c>
      <c r="O330" s="37">
        <v>45514</v>
      </c>
      <c r="P330" s="44" t="s">
        <v>58</v>
      </c>
      <c r="Q330" s="38">
        <v>352000</v>
      </c>
      <c r="R330" s="33">
        <f t="shared" si="88"/>
        <v>1869.9</v>
      </c>
      <c r="S330" s="35">
        <f t="shared" si="87"/>
        <v>124.66</v>
      </c>
      <c r="T330" s="34">
        <v>500</v>
      </c>
    </row>
    <row r="331" spans="1:20" x14ac:dyDescent="0.25">
      <c r="A331" s="36" t="s">
        <v>458</v>
      </c>
      <c r="B331" s="36"/>
      <c r="C331" s="36" t="s">
        <v>92</v>
      </c>
      <c r="D331" s="39">
        <v>45514</v>
      </c>
      <c r="E331" s="39">
        <v>45879</v>
      </c>
      <c r="F331" s="36" t="s">
        <v>1373</v>
      </c>
      <c r="G331" s="36" t="s">
        <v>61</v>
      </c>
      <c r="H331" s="38">
        <v>8800</v>
      </c>
      <c r="I331" s="40">
        <v>7155</v>
      </c>
      <c r="J331" s="40"/>
      <c r="K331" s="40"/>
      <c r="L331" s="40"/>
      <c r="M331" s="40"/>
      <c r="N331" s="36" t="s">
        <v>2089</v>
      </c>
      <c r="O331" s="37">
        <v>45514</v>
      </c>
      <c r="P331" s="44" t="s">
        <v>58</v>
      </c>
      <c r="Q331" s="38">
        <v>352000</v>
      </c>
      <c r="R331" s="33">
        <f t="shared" si="88"/>
        <v>1073.25</v>
      </c>
      <c r="S331" s="35">
        <f t="shared" si="87"/>
        <v>71.55</v>
      </c>
      <c r="T331" s="34">
        <v>500</v>
      </c>
    </row>
    <row r="332" spans="1:20" x14ac:dyDescent="0.25">
      <c r="A332" s="36" t="s">
        <v>459</v>
      </c>
      <c r="B332" s="36"/>
      <c r="C332" s="36" t="s">
        <v>32</v>
      </c>
      <c r="D332" s="39">
        <v>45514</v>
      </c>
      <c r="E332" s="39">
        <v>45879</v>
      </c>
      <c r="F332" s="36" t="s">
        <v>1374</v>
      </c>
      <c r="G332" s="36" t="s">
        <v>61</v>
      </c>
      <c r="H332" s="38">
        <v>14960</v>
      </c>
      <c r="I332" s="40">
        <v>12466</v>
      </c>
      <c r="J332" s="40"/>
      <c r="K332" s="40"/>
      <c r="L332" s="40"/>
      <c r="M332" s="40"/>
      <c r="N332" s="36" t="s">
        <v>2090</v>
      </c>
      <c r="O332" s="37">
        <v>45514</v>
      </c>
      <c r="P332" s="44" t="s">
        <v>58</v>
      </c>
      <c r="Q332" s="38">
        <v>352000</v>
      </c>
      <c r="R332" s="33">
        <f t="shared" si="88"/>
        <v>1869.9</v>
      </c>
      <c r="S332" s="35">
        <f t="shared" si="87"/>
        <v>124.66</v>
      </c>
      <c r="T332" s="34">
        <v>500</v>
      </c>
    </row>
    <row r="333" spans="1:20" x14ac:dyDescent="0.25">
      <c r="A333" s="36" t="s">
        <v>460</v>
      </c>
      <c r="B333" s="36"/>
      <c r="C333" s="36" t="s">
        <v>32</v>
      </c>
      <c r="D333" s="39">
        <v>45880</v>
      </c>
      <c r="E333" s="39">
        <v>46245</v>
      </c>
      <c r="F333" s="36" t="s">
        <v>1374</v>
      </c>
      <c r="G333" s="36" t="s">
        <v>61</v>
      </c>
      <c r="H333" s="38">
        <v>14960</v>
      </c>
      <c r="I333" s="40">
        <v>12466</v>
      </c>
      <c r="J333" s="40"/>
      <c r="K333" s="40"/>
      <c r="L333" s="40"/>
      <c r="M333" s="40"/>
      <c r="N333" s="36" t="s">
        <v>2090</v>
      </c>
      <c r="O333" s="37">
        <v>45514</v>
      </c>
      <c r="P333" s="44" t="s">
        <v>58</v>
      </c>
      <c r="Q333" s="38">
        <v>352000</v>
      </c>
      <c r="R333" s="33">
        <f t="shared" si="88"/>
        <v>1869.9</v>
      </c>
      <c r="S333" s="35">
        <f t="shared" si="87"/>
        <v>124.66</v>
      </c>
      <c r="T333" s="34">
        <v>500</v>
      </c>
    </row>
    <row r="334" spans="1:20" x14ac:dyDescent="0.25">
      <c r="A334" s="36" t="s">
        <v>461</v>
      </c>
      <c r="B334" s="36"/>
      <c r="C334" s="36" t="s">
        <v>30</v>
      </c>
      <c r="D334" s="39">
        <v>45514</v>
      </c>
      <c r="E334" s="39">
        <v>45879</v>
      </c>
      <c r="F334" s="36" t="s">
        <v>1375</v>
      </c>
      <c r="G334" s="36" t="s">
        <v>61</v>
      </c>
      <c r="H334" s="38">
        <v>14960</v>
      </c>
      <c r="I334" s="40">
        <v>12466</v>
      </c>
      <c r="J334" s="40"/>
      <c r="K334" s="40"/>
      <c r="L334" s="40"/>
      <c r="M334" s="40"/>
      <c r="N334" s="36" t="s">
        <v>2091</v>
      </c>
      <c r="O334" s="37">
        <v>45514</v>
      </c>
      <c r="P334" s="44" t="s">
        <v>58</v>
      </c>
      <c r="Q334" s="38">
        <v>352000</v>
      </c>
      <c r="R334" s="33">
        <f t="shared" si="88"/>
        <v>1869.9</v>
      </c>
      <c r="S334" s="35">
        <f t="shared" si="87"/>
        <v>124.66</v>
      </c>
      <c r="T334" s="34">
        <v>500</v>
      </c>
    </row>
    <row r="335" spans="1:20" x14ac:dyDescent="0.25">
      <c r="A335" s="36" t="s">
        <v>462</v>
      </c>
      <c r="B335" s="36"/>
      <c r="C335" s="36" t="s">
        <v>30</v>
      </c>
      <c r="D335" s="39">
        <v>45880</v>
      </c>
      <c r="E335" s="39">
        <v>46245</v>
      </c>
      <c r="F335" s="36" t="s">
        <v>1375</v>
      </c>
      <c r="G335" s="36" t="s">
        <v>61</v>
      </c>
      <c r="H335" s="38">
        <v>14960</v>
      </c>
      <c r="I335" s="40">
        <v>12466</v>
      </c>
      <c r="J335" s="40"/>
      <c r="K335" s="40"/>
      <c r="L335" s="40"/>
      <c r="M335" s="40"/>
      <c r="N335" s="36" t="s">
        <v>2091</v>
      </c>
      <c r="O335" s="37">
        <v>45514</v>
      </c>
      <c r="P335" s="44" t="s">
        <v>58</v>
      </c>
      <c r="Q335" s="38">
        <v>352000</v>
      </c>
      <c r="R335" s="33">
        <f t="shared" si="88"/>
        <v>1869.9</v>
      </c>
      <c r="S335" s="35">
        <f t="shared" si="87"/>
        <v>124.66</v>
      </c>
      <c r="T335" s="34">
        <v>500</v>
      </c>
    </row>
    <row r="336" spans="1:20" x14ac:dyDescent="0.25">
      <c r="A336" s="36" t="s">
        <v>463</v>
      </c>
      <c r="B336" s="36"/>
      <c r="C336" s="36" t="s">
        <v>32</v>
      </c>
      <c r="D336" s="39">
        <v>45514</v>
      </c>
      <c r="E336" s="39">
        <v>45879</v>
      </c>
      <c r="F336" s="36" t="s">
        <v>1376</v>
      </c>
      <c r="G336" s="36" t="s">
        <v>61</v>
      </c>
      <c r="H336" s="38">
        <v>14960</v>
      </c>
      <c r="I336" s="40">
        <v>12466</v>
      </c>
      <c r="J336" s="40"/>
      <c r="K336" s="40"/>
      <c r="L336" s="40"/>
      <c r="M336" s="40"/>
      <c r="N336" s="36" t="s">
        <v>1908</v>
      </c>
      <c r="O336" s="37">
        <v>45514</v>
      </c>
      <c r="P336" s="44" t="s">
        <v>58</v>
      </c>
      <c r="Q336" s="38">
        <v>352000</v>
      </c>
      <c r="R336" s="33">
        <f t="shared" si="88"/>
        <v>1869.9</v>
      </c>
      <c r="S336" s="35">
        <f t="shared" si="87"/>
        <v>124.66</v>
      </c>
      <c r="T336" s="34">
        <v>500</v>
      </c>
    </row>
    <row r="337" spans="1:20" x14ac:dyDescent="0.25">
      <c r="A337" s="36" t="s">
        <v>464</v>
      </c>
      <c r="B337" s="36"/>
      <c r="C337" s="36" t="s">
        <v>32</v>
      </c>
      <c r="D337" s="39">
        <v>45880</v>
      </c>
      <c r="E337" s="39">
        <v>46245</v>
      </c>
      <c r="F337" s="36" t="s">
        <v>1376</v>
      </c>
      <c r="G337" s="36" t="s">
        <v>61</v>
      </c>
      <c r="H337" s="38">
        <v>14960</v>
      </c>
      <c r="I337" s="40">
        <v>12466</v>
      </c>
      <c r="J337" s="40"/>
      <c r="K337" s="40"/>
      <c r="L337" s="40"/>
      <c r="M337" s="40"/>
      <c r="N337" s="36" t="s">
        <v>1908</v>
      </c>
      <c r="O337" s="37">
        <v>45514</v>
      </c>
      <c r="P337" s="44" t="s">
        <v>58</v>
      </c>
      <c r="Q337" s="38">
        <v>352000</v>
      </c>
      <c r="R337" s="33">
        <f t="shared" si="88"/>
        <v>1869.9</v>
      </c>
      <c r="S337" s="35">
        <f t="shared" si="87"/>
        <v>124.66</v>
      </c>
      <c r="T337" s="34">
        <v>500</v>
      </c>
    </row>
    <row r="338" spans="1:20" x14ac:dyDescent="0.25">
      <c r="A338" s="36" t="s">
        <v>465</v>
      </c>
      <c r="B338" s="36"/>
      <c r="C338" s="36" t="s">
        <v>35</v>
      </c>
      <c r="D338" s="39">
        <v>45514</v>
      </c>
      <c r="E338" s="39">
        <v>45879</v>
      </c>
      <c r="F338" s="36" t="s">
        <v>1377</v>
      </c>
      <c r="G338" s="36" t="s">
        <v>61</v>
      </c>
      <c r="H338" s="38">
        <v>14960</v>
      </c>
      <c r="I338" s="40">
        <v>12466</v>
      </c>
      <c r="J338" s="40"/>
      <c r="K338" s="40"/>
      <c r="L338" s="40"/>
      <c r="M338" s="40"/>
      <c r="N338" s="36" t="s">
        <v>2092</v>
      </c>
      <c r="O338" s="37">
        <v>45514</v>
      </c>
      <c r="P338" s="44" t="s">
        <v>58</v>
      </c>
      <c r="Q338" s="38">
        <v>352000</v>
      </c>
      <c r="R338" s="33">
        <f t="shared" si="88"/>
        <v>1869.9</v>
      </c>
      <c r="S338" s="35">
        <f t="shared" si="87"/>
        <v>124.66</v>
      </c>
      <c r="T338" s="34">
        <v>500</v>
      </c>
    </row>
    <row r="339" spans="1:20" x14ac:dyDescent="0.25">
      <c r="A339" s="36" t="s">
        <v>466</v>
      </c>
      <c r="B339" s="36"/>
      <c r="C339" s="36" t="s">
        <v>30</v>
      </c>
      <c r="D339" s="39">
        <v>45514</v>
      </c>
      <c r="E339" s="39">
        <v>45879</v>
      </c>
      <c r="F339" s="36" t="s">
        <v>1378</v>
      </c>
      <c r="G339" s="36" t="s">
        <v>62</v>
      </c>
      <c r="H339" s="38">
        <v>16235</v>
      </c>
      <c r="I339" s="40">
        <v>13565</v>
      </c>
      <c r="J339" s="40"/>
      <c r="K339" s="40"/>
      <c r="L339" s="40"/>
      <c r="M339" s="40"/>
      <c r="N339" s="36" t="s">
        <v>2093</v>
      </c>
      <c r="O339" s="37">
        <v>45514</v>
      </c>
      <c r="P339" s="44" t="s">
        <v>58</v>
      </c>
      <c r="Q339" s="38">
        <v>382000</v>
      </c>
      <c r="R339" s="33">
        <f t="shared" si="88"/>
        <v>2034.75</v>
      </c>
      <c r="S339" s="35">
        <f t="shared" si="87"/>
        <v>135.65</v>
      </c>
      <c r="T339" s="34">
        <v>500</v>
      </c>
    </row>
    <row r="340" spans="1:20" x14ac:dyDescent="0.25">
      <c r="A340" s="36" t="s">
        <v>467</v>
      </c>
      <c r="B340" s="36"/>
      <c r="C340" s="36" t="s">
        <v>30</v>
      </c>
      <c r="D340" s="39">
        <v>45880</v>
      </c>
      <c r="E340" s="39">
        <v>46245</v>
      </c>
      <c r="F340" s="36" t="s">
        <v>1378</v>
      </c>
      <c r="G340" s="36" t="s">
        <v>62</v>
      </c>
      <c r="H340" s="38">
        <v>16235</v>
      </c>
      <c r="I340" s="40">
        <v>13565</v>
      </c>
      <c r="J340" s="40"/>
      <c r="K340" s="40"/>
      <c r="L340" s="40"/>
      <c r="M340" s="40"/>
      <c r="N340" s="36" t="s">
        <v>2093</v>
      </c>
      <c r="O340" s="37">
        <v>45514</v>
      </c>
      <c r="P340" s="44" t="s">
        <v>58</v>
      </c>
      <c r="Q340" s="38">
        <v>382000</v>
      </c>
      <c r="R340" s="33">
        <f t="shared" si="88"/>
        <v>2034.75</v>
      </c>
      <c r="S340" s="35">
        <f t="shared" si="87"/>
        <v>135.65</v>
      </c>
      <c r="T340" s="34">
        <v>500</v>
      </c>
    </row>
    <row r="341" spans="1:20" x14ac:dyDescent="0.25">
      <c r="A341" s="36" t="s">
        <v>468</v>
      </c>
      <c r="B341" s="36"/>
      <c r="C341" s="36" t="s">
        <v>92</v>
      </c>
      <c r="D341" s="39">
        <v>45514</v>
      </c>
      <c r="E341" s="39">
        <v>45879</v>
      </c>
      <c r="F341" s="36" t="s">
        <v>1379</v>
      </c>
      <c r="G341" s="36" t="s">
        <v>61</v>
      </c>
      <c r="H341" s="38">
        <v>8800</v>
      </c>
      <c r="I341" s="40">
        <v>7155</v>
      </c>
      <c r="J341" s="40"/>
      <c r="K341" s="40"/>
      <c r="L341" s="40"/>
      <c r="M341" s="40"/>
      <c r="N341" s="36" t="s">
        <v>2094</v>
      </c>
      <c r="O341" s="37">
        <v>45514</v>
      </c>
      <c r="P341" s="44" t="s">
        <v>58</v>
      </c>
      <c r="Q341" s="38">
        <v>352000</v>
      </c>
      <c r="R341" s="33">
        <f t="shared" si="88"/>
        <v>1073.25</v>
      </c>
      <c r="S341" s="35">
        <f t="shared" si="87"/>
        <v>71.55</v>
      </c>
      <c r="T341" s="34">
        <v>500</v>
      </c>
    </row>
    <row r="342" spans="1:20" x14ac:dyDescent="0.25">
      <c r="A342" s="36" t="s">
        <v>469</v>
      </c>
      <c r="B342" s="36"/>
      <c r="C342" s="36" t="s">
        <v>92</v>
      </c>
      <c r="D342" s="39">
        <v>45514</v>
      </c>
      <c r="E342" s="39">
        <v>45879</v>
      </c>
      <c r="F342" s="36" t="s">
        <v>1379</v>
      </c>
      <c r="G342" s="36" t="s">
        <v>61</v>
      </c>
      <c r="H342" s="38">
        <v>8800</v>
      </c>
      <c r="I342" s="40">
        <v>7155</v>
      </c>
      <c r="J342" s="40"/>
      <c r="K342" s="40"/>
      <c r="L342" s="40"/>
      <c r="M342" s="40"/>
      <c r="N342" s="36" t="s">
        <v>2094</v>
      </c>
      <c r="O342" s="37">
        <v>45514</v>
      </c>
      <c r="P342" s="44" t="s">
        <v>58</v>
      </c>
      <c r="Q342" s="38">
        <v>352000</v>
      </c>
      <c r="R342" s="33">
        <f t="shared" si="88"/>
        <v>1073.25</v>
      </c>
      <c r="S342" s="35">
        <f t="shared" si="87"/>
        <v>71.55</v>
      </c>
      <c r="T342" s="34">
        <v>500</v>
      </c>
    </row>
    <row r="343" spans="1:20" x14ac:dyDescent="0.25">
      <c r="A343" s="36" t="s">
        <v>470</v>
      </c>
      <c r="B343" s="36"/>
      <c r="C343" s="36" t="s">
        <v>35</v>
      </c>
      <c r="D343" s="39">
        <v>45514</v>
      </c>
      <c r="E343" s="39">
        <v>45879</v>
      </c>
      <c r="F343" s="36" t="s">
        <v>1380</v>
      </c>
      <c r="G343" s="36" t="s">
        <v>62</v>
      </c>
      <c r="H343" s="38">
        <v>16235</v>
      </c>
      <c r="I343" s="40">
        <v>13565</v>
      </c>
      <c r="J343" s="40"/>
      <c r="K343" s="40"/>
      <c r="L343" s="40"/>
      <c r="M343" s="40"/>
      <c r="N343" s="36" t="s">
        <v>2095</v>
      </c>
      <c r="O343" s="37">
        <v>45514</v>
      </c>
      <c r="P343" s="44" t="s">
        <v>58</v>
      </c>
      <c r="Q343" s="38">
        <v>382000</v>
      </c>
      <c r="R343" s="33">
        <f t="shared" si="88"/>
        <v>2034.75</v>
      </c>
      <c r="S343" s="35">
        <f t="shared" si="87"/>
        <v>135.65</v>
      </c>
      <c r="T343" s="34">
        <v>500</v>
      </c>
    </row>
    <row r="344" spans="1:20" x14ac:dyDescent="0.25">
      <c r="A344" s="36" t="s">
        <v>471</v>
      </c>
      <c r="B344" s="36"/>
      <c r="C344" s="36" t="s">
        <v>30</v>
      </c>
      <c r="D344" s="39">
        <v>45514</v>
      </c>
      <c r="E344" s="39">
        <v>45879</v>
      </c>
      <c r="F344" s="36" t="s">
        <v>1381</v>
      </c>
      <c r="G344" s="36" t="s">
        <v>61</v>
      </c>
      <c r="H344" s="38">
        <v>14960</v>
      </c>
      <c r="I344" s="40">
        <v>12466</v>
      </c>
      <c r="J344" s="40"/>
      <c r="K344" s="40"/>
      <c r="L344" s="40"/>
      <c r="M344" s="40"/>
      <c r="N344" s="36" t="s">
        <v>2096</v>
      </c>
      <c r="O344" s="37">
        <v>45514</v>
      </c>
      <c r="P344" s="44" t="s">
        <v>58</v>
      </c>
      <c r="Q344" s="38">
        <v>352000</v>
      </c>
      <c r="R344" s="33">
        <f t="shared" si="88"/>
        <v>1869.9</v>
      </c>
      <c r="S344" s="35">
        <f t="shared" si="87"/>
        <v>124.66</v>
      </c>
      <c r="T344" s="34">
        <v>500</v>
      </c>
    </row>
    <row r="345" spans="1:20" x14ac:dyDescent="0.25">
      <c r="A345" s="36" t="s">
        <v>472</v>
      </c>
      <c r="B345" s="36"/>
      <c r="C345" s="36" t="s">
        <v>30</v>
      </c>
      <c r="D345" s="39">
        <v>45880</v>
      </c>
      <c r="E345" s="39">
        <v>46245</v>
      </c>
      <c r="F345" s="36" t="s">
        <v>1381</v>
      </c>
      <c r="G345" s="36" t="s">
        <v>61</v>
      </c>
      <c r="H345" s="38">
        <v>14960</v>
      </c>
      <c r="I345" s="40">
        <v>12466</v>
      </c>
      <c r="J345" s="40"/>
      <c r="K345" s="40"/>
      <c r="L345" s="40"/>
      <c r="M345" s="40"/>
      <c r="N345" s="36" t="s">
        <v>2096</v>
      </c>
      <c r="O345" s="37">
        <v>45514</v>
      </c>
      <c r="P345" s="44" t="s">
        <v>58</v>
      </c>
      <c r="Q345" s="38">
        <v>352000</v>
      </c>
      <c r="R345" s="33">
        <f t="shared" si="88"/>
        <v>1869.9</v>
      </c>
      <c r="S345" s="35">
        <f t="shared" si="87"/>
        <v>124.66</v>
      </c>
      <c r="T345" s="34">
        <v>500</v>
      </c>
    </row>
    <row r="346" spans="1:20" x14ac:dyDescent="0.25">
      <c r="A346" s="36" t="s">
        <v>473</v>
      </c>
      <c r="B346" s="36"/>
      <c r="C346" s="36" t="s">
        <v>92</v>
      </c>
      <c r="D346" s="39">
        <v>45514</v>
      </c>
      <c r="E346" s="39">
        <v>45879</v>
      </c>
      <c r="F346" s="36" t="s">
        <v>1382</v>
      </c>
      <c r="G346" s="36" t="s">
        <v>61</v>
      </c>
      <c r="H346" s="38">
        <v>8800</v>
      </c>
      <c r="I346" s="40">
        <v>7155</v>
      </c>
      <c r="J346" s="40"/>
      <c r="K346" s="40"/>
      <c r="L346" s="40"/>
      <c r="M346" s="40"/>
      <c r="N346" s="36" t="s">
        <v>2097</v>
      </c>
      <c r="O346" s="37">
        <v>45514</v>
      </c>
      <c r="P346" s="44" t="s">
        <v>58</v>
      </c>
      <c r="Q346" s="38">
        <v>352000</v>
      </c>
      <c r="R346" s="33">
        <f t="shared" si="88"/>
        <v>1073.25</v>
      </c>
      <c r="S346" s="35">
        <f t="shared" si="87"/>
        <v>71.55</v>
      </c>
      <c r="T346" s="34">
        <v>500</v>
      </c>
    </row>
    <row r="347" spans="1:20" x14ac:dyDescent="0.25">
      <c r="A347" s="36" t="s">
        <v>474</v>
      </c>
      <c r="B347" s="36"/>
      <c r="C347" s="36" t="s">
        <v>92</v>
      </c>
      <c r="D347" s="39">
        <v>45514</v>
      </c>
      <c r="E347" s="39">
        <v>45879</v>
      </c>
      <c r="F347" s="36" t="s">
        <v>1383</v>
      </c>
      <c r="G347" s="36" t="s">
        <v>62</v>
      </c>
      <c r="H347" s="38">
        <v>9550</v>
      </c>
      <c r="I347" s="40">
        <v>7802</v>
      </c>
      <c r="J347" s="40"/>
      <c r="K347" s="40"/>
      <c r="L347" s="40"/>
      <c r="M347" s="40"/>
      <c r="N347" s="36" t="s">
        <v>2098</v>
      </c>
      <c r="O347" s="37">
        <v>45514</v>
      </c>
      <c r="P347" s="44" t="s">
        <v>58</v>
      </c>
      <c r="Q347" s="38">
        <v>382000</v>
      </c>
      <c r="R347" s="33">
        <f t="shared" si="88"/>
        <v>1170.3</v>
      </c>
      <c r="S347" s="35">
        <f t="shared" si="87"/>
        <v>78.02</v>
      </c>
      <c r="T347" s="34">
        <v>500</v>
      </c>
    </row>
    <row r="348" spans="1:20" x14ac:dyDescent="0.25">
      <c r="A348" s="36" t="s">
        <v>475</v>
      </c>
      <c r="B348" s="36"/>
      <c r="C348" s="36" t="s">
        <v>92</v>
      </c>
      <c r="D348" s="39">
        <v>45514</v>
      </c>
      <c r="E348" s="39">
        <v>45879</v>
      </c>
      <c r="F348" s="36" t="s">
        <v>93</v>
      </c>
      <c r="G348" s="36" t="s">
        <v>62</v>
      </c>
      <c r="H348" s="38">
        <v>9550</v>
      </c>
      <c r="I348" s="40">
        <v>7802</v>
      </c>
      <c r="J348" s="40"/>
      <c r="K348" s="40"/>
      <c r="L348" s="40"/>
      <c r="M348" s="40"/>
      <c r="N348" s="36" t="s">
        <v>2099</v>
      </c>
      <c r="O348" s="37">
        <v>45514</v>
      </c>
      <c r="P348" s="44" t="s">
        <v>58</v>
      </c>
      <c r="Q348" s="38">
        <v>382000</v>
      </c>
      <c r="R348" s="33">
        <f t="shared" si="88"/>
        <v>1170.3</v>
      </c>
      <c r="S348" s="35">
        <f t="shared" si="87"/>
        <v>78.02</v>
      </c>
      <c r="T348" s="34">
        <v>500</v>
      </c>
    </row>
    <row r="349" spans="1:20" x14ac:dyDescent="0.25">
      <c r="A349" s="36" t="s">
        <v>476</v>
      </c>
      <c r="B349" s="36"/>
      <c r="C349" s="36" t="s">
        <v>92</v>
      </c>
      <c r="D349" s="39">
        <v>45514</v>
      </c>
      <c r="E349" s="39">
        <v>45879</v>
      </c>
      <c r="F349" s="36" t="s">
        <v>93</v>
      </c>
      <c r="G349" s="36" t="s">
        <v>61</v>
      </c>
      <c r="H349" s="38">
        <v>8800</v>
      </c>
      <c r="I349" s="40">
        <v>7155</v>
      </c>
      <c r="J349" s="40"/>
      <c r="K349" s="40"/>
      <c r="L349" s="40"/>
      <c r="M349" s="40"/>
      <c r="N349" s="36" t="s">
        <v>2100</v>
      </c>
      <c r="O349" s="37">
        <v>45514</v>
      </c>
      <c r="P349" s="44" t="s">
        <v>58</v>
      </c>
      <c r="Q349" s="38">
        <v>352000</v>
      </c>
      <c r="R349" s="33">
        <f t="shared" si="88"/>
        <v>1073.25</v>
      </c>
      <c r="S349" s="35">
        <f t="shared" si="87"/>
        <v>71.55</v>
      </c>
      <c r="T349" s="34">
        <v>500</v>
      </c>
    </row>
    <row r="350" spans="1:20" x14ac:dyDescent="0.25">
      <c r="A350" s="36" t="s">
        <v>477</v>
      </c>
      <c r="B350" s="36"/>
      <c r="C350" s="36" t="s">
        <v>92</v>
      </c>
      <c r="D350" s="39">
        <v>45514</v>
      </c>
      <c r="E350" s="39">
        <v>45879</v>
      </c>
      <c r="F350" s="36" t="s">
        <v>1384</v>
      </c>
      <c r="G350" s="36" t="s">
        <v>62</v>
      </c>
      <c r="H350" s="38">
        <v>9550</v>
      </c>
      <c r="I350" s="40">
        <v>7802</v>
      </c>
      <c r="J350" s="40"/>
      <c r="K350" s="40"/>
      <c r="L350" s="40"/>
      <c r="M350" s="40"/>
      <c r="N350" s="36" t="s">
        <v>2101</v>
      </c>
      <c r="O350" s="37">
        <v>45514</v>
      </c>
      <c r="P350" s="44" t="s">
        <v>58</v>
      </c>
      <c r="Q350" s="38">
        <v>382000</v>
      </c>
      <c r="R350" s="33">
        <f t="shared" si="88"/>
        <v>1170.3</v>
      </c>
      <c r="S350" s="35">
        <f t="shared" si="87"/>
        <v>78.02</v>
      </c>
      <c r="T350" s="34">
        <v>500</v>
      </c>
    </row>
    <row r="351" spans="1:20" x14ac:dyDescent="0.25">
      <c r="A351" s="36" t="s">
        <v>478</v>
      </c>
      <c r="B351" s="36"/>
      <c r="C351" s="36" t="s">
        <v>53</v>
      </c>
      <c r="D351" s="39">
        <v>45514</v>
      </c>
      <c r="E351" s="39">
        <v>45879</v>
      </c>
      <c r="F351" s="36" t="s">
        <v>1385</v>
      </c>
      <c r="G351" s="36" t="s">
        <v>63</v>
      </c>
      <c r="H351" s="38">
        <v>13675</v>
      </c>
      <c r="I351" s="40">
        <v>11358</v>
      </c>
      <c r="J351" s="40"/>
      <c r="K351" s="40"/>
      <c r="L351" s="40"/>
      <c r="M351" s="40"/>
      <c r="N351" s="36" t="s">
        <v>2102</v>
      </c>
      <c r="O351" s="37">
        <v>45514</v>
      </c>
      <c r="P351" s="44" t="s">
        <v>58</v>
      </c>
      <c r="Q351" s="38">
        <v>547000</v>
      </c>
      <c r="R351" s="33">
        <f t="shared" si="88"/>
        <v>1703.7</v>
      </c>
      <c r="S351" s="35">
        <f t="shared" si="87"/>
        <v>113.58</v>
      </c>
      <c r="T351" s="34">
        <v>500</v>
      </c>
    </row>
    <row r="352" spans="1:20" x14ac:dyDescent="0.25">
      <c r="A352" s="36" t="s">
        <v>479</v>
      </c>
      <c r="B352" s="36"/>
      <c r="C352" s="36" t="s">
        <v>49</v>
      </c>
      <c r="D352" s="39">
        <v>45514</v>
      </c>
      <c r="E352" s="39">
        <v>45879</v>
      </c>
      <c r="F352" s="36" t="s">
        <v>1386</v>
      </c>
      <c r="G352" s="36" t="s">
        <v>64</v>
      </c>
      <c r="H352" s="38">
        <v>12475</v>
      </c>
      <c r="I352" s="40">
        <v>10323</v>
      </c>
      <c r="J352" s="40"/>
      <c r="K352" s="40"/>
      <c r="L352" s="40"/>
      <c r="M352" s="40"/>
      <c r="N352" s="36" t="s">
        <v>2103</v>
      </c>
      <c r="O352" s="37">
        <v>45514</v>
      </c>
      <c r="P352" s="44" t="s">
        <v>58</v>
      </c>
      <c r="Q352" s="38">
        <v>499000</v>
      </c>
      <c r="R352" s="33">
        <f t="shared" si="88"/>
        <v>1548.45</v>
      </c>
      <c r="S352" s="35">
        <f t="shared" si="87"/>
        <v>103.23</v>
      </c>
      <c r="T352" s="34">
        <v>500</v>
      </c>
    </row>
    <row r="353" spans="1:20" x14ac:dyDescent="0.25">
      <c r="A353" s="36" t="s">
        <v>480</v>
      </c>
      <c r="B353" s="36"/>
      <c r="C353" s="36" t="s">
        <v>35</v>
      </c>
      <c r="D353" s="39">
        <v>45516</v>
      </c>
      <c r="E353" s="39">
        <v>45881</v>
      </c>
      <c r="F353" s="36" t="s">
        <v>1387</v>
      </c>
      <c r="G353" s="36" t="s">
        <v>61</v>
      </c>
      <c r="H353" s="38">
        <v>14960</v>
      </c>
      <c r="I353" s="40">
        <v>12466</v>
      </c>
      <c r="J353" s="40"/>
      <c r="K353" s="40"/>
      <c r="L353" s="40"/>
      <c r="M353" s="40"/>
      <c r="N353" s="36" t="s">
        <v>2104</v>
      </c>
      <c r="O353" s="37">
        <v>45516</v>
      </c>
      <c r="P353" s="44" t="s">
        <v>58</v>
      </c>
      <c r="Q353" s="38">
        <v>352000</v>
      </c>
      <c r="R353" s="33">
        <f t="shared" si="88"/>
        <v>1869.9</v>
      </c>
      <c r="S353" s="35">
        <f t="shared" si="87"/>
        <v>124.66</v>
      </c>
      <c r="T353" s="34">
        <v>500</v>
      </c>
    </row>
    <row r="354" spans="1:20" x14ac:dyDescent="0.25">
      <c r="A354" s="36" t="s">
        <v>481</v>
      </c>
      <c r="B354" s="36"/>
      <c r="C354" s="36" t="s">
        <v>35</v>
      </c>
      <c r="D354" s="39">
        <v>45882</v>
      </c>
      <c r="E354" s="39">
        <v>46247</v>
      </c>
      <c r="F354" s="36" t="s">
        <v>1387</v>
      </c>
      <c r="G354" s="36" t="s">
        <v>61</v>
      </c>
      <c r="H354" s="38">
        <v>14960</v>
      </c>
      <c r="I354" s="40">
        <v>12466</v>
      </c>
      <c r="J354" s="40"/>
      <c r="K354" s="40"/>
      <c r="L354" s="40"/>
      <c r="M354" s="40"/>
      <c r="N354" s="36" t="s">
        <v>2104</v>
      </c>
      <c r="O354" s="37">
        <v>45516</v>
      </c>
      <c r="P354" s="44" t="s">
        <v>58</v>
      </c>
      <c r="Q354" s="38">
        <v>352000</v>
      </c>
      <c r="R354" s="33">
        <f t="shared" si="88"/>
        <v>1869.9</v>
      </c>
      <c r="S354" s="35">
        <f t="shared" si="87"/>
        <v>124.66</v>
      </c>
      <c r="T354" s="34">
        <v>500</v>
      </c>
    </row>
    <row r="355" spans="1:20" x14ac:dyDescent="0.25">
      <c r="A355" s="36" t="s">
        <v>482</v>
      </c>
      <c r="B355" s="36"/>
      <c r="C355" s="36" t="s">
        <v>35</v>
      </c>
      <c r="D355" s="39">
        <v>45516</v>
      </c>
      <c r="E355" s="39">
        <v>45881</v>
      </c>
      <c r="F355" s="36" t="s">
        <v>106</v>
      </c>
      <c r="G355" s="36" t="s">
        <v>62</v>
      </c>
      <c r="H355" s="38">
        <v>16235</v>
      </c>
      <c r="I355" s="40">
        <v>13565</v>
      </c>
      <c r="J355" s="40"/>
      <c r="K355" s="40"/>
      <c r="L355" s="40"/>
      <c r="M355" s="40"/>
      <c r="N355" s="36" t="s">
        <v>2105</v>
      </c>
      <c r="O355" s="37">
        <v>45516</v>
      </c>
      <c r="P355" s="44" t="s">
        <v>58</v>
      </c>
      <c r="Q355" s="38">
        <v>382000</v>
      </c>
      <c r="R355" s="33">
        <f t="shared" si="88"/>
        <v>2034.75</v>
      </c>
      <c r="S355" s="35">
        <f t="shared" si="87"/>
        <v>135.65</v>
      </c>
      <c r="T355" s="34">
        <v>500</v>
      </c>
    </row>
    <row r="356" spans="1:20" x14ac:dyDescent="0.25">
      <c r="A356" s="36" t="s">
        <v>483</v>
      </c>
      <c r="B356" s="36"/>
      <c r="C356" s="36" t="s">
        <v>35</v>
      </c>
      <c r="D356" s="39">
        <v>45882</v>
      </c>
      <c r="E356" s="39">
        <v>46247</v>
      </c>
      <c r="F356" s="36" t="s">
        <v>106</v>
      </c>
      <c r="G356" s="36" t="s">
        <v>62</v>
      </c>
      <c r="H356" s="38">
        <v>16235</v>
      </c>
      <c r="I356" s="40">
        <v>13565</v>
      </c>
      <c r="J356" s="40"/>
      <c r="K356" s="40"/>
      <c r="L356" s="40"/>
      <c r="M356" s="40"/>
      <c r="N356" s="36" t="s">
        <v>2105</v>
      </c>
      <c r="O356" s="37">
        <v>45516</v>
      </c>
      <c r="P356" s="44" t="s">
        <v>58</v>
      </c>
      <c r="Q356" s="38">
        <v>382000</v>
      </c>
      <c r="R356" s="33">
        <f t="shared" si="88"/>
        <v>2034.75</v>
      </c>
      <c r="S356" s="35">
        <f t="shared" si="87"/>
        <v>135.65</v>
      </c>
      <c r="T356" s="34">
        <v>500</v>
      </c>
    </row>
    <row r="357" spans="1:20" x14ac:dyDescent="0.25">
      <c r="A357" s="36" t="s">
        <v>484</v>
      </c>
      <c r="B357" s="36"/>
      <c r="C357" s="36" t="s">
        <v>1146</v>
      </c>
      <c r="D357" s="39">
        <v>45516</v>
      </c>
      <c r="E357" s="39">
        <v>45881</v>
      </c>
      <c r="F357" s="36" t="s">
        <v>1388</v>
      </c>
      <c r="G357" s="36" t="s">
        <v>62</v>
      </c>
      <c r="H357" s="38">
        <v>9550</v>
      </c>
      <c r="I357" s="40">
        <v>7802</v>
      </c>
      <c r="J357" s="40"/>
      <c r="K357" s="40"/>
      <c r="L357" s="40"/>
      <c r="M357" s="40"/>
      <c r="N357" s="36" t="s">
        <v>2106</v>
      </c>
      <c r="O357" s="37">
        <v>45516</v>
      </c>
      <c r="P357" s="44" t="s">
        <v>58</v>
      </c>
      <c r="Q357" s="38">
        <v>382000</v>
      </c>
      <c r="R357" s="33">
        <f t="shared" si="88"/>
        <v>1170.3</v>
      </c>
      <c r="S357" s="35">
        <f t="shared" si="87"/>
        <v>78.02</v>
      </c>
      <c r="T357" s="34">
        <v>500</v>
      </c>
    </row>
    <row r="358" spans="1:20" x14ac:dyDescent="0.25">
      <c r="A358" s="36" t="s">
        <v>485</v>
      </c>
      <c r="B358" s="36"/>
      <c r="C358" s="36" t="s">
        <v>35</v>
      </c>
      <c r="D358" s="39">
        <v>45516</v>
      </c>
      <c r="E358" s="39">
        <v>45881</v>
      </c>
      <c r="F358" s="36" t="s">
        <v>1389</v>
      </c>
      <c r="G358" s="36" t="s">
        <v>61</v>
      </c>
      <c r="H358" s="38">
        <v>14960</v>
      </c>
      <c r="I358" s="40">
        <v>12466</v>
      </c>
      <c r="J358" s="40"/>
      <c r="K358" s="40"/>
      <c r="L358" s="40"/>
      <c r="M358" s="40"/>
      <c r="N358" s="36" t="s">
        <v>2107</v>
      </c>
      <c r="O358" s="37">
        <v>45516</v>
      </c>
      <c r="P358" s="44" t="s">
        <v>58</v>
      </c>
      <c r="Q358" s="38">
        <v>352000</v>
      </c>
      <c r="R358" s="33">
        <f t="shared" si="88"/>
        <v>1869.9</v>
      </c>
      <c r="S358" s="35">
        <f t="shared" si="87"/>
        <v>124.66</v>
      </c>
      <c r="T358" s="34">
        <v>500</v>
      </c>
    </row>
    <row r="359" spans="1:20" x14ac:dyDescent="0.25">
      <c r="A359" s="36" t="s">
        <v>486</v>
      </c>
      <c r="B359" s="36"/>
      <c r="C359" s="36" t="s">
        <v>35</v>
      </c>
      <c r="D359" s="39">
        <v>45882</v>
      </c>
      <c r="E359" s="39">
        <v>46247</v>
      </c>
      <c r="F359" s="36" t="s">
        <v>1389</v>
      </c>
      <c r="G359" s="36" t="s">
        <v>61</v>
      </c>
      <c r="H359" s="38">
        <v>14960</v>
      </c>
      <c r="I359" s="40">
        <v>12466</v>
      </c>
      <c r="J359" s="40"/>
      <c r="K359" s="40"/>
      <c r="L359" s="40"/>
      <c r="M359" s="40"/>
      <c r="N359" s="36" t="s">
        <v>2107</v>
      </c>
      <c r="O359" s="37">
        <v>45516</v>
      </c>
      <c r="P359" s="44" t="s">
        <v>58</v>
      </c>
      <c r="Q359" s="38">
        <v>352000</v>
      </c>
      <c r="R359" s="33">
        <f t="shared" si="88"/>
        <v>1869.9</v>
      </c>
      <c r="S359" s="35">
        <f t="shared" si="87"/>
        <v>124.66</v>
      </c>
      <c r="T359" s="34">
        <v>500</v>
      </c>
    </row>
    <row r="360" spans="1:20" x14ac:dyDescent="0.25">
      <c r="A360" s="36" t="s">
        <v>487</v>
      </c>
      <c r="B360" s="36"/>
      <c r="C360" s="36" t="s">
        <v>33</v>
      </c>
      <c r="D360" s="39">
        <v>45516</v>
      </c>
      <c r="E360" s="39">
        <v>45881</v>
      </c>
      <c r="F360" s="36" t="s">
        <v>1390</v>
      </c>
      <c r="G360" s="36" t="s">
        <v>61</v>
      </c>
      <c r="H360" s="38">
        <v>14960</v>
      </c>
      <c r="I360" s="40">
        <v>12466</v>
      </c>
      <c r="J360" s="40"/>
      <c r="K360" s="40"/>
      <c r="L360" s="40"/>
      <c r="M360" s="40"/>
      <c r="N360" s="36" t="s">
        <v>2108</v>
      </c>
      <c r="O360" s="37">
        <v>45516</v>
      </c>
      <c r="P360" s="44" t="s">
        <v>58</v>
      </c>
      <c r="Q360" s="38">
        <v>352000</v>
      </c>
      <c r="R360" s="33">
        <f t="shared" si="88"/>
        <v>1869.9</v>
      </c>
      <c r="S360" s="35">
        <f t="shared" si="87"/>
        <v>124.66</v>
      </c>
      <c r="T360" s="34">
        <v>500</v>
      </c>
    </row>
    <row r="361" spans="1:20" x14ac:dyDescent="0.25">
      <c r="A361" s="36" t="s">
        <v>488</v>
      </c>
      <c r="B361" s="36"/>
      <c r="C361" s="36" t="s">
        <v>35</v>
      </c>
      <c r="D361" s="39">
        <v>45516</v>
      </c>
      <c r="E361" s="39">
        <v>45881</v>
      </c>
      <c r="F361" s="36" t="s">
        <v>1391</v>
      </c>
      <c r="G361" s="36" t="s">
        <v>63</v>
      </c>
      <c r="H361" s="38">
        <v>23248</v>
      </c>
      <c r="I361" s="40">
        <v>19610</v>
      </c>
      <c r="J361" s="40"/>
      <c r="K361" s="40"/>
      <c r="L361" s="40"/>
      <c r="M361" s="40"/>
      <c r="N361" s="36" t="s">
        <v>2109</v>
      </c>
      <c r="O361" s="37">
        <v>45516</v>
      </c>
      <c r="P361" s="44" t="s">
        <v>58</v>
      </c>
      <c r="Q361" s="38">
        <v>547000</v>
      </c>
      <c r="R361" s="33">
        <f t="shared" si="88"/>
        <v>2941.5</v>
      </c>
      <c r="S361" s="35">
        <f t="shared" si="87"/>
        <v>196.1</v>
      </c>
      <c r="T361" s="34">
        <v>500</v>
      </c>
    </row>
    <row r="362" spans="1:20" x14ac:dyDescent="0.25">
      <c r="A362" s="36" t="s">
        <v>489</v>
      </c>
      <c r="B362" s="36"/>
      <c r="C362" s="36" t="s">
        <v>35</v>
      </c>
      <c r="D362" s="39">
        <v>45882</v>
      </c>
      <c r="E362" s="39">
        <v>46247</v>
      </c>
      <c r="F362" s="36" t="s">
        <v>1391</v>
      </c>
      <c r="G362" s="36" t="s">
        <v>63</v>
      </c>
      <c r="H362" s="38">
        <v>23248</v>
      </c>
      <c r="I362" s="40">
        <v>19610</v>
      </c>
      <c r="J362" s="40"/>
      <c r="K362" s="40"/>
      <c r="L362" s="40"/>
      <c r="M362" s="40"/>
      <c r="N362" s="36" t="s">
        <v>2109</v>
      </c>
      <c r="O362" s="37">
        <v>45516</v>
      </c>
      <c r="P362" s="44" t="s">
        <v>58</v>
      </c>
      <c r="Q362" s="38">
        <v>547000</v>
      </c>
      <c r="R362" s="33">
        <f t="shared" si="88"/>
        <v>2941.5</v>
      </c>
      <c r="S362" s="35">
        <f t="shared" si="87"/>
        <v>196.1</v>
      </c>
      <c r="T362" s="34">
        <v>500</v>
      </c>
    </row>
    <row r="363" spans="1:20" x14ac:dyDescent="0.25">
      <c r="A363" s="36" t="s">
        <v>490</v>
      </c>
      <c r="B363" s="36"/>
      <c r="C363" s="36" t="s">
        <v>72</v>
      </c>
      <c r="D363" s="39">
        <v>45516</v>
      </c>
      <c r="E363" s="39">
        <v>45881</v>
      </c>
      <c r="F363" s="36" t="s">
        <v>1210</v>
      </c>
      <c r="G363" s="36" t="s">
        <v>62</v>
      </c>
      <c r="H363" s="38">
        <v>9550</v>
      </c>
      <c r="I363" s="40">
        <v>7802</v>
      </c>
      <c r="J363" s="40"/>
      <c r="K363" s="40"/>
      <c r="L363" s="40"/>
      <c r="M363" s="40"/>
      <c r="N363" s="36" t="s">
        <v>2110</v>
      </c>
      <c r="O363" s="37">
        <v>45516</v>
      </c>
      <c r="P363" s="44" t="s">
        <v>58</v>
      </c>
      <c r="Q363" s="38">
        <v>382000</v>
      </c>
      <c r="R363" s="33">
        <f t="shared" si="88"/>
        <v>1170.3</v>
      </c>
      <c r="S363" s="35">
        <f t="shared" si="87"/>
        <v>78.02</v>
      </c>
      <c r="T363" s="34">
        <v>500</v>
      </c>
    </row>
    <row r="364" spans="1:20" x14ac:dyDescent="0.25">
      <c r="A364" s="36" t="s">
        <v>491</v>
      </c>
      <c r="B364" s="36"/>
      <c r="C364" s="36" t="s">
        <v>72</v>
      </c>
      <c r="D364" s="39">
        <v>45516</v>
      </c>
      <c r="E364" s="39">
        <v>45881</v>
      </c>
      <c r="F364" s="36" t="s">
        <v>1392</v>
      </c>
      <c r="G364" s="36" t="s">
        <v>61</v>
      </c>
      <c r="H364" s="38">
        <v>8800</v>
      </c>
      <c r="I364" s="40">
        <v>7155</v>
      </c>
      <c r="J364" s="40"/>
      <c r="K364" s="40"/>
      <c r="L364" s="40"/>
      <c r="M364" s="40"/>
      <c r="N364" s="36" t="s">
        <v>2111</v>
      </c>
      <c r="O364" s="37">
        <v>45516</v>
      </c>
      <c r="P364" s="44" t="s">
        <v>58</v>
      </c>
      <c r="Q364" s="38">
        <v>352000</v>
      </c>
      <c r="R364" s="33">
        <f t="shared" si="88"/>
        <v>1073.25</v>
      </c>
      <c r="S364" s="35">
        <f t="shared" si="87"/>
        <v>71.55</v>
      </c>
      <c r="T364" s="34">
        <v>500</v>
      </c>
    </row>
    <row r="365" spans="1:20" x14ac:dyDescent="0.25">
      <c r="A365" s="36" t="s">
        <v>492</v>
      </c>
      <c r="B365" s="36"/>
      <c r="C365" s="36" t="s">
        <v>72</v>
      </c>
      <c r="D365" s="39">
        <v>45516</v>
      </c>
      <c r="E365" s="39">
        <v>45881</v>
      </c>
      <c r="F365" s="36" t="s">
        <v>1393</v>
      </c>
      <c r="G365" s="36" t="s">
        <v>61</v>
      </c>
      <c r="H365" s="38">
        <v>8800</v>
      </c>
      <c r="I365" s="40">
        <v>7155</v>
      </c>
      <c r="J365" s="40"/>
      <c r="K365" s="40"/>
      <c r="L365" s="40"/>
      <c r="M365" s="40"/>
      <c r="N365" s="36" t="s">
        <v>2112</v>
      </c>
      <c r="O365" s="37">
        <v>45516</v>
      </c>
      <c r="P365" s="44" t="s">
        <v>58</v>
      </c>
      <c r="Q365" s="38">
        <v>352000</v>
      </c>
      <c r="R365" s="33">
        <f t="shared" si="88"/>
        <v>1073.25</v>
      </c>
      <c r="S365" s="35">
        <f t="shared" si="87"/>
        <v>71.55</v>
      </c>
      <c r="T365" s="34">
        <v>500</v>
      </c>
    </row>
    <row r="366" spans="1:20" x14ac:dyDescent="0.25">
      <c r="A366" s="36" t="s">
        <v>493</v>
      </c>
      <c r="B366" s="36"/>
      <c r="C366" s="36" t="s">
        <v>72</v>
      </c>
      <c r="D366" s="39">
        <v>45516</v>
      </c>
      <c r="E366" s="39">
        <v>45881</v>
      </c>
      <c r="F366" s="36" t="s">
        <v>1394</v>
      </c>
      <c r="G366" s="36" t="s">
        <v>64</v>
      </c>
      <c r="H366" s="38">
        <v>12475</v>
      </c>
      <c r="I366" s="40">
        <v>10323</v>
      </c>
      <c r="J366" s="40"/>
      <c r="K366" s="40"/>
      <c r="L366" s="40"/>
      <c r="M366" s="40"/>
      <c r="N366" s="36" t="s">
        <v>2113</v>
      </c>
      <c r="O366" s="37">
        <v>45516</v>
      </c>
      <c r="P366" s="44" t="s">
        <v>58</v>
      </c>
      <c r="Q366" s="38">
        <v>499000</v>
      </c>
      <c r="R366" s="33">
        <f t="shared" si="88"/>
        <v>1548.45</v>
      </c>
      <c r="S366" s="35">
        <f t="shared" si="87"/>
        <v>103.23</v>
      </c>
      <c r="T366" s="34">
        <v>500</v>
      </c>
    </row>
    <row r="367" spans="1:20" x14ac:dyDescent="0.25">
      <c r="A367" s="36" t="s">
        <v>494</v>
      </c>
      <c r="B367" s="36"/>
      <c r="C367" s="36" t="s">
        <v>72</v>
      </c>
      <c r="D367" s="39">
        <v>45516</v>
      </c>
      <c r="E367" s="39">
        <v>45881</v>
      </c>
      <c r="F367" s="36" t="s">
        <v>1395</v>
      </c>
      <c r="G367" s="36" t="s">
        <v>61</v>
      </c>
      <c r="H367" s="38">
        <v>8800</v>
      </c>
      <c r="I367" s="40">
        <v>7155</v>
      </c>
      <c r="J367" s="40"/>
      <c r="K367" s="40"/>
      <c r="L367" s="40"/>
      <c r="M367" s="40"/>
      <c r="N367" s="36" t="s">
        <v>2114</v>
      </c>
      <c r="O367" s="37">
        <v>45516</v>
      </c>
      <c r="P367" s="44" t="s">
        <v>58</v>
      </c>
      <c r="Q367" s="38">
        <v>352000</v>
      </c>
      <c r="R367" s="33">
        <f t="shared" si="88"/>
        <v>1073.25</v>
      </c>
      <c r="S367" s="35">
        <f t="shared" si="87"/>
        <v>71.55</v>
      </c>
      <c r="T367" s="34">
        <v>500</v>
      </c>
    </row>
    <row r="368" spans="1:20" x14ac:dyDescent="0.25">
      <c r="A368" s="36" t="s">
        <v>495</v>
      </c>
      <c r="B368" s="36"/>
      <c r="C368" s="36" t="s">
        <v>30</v>
      </c>
      <c r="D368" s="39">
        <v>45516</v>
      </c>
      <c r="E368" s="39">
        <v>45881</v>
      </c>
      <c r="F368" s="36" t="s">
        <v>56</v>
      </c>
      <c r="G368" s="36" t="s">
        <v>61</v>
      </c>
      <c r="H368" s="38">
        <v>14960</v>
      </c>
      <c r="I368" s="40">
        <v>12466</v>
      </c>
      <c r="J368" s="40"/>
      <c r="K368" s="40"/>
      <c r="L368" s="40"/>
      <c r="M368" s="40"/>
      <c r="N368" s="36" t="s">
        <v>2115</v>
      </c>
      <c r="O368" s="37">
        <v>45516</v>
      </c>
      <c r="P368" s="44" t="s">
        <v>58</v>
      </c>
      <c r="Q368" s="38">
        <v>352000</v>
      </c>
      <c r="R368" s="33">
        <f t="shared" si="88"/>
        <v>1869.9</v>
      </c>
      <c r="S368" s="35">
        <f t="shared" si="87"/>
        <v>124.66</v>
      </c>
      <c r="T368" s="34">
        <v>500</v>
      </c>
    </row>
    <row r="369" spans="1:20" x14ac:dyDescent="0.25">
      <c r="A369" s="36" t="s">
        <v>496</v>
      </c>
      <c r="B369" s="36"/>
      <c r="C369" s="36" t="s">
        <v>30</v>
      </c>
      <c r="D369" s="39">
        <v>45882</v>
      </c>
      <c r="E369" s="39">
        <v>46247</v>
      </c>
      <c r="F369" s="36" t="s">
        <v>56</v>
      </c>
      <c r="G369" s="36" t="s">
        <v>61</v>
      </c>
      <c r="H369" s="38">
        <v>14960</v>
      </c>
      <c r="I369" s="40">
        <v>12466</v>
      </c>
      <c r="J369" s="40"/>
      <c r="K369" s="40"/>
      <c r="L369" s="40"/>
      <c r="M369" s="40"/>
      <c r="N369" s="36" t="s">
        <v>2115</v>
      </c>
      <c r="O369" s="37">
        <v>45516</v>
      </c>
      <c r="P369" s="44" t="s">
        <v>58</v>
      </c>
      <c r="Q369" s="38">
        <v>352000</v>
      </c>
      <c r="R369" s="33">
        <f t="shared" si="88"/>
        <v>1869.9</v>
      </c>
      <c r="S369" s="35">
        <f t="shared" si="87"/>
        <v>124.66</v>
      </c>
      <c r="T369" s="34">
        <v>500</v>
      </c>
    </row>
    <row r="370" spans="1:20" x14ac:dyDescent="0.25">
      <c r="A370" s="36" t="s">
        <v>497</v>
      </c>
      <c r="B370" s="36"/>
      <c r="C370" s="36" t="s">
        <v>35</v>
      </c>
      <c r="D370" s="39">
        <v>45516</v>
      </c>
      <c r="E370" s="39">
        <v>45881</v>
      </c>
      <c r="F370" s="36" t="s">
        <v>1396</v>
      </c>
      <c r="G370" s="36" t="s">
        <v>61</v>
      </c>
      <c r="H370" s="38">
        <v>14960</v>
      </c>
      <c r="I370" s="40">
        <v>12466</v>
      </c>
      <c r="J370" s="40"/>
      <c r="K370" s="40"/>
      <c r="L370" s="40"/>
      <c r="M370" s="40"/>
      <c r="N370" s="36" t="s">
        <v>2116</v>
      </c>
      <c r="O370" s="37">
        <v>45516</v>
      </c>
      <c r="P370" s="44" t="s">
        <v>58</v>
      </c>
      <c r="Q370" s="38">
        <v>352000</v>
      </c>
      <c r="R370" s="33">
        <f t="shared" si="88"/>
        <v>1869.9</v>
      </c>
      <c r="S370" s="35">
        <f t="shared" si="87"/>
        <v>124.66</v>
      </c>
      <c r="T370" s="34">
        <v>500</v>
      </c>
    </row>
    <row r="371" spans="1:20" x14ac:dyDescent="0.25">
      <c r="A371" s="36" t="s">
        <v>498</v>
      </c>
      <c r="B371" s="36"/>
      <c r="C371" s="36" t="s">
        <v>36</v>
      </c>
      <c r="D371" s="39">
        <v>45516</v>
      </c>
      <c r="E371" s="39">
        <v>45881</v>
      </c>
      <c r="F371" s="36" t="s">
        <v>1397</v>
      </c>
      <c r="G371" s="36" t="s">
        <v>61</v>
      </c>
      <c r="H371" s="38">
        <v>14960</v>
      </c>
      <c r="I371" s="40">
        <v>12466</v>
      </c>
      <c r="J371" s="40"/>
      <c r="K371" s="40"/>
      <c r="L371" s="40"/>
      <c r="M371" s="40"/>
      <c r="N371" s="36" t="s">
        <v>2117</v>
      </c>
      <c r="O371" s="37">
        <v>45516</v>
      </c>
      <c r="P371" s="44" t="s">
        <v>58</v>
      </c>
      <c r="Q371" s="38">
        <v>352000</v>
      </c>
      <c r="R371" s="33">
        <f t="shared" si="88"/>
        <v>1869.9</v>
      </c>
      <c r="S371" s="35">
        <f t="shared" si="87"/>
        <v>124.66</v>
      </c>
      <c r="T371" s="34">
        <v>500</v>
      </c>
    </row>
    <row r="372" spans="1:20" x14ac:dyDescent="0.25">
      <c r="A372" s="36" t="s">
        <v>499</v>
      </c>
      <c r="B372" s="36"/>
      <c r="C372" s="36" t="s">
        <v>36</v>
      </c>
      <c r="D372" s="39">
        <v>45882</v>
      </c>
      <c r="E372" s="39">
        <v>46247</v>
      </c>
      <c r="F372" s="36" t="s">
        <v>1397</v>
      </c>
      <c r="G372" s="36" t="s">
        <v>61</v>
      </c>
      <c r="H372" s="38">
        <v>14960</v>
      </c>
      <c r="I372" s="40">
        <v>12466</v>
      </c>
      <c r="J372" s="40"/>
      <c r="K372" s="40"/>
      <c r="L372" s="40"/>
      <c r="M372" s="40"/>
      <c r="N372" s="36" t="s">
        <v>2117</v>
      </c>
      <c r="O372" s="37">
        <v>45516</v>
      </c>
      <c r="P372" s="44" t="s">
        <v>58</v>
      </c>
      <c r="Q372" s="38">
        <v>352000</v>
      </c>
      <c r="R372" s="33">
        <f t="shared" si="88"/>
        <v>1869.9</v>
      </c>
      <c r="S372" s="35">
        <f t="shared" si="87"/>
        <v>124.66</v>
      </c>
      <c r="T372" s="34">
        <v>500</v>
      </c>
    </row>
    <row r="373" spans="1:20" x14ac:dyDescent="0.25">
      <c r="A373" s="36" t="s">
        <v>500</v>
      </c>
      <c r="B373" s="36"/>
      <c r="C373" s="36" t="s">
        <v>33</v>
      </c>
      <c r="D373" s="39">
        <v>45516</v>
      </c>
      <c r="E373" s="39">
        <v>45881</v>
      </c>
      <c r="F373" s="36" t="s">
        <v>1398</v>
      </c>
      <c r="G373" s="36" t="s">
        <v>62</v>
      </c>
      <c r="H373" s="38">
        <v>16235</v>
      </c>
      <c r="I373" s="40">
        <v>13565</v>
      </c>
      <c r="J373" s="40"/>
      <c r="K373" s="40"/>
      <c r="L373" s="40"/>
      <c r="M373" s="40"/>
      <c r="N373" s="36" t="s">
        <v>2118</v>
      </c>
      <c r="O373" s="37">
        <v>45516</v>
      </c>
      <c r="P373" s="44" t="s">
        <v>58</v>
      </c>
      <c r="Q373" s="38">
        <v>382000</v>
      </c>
      <c r="R373" s="33">
        <f t="shared" si="88"/>
        <v>2034.75</v>
      </c>
      <c r="S373" s="35">
        <f t="shared" si="87"/>
        <v>135.65</v>
      </c>
      <c r="T373" s="34">
        <v>500</v>
      </c>
    </row>
    <row r="374" spans="1:20" x14ac:dyDescent="0.25">
      <c r="A374" s="36" t="s">
        <v>501</v>
      </c>
      <c r="B374" s="36"/>
      <c r="C374" s="36" t="s">
        <v>33</v>
      </c>
      <c r="D374" s="39">
        <v>45882</v>
      </c>
      <c r="E374" s="39">
        <v>46247</v>
      </c>
      <c r="F374" s="36" t="s">
        <v>1398</v>
      </c>
      <c r="G374" s="36" t="s">
        <v>62</v>
      </c>
      <c r="H374" s="38">
        <v>16235</v>
      </c>
      <c r="I374" s="40">
        <v>13565</v>
      </c>
      <c r="J374" s="40"/>
      <c r="K374" s="40"/>
      <c r="L374" s="40"/>
      <c r="M374" s="40"/>
      <c r="N374" s="36" t="s">
        <v>2118</v>
      </c>
      <c r="O374" s="37">
        <v>45516</v>
      </c>
      <c r="P374" s="44" t="s">
        <v>58</v>
      </c>
      <c r="Q374" s="38">
        <v>382000</v>
      </c>
      <c r="R374" s="33">
        <f t="shared" si="88"/>
        <v>2034.75</v>
      </c>
      <c r="S374" s="35">
        <f t="shared" si="87"/>
        <v>135.65</v>
      </c>
      <c r="T374" s="34">
        <v>500</v>
      </c>
    </row>
    <row r="375" spans="1:20" x14ac:dyDescent="0.25">
      <c r="A375" s="36" t="s">
        <v>502</v>
      </c>
      <c r="B375" s="36"/>
      <c r="C375" s="36" t="s">
        <v>52</v>
      </c>
      <c r="D375" s="39">
        <v>45516</v>
      </c>
      <c r="E375" s="39">
        <v>45881</v>
      </c>
      <c r="F375" s="36" t="s">
        <v>1399</v>
      </c>
      <c r="G375" s="36" t="s">
        <v>61</v>
      </c>
      <c r="H375" s="38">
        <v>14960</v>
      </c>
      <c r="I375" s="40">
        <v>12466</v>
      </c>
      <c r="J375" s="40"/>
      <c r="K375" s="40"/>
      <c r="L375" s="40"/>
      <c r="M375" s="40"/>
      <c r="N375" s="36" t="s">
        <v>2119</v>
      </c>
      <c r="O375" s="37">
        <v>45516</v>
      </c>
      <c r="P375" s="44" t="s">
        <v>58</v>
      </c>
      <c r="Q375" s="38">
        <v>352000</v>
      </c>
      <c r="R375" s="33">
        <f t="shared" si="88"/>
        <v>1869.9</v>
      </c>
      <c r="S375" s="35">
        <f t="shared" si="87"/>
        <v>124.66</v>
      </c>
      <c r="T375" s="34">
        <v>500</v>
      </c>
    </row>
    <row r="376" spans="1:20" x14ac:dyDescent="0.25">
      <c r="A376" s="36" t="s">
        <v>503</v>
      </c>
      <c r="B376" s="36"/>
      <c r="C376" s="36" t="s">
        <v>52</v>
      </c>
      <c r="D376" s="39">
        <v>45516</v>
      </c>
      <c r="E376" s="39">
        <v>45881</v>
      </c>
      <c r="F376" s="36" t="s">
        <v>1400</v>
      </c>
      <c r="G376" s="36" t="s">
        <v>61</v>
      </c>
      <c r="H376" s="38">
        <v>14960</v>
      </c>
      <c r="I376" s="40">
        <v>12466</v>
      </c>
      <c r="J376" s="40"/>
      <c r="K376" s="40"/>
      <c r="L376" s="40"/>
      <c r="M376" s="40"/>
      <c r="N376" s="36" t="s">
        <v>2120</v>
      </c>
      <c r="O376" s="37">
        <v>45516</v>
      </c>
      <c r="P376" s="44" t="s">
        <v>58</v>
      </c>
      <c r="Q376" s="38">
        <v>352000</v>
      </c>
      <c r="R376" s="33">
        <f t="shared" si="88"/>
        <v>1869.9</v>
      </c>
      <c r="S376" s="35">
        <f t="shared" si="87"/>
        <v>124.66</v>
      </c>
      <c r="T376" s="34">
        <v>500</v>
      </c>
    </row>
    <row r="377" spans="1:20" x14ac:dyDescent="0.25">
      <c r="A377" s="36" t="s">
        <v>504</v>
      </c>
      <c r="B377" s="36"/>
      <c r="C377" s="36" t="s">
        <v>33</v>
      </c>
      <c r="D377" s="39">
        <v>45517</v>
      </c>
      <c r="E377" s="39">
        <v>45882</v>
      </c>
      <c r="F377" s="36" t="s">
        <v>112</v>
      </c>
      <c r="G377" s="36" t="s">
        <v>63</v>
      </c>
      <c r="H377" s="38">
        <v>23248</v>
      </c>
      <c r="I377" s="40">
        <v>19610</v>
      </c>
      <c r="J377" s="40"/>
      <c r="K377" s="40"/>
      <c r="L377" s="40"/>
      <c r="M377" s="40"/>
      <c r="N377" s="36" t="s">
        <v>2121</v>
      </c>
      <c r="O377" s="37">
        <v>45517</v>
      </c>
      <c r="P377" s="44" t="s">
        <v>58</v>
      </c>
      <c r="Q377" s="38">
        <v>547000</v>
      </c>
      <c r="R377" s="33">
        <f t="shared" si="88"/>
        <v>2941.5</v>
      </c>
      <c r="S377" s="35">
        <f t="shared" si="87"/>
        <v>196.1</v>
      </c>
      <c r="T377" s="34">
        <v>500</v>
      </c>
    </row>
    <row r="378" spans="1:20" x14ac:dyDescent="0.25">
      <c r="A378" s="36" t="s">
        <v>505</v>
      </c>
      <c r="B378" s="36"/>
      <c r="C378" s="36" t="s">
        <v>35</v>
      </c>
      <c r="D378" s="39">
        <v>45517</v>
      </c>
      <c r="E378" s="39">
        <v>45882</v>
      </c>
      <c r="F378" s="36" t="s">
        <v>1388</v>
      </c>
      <c r="G378" s="36" t="s">
        <v>64</v>
      </c>
      <c r="H378" s="38">
        <v>21208</v>
      </c>
      <c r="I378" s="40">
        <v>17852</v>
      </c>
      <c r="J378" s="40"/>
      <c r="K378" s="40"/>
      <c r="L378" s="40"/>
      <c r="M378" s="40"/>
      <c r="N378" s="36" t="s">
        <v>2122</v>
      </c>
      <c r="O378" s="37">
        <v>45517</v>
      </c>
      <c r="P378" s="44" t="s">
        <v>58</v>
      </c>
      <c r="Q378" s="38">
        <v>499000</v>
      </c>
      <c r="R378" s="33">
        <f t="shared" si="88"/>
        <v>2677.8</v>
      </c>
      <c r="S378" s="35">
        <f t="shared" si="87"/>
        <v>178.52</v>
      </c>
      <c r="T378" s="34">
        <v>500</v>
      </c>
    </row>
    <row r="379" spans="1:20" x14ac:dyDescent="0.25">
      <c r="A379" s="36" t="s">
        <v>506</v>
      </c>
      <c r="B379" s="36"/>
      <c r="C379" s="36" t="s">
        <v>39</v>
      </c>
      <c r="D379" s="39">
        <v>45517</v>
      </c>
      <c r="E379" s="39">
        <v>45882</v>
      </c>
      <c r="F379" s="36" t="s">
        <v>120</v>
      </c>
      <c r="G379" s="36" t="s">
        <v>61</v>
      </c>
      <c r="H379" s="38">
        <v>14960</v>
      </c>
      <c r="I379" s="40">
        <v>12466</v>
      </c>
      <c r="J379" s="40"/>
      <c r="K379" s="40"/>
      <c r="L379" s="40"/>
      <c r="M379" s="40"/>
      <c r="N379" s="36" t="s">
        <v>2123</v>
      </c>
      <c r="O379" s="37">
        <v>45517</v>
      </c>
      <c r="P379" s="44" t="s">
        <v>58</v>
      </c>
      <c r="Q379" s="38">
        <v>352000</v>
      </c>
      <c r="R379" s="33">
        <f t="shared" si="88"/>
        <v>1869.9</v>
      </c>
      <c r="S379" s="35">
        <f t="shared" si="87"/>
        <v>124.66</v>
      </c>
      <c r="T379" s="34">
        <v>500</v>
      </c>
    </row>
    <row r="380" spans="1:20" x14ac:dyDescent="0.25">
      <c r="A380" s="36" t="s">
        <v>507</v>
      </c>
      <c r="B380" s="36"/>
      <c r="C380" s="36" t="s">
        <v>39</v>
      </c>
      <c r="D380" s="39">
        <v>45883</v>
      </c>
      <c r="E380" s="39">
        <v>46248</v>
      </c>
      <c r="F380" s="36" t="s">
        <v>120</v>
      </c>
      <c r="G380" s="36" t="s">
        <v>61</v>
      </c>
      <c r="H380" s="38">
        <v>14960</v>
      </c>
      <c r="I380" s="40">
        <v>12466</v>
      </c>
      <c r="J380" s="40"/>
      <c r="K380" s="40"/>
      <c r="L380" s="40"/>
      <c r="M380" s="40"/>
      <c r="N380" s="36" t="s">
        <v>2123</v>
      </c>
      <c r="O380" s="37">
        <v>45517</v>
      </c>
      <c r="P380" s="44" t="s">
        <v>58</v>
      </c>
      <c r="Q380" s="38">
        <v>352000</v>
      </c>
      <c r="R380" s="33">
        <f t="shared" si="88"/>
        <v>1869.9</v>
      </c>
      <c r="S380" s="35">
        <f t="shared" si="87"/>
        <v>124.66</v>
      </c>
      <c r="T380" s="34">
        <v>500</v>
      </c>
    </row>
    <row r="381" spans="1:20" x14ac:dyDescent="0.25">
      <c r="A381" s="36" t="s">
        <v>508</v>
      </c>
      <c r="B381" s="36"/>
      <c r="C381" s="36" t="s">
        <v>31</v>
      </c>
      <c r="D381" s="39">
        <v>45517</v>
      </c>
      <c r="E381" s="39">
        <v>45882</v>
      </c>
      <c r="F381" s="36" t="s">
        <v>1401</v>
      </c>
      <c r="G381" s="36" t="s">
        <v>63</v>
      </c>
      <c r="H381" s="38">
        <v>23248</v>
      </c>
      <c r="I381" s="40">
        <v>19610</v>
      </c>
      <c r="J381" s="40"/>
      <c r="K381" s="40"/>
      <c r="L381" s="40"/>
      <c r="M381" s="40"/>
      <c r="N381" s="36" t="s">
        <v>2124</v>
      </c>
      <c r="O381" s="37">
        <v>45517</v>
      </c>
      <c r="P381" s="44" t="s">
        <v>58</v>
      </c>
      <c r="Q381" s="38">
        <v>547000</v>
      </c>
      <c r="R381" s="33">
        <f t="shared" si="88"/>
        <v>2941.5</v>
      </c>
      <c r="S381" s="35">
        <f t="shared" si="87"/>
        <v>196.1</v>
      </c>
      <c r="T381" s="34">
        <v>500</v>
      </c>
    </row>
    <row r="382" spans="1:20" x14ac:dyDescent="0.25">
      <c r="A382" s="36" t="s">
        <v>509</v>
      </c>
      <c r="B382" s="36"/>
      <c r="C382" s="36" t="s">
        <v>31</v>
      </c>
      <c r="D382" s="39">
        <v>45883</v>
      </c>
      <c r="E382" s="39">
        <v>46248</v>
      </c>
      <c r="F382" s="36" t="s">
        <v>1401</v>
      </c>
      <c r="G382" s="36" t="s">
        <v>63</v>
      </c>
      <c r="H382" s="38">
        <v>23248</v>
      </c>
      <c r="I382" s="40">
        <v>19610</v>
      </c>
      <c r="J382" s="40"/>
      <c r="K382" s="40"/>
      <c r="L382" s="40"/>
      <c r="M382" s="40"/>
      <c r="N382" s="36" t="s">
        <v>2124</v>
      </c>
      <c r="O382" s="37">
        <v>45517</v>
      </c>
      <c r="P382" s="44" t="s">
        <v>58</v>
      </c>
      <c r="Q382" s="38">
        <v>547000</v>
      </c>
      <c r="R382" s="33">
        <f t="shared" si="88"/>
        <v>2941.5</v>
      </c>
      <c r="S382" s="35">
        <f t="shared" si="87"/>
        <v>196.1</v>
      </c>
      <c r="T382" s="34">
        <v>500</v>
      </c>
    </row>
    <row r="383" spans="1:20" x14ac:dyDescent="0.25">
      <c r="A383" s="36" t="s">
        <v>510</v>
      </c>
      <c r="B383" s="36"/>
      <c r="C383" s="36" t="s">
        <v>30</v>
      </c>
      <c r="D383" s="39">
        <v>45517</v>
      </c>
      <c r="E383" s="39">
        <v>45882</v>
      </c>
      <c r="F383" s="36" t="s">
        <v>1402</v>
      </c>
      <c r="G383" s="36" t="s">
        <v>63</v>
      </c>
      <c r="H383" s="38">
        <v>23248</v>
      </c>
      <c r="I383" s="40">
        <v>19610</v>
      </c>
      <c r="J383" s="40"/>
      <c r="K383" s="40"/>
      <c r="L383" s="40"/>
      <c r="M383" s="40"/>
      <c r="N383" s="36" t="s">
        <v>2125</v>
      </c>
      <c r="O383" s="37">
        <v>45517</v>
      </c>
      <c r="P383" s="44" t="s">
        <v>58</v>
      </c>
      <c r="Q383" s="38">
        <v>547000</v>
      </c>
      <c r="R383" s="33">
        <f t="shared" si="88"/>
        <v>2941.5</v>
      </c>
      <c r="S383" s="35">
        <f t="shared" si="87"/>
        <v>196.1</v>
      </c>
      <c r="T383" s="34">
        <v>500</v>
      </c>
    </row>
    <row r="384" spans="1:20" x14ac:dyDescent="0.25">
      <c r="A384" s="36" t="s">
        <v>511</v>
      </c>
      <c r="B384" s="36"/>
      <c r="C384" s="36" t="s">
        <v>30</v>
      </c>
      <c r="D384" s="39">
        <v>45883</v>
      </c>
      <c r="E384" s="39">
        <v>46248</v>
      </c>
      <c r="F384" s="36" t="s">
        <v>1402</v>
      </c>
      <c r="G384" s="36" t="s">
        <v>63</v>
      </c>
      <c r="H384" s="38">
        <v>23248</v>
      </c>
      <c r="I384" s="40">
        <v>19610</v>
      </c>
      <c r="J384" s="40"/>
      <c r="K384" s="40"/>
      <c r="L384" s="40"/>
      <c r="M384" s="40"/>
      <c r="N384" s="36" t="s">
        <v>2125</v>
      </c>
      <c r="O384" s="37">
        <v>45517</v>
      </c>
      <c r="P384" s="44" t="s">
        <v>58</v>
      </c>
      <c r="Q384" s="38">
        <v>547000</v>
      </c>
      <c r="R384" s="33">
        <f t="shared" si="88"/>
        <v>2941.5</v>
      </c>
      <c r="S384" s="35">
        <f t="shared" si="87"/>
        <v>196.1</v>
      </c>
      <c r="T384" s="34">
        <v>500</v>
      </c>
    </row>
    <row r="385" spans="1:20" x14ac:dyDescent="0.25">
      <c r="A385" s="36" t="s">
        <v>512</v>
      </c>
      <c r="B385" s="36"/>
      <c r="C385" s="36" t="s">
        <v>67</v>
      </c>
      <c r="D385" s="39">
        <v>45517</v>
      </c>
      <c r="E385" s="39">
        <v>45882</v>
      </c>
      <c r="F385" s="36" t="s">
        <v>1403</v>
      </c>
      <c r="G385" s="36" t="s">
        <v>62</v>
      </c>
      <c r="H385" s="38">
        <v>9550</v>
      </c>
      <c r="I385" s="40">
        <v>7802</v>
      </c>
      <c r="J385" s="40"/>
      <c r="K385" s="40"/>
      <c r="L385" s="40"/>
      <c r="M385" s="40"/>
      <c r="N385" s="36" t="s">
        <v>2126</v>
      </c>
      <c r="O385" s="37">
        <v>45517</v>
      </c>
      <c r="P385" s="44" t="s">
        <v>58</v>
      </c>
      <c r="Q385" s="38">
        <v>382000</v>
      </c>
      <c r="R385" s="33">
        <f t="shared" si="88"/>
        <v>1170.3</v>
      </c>
      <c r="S385" s="35">
        <f t="shared" si="87"/>
        <v>78.02</v>
      </c>
      <c r="T385" s="34">
        <v>500</v>
      </c>
    </row>
    <row r="386" spans="1:20" x14ac:dyDescent="0.25">
      <c r="A386" s="36" t="s">
        <v>513</v>
      </c>
      <c r="B386" s="36"/>
      <c r="C386" s="36" t="s">
        <v>67</v>
      </c>
      <c r="D386" s="39">
        <v>45517</v>
      </c>
      <c r="E386" s="39">
        <v>45882</v>
      </c>
      <c r="F386" s="36" t="s">
        <v>1403</v>
      </c>
      <c r="G386" s="36" t="s">
        <v>62</v>
      </c>
      <c r="H386" s="38">
        <v>9550</v>
      </c>
      <c r="I386" s="40">
        <v>7802</v>
      </c>
      <c r="J386" s="40"/>
      <c r="K386" s="40"/>
      <c r="L386" s="40"/>
      <c r="M386" s="40"/>
      <c r="N386" s="36" t="s">
        <v>2126</v>
      </c>
      <c r="O386" s="37">
        <v>45517</v>
      </c>
      <c r="P386" s="44" t="s">
        <v>58</v>
      </c>
      <c r="Q386" s="38">
        <v>382000</v>
      </c>
      <c r="R386" s="33">
        <f t="shared" si="88"/>
        <v>1170.3</v>
      </c>
      <c r="S386" s="35">
        <f t="shared" si="87"/>
        <v>78.02</v>
      </c>
      <c r="T386" s="34">
        <v>500</v>
      </c>
    </row>
    <row r="387" spans="1:20" x14ac:dyDescent="0.25">
      <c r="A387" s="36" t="s">
        <v>514</v>
      </c>
      <c r="B387" s="36"/>
      <c r="C387" s="36" t="s">
        <v>53</v>
      </c>
      <c r="D387" s="39">
        <v>45517</v>
      </c>
      <c r="E387" s="39">
        <v>45882</v>
      </c>
      <c r="F387" s="36" t="s">
        <v>1404</v>
      </c>
      <c r="G387" s="36" t="s">
        <v>61</v>
      </c>
      <c r="H387" s="38">
        <v>8800</v>
      </c>
      <c r="I387" s="40">
        <v>7155</v>
      </c>
      <c r="J387" s="40"/>
      <c r="K387" s="40"/>
      <c r="L387" s="40"/>
      <c r="M387" s="40"/>
      <c r="N387" s="36" t="s">
        <v>2127</v>
      </c>
      <c r="O387" s="37">
        <v>45517</v>
      </c>
      <c r="P387" s="44" t="s">
        <v>58</v>
      </c>
      <c r="Q387" s="38">
        <v>352000</v>
      </c>
      <c r="R387" s="33">
        <f t="shared" si="88"/>
        <v>1073.25</v>
      </c>
      <c r="S387" s="35">
        <f t="shared" ref="S387:S450" si="89">I387*1/100</f>
        <v>71.55</v>
      </c>
      <c r="T387" s="34">
        <v>500</v>
      </c>
    </row>
    <row r="388" spans="1:20" x14ac:dyDescent="0.25">
      <c r="A388" s="36" t="s">
        <v>515</v>
      </c>
      <c r="B388" s="36"/>
      <c r="C388" s="36" t="s">
        <v>67</v>
      </c>
      <c r="D388" s="39">
        <v>45517</v>
      </c>
      <c r="E388" s="39">
        <v>45882</v>
      </c>
      <c r="F388" s="36" t="s">
        <v>1405</v>
      </c>
      <c r="G388" s="36" t="s">
        <v>61</v>
      </c>
      <c r="H388" s="38">
        <v>8800</v>
      </c>
      <c r="I388" s="40">
        <v>7155</v>
      </c>
      <c r="J388" s="40"/>
      <c r="K388" s="40"/>
      <c r="L388" s="40"/>
      <c r="M388" s="40"/>
      <c r="N388" s="36" t="s">
        <v>2128</v>
      </c>
      <c r="O388" s="37">
        <v>45517</v>
      </c>
      <c r="P388" s="44" t="s">
        <v>58</v>
      </c>
      <c r="Q388" s="38">
        <v>352000</v>
      </c>
      <c r="R388" s="33">
        <f t="shared" ref="R388:R451" si="90">I388*15/100</f>
        <v>1073.25</v>
      </c>
      <c r="S388" s="35">
        <f t="shared" si="89"/>
        <v>71.55</v>
      </c>
      <c r="T388" s="34">
        <v>500</v>
      </c>
    </row>
    <row r="389" spans="1:20" x14ac:dyDescent="0.25">
      <c r="A389" s="36" t="s">
        <v>516</v>
      </c>
      <c r="B389" s="36"/>
      <c r="C389" s="36" t="s">
        <v>67</v>
      </c>
      <c r="D389" s="39">
        <v>45517</v>
      </c>
      <c r="E389" s="39">
        <v>45882</v>
      </c>
      <c r="F389" s="36" t="s">
        <v>1405</v>
      </c>
      <c r="G389" s="36" t="s">
        <v>61</v>
      </c>
      <c r="H389" s="38">
        <v>8800</v>
      </c>
      <c r="I389" s="40">
        <v>7155</v>
      </c>
      <c r="J389" s="40"/>
      <c r="K389" s="40"/>
      <c r="L389" s="40"/>
      <c r="M389" s="40"/>
      <c r="N389" s="36" t="s">
        <v>2128</v>
      </c>
      <c r="O389" s="37">
        <v>45517</v>
      </c>
      <c r="P389" s="44" t="s">
        <v>58</v>
      </c>
      <c r="Q389" s="38">
        <v>352000</v>
      </c>
      <c r="R389" s="33">
        <f t="shared" si="90"/>
        <v>1073.25</v>
      </c>
      <c r="S389" s="35">
        <f t="shared" si="89"/>
        <v>71.55</v>
      </c>
      <c r="T389" s="34">
        <v>500</v>
      </c>
    </row>
    <row r="390" spans="1:20" x14ac:dyDescent="0.25">
      <c r="A390" s="36" t="s">
        <v>517</v>
      </c>
      <c r="B390" s="36"/>
      <c r="C390" s="36" t="s">
        <v>81</v>
      </c>
      <c r="D390" s="39">
        <v>45517</v>
      </c>
      <c r="E390" s="39">
        <v>45882</v>
      </c>
      <c r="F390" s="36" t="s">
        <v>1406</v>
      </c>
      <c r="G390" s="36" t="s">
        <v>61</v>
      </c>
      <c r="H390" s="38">
        <v>8800</v>
      </c>
      <c r="I390" s="40">
        <v>7155</v>
      </c>
      <c r="J390" s="40"/>
      <c r="K390" s="40"/>
      <c r="L390" s="40"/>
      <c r="M390" s="40"/>
      <c r="N390" s="36" t="s">
        <v>2129</v>
      </c>
      <c r="O390" s="37">
        <v>45517</v>
      </c>
      <c r="P390" s="44" t="s">
        <v>58</v>
      </c>
      <c r="Q390" s="38">
        <v>352000</v>
      </c>
      <c r="R390" s="33">
        <f t="shared" si="90"/>
        <v>1073.25</v>
      </c>
      <c r="S390" s="35">
        <f t="shared" si="89"/>
        <v>71.55</v>
      </c>
      <c r="T390" s="34">
        <v>500</v>
      </c>
    </row>
    <row r="391" spans="1:20" x14ac:dyDescent="0.25">
      <c r="A391" s="36" t="s">
        <v>518</v>
      </c>
      <c r="B391" s="36"/>
      <c r="C391" s="36" t="s">
        <v>67</v>
      </c>
      <c r="D391" s="39">
        <v>45517</v>
      </c>
      <c r="E391" s="39">
        <v>45882</v>
      </c>
      <c r="F391" s="36" t="s">
        <v>1407</v>
      </c>
      <c r="G391" s="36" t="s">
        <v>61</v>
      </c>
      <c r="H391" s="38">
        <v>8800</v>
      </c>
      <c r="I391" s="40">
        <v>7155</v>
      </c>
      <c r="J391" s="40"/>
      <c r="K391" s="40"/>
      <c r="L391" s="40"/>
      <c r="M391" s="40"/>
      <c r="N391" s="36" t="s">
        <v>2130</v>
      </c>
      <c r="O391" s="37">
        <v>45517</v>
      </c>
      <c r="P391" s="44" t="s">
        <v>58</v>
      </c>
      <c r="Q391" s="38">
        <v>352000</v>
      </c>
      <c r="R391" s="33">
        <f t="shared" si="90"/>
        <v>1073.25</v>
      </c>
      <c r="S391" s="35">
        <f t="shared" si="89"/>
        <v>71.55</v>
      </c>
      <c r="T391" s="34">
        <v>500</v>
      </c>
    </row>
    <row r="392" spans="1:20" x14ac:dyDescent="0.25">
      <c r="A392" s="36" t="s">
        <v>519</v>
      </c>
      <c r="B392" s="36"/>
      <c r="C392" s="36" t="s">
        <v>81</v>
      </c>
      <c r="D392" s="39">
        <v>45517</v>
      </c>
      <c r="E392" s="39">
        <v>45882</v>
      </c>
      <c r="F392" s="36" t="s">
        <v>57</v>
      </c>
      <c r="G392" s="36" t="s">
        <v>61</v>
      </c>
      <c r="H392" s="38">
        <v>8800</v>
      </c>
      <c r="I392" s="40">
        <v>7155</v>
      </c>
      <c r="J392" s="40"/>
      <c r="K392" s="40"/>
      <c r="L392" s="40"/>
      <c r="M392" s="40"/>
      <c r="N392" s="36" t="s">
        <v>2131</v>
      </c>
      <c r="O392" s="37">
        <v>45517</v>
      </c>
      <c r="P392" s="44" t="s">
        <v>58</v>
      </c>
      <c r="Q392" s="38">
        <v>352000</v>
      </c>
      <c r="R392" s="33">
        <f t="shared" si="90"/>
        <v>1073.25</v>
      </c>
      <c r="S392" s="35">
        <f t="shared" si="89"/>
        <v>71.55</v>
      </c>
      <c r="T392" s="34">
        <v>500</v>
      </c>
    </row>
    <row r="393" spans="1:20" x14ac:dyDescent="0.25">
      <c r="A393" s="36" t="s">
        <v>520</v>
      </c>
      <c r="B393" s="36"/>
      <c r="C393" s="36" t="s">
        <v>81</v>
      </c>
      <c r="D393" s="39">
        <v>45517</v>
      </c>
      <c r="E393" s="39">
        <v>45882</v>
      </c>
      <c r="F393" s="36" t="s">
        <v>1408</v>
      </c>
      <c r="G393" s="36" t="s">
        <v>62</v>
      </c>
      <c r="H393" s="38">
        <v>9550</v>
      </c>
      <c r="I393" s="40">
        <v>7802</v>
      </c>
      <c r="J393" s="40"/>
      <c r="K393" s="40"/>
      <c r="L393" s="40"/>
      <c r="M393" s="40"/>
      <c r="N393" s="36" t="s">
        <v>2132</v>
      </c>
      <c r="O393" s="37">
        <v>45517</v>
      </c>
      <c r="P393" s="44" t="s">
        <v>58</v>
      </c>
      <c r="Q393" s="38">
        <v>382000</v>
      </c>
      <c r="R393" s="33">
        <f t="shared" si="90"/>
        <v>1170.3</v>
      </c>
      <c r="S393" s="35">
        <f t="shared" si="89"/>
        <v>78.02</v>
      </c>
      <c r="T393" s="34">
        <v>500</v>
      </c>
    </row>
    <row r="394" spans="1:20" x14ac:dyDescent="0.25">
      <c r="A394" s="36" t="s">
        <v>521</v>
      </c>
      <c r="B394" s="36"/>
      <c r="C394" s="36" t="s">
        <v>81</v>
      </c>
      <c r="D394" s="39">
        <v>45517</v>
      </c>
      <c r="E394" s="39">
        <v>45882</v>
      </c>
      <c r="F394" s="36" t="s">
        <v>1409</v>
      </c>
      <c r="G394" s="36" t="s">
        <v>61</v>
      </c>
      <c r="H394" s="38">
        <v>8800</v>
      </c>
      <c r="I394" s="40">
        <v>7155</v>
      </c>
      <c r="J394" s="40"/>
      <c r="K394" s="40"/>
      <c r="L394" s="40"/>
      <c r="M394" s="40"/>
      <c r="N394" s="36" t="s">
        <v>2133</v>
      </c>
      <c r="O394" s="37">
        <v>45517</v>
      </c>
      <c r="P394" s="44" t="s">
        <v>58</v>
      </c>
      <c r="Q394" s="38">
        <v>352000</v>
      </c>
      <c r="R394" s="33">
        <f t="shared" si="90"/>
        <v>1073.25</v>
      </c>
      <c r="S394" s="35">
        <f t="shared" si="89"/>
        <v>71.55</v>
      </c>
      <c r="T394" s="34">
        <v>500</v>
      </c>
    </row>
    <row r="395" spans="1:20" x14ac:dyDescent="0.25">
      <c r="A395" s="36" t="s">
        <v>522</v>
      </c>
      <c r="B395" s="36"/>
      <c r="C395" s="36" t="s">
        <v>81</v>
      </c>
      <c r="D395" s="39">
        <v>45517</v>
      </c>
      <c r="E395" s="39">
        <v>45882</v>
      </c>
      <c r="F395" s="36" t="s">
        <v>1410</v>
      </c>
      <c r="G395" s="36" t="s">
        <v>61</v>
      </c>
      <c r="H395" s="38">
        <v>8800</v>
      </c>
      <c r="I395" s="40">
        <v>7155</v>
      </c>
      <c r="J395" s="40"/>
      <c r="K395" s="40"/>
      <c r="L395" s="40"/>
      <c r="M395" s="40"/>
      <c r="N395" s="36" t="s">
        <v>2134</v>
      </c>
      <c r="O395" s="37">
        <v>45517</v>
      </c>
      <c r="P395" s="44" t="s">
        <v>58</v>
      </c>
      <c r="Q395" s="38">
        <v>352000</v>
      </c>
      <c r="R395" s="33">
        <f t="shared" si="90"/>
        <v>1073.25</v>
      </c>
      <c r="S395" s="35">
        <f t="shared" si="89"/>
        <v>71.55</v>
      </c>
      <c r="T395" s="34">
        <v>500</v>
      </c>
    </row>
    <row r="396" spans="1:20" x14ac:dyDescent="0.25">
      <c r="A396" s="36" t="s">
        <v>523</v>
      </c>
      <c r="B396" s="36"/>
      <c r="C396" s="36" t="s">
        <v>81</v>
      </c>
      <c r="D396" s="39">
        <v>45517</v>
      </c>
      <c r="E396" s="39">
        <v>45882</v>
      </c>
      <c r="F396" s="36" t="s">
        <v>1411</v>
      </c>
      <c r="G396" s="36" t="s">
        <v>61</v>
      </c>
      <c r="H396" s="38">
        <v>8800</v>
      </c>
      <c r="I396" s="40">
        <v>7155</v>
      </c>
      <c r="J396" s="40"/>
      <c r="K396" s="40"/>
      <c r="L396" s="40"/>
      <c r="M396" s="40"/>
      <c r="N396" s="36" t="s">
        <v>2135</v>
      </c>
      <c r="O396" s="37">
        <v>45517</v>
      </c>
      <c r="P396" s="44" t="s">
        <v>58</v>
      </c>
      <c r="Q396" s="38">
        <v>352000</v>
      </c>
      <c r="R396" s="33">
        <f t="shared" si="90"/>
        <v>1073.25</v>
      </c>
      <c r="S396" s="35">
        <f t="shared" si="89"/>
        <v>71.55</v>
      </c>
      <c r="T396" s="34">
        <v>500</v>
      </c>
    </row>
    <row r="397" spans="1:20" x14ac:dyDescent="0.25">
      <c r="A397" s="36" t="s">
        <v>524</v>
      </c>
      <c r="B397" s="36"/>
      <c r="C397" s="36" t="s">
        <v>81</v>
      </c>
      <c r="D397" s="39">
        <v>45517</v>
      </c>
      <c r="E397" s="39">
        <v>45882</v>
      </c>
      <c r="F397" s="36" t="s">
        <v>1412</v>
      </c>
      <c r="G397" s="36" t="s">
        <v>61</v>
      </c>
      <c r="H397" s="38">
        <v>8800</v>
      </c>
      <c r="I397" s="40">
        <v>7155</v>
      </c>
      <c r="J397" s="40"/>
      <c r="K397" s="40"/>
      <c r="L397" s="40"/>
      <c r="M397" s="40"/>
      <c r="N397" s="36" t="s">
        <v>2136</v>
      </c>
      <c r="O397" s="37">
        <v>45517</v>
      </c>
      <c r="P397" s="44" t="s">
        <v>58</v>
      </c>
      <c r="Q397" s="38">
        <v>352000</v>
      </c>
      <c r="R397" s="33">
        <f t="shared" si="90"/>
        <v>1073.25</v>
      </c>
      <c r="S397" s="35">
        <f t="shared" si="89"/>
        <v>71.55</v>
      </c>
      <c r="T397" s="34">
        <v>500</v>
      </c>
    </row>
    <row r="398" spans="1:20" x14ac:dyDescent="0.25">
      <c r="A398" s="36" t="s">
        <v>525</v>
      </c>
      <c r="B398" s="36"/>
      <c r="C398" s="36" t="s">
        <v>36</v>
      </c>
      <c r="D398" s="39">
        <v>45517</v>
      </c>
      <c r="E398" s="39">
        <v>45882</v>
      </c>
      <c r="F398" s="36" t="s">
        <v>1413</v>
      </c>
      <c r="G398" s="36" t="s">
        <v>61</v>
      </c>
      <c r="H398" s="38">
        <v>14960</v>
      </c>
      <c r="I398" s="40">
        <v>12466</v>
      </c>
      <c r="J398" s="40"/>
      <c r="K398" s="40"/>
      <c r="L398" s="40"/>
      <c r="M398" s="40"/>
      <c r="N398" s="36" t="s">
        <v>2137</v>
      </c>
      <c r="O398" s="37">
        <v>45517</v>
      </c>
      <c r="P398" s="44" t="s">
        <v>58</v>
      </c>
      <c r="Q398" s="38">
        <v>352000</v>
      </c>
      <c r="R398" s="33">
        <f t="shared" si="90"/>
        <v>1869.9</v>
      </c>
      <c r="S398" s="35">
        <f t="shared" si="89"/>
        <v>124.66</v>
      </c>
      <c r="T398" s="34">
        <v>500</v>
      </c>
    </row>
    <row r="399" spans="1:20" x14ac:dyDescent="0.25">
      <c r="A399" s="36" t="s">
        <v>526</v>
      </c>
      <c r="B399" s="36"/>
      <c r="C399" s="36" t="s">
        <v>36</v>
      </c>
      <c r="D399" s="39">
        <v>45883</v>
      </c>
      <c r="E399" s="39">
        <v>46248</v>
      </c>
      <c r="F399" s="36" t="s">
        <v>1413</v>
      </c>
      <c r="G399" s="36" t="s">
        <v>61</v>
      </c>
      <c r="H399" s="38">
        <v>14960</v>
      </c>
      <c r="I399" s="40">
        <v>12466</v>
      </c>
      <c r="J399" s="40"/>
      <c r="K399" s="40"/>
      <c r="L399" s="40"/>
      <c r="M399" s="40"/>
      <c r="N399" s="36" t="s">
        <v>2137</v>
      </c>
      <c r="O399" s="37">
        <v>45517</v>
      </c>
      <c r="P399" s="44" t="s">
        <v>58</v>
      </c>
      <c r="Q399" s="38">
        <v>352000</v>
      </c>
      <c r="R399" s="33">
        <f t="shared" si="90"/>
        <v>1869.9</v>
      </c>
      <c r="S399" s="35">
        <f t="shared" si="89"/>
        <v>124.66</v>
      </c>
      <c r="T399" s="34">
        <v>500</v>
      </c>
    </row>
    <row r="400" spans="1:20" x14ac:dyDescent="0.25">
      <c r="A400" s="36" t="s">
        <v>527</v>
      </c>
      <c r="B400" s="36"/>
      <c r="C400" s="36" t="s">
        <v>35</v>
      </c>
      <c r="D400" s="39">
        <v>45517</v>
      </c>
      <c r="E400" s="39">
        <v>45882</v>
      </c>
      <c r="F400" s="36" t="s">
        <v>1414</v>
      </c>
      <c r="G400" s="36" t="s">
        <v>61</v>
      </c>
      <c r="H400" s="38">
        <v>14960</v>
      </c>
      <c r="I400" s="40">
        <v>12466</v>
      </c>
      <c r="J400" s="40"/>
      <c r="K400" s="40"/>
      <c r="L400" s="40"/>
      <c r="M400" s="40"/>
      <c r="N400" s="36" t="s">
        <v>2138</v>
      </c>
      <c r="O400" s="37">
        <v>45517</v>
      </c>
      <c r="P400" s="44" t="s">
        <v>58</v>
      </c>
      <c r="Q400" s="38">
        <v>352000</v>
      </c>
      <c r="R400" s="33">
        <f t="shared" si="90"/>
        <v>1869.9</v>
      </c>
      <c r="S400" s="35">
        <f t="shared" si="89"/>
        <v>124.66</v>
      </c>
      <c r="T400" s="34">
        <v>500</v>
      </c>
    </row>
    <row r="401" spans="1:20" x14ac:dyDescent="0.25">
      <c r="A401" s="36" t="s">
        <v>528</v>
      </c>
      <c r="B401" s="36"/>
      <c r="C401" s="36" t="s">
        <v>35</v>
      </c>
      <c r="D401" s="39">
        <v>45883</v>
      </c>
      <c r="E401" s="39">
        <v>46248</v>
      </c>
      <c r="F401" s="36" t="s">
        <v>1414</v>
      </c>
      <c r="G401" s="36" t="s">
        <v>61</v>
      </c>
      <c r="H401" s="38">
        <v>14960</v>
      </c>
      <c r="I401" s="40">
        <v>12466</v>
      </c>
      <c r="J401" s="40"/>
      <c r="K401" s="40"/>
      <c r="L401" s="40"/>
      <c r="M401" s="40"/>
      <c r="N401" s="36" t="s">
        <v>2138</v>
      </c>
      <c r="O401" s="37">
        <v>45517</v>
      </c>
      <c r="P401" s="44" t="s">
        <v>58</v>
      </c>
      <c r="Q401" s="38">
        <v>352000</v>
      </c>
      <c r="R401" s="33">
        <f t="shared" si="90"/>
        <v>1869.9</v>
      </c>
      <c r="S401" s="35">
        <f t="shared" si="89"/>
        <v>124.66</v>
      </c>
      <c r="T401" s="34">
        <v>500</v>
      </c>
    </row>
    <row r="402" spans="1:20" x14ac:dyDescent="0.25">
      <c r="A402" s="36" t="s">
        <v>529</v>
      </c>
      <c r="B402" s="36"/>
      <c r="C402" s="36" t="s">
        <v>73</v>
      </c>
      <c r="D402" s="39">
        <v>45517</v>
      </c>
      <c r="E402" s="39">
        <v>45882</v>
      </c>
      <c r="F402" s="36" t="s">
        <v>1415</v>
      </c>
      <c r="G402" s="36" t="s">
        <v>61</v>
      </c>
      <c r="H402" s="38">
        <v>8800</v>
      </c>
      <c r="I402" s="40">
        <v>7155</v>
      </c>
      <c r="J402" s="40"/>
      <c r="K402" s="40"/>
      <c r="L402" s="40"/>
      <c r="M402" s="40"/>
      <c r="N402" s="36" t="s">
        <v>2139</v>
      </c>
      <c r="O402" s="37">
        <v>45517</v>
      </c>
      <c r="P402" s="44" t="s">
        <v>58</v>
      </c>
      <c r="Q402" s="38">
        <v>352000</v>
      </c>
      <c r="R402" s="33">
        <f t="shared" si="90"/>
        <v>1073.25</v>
      </c>
      <c r="S402" s="35">
        <f t="shared" si="89"/>
        <v>71.55</v>
      </c>
      <c r="T402" s="34">
        <v>500</v>
      </c>
    </row>
    <row r="403" spans="1:20" x14ac:dyDescent="0.25">
      <c r="A403" s="36" t="s">
        <v>530</v>
      </c>
      <c r="B403" s="36"/>
      <c r="C403" s="36" t="s">
        <v>73</v>
      </c>
      <c r="D403" s="39">
        <v>45517</v>
      </c>
      <c r="E403" s="39">
        <v>45882</v>
      </c>
      <c r="F403" s="36" t="s">
        <v>1416</v>
      </c>
      <c r="G403" s="36" t="s">
        <v>61</v>
      </c>
      <c r="H403" s="38">
        <v>8800</v>
      </c>
      <c r="I403" s="40">
        <v>7155</v>
      </c>
      <c r="J403" s="40"/>
      <c r="K403" s="40"/>
      <c r="L403" s="40"/>
      <c r="M403" s="40"/>
      <c r="N403" s="36" t="s">
        <v>2140</v>
      </c>
      <c r="O403" s="37">
        <v>45517</v>
      </c>
      <c r="P403" s="44" t="s">
        <v>58</v>
      </c>
      <c r="Q403" s="38">
        <v>352000</v>
      </c>
      <c r="R403" s="33">
        <f t="shared" si="90"/>
        <v>1073.25</v>
      </c>
      <c r="S403" s="35">
        <f t="shared" si="89"/>
        <v>71.55</v>
      </c>
      <c r="T403" s="34">
        <v>500</v>
      </c>
    </row>
    <row r="404" spans="1:20" x14ac:dyDescent="0.25">
      <c r="A404" s="36" t="s">
        <v>531</v>
      </c>
      <c r="B404" s="36"/>
      <c r="C404" s="36" t="s">
        <v>32</v>
      </c>
      <c r="D404" s="39">
        <v>45517</v>
      </c>
      <c r="E404" s="39">
        <v>45882</v>
      </c>
      <c r="F404" s="36" t="s">
        <v>1417</v>
      </c>
      <c r="G404" s="36" t="s">
        <v>64</v>
      </c>
      <c r="H404" s="38">
        <v>21208</v>
      </c>
      <c r="I404" s="40">
        <v>17852</v>
      </c>
      <c r="J404" s="40"/>
      <c r="K404" s="40"/>
      <c r="L404" s="40"/>
      <c r="M404" s="40"/>
      <c r="N404" s="36" t="s">
        <v>2141</v>
      </c>
      <c r="O404" s="37">
        <v>45517</v>
      </c>
      <c r="P404" s="44" t="s">
        <v>58</v>
      </c>
      <c r="Q404" s="38">
        <v>499000</v>
      </c>
      <c r="R404" s="33">
        <f t="shared" si="90"/>
        <v>2677.8</v>
      </c>
      <c r="S404" s="35">
        <f t="shared" si="89"/>
        <v>178.52</v>
      </c>
      <c r="T404" s="34">
        <v>500</v>
      </c>
    </row>
    <row r="405" spans="1:20" x14ac:dyDescent="0.25">
      <c r="A405" s="36" t="s">
        <v>532</v>
      </c>
      <c r="B405" s="36"/>
      <c r="C405" s="36" t="s">
        <v>73</v>
      </c>
      <c r="D405" s="39">
        <v>45517</v>
      </c>
      <c r="E405" s="39">
        <v>45882</v>
      </c>
      <c r="F405" s="36" t="s">
        <v>1418</v>
      </c>
      <c r="G405" s="36" t="s">
        <v>61</v>
      </c>
      <c r="H405" s="38">
        <v>8800</v>
      </c>
      <c r="I405" s="40">
        <v>7155</v>
      </c>
      <c r="J405" s="40"/>
      <c r="K405" s="40"/>
      <c r="L405" s="40"/>
      <c r="M405" s="40"/>
      <c r="N405" s="36" t="s">
        <v>2142</v>
      </c>
      <c r="O405" s="37">
        <v>45517</v>
      </c>
      <c r="P405" s="44" t="s">
        <v>58</v>
      </c>
      <c r="Q405" s="38">
        <v>352000</v>
      </c>
      <c r="R405" s="33">
        <f t="shared" si="90"/>
        <v>1073.25</v>
      </c>
      <c r="S405" s="35">
        <f t="shared" si="89"/>
        <v>71.55</v>
      </c>
      <c r="T405" s="34">
        <v>500</v>
      </c>
    </row>
    <row r="406" spans="1:20" x14ac:dyDescent="0.25">
      <c r="A406" s="36" t="s">
        <v>533</v>
      </c>
      <c r="B406" s="36"/>
      <c r="C406" s="36" t="s">
        <v>38</v>
      </c>
      <c r="D406" s="39">
        <v>45517</v>
      </c>
      <c r="E406" s="39">
        <v>45882</v>
      </c>
      <c r="F406" s="36" t="s">
        <v>76</v>
      </c>
      <c r="G406" s="36" t="s">
        <v>61</v>
      </c>
      <c r="H406" s="38">
        <v>14960</v>
      </c>
      <c r="I406" s="40">
        <v>12466</v>
      </c>
      <c r="J406" s="40"/>
      <c r="K406" s="40"/>
      <c r="L406" s="40"/>
      <c r="M406" s="40"/>
      <c r="N406" s="36" t="s">
        <v>129</v>
      </c>
      <c r="O406" s="37">
        <v>45517</v>
      </c>
      <c r="P406" s="44" t="s">
        <v>58</v>
      </c>
      <c r="Q406" s="38">
        <v>352000</v>
      </c>
      <c r="R406" s="33">
        <f t="shared" si="90"/>
        <v>1869.9</v>
      </c>
      <c r="S406" s="35">
        <f t="shared" si="89"/>
        <v>124.66</v>
      </c>
      <c r="T406" s="34">
        <v>500</v>
      </c>
    </row>
    <row r="407" spans="1:20" x14ac:dyDescent="0.25">
      <c r="A407" s="36" t="s">
        <v>534</v>
      </c>
      <c r="B407" s="36"/>
      <c r="C407" s="36" t="s">
        <v>54</v>
      </c>
      <c r="D407" s="39">
        <v>45517</v>
      </c>
      <c r="E407" s="39">
        <v>45882</v>
      </c>
      <c r="F407" s="36" t="s">
        <v>1419</v>
      </c>
      <c r="G407" s="36" t="s">
        <v>64</v>
      </c>
      <c r="H407" s="38">
        <v>12475</v>
      </c>
      <c r="I407" s="40">
        <v>10323</v>
      </c>
      <c r="J407" s="40"/>
      <c r="K407" s="40"/>
      <c r="L407" s="40"/>
      <c r="M407" s="40"/>
      <c r="N407" s="36" t="s">
        <v>2143</v>
      </c>
      <c r="O407" s="37">
        <v>45517</v>
      </c>
      <c r="P407" s="44" t="s">
        <v>58</v>
      </c>
      <c r="Q407" s="38">
        <v>499000</v>
      </c>
      <c r="R407" s="33">
        <f t="shared" si="90"/>
        <v>1548.45</v>
      </c>
      <c r="S407" s="35">
        <f t="shared" si="89"/>
        <v>103.23</v>
      </c>
      <c r="T407" s="34">
        <v>500</v>
      </c>
    </row>
    <row r="408" spans="1:20" x14ac:dyDescent="0.25">
      <c r="A408" s="36" t="s">
        <v>535</v>
      </c>
      <c r="B408" s="36"/>
      <c r="C408" s="36" t="s">
        <v>50</v>
      </c>
      <c r="D408" s="39">
        <v>45519</v>
      </c>
      <c r="E408" s="39">
        <v>45884</v>
      </c>
      <c r="F408" s="36" t="s">
        <v>1420</v>
      </c>
      <c r="G408" s="36" t="s">
        <v>62</v>
      </c>
      <c r="H408" s="38">
        <v>9550</v>
      </c>
      <c r="I408" s="40">
        <v>7802</v>
      </c>
      <c r="J408" s="40"/>
      <c r="K408" s="40"/>
      <c r="L408" s="40"/>
      <c r="M408" s="40"/>
      <c r="N408" s="36" t="s">
        <v>2144</v>
      </c>
      <c r="O408" s="37">
        <v>45519</v>
      </c>
      <c r="P408" s="44" t="s">
        <v>58</v>
      </c>
      <c r="Q408" s="38">
        <v>382000</v>
      </c>
      <c r="R408" s="33">
        <f t="shared" si="90"/>
        <v>1170.3</v>
      </c>
      <c r="S408" s="35">
        <f t="shared" si="89"/>
        <v>78.02</v>
      </c>
      <c r="T408" s="34">
        <v>500</v>
      </c>
    </row>
    <row r="409" spans="1:20" x14ac:dyDescent="0.25">
      <c r="A409" s="36" t="s">
        <v>536</v>
      </c>
      <c r="B409" s="36"/>
      <c r="C409" s="36" t="s">
        <v>50</v>
      </c>
      <c r="D409" s="39">
        <v>45519</v>
      </c>
      <c r="E409" s="39">
        <v>45884</v>
      </c>
      <c r="F409" s="36" t="s">
        <v>1421</v>
      </c>
      <c r="G409" s="36" t="s">
        <v>62</v>
      </c>
      <c r="H409" s="38">
        <v>9550</v>
      </c>
      <c r="I409" s="40">
        <v>7802</v>
      </c>
      <c r="J409" s="40"/>
      <c r="K409" s="40"/>
      <c r="L409" s="40"/>
      <c r="M409" s="40"/>
      <c r="N409" s="36" t="s">
        <v>2145</v>
      </c>
      <c r="O409" s="37">
        <v>45519</v>
      </c>
      <c r="P409" s="44" t="s">
        <v>58</v>
      </c>
      <c r="Q409" s="38">
        <v>382000</v>
      </c>
      <c r="R409" s="33">
        <f t="shared" si="90"/>
        <v>1170.3</v>
      </c>
      <c r="S409" s="35">
        <f t="shared" si="89"/>
        <v>78.02</v>
      </c>
      <c r="T409" s="34">
        <v>500</v>
      </c>
    </row>
    <row r="410" spans="1:20" x14ac:dyDescent="0.25">
      <c r="A410" s="36" t="s">
        <v>537</v>
      </c>
      <c r="B410" s="36"/>
      <c r="C410" s="36" t="s">
        <v>50</v>
      </c>
      <c r="D410" s="39">
        <v>45519</v>
      </c>
      <c r="E410" s="39">
        <v>45884</v>
      </c>
      <c r="F410" s="36" t="s">
        <v>1422</v>
      </c>
      <c r="G410" s="36" t="s">
        <v>64</v>
      </c>
      <c r="H410" s="38">
        <v>12475</v>
      </c>
      <c r="I410" s="40">
        <v>10323</v>
      </c>
      <c r="J410" s="40"/>
      <c r="K410" s="40"/>
      <c r="L410" s="40"/>
      <c r="M410" s="40"/>
      <c r="N410" s="36" t="s">
        <v>2146</v>
      </c>
      <c r="O410" s="37">
        <v>45519</v>
      </c>
      <c r="P410" s="44" t="s">
        <v>58</v>
      </c>
      <c r="Q410" s="38">
        <v>499000</v>
      </c>
      <c r="R410" s="33">
        <f t="shared" si="90"/>
        <v>1548.45</v>
      </c>
      <c r="S410" s="35">
        <f t="shared" si="89"/>
        <v>103.23</v>
      </c>
      <c r="T410" s="34">
        <v>500</v>
      </c>
    </row>
    <row r="411" spans="1:20" x14ac:dyDescent="0.25">
      <c r="A411" s="36" t="s">
        <v>538</v>
      </c>
      <c r="B411" s="36"/>
      <c r="C411" s="36" t="s">
        <v>50</v>
      </c>
      <c r="D411" s="39">
        <v>45519</v>
      </c>
      <c r="E411" s="39">
        <v>45884</v>
      </c>
      <c r="F411" s="36" t="s">
        <v>1423</v>
      </c>
      <c r="G411" s="36" t="s">
        <v>65</v>
      </c>
      <c r="H411" s="38">
        <v>9550</v>
      </c>
      <c r="I411" s="40">
        <v>7802</v>
      </c>
      <c r="J411" s="40"/>
      <c r="K411" s="40"/>
      <c r="L411" s="40"/>
      <c r="M411" s="40"/>
      <c r="N411" s="36" t="s">
        <v>2147</v>
      </c>
      <c r="O411" s="37">
        <v>45519</v>
      </c>
      <c r="P411" s="44" t="s">
        <v>58</v>
      </c>
      <c r="Q411" s="38">
        <v>382000</v>
      </c>
      <c r="R411" s="33">
        <f t="shared" si="90"/>
        <v>1170.3</v>
      </c>
      <c r="S411" s="35">
        <f t="shared" si="89"/>
        <v>78.02</v>
      </c>
      <c r="T411" s="34">
        <v>500</v>
      </c>
    </row>
    <row r="412" spans="1:20" x14ac:dyDescent="0.25">
      <c r="A412" s="36" t="s">
        <v>539</v>
      </c>
      <c r="B412" s="36"/>
      <c r="C412" s="36" t="s">
        <v>53</v>
      </c>
      <c r="D412" s="39">
        <v>45519</v>
      </c>
      <c r="E412" s="39">
        <v>45884</v>
      </c>
      <c r="F412" s="36" t="s">
        <v>1424</v>
      </c>
      <c r="G412" s="36" t="s">
        <v>61</v>
      </c>
      <c r="H412" s="38">
        <v>8800</v>
      </c>
      <c r="I412" s="40">
        <v>7155</v>
      </c>
      <c r="J412" s="40"/>
      <c r="K412" s="40"/>
      <c r="L412" s="40"/>
      <c r="M412" s="40"/>
      <c r="N412" s="36" t="s">
        <v>2148</v>
      </c>
      <c r="O412" s="37">
        <v>45519</v>
      </c>
      <c r="P412" s="44" t="s">
        <v>58</v>
      </c>
      <c r="Q412" s="38">
        <v>352000</v>
      </c>
      <c r="R412" s="33">
        <f t="shared" si="90"/>
        <v>1073.25</v>
      </c>
      <c r="S412" s="35">
        <f t="shared" si="89"/>
        <v>71.55</v>
      </c>
      <c r="T412" s="34">
        <v>500</v>
      </c>
    </row>
    <row r="413" spans="1:20" x14ac:dyDescent="0.25">
      <c r="A413" s="36" t="s">
        <v>540</v>
      </c>
      <c r="B413" s="36"/>
      <c r="C413" s="36" t="s">
        <v>53</v>
      </c>
      <c r="D413" s="39">
        <v>45519</v>
      </c>
      <c r="E413" s="39">
        <v>45884</v>
      </c>
      <c r="F413" s="36" t="s">
        <v>1425</v>
      </c>
      <c r="G413" s="36" t="s">
        <v>61</v>
      </c>
      <c r="H413" s="38">
        <v>8800</v>
      </c>
      <c r="I413" s="40">
        <v>7155</v>
      </c>
      <c r="J413" s="40"/>
      <c r="K413" s="40"/>
      <c r="L413" s="40"/>
      <c r="M413" s="40"/>
      <c r="N413" s="36" t="s">
        <v>2149</v>
      </c>
      <c r="O413" s="37">
        <v>45519</v>
      </c>
      <c r="P413" s="44" t="s">
        <v>58</v>
      </c>
      <c r="Q413" s="38">
        <v>352000</v>
      </c>
      <c r="R413" s="33">
        <f t="shared" si="90"/>
        <v>1073.25</v>
      </c>
      <c r="S413" s="35">
        <f t="shared" si="89"/>
        <v>71.55</v>
      </c>
      <c r="T413" s="34">
        <v>500</v>
      </c>
    </row>
    <row r="414" spans="1:20" x14ac:dyDescent="0.25">
      <c r="A414" s="36" t="s">
        <v>541</v>
      </c>
      <c r="B414" s="36"/>
      <c r="C414" s="36" t="s">
        <v>66</v>
      </c>
      <c r="D414" s="39">
        <v>45519</v>
      </c>
      <c r="E414" s="39">
        <v>45884</v>
      </c>
      <c r="F414" s="36" t="s">
        <v>1426</v>
      </c>
      <c r="G414" s="36" t="s">
        <v>62</v>
      </c>
      <c r="H414" s="38">
        <v>9550</v>
      </c>
      <c r="I414" s="40">
        <v>7802</v>
      </c>
      <c r="J414" s="40"/>
      <c r="K414" s="40"/>
      <c r="L414" s="40"/>
      <c r="M414" s="40"/>
      <c r="N414" s="36" t="s">
        <v>2150</v>
      </c>
      <c r="O414" s="37">
        <v>45519</v>
      </c>
      <c r="P414" s="44" t="s">
        <v>58</v>
      </c>
      <c r="Q414" s="38">
        <v>382000</v>
      </c>
      <c r="R414" s="33">
        <f t="shared" si="90"/>
        <v>1170.3</v>
      </c>
      <c r="S414" s="35">
        <f t="shared" si="89"/>
        <v>78.02</v>
      </c>
      <c r="T414" s="34">
        <v>500</v>
      </c>
    </row>
    <row r="415" spans="1:20" x14ac:dyDescent="0.25">
      <c r="A415" s="36" t="s">
        <v>542</v>
      </c>
      <c r="B415" s="36"/>
      <c r="C415" s="36" t="s">
        <v>71</v>
      </c>
      <c r="D415" s="39">
        <v>45519</v>
      </c>
      <c r="E415" s="39">
        <v>45884</v>
      </c>
      <c r="F415" s="36" t="s">
        <v>1427</v>
      </c>
      <c r="G415" s="36" t="s">
        <v>63</v>
      </c>
      <c r="H415" s="38">
        <v>13675</v>
      </c>
      <c r="I415" s="40">
        <v>11358</v>
      </c>
      <c r="J415" s="40"/>
      <c r="K415" s="40"/>
      <c r="L415" s="40"/>
      <c r="M415" s="40"/>
      <c r="N415" s="36" t="s">
        <v>2151</v>
      </c>
      <c r="O415" s="37">
        <v>45519</v>
      </c>
      <c r="P415" s="44" t="s">
        <v>58</v>
      </c>
      <c r="Q415" s="38">
        <v>547000</v>
      </c>
      <c r="R415" s="33">
        <f t="shared" si="90"/>
        <v>1703.7</v>
      </c>
      <c r="S415" s="35">
        <f t="shared" si="89"/>
        <v>113.58</v>
      </c>
      <c r="T415" s="34">
        <v>500</v>
      </c>
    </row>
    <row r="416" spans="1:20" x14ac:dyDescent="0.25">
      <c r="A416" s="36" t="s">
        <v>543</v>
      </c>
      <c r="B416" s="36"/>
      <c r="C416" s="36" t="s">
        <v>66</v>
      </c>
      <c r="D416" s="39">
        <v>45519</v>
      </c>
      <c r="E416" s="39">
        <v>45884</v>
      </c>
      <c r="F416" s="36" t="s">
        <v>1428</v>
      </c>
      <c r="G416" s="36" t="s">
        <v>62</v>
      </c>
      <c r="H416" s="38">
        <v>9550</v>
      </c>
      <c r="I416" s="40">
        <v>7802</v>
      </c>
      <c r="J416" s="40"/>
      <c r="K416" s="40"/>
      <c r="L416" s="40"/>
      <c r="M416" s="40"/>
      <c r="N416" s="36" t="s">
        <v>2152</v>
      </c>
      <c r="O416" s="37">
        <v>45519</v>
      </c>
      <c r="P416" s="44" t="s">
        <v>58</v>
      </c>
      <c r="Q416" s="38">
        <v>382000</v>
      </c>
      <c r="R416" s="33">
        <f t="shared" si="90"/>
        <v>1170.3</v>
      </c>
      <c r="S416" s="35">
        <f t="shared" si="89"/>
        <v>78.02</v>
      </c>
      <c r="T416" s="34">
        <v>500</v>
      </c>
    </row>
    <row r="417" spans="1:20" x14ac:dyDescent="0.25">
      <c r="A417" s="36" t="s">
        <v>544</v>
      </c>
      <c r="B417" s="36"/>
      <c r="C417" s="36" t="s">
        <v>66</v>
      </c>
      <c r="D417" s="39">
        <v>45519</v>
      </c>
      <c r="E417" s="39">
        <v>45884</v>
      </c>
      <c r="F417" s="36" t="s">
        <v>1429</v>
      </c>
      <c r="G417" s="36" t="s">
        <v>62</v>
      </c>
      <c r="H417" s="38">
        <v>9550</v>
      </c>
      <c r="I417" s="40">
        <v>7802</v>
      </c>
      <c r="J417" s="40"/>
      <c r="K417" s="40"/>
      <c r="L417" s="40"/>
      <c r="M417" s="40"/>
      <c r="N417" s="36" t="s">
        <v>2153</v>
      </c>
      <c r="O417" s="37">
        <v>45519</v>
      </c>
      <c r="P417" s="44" t="s">
        <v>58</v>
      </c>
      <c r="Q417" s="38">
        <v>382000</v>
      </c>
      <c r="R417" s="33">
        <f t="shared" si="90"/>
        <v>1170.3</v>
      </c>
      <c r="S417" s="35">
        <f t="shared" si="89"/>
        <v>78.02</v>
      </c>
      <c r="T417" s="34">
        <v>500</v>
      </c>
    </row>
    <row r="418" spans="1:20" x14ac:dyDescent="0.25">
      <c r="A418" s="36" t="s">
        <v>545</v>
      </c>
      <c r="B418" s="36"/>
      <c r="C418" s="36" t="s">
        <v>66</v>
      </c>
      <c r="D418" s="39">
        <v>45519</v>
      </c>
      <c r="E418" s="39">
        <v>45884</v>
      </c>
      <c r="F418" s="36" t="s">
        <v>115</v>
      </c>
      <c r="G418" s="36" t="s">
        <v>61</v>
      </c>
      <c r="H418" s="38">
        <v>8800</v>
      </c>
      <c r="I418" s="40">
        <v>7155</v>
      </c>
      <c r="J418" s="40"/>
      <c r="K418" s="40"/>
      <c r="L418" s="40"/>
      <c r="M418" s="40"/>
      <c r="N418" s="36" t="s">
        <v>2154</v>
      </c>
      <c r="O418" s="37">
        <v>45519</v>
      </c>
      <c r="P418" s="44" t="s">
        <v>58</v>
      </c>
      <c r="Q418" s="38">
        <v>352000</v>
      </c>
      <c r="R418" s="33">
        <f t="shared" si="90"/>
        <v>1073.25</v>
      </c>
      <c r="S418" s="35">
        <f t="shared" si="89"/>
        <v>71.55</v>
      </c>
      <c r="T418" s="34">
        <v>500</v>
      </c>
    </row>
    <row r="419" spans="1:20" x14ac:dyDescent="0.25">
      <c r="A419" s="36" t="s">
        <v>546</v>
      </c>
      <c r="B419" s="36"/>
      <c r="C419" s="36" t="s">
        <v>53</v>
      </c>
      <c r="D419" s="39">
        <v>45519</v>
      </c>
      <c r="E419" s="39">
        <v>45884</v>
      </c>
      <c r="F419" s="36" t="s">
        <v>1430</v>
      </c>
      <c r="G419" s="36" t="s">
        <v>61</v>
      </c>
      <c r="H419" s="38">
        <v>8800</v>
      </c>
      <c r="I419" s="40">
        <v>7155</v>
      </c>
      <c r="J419" s="40"/>
      <c r="K419" s="40"/>
      <c r="L419" s="40"/>
      <c r="M419" s="40"/>
      <c r="N419" s="36" t="s">
        <v>2155</v>
      </c>
      <c r="O419" s="37">
        <v>45519</v>
      </c>
      <c r="P419" s="44" t="s">
        <v>58</v>
      </c>
      <c r="Q419" s="38">
        <v>352000</v>
      </c>
      <c r="R419" s="33">
        <f t="shared" si="90"/>
        <v>1073.25</v>
      </c>
      <c r="S419" s="35">
        <f t="shared" si="89"/>
        <v>71.55</v>
      </c>
      <c r="T419" s="34">
        <v>500</v>
      </c>
    </row>
    <row r="420" spans="1:20" x14ac:dyDescent="0.25">
      <c r="A420" s="36" t="s">
        <v>547</v>
      </c>
      <c r="B420" s="36"/>
      <c r="C420" s="36" t="s">
        <v>1146</v>
      </c>
      <c r="D420" s="39">
        <v>45519</v>
      </c>
      <c r="E420" s="39">
        <v>45884</v>
      </c>
      <c r="F420" s="36" t="s">
        <v>1431</v>
      </c>
      <c r="G420" s="36" t="s">
        <v>62</v>
      </c>
      <c r="H420" s="38">
        <v>9550</v>
      </c>
      <c r="I420" s="40">
        <v>7802</v>
      </c>
      <c r="J420" s="40"/>
      <c r="K420" s="40"/>
      <c r="L420" s="40"/>
      <c r="M420" s="40"/>
      <c r="N420" s="36" t="s">
        <v>2156</v>
      </c>
      <c r="O420" s="37">
        <v>45519</v>
      </c>
      <c r="P420" s="44" t="s">
        <v>58</v>
      </c>
      <c r="Q420" s="38">
        <v>382000</v>
      </c>
      <c r="R420" s="33">
        <f t="shared" si="90"/>
        <v>1170.3</v>
      </c>
      <c r="S420" s="35">
        <f t="shared" si="89"/>
        <v>78.02</v>
      </c>
      <c r="T420" s="34">
        <v>500</v>
      </c>
    </row>
    <row r="421" spans="1:20" x14ac:dyDescent="0.25">
      <c r="A421" s="36" t="s">
        <v>548</v>
      </c>
      <c r="B421" s="36"/>
      <c r="C421" s="36" t="s">
        <v>66</v>
      </c>
      <c r="D421" s="39">
        <v>45519</v>
      </c>
      <c r="E421" s="39">
        <v>45884</v>
      </c>
      <c r="F421" s="36" t="s">
        <v>1432</v>
      </c>
      <c r="G421" s="36" t="s">
        <v>61</v>
      </c>
      <c r="H421" s="38">
        <v>8800</v>
      </c>
      <c r="I421" s="40">
        <v>7155</v>
      </c>
      <c r="J421" s="40"/>
      <c r="K421" s="40"/>
      <c r="L421" s="40"/>
      <c r="M421" s="40"/>
      <c r="N421" s="36" t="s">
        <v>2157</v>
      </c>
      <c r="O421" s="37">
        <v>45519</v>
      </c>
      <c r="P421" s="44" t="s">
        <v>58</v>
      </c>
      <c r="Q421" s="38">
        <v>352000</v>
      </c>
      <c r="R421" s="33">
        <f t="shared" si="90"/>
        <v>1073.25</v>
      </c>
      <c r="S421" s="35">
        <f t="shared" si="89"/>
        <v>71.55</v>
      </c>
      <c r="T421" s="34">
        <v>500</v>
      </c>
    </row>
    <row r="422" spans="1:20" x14ac:dyDescent="0.25">
      <c r="A422" s="36" t="s">
        <v>549</v>
      </c>
      <c r="B422" s="36"/>
      <c r="C422" s="36" t="s">
        <v>66</v>
      </c>
      <c r="D422" s="39">
        <v>45519</v>
      </c>
      <c r="E422" s="39">
        <v>45884</v>
      </c>
      <c r="F422" s="36" t="s">
        <v>1433</v>
      </c>
      <c r="G422" s="36" t="s">
        <v>61</v>
      </c>
      <c r="H422" s="38">
        <v>8800</v>
      </c>
      <c r="I422" s="40">
        <v>7155</v>
      </c>
      <c r="J422" s="40"/>
      <c r="K422" s="40"/>
      <c r="L422" s="40"/>
      <c r="M422" s="40"/>
      <c r="N422" s="36" t="s">
        <v>2158</v>
      </c>
      <c r="O422" s="37">
        <v>45519</v>
      </c>
      <c r="P422" s="44" t="s">
        <v>58</v>
      </c>
      <c r="Q422" s="38">
        <v>352000</v>
      </c>
      <c r="R422" s="33">
        <f t="shared" si="90"/>
        <v>1073.25</v>
      </c>
      <c r="S422" s="35">
        <f t="shared" si="89"/>
        <v>71.55</v>
      </c>
      <c r="T422" s="34">
        <v>500</v>
      </c>
    </row>
    <row r="423" spans="1:20" x14ac:dyDescent="0.25">
      <c r="A423" s="36" t="s">
        <v>550</v>
      </c>
      <c r="B423" s="36"/>
      <c r="C423" s="36" t="s">
        <v>53</v>
      </c>
      <c r="D423" s="39">
        <v>45519</v>
      </c>
      <c r="E423" s="39">
        <v>45884</v>
      </c>
      <c r="F423" s="36" t="s">
        <v>1434</v>
      </c>
      <c r="G423" s="36" t="s">
        <v>61</v>
      </c>
      <c r="H423" s="38">
        <v>8800</v>
      </c>
      <c r="I423" s="40">
        <v>7155</v>
      </c>
      <c r="J423" s="40"/>
      <c r="K423" s="40"/>
      <c r="L423" s="40"/>
      <c r="M423" s="40"/>
      <c r="N423" s="36" t="s">
        <v>2159</v>
      </c>
      <c r="O423" s="37">
        <v>45519</v>
      </c>
      <c r="P423" s="44" t="s">
        <v>58</v>
      </c>
      <c r="Q423" s="38">
        <v>352000</v>
      </c>
      <c r="R423" s="33">
        <f t="shared" si="90"/>
        <v>1073.25</v>
      </c>
      <c r="S423" s="35">
        <f t="shared" si="89"/>
        <v>71.55</v>
      </c>
      <c r="T423" s="34">
        <v>500</v>
      </c>
    </row>
    <row r="424" spans="1:20" x14ac:dyDescent="0.25">
      <c r="A424" s="36" t="s">
        <v>551</v>
      </c>
      <c r="B424" s="36"/>
      <c r="C424" s="36" t="s">
        <v>1146</v>
      </c>
      <c r="D424" s="39">
        <v>45519</v>
      </c>
      <c r="E424" s="39">
        <v>45884</v>
      </c>
      <c r="F424" s="36" t="s">
        <v>1435</v>
      </c>
      <c r="G424" s="36" t="s">
        <v>63</v>
      </c>
      <c r="H424" s="38">
        <v>13675</v>
      </c>
      <c r="I424" s="40">
        <v>11358</v>
      </c>
      <c r="J424" s="40"/>
      <c r="K424" s="40"/>
      <c r="L424" s="40"/>
      <c r="M424" s="40"/>
      <c r="N424" s="36" t="s">
        <v>2160</v>
      </c>
      <c r="O424" s="37">
        <v>45519</v>
      </c>
      <c r="P424" s="44" t="s">
        <v>58</v>
      </c>
      <c r="Q424" s="38">
        <v>547000</v>
      </c>
      <c r="R424" s="33">
        <f t="shared" si="90"/>
        <v>1703.7</v>
      </c>
      <c r="S424" s="35">
        <f t="shared" si="89"/>
        <v>113.58</v>
      </c>
      <c r="T424" s="34">
        <v>500</v>
      </c>
    </row>
    <row r="425" spans="1:20" x14ac:dyDescent="0.25">
      <c r="A425" s="36" t="s">
        <v>552</v>
      </c>
      <c r="B425" s="36"/>
      <c r="C425" s="36" t="s">
        <v>38</v>
      </c>
      <c r="D425" s="39">
        <v>45519</v>
      </c>
      <c r="E425" s="39">
        <v>45884</v>
      </c>
      <c r="F425" s="36" t="s">
        <v>1436</v>
      </c>
      <c r="G425" s="36" t="s">
        <v>63</v>
      </c>
      <c r="H425" s="38">
        <v>23248</v>
      </c>
      <c r="I425" s="40">
        <v>19610</v>
      </c>
      <c r="J425" s="40"/>
      <c r="K425" s="40"/>
      <c r="L425" s="40"/>
      <c r="M425" s="40"/>
      <c r="N425" s="36" t="s">
        <v>2161</v>
      </c>
      <c r="O425" s="37">
        <v>45519</v>
      </c>
      <c r="P425" s="44" t="s">
        <v>58</v>
      </c>
      <c r="Q425" s="38">
        <v>547000</v>
      </c>
      <c r="R425" s="33">
        <f t="shared" si="90"/>
        <v>2941.5</v>
      </c>
      <c r="S425" s="35">
        <f t="shared" si="89"/>
        <v>196.1</v>
      </c>
      <c r="T425" s="34">
        <v>500</v>
      </c>
    </row>
    <row r="426" spans="1:20" x14ac:dyDescent="0.25">
      <c r="A426" s="36" t="s">
        <v>553</v>
      </c>
      <c r="B426" s="36"/>
      <c r="C426" s="36" t="s">
        <v>38</v>
      </c>
      <c r="D426" s="39">
        <v>45885</v>
      </c>
      <c r="E426" s="39">
        <v>46250</v>
      </c>
      <c r="F426" s="36" t="s">
        <v>1436</v>
      </c>
      <c r="G426" s="36" t="s">
        <v>63</v>
      </c>
      <c r="H426" s="38">
        <v>23248</v>
      </c>
      <c r="I426" s="40">
        <v>19610</v>
      </c>
      <c r="J426" s="40"/>
      <c r="K426" s="40"/>
      <c r="L426" s="40"/>
      <c r="M426" s="40"/>
      <c r="N426" s="36" t="s">
        <v>2161</v>
      </c>
      <c r="O426" s="37">
        <v>45519</v>
      </c>
      <c r="P426" s="44" t="s">
        <v>58</v>
      </c>
      <c r="Q426" s="38">
        <v>547000</v>
      </c>
      <c r="R426" s="33">
        <f t="shared" si="90"/>
        <v>2941.5</v>
      </c>
      <c r="S426" s="35">
        <f t="shared" si="89"/>
        <v>196.1</v>
      </c>
      <c r="T426" s="34">
        <v>500</v>
      </c>
    </row>
    <row r="427" spans="1:20" x14ac:dyDescent="0.25">
      <c r="A427" s="36" t="s">
        <v>554</v>
      </c>
      <c r="B427" s="36"/>
      <c r="C427" s="36" t="s">
        <v>38</v>
      </c>
      <c r="D427" s="39">
        <v>45519</v>
      </c>
      <c r="E427" s="39">
        <v>45884</v>
      </c>
      <c r="F427" s="36" t="s">
        <v>1437</v>
      </c>
      <c r="G427" s="36" t="s">
        <v>63</v>
      </c>
      <c r="H427" s="38">
        <v>23248</v>
      </c>
      <c r="I427" s="40">
        <v>19610</v>
      </c>
      <c r="J427" s="40"/>
      <c r="K427" s="40"/>
      <c r="L427" s="40"/>
      <c r="M427" s="40"/>
      <c r="N427" s="36" t="s">
        <v>2162</v>
      </c>
      <c r="O427" s="37">
        <v>45519</v>
      </c>
      <c r="P427" s="44" t="s">
        <v>58</v>
      </c>
      <c r="Q427" s="38">
        <v>547000</v>
      </c>
      <c r="R427" s="33">
        <f t="shared" si="90"/>
        <v>2941.5</v>
      </c>
      <c r="S427" s="35">
        <f t="shared" si="89"/>
        <v>196.1</v>
      </c>
      <c r="T427" s="34">
        <v>500</v>
      </c>
    </row>
    <row r="428" spans="1:20" x14ac:dyDescent="0.25">
      <c r="A428" s="36" t="s">
        <v>555</v>
      </c>
      <c r="B428" s="36"/>
      <c r="C428" s="36" t="s">
        <v>38</v>
      </c>
      <c r="D428" s="39">
        <v>45885</v>
      </c>
      <c r="E428" s="39">
        <v>46250</v>
      </c>
      <c r="F428" s="36" t="s">
        <v>1437</v>
      </c>
      <c r="G428" s="36" t="s">
        <v>63</v>
      </c>
      <c r="H428" s="38">
        <v>23248</v>
      </c>
      <c r="I428" s="40">
        <v>19610</v>
      </c>
      <c r="J428" s="40"/>
      <c r="K428" s="40"/>
      <c r="L428" s="40"/>
      <c r="M428" s="40"/>
      <c r="N428" s="36" t="s">
        <v>2162</v>
      </c>
      <c r="O428" s="37">
        <v>45519</v>
      </c>
      <c r="P428" s="44" t="s">
        <v>58</v>
      </c>
      <c r="Q428" s="38">
        <v>547000</v>
      </c>
      <c r="R428" s="33">
        <f t="shared" si="90"/>
        <v>2941.5</v>
      </c>
      <c r="S428" s="35">
        <f t="shared" si="89"/>
        <v>196.1</v>
      </c>
      <c r="T428" s="34">
        <v>500</v>
      </c>
    </row>
    <row r="429" spans="1:20" x14ac:dyDescent="0.25">
      <c r="A429" s="36" t="s">
        <v>556</v>
      </c>
      <c r="B429" s="36"/>
      <c r="C429" s="36" t="s">
        <v>35</v>
      </c>
      <c r="D429" s="39">
        <v>45519</v>
      </c>
      <c r="E429" s="39">
        <v>45884</v>
      </c>
      <c r="F429" s="36" t="s">
        <v>108</v>
      </c>
      <c r="G429" s="36" t="s">
        <v>63</v>
      </c>
      <c r="H429" s="38">
        <v>23248</v>
      </c>
      <c r="I429" s="40">
        <v>19610</v>
      </c>
      <c r="J429" s="40"/>
      <c r="K429" s="40"/>
      <c r="L429" s="40"/>
      <c r="M429" s="40"/>
      <c r="N429" s="36" t="s">
        <v>2163</v>
      </c>
      <c r="O429" s="37">
        <v>45519</v>
      </c>
      <c r="P429" s="44" t="s">
        <v>58</v>
      </c>
      <c r="Q429" s="38">
        <v>547000</v>
      </c>
      <c r="R429" s="33">
        <f t="shared" si="90"/>
        <v>2941.5</v>
      </c>
      <c r="S429" s="35">
        <f t="shared" si="89"/>
        <v>196.1</v>
      </c>
      <c r="T429" s="34">
        <v>500</v>
      </c>
    </row>
    <row r="430" spans="1:20" x14ac:dyDescent="0.25">
      <c r="A430" s="36" t="s">
        <v>557</v>
      </c>
      <c r="B430" s="36"/>
      <c r="C430" s="36" t="s">
        <v>35</v>
      </c>
      <c r="D430" s="39">
        <v>45885</v>
      </c>
      <c r="E430" s="39">
        <v>46250</v>
      </c>
      <c r="F430" s="36" t="s">
        <v>108</v>
      </c>
      <c r="G430" s="36" t="s">
        <v>63</v>
      </c>
      <c r="H430" s="38">
        <v>23248</v>
      </c>
      <c r="I430" s="40">
        <v>19610</v>
      </c>
      <c r="J430" s="40"/>
      <c r="K430" s="40"/>
      <c r="L430" s="40"/>
      <c r="M430" s="40"/>
      <c r="N430" s="36" t="s">
        <v>2163</v>
      </c>
      <c r="O430" s="37">
        <v>45519</v>
      </c>
      <c r="P430" s="44" t="s">
        <v>58</v>
      </c>
      <c r="Q430" s="38">
        <v>547000</v>
      </c>
      <c r="R430" s="33">
        <f t="shared" si="90"/>
        <v>2941.5</v>
      </c>
      <c r="S430" s="35">
        <f t="shared" si="89"/>
        <v>196.1</v>
      </c>
      <c r="T430" s="34">
        <v>500</v>
      </c>
    </row>
    <row r="431" spans="1:20" x14ac:dyDescent="0.25">
      <c r="A431" s="36" t="s">
        <v>558</v>
      </c>
      <c r="B431" s="36"/>
      <c r="C431" s="36" t="s">
        <v>30</v>
      </c>
      <c r="D431" s="39">
        <v>45519</v>
      </c>
      <c r="E431" s="39">
        <v>45884</v>
      </c>
      <c r="F431" s="36" t="s">
        <v>1438</v>
      </c>
      <c r="G431" s="36" t="s">
        <v>61</v>
      </c>
      <c r="H431" s="38">
        <v>14960</v>
      </c>
      <c r="I431" s="40">
        <v>12466</v>
      </c>
      <c r="J431" s="40"/>
      <c r="K431" s="40"/>
      <c r="L431" s="40"/>
      <c r="M431" s="40"/>
      <c r="N431" s="36" t="s">
        <v>2164</v>
      </c>
      <c r="O431" s="37">
        <v>45519</v>
      </c>
      <c r="P431" s="44" t="s">
        <v>58</v>
      </c>
      <c r="Q431" s="38">
        <v>352000</v>
      </c>
      <c r="R431" s="33">
        <f t="shared" si="90"/>
        <v>1869.9</v>
      </c>
      <c r="S431" s="35">
        <f t="shared" si="89"/>
        <v>124.66</v>
      </c>
      <c r="T431" s="34">
        <v>500</v>
      </c>
    </row>
    <row r="432" spans="1:20" x14ac:dyDescent="0.25">
      <c r="A432" s="36" t="s">
        <v>559</v>
      </c>
      <c r="B432" s="36"/>
      <c r="C432" s="36" t="s">
        <v>30</v>
      </c>
      <c r="D432" s="39">
        <v>45885</v>
      </c>
      <c r="E432" s="39">
        <v>46250</v>
      </c>
      <c r="F432" s="36" t="s">
        <v>1438</v>
      </c>
      <c r="G432" s="36" t="s">
        <v>61</v>
      </c>
      <c r="H432" s="38">
        <v>14960</v>
      </c>
      <c r="I432" s="40">
        <v>12466</v>
      </c>
      <c r="J432" s="40"/>
      <c r="K432" s="40"/>
      <c r="L432" s="40"/>
      <c r="M432" s="40"/>
      <c r="N432" s="36" t="s">
        <v>2164</v>
      </c>
      <c r="O432" s="37">
        <v>45519</v>
      </c>
      <c r="P432" s="44" t="s">
        <v>58</v>
      </c>
      <c r="Q432" s="38">
        <v>352000</v>
      </c>
      <c r="R432" s="33">
        <f t="shared" si="90"/>
        <v>1869.9</v>
      </c>
      <c r="S432" s="35">
        <f t="shared" si="89"/>
        <v>124.66</v>
      </c>
      <c r="T432" s="34">
        <v>500</v>
      </c>
    </row>
    <row r="433" spans="1:20" x14ac:dyDescent="0.25">
      <c r="A433" s="36" t="s">
        <v>560</v>
      </c>
      <c r="B433" s="36"/>
      <c r="C433" s="36" t="s">
        <v>38</v>
      </c>
      <c r="D433" s="39">
        <v>45519</v>
      </c>
      <c r="E433" s="39">
        <v>45884</v>
      </c>
      <c r="F433" s="36" t="s">
        <v>1439</v>
      </c>
      <c r="G433" s="36" t="s">
        <v>64</v>
      </c>
      <c r="H433" s="38">
        <v>21208</v>
      </c>
      <c r="I433" s="40">
        <v>17852</v>
      </c>
      <c r="J433" s="40"/>
      <c r="K433" s="40"/>
      <c r="L433" s="40"/>
      <c r="M433" s="40"/>
      <c r="N433" s="36" t="s">
        <v>2165</v>
      </c>
      <c r="O433" s="37">
        <v>45519</v>
      </c>
      <c r="P433" s="44" t="s">
        <v>58</v>
      </c>
      <c r="Q433" s="38">
        <v>499000</v>
      </c>
      <c r="R433" s="33">
        <f t="shared" si="90"/>
        <v>2677.8</v>
      </c>
      <c r="S433" s="35">
        <f t="shared" si="89"/>
        <v>178.52</v>
      </c>
      <c r="T433" s="34">
        <v>500</v>
      </c>
    </row>
    <row r="434" spans="1:20" x14ac:dyDescent="0.25">
      <c r="A434" s="36" t="s">
        <v>561</v>
      </c>
      <c r="B434" s="36"/>
      <c r="C434" s="36" t="s">
        <v>38</v>
      </c>
      <c r="D434" s="39">
        <v>45885</v>
      </c>
      <c r="E434" s="39">
        <v>46250</v>
      </c>
      <c r="F434" s="36" t="s">
        <v>1439</v>
      </c>
      <c r="G434" s="36" t="s">
        <v>64</v>
      </c>
      <c r="H434" s="38">
        <v>21208</v>
      </c>
      <c r="I434" s="40">
        <v>17852</v>
      </c>
      <c r="J434" s="40"/>
      <c r="K434" s="40"/>
      <c r="L434" s="40"/>
      <c r="M434" s="40"/>
      <c r="N434" s="36" t="s">
        <v>2165</v>
      </c>
      <c r="O434" s="37">
        <v>45519</v>
      </c>
      <c r="P434" s="44" t="s">
        <v>58</v>
      </c>
      <c r="Q434" s="38">
        <v>499000</v>
      </c>
      <c r="R434" s="33">
        <f t="shared" si="90"/>
        <v>2677.8</v>
      </c>
      <c r="S434" s="35">
        <f t="shared" si="89"/>
        <v>178.52</v>
      </c>
      <c r="T434" s="34">
        <v>500</v>
      </c>
    </row>
    <row r="435" spans="1:20" x14ac:dyDescent="0.25">
      <c r="A435" s="36" t="s">
        <v>562</v>
      </c>
      <c r="B435" s="36"/>
      <c r="C435" s="36" t="s">
        <v>38</v>
      </c>
      <c r="D435" s="39">
        <v>45519</v>
      </c>
      <c r="E435" s="39">
        <v>45884</v>
      </c>
      <c r="F435" s="36" t="s">
        <v>1440</v>
      </c>
      <c r="G435" s="36" t="s">
        <v>61</v>
      </c>
      <c r="H435" s="38">
        <v>14960</v>
      </c>
      <c r="I435" s="40">
        <v>12466</v>
      </c>
      <c r="J435" s="40"/>
      <c r="K435" s="40"/>
      <c r="L435" s="40"/>
      <c r="M435" s="40"/>
      <c r="N435" s="36" t="s">
        <v>2166</v>
      </c>
      <c r="O435" s="37">
        <v>45519</v>
      </c>
      <c r="P435" s="44" t="s">
        <v>58</v>
      </c>
      <c r="Q435" s="38">
        <v>352000</v>
      </c>
      <c r="R435" s="33">
        <f t="shared" si="90"/>
        <v>1869.9</v>
      </c>
      <c r="S435" s="35">
        <f t="shared" si="89"/>
        <v>124.66</v>
      </c>
      <c r="T435" s="34">
        <v>500</v>
      </c>
    </row>
    <row r="436" spans="1:20" x14ac:dyDescent="0.25">
      <c r="A436" s="36" t="s">
        <v>563</v>
      </c>
      <c r="B436" s="36"/>
      <c r="C436" s="36" t="s">
        <v>53</v>
      </c>
      <c r="D436" s="39">
        <v>45519</v>
      </c>
      <c r="E436" s="39">
        <v>45884</v>
      </c>
      <c r="F436" s="36" t="s">
        <v>1441</v>
      </c>
      <c r="G436" s="36" t="s">
        <v>61</v>
      </c>
      <c r="H436" s="38">
        <v>8800</v>
      </c>
      <c r="I436" s="40">
        <v>7155</v>
      </c>
      <c r="J436" s="40"/>
      <c r="K436" s="40"/>
      <c r="L436" s="40"/>
      <c r="M436" s="40"/>
      <c r="N436" s="36" t="s">
        <v>2167</v>
      </c>
      <c r="O436" s="37">
        <v>45519</v>
      </c>
      <c r="P436" s="44" t="s">
        <v>58</v>
      </c>
      <c r="Q436" s="38">
        <v>352000</v>
      </c>
      <c r="R436" s="33">
        <f t="shared" si="90"/>
        <v>1073.25</v>
      </c>
      <c r="S436" s="35">
        <f t="shared" si="89"/>
        <v>71.55</v>
      </c>
      <c r="T436" s="34">
        <v>500</v>
      </c>
    </row>
    <row r="437" spans="1:20" x14ac:dyDescent="0.25">
      <c r="A437" s="36" t="s">
        <v>564</v>
      </c>
      <c r="B437" s="36"/>
      <c r="C437" s="36" t="s">
        <v>38</v>
      </c>
      <c r="D437" s="39">
        <v>45519</v>
      </c>
      <c r="E437" s="39">
        <v>45884</v>
      </c>
      <c r="F437" s="36" t="s">
        <v>1442</v>
      </c>
      <c r="G437" s="36" t="s">
        <v>63</v>
      </c>
      <c r="H437" s="38">
        <v>23248</v>
      </c>
      <c r="I437" s="40">
        <v>19610</v>
      </c>
      <c r="J437" s="40"/>
      <c r="K437" s="40"/>
      <c r="L437" s="40"/>
      <c r="M437" s="40"/>
      <c r="N437" s="36" t="s">
        <v>2168</v>
      </c>
      <c r="O437" s="37">
        <v>45519</v>
      </c>
      <c r="P437" s="44" t="s">
        <v>58</v>
      </c>
      <c r="Q437" s="38">
        <v>547000</v>
      </c>
      <c r="R437" s="33">
        <f t="shared" si="90"/>
        <v>2941.5</v>
      </c>
      <c r="S437" s="35">
        <f t="shared" si="89"/>
        <v>196.1</v>
      </c>
      <c r="T437" s="34">
        <v>500</v>
      </c>
    </row>
    <row r="438" spans="1:20" x14ac:dyDescent="0.25">
      <c r="A438" s="36" t="s">
        <v>565</v>
      </c>
      <c r="B438" s="36"/>
      <c r="C438" s="36" t="s">
        <v>38</v>
      </c>
      <c r="D438" s="39">
        <v>45885</v>
      </c>
      <c r="E438" s="39">
        <v>46250</v>
      </c>
      <c r="F438" s="36" t="s">
        <v>1442</v>
      </c>
      <c r="G438" s="36" t="s">
        <v>63</v>
      </c>
      <c r="H438" s="38">
        <v>23248</v>
      </c>
      <c r="I438" s="40">
        <v>19610</v>
      </c>
      <c r="J438" s="40"/>
      <c r="K438" s="40"/>
      <c r="L438" s="40"/>
      <c r="M438" s="40"/>
      <c r="N438" s="36" t="s">
        <v>2168</v>
      </c>
      <c r="O438" s="37">
        <v>45519</v>
      </c>
      <c r="P438" s="44" t="s">
        <v>58</v>
      </c>
      <c r="Q438" s="38">
        <v>547000</v>
      </c>
      <c r="R438" s="33">
        <f t="shared" si="90"/>
        <v>2941.5</v>
      </c>
      <c r="S438" s="35">
        <f t="shared" si="89"/>
        <v>196.1</v>
      </c>
      <c r="T438" s="34">
        <v>500</v>
      </c>
    </row>
    <row r="439" spans="1:20" x14ac:dyDescent="0.25">
      <c r="A439" s="36" t="s">
        <v>566</v>
      </c>
      <c r="B439" s="36"/>
      <c r="C439" s="36" t="s">
        <v>33</v>
      </c>
      <c r="D439" s="39">
        <v>45519</v>
      </c>
      <c r="E439" s="39">
        <v>45884</v>
      </c>
      <c r="F439" s="36" t="s">
        <v>1443</v>
      </c>
      <c r="G439" s="36" t="s">
        <v>63</v>
      </c>
      <c r="H439" s="38">
        <v>23248</v>
      </c>
      <c r="I439" s="40">
        <v>19610</v>
      </c>
      <c r="J439" s="40"/>
      <c r="K439" s="40"/>
      <c r="L439" s="40"/>
      <c r="M439" s="40"/>
      <c r="N439" s="36" t="s">
        <v>2169</v>
      </c>
      <c r="O439" s="37">
        <v>45519</v>
      </c>
      <c r="P439" s="44" t="s">
        <v>58</v>
      </c>
      <c r="Q439" s="38">
        <v>547000</v>
      </c>
      <c r="R439" s="33">
        <f t="shared" si="90"/>
        <v>2941.5</v>
      </c>
      <c r="S439" s="35">
        <f t="shared" si="89"/>
        <v>196.1</v>
      </c>
      <c r="T439" s="34">
        <v>500</v>
      </c>
    </row>
    <row r="440" spans="1:20" x14ac:dyDescent="0.25">
      <c r="A440" s="36" t="s">
        <v>567</v>
      </c>
      <c r="B440" s="36"/>
      <c r="C440" s="36" t="s">
        <v>31</v>
      </c>
      <c r="D440" s="39">
        <v>45520</v>
      </c>
      <c r="E440" s="39">
        <v>45885</v>
      </c>
      <c r="F440" s="36" t="s">
        <v>1444</v>
      </c>
      <c r="G440" s="36" t="s">
        <v>63</v>
      </c>
      <c r="H440" s="38">
        <v>23248</v>
      </c>
      <c r="I440" s="40">
        <v>19610</v>
      </c>
      <c r="J440" s="40"/>
      <c r="K440" s="40"/>
      <c r="L440" s="40"/>
      <c r="M440" s="40"/>
      <c r="N440" s="36" t="s">
        <v>2170</v>
      </c>
      <c r="O440" s="37">
        <v>45520</v>
      </c>
      <c r="P440" s="44" t="s">
        <v>58</v>
      </c>
      <c r="Q440" s="38">
        <v>547000</v>
      </c>
      <c r="R440" s="33">
        <f t="shared" si="90"/>
        <v>2941.5</v>
      </c>
      <c r="S440" s="35">
        <f t="shared" si="89"/>
        <v>196.1</v>
      </c>
      <c r="T440" s="34">
        <v>500</v>
      </c>
    </row>
    <row r="441" spans="1:20" x14ac:dyDescent="0.25">
      <c r="A441" s="36" t="s">
        <v>568</v>
      </c>
      <c r="B441" s="36"/>
      <c r="C441" s="36" t="s">
        <v>31</v>
      </c>
      <c r="D441" s="39">
        <v>45886</v>
      </c>
      <c r="E441" s="39">
        <v>46251</v>
      </c>
      <c r="F441" s="36" t="s">
        <v>1444</v>
      </c>
      <c r="G441" s="36" t="s">
        <v>63</v>
      </c>
      <c r="H441" s="38">
        <v>23248</v>
      </c>
      <c r="I441" s="40">
        <v>19610</v>
      </c>
      <c r="J441" s="40"/>
      <c r="K441" s="40"/>
      <c r="L441" s="40"/>
      <c r="M441" s="40"/>
      <c r="N441" s="36" t="s">
        <v>2170</v>
      </c>
      <c r="O441" s="37">
        <v>45520</v>
      </c>
      <c r="P441" s="44" t="s">
        <v>58</v>
      </c>
      <c r="Q441" s="38">
        <v>547000</v>
      </c>
      <c r="R441" s="33">
        <f t="shared" si="90"/>
        <v>2941.5</v>
      </c>
      <c r="S441" s="35">
        <f t="shared" si="89"/>
        <v>196.1</v>
      </c>
      <c r="T441" s="34">
        <v>500</v>
      </c>
    </row>
    <row r="442" spans="1:20" x14ac:dyDescent="0.25">
      <c r="A442" s="36" t="s">
        <v>569</v>
      </c>
      <c r="B442" s="36"/>
      <c r="C442" s="36" t="s">
        <v>32</v>
      </c>
      <c r="D442" s="39">
        <v>45520</v>
      </c>
      <c r="E442" s="39">
        <v>45885</v>
      </c>
      <c r="F442" s="36" t="s">
        <v>117</v>
      </c>
      <c r="G442" s="36" t="s">
        <v>61</v>
      </c>
      <c r="H442" s="38">
        <v>14960</v>
      </c>
      <c r="I442" s="40">
        <v>12466</v>
      </c>
      <c r="J442" s="40"/>
      <c r="K442" s="40"/>
      <c r="L442" s="40"/>
      <c r="M442" s="40"/>
      <c r="N442" s="36" t="s">
        <v>2171</v>
      </c>
      <c r="O442" s="37">
        <v>45520</v>
      </c>
      <c r="P442" s="44" t="s">
        <v>58</v>
      </c>
      <c r="Q442" s="38">
        <v>352000</v>
      </c>
      <c r="R442" s="33">
        <f t="shared" si="90"/>
        <v>1869.9</v>
      </c>
      <c r="S442" s="35">
        <f t="shared" si="89"/>
        <v>124.66</v>
      </c>
      <c r="T442" s="34">
        <v>500</v>
      </c>
    </row>
    <row r="443" spans="1:20" x14ac:dyDescent="0.25">
      <c r="A443" s="36" t="s">
        <v>570</v>
      </c>
      <c r="B443" s="36"/>
      <c r="C443" s="36" t="s">
        <v>32</v>
      </c>
      <c r="D443" s="39">
        <v>45886</v>
      </c>
      <c r="E443" s="39">
        <v>46251</v>
      </c>
      <c r="F443" s="36" t="s">
        <v>117</v>
      </c>
      <c r="G443" s="36" t="s">
        <v>61</v>
      </c>
      <c r="H443" s="38">
        <v>14960</v>
      </c>
      <c r="I443" s="40">
        <v>12466</v>
      </c>
      <c r="J443" s="40"/>
      <c r="K443" s="40"/>
      <c r="L443" s="40"/>
      <c r="M443" s="40"/>
      <c r="N443" s="36" t="s">
        <v>2171</v>
      </c>
      <c r="O443" s="37">
        <v>45520</v>
      </c>
      <c r="P443" s="44" t="s">
        <v>58</v>
      </c>
      <c r="Q443" s="38">
        <v>352000</v>
      </c>
      <c r="R443" s="33">
        <f t="shared" si="90"/>
        <v>1869.9</v>
      </c>
      <c r="S443" s="35">
        <f t="shared" si="89"/>
        <v>124.66</v>
      </c>
      <c r="T443" s="34">
        <v>500</v>
      </c>
    </row>
    <row r="444" spans="1:20" x14ac:dyDescent="0.25">
      <c r="A444" s="36" t="s">
        <v>571</v>
      </c>
      <c r="B444" s="36"/>
      <c r="C444" s="36" t="s">
        <v>66</v>
      </c>
      <c r="D444" s="39">
        <v>45520</v>
      </c>
      <c r="E444" s="39">
        <v>45885</v>
      </c>
      <c r="F444" s="36" t="s">
        <v>1445</v>
      </c>
      <c r="G444" s="36" t="s">
        <v>61</v>
      </c>
      <c r="H444" s="38">
        <v>8800</v>
      </c>
      <c r="I444" s="40">
        <v>7155</v>
      </c>
      <c r="J444" s="40"/>
      <c r="K444" s="40"/>
      <c r="L444" s="40"/>
      <c r="M444" s="40"/>
      <c r="N444" s="36" t="s">
        <v>2172</v>
      </c>
      <c r="O444" s="37">
        <v>45520</v>
      </c>
      <c r="P444" s="44" t="s">
        <v>58</v>
      </c>
      <c r="Q444" s="38">
        <v>352000</v>
      </c>
      <c r="R444" s="33">
        <f t="shared" si="90"/>
        <v>1073.25</v>
      </c>
      <c r="S444" s="35">
        <f t="shared" si="89"/>
        <v>71.55</v>
      </c>
      <c r="T444" s="34">
        <v>500</v>
      </c>
    </row>
    <row r="445" spans="1:20" x14ac:dyDescent="0.25">
      <c r="A445" s="36" t="s">
        <v>572</v>
      </c>
      <c r="B445" s="36"/>
      <c r="C445" s="36" t="s">
        <v>66</v>
      </c>
      <c r="D445" s="39">
        <v>45520</v>
      </c>
      <c r="E445" s="39">
        <v>45885</v>
      </c>
      <c r="F445" s="36" t="s">
        <v>1445</v>
      </c>
      <c r="G445" s="36" t="s">
        <v>61</v>
      </c>
      <c r="H445" s="38">
        <v>8800</v>
      </c>
      <c r="I445" s="40">
        <v>7155</v>
      </c>
      <c r="J445" s="40"/>
      <c r="K445" s="40"/>
      <c r="L445" s="40"/>
      <c r="M445" s="40"/>
      <c r="N445" s="36" t="s">
        <v>2172</v>
      </c>
      <c r="O445" s="37">
        <v>45520</v>
      </c>
      <c r="P445" s="44" t="s">
        <v>58</v>
      </c>
      <c r="Q445" s="38">
        <v>352000</v>
      </c>
      <c r="R445" s="33">
        <f t="shared" si="90"/>
        <v>1073.25</v>
      </c>
      <c r="S445" s="35">
        <f t="shared" si="89"/>
        <v>71.55</v>
      </c>
      <c r="T445" s="34">
        <v>500</v>
      </c>
    </row>
    <row r="446" spans="1:20" x14ac:dyDescent="0.25">
      <c r="A446" s="36" t="s">
        <v>573</v>
      </c>
      <c r="B446" s="36"/>
      <c r="C446" s="36" t="s">
        <v>66</v>
      </c>
      <c r="D446" s="39">
        <v>45520</v>
      </c>
      <c r="E446" s="39">
        <v>45885</v>
      </c>
      <c r="F446" s="36" t="s">
        <v>1446</v>
      </c>
      <c r="G446" s="36" t="s">
        <v>61</v>
      </c>
      <c r="H446" s="38">
        <v>8800</v>
      </c>
      <c r="I446" s="40">
        <v>7155</v>
      </c>
      <c r="J446" s="40"/>
      <c r="K446" s="40"/>
      <c r="L446" s="40"/>
      <c r="M446" s="40"/>
      <c r="N446" s="36" t="s">
        <v>2173</v>
      </c>
      <c r="O446" s="37">
        <v>45520</v>
      </c>
      <c r="P446" s="44" t="s">
        <v>58</v>
      </c>
      <c r="Q446" s="38">
        <v>352000</v>
      </c>
      <c r="R446" s="33">
        <f t="shared" si="90"/>
        <v>1073.25</v>
      </c>
      <c r="S446" s="35">
        <f t="shared" si="89"/>
        <v>71.55</v>
      </c>
      <c r="T446" s="34">
        <v>500</v>
      </c>
    </row>
    <row r="447" spans="1:20" x14ac:dyDescent="0.25">
      <c r="A447" s="36" t="s">
        <v>574</v>
      </c>
      <c r="B447" s="36"/>
      <c r="C447" s="36" t="s">
        <v>66</v>
      </c>
      <c r="D447" s="39">
        <v>45520</v>
      </c>
      <c r="E447" s="39">
        <v>45885</v>
      </c>
      <c r="F447" s="36" t="s">
        <v>1447</v>
      </c>
      <c r="G447" s="36" t="s">
        <v>62</v>
      </c>
      <c r="H447" s="38">
        <v>9550</v>
      </c>
      <c r="I447" s="40">
        <v>7802</v>
      </c>
      <c r="J447" s="40"/>
      <c r="K447" s="40"/>
      <c r="L447" s="40"/>
      <c r="M447" s="40"/>
      <c r="N447" s="36" t="s">
        <v>2174</v>
      </c>
      <c r="O447" s="37">
        <v>45520</v>
      </c>
      <c r="P447" s="44" t="s">
        <v>58</v>
      </c>
      <c r="Q447" s="38">
        <v>382000</v>
      </c>
      <c r="R447" s="33">
        <f t="shared" si="90"/>
        <v>1170.3</v>
      </c>
      <c r="S447" s="35">
        <f t="shared" si="89"/>
        <v>78.02</v>
      </c>
      <c r="T447" s="34">
        <v>500</v>
      </c>
    </row>
    <row r="448" spans="1:20" x14ac:dyDescent="0.25">
      <c r="A448" s="36" t="s">
        <v>575</v>
      </c>
      <c r="B448" s="36"/>
      <c r="C448" s="36" t="s">
        <v>32</v>
      </c>
      <c r="D448" s="39">
        <v>45520</v>
      </c>
      <c r="E448" s="39">
        <v>45885</v>
      </c>
      <c r="F448" s="36" t="s">
        <v>1448</v>
      </c>
      <c r="G448" s="36" t="s">
        <v>63</v>
      </c>
      <c r="H448" s="38">
        <v>23248</v>
      </c>
      <c r="I448" s="40">
        <v>19610</v>
      </c>
      <c r="J448" s="40"/>
      <c r="K448" s="40"/>
      <c r="L448" s="40"/>
      <c r="M448" s="40"/>
      <c r="N448" s="36" t="s">
        <v>2175</v>
      </c>
      <c r="O448" s="37">
        <v>45520</v>
      </c>
      <c r="P448" s="44" t="s">
        <v>58</v>
      </c>
      <c r="Q448" s="38">
        <v>547000</v>
      </c>
      <c r="R448" s="33">
        <f t="shared" si="90"/>
        <v>2941.5</v>
      </c>
      <c r="S448" s="35">
        <f t="shared" si="89"/>
        <v>196.1</v>
      </c>
      <c r="T448" s="34">
        <v>500</v>
      </c>
    </row>
    <row r="449" spans="1:20" x14ac:dyDescent="0.25">
      <c r="A449" s="36" t="s">
        <v>576</v>
      </c>
      <c r="B449" s="36"/>
      <c r="C449" s="36" t="s">
        <v>32</v>
      </c>
      <c r="D449" s="39">
        <v>45886</v>
      </c>
      <c r="E449" s="39">
        <v>46251</v>
      </c>
      <c r="F449" s="36" t="s">
        <v>1448</v>
      </c>
      <c r="G449" s="36" t="s">
        <v>63</v>
      </c>
      <c r="H449" s="38">
        <v>23248</v>
      </c>
      <c r="I449" s="40">
        <v>19610</v>
      </c>
      <c r="J449" s="40"/>
      <c r="K449" s="40"/>
      <c r="L449" s="40"/>
      <c r="M449" s="40"/>
      <c r="N449" s="36" t="s">
        <v>2175</v>
      </c>
      <c r="O449" s="37">
        <v>45520</v>
      </c>
      <c r="P449" s="44" t="s">
        <v>58</v>
      </c>
      <c r="Q449" s="38">
        <v>547000</v>
      </c>
      <c r="R449" s="33">
        <f t="shared" si="90"/>
        <v>2941.5</v>
      </c>
      <c r="S449" s="35">
        <f t="shared" si="89"/>
        <v>196.1</v>
      </c>
      <c r="T449" s="34">
        <v>500</v>
      </c>
    </row>
    <row r="450" spans="1:20" x14ac:dyDescent="0.25">
      <c r="A450" s="36" t="s">
        <v>577</v>
      </c>
      <c r="B450" s="36"/>
      <c r="C450" s="36" t="s">
        <v>66</v>
      </c>
      <c r="D450" s="39">
        <v>45520</v>
      </c>
      <c r="E450" s="39">
        <v>45885</v>
      </c>
      <c r="F450" s="36" t="s">
        <v>1449</v>
      </c>
      <c r="G450" s="36" t="s">
        <v>61</v>
      </c>
      <c r="H450" s="38">
        <v>8800</v>
      </c>
      <c r="I450" s="40">
        <v>7155</v>
      </c>
      <c r="J450" s="40"/>
      <c r="K450" s="40"/>
      <c r="L450" s="40"/>
      <c r="M450" s="40"/>
      <c r="N450" s="36" t="s">
        <v>2176</v>
      </c>
      <c r="O450" s="37">
        <v>45520</v>
      </c>
      <c r="P450" s="44" t="s">
        <v>58</v>
      </c>
      <c r="Q450" s="38">
        <v>352000</v>
      </c>
      <c r="R450" s="33">
        <f t="shared" si="90"/>
        <v>1073.25</v>
      </c>
      <c r="S450" s="35">
        <f t="shared" si="89"/>
        <v>71.55</v>
      </c>
      <c r="T450" s="34">
        <v>500</v>
      </c>
    </row>
    <row r="451" spans="1:20" x14ac:dyDescent="0.25">
      <c r="A451" s="36" t="s">
        <v>578</v>
      </c>
      <c r="B451" s="36"/>
      <c r="C451" s="36" t="s">
        <v>66</v>
      </c>
      <c r="D451" s="39">
        <v>45520</v>
      </c>
      <c r="E451" s="39">
        <v>45885</v>
      </c>
      <c r="F451" s="36" t="s">
        <v>1450</v>
      </c>
      <c r="G451" s="36" t="s">
        <v>62</v>
      </c>
      <c r="H451" s="38">
        <v>9550</v>
      </c>
      <c r="I451" s="40">
        <v>7802</v>
      </c>
      <c r="J451" s="40"/>
      <c r="K451" s="40"/>
      <c r="L451" s="40"/>
      <c r="M451" s="40"/>
      <c r="N451" s="36" t="s">
        <v>2177</v>
      </c>
      <c r="O451" s="37">
        <v>45520</v>
      </c>
      <c r="P451" s="44" t="s">
        <v>58</v>
      </c>
      <c r="Q451" s="38">
        <v>382000</v>
      </c>
      <c r="R451" s="33">
        <f t="shared" si="90"/>
        <v>1170.3</v>
      </c>
      <c r="S451" s="35">
        <f t="shared" ref="S451:S514" si="91">I451*1/100</f>
        <v>78.02</v>
      </c>
      <c r="T451" s="34">
        <v>500</v>
      </c>
    </row>
    <row r="452" spans="1:20" x14ac:dyDescent="0.25">
      <c r="A452" s="36" t="s">
        <v>579</v>
      </c>
      <c r="B452" s="36"/>
      <c r="C452" s="36" t="s">
        <v>66</v>
      </c>
      <c r="D452" s="39">
        <v>45520</v>
      </c>
      <c r="E452" s="39">
        <v>45885</v>
      </c>
      <c r="F452" s="36" t="s">
        <v>1451</v>
      </c>
      <c r="G452" s="36" t="s">
        <v>62</v>
      </c>
      <c r="H452" s="38">
        <v>9550</v>
      </c>
      <c r="I452" s="40">
        <v>7802</v>
      </c>
      <c r="J452" s="40"/>
      <c r="K452" s="40"/>
      <c r="L452" s="40"/>
      <c r="M452" s="40"/>
      <c r="N452" s="36" t="s">
        <v>2178</v>
      </c>
      <c r="O452" s="37">
        <v>45520</v>
      </c>
      <c r="P452" s="44" t="s">
        <v>58</v>
      </c>
      <c r="Q452" s="38">
        <v>382000</v>
      </c>
      <c r="R452" s="33">
        <f t="shared" ref="R452:R515" si="92">I452*15/100</f>
        <v>1170.3</v>
      </c>
      <c r="S452" s="35">
        <f t="shared" si="91"/>
        <v>78.02</v>
      </c>
      <c r="T452" s="34">
        <v>500</v>
      </c>
    </row>
    <row r="453" spans="1:20" x14ac:dyDescent="0.25">
      <c r="A453" s="36" t="s">
        <v>580</v>
      </c>
      <c r="B453" s="36"/>
      <c r="C453" s="36" t="s">
        <v>66</v>
      </c>
      <c r="D453" s="39">
        <v>45520</v>
      </c>
      <c r="E453" s="39">
        <v>45885</v>
      </c>
      <c r="F453" s="36" t="s">
        <v>1452</v>
      </c>
      <c r="G453" s="36" t="s">
        <v>64</v>
      </c>
      <c r="H453" s="38">
        <v>12475</v>
      </c>
      <c r="I453" s="40">
        <v>10323</v>
      </c>
      <c r="J453" s="40"/>
      <c r="K453" s="40"/>
      <c r="L453" s="40"/>
      <c r="M453" s="40"/>
      <c r="N453" s="36" t="s">
        <v>2179</v>
      </c>
      <c r="O453" s="37">
        <v>45520</v>
      </c>
      <c r="P453" s="44" t="s">
        <v>58</v>
      </c>
      <c r="Q453" s="38">
        <v>499000</v>
      </c>
      <c r="R453" s="33">
        <f t="shared" si="92"/>
        <v>1548.45</v>
      </c>
      <c r="S453" s="35">
        <f t="shared" si="91"/>
        <v>103.23</v>
      </c>
      <c r="T453" s="34">
        <v>500</v>
      </c>
    </row>
    <row r="454" spans="1:20" x14ac:dyDescent="0.25">
      <c r="A454" s="36" t="s">
        <v>581</v>
      </c>
      <c r="B454" s="36"/>
      <c r="C454" s="36" t="s">
        <v>66</v>
      </c>
      <c r="D454" s="39">
        <v>45520</v>
      </c>
      <c r="E454" s="39">
        <v>45885</v>
      </c>
      <c r="F454" s="36" t="s">
        <v>1453</v>
      </c>
      <c r="G454" s="36" t="s">
        <v>63</v>
      </c>
      <c r="H454" s="38">
        <v>13675</v>
      </c>
      <c r="I454" s="40">
        <v>11358</v>
      </c>
      <c r="J454" s="40"/>
      <c r="K454" s="40"/>
      <c r="L454" s="40"/>
      <c r="M454" s="40"/>
      <c r="N454" s="36" t="s">
        <v>2180</v>
      </c>
      <c r="O454" s="37">
        <v>45520</v>
      </c>
      <c r="P454" s="44" t="s">
        <v>58</v>
      </c>
      <c r="Q454" s="38">
        <v>547000</v>
      </c>
      <c r="R454" s="33">
        <f t="shared" si="92"/>
        <v>1703.7</v>
      </c>
      <c r="S454" s="35">
        <f t="shared" si="91"/>
        <v>113.58</v>
      </c>
      <c r="T454" s="34">
        <v>500</v>
      </c>
    </row>
    <row r="455" spans="1:20" x14ac:dyDescent="0.25">
      <c r="A455" s="36" t="s">
        <v>582</v>
      </c>
      <c r="B455" s="36"/>
      <c r="C455" s="36" t="s">
        <v>31</v>
      </c>
      <c r="D455" s="39">
        <v>45520</v>
      </c>
      <c r="E455" s="39">
        <v>45885</v>
      </c>
      <c r="F455" s="36" t="s">
        <v>1454</v>
      </c>
      <c r="G455" s="36" t="s">
        <v>61</v>
      </c>
      <c r="H455" s="38">
        <v>14960</v>
      </c>
      <c r="I455" s="40">
        <v>12466</v>
      </c>
      <c r="J455" s="40"/>
      <c r="K455" s="40"/>
      <c r="L455" s="40"/>
      <c r="M455" s="40"/>
      <c r="N455" s="36" t="s">
        <v>2181</v>
      </c>
      <c r="O455" s="37">
        <v>45520</v>
      </c>
      <c r="P455" s="44" t="s">
        <v>58</v>
      </c>
      <c r="Q455" s="38">
        <v>352000</v>
      </c>
      <c r="R455" s="33">
        <f t="shared" si="92"/>
        <v>1869.9</v>
      </c>
      <c r="S455" s="35">
        <f t="shared" si="91"/>
        <v>124.66</v>
      </c>
      <c r="T455" s="34">
        <v>500</v>
      </c>
    </row>
    <row r="456" spans="1:20" x14ac:dyDescent="0.25">
      <c r="A456" s="36" t="s">
        <v>583</v>
      </c>
      <c r="B456" s="36"/>
      <c r="C456" s="36" t="s">
        <v>71</v>
      </c>
      <c r="D456" s="39">
        <v>45520</v>
      </c>
      <c r="E456" s="39">
        <v>45885</v>
      </c>
      <c r="F456" s="36" t="s">
        <v>1455</v>
      </c>
      <c r="G456" s="36" t="s">
        <v>61</v>
      </c>
      <c r="H456" s="38">
        <v>8800</v>
      </c>
      <c r="I456" s="40">
        <v>7155</v>
      </c>
      <c r="J456" s="40"/>
      <c r="K456" s="40"/>
      <c r="L456" s="40"/>
      <c r="M456" s="40"/>
      <c r="N456" s="36" t="s">
        <v>2182</v>
      </c>
      <c r="O456" s="37">
        <v>45520</v>
      </c>
      <c r="P456" s="44" t="s">
        <v>58</v>
      </c>
      <c r="Q456" s="38">
        <v>352000</v>
      </c>
      <c r="R456" s="33">
        <f t="shared" si="92"/>
        <v>1073.25</v>
      </c>
      <c r="S456" s="35">
        <f t="shared" si="91"/>
        <v>71.55</v>
      </c>
      <c r="T456" s="34">
        <v>500</v>
      </c>
    </row>
    <row r="457" spans="1:20" x14ac:dyDescent="0.25">
      <c r="A457" s="36" t="s">
        <v>584</v>
      </c>
      <c r="B457" s="36"/>
      <c r="C457" s="36" t="s">
        <v>72</v>
      </c>
      <c r="D457" s="39">
        <v>45520</v>
      </c>
      <c r="E457" s="39">
        <v>45885</v>
      </c>
      <c r="F457" s="36" t="s">
        <v>1456</v>
      </c>
      <c r="G457" s="36" t="s">
        <v>61</v>
      </c>
      <c r="H457" s="38">
        <v>8800</v>
      </c>
      <c r="I457" s="40">
        <v>7155</v>
      </c>
      <c r="J457" s="40"/>
      <c r="K457" s="40"/>
      <c r="L457" s="40"/>
      <c r="M457" s="40"/>
      <c r="N457" s="36" t="s">
        <v>2183</v>
      </c>
      <c r="O457" s="37">
        <v>45520</v>
      </c>
      <c r="P457" s="44" t="s">
        <v>58</v>
      </c>
      <c r="Q457" s="38">
        <v>352000</v>
      </c>
      <c r="R457" s="33">
        <f t="shared" si="92"/>
        <v>1073.25</v>
      </c>
      <c r="S457" s="35">
        <f t="shared" si="91"/>
        <v>71.55</v>
      </c>
      <c r="T457" s="34">
        <v>500</v>
      </c>
    </row>
    <row r="458" spans="1:20" x14ac:dyDescent="0.25">
      <c r="A458" s="36" t="s">
        <v>585</v>
      </c>
      <c r="B458" s="36"/>
      <c r="C458" s="36" t="s">
        <v>72</v>
      </c>
      <c r="D458" s="39">
        <v>45520</v>
      </c>
      <c r="E458" s="39">
        <v>45885</v>
      </c>
      <c r="F458" s="36" t="s">
        <v>1457</v>
      </c>
      <c r="G458" s="36" t="s">
        <v>62</v>
      </c>
      <c r="H458" s="38">
        <v>9550</v>
      </c>
      <c r="I458" s="40">
        <v>7802</v>
      </c>
      <c r="J458" s="40"/>
      <c r="K458" s="40"/>
      <c r="L458" s="40"/>
      <c r="M458" s="40"/>
      <c r="N458" s="36" t="s">
        <v>2184</v>
      </c>
      <c r="O458" s="37">
        <v>45520</v>
      </c>
      <c r="P458" s="44" t="s">
        <v>58</v>
      </c>
      <c r="Q458" s="38">
        <v>382000</v>
      </c>
      <c r="R458" s="33">
        <f t="shared" si="92"/>
        <v>1170.3</v>
      </c>
      <c r="S458" s="35">
        <f t="shared" si="91"/>
        <v>78.02</v>
      </c>
      <c r="T458" s="34">
        <v>500</v>
      </c>
    </row>
    <row r="459" spans="1:20" x14ac:dyDescent="0.25">
      <c r="A459" s="36" t="s">
        <v>586</v>
      </c>
      <c r="B459" s="36"/>
      <c r="C459" s="36" t="s">
        <v>72</v>
      </c>
      <c r="D459" s="39">
        <v>45520</v>
      </c>
      <c r="E459" s="39">
        <v>45885</v>
      </c>
      <c r="F459" s="36" t="s">
        <v>1458</v>
      </c>
      <c r="G459" s="36" t="s">
        <v>62</v>
      </c>
      <c r="H459" s="38">
        <v>9550</v>
      </c>
      <c r="I459" s="40">
        <v>7802</v>
      </c>
      <c r="J459" s="40"/>
      <c r="K459" s="40"/>
      <c r="L459" s="40"/>
      <c r="M459" s="40"/>
      <c r="N459" s="36" t="s">
        <v>2185</v>
      </c>
      <c r="O459" s="37">
        <v>45520</v>
      </c>
      <c r="P459" s="44" t="s">
        <v>58</v>
      </c>
      <c r="Q459" s="38">
        <v>382000</v>
      </c>
      <c r="R459" s="33">
        <f t="shared" si="92"/>
        <v>1170.3</v>
      </c>
      <c r="S459" s="35">
        <f t="shared" si="91"/>
        <v>78.02</v>
      </c>
      <c r="T459" s="34">
        <v>500</v>
      </c>
    </row>
    <row r="460" spans="1:20" x14ac:dyDescent="0.25">
      <c r="A460" s="36" t="s">
        <v>587</v>
      </c>
      <c r="B460" s="36"/>
      <c r="C460" s="36" t="s">
        <v>31</v>
      </c>
      <c r="D460" s="39">
        <v>45520</v>
      </c>
      <c r="E460" s="39">
        <v>45885</v>
      </c>
      <c r="F460" s="36" t="s">
        <v>1459</v>
      </c>
      <c r="G460" s="36" t="s">
        <v>62</v>
      </c>
      <c r="H460" s="38">
        <v>16235</v>
      </c>
      <c r="I460" s="40">
        <v>13565</v>
      </c>
      <c r="J460" s="40"/>
      <c r="K460" s="40"/>
      <c r="L460" s="40"/>
      <c r="M460" s="40"/>
      <c r="N460" s="36" t="s">
        <v>2186</v>
      </c>
      <c r="O460" s="37">
        <v>45520</v>
      </c>
      <c r="P460" s="44" t="s">
        <v>58</v>
      </c>
      <c r="Q460" s="38">
        <v>382000</v>
      </c>
      <c r="R460" s="33">
        <f t="shared" si="92"/>
        <v>2034.75</v>
      </c>
      <c r="S460" s="35">
        <f t="shared" si="91"/>
        <v>135.65</v>
      </c>
      <c r="T460" s="34">
        <v>500</v>
      </c>
    </row>
    <row r="461" spans="1:20" x14ac:dyDescent="0.25">
      <c r="A461" s="36" t="s">
        <v>588</v>
      </c>
      <c r="B461" s="36"/>
      <c r="C461" s="36" t="s">
        <v>31</v>
      </c>
      <c r="D461" s="39">
        <v>45886</v>
      </c>
      <c r="E461" s="39">
        <v>46251</v>
      </c>
      <c r="F461" s="36" t="s">
        <v>1459</v>
      </c>
      <c r="G461" s="36" t="s">
        <v>62</v>
      </c>
      <c r="H461" s="38">
        <v>16235</v>
      </c>
      <c r="I461" s="40">
        <v>13565</v>
      </c>
      <c r="J461" s="40"/>
      <c r="K461" s="40"/>
      <c r="L461" s="40"/>
      <c r="M461" s="40"/>
      <c r="N461" s="36" t="s">
        <v>2186</v>
      </c>
      <c r="O461" s="37">
        <v>45520</v>
      </c>
      <c r="P461" s="44" t="s">
        <v>58</v>
      </c>
      <c r="Q461" s="38">
        <v>382000</v>
      </c>
      <c r="R461" s="33">
        <f t="shared" si="92"/>
        <v>2034.75</v>
      </c>
      <c r="S461" s="35">
        <f t="shared" si="91"/>
        <v>135.65</v>
      </c>
      <c r="T461" s="34">
        <v>500</v>
      </c>
    </row>
    <row r="462" spans="1:20" x14ac:dyDescent="0.25">
      <c r="A462" s="36" t="s">
        <v>589</v>
      </c>
      <c r="B462" s="36"/>
      <c r="C462" s="36" t="s">
        <v>72</v>
      </c>
      <c r="D462" s="39">
        <v>45520</v>
      </c>
      <c r="E462" s="39">
        <v>45885</v>
      </c>
      <c r="F462" s="36" t="s">
        <v>1460</v>
      </c>
      <c r="G462" s="36" t="s">
        <v>63</v>
      </c>
      <c r="H462" s="38">
        <v>13675</v>
      </c>
      <c r="I462" s="40">
        <v>11358</v>
      </c>
      <c r="J462" s="40"/>
      <c r="K462" s="40"/>
      <c r="L462" s="40"/>
      <c r="M462" s="40"/>
      <c r="N462" s="36" t="s">
        <v>2187</v>
      </c>
      <c r="O462" s="37">
        <v>45520</v>
      </c>
      <c r="P462" s="44" t="s">
        <v>58</v>
      </c>
      <c r="Q462" s="38">
        <v>547000</v>
      </c>
      <c r="R462" s="33">
        <f t="shared" si="92"/>
        <v>1703.7</v>
      </c>
      <c r="S462" s="35">
        <f t="shared" si="91"/>
        <v>113.58</v>
      </c>
      <c r="T462" s="34">
        <v>500</v>
      </c>
    </row>
    <row r="463" spans="1:20" x14ac:dyDescent="0.25">
      <c r="A463" s="36" t="s">
        <v>590</v>
      </c>
      <c r="B463" s="36"/>
      <c r="C463" s="36" t="s">
        <v>72</v>
      </c>
      <c r="D463" s="39">
        <v>45520</v>
      </c>
      <c r="E463" s="39">
        <v>45885</v>
      </c>
      <c r="F463" s="36" t="s">
        <v>1461</v>
      </c>
      <c r="G463" s="36" t="s">
        <v>64</v>
      </c>
      <c r="H463" s="38">
        <v>12475</v>
      </c>
      <c r="I463" s="40">
        <v>10323</v>
      </c>
      <c r="J463" s="40"/>
      <c r="K463" s="40"/>
      <c r="L463" s="40"/>
      <c r="M463" s="40"/>
      <c r="N463" s="36" t="s">
        <v>2188</v>
      </c>
      <c r="O463" s="37">
        <v>45520</v>
      </c>
      <c r="P463" s="44" t="s">
        <v>58</v>
      </c>
      <c r="Q463" s="38">
        <v>499000</v>
      </c>
      <c r="R463" s="33">
        <f t="shared" si="92"/>
        <v>1548.45</v>
      </c>
      <c r="S463" s="35">
        <f t="shared" si="91"/>
        <v>103.23</v>
      </c>
      <c r="T463" s="34">
        <v>500</v>
      </c>
    </row>
    <row r="464" spans="1:20" x14ac:dyDescent="0.25">
      <c r="A464" s="36" t="s">
        <v>591</v>
      </c>
      <c r="B464" s="36"/>
      <c r="C464" s="36" t="s">
        <v>55</v>
      </c>
      <c r="D464" s="39">
        <v>45521</v>
      </c>
      <c r="E464" s="39">
        <v>45886</v>
      </c>
      <c r="F464" s="36" t="s">
        <v>1257</v>
      </c>
      <c r="G464" s="36" t="s">
        <v>64</v>
      </c>
      <c r="H464" s="38">
        <v>12475</v>
      </c>
      <c r="I464" s="40">
        <v>10323</v>
      </c>
      <c r="J464" s="40"/>
      <c r="K464" s="40"/>
      <c r="L464" s="40"/>
      <c r="M464" s="40"/>
      <c r="N464" s="36" t="s">
        <v>2189</v>
      </c>
      <c r="O464" s="37">
        <v>45521</v>
      </c>
      <c r="P464" s="44" t="s">
        <v>58</v>
      </c>
      <c r="Q464" s="38">
        <v>499000</v>
      </c>
      <c r="R464" s="33">
        <f t="shared" si="92"/>
        <v>1548.45</v>
      </c>
      <c r="S464" s="35">
        <f t="shared" si="91"/>
        <v>103.23</v>
      </c>
      <c r="T464" s="34">
        <v>500</v>
      </c>
    </row>
    <row r="465" spans="1:20" x14ac:dyDescent="0.25">
      <c r="A465" s="36" t="s">
        <v>592</v>
      </c>
      <c r="B465" s="36"/>
      <c r="C465" s="36" t="s">
        <v>30</v>
      </c>
      <c r="D465" s="39">
        <v>45521</v>
      </c>
      <c r="E465" s="39">
        <v>45886</v>
      </c>
      <c r="F465" s="36" t="s">
        <v>1462</v>
      </c>
      <c r="G465" s="36" t="s">
        <v>61</v>
      </c>
      <c r="H465" s="38">
        <v>14960</v>
      </c>
      <c r="I465" s="40">
        <v>12466</v>
      </c>
      <c r="J465" s="40"/>
      <c r="K465" s="40"/>
      <c r="L465" s="40"/>
      <c r="M465" s="40"/>
      <c r="N465" s="36" t="s">
        <v>2190</v>
      </c>
      <c r="O465" s="37">
        <v>45521</v>
      </c>
      <c r="P465" s="44" t="s">
        <v>58</v>
      </c>
      <c r="Q465" s="38">
        <v>352000</v>
      </c>
      <c r="R465" s="33">
        <f t="shared" si="92"/>
        <v>1869.9</v>
      </c>
      <c r="S465" s="35">
        <f t="shared" si="91"/>
        <v>124.66</v>
      </c>
      <c r="T465" s="34">
        <v>500</v>
      </c>
    </row>
    <row r="466" spans="1:20" x14ac:dyDescent="0.25">
      <c r="A466" s="36" t="s">
        <v>593</v>
      </c>
      <c r="B466" s="36"/>
      <c r="C466" s="36" t="s">
        <v>55</v>
      </c>
      <c r="D466" s="39">
        <v>45521</v>
      </c>
      <c r="E466" s="39">
        <v>45886</v>
      </c>
      <c r="F466" s="36" t="s">
        <v>1157</v>
      </c>
      <c r="G466" s="36" t="s">
        <v>64</v>
      </c>
      <c r="H466" s="38">
        <v>12475</v>
      </c>
      <c r="I466" s="40">
        <v>10323</v>
      </c>
      <c r="J466" s="40"/>
      <c r="K466" s="40"/>
      <c r="L466" s="40"/>
      <c r="M466" s="40"/>
      <c r="N466" s="36" t="s">
        <v>2191</v>
      </c>
      <c r="O466" s="37">
        <v>45521</v>
      </c>
      <c r="P466" s="44" t="s">
        <v>58</v>
      </c>
      <c r="Q466" s="38">
        <v>499000</v>
      </c>
      <c r="R466" s="33">
        <f t="shared" si="92"/>
        <v>1548.45</v>
      </c>
      <c r="S466" s="35">
        <f t="shared" si="91"/>
        <v>103.23</v>
      </c>
      <c r="T466" s="34">
        <v>500</v>
      </c>
    </row>
    <row r="467" spans="1:20" x14ac:dyDescent="0.25">
      <c r="A467" s="36" t="s">
        <v>594</v>
      </c>
      <c r="B467" s="36"/>
      <c r="C467" s="36" t="s">
        <v>55</v>
      </c>
      <c r="D467" s="39">
        <v>45521</v>
      </c>
      <c r="E467" s="39">
        <v>45886</v>
      </c>
      <c r="F467" s="36" t="s">
        <v>1463</v>
      </c>
      <c r="G467" s="36" t="s">
        <v>61</v>
      </c>
      <c r="H467" s="38">
        <v>8800</v>
      </c>
      <c r="I467" s="40">
        <v>7155</v>
      </c>
      <c r="J467" s="40"/>
      <c r="K467" s="40"/>
      <c r="L467" s="40"/>
      <c r="M467" s="40"/>
      <c r="N467" s="36" t="s">
        <v>2192</v>
      </c>
      <c r="O467" s="37">
        <v>45521</v>
      </c>
      <c r="P467" s="44" t="s">
        <v>58</v>
      </c>
      <c r="Q467" s="38">
        <v>352000</v>
      </c>
      <c r="R467" s="33">
        <f t="shared" si="92"/>
        <v>1073.25</v>
      </c>
      <c r="S467" s="35">
        <f t="shared" si="91"/>
        <v>71.55</v>
      </c>
      <c r="T467" s="34">
        <v>500</v>
      </c>
    </row>
    <row r="468" spans="1:20" x14ac:dyDescent="0.25">
      <c r="A468" s="36" t="s">
        <v>595</v>
      </c>
      <c r="B468" s="36"/>
      <c r="C468" s="36" t="s">
        <v>32</v>
      </c>
      <c r="D468" s="39">
        <v>45521</v>
      </c>
      <c r="E468" s="39">
        <v>45886</v>
      </c>
      <c r="F468" s="36" t="s">
        <v>1464</v>
      </c>
      <c r="G468" s="36" t="s">
        <v>61</v>
      </c>
      <c r="H468" s="38">
        <v>14960</v>
      </c>
      <c r="I468" s="40">
        <v>12466</v>
      </c>
      <c r="J468" s="40"/>
      <c r="K468" s="40"/>
      <c r="L468" s="40"/>
      <c r="M468" s="40"/>
      <c r="N468" s="36" t="s">
        <v>2193</v>
      </c>
      <c r="O468" s="37">
        <v>45521</v>
      </c>
      <c r="P468" s="44" t="s">
        <v>58</v>
      </c>
      <c r="Q468" s="38">
        <v>352000</v>
      </c>
      <c r="R468" s="33">
        <f t="shared" si="92"/>
        <v>1869.9</v>
      </c>
      <c r="S468" s="35">
        <f t="shared" si="91"/>
        <v>124.66</v>
      </c>
      <c r="T468" s="34">
        <v>500</v>
      </c>
    </row>
    <row r="469" spans="1:20" x14ac:dyDescent="0.25">
      <c r="A469" s="36" t="s">
        <v>596</v>
      </c>
      <c r="B469" s="36"/>
      <c r="C469" s="36" t="s">
        <v>32</v>
      </c>
      <c r="D469" s="39">
        <v>45887</v>
      </c>
      <c r="E469" s="39">
        <v>46252</v>
      </c>
      <c r="F469" s="36" t="s">
        <v>1464</v>
      </c>
      <c r="G469" s="36" t="s">
        <v>61</v>
      </c>
      <c r="H469" s="38">
        <v>14960</v>
      </c>
      <c r="I469" s="40">
        <v>12466</v>
      </c>
      <c r="J469" s="40"/>
      <c r="K469" s="40"/>
      <c r="L469" s="40"/>
      <c r="M469" s="40"/>
      <c r="N469" s="36" t="s">
        <v>2193</v>
      </c>
      <c r="O469" s="37">
        <v>45521</v>
      </c>
      <c r="P469" s="44" t="s">
        <v>58</v>
      </c>
      <c r="Q469" s="38">
        <v>352000</v>
      </c>
      <c r="R469" s="33">
        <f t="shared" si="92"/>
        <v>1869.9</v>
      </c>
      <c r="S469" s="35">
        <f t="shared" si="91"/>
        <v>124.66</v>
      </c>
      <c r="T469" s="34">
        <v>500</v>
      </c>
    </row>
    <row r="470" spans="1:20" x14ac:dyDescent="0.25">
      <c r="A470" s="36" t="s">
        <v>597</v>
      </c>
      <c r="B470" s="36"/>
      <c r="C470" s="36" t="s">
        <v>31</v>
      </c>
      <c r="D470" s="39">
        <v>45521</v>
      </c>
      <c r="E470" s="39">
        <v>45886</v>
      </c>
      <c r="F470" s="36" t="s">
        <v>1465</v>
      </c>
      <c r="G470" s="36" t="s">
        <v>63</v>
      </c>
      <c r="H470" s="38">
        <v>22355</v>
      </c>
      <c r="I470" s="40">
        <v>18841</v>
      </c>
      <c r="J470" s="40"/>
      <c r="K470" s="40"/>
      <c r="L470" s="40"/>
      <c r="M470" s="40"/>
      <c r="N470" s="36" t="s">
        <v>2194</v>
      </c>
      <c r="O470" s="37">
        <v>45521</v>
      </c>
      <c r="P470" s="44" t="s">
        <v>58</v>
      </c>
      <c r="Q470" s="38">
        <v>526000</v>
      </c>
      <c r="R470" s="33">
        <f t="shared" si="92"/>
        <v>2826.15</v>
      </c>
      <c r="S470" s="35">
        <f t="shared" si="91"/>
        <v>188.41</v>
      </c>
      <c r="T470" s="34">
        <v>500</v>
      </c>
    </row>
    <row r="471" spans="1:20" x14ac:dyDescent="0.25">
      <c r="A471" s="36" t="s">
        <v>598</v>
      </c>
      <c r="B471" s="36"/>
      <c r="C471" s="36" t="s">
        <v>55</v>
      </c>
      <c r="D471" s="39">
        <v>45521</v>
      </c>
      <c r="E471" s="39">
        <v>45886</v>
      </c>
      <c r="F471" s="36" t="s">
        <v>1466</v>
      </c>
      <c r="G471" s="36" t="s">
        <v>61</v>
      </c>
      <c r="H471" s="38">
        <v>8800</v>
      </c>
      <c r="I471" s="40">
        <v>7155</v>
      </c>
      <c r="J471" s="40"/>
      <c r="K471" s="40"/>
      <c r="L471" s="40"/>
      <c r="M471" s="40"/>
      <c r="N471" s="36" t="s">
        <v>2195</v>
      </c>
      <c r="O471" s="37">
        <v>45521</v>
      </c>
      <c r="P471" s="44" t="s">
        <v>58</v>
      </c>
      <c r="Q471" s="38">
        <v>352000</v>
      </c>
      <c r="R471" s="33">
        <f t="shared" si="92"/>
        <v>1073.25</v>
      </c>
      <c r="S471" s="35">
        <f t="shared" si="91"/>
        <v>71.55</v>
      </c>
      <c r="T471" s="34">
        <v>500</v>
      </c>
    </row>
    <row r="472" spans="1:20" x14ac:dyDescent="0.25">
      <c r="A472" s="36" t="s">
        <v>599</v>
      </c>
      <c r="B472" s="36"/>
      <c r="C472" s="36" t="s">
        <v>55</v>
      </c>
      <c r="D472" s="39">
        <v>45521</v>
      </c>
      <c r="E472" s="39">
        <v>45886</v>
      </c>
      <c r="F472" s="36" t="s">
        <v>1467</v>
      </c>
      <c r="G472" s="36" t="s">
        <v>61</v>
      </c>
      <c r="H472" s="38">
        <v>8800</v>
      </c>
      <c r="I472" s="40">
        <v>7155</v>
      </c>
      <c r="J472" s="40"/>
      <c r="K472" s="40"/>
      <c r="L472" s="40"/>
      <c r="M472" s="40"/>
      <c r="N472" s="36" t="s">
        <v>2196</v>
      </c>
      <c r="O472" s="37">
        <v>45521</v>
      </c>
      <c r="P472" s="44" t="s">
        <v>58</v>
      </c>
      <c r="Q472" s="38">
        <v>352000</v>
      </c>
      <c r="R472" s="33">
        <f t="shared" si="92"/>
        <v>1073.25</v>
      </c>
      <c r="S472" s="35">
        <f t="shared" si="91"/>
        <v>71.55</v>
      </c>
      <c r="T472" s="34">
        <v>500</v>
      </c>
    </row>
    <row r="473" spans="1:20" x14ac:dyDescent="0.25">
      <c r="A473" s="36" t="s">
        <v>600</v>
      </c>
      <c r="B473" s="36"/>
      <c r="C473" s="36" t="s">
        <v>1146</v>
      </c>
      <c r="D473" s="39">
        <v>45521</v>
      </c>
      <c r="E473" s="39">
        <v>45886</v>
      </c>
      <c r="F473" s="36" t="s">
        <v>1468</v>
      </c>
      <c r="G473" s="36" t="s">
        <v>62</v>
      </c>
      <c r="H473" s="38">
        <v>9550</v>
      </c>
      <c r="I473" s="40">
        <v>7802</v>
      </c>
      <c r="J473" s="40"/>
      <c r="K473" s="40"/>
      <c r="L473" s="40"/>
      <c r="M473" s="40"/>
      <c r="N473" s="36" t="s">
        <v>2197</v>
      </c>
      <c r="O473" s="37">
        <v>45521</v>
      </c>
      <c r="P473" s="44" t="s">
        <v>58</v>
      </c>
      <c r="Q473" s="38">
        <v>382000</v>
      </c>
      <c r="R473" s="33">
        <f t="shared" si="92"/>
        <v>1170.3</v>
      </c>
      <c r="S473" s="35">
        <f t="shared" si="91"/>
        <v>78.02</v>
      </c>
      <c r="T473" s="34">
        <v>500</v>
      </c>
    </row>
    <row r="474" spans="1:20" x14ac:dyDescent="0.25">
      <c r="A474" s="36" t="s">
        <v>601</v>
      </c>
      <c r="B474" s="36"/>
      <c r="C474" s="36" t="s">
        <v>55</v>
      </c>
      <c r="D474" s="39">
        <v>45521</v>
      </c>
      <c r="E474" s="39">
        <v>45886</v>
      </c>
      <c r="F474" s="36" t="s">
        <v>1469</v>
      </c>
      <c r="G474" s="36" t="s">
        <v>61</v>
      </c>
      <c r="H474" s="38">
        <v>8800</v>
      </c>
      <c r="I474" s="40">
        <v>7155</v>
      </c>
      <c r="J474" s="40"/>
      <c r="K474" s="40"/>
      <c r="L474" s="40"/>
      <c r="M474" s="40"/>
      <c r="N474" s="36" t="s">
        <v>2198</v>
      </c>
      <c r="O474" s="37">
        <v>45521</v>
      </c>
      <c r="P474" s="44" t="s">
        <v>58</v>
      </c>
      <c r="Q474" s="38">
        <v>352000</v>
      </c>
      <c r="R474" s="33">
        <f t="shared" si="92"/>
        <v>1073.25</v>
      </c>
      <c r="S474" s="35">
        <f t="shared" si="91"/>
        <v>71.55</v>
      </c>
      <c r="T474" s="34">
        <v>500</v>
      </c>
    </row>
    <row r="475" spans="1:20" x14ac:dyDescent="0.25">
      <c r="A475" s="36" t="s">
        <v>602</v>
      </c>
      <c r="B475" s="36"/>
      <c r="C475" s="36" t="s">
        <v>1146</v>
      </c>
      <c r="D475" s="39">
        <v>45521</v>
      </c>
      <c r="E475" s="39">
        <v>45886</v>
      </c>
      <c r="F475" s="36" t="s">
        <v>1470</v>
      </c>
      <c r="G475" s="36" t="s">
        <v>63</v>
      </c>
      <c r="H475" s="38">
        <v>13675</v>
      </c>
      <c r="I475" s="40">
        <v>11358</v>
      </c>
      <c r="J475" s="40"/>
      <c r="K475" s="40"/>
      <c r="L475" s="40"/>
      <c r="M475" s="40"/>
      <c r="N475" s="36" t="s">
        <v>2199</v>
      </c>
      <c r="O475" s="37">
        <v>45521</v>
      </c>
      <c r="P475" s="44" t="s">
        <v>58</v>
      </c>
      <c r="Q475" s="38">
        <v>547000</v>
      </c>
      <c r="R475" s="33">
        <f t="shared" si="92"/>
        <v>1703.7</v>
      </c>
      <c r="S475" s="35">
        <f t="shared" si="91"/>
        <v>113.58</v>
      </c>
      <c r="T475" s="34">
        <v>500</v>
      </c>
    </row>
    <row r="476" spans="1:20" x14ac:dyDescent="0.25">
      <c r="A476" s="36" t="s">
        <v>603</v>
      </c>
      <c r="B476" s="36"/>
      <c r="C476" s="36" t="s">
        <v>55</v>
      </c>
      <c r="D476" s="39">
        <v>45521</v>
      </c>
      <c r="E476" s="39">
        <v>45886</v>
      </c>
      <c r="F476" s="36" t="s">
        <v>1471</v>
      </c>
      <c r="G476" s="36" t="s">
        <v>61</v>
      </c>
      <c r="H476" s="38">
        <v>8800</v>
      </c>
      <c r="I476" s="40">
        <v>7155</v>
      </c>
      <c r="J476" s="40"/>
      <c r="K476" s="40"/>
      <c r="L476" s="40"/>
      <c r="M476" s="40"/>
      <c r="N476" s="36" t="s">
        <v>2200</v>
      </c>
      <c r="O476" s="37">
        <v>45521</v>
      </c>
      <c r="P476" s="44" t="s">
        <v>58</v>
      </c>
      <c r="Q476" s="38">
        <v>352000</v>
      </c>
      <c r="R476" s="33">
        <f t="shared" si="92"/>
        <v>1073.25</v>
      </c>
      <c r="S476" s="35">
        <f t="shared" si="91"/>
        <v>71.55</v>
      </c>
      <c r="T476" s="34">
        <v>500</v>
      </c>
    </row>
    <row r="477" spans="1:20" x14ac:dyDescent="0.25">
      <c r="A477" s="36" t="s">
        <v>604</v>
      </c>
      <c r="B477" s="36"/>
      <c r="C477" s="36" t="s">
        <v>1146</v>
      </c>
      <c r="D477" s="39">
        <v>45521</v>
      </c>
      <c r="E477" s="39">
        <v>45886</v>
      </c>
      <c r="F477" s="36" t="s">
        <v>1472</v>
      </c>
      <c r="G477" s="36" t="s">
        <v>64</v>
      </c>
      <c r="H477" s="38">
        <v>12475</v>
      </c>
      <c r="I477" s="40">
        <v>10323</v>
      </c>
      <c r="J477" s="40"/>
      <c r="K477" s="40"/>
      <c r="L477" s="40"/>
      <c r="M477" s="40"/>
      <c r="N477" s="36" t="s">
        <v>2201</v>
      </c>
      <c r="O477" s="37">
        <v>45521</v>
      </c>
      <c r="P477" s="44" t="s">
        <v>58</v>
      </c>
      <c r="Q477" s="38">
        <v>499000</v>
      </c>
      <c r="R477" s="33">
        <f t="shared" si="92"/>
        <v>1548.45</v>
      </c>
      <c r="S477" s="35">
        <f t="shared" si="91"/>
        <v>103.23</v>
      </c>
      <c r="T477" s="34">
        <v>500</v>
      </c>
    </row>
    <row r="478" spans="1:20" x14ac:dyDescent="0.25">
      <c r="A478" s="36" t="s">
        <v>605</v>
      </c>
      <c r="B478" s="36"/>
      <c r="C478" s="36" t="s">
        <v>32</v>
      </c>
      <c r="D478" s="39">
        <v>45521</v>
      </c>
      <c r="E478" s="39">
        <v>45886</v>
      </c>
      <c r="F478" s="36" t="s">
        <v>1473</v>
      </c>
      <c r="G478" s="36" t="s">
        <v>61</v>
      </c>
      <c r="H478" s="38">
        <v>14960</v>
      </c>
      <c r="I478" s="40">
        <v>12466</v>
      </c>
      <c r="J478" s="40"/>
      <c r="K478" s="40"/>
      <c r="L478" s="40"/>
      <c r="M478" s="40"/>
      <c r="N478" s="36" t="s">
        <v>2202</v>
      </c>
      <c r="O478" s="37">
        <v>45521</v>
      </c>
      <c r="P478" s="44" t="s">
        <v>58</v>
      </c>
      <c r="Q478" s="38">
        <v>352000</v>
      </c>
      <c r="R478" s="33">
        <f t="shared" si="92"/>
        <v>1869.9</v>
      </c>
      <c r="S478" s="35">
        <f t="shared" si="91"/>
        <v>124.66</v>
      </c>
      <c r="T478" s="34">
        <v>500</v>
      </c>
    </row>
    <row r="479" spans="1:20" x14ac:dyDescent="0.25">
      <c r="A479" s="36" t="s">
        <v>606</v>
      </c>
      <c r="B479" s="36"/>
      <c r="C479" s="36" t="s">
        <v>32</v>
      </c>
      <c r="D479" s="39">
        <v>45887</v>
      </c>
      <c r="E479" s="39">
        <v>46252</v>
      </c>
      <c r="F479" s="36" t="s">
        <v>1473</v>
      </c>
      <c r="G479" s="36" t="s">
        <v>61</v>
      </c>
      <c r="H479" s="38">
        <v>14960</v>
      </c>
      <c r="I479" s="40">
        <v>12466</v>
      </c>
      <c r="J479" s="40"/>
      <c r="K479" s="40"/>
      <c r="L479" s="40"/>
      <c r="M479" s="40"/>
      <c r="N479" s="36" t="s">
        <v>2202</v>
      </c>
      <c r="O479" s="37">
        <v>45521</v>
      </c>
      <c r="P479" s="44" t="s">
        <v>58</v>
      </c>
      <c r="Q479" s="38">
        <v>352000</v>
      </c>
      <c r="R479" s="33">
        <f t="shared" si="92"/>
        <v>1869.9</v>
      </c>
      <c r="S479" s="35">
        <f t="shared" si="91"/>
        <v>124.66</v>
      </c>
      <c r="T479" s="34">
        <v>500</v>
      </c>
    </row>
    <row r="480" spans="1:20" x14ac:dyDescent="0.25">
      <c r="A480" s="36" t="s">
        <v>607</v>
      </c>
      <c r="B480" s="36"/>
      <c r="C480" s="36" t="s">
        <v>55</v>
      </c>
      <c r="D480" s="39">
        <v>45521</v>
      </c>
      <c r="E480" s="39">
        <v>45886</v>
      </c>
      <c r="F480" s="36" t="s">
        <v>1474</v>
      </c>
      <c r="G480" s="36" t="s">
        <v>61</v>
      </c>
      <c r="H480" s="38">
        <v>8800</v>
      </c>
      <c r="I480" s="40">
        <v>7155</v>
      </c>
      <c r="J480" s="40"/>
      <c r="K480" s="40"/>
      <c r="L480" s="40"/>
      <c r="M480" s="40"/>
      <c r="N480" s="36" t="s">
        <v>2203</v>
      </c>
      <c r="O480" s="37">
        <v>45521</v>
      </c>
      <c r="P480" s="44" t="s">
        <v>58</v>
      </c>
      <c r="Q480" s="38">
        <v>352000</v>
      </c>
      <c r="R480" s="33">
        <f t="shared" si="92"/>
        <v>1073.25</v>
      </c>
      <c r="S480" s="35">
        <f t="shared" si="91"/>
        <v>71.55</v>
      </c>
      <c r="T480" s="34">
        <v>500</v>
      </c>
    </row>
    <row r="481" spans="1:20" x14ac:dyDescent="0.25">
      <c r="A481" s="36" t="s">
        <v>608</v>
      </c>
      <c r="B481" s="36"/>
      <c r="C481" s="36" t="s">
        <v>33</v>
      </c>
      <c r="D481" s="39">
        <v>45521</v>
      </c>
      <c r="E481" s="39">
        <v>45886</v>
      </c>
      <c r="F481" s="36" t="s">
        <v>100</v>
      </c>
      <c r="G481" s="36" t="s">
        <v>61</v>
      </c>
      <c r="H481" s="38">
        <v>14960</v>
      </c>
      <c r="I481" s="40">
        <v>12466</v>
      </c>
      <c r="J481" s="40"/>
      <c r="K481" s="40"/>
      <c r="L481" s="40"/>
      <c r="M481" s="40"/>
      <c r="N481" s="36" t="s">
        <v>2204</v>
      </c>
      <c r="O481" s="37">
        <v>45521</v>
      </c>
      <c r="P481" s="44" t="s">
        <v>58</v>
      </c>
      <c r="Q481" s="38">
        <v>352000</v>
      </c>
      <c r="R481" s="33">
        <f t="shared" si="92"/>
        <v>1869.9</v>
      </c>
      <c r="S481" s="35">
        <f t="shared" si="91"/>
        <v>124.66</v>
      </c>
      <c r="T481" s="34">
        <v>500</v>
      </c>
    </row>
    <row r="482" spans="1:20" x14ac:dyDescent="0.25">
      <c r="A482" s="36" t="s">
        <v>609</v>
      </c>
      <c r="B482" s="36"/>
      <c r="C482" s="36" t="s">
        <v>32</v>
      </c>
      <c r="D482" s="39">
        <v>45521</v>
      </c>
      <c r="E482" s="39">
        <v>45886</v>
      </c>
      <c r="F482" s="36" t="s">
        <v>1475</v>
      </c>
      <c r="G482" s="36" t="s">
        <v>63</v>
      </c>
      <c r="H482" s="38">
        <v>23248</v>
      </c>
      <c r="I482" s="40">
        <v>19610</v>
      </c>
      <c r="J482" s="40"/>
      <c r="K482" s="40"/>
      <c r="L482" s="40"/>
      <c r="M482" s="40"/>
      <c r="N482" s="36" t="s">
        <v>2205</v>
      </c>
      <c r="O482" s="37">
        <v>45521</v>
      </c>
      <c r="P482" s="44" t="s">
        <v>58</v>
      </c>
      <c r="Q482" s="38">
        <v>547000</v>
      </c>
      <c r="R482" s="33">
        <f t="shared" si="92"/>
        <v>2941.5</v>
      </c>
      <c r="S482" s="35">
        <f t="shared" si="91"/>
        <v>196.1</v>
      </c>
      <c r="T482" s="34">
        <v>500</v>
      </c>
    </row>
    <row r="483" spans="1:20" x14ac:dyDescent="0.25">
      <c r="A483" s="36" t="s">
        <v>610</v>
      </c>
      <c r="B483" s="36"/>
      <c r="C483" s="36" t="s">
        <v>32</v>
      </c>
      <c r="D483" s="39">
        <v>45887</v>
      </c>
      <c r="E483" s="39">
        <v>46252</v>
      </c>
      <c r="F483" s="36" t="s">
        <v>1475</v>
      </c>
      <c r="G483" s="36" t="s">
        <v>63</v>
      </c>
      <c r="H483" s="38">
        <v>23248</v>
      </c>
      <c r="I483" s="40">
        <v>19610</v>
      </c>
      <c r="J483" s="40"/>
      <c r="K483" s="40"/>
      <c r="L483" s="40"/>
      <c r="M483" s="40"/>
      <c r="N483" s="36" t="s">
        <v>2205</v>
      </c>
      <c r="O483" s="37">
        <v>45521</v>
      </c>
      <c r="P483" s="44" t="s">
        <v>58</v>
      </c>
      <c r="Q483" s="38">
        <v>547000</v>
      </c>
      <c r="R483" s="33">
        <f t="shared" si="92"/>
        <v>2941.5</v>
      </c>
      <c r="S483" s="35">
        <f t="shared" si="91"/>
        <v>196.1</v>
      </c>
      <c r="T483" s="34">
        <v>500</v>
      </c>
    </row>
    <row r="484" spans="1:20" x14ac:dyDescent="0.25">
      <c r="A484" s="36" t="s">
        <v>611</v>
      </c>
      <c r="B484" s="36"/>
      <c r="C484" s="36" t="s">
        <v>30</v>
      </c>
      <c r="D484" s="39">
        <v>45521</v>
      </c>
      <c r="E484" s="39">
        <v>45886</v>
      </c>
      <c r="F484" s="36" t="s">
        <v>1476</v>
      </c>
      <c r="G484" s="36" t="s">
        <v>61</v>
      </c>
      <c r="H484" s="38">
        <v>14960</v>
      </c>
      <c r="I484" s="40">
        <v>12466</v>
      </c>
      <c r="J484" s="40"/>
      <c r="K484" s="40"/>
      <c r="L484" s="40"/>
      <c r="M484" s="40"/>
      <c r="N484" s="36" t="s">
        <v>2206</v>
      </c>
      <c r="O484" s="37">
        <v>45521</v>
      </c>
      <c r="P484" s="44" t="s">
        <v>58</v>
      </c>
      <c r="Q484" s="38">
        <v>352000</v>
      </c>
      <c r="R484" s="33">
        <f t="shared" si="92"/>
        <v>1869.9</v>
      </c>
      <c r="S484" s="35">
        <f t="shared" si="91"/>
        <v>124.66</v>
      </c>
      <c r="T484" s="34">
        <v>500</v>
      </c>
    </row>
    <row r="485" spans="1:20" x14ac:dyDescent="0.25">
      <c r="A485" s="36" t="s">
        <v>612</v>
      </c>
      <c r="B485" s="36"/>
      <c r="C485" s="36" t="s">
        <v>30</v>
      </c>
      <c r="D485" s="39">
        <v>45887</v>
      </c>
      <c r="E485" s="39">
        <v>46252</v>
      </c>
      <c r="F485" s="36" t="s">
        <v>1476</v>
      </c>
      <c r="G485" s="36" t="s">
        <v>61</v>
      </c>
      <c r="H485" s="38">
        <v>14960</v>
      </c>
      <c r="I485" s="40">
        <v>12466</v>
      </c>
      <c r="J485" s="40"/>
      <c r="K485" s="40"/>
      <c r="L485" s="40"/>
      <c r="M485" s="40"/>
      <c r="N485" s="36" t="s">
        <v>2206</v>
      </c>
      <c r="O485" s="37">
        <v>45521</v>
      </c>
      <c r="P485" s="44" t="s">
        <v>58</v>
      </c>
      <c r="Q485" s="38">
        <v>352000</v>
      </c>
      <c r="R485" s="33">
        <f t="shared" si="92"/>
        <v>1869.9</v>
      </c>
      <c r="S485" s="35">
        <f t="shared" si="91"/>
        <v>124.66</v>
      </c>
      <c r="T485" s="34">
        <v>500</v>
      </c>
    </row>
    <row r="486" spans="1:20" x14ac:dyDescent="0.25">
      <c r="A486" s="36" t="s">
        <v>613</v>
      </c>
      <c r="B486" s="36"/>
      <c r="C486" s="36" t="s">
        <v>30</v>
      </c>
      <c r="D486" s="39">
        <v>45521</v>
      </c>
      <c r="E486" s="39">
        <v>45886</v>
      </c>
      <c r="F486" s="36" t="s">
        <v>1477</v>
      </c>
      <c r="G486" s="36" t="s">
        <v>61</v>
      </c>
      <c r="H486" s="38">
        <v>14960</v>
      </c>
      <c r="I486" s="40">
        <v>12466</v>
      </c>
      <c r="J486" s="40"/>
      <c r="K486" s="40"/>
      <c r="L486" s="40"/>
      <c r="M486" s="40"/>
      <c r="N486" s="36" t="s">
        <v>2207</v>
      </c>
      <c r="O486" s="37">
        <v>45521</v>
      </c>
      <c r="P486" s="44" t="s">
        <v>58</v>
      </c>
      <c r="Q486" s="38">
        <v>352000</v>
      </c>
      <c r="R486" s="33">
        <f t="shared" si="92"/>
        <v>1869.9</v>
      </c>
      <c r="S486" s="35">
        <f t="shared" si="91"/>
        <v>124.66</v>
      </c>
      <c r="T486" s="34">
        <v>500</v>
      </c>
    </row>
    <row r="487" spans="1:20" x14ac:dyDescent="0.25">
      <c r="A487" s="36" t="s">
        <v>614</v>
      </c>
      <c r="B487" s="36"/>
      <c r="C487" s="36" t="s">
        <v>32</v>
      </c>
      <c r="D487" s="39">
        <v>45521</v>
      </c>
      <c r="E487" s="39">
        <v>45886</v>
      </c>
      <c r="F487" s="36" t="s">
        <v>1478</v>
      </c>
      <c r="G487" s="36" t="s">
        <v>61</v>
      </c>
      <c r="H487" s="38">
        <v>14365</v>
      </c>
      <c r="I487" s="40">
        <v>11953</v>
      </c>
      <c r="J487" s="40"/>
      <c r="K487" s="40"/>
      <c r="L487" s="40"/>
      <c r="M487" s="40"/>
      <c r="N487" s="36" t="s">
        <v>2208</v>
      </c>
      <c r="O487" s="37">
        <v>45521</v>
      </c>
      <c r="P487" s="44" t="s">
        <v>58</v>
      </c>
      <c r="Q487" s="38">
        <v>338000</v>
      </c>
      <c r="R487" s="33">
        <f t="shared" si="92"/>
        <v>1792.95</v>
      </c>
      <c r="S487" s="35">
        <f t="shared" si="91"/>
        <v>119.53</v>
      </c>
      <c r="T487" s="34">
        <v>500</v>
      </c>
    </row>
    <row r="488" spans="1:20" x14ac:dyDescent="0.25">
      <c r="A488" s="36" t="s">
        <v>615</v>
      </c>
      <c r="B488" s="36"/>
      <c r="C488" s="36" t="s">
        <v>31</v>
      </c>
      <c r="D488" s="39">
        <v>45521</v>
      </c>
      <c r="E488" s="39">
        <v>45886</v>
      </c>
      <c r="F488" s="36" t="s">
        <v>1479</v>
      </c>
      <c r="G488" s="36" t="s">
        <v>62</v>
      </c>
      <c r="H488" s="38">
        <v>16235</v>
      </c>
      <c r="I488" s="40">
        <v>13565</v>
      </c>
      <c r="J488" s="40"/>
      <c r="K488" s="40"/>
      <c r="L488" s="40"/>
      <c r="M488" s="40"/>
      <c r="N488" s="36" t="s">
        <v>2209</v>
      </c>
      <c r="O488" s="37">
        <v>45521</v>
      </c>
      <c r="P488" s="44" t="s">
        <v>58</v>
      </c>
      <c r="Q488" s="38">
        <v>382000</v>
      </c>
      <c r="R488" s="33">
        <f t="shared" si="92"/>
        <v>2034.75</v>
      </c>
      <c r="S488" s="35">
        <f t="shared" si="91"/>
        <v>135.65</v>
      </c>
      <c r="T488" s="34">
        <v>500</v>
      </c>
    </row>
    <row r="489" spans="1:20" x14ac:dyDescent="0.25">
      <c r="A489" s="36" t="s">
        <v>616</v>
      </c>
      <c r="B489" s="36"/>
      <c r="C489" s="36" t="s">
        <v>31</v>
      </c>
      <c r="D489" s="39">
        <v>45887</v>
      </c>
      <c r="E489" s="39">
        <v>46252</v>
      </c>
      <c r="F489" s="36" t="s">
        <v>1479</v>
      </c>
      <c r="G489" s="36" t="s">
        <v>62</v>
      </c>
      <c r="H489" s="38">
        <v>16235</v>
      </c>
      <c r="I489" s="40">
        <v>13565</v>
      </c>
      <c r="J489" s="40"/>
      <c r="K489" s="40"/>
      <c r="L489" s="40"/>
      <c r="M489" s="40"/>
      <c r="N489" s="36" t="s">
        <v>2209</v>
      </c>
      <c r="O489" s="37">
        <v>45521</v>
      </c>
      <c r="P489" s="44" t="s">
        <v>58</v>
      </c>
      <c r="Q489" s="38">
        <v>382000</v>
      </c>
      <c r="R489" s="33">
        <f t="shared" si="92"/>
        <v>2034.75</v>
      </c>
      <c r="S489" s="35">
        <f t="shared" si="91"/>
        <v>135.65</v>
      </c>
      <c r="T489" s="34">
        <v>500</v>
      </c>
    </row>
    <row r="490" spans="1:20" x14ac:dyDescent="0.25">
      <c r="A490" s="36" t="s">
        <v>617</v>
      </c>
      <c r="B490" s="36"/>
      <c r="C490" s="36" t="s">
        <v>51</v>
      </c>
      <c r="D490" s="39">
        <v>45521</v>
      </c>
      <c r="E490" s="39">
        <v>45886</v>
      </c>
      <c r="F490" s="36" t="s">
        <v>1480</v>
      </c>
      <c r="G490" s="36" t="s">
        <v>61</v>
      </c>
      <c r="H490" s="38">
        <v>8800</v>
      </c>
      <c r="I490" s="40">
        <v>7155</v>
      </c>
      <c r="J490" s="40"/>
      <c r="K490" s="40"/>
      <c r="L490" s="40"/>
      <c r="M490" s="40"/>
      <c r="N490" s="36" t="s">
        <v>2210</v>
      </c>
      <c r="O490" s="37">
        <v>45521</v>
      </c>
      <c r="P490" s="44" t="s">
        <v>58</v>
      </c>
      <c r="Q490" s="38">
        <v>352000</v>
      </c>
      <c r="R490" s="33">
        <f t="shared" si="92"/>
        <v>1073.25</v>
      </c>
      <c r="S490" s="35">
        <f t="shared" si="91"/>
        <v>71.55</v>
      </c>
      <c r="T490" s="34">
        <v>500</v>
      </c>
    </row>
    <row r="491" spans="1:20" x14ac:dyDescent="0.25">
      <c r="A491" s="36" t="s">
        <v>618</v>
      </c>
      <c r="B491" s="36"/>
      <c r="C491" s="36" t="s">
        <v>31</v>
      </c>
      <c r="D491" s="39">
        <v>45521</v>
      </c>
      <c r="E491" s="39">
        <v>45886</v>
      </c>
      <c r="F491" s="36" t="s">
        <v>1481</v>
      </c>
      <c r="G491" s="36" t="s">
        <v>61</v>
      </c>
      <c r="H491" s="38">
        <v>14960</v>
      </c>
      <c r="I491" s="40">
        <v>12466</v>
      </c>
      <c r="J491" s="40"/>
      <c r="K491" s="40"/>
      <c r="L491" s="40"/>
      <c r="M491" s="40"/>
      <c r="N491" s="36" t="s">
        <v>2211</v>
      </c>
      <c r="O491" s="37">
        <v>45521</v>
      </c>
      <c r="P491" s="44" t="s">
        <v>58</v>
      </c>
      <c r="Q491" s="38">
        <v>352000</v>
      </c>
      <c r="R491" s="33">
        <f t="shared" si="92"/>
        <v>1869.9</v>
      </c>
      <c r="S491" s="35">
        <f t="shared" si="91"/>
        <v>124.66</v>
      </c>
      <c r="T491" s="34">
        <v>500</v>
      </c>
    </row>
    <row r="492" spans="1:20" x14ac:dyDescent="0.25">
      <c r="A492" s="36" t="s">
        <v>619</v>
      </c>
      <c r="B492" s="36"/>
      <c r="C492" s="36" t="s">
        <v>51</v>
      </c>
      <c r="D492" s="39">
        <v>45521</v>
      </c>
      <c r="E492" s="39">
        <v>45886</v>
      </c>
      <c r="F492" s="36" t="s">
        <v>1482</v>
      </c>
      <c r="G492" s="36" t="s">
        <v>62</v>
      </c>
      <c r="H492" s="38">
        <v>9550</v>
      </c>
      <c r="I492" s="40">
        <v>7802</v>
      </c>
      <c r="J492" s="40"/>
      <c r="K492" s="40"/>
      <c r="L492" s="40"/>
      <c r="M492" s="40"/>
      <c r="N492" s="36" t="s">
        <v>2212</v>
      </c>
      <c r="O492" s="37">
        <v>45521</v>
      </c>
      <c r="P492" s="44" t="s">
        <v>58</v>
      </c>
      <c r="Q492" s="38">
        <v>382000</v>
      </c>
      <c r="R492" s="33">
        <f t="shared" si="92"/>
        <v>1170.3</v>
      </c>
      <c r="S492" s="35">
        <f t="shared" si="91"/>
        <v>78.02</v>
      </c>
      <c r="T492" s="34">
        <v>500</v>
      </c>
    </row>
    <row r="493" spans="1:20" x14ac:dyDescent="0.25">
      <c r="A493" s="36" t="s">
        <v>620</v>
      </c>
      <c r="B493" s="36"/>
      <c r="C493" s="36" t="s">
        <v>36</v>
      </c>
      <c r="D493" s="39">
        <v>45521</v>
      </c>
      <c r="E493" s="39">
        <v>45886</v>
      </c>
      <c r="F493" s="36" t="s">
        <v>1483</v>
      </c>
      <c r="G493" s="36" t="s">
        <v>61</v>
      </c>
      <c r="H493" s="38">
        <v>14960</v>
      </c>
      <c r="I493" s="40">
        <v>12466</v>
      </c>
      <c r="J493" s="40"/>
      <c r="K493" s="40"/>
      <c r="L493" s="40"/>
      <c r="M493" s="40"/>
      <c r="N493" s="36" t="s">
        <v>2213</v>
      </c>
      <c r="O493" s="37">
        <v>45521</v>
      </c>
      <c r="P493" s="44" t="s">
        <v>58</v>
      </c>
      <c r="Q493" s="38">
        <v>352000</v>
      </c>
      <c r="R493" s="33">
        <f t="shared" si="92"/>
        <v>1869.9</v>
      </c>
      <c r="S493" s="35">
        <f t="shared" si="91"/>
        <v>124.66</v>
      </c>
      <c r="T493" s="34">
        <v>500</v>
      </c>
    </row>
    <row r="494" spans="1:20" x14ac:dyDescent="0.25">
      <c r="A494" s="36" t="s">
        <v>621</v>
      </c>
      <c r="B494" s="36"/>
      <c r="C494" s="36" t="s">
        <v>36</v>
      </c>
      <c r="D494" s="39">
        <v>45887</v>
      </c>
      <c r="E494" s="39">
        <v>46252</v>
      </c>
      <c r="F494" s="36" t="s">
        <v>1483</v>
      </c>
      <c r="G494" s="36" t="s">
        <v>61</v>
      </c>
      <c r="H494" s="38">
        <v>14960</v>
      </c>
      <c r="I494" s="40">
        <v>12466</v>
      </c>
      <c r="J494" s="40"/>
      <c r="K494" s="40"/>
      <c r="L494" s="40"/>
      <c r="M494" s="40"/>
      <c r="N494" s="36" t="s">
        <v>2213</v>
      </c>
      <c r="O494" s="37">
        <v>45521</v>
      </c>
      <c r="P494" s="44" t="s">
        <v>58</v>
      </c>
      <c r="Q494" s="38">
        <v>352000</v>
      </c>
      <c r="R494" s="33">
        <f t="shared" si="92"/>
        <v>1869.9</v>
      </c>
      <c r="S494" s="35">
        <f t="shared" si="91"/>
        <v>124.66</v>
      </c>
      <c r="T494" s="34">
        <v>500</v>
      </c>
    </row>
    <row r="495" spans="1:20" x14ac:dyDescent="0.25">
      <c r="A495" s="36" t="s">
        <v>622</v>
      </c>
      <c r="B495" s="36"/>
      <c r="C495" s="36" t="s">
        <v>51</v>
      </c>
      <c r="D495" s="39">
        <v>45521</v>
      </c>
      <c r="E495" s="39">
        <v>45886</v>
      </c>
      <c r="F495" s="36" t="s">
        <v>1392</v>
      </c>
      <c r="G495" s="36" t="s">
        <v>61</v>
      </c>
      <c r="H495" s="38">
        <v>8800</v>
      </c>
      <c r="I495" s="40">
        <v>7155</v>
      </c>
      <c r="J495" s="40"/>
      <c r="K495" s="40"/>
      <c r="L495" s="40"/>
      <c r="M495" s="40"/>
      <c r="N495" s="36" t="s">
        <v>2214</v>
      </c>
      <c r="O495" s="37">
        <v>45521</v>
      </c>
      <c r="P495" s="44" t="s">
        <v>58</v>
      </c>
      <c r="Q495" s="38">
        <v>352000</v>
      </c>
      <c r="R495" s="33">
        <f t="shared" si="92"/>
        <v>1073.25</v>
      </c>
      <c r="S495" s="35">
        <f t="shared" si="91"/>
        <v>71.55</v>
      </c>
      <c r="T495" s="34">
        <v>500</v>
      </c>
    </row>
    <row r="496" spans="1:20" x14ac:dyDescent="0.25">
      <c r="A496" s="36" t="s">
        <v>623</v>
      </c>
      <c r="B496" s="36"/>
      <c r="C496" s="36" t="s">
        <v>51</v>
      </c>
      <c r="D496" s="39">
        <v>45521</v>
      </c>
      <c r="E496" s="39">
        <v>45886</v>
      </c>
      <c r="F496" s="36" t="s">
        <v>1484</v>
      </c>
      <c r="G496" s="36" t="s">
        <v>61</v>
      </c>
      <c r="H496" s="38">
        <v>8800</v>
      </c>
      <c r="I496" s="40">
        <v>7155</v>
      </c>
      <c r="J496" s="40"/>
      <c r="K496" s="40"/>
      <c r="L496" s="40"/>
      <c r="M496" s="40"/>
      <c r="N496" s="36" t="s">
        <v>2215</v>
      </c>
      <c r="O496" s="37">
        <v>45521</v>
      </c>
      <c r="P496" s="44" t="s">
        <v>58</v>
      </c>
      <c r="Q496" s="38">
        <v>352000</v>
      </c>
      <c r="R496" s="33">
        <f t="shared" si="92"/>
        <v>1073.25</v>
      </c>
      <c r="S496" s="35">
        <f t="shared" si="91"/>
        <v>71.55</v>
      </c>
      <c r="T496" s="34">
        <v>500</v>
      </c>
    </row>
    <row r="497" spans="1:20" x14ac:dyDescent="0.25">
      <c r="A497" s="36" t="s">
        <v>624</v>
      </c>
      <c r="B497" s="36"/>
      <c r="C497" s="36" t="s">
        <v>38</v>
      </c>
      <c r="D497" s="39">
        <v>45521</v>
      </c>
      <c r="E497" s="39">
        <v>45886</v>
      </c>
      <c r="F497" s="36" t="s">
        <v>1485</v>
      </c>
      <c r="G497" s="36" t="s">
        <v>63</v>
      </c>
      <c r="H497" s="38">
        <v>23248</v>
      </c>
      <c r="I497" s="40">
        <v>19610</v>
      </c>
      <c r="J497" s="40"/>
      <c r="K497" s="40"/>
      <c r="L497" s="40"/>
      <c r="M497" s="40"/>
      <c r="N497" s="36" t="s">
        <v>2216</v>
      </c>
      <c r="O497" s="37">
        <v>45521</v>
      </c>
      <c r="P497" s="44" t="s">
        <v>58</v>
      </c>
      <c r="Q497" s="38">
        <v>547000</v>
      </c>
      <c r="R497" s="33">
        <f t="shared" si="92"/>
        <v>2941.5</v>
      </c>
      <c r="S497" s="35">
        <f t="shared" si="91"/>
        <v>196.1</v>
      </c>
      <c r="T497" s="34">
        <v>500</v>
      </c>
    </row>
    <row r="498" spans="1:20" x14ac:dyDescent="0.25">
      <c r="A498" s="36" t="s">
        <v>625</v>
      </c>
      <c r="B498" s="36"/>
      <c r="C498" s="36" t="s">
        <v>38</v>
      </c>
      <c r="D498" s="39">
        <v>45887</v>
      </c>
      <c r="E498" s="39">
        <v>46252</v>
      </c>
      <c r="F498" s="36" t="s">
        <v>1485</v>
      </c>
      <c r="G498" s="36" t="s">
        <v>63</v>
      </c>
      <c r="H498" s="38">
        <v>23248</v>
      </c>
      <c r="I498" s="40">
        <v>19610</v>
      </c>
      <c r="J498" s="40"/>
      <c r="K498" s="40"/>
      <c r="L498" s="40"/>
      <c r="M498" s="40"/>
      <c r="N498" s="36" t="s">
        <v>2216</v>
      </c>
      <c r="O498" s="37">
        <v>45521</v>
      </c>
      <c r="P498" s="44" t="s">
        <v>58</v>
      </c>
      <c r="Q498" s="38">
        <v>547000</v>
      </c>
      <c r="R498" s="33">
        <f t="shared" si="92"/>
        <v>2941.5</v>
      </c>
      <c r="S498" s="35">
        <f t="shared" si="91"/>
        <v>196.1</v>
      </c>
      <c r="T498" s="34">
        <v>500</v>
      </c>
    </row>
    <row r="499" spans="1:20" x14ac:dyDescent="0.25">
      <c r="A499" s="36" t="s">
        <v>626</v>
      </c>
      <c r="B499" s="36"/>
      <c r="C499" s="36" t="s">
        <v>51</v>
      </c>
      <c r="D499" s="39">
        <v>45521</v>
      </c>
      <c r="E499" s="39">
        <v>45886</v>
      </c>
      <c r="F499" s="36" t="s">
        <v>1486</v>
      </c>
      <c r="G499" s="36" t="s">
        <v>61</v>
      </c>
      <c r="H499" s="38">
        <v>8800</v>
      </c>
      <c r="I499" s="40">
        <v>7155</v>
      </c>
      <c r="J499" s="40"/>
      <c r="K499" s="40"/>
      <c r="L499" s="40"/>
      <c r="M499" s="40"/>
      <c r="N499" s="36" t="s">
        <v>2217</v>
      </c>
      <c r="O499" s="37">
        <v>45521</v>
      </c>
      <c r="P499" s="44" t="s">
        <v>58</v>
      </c>
      <c r="Q499" s="38">
        <v>352000</v>
      </c>
      <c r="R499" s="33">
        <f t="shared" si="92"/>
        <v>1073.25</v>
      </c>
      <c r="S499" s="35">
        <f t="shared" si="91"/>
        <v>71.55</v>
      </c>
      <c r="T499" s="34">
        <v>500</v>
      </c>
    </row>
    <row r="500" spans="1:20" x14ac:dyDescent="0.25">
      <c r="A500" s="36" t="s">
        <v>627</v>
      </c>
      <c r="B500" s="36"/>
      <c r="C500" s="36" t="s">
        <v>38</v>
      </c>
      <c r="D500" s="39">
        <v>45521</v>
      </c>
      <c r="E500" s="39">
        <v>45886</v>
      </c>
      <c r="F500" s="36" t="s">
        <v>1487</v>
      </c>
      <c r="G500" s="36" t="s">
        <v>61</v>
      </c>
      <c r="H500" s="38">
        <v>14960</v>
      </c>
      <c r="I500" s="40">
        <v>12466</v>
      </c>
      <c r="J500" s="40"/>
      <c r="K500" s="40"/>
      <c r="L500" s="40"/>
      <c r="M500" s="40"/>
      <c r="N500" s="36" t="s">
        <v>2218</v>
      </c>
      <c r="O500" s="37">
        <v>45521</v>
      </c>
      <c r="P500" s="44" t="s">
        <v>58</v>
      </c>
      <c r="Q500" s="38">
        <v>352000</v>
      </c>
      <c r="R500" s="33">
        <f t="shared" si="92"/>
        <v>1869.9</v>
      </c>
      <c r="S500" s="35">
        <f t="shared" si="91"/>
        <v>124.66</v>
      </c>
      <c r="T500" s="34">
        <v>500</v>
      </c>
    </row>
    <row r="501" spans="1:20" x14ac:dyDescent="0.25">
      <c r="A501" s="36" t="s">
        <v>628</v>
      </c>
      <c r="B501" s="36"/>
      <c r="C501" s="36" t="s">
        <v>51</v>
      </c>
      <c r="D501" s="39">
        <v>45521</v>
      </c>
      <c r="E501" s="39">
        <v>45886</v>
      </c>
      <c r="F501" s="36" t="s">
        <v>1488</v>
      </c>
      <c r="G501" s="36" t="s">
        <v>62</v>
      </c>
      <c r="H501" s="38">
        <v>9550</v>
      </c>
      <c r="I501" s="40">
        <v>7802</v>
      </c>
      <c r="J501" s="40"/>
      <c r="K501" s="40"/>
      <c r="L501" s="40"/>
      <c r="M501" s="40"/>
      <c r="N501" s="36" t="s">
        <v>2219</v>
      </c>
      <c r="O501" s="37">
        <v>45521</v>
      </c>
      <c r="P501" s="44" t="s">
        <v>58</v>
      </c>
      <c r="Q501" s="38">
        <v>382000</v>
      </c>
      <c r="R501" s="33">
        <f t="shared" si="92"/>
        <v>1170.3</v>
      </c>
      <c r="S501" s="35">
        <f t="shared" si="91"/>
        <v>78.02</v>
      </c>
      <c r="T501" s="34">
        <v>500</v>
      </c>
    </row>
    <row r="502" spans="1:20" x14ac:dyDescent="0.25">
      <c r="A502" s="36" t="s">
        <v>629</v>
      </c>
      <c r="B502" s="36"/>
      <c r="C502" s="36" t="s">
        <v>51</v>
      </c>
      <c r="D502" s="39">
        <v>45521</v>
      </c>
      <c r="E502" s="39">
        <v>45886</v>
      </c>
      <c r="F502" s="36" t="s">
        <v>1489</v>
      </c>
      <c r="G502" s="36" t="s">
        <v>61</v>
      </c>
      <c r="H502" s="38">
        <v>8800</v>
      </c>
      <c r="I502" s="40">
        <v>7155</v>
      </c>
      <c r="J502" s="40"/>
      <c r="K502" s="40"/>
      <c r="L502" s="40"/>
      <c r="M502" s="40"/>
      <c r="N502" s="36" t="s">
        <v>2220</v>
      </c>
      <c r="O502" s="37">
        <v>45521</v>
      </c>
      <c r="P502" s="44" t="s">
        <v>58</v>
      </c>
      <c r="Q502" s="38">
        <v>352000</v>
      </c>
      <c r="R502" s="33">
        <f t="shared" si="92"/>
        <v>1073.25</v>
      </c>
      <c r="S502" s="35">
        <f t="shared" si="91"/>
        <v>71.55</v>
      </c>
      <c r="T502" s="34">
        <v>500</v>
      </c>
    </row>
    <row r="503" spans="1:20" x14ac:dyDescent="0.25">
      <c r="A503" s="36" t="s">
        <v>630</v>
      </c>
      <c r="B503" s="36"/>
      <c r="C503" s="36" t="s">
        <v>51</v>
      </c>
      <c r="D503" s="39">
        <v>45521</v>
      </c>
      <c r="E503" s="39">
        <v>45886</v>
      </c>
      <c r="F503" s="36" t="s">
        <v>68</v>
      </c>
      <c r="G503" s="36" t="s">
        <v>61</v>
      </c>
      <c r="H503" s="38">
        <v>8800</v>
      </c>
      <c r="I503" s="40">
        <v>7155</v>
      </c>
      <c r="J503" s="40"/>
      <c r="K503" s="40"/>
      <c r="L503" s="40"/>
      <c r="M503" s="40"/>
      <c r="N503" s="36" t="s">
        <v>2221</v>
      </c>
      <c r="O503" s="37">
        <v>45521</v>
      </c>
      <c r="P503" s="44" t="s">
        <v>58</v>
      </c>
      <c r="Q503" s="38">
        <v>352000</v>
      </c>
      <c r="R503" s="33">
        <f t="shared" si="92"/>
        <v>1073.25</v>
      </c>
      <c r="S503" s="35">
        <f t="shared" si="91"/>
        <v>71.55</v>
      </c>
      <c r="T503" s="34">
        <v>500</v>
      </c>
    </row>
    <row r="504" spans="1:20" x14ac:dyDescent="0.25">
      <c r="A504" s="36" t="s">
        <v>631</v>
      </c>
      <c r="B504" s="36"/>
      <c r="C504" s="36" t="s">
        <v>32</v>
      </c>
      <c r="D504" s="39">
        <v>45521</v>
      </c>
      <c r="E504" s="39">
        <v>45886</v>
      </c>
      <c r="F504" s="36" t="s">
        <v>1490</v>
      </c>
      <c r="G504" s="36" t="s">
        <v>61</v>
      </c>
      <c r="H504" s="38">
        <v>14960</v>
      </c>
      <c r="I504" s="40">
        <v>12466</v>
      </c>
      <c r="J504" s="40"/>
      <c r="K504" s="40"/>
      <c r="L504" s="40"/>
      <c r="M504" s="40"/>
      <c r="N504" s="36" t="s">
        <v>2222</v>
      </c>
      <c r="O504" s="37">
        <v>45521</v>
      </c>
      <c r="P504" s="44" t="s">
        <v>58</v>
      </c>
      <c r="Q504" s="38">
        <v>352000</v>
      </c>
      <c r="R504" s="33">
        <f t="shared" si="92"/>
        <v>1869.9</v>
      </c>
      <c r="S504" s="35">
        <f t="shared" si="91"/>
        <v>124.66</v>
      </c>
      <c r="T504" s="34">
        <v>500</v>
      </c>
    </row>
    <row r="505" spans="1:20" x14ac:dyDescent="0.25">
      <c r="A505" s="36" t="s">
        <v>632</v>
      </c>
      <c r="B505" s="36"/>
      <c r="C505" s="36" t="s">
        <v>51</v>
      </c>
      <c r="D505" s="39">
        <v>45521</v>
      </c>
      <c r="E505" s="39">
        <v>45886</v>
      </c>
      <c r="F505" s="36" t="s">
        <v>1491</v>
      </c>
      <c r="G505" s="36" t="s">
        <v>61</v>
      </c>
      <c r="H505" s="38">
        <v>8800</v>
      </c>
      <c r="I505" s="40">
        <v>7155</v>
      </c>
      <c r="J505" s="40"/>
      <c r="K505" s="40"/>
      <c r="L505" s="40"/>
      <c r="M505" s="40"/>
      <c r="N505" s="36" t="s">
        <v>2223</v>
      </c>
      <c r="O505" s="37">
        <v>45521</v>
      </c>
      <c r="P505" s="44" t="s">
        <v>58</v>
      </c>
      <c r="Q505" s="38">
        <v>352000</v>
      </c>
      <c r="R505" s="33">
        <f t="shared" si="92"/>
        <v>1073.25</v>
      </c>
      <c r="S505" s="35">
        <f t="shared" si="91"/>
        <v>71.55</v>
      </c>
      <c r="T505" s="34">
        <v>500</v>
      </c>
    </row>
    <row r="506" spans="1:20" x14ac:dyDescent="0.25">
      <c r="A506" s="36" t="s">
        <v>633</v>
      </c>
      <c r="B506" s="36"/>
      <c r="C506" s="36" t="s">
        <v>51</v>
      </c>
      <c r="D506" s="39">
        <v>45521</v>
      </c>
      <c r="E506" s="39">
        <v>45886</v>
      </c>
      <c r="F506" s="36" t="s">
        <v>1492</v>
      </c>
      <c r="G506" s="36" t="s">
        <v>61</v>
      </c>
      <c r="H506" s="38">
        <v>8800</v>
      </c>
      <c r="I506" s="40">
        <v>7155</v>
      </c>
      <c r="J506" s="40"/>
      <c r="K506" s="40"/>
      <c r="L506" s="40"/>
      <c r="M506" s="40"/>
      <c r="N506" s="36" t="s">
        <v>2224</v>
      </c>
      <c r="O506" s="37">
        <v>45521</v>
      </c>
      <c r="P506" s="44" t="s">
        <v>58</v>
      </c>
      <c r="Q506" s="38">
        <v>352000</v>
      </c>
      <c r="R506" s="33">
        <f t="shared" si="92"/>
        <v>1073.25</v>
      </c>
      <c r="S506" s="35">
        <f t="shared" si="91"/>
        <v>71.55</v>
      </c>
      <c r="T506" s="34">
        <v>500</v>
      </c>
    </row>
    <row r="507" spans="1:20" x14ac:dyDescent="0.25">
      <c r="A507" s="36" t="s">
        <v>634</v>
      </c>
      <c r="B507" s="36"/>
      <c r="C507" s="36" t="s">
        <v>32</v>
      </c>
      <c r="D507" s="39">
        <v>45521</v>
      </c>
      <c r="E507" s="39">
        <v>45886</v>
      </c>
      <c r="F507" s="36" t="s">
        <v>127</v>
      </c>
      <c r="G507" s="36" t="s">
        <v>61</v>
      </c>
      <c r="H507" s="38">
        <v>14960</v>
      </c>
      <c r="I507" s="40">
        <v>12466</v>
      </c>
      <c r="J507" s="40"/>
      <c r="K507" s="40"/>
      <c r="L507" s="40"/>
      <c r="M507" s="40"/>
      <c r="N507" s="36" t="s">
        <v>2225</v>
      </c>
      <c r="O507" s="37">
        <v>45521</v>
      </c>
      <c r="P507" s="44" t="s">
        <v>58</v>
      </c>
      <c r="Q507" s="38">
        <v>352000</v>
      </c>
      <c r="R507" s="33">
        <f t="shared" si="92"/>
        <v>1869.9</v>
      </c>
      <c r="S507" s="35">
        <f t="shared" si="91"/>
        <v>124.66</v>
      </c>
      <c r="T507" s="34">
        <v>500</v>
      </c>
    </row>
    <row r="508" spans="1:20" x14ac:dyDescent="0.25">
      <c r="A508" s="36" t="s">
        <v>635</v>
      </c>
      <c r="B508" s="36"/>
      <c r="C508" s="36" t="s">
        <v>32</v>
      </c>
      <c r="D508" s="39">
        <v>45887</v>
      </c>
      <c r="E508" s="39">
        <v>46252</v>
      </c>
      <c r="F508" s="36" t="s">
        <v>127</v>
      </c>
      <c r="G508" s="36" t="s">
        <v>61</v>
      </c>
      <c r="H508" s="38">
        <v>14960</v>
      </c>
      <c r="I508" s="40">
        <v>12466</v>
      </c>
      <c r="J508" s="40"/>
      <c r="K508" s="40"/>
      <c r="L508" s="40"/>
      <c r="M508" s="40"/>
      <c r="N508" s="36" t="s">
        <v>2225</v>
      </c>
      <c r="O508" s="37">
        <v>45521</v>
      </c>
      <c r="P508" s="44" t="s">
        <v>58</v>
      </c>
      <c r="Q508" s="38">
        <v>352000</v>
      </c>
      <c r="R508" s="33">
        <f t="shared" si="92"/>
        <v>1869.9</v>
      </c>
      <c r="S508" s="35">
        <f t="shared" si="91"/>
        <v>124.66</v>
      </c>
      <c r="T508" s="34">
        <v>500</v>
      </c>
    </row>
    <row r="509" spans="1:20" x14ac:dyDescent="0.25">
      <c r="A509" s="36" t="s">
        <v>636</v>
      </c>
      <c r="B509" s="36"/>
      <c r="C509" s="36" t="s">
        <v>51</v>
      </c>
      <c r="D509" s="39">
        <v>45521</v>
      </c>
      <c r="E509" s="39">
        <v>45886</v>
      </c>
      <c r="F509" s="36" t="s">
        <v>1493</v>
      </c>
      <c r="G509" s="36" t="s">
        <v>64</v>
      </c>
      <c r="H509" s="38">
        <v>12475</v>
      </c>
      <c r="I509" s="40">
        <v>10323</v>
      </c>
      <c r="J509" s="40"/>
      <c r="K509" s="40"/>
      <c r="L509" s="40"/>
      <c r="M509" s="40"/>
      <c r="N509" s="36" t="s">
        <v>2226</v>
      </c>
      <c r="O509" s="37">
        <v>45521</v>
      </c>
      <c r="P509" s="44" t="s">
        <v>58</v>
      </c>
      <c r="Q509" s="38">
        <v>499000</v>
      </c>
      <c r="R509" s="33">
        <f t="shared" si="92"/>
        <v>1548.45</v>
      </c>
      <c r="S509" s="35">
        <f t="shared" si="91"/>
        <v>103.23</v>
      </c>
      <c r="T509" s="34">
        <v>500</v>
      </c>
    </row>
    <row r="510" spans="1:20" x14ac:dyDescent="0.25">
      <c r="A510" s="36" t="s">
        <v>637</v>
      </c>
      <c r="B510" s="36"/>
      <c r="C510" s="36" t="s">
        <v>51</v>
      </c>
      <c r="D510" s="39">
        <v>45521</v>
      </c>
      <c r="E510" s="39">
        <v>45886</v>
      </c>
      <c r="F510" s="36" t="s">
        <v>1494</v>
      </c>
      <c r="G510" s="36" t="s">
        <v>62</v>
      </c>
      <c r="H510" s="38">
        <v>9550</v>
      </c>
      <c r="I510" s="40">
        <v>7802</v>
      </c>
      <c r="J510" s="40"/>
      <c r="K510" s="40"/>
      <c r="L510" s="40"/>
      <c r="M510" s="40"/>
      <c r="N510" s="36" t="s">
        <v>2227</v>
      </c>
      <c r="O510" s="37">
        <v>45521</v>
      </c>
      <c r="P510" s="44" t="s">
        <v>58</v>
      </c>
      <c r="Q510" s="38">
        <v>382000</v>
      </c>
      <c r="R510" s="33">
        <f t="shared" si="92"/>
        <v>1170.3</v>
      </c>
      <c r="S510" s="35">
        <f t="shared" si="91"/>
        <v>78.02</v>
      </c>
      <c r="T510" s="34">
        <v>500</v>
      </c>
    </row>
    <row r="511" spans="1:20" x14ac:dyDescent="0.25">
      <c r="A511" s="36" t="s">
        <v>638</v>
      </c>
      <c r="B511" s="36"/>
      <c r="C511" s="36" t="s">
        <v>33</v>
      </c>
      <c r="D511" s="39">
        <v>45521</v>
      </c>
      <c r="E511" s="39">
        <v>45886</v>
      </c>
      <c r="F511" s="36" t="s">
        <v>1495</v>
      </c>
      <c r="G511" s="36" t="s">
        <v>63</v>
      </c>
      <c r="H511" s="38">
        <v>23248</v>
      </c>
      <c r="I511" s="40">
        <v>19610</v>
      </c>
      <c r="J511" s="40"/>
      <c r="K511" s="40"/>
      <c r="L511" s="40"/>
      <c r="M511" s="40"/>
      <c r="N511" s="36" t="s">
        <v>2228</v>
      </c>
      <c r="O511" s="37">
        <v>45521</v>
      </c>
      <c r="P511" s="44" t="s">
        <v>58</v>
      </c>
      <c r="Q511" s="38">
        <v>547000</v>
      </c>
      <c r="R511" s="33">
        <f t="shared" si="92"/>
        <v>2941.5</v>
      </c>
      <c r="S511" s="35">
        <f t="shared" si="91"/>
        <v>196.1</v>
      </c>
      <c r="T511" s="34">
        <v>500</v>
      </c>
    </row>
    <row r="512" spans="1:20" x14ac:dyDescent="0.25">
      <c r="A512" s="36" t="s">
        <v>639</v>
      </c>
      <c r="B512" s="36"/>
      <c r="C512" s="36" t="s">
        <v>52</v>
      </c>
      <c r="D512" s="39">
        <v>45522</v>
      </c>
      <c r="E512" s="39">
        <v>45887</v>
      </c>
      <c r="F512" s="36" t="s">
        <v>1496</v>
      </c>
      <c r="G512" s="36" t="s">
        <v>61</v>
      </c>
      <c r="H512" s="38">
        <v>14960</v>
      </c>
      <c r="I512" s="40">
        <v>12466</v>
      </c>
      <c r="J512" s="40"/>
      <c r="K512" s="40"/>
      <c r="L512" s="40"/>
      <c r="M512" s="40"/>
      <c r="N512" s="36" t="s">
        <v>2229</v>
      </c>
      <c r="O512" s="37">
        <v>45522</v>
      </c>
      <c r="P512" s="44" t="s">
        <v>58</v>
      </c>
      <c r="Q512" s="38">
        <v>352000</v>
      </c>
      <c r="R512" s="33">
        <f t="shared" si="92"/>
        <v>1869.9</v>
      </c>
      <c r="S512" s="35">
        <f t="shared" si="91"/>
        <v>124.66</v>
      </c>
      <c r="T512" s="34">
        <v>500</v>
      </c>
    </row>
    <row r="513" spans="1:20" x14ac:dyDescent="0.25">
      <c r="A513" s="36" t="s">
        <v>640</v>
      </c>
      <c r="B513" s="36"/>
      <c r="C513" s="36" t="s">
        <v>52</v>
      </c>
      <c r="D513" s="39">
        <v>45888</v>
      </c>
      <c r="E513" s="39">
        <v>46253</v>
      </c>
      <c r="F513" s="36" t="s">
        <v>1496</v>
      </c>
      <c r="G513" s="36" t="s">
        <v>61</v>
      </c>
      <c r="H513" s="38">
        <v>14960</v>
      </c>
      <c r="I513" s="40">
        <v>12466</v>
      </c>
      <c r="J513" s="40"/>
      <c r="K513" s="40"/>
      <c r="L513" s="40"/>
      <c r="M513" s="40"/>
      <c r="N513" s="36" t="s">
        <v>2229</v>
      </c>
      <c r="O513" s="37">
        <v>45522</v>
      </c>
      <c r="P513" s="44" t="s">
        <v>58</v>
      </c>
      <c r="Q513" s="38">
        <v>352000</v>
      </c>
      <c r="R513" s="33">
        <f t="shared" si="92"/>
        <v>1869.9</v>
      </c>
      <c r="S513" s="35">
        <f t="shared" si="91"/>
        <v>124.66</v>
      </c>
      <c r="T513" s="34">
        <v>500</v>
      </c>
    </row>
    <row r="514" spans="1:20" x14ac:dyDescent="0.25">
      <c r="A514" s="36" t="s">
        <v>641</v>
      </c>
      <c r="B514" s="36"/>
      <c r="C514" s="36" t="s">
        <v>71</v>
      </c>
      <c r="D514" s="39">
        <v>45523</v>
      </c>
      <c r="E514" s="39">
        <v>45888</v>
      </c>
      <c r="F514" s="36" t="s">
        <v>1497</v>
      </c>
      <c r="G514" s="36" t="s">
        <v>62</v>
      </c>
      <c r="H514" s="38">
        <v>9550</v>
      </c>
      <c r="I514" s="40">
        <v>7802</v>
      </c>
      <c r="J514" s="40"/>
      <c r="K514" s="40"/>
      <c r="L514" s="40"/>
      <c r="M514" s="40"/>
      <c r="N514" s="36" t="s">
        <v>2230</v>
      </c>
      <c r="O514" s="37">
        <v>45523</v>
      </c>
      <c r="P514" s="44" t="s">
        <v>58</v>
      </c>
      <c r="Q514" s="38">
        <v>382000</v>
      </c>
      <c r="R514" s="33">
        <f t="shared" si="92"/>
        <v>1170.3</v>
      </c>
      <c r="S514" s="35">
        <f t="shared" si="91"/>
        <v>78.02</v>
      </c>
      <c r="T514" s="34">
        <v>500</v>
      </c>
    </row>
    <row r="515" spans="1:20" x14ac:dyDescent="0.25">
      <c r="A515" s="36" t="s">
        <v>642</v>
      </c>
      <c r="B515" s="36"/>
      <c r="C515" s="36" t="s">
        <v>71</v>
      </c>
      <c r="D515" s="39">
        <v>45523</v>
      </c>
      <c r="E515" s="39">
        <v>45888</v>
      </c>
      <c r="F515" s="36" t="s">
        <v>1498</v>
      </c>
      <c r="G515" s="36" t="s">
        <v>64</v>
      </c>
      <c r="H515" s="38">
        <v>12475</v>
      </c>
      <c r="I515" s="40">
        <v>10323</v>
      </c>
      <c r="J515" s="40"/>
      <c r="K515" s="40"/>
      <c r="L515" s="40"/>
      <c r="M515" s="40"/>
      <c r="N515" s="36" t="s">
        <v>2231</v>
      </c>
      <c r="O515" s="37">
        <v>45523</v>
      </c>
      <c r="P515" s="44" t="s">
        <v>58</v>
      </c>
      <c r="Q515" s="38">
        <v>499000</v>
      </c>
      <c r="R515" s="33">
        <f t="shared" si="92"/>
        <v>1548.45</v>
      </c>
      <c r="S515" s="35">
        <f t="shared" ref="S515:S578" si="93">I515*1/100</f>
        <v>103.23</v>
      </c>
      <c r="T515" s="34">
        <v>500</v>
      </c>
    </row>
    <row r="516" spans="1:20" x14ac:dyDescent="0.25">
      <c r="A516" s="36" t="s">
        <v>643</v>
      </c>
      <c r="B516" s="36"/>
      <c r="C516" s="36" t="s">
        <v>51</v>
      </c>
      <c r="D516" s="39">
        <v>45523</v>
      </c>
      <c r="E516" s="39">
        <v>45888</v>
      </c>
      <c r="F516" s="36" t="s">
        <v>1429</v>
      </c>
      <c r="G516" s="36" t="s">
        <v>61</v>
      </c>
      <c r="H516" s="38">
        <v>8800</v>
      </c>
      <c r="I516" s="40">
        <v>7155</v>
      </c>
      <c r="J516" s="40"/>
      <c r="K516" s="40"/>
      <c r="L516" s="40"/>
      <c r="M516" s="40"/>
      <c r="N516" s="36" t="s">
        <v>2232</v>
      </c>
      <c r="O516" s="37">
        <v>45523</v>
      </c>
      <c r="P516" s="44" t="s">
        <v>58</v>
      </c>
      <c r="Q516" s="38">
        <v>352000</v>
      </c>
      <c r="R516" s="33">
        <f t="shared" ref="R516:R579" si="94">I516*15/100</f>
        <v>1073.25</v>
      </c>
      <c r="S516" s="35">
        <f t="shared" si="93"/>
        <v>71.55</v>
      </c>
      <c r="T516" s="34">
        <v>500</v>
      </c>
    </row>
    <row r="517" spans="1:20" x14ac:dyDescent="0.25">
      <c r="A517" s="36" t="s">
        <v>644</v>
      </c>
      <c r="B517" s="36"/>
      <c r="C517" s="36" t="s">
        <v>51</v>
      </c>
      <c r="D517" s="39">
        <v>45523</v>
      </c>
      <c r="E517" s="39">
        <v>45888</v>
      </c>
      <c r="F517" s="36" t="s">
        <v>1499</v>
      </c>
      <c r="G517" s="36" t="s">
        <v>61</v>
      </c>
      <c r="H517" s="38">
        <v>8800</v>
      </c>
      <c r="I517" s="40">
        <v>7155</v>
      </c>
      <c r="J517" s="40"/>
      <c r="K517" s="40"/>
      <c r="L517" s="40"/>
      <c r="M517" s="40"/>
      <c r="N517" s="36" t="s">
        <v>2233</v>
      </c>
      <c r="O517" s="37">
        <v>45523</v>
      </c>
      <c r="P517" s="44" t="s">
        <v>58</v>
      </c>
      <c r="Q517" s="38">
        <v>352000</v>
      </c>
      <c r="R517" s="33">
        <f t="shared" si="94"/>
        <v>1073.25</v>
      </c>
      <c r="S517" s="35">
        <f t="shared" si="93"/>
        <v>71.55</v>
      </c>
      <c r="T517" s="34">
        <v>500</v>
      </c>
    </row>
    <row r="518" spans="1:20" x14ac:dyDescent="0.25">
      <c r="A518" s="36" t="s">
        <v>645</v>
      </c>
      <c r="B518" s="36"/>
      <c r="C518" s="36" t="s">
        <v>32</v>
      </c>
      <c r="D518" s="39">
        <v>45523</v>
      </c>
      <c r="E518" s="39">
        <v>45888</v>
      </c>
      <c r="F518" s="36" t="s">
        <v>1500</v>
      </c>
      <c r="G518" s="36" t="s">
        <v>62</v>
      </c>
      <c r="H518" s="38">
        <v>16235</v>
      </c>
      <c r="I518" s="40">
        <v>13565</v>
      </c>
      <c r="J518" s="40"/>
      <c r="K518" s="40"/>
      <c r="L518" s="40"/>
      <c r="M518" s="40"/>
      <c r="N518" s="36" t="s">
        <v>2234</v>
      </c>
      <c r="O518" s="37">
        <v>45523</v>
      </c>
      <c r="P518" s="44" t="s">
        <v>58</v>
      </c>
      <c r="Q518" s="38">
        <v>382000</v>
      </c>
      <c r="R518" s="33">
        <f t="shared" si="94"/>
        <v>2034.75</v>
      </c>
      <c r="S518" s="35">
        <f t="shared" si="93"/>
        <v>135.65</v>
      </c>
      <c r="T518" s="34">
        <v>500</v>
      </c>
    </row>
    <row r="519" spans="1:20" x14ac:dyDescent="0.25">
      <c r="A519" s="36" t="s">
        <v>646</v>
      </c>
      <c r="B519" s="36"/>
      <c r="C519" s="36" t="s">
        <v>32</v>
      </c>
      <c r="D519" s="39">
        <v>45889</v>
      </c>
      <c r="E519" s="39">
        <v>46254</v>
      </c>
      <c r="F519" s="36" t="s">
        <v>1500</v>
      </c>
      <c r="G519" s="36" t="s">
        <v>62</v>
      </c>
      <c r="H519" s="38">
        <v>16235</v>
      </c>
      <c r="I519" s="40">
        <v>13565</v>
      </c>
      <c r="J519" s="40"/>
      <c r="K519" s="40"/>
      <c r="L519" s="40"/>
      <c r="M519" s="40"/>
      <c r="N519" s="36" t="s">
        <v>2234</v>
      </c>
      <c r="O519" s="37">
        <v>45523</v>
      </c>
      <c r="P519" s="44" t="s">
        <v>58</v>
      </c>
      <c r="Q519" s="38">
        <v>382000</v>
      </c>
      <c r="R519" s="33">
        <f t="shared" si="94"/>
        <v>2034.75</v>
      </c>
      <c r="S519" s="35">
        <f t="shared" si="93"/>
        <v>135.65</v>
      </c>
      <c r="T519" s="34">
        <v>500</v>
      </c>
    </row>
    <row r="520" spans="1:20" x14ac:dyDescent="0.25">
      <c r="A520" s="36" t="s">
        <v>647</v>
      </c>
      <c r="B520" s="36"/>
      <c r="C520" s="36" t="s">
        <v>51</v>
      </c>
      <c r="D520" s="39">
        <v>45523</v>
      </c>
      <c r="E520" s="39">
        <v>45888</v>
      </c>
      <c r="F520" s="36" t="s">
        <v>1501</v>
      </c>
      <c r="G520" s="36" t="s">
        <v>63</v>
      </c>
      <c r="H520" s="38">
        <v>13675</v>
      </c>
      <c r="I520" s="40">
        <v>11358</v>
      </c>
      <c r="J520" s="40"/>
      <c r="K520" s="40"/>
      <c r="L520" s="40"/>
      <c r="M520" s="40"/>
      <c r="N520" s="36" t="s">
        <v>2235</v>
      </c>
      <c r="O520" s="37">
        <v>45523</v>
      </c>
      <c r="P520" s="44" t="s">
        <v>58</v>
      </c>
      <c r="Q520" s="38">
        <v>547000</v>
      </c>
      <c r="R520" s="33">
        <f t="shared" si="94"/>
        <v>1703.7</v>
      </c>
      <c r="S520" s="35">
        <f t="shared" si="93"/>
        <v>113.58</v>
      </c>
      <c r="T520" s="34">
        <v>500</v>
      </c>
    </row>
    <row r="521" spans="1:20" x14ac:dyDescent="0.25">
      <c r="A521" s="36" t="s">
        <v>648</v>
      </c>
      <c r="B521" s="36"/>
      <c r="C521" s="36" t="s">
        <v>51</v>
      </c>
      <c r="D521" s="39">
        <v>45523</v>
      </c>
      <c r="E521" s="39">
        <v>45888</v>
      </c>
      <c r="F521" s="36" t="s">
        <v>1502</v>
      </c>
      <c r="G521" s="36" t="s">
        <v>62</v>
      </c>
      <c r="H521" s="38">
        <v>9550</v>
      </c>
      <c r="I521" s="40">
        <v>7802</v>
      </c>
      <c r="J521" s="40"/>
      <c r="K521" s="40"/>
      <c r="L521" s="40"/>
      <c r="M521" s="40"/>
      <c r="N521" s="36" t="s">
        <v>2236</v>
      </c>
      <c r="O521" s="37">
        <v>45523</v>
      </c>
      <c r="P521" s="44" t="s">
        <v>58</v>
      </c>
      <c r="Q521" s="38">
        <v>382000</v>
      </c>
      <c r="R521" s="33">
        <f t="shared" si="94"/>
        <v>1170.3</v>
      </c>
      <c r="S521" s="35">
        <f t="shared" si="93"/>
        <v>78.02</v>
      </c>
      <c r="T521" s="34">
        <v>500</v>
      </c>
    </row>
    <row r="522" spans="1:20" x14ac:dyDescent="0.25">
      <c r="A522" s="36" t="s">
        <v>649</v>
      </c>
      <c r="B522" s="36"/>
      <c r="C522" s="36" t="s">
        <v>51</v>
      </c>
      <c r="D522" s="39">
        <v>45523</v>
      </c>
      <c r="E522" s="39">
        <v>45888</v>
      </c>
      <c r="F522" s="36" t="s">
        <v>1503</v>
      </c>
      <c r="G522" s="36" t="s">
        <v>61</v>
      </c>
      <c r="H522" s="38">
        <v>8800</v>
      </c>
      <c r="I522" s="40">
        <v>7155</v>
      </c>
      <c r="J522" s="40"/>
      <c r="K522" s="40"/>
      <c r="L522" s="40"/>
      <c r="M522" s="40"/>
      <c r="N522" s="36" t="s">
        <v>2237</v>
      </c>
      <c r="O522" s="37">
        <v>45523</v>
      </c>
      <c r="P522" s="44" t="s">
        <v>58</v>
      </c>
      <c r="Q522" s="38">
        <v>352000</v>
      </c>
      <c r="R522" s="33">
        <f t="shared" si="94"/>
        <v>1073.25</v>
      </c>
      <c r="S522" s="35">
        <f t="shared" si="93"/>
        <v>71.55</v>
      </c>
      <c r="T522" s="34">
        <v>500</v>
      </c>
    </row>
    <row r="523" spans="1:20" x14ac:dyDescent="0.25">
      <c r="A523" s="36" t="s">
        <v>650</v>
      </c>
      <c r="B523" s="36"/>
      <c r="C523" s="36" t="s">
        <v>51</v>
      </c>
      <c r="D523" s="39">
        <v>45523</v>
      </c>
      <c r="E523" s="39">
        <v>45888</v>
      </c>
      <c r="F523" s="36" t="s">
        <v>1504</v>
      </c>
      <c r="G523" s="36" t="s">
        <v>61</v>
      </c>
      <c r="H523" s="38">
        <v>8800</v>
      </c>
      <c r="I523" s="40">
        <v>7155</v>
      </c>
      <c r="J523" s="40"/>
      <c r="K523" s="40"/>
      <c r="L523" s="40"/>
      <c r="M523" s="40"/>
      <c r="N523" s="36" t="s">
        <v>2238</v>
      </c>
      <c r="O523" s="37">
        <v>45523</v>
      </c>
      <c r="P523" s="44" t="s">
        <v>58</v>
      </c>
      <c r="Q523" s="38">
        <v>352000</v>
      </c>
      <c r="R523" s="33">
        <f t="shared" si="94"/>
        <v>1073.25</v>
      </c>
      <c r="S523" s="35">
        <f t="shared" si="93"/>
        <v>71.55</v>
      </c>
      <c r="T523" s="34">
        <v>500</v>
      </c>
    </row>
    <row r="524" spans="1:20" x14ac:dyDescent="0.25">
      <c r="A524" s="36" t="s">
        <v>651</v>
      </c>
      <c r="B524" s="36"/>
      <c r="C524" s="36" t="s">
        <v>51</v>
      </c>
      <c r="D524" s="39">
        <v>45523</v>
      </c>
      <c r="E524" s="39">
        <v>45888</v>
      </c>
      <c r="F524" s="36" t="s">
        <v>1505</v>
      </c>
      <c r="G524" s="36" t="s">
        <v>61</v>
      </c>
      <c r="H524" s="38">
        <v>8800</v>
      </c>
      <c r="I524" s="40">
        <v>7155</v>
      </c>
      <c r="J524" s="40"/>
      <c r="K524" s="40"/>
      <c r="L524" s="40"/>
      <c r="M524" s="40"/>
      <c r="N524" s="36" t="s">
        <v>2239</v>
      </c>
      <c r="O524" s="37">
        <v>45523</v>
      </c>
      <c r="P524" s="44" t="s">
        <v>58</v>
      </c>
      <c r="Q524" s="38">
        <v>352000</v>
      </c>
      <c r="R524" s="33">
        <f t="shared" si="94"/>
        <v>1073.25</v>
      </c>
      <c r="S524" s="35">
        <f t="shared" si="93"/>
        <v>71.55</v>
      </c>
      <c r="T524" s="34">
        <v>500</v>
      </c>
    </row>
    <row r="525" spans="1:20" x14ac:dyDescent="0.25">
      <c r="A525" s="36" t="s">
        <v>652</v>
      </c>
      <c r="B525" s="36"/>
      <c r="C525" s="36" t="s">
        <v>32</v>
      </c>
      <c r="D525" s="39">
        <v>45523</v>
      </c>
      <c r="E525" s="39">
        <v>45888</v>
      </c>
      <c r="F525" s="36" t="s">
        <v>1506</v>
      </c>
      <c r="G525" s="36" t="s">
        <v>63</v>
      </c>
      <c r="H525" s="38">
        <v>23248</v>
      </c>
      <c r="I525" s="40">
        <v>19610</v>
      </c>
      <c r="J525" s="40"/>
      <c r="K525" s="40"/>
      <c r="L525" s="40"/>
      <c r="M525" s="40"/>
      <c r="N525" s="36" t="s">
        <v>2240</v>
      </c>
      <c r="O525" s="37">
        <v>45523</v>
      </c>
      <c r="P525" s="44" t="s">
        <v>58</v>
      </c>
      <c r="Q525" s="38">
        <v>547000</v>
      </c>
      <c r="R525" s="33">
        <f t="shared" si="94"/>
        <v>2941.5</v>
      </c>
      <c r="S525" s="35">
        <f t="shared" si="93"/>
        <v>196.1</v>
      </c>
      <c r="T525" s="34">
        <v>500</v>
      </c>
    </row>
    <row r="526" spans="1:20" x14ac:dyDescent="0.25">
      <c r="A526" s="36" t="s">
        <v>653</v>
      </c>
      <c r="B526" s="36"/>
      <c r="C526" s="36" t="s">
        <v>51</v>
      </c>
      <c r="D526" s="39">
        <v>45523</v>
      </c>
      <c r="E526" s="39">
        <v>45888</v>
      </c>
      <c r="F526" s="36" t="s">
        <v>1507</v>
      </c>
      <c r="G526" s="36" t="s">
        <v>61</v>
      </c>
      <c r="H526" s="38">
        <v>8800</v>
      </c>
      <c r="I526" s="40">
        <v>7155</v>
      </c>
      <c r="J526" s="40"/>
      <c r="K526" s="40"/>
      <c r="L526" s="40"/>
      <c r="M526" s="40"/>
      <c r="N526" s="36" t="s">
        <v>2241</v>
      </c>
      <c r="O526" s="37">
        <v>45523</v>
      </c>
      <c r="P526" s="44" t="s">
        <v>58</v>
      </c>
      <c r="Q526" s="38">
        <v>352000</v>
      </c>
      <c r="R526" s="33">
        <f t="shared" si="94"/>
        <v>1073.25</v>
      </c>
      <c r="S526" s="35">
        <f t="shared" si="93"/>
        <v>71.55</v>
      </c>
      <c r="T526" s="34">
        <v>500</v>
      </c>
    </row>
    <row r="527" spans="1:20" x14ac:dyDescent="0.25">
      <c r="A527" s="36" t="s">
        <v>654</v>
      </c>
      <c r="B527" s="36"/>
      <c r="C527" s="36" t="s">
        <v>51</v>
      </c>
      <c r="D527" s="39">
        <v>45523</v>
      </c>
      <c r="E527" s="39">
        <v>45888</v>
      </c>
      <c r="F527" s="36" t="s">
        <v>1508</v>
      </c>
      <c r="G527" s="36" t="s">
        <v>61</v>
      </c>
      <c r="H527" s="38">
        <v>8800</v>
      </c>
      <c r="I527" s="40">
        <v>7155</v>
      </c>
      <c r="J527" s="40"/>
      <c r="K527" s="40"/>
      <c r="L527" s="40"/>
      <c r="M527" s="40"/>
      <c r="N527" s="36" t="s">
        <v>2242</v>
      </c>
      <c r="O527" s="37">
        <v>45523</v>
      </c>
      <c r="P527" s="44" t="s">
        <v>58</v>
      </c>
      <c r="Q527" s="38">
        <v>352000</v>
      </c>
      <c r="R527" s="33">
        <f t="shared" si="94"/>
        <v>1073.25</v>
      </c>
      <c r="S527" s="35">
        <f t="shared" si="93"/>
        <v>71.55</v>
      </c>
      <c r="T527" s="34">
        <v>500</v>
      </c>
    </row>
    <row r="528" spans="1:20" x14ac:dyDescent="0.25">
      <c r="A528" s="36" t="s">
        <v>655</v>
      </c>
      <c r="B528" s="36"/>
      <c r="C528" s="36" t="s">
        <v>51</v>
      </c>
      <c r="D528" s="39">
        <v>45523</v>
      </c>
      <c r="E528" s="39">
        <v>45888</v>
      </c>
      <c r="F528" s="36" t="s">
        <v>1486</v>
      </c>
      <c r="G528" s="36" t="s">
        <v>61</v>
      </c>
      <c r="H528" s="38">
        <v>8800</v>
      </c>
      <c r="I528" s="40">
        <v>7155</v>
      </c>
      <c r="J528" s="40"/>
      <c r="K528" s="40"/>
      <c r="L528" s="40"/>
      <c r="M528" s="40"/>
      <c r="N528" s="36" t="s">
        <v>2243</v>
      </c>
      <c r="O528" s="37">
        <v>45523</v>
      </c>
      <c r="P528" s="44" t="s">
        <v>58</v>
      </c>
      <c r="Q528" s="38">
        <v>352000</v>
      </c>
      <c r="R528" s="33">
        <f t="shared" si="94"/>
        <v>1073.25</v>
      </c>
      <c r="S528" s="35">
        <f t="shared" si="93"/>
        <v>71.55</v>
      </c>
      <c r="T528" s="34">
        <v>500</v>
      </c>
    </row>
    <row r="529" spans="1:20" x14ac:dyDescent="0.25">
      <c r="A529" s="36" t="s">
        <v>656</v>
      </c>
      <c r="B529" s="36"/>
      <c r="C529" s="36" t="s">
        <v>32</v>
      </c>
      <c r="D529" s="39">
        <v>45523</v>
      </c>
      <c r="E529" s="39">
        <v>45888</v>
      </c>
      <c r="F529" s="36" t="s">
        <v>1509</v>
      </c>
      <c r="G529" s="36" t="s">
        <v>62</v>
      </c>
      <c r="H529" s="38">
        <v>16235</v>
      </c>
      <c r="I529" s="40">
        <v>13565</v>
      </c>
      <c r="J529" s="40"/>
      <c r="K529" s="40"/>
      <c r="L529" s="40"/>
      <c r="M529" s="40"/>
      <c r="N529" s="36" t="s">
        <v>2244</v>
      </c>
      <c r="O529" s="37">
        <v>45523</v>
      </c>
      <c r="P529" s="44" t="s">
        <v>58</v>
      </c>
      <c r="Q529" s="38">
        <v>382000</v>
      </c>
      <c r="R529" s="33">
        <f t="shared" si="94"/>
        <v>2034.75</v>
      </c>
      <c r="S529" s="35">
        <f t="shared" si="93"/>
        <v>135.65</v>
      </c>
      <c r="T529" s="34">
        <v>500</v>
      </c>
    </row>
    <row r="530" spans="1:20" x14ac:dyDescent="0.25">
      <c r="A530" s="36" t="s">
        <v>657</v>
      </c>
      <c r="B530" s="36"/>
      <c r="C530" s="36" t="s">
        <v>32</v>
      </c>
      <c r="D530" s="39">
        <v>45889</v>
      </c>
      <c r="E530" s="39">
        <v>46254</v>
      </c>
      <c r="F530" s="36" t="s">
        <v>1509</v>
      </c>
      <c r="G530" s="36" t="s">
        <v>62</v>
      </c>
      <c r="H530" s="38">
        <v>16235</v>
      </c>
      <c r="I530" s="40">
        <v>13565</v>
      </c>
      <c r="J530" s="40"/>
      <c r="K530" s="40"/>
      <c r="L530" s="40"/>
      <c r="M530" s="40"/>
      <c r="N530" s="36" t="s">
        <v>2244</v>
      </c>
      <c r="O530" s="37">
        <v>45523</v>
      </c>
      <c r="P530" s="44" t="s">
        <v>58</v>
      </c>
      <c r="Q530" s="38">
        <v>382000</v>
      </c>
      <c r="R530" s="33">
        <f t="shared" si="94"/>
        <v>2034.75</v>
      </c>
      <c r="S530" s="35">
        <f t="shared" si="93"/>
        <v>135.65</v>
      </c>
      <c r="T530" s="34">
        <v>500</v>
      </c>
    </row>
    <row r="531" spans="1:20" x14ac:dyDescent="0.25">
      <c r="A531" s="36" t="s">
        <v>658</v>
      </c>
      <c r="B531" s="36"/>
      <c r="C531" s="36" t="s">
        <v>34</v>
      </c>
      <c r="D531" s="39">
        <v>45523</v>
      </c>
      <c r="E531" s="39">
        <v>45888</v>
      </c>
      <c r="F531" s="36" t="s">
        <v>89</v>
      </c>
      <c r="G531" s="36" t="s">
        <v>61</v>
      </c>
      <c r="H531" s="38">
        <v>8800</v>
      </c>
      <c r="I531" s="40">
        <v>7155</v>
      </c>
      <c r="J531" s="40"/>
      <c r="K531" s="40"/>
      <c r="L531" s="40"/>
      <c r="M531" s="40"/>
      <c r="N531" s="36" t="s">
        <v>2245</v>
      </c>
      <c r="O531" s="37">
        <v>45523</v>
      </c>
      <c r="P531" s="44" t="s">
        <v>58</v>
      </c>
      <c r="Q531" s="38">
        <v>352000</v>
      </c>
      <c r="R531" s="33">
        <f t="shared" si="94"/>
        <v>1073.25</v>
      </c>
      <c r="S531" s="35">
        <f t="shared" si="93"/>
        <v>71.55</v>
      </c>
      <c r="T531" s="34">
        <v>500</v>
      </c>
    </row>
    <row r="532" spans="1:20" x14ac:dyDescent="0.25">
      <c r="A532" s="36" t="s">
        <v>659</v>
      </c>
      <c r="B532" s="36"/>
      <c r="C532" s="36" t="s">
        <v>32</v>
      </c>
      <c r="D532" s="39">
        <v>45523</v>
      </c>
      <c r="E532" s="39">
        <v>45888</v>
      </c>
      <c r="F532" s="36" t="s">
        <v>1510</v>
      </c>
      <c r="G532" s="36" t="s">
        <v>61</v>
      </c>
      <c r="H532" s="38">
        <v>14960</v>
      </c>
      <c r="I532" s="40">
        <v>12466</v>
      </c>
      <c r="J532" s="40"/>
      <c r="K532" s="40"/>
      <c r="L532" s="40"/>
      <c r="M532" s="40"/>
      <c r="N532" s="36" t="s">
        <v>2246</v>
      </c>
      <c r="O532" s="37">
        <v>45523</v>
      </c>
      <c r="P532" s="44" t="s">
        <v>58</v>
      </c>
      <c r="Q532" s="38">
        <v>352000</v>
      </c>
      <c r="R532" s="33">
        <f t="shared" si="94"/>
        <v>1869.9</v>
      </c>
      <c r="S532" s="35">
        <f t="shared" si="93"/>
        <v>124.66</v>
      </c>
      <c r="T532" s="34">
        <v>500</v>
      </c>
    </row>
    <row r="533" spans="1:20" x14ac:dyDescent="0.25">
      <c r="A533" s="36" t="s">
        <v>660</v>
      </c>
      <c r="B533" s="36"/>
      <c r="C533" s="36" t="s">
        <v>32</v>
      </c>
      <c r="D533" s="39">
        <v>45889</v>
      </c>
      <c r="E533" s="39">
        <v>46254</v>
      </c>
      <c r="F533" s="36" t="s">
        <v>1510</v>
      </c>
      <c r="G533" s="36" t="s">
        <v>61</v>
      </c>
      <c r="H533" s="38">
        <v>14960</v>
      </c>
      <c r="I533" s="40">
        <v>12466</v>
      </c>
      <c r="J533" s="40"/>
      <c r="K533" s="40"/>
      <c r="L533" s="40"/>
      <c r="M533" s="40"/>
      <c r="N533" s="36" t="s">
        <v>2246</v>
      </c>
      <c r="O533" s="37">
        <v>45523</v>
      </c>
      <c r="P533" s="44" t="s">
        <v>58</v>
      </c>
      <c r="Q533" s="38">
        <v>352000</v>
      </c>
      <c r="R533" s="33">
        <f t="shared" si="94"/>
        <v>1869.9</v>
      </c>
      <c r="S533" s="35">
        <f t="shared" si="93"/>
        <v>124.66</v>
      </c>
      <c r="T533" s="34">
        <v>500</v>
      </c>
    </row>
    <row r="534" spans="1:20" x14ac:dyDescent="0.25">
      <c r="A534" s="36" t="s">
        <v>661</v>
      </c>
      <c r="B534" s="36"/>
      <c r="C534" s="36" t="s">
        <v>34</v>
      </c>
      <c r="D534" s="39">
        <v>45523</v>
      </c>
      <c r="E534" s="39">
        <v>45888</v>
      </c>
      <c r="F534" s="36" t="s">
        <v>1511</v>
      </c>
      <c r="G534" s="36" t="s">
        <v>62</v>
      </c>
      <c r="H534" s="38">
        <v>9550</v>
      </c>
      <c r="I534" s="40">
        <v>7802</v>
      </c>
      <c r="J534" s="40"/>
      <c r="K534" s="40"/>
      <c r="L534" s="40"/>
      <c r="M534" s="40"/>
      <c r="N534" s="36" t="s">
        <v>2247</v>
      </c>
      <c r="O534" s="37">
        <v>45523</v>
      </c>
      <c r="P534" s="44" t="s">
        <v>58</v>
      </c>
      <c r="Q534" s="38">
        <v>382000</v>
      </c>
      <c r="R534" s="33">
        <f t="shared" si="94"/>
        <v>1170.3</v>
      </c>
      <c r="S534" s="35">
        <f t="shared" si="93"/>
        <v>78.02</v>
      </c>
      <c r="T534" s="34">
        <v>500</v>
      </c>
    </row>
    <row r="535" spans="1:20" x14ac:dyDescent="0.25">
      <c r="A535" s="36" t="s">
        <v>662</v>
      </c>
      <c r="B535" s="36"/>
      <c r="C535" s="36" t="s">
        <v>31</v>
      </c>
      <c r="D535" s="39">
        <v>45523</v>
      </c>
      <c r="E535" s="39">
        <v>45888</v>
      </c>
      <c r="F535" s="36" t="s">
        <v>1512</v>
      </c>
      <c r="G535" s="36" t="s">
        <v>61</v>
      </c>
      <c r="H535" s="38">
        <v>14960</v>
      </c>
      <c r="I535" s="40">
        <v>12466</v>
      </c>
      <c r="J535" s="40"/>
      <c r="K535" s="40"/>
      <c r="L535" s="40"/>
      <c r="M535" s="40"/>
      <c r="N535" s="36" t="s">
        <v>2248</v>
      </c>
      <c r="O535" s="37">
        <v>45523</v>
      </c>
      <c r="P535" s="44" t="s">
        <v>58</v>
      </c>
      <c r="Q535" s="38">
        <v>352000</v>
      </c>
      <c r="R535" s="33">
        <f t="shared" si="94"/>
        <v>1869.9</v>
      </c>
      <c r="S535" s="35">
        <f t="shared" si="93"/>
        <v>124.66</v>
      </c>
      <c r="T535" s="34">
        <v>500</v>
      </c>
    </row>
    <row r="536" spans="1:20" x14ac:dyDescent="0.25">
      <c r="A536" s="36" t="s">
        <v>663</v>
      </c>
      <c r="B536" s="36"/>
      <c r="C536" s="36" t="s">
        <v>31</v>
      </c>
      <c r="D536" s="39">
        <v>45889</v>
      </c>
      <c r="E536" s="39">
        <v>46254</v>
      </c>
      <c r="F536" s="36" t="s">
        <v>1512</v>
      </c>
      <c r="G536" s="36" t="s">
        <v>61</v>
      </c>
      <c r="H536" s="38">
        <v>14960</v>
      </c>
      <c r="I536" s="40">
        <v>12466</v>
      </c>
      <c r="J536" s="40"/>
      <c r="K536" s="40"/>
      <c r="L536" s="40"/>
      <c r="M536" s="40"/>
      <c r="N536" s="36" t="s">
        <v>2248</v>
      </c>
      <c r="O536" s="37">
        <v>45523</v>
      </c>
      <c r="P536" s="44" t="s">
        <v>58</v>
      </c>
      <c r="Q536" s="38">
        <v>352000</v>
      </c>
      <c r="R536" s="33">
        <f t="shared" si="94"/>
        <v>1869.9</v>
      </c>
      <c r="S536" s="35">
        <f t="shared" si="93"/>
        <v>124.66</v>
      </c>
      <c r="T536" s="34">
        <v>500</v>
      </c>
    </row>
    <row r="537" spans="1:20" x14ac:dyDescent="0.25">
      <c r="A537" s="36" t="s">
        <v>664</v>
      </c>
      <c r="B537" s="36"/>
      <c r="C537" s="36" t="s">
        <v>32</v>
      </c>
      <c r="D537" s="39">
        <v>45523</v>
      </c>
      <c r="E537" s="39">
        <v>45888</v>
      </c>
      <c r="F537" s="36" t="s">
        <v>1513</v>
      </c>
      <c r="G537" s="36" t="s">
        <v>61</v>
      </c>
      <c r="H537" s="38">
        <v>14960</v>
      </c>
      <c r="I537" s="40">
        <v>12466</v>
      </c>
      <c r="J537" s="40"/>
      <c r="K537" s="40"/>
      <c r="L537" s="40"/>
      <c r="M537" s="40"/>
      <c r="N537" s="36" t="s">
        <v>2249</v>
      </c>
      <c r="O537" s="37">
        <v>45523</v>
      </c>
      <c r="P537" s="44" t="s">
        <v>58</v>
      </c>
      <c r="Q537" s="38">
        <v>352000</v>
      </c>
      <c r="R537" s="33">
        <f t="shared" si="94"/>
        <v>1869.9</v>
      </c>
      <c r="S537" s="35">
        <f t="shared" si="93"/>
        <v>124.66</v>
      </c>
      <c r="T537" s="34">
        <v>500</v>
      </c>
    </row>
    <row r="538" spans="1:20" x14ac:dyDescent="0.25">
      <c r="A538" s="36" t="s">
        <v>665</v>
      </c>
      <c r="B538" s="36"/>
      <c r="C538" s="36" t="s">
        <v>34</v>
      </c>
      <c r="D538" s="39">
        <v>45523</v>
      </c>
      <c r="E538" s="39">
        <v>45888</v>
      </c>
      <c r="F538" s="36" t="s">
        <v>1514</v>
      </c>
      <c r="G538" s="36" t="s">
        <v>62</v>
      </c>
      <c r="H538" s="38">
        <v>9550</v>
      </c>
      <c r="I538" s="40">
        <v>7802</v>
      </c>
      <c r="J538" s="40"/>
      <c r="K538" s="40"/>
      <c r="L538" s="40"/>
      <c r="M538" s="40"/>
      <c r="N538" s="36" t="s">
        <v>2250</v>
      </c>
      <c r="O538" s="37">
        <v>45523</v>
      </c>
      <c r="P538" s="44" t="s">
        <v>58</v>
      </c>
      <c r="Q538" s="38">
        <v>382000</v>
      </c>
      <c r="R538" s="33">
        <f t="shared" si="94"/>
        <v>1170.3</v>
      </c>
      <c r="S538" s="35">
        <f t="shared" si="93"/>
        <v>78.02</v>
      </c>
      <c r="T538" s="34">
        <v>500</v>
      </c>
    </row>
    <row r="539" spans="1:20" x14ac:dyDescent="0.25">
      <c r="A539" s="36" t="s">
        <v>666</v>
      </c>
      <c r="B539" s="36"/>
      <c r="C539" s="36" t="s">
        <v>34</v>
      </c>
      <c r="D539" s="39">
        <v>45523</v>
      </c>
      <c r="E539" s="39">
        <v>45888</v>
      </c>
      <c r="F539" s="36" t="s">
        <v>1514</v>
      </c>
      <c r="G539" s="36" t="s">
        <v>62</v>
      </c>
      <c r="H539" s="38">
        <v>9550</v>
      </c>
      <c r="I539" s="40">
        <v>7802</v>
      </c>
      <c r="J539" s="40"/>
      <c r="K539" s="40"/>
      <c r="L539" s="40"/>
      <c r="M539" s="40"/>
      <c r="N539" s="36" t="s">
        <v>2250</v>
      </c>
      <c r="O539" s="37">
        <v>45523</v>
      </c>
      <c r="P539" s="44" t="s">
        <v>58</v>
      </c>
      <c r="Q539" s="38">
        <v>382000</v>
      </c>
      <c r="R539" s="33">
        <f t="shared" si="94"/>
        <v>1170.3</v>
      </c>
      <c r="S539" s="35">
        <f t="shared" si="93"/>
        <v>78.02</v>
      </c>
      <c r="T539" s="34">
        <v>500</v>
      </c>
    </row>
    <row r="540" spans="1:20" x14ac:dyDescent="0.25">
      <c r="A540" s="36" t="s">
        <v>667</v>
      </c>
      <c r="B540" s="36"/>
      <c r="C540" s="36" t="s">
        <v>32</v>
      </c>
      <c r="D540" s="39">
        <v>45523</v>
      </c>
      <c r="E540" s="39">
        <v>45888</v>
      </c>
      <c r="F540" s="36" t="s">
        <v>1515</v>
      </c>
      <c r="G540" s="36" t="s">
        <v>61</v>
      </c>
      <c r="H540" s="38">
        <v>14960</v>
      </c>
      <c r="I540" s="40">
        <v>12466</v>
      </c>
      <c r="J540" s="40"/>
      <c r="K540" s="40"/>
      <c r="L540" s="40"/>
      <c r="M540" s="40"/>
      <c r="N540" s="36" t="s">
        <v>2251</v>
      </c>
      <c r="O540" s="37">
        <v>45523</v>
      </c>
      <c r="P540" s="44" t="s">
        <v>58</v>
      </c>
      <c r="Q540" s="38">
        <v>352000</v>
      </c>
      <c r="R540" s="33">
        <f t="shared" si="94"/>
        <v>1869.9</v>
      </c>
      <c r="S540" s="35">
        <f t="shared" si="93"/>
        <v>124.66</v>
      </c>
      <c r="T540" s="34">
        <v>500</v>
      </c>
    </row>
    <row r="541" spans="1:20" x14ac:dyDescent="0.25">
      <c r="A541" s="36" t="s">
        <v>668</v>
      </c>
      <c r="B541" s="36"/>
      <c r="C541" s="36" t="s">
        <v>32</v>
      </c>
      <c r="D541" s="39">
        <v>45889</v>
      </c>
      <c r="E541" s="39">
        <v>46254</v>
      </c>
      <c r="F541" s="36" t="s">
        <v>1515</v>
      </c>
      <c r="G541" s="36" t="s">
        <v>61</v>
      </c>
      <c r="H541" s="38">
        <v>14960</v>
      </c>
      <c r="I541" s="40">
        <v>12466</v>
      </c>
      <c r="J541" s="40"/>
      <c r="K541" s="40"/>
      <c r="L541" s="40"/>
      <c r="M541" s="40"/>
      <c r="N541" s="36" t="s">
        <v>2251</v>
      </c>
      <c r="O541" s="37">
        <v>45523</v>
      </c>
      <c r="P541" s="44" t="s">
        <v>58</v>
      </c>
      <c r="Q541" s="38">
        <v>352000</v>
      </c>
      <c r="R541" s="33">
        <f t="shared" si="94"/>
        <v>1869.9</v>
      </c>
      <c r="S541" s="35">
        <f t="shared" si="93"/>
        <v>124.66</v>
      </c>
      <c r="T541" s="34">
        <v>500</v>
      </c>
    </row>
    <row r="542" spans="1:20" x14ac:dyDescent="0.25">
      <c r="A542" s="36" t="s">
        <v>669</v>
      </c>
      <c r="B542" s="36"/>
      <c r="C542" s="36" t="s">
        <v>34</v>
      </c>
      <c r="D542" s="39">
        <v>45523</v>
      </c>
      <c r="E542" s="39">
        <v>45888</v>
      </c>
      <c r="F542" s="36" t="s">
        <v>1516</v>
      </c>
      <c r="G542" s="36" t="s">
        <v>62</v>
      </c>
      <c r="H542" s="38">
        <v>9550</v>
      </c>
      <c r="I542" s="40">
        <v>7802</v>
      </c>
      <c r="J542" s="40"/>
      <c r="K542" s="40"/>
      <c r="L542" s="40"/>
      <c r="M542" s="40"/>
      <c r="N542" s="36" t="s">
        <v>2252</v>
      </c>
      <c r="O542" s="37">
        <v>45523</v>
      </c>
      <c r="P542" s="44" t="s">
        <v>58</v>
      </c>
      <c r="Q542" s="38">
        <v>382000</v>
      </c>
      <c r="R542" s="33">
        <f t="shared" si="94"/>
        <v>1170.3</v>
      </c>
      <c r="S542" s="35">
        <f t="shared" si="93"/>
        <v>78.02</v>
      </c>
      <c r="T542" s="34">
        <v>500</v>
      </c>
    </row>
    <row r="543" spans="1:20" x14ac:dyDescent="0.25">
      <c r="A543" s="36" t="s">
        <v>670</v>
      </c>
      <c r="B543" s="36"/>
      <c r="C543" s="36" t="s">
        <v>34</v>
      </c>
      <c r="D543" s="39">
        <v>45523</v>
      </c>
      <c r="E543" s="39">
        <v>45888</v>
      </c>
      <c r="F543" s="36" t="s">
        <v>1516</v>
      </c>
      <c r="G543" s="36" t="s">
        <v>62</v>
      </c>
      <c r="H543" s="38">
        <v>9550</v>
      </c>
      <c r="I543" s="40">
        <v>7802</v>
      </c>
      <c r="J543" s="40"/>
      <c r="K543" s="40"/>
      <c r="L543" s="40"/>
      <c r="M543" s="40"/>
      <c r="N543" s="36" t="s">
        <v>2252</v>
      </c>
      <c r="O543" s="37">
        <v>45523</v>
      </c>
      <c r="P543" s="44" t="s">
        <v>58</v>
      </c>
      <c r="Q543" s="38">
        <v>382000</v>
      </c>
      <c r="R543" s="33">
        <f t="shared" si="94"/>
        <v>1170.3</v>
      </c>
      <c r="S543" s="35">
        <f t="shared" si="93"/>
        <v>78.02</v>
      </c>
      <c r="T543" s="34">
        <v>500</v>
      </c>
    </row>
    <row r="544" spans="1:20" x14ac:dyDescent="0.25">
      <c r="A544" s="36" t="s">
        <v>671</v>
      </c>
      <c r="B544" s="36"/>
      <c r="C544" s="36" t="s">
        <v>34</v>
      </c>
      <c r="D544" s="39">
        <v>45523</v>
      </c>
      <c r="E544" s="39">
        <v>45888</v>
      </c>
      <c r="F544" s="36" t="s">
        <v>1517</v>
      </c>
      <c r="G544" s="36" t="s">
        <v>61</v>
      </c>
      <c r="H544" s="38">
        <v>8800</v>
      </c>
      <c r="I544" s="40">
        <v>7155</v>
      </c>
      <c r="J544" s="40"/>
      <c r="K544" s="40"/>
      <c r="L544" s="40"/>
      <c r="M544" s="40"/>
      <c r="N544" s="36" t="s">
        <v>2253</v>
      </c>
      <c r="O544" s="37">
        <v>45523</v>
      </c>
      <c r="P544" s="44" t="s">
        <v>58</v>
      </c>
      <c r="Q544" s="38">
        <v>352000</v>
      </c>
      <c r="R544" s="33">
        <f t="shared" si="94"/>
        <v>1073.25</v>
      </c>
      <c r="S544" s="35">
        <f t="shared" si="93"/>
        <v>71.55</v>
      </c>
      <c r="T544" s="34">
        <v>500</v>
      </c>
    </row>
    <row r="545" spans="1:20" x14ac:dyDescent="0.25">
      <c r="A545" s="36" t="s">
        <v>672</v>
      </c>
      <c r="B545" s="36"/>
      <c r="C545" s="36" t="s">
        <v>39</v>
      </c>
      <c r="D545" s="39">
        <v>45523</v>
      </c>
      <c r="E545" s="39">
        <v>45888</v>
      </c>
      <c r="F545" s="36" t="s">
        <v>1518</v>
      </c>
      <c r="G545" s="36" t="s">
        <v>64</v>
      </c>
      <c r="H545" s="38">
        <v>21208</v>
      </c>
      <c r="I545" s="40">
        <v>17852</v>
      </c>
      <c r="J545" s="40"/>
      <c r="K545" s="40"/>
      <c r="L545" s="40"/>
      <c r="M545" s="40"/>
      <c r="N545" s="36" t="s">
        <v>2254</v>
      </c>
      <c r="O545" s="37">
        <v>45523</v>
      </c>
      <c r="P545" s="44" t="s">
        <v>58</v>
      </c>
      <c r="Q545" s="38">
        <v>499000</v>
      </c>
      <c r="R545" s="33">
        <f t="shared" si="94"/>
        <v>2677.8</v>
      </c>
      <c r="S545" s="35">
        <f t="shared" si="93"/>
        <v>178.52</v>
      </c>
      <c r="T545" s="34">
        <v>500</v>
      </c>
    </row>
    <row r="546" spans="1:20" x14ac:dyDescent="0.25">
      <c r="A546" s="36" t="s">
        <v>673</v>
      </c>
      <c r="B546" s="36"/>
      <c r="C546" s="36" t="s">
        <v>39</v>
      </c>
      <c r="D546" s="39">
        <v>45889</v>
      </c>
      <c r="E546" s="39">
        <v>46254</v>
      </c>
      <c r="F546" s="36" t="s">
        <v>1518</v>
      </c>
      <c r="G546" s="36" t="s">
        <v>64</v>
      </c>
      <c r="H546" s="38">
        <v>21208</v>
      </c>
      <c r="I546" s="40">
        <v>17852</v>
      </c>
      <c r="J546" s="40"/>
      <c r="K546" s="40"/>
      <c r="L546" s="40"/>
      <c r="M546" s="40"/>
      <c r="N546" s="36" t="s">
        <v>2254</v>
      </c>
      <c r="O546" s="37">
        <v>45523</v>
      </c>
      <c r="P546" s="44" t="s">
        <v>58</v>
      </c>
      <c r="Q546" s="38">
        <v>499000</v>
      </c>
      <c r="R546" s="33">
        <f t="shared" si="94"/>
        <v>2677.8</v>
      </c>
      <c r="S546" s="35">
        <f t="shared" si="93"/>
        <v>178.52</v>
      </c>
      <c r="T546" s="34">
        <v>500</v>
      </c>
    </row>
    <row r="547" spans="1:20" x14ac:dyDescent="0.25">
      <c r="A547" s="36" t="s">
        <v>674</v>
      </c>
      <c r="B547" s="36"/>
      <c r="C547" s="36" t="s">
        <v>49</v>
      </c>
      <c r="D547" s="39">
        <v>45523</v>
      </c>
      <c r="E547" s="39">
        <v>45888</v>
      </c>
      <c r="F547" s="36" t="s">
        <v>1519</v>
      </c>
      <c r="G547" s="36" t="s">
        <v>61</v>
      </c>
      <c r="H547" s="38">
        <v>8800</v>
      </c>
      <c r="I547" s="40">
        <v>7155</v>
      </c>
      <c r="J547" s="40"/>
      <c r="K547" s="40"/>
      <c r="L547" s="40"/>
      <c r="M547" s="40"/>
      <c r="N547" s="36" t="s">
        <v>2255</v>
      </c>
      <c r="O547" s="37">
        <v>45523</v>
      </c>
      <c r="P547" s="44" t="s">
        <v>58</v>
      </c>
      <c r="Q547" s="38">
        <v>352000</v>
      </c>
      <c r="R547" s="33">
        <f t="shared" si="94"/>
        <v>1073.25</v>
      </c>
      <c r="S547" s="35">
        <f t="shared" si="93"/>
        <v>71.55</v>
      </c>
      <c r="T547" s="34">
        <v>500</v>
      </c>
    </row>
    <row r="548" spans="1:20" x14ac:dyDescent="0.25">
      <c r="A548" s="36" t="s">
        <v>675</v>
      </c>
      <c r="B548" s="36"/>
      <c r="C548" s="36" t="s">
        <v>34</v>
      </c>
      <c r="D548" s="39">
        <v>45523</v>
      </c>
      <c r="E548" s="39">
        <v>45888</v>
      </c>
      <c r="F548" s="36" t="s">
        <v>1520</v>
      </c>
      <c r="G548" s="36" t="s">
        <v>61</v>
      </c>
      <c r="H548" s="38">
        <v>8800</v>
      </c>
      <c r="I548" s="40">
        <v>7155</v>
      </c>
      <c r="J548" s="40"/>
      <c r="K548" s="40"/>
      <c r="L548" s="40"/>
      <c r="M548" s="40"/>
      <c r="N548" s="36" t="s">
        <v>2256</v>
      </c>
      <c r="O548" s="37">
        <v>45523</v>
      </c>
      <c r="P548" s="44" t="s">
        <v>58</v>
      </c>
      <c r="Q548" s="38">
        <v>352000</v>
      </c>
      <c r="R548" s="33">
        <f t="shared" si="94"/>
        <v>1073.25</v>
      </c>
      <c r="S548" s="35">
        <f t="shared" si="93"/>
        <v>71.55</v>
      </c>
      <c r="T548" s="34">
        <v>500</v>
      </c>
    </row>
    <row r="549" spans="1:20" x14ac:dyDescent="0.25">
      <c r="A549" s="36" t="s">
        <v>676</v>
      </c>
      <c r="B549" s="36"/>
      <c r="C549" s="36" t="s">
        <v>34</v>
      </c>
      <c r="D549" s="39">
        <v>45523</v>
      </c>
      <c r="E549" s="39">
        <v>45888</v>
      </c>
      <c r="F549" s="36" t="s">
        <v>1520</v>
      </c>
      <c r="G549" s="36" t="s">
        <v>61</v>
      </c>
      <c r="H549" s="38">
        <v>8800</v>
      </c>
      <c r="I549" s="40">
        <v>7155</v>
      </c>
      <c r="J549" s="40"/>
      <c r="K549" s="40"/>
      <c r="L549" s="40"/>
      <c r="M549" s="40"/>
      <c r="N549" s="36" t="s">
        <v>2256</v>
      </c>
      <c r="O549" s="37">
        <v>45523</v>
      </c>
      <c r="P549" s="44" t="s">
        <v>58</v>
      </c>
      <c r="Q549" s="38">
        <v>352000</v>
      </c>
      <c r="R549" s="33">
        <f t="shared" si="94"/>
        <v>1073.25</v>
      </c>
      <c r="S549" s="35">
        <f t="shared" si="93"/>
        <v>71.55</v>
      </c>
      <c r="T549" s="34">
        <v>500</v>
      </c>
    </row>
    <row r="550" spans="1:20" x14ac:dyDescent="0.25">
      <c r="A550" s="36" t="s">
        <v>677</v>
      </c>
      <c r="B550" s="36"/>
      <c r="C550" s="36" t="s">
        <v>32</v>
      </c>
      <c r="D550" s="39">
        <v>45523</v>
      </c>
      <c r="E550" s="39">
        <v>45888</v>
      </c>
      <c r="F550" s="36" t="s">
        <v>1521</v>
      </c>
      <c r="G550" s="36" t="s">
        <v>61</v>
      </c>
      <c r="H550" s="38">
        <v>14960</v>
      </c>
      <c r="I550" s="40">
        <v>12466</v>
      </c>
      <c r="J550" s="40"/>
      <c r="K550" s="40"/>
      <c r="L550" s="40"/>
      <c r="M550" s="40"/>
      <c r="N550" s="36" t="s">
        <v>2257</v>
      </c>
      <c r="O550" s="37">
        <v>45523</v>
      </c>
      <c r="P550" s="44" t="s">
        <v>58</v>
      </c>
      <c r="Q550" s="38">
        <v>352000</v>
      </c>
      <c r="R550" s="33">
        <f t="shared" si="94"/>
        <v>1869.9</v>
      </c>
      <c r="S550" s="35">
        <f t="shared" si="93"/>
        <v>124.66</v>
      </c>
      <c r="T550" s="34">
        <v>500</v>
      </c>
    </row>
    <row r="551" spans="1:20" x14ac:dyDescent="0.25">
      <c r="A551" s="36" t="s">
        <v>678</v>
      </c>
      <c r="B551" s="36"/>
      <c r="C551" s="36" t="s">
        <v>32</v>
      </c>
      <c r="D551" s="39">
        <v>45889</v>
      </c>
      <c r="E551" s="39">
        <v>46254</v>
      </c>
      <c r="F551" s="36" t="s">
        <v>1521</v>
      </c>
      <c r="G551" s="36" t="s">
        <v>61</v>
      </c>
      <c r="H551" s="38">
        <v>14960</v>
      </c>
      <c r="I551" s="40">
        <v>12466</v>
      </c>
      <c r="J551" s="40"/>
      <c r="K551" s="40"/>
      <c r="L551" s="40"/>
      <c r="M551" s="40"/>
      <c r="N551" s="36" t="s">
        <v>2257</v>
      </c>
      <c r="O551" s="37">
        <v>45523</v>
      </c>
      <c r="P551" s="44" t="s">
        <v>58</v>
      </c>
      <c r="Q551" s="38">
        <v>352000</v>
      </c>
      <c r="R551" s="33">
        <f t="shared" si="94"/>
        <v>1869.9</v>
      </c>
      <c r="S551" s="35">
        <f t="shared" si="93"/>
        <v>124.66</v>
      </c>
      <c r="T551" s="34">
        <v>500</v>
      </c>
    </row>
    <row r="552" spans="1:20" x14ac:dyDescent="0.25">
      <c r="A552" s="36" t="s">
        <v>679</v>
      </c>
      <c r="B552" s="36"/>
      <c r="C552" s="36" t="s">
        <v>34</v>
      </c>
      <c r="D552" s="39">
        <v>45523</v>
      </c>
      <c r="E552" s="39">
        <v>45888</v>
      </c>
      <c r="F552" s="36" t="s">
        <v>1522</v>
      </c>
      <c r="G552" s="36" t="s">
        <v>62</v>
      </c>
      <c r="H552" s="38">
        <v>9550</v>
      </c>
      <c r="I552" s="40">
        <v>7802</v>
      </c>
      <c r="J552" s="40"/>
      <c r="K552" s="40"/>
      <c r="L552" s="40"/>
      <c r="M552" s="40"/>
      <c r="N552" s="36" t="s">
        <v>2258</v>
      </c>
      <c r="O552" s="37">
        <v>45523</v>
      </c>
      <c r="P552" s="44" t="s">
        <v>58</v>
      </c>
      <c r="Q552" s="38">
        <v>382000</v>
      </c>
      <c r="R552" s="33">
        <f t="shared" si="94"/>
        <v>1170.3</v>
      </c>
      <c r="S552" s="35">
        <f t="shared" si="93"/>
        <v>78.02</v>
      </c>
      <c r="T552" s="34">
        <v>500</v>
      </c>
    </row>
    <row r="553" spans="1:20" x14ac:dyDescent="0.25">
      <c r="A553" s="36" t="s">
        <v>680</v>
      </c>
      <c r="B553" s="36"/>
      <c r="C553" s="36" t="s">
        <v>34</v>
      </c>
      <c r="D553" s="39">
        <v>45523</v>
      </c>
      <c r="E553" s="39">
        <v>45888</v>
      </c>
      <c r="F553" s="36" t="s">
        <v>1522</v>
      </c>
      <c r="G553" s="36" t="s">
        <v>62</v>
      </c>
      <c r="H553" s="38">
        <v>9550</v>
      </c>
      <c r="I553" s="40">
        <v>7802</v>
      </c>
      <c r="J553" s="40"/>
      <c r="K553" s="40"/>
      <c r="L553" s="40"/>
      <c r="M553" s="40"/>
      <c r="N553" s="36" t="s">
        <v>2258</v>
      </c>
      <c r="O553" s="37">
        <v>45523</v>
      </c>
      <c r="P553" s="44" t="s">
        <v>58</v>
      </c>
      <c r="Q553" s="38">
        <v>382000</v>
      </c>
      <c r="R553" s="33">
        <f t="shared" si="94"/>
        <v>1170.3</v>
      </c>
      <c r="S553" s="35">
        <f t="shared" si="93"/>
        <v>78.02</v>
      </c>
      <c r="T553" s="34">
        <v>500</v>
      </c>
    </row>
    <row r="554" spans="1:20" x14ac:dyDescent="0.25">
      <c r="A554" s="36" t="s">
        <v>681</v>
      </c>
      <c r="B554" s="36"/>
      <c r="C554" s="36" t="s">
        <v>34</v>
      </c>
      <c r="D554" s="39">
        <v>45523</v>
      </c>
      <c r="E554" s="39">
        <v>45888</v>
      </c>
      <c r="F554" s="36" t="s">
        <v>1523</v>
      </c>
      <c r="G554" s="36" t="s">
        <v>61</v>
      </c>
      <c r="H554" s="38">
        <v>8800</v>
      </c>
      <c r="I554" s="40">
        <v>7155</v>
      </c>
      <c r="J554" s="40"/>
      <c r="K554" s="40"/>
      <c r="L554" s="40"/>
      <c r="M554" s="40"/>
      <c r="N554" s="36" t="s">
        <v>2259</v>
      </c>
      <c r="O554" s="37">
        <v>45523</v>
      </c>
      <c r="P554" s="44" t="s">
        <v>58</v>
      </c>
      <c r="Q554" s="38">
        <v>352000</v>
      </c>
      <c r="R554" s="33">
        <f t="shared" si="94"/>
        <v>1073.25</v>
      </c>
      <c r="S554" s="35">
        <f t="shared" si="93"/>
        <v>71.55</v>
      </c>
      <c r="T554" s="34">
        <v>500</v>
      </c>
    </row>
    <row r="555" spans="1:20" x14ac:dyDescent="0.25">
      <c r="A555" s="36" t="s">
        <v>682</v>
      </c>
      <c r="B555" s="36"/>
      <c r="C555" s="36" t="s">
        <v>34</v>
      </c>
      <c r="D555" s="39">
        <v>45523</v>
      </c>
      <c r="E555" s="39">
        <v>45888</v>
      </c>
      <c r="F555" s="36" t="s">
        <v>1524</v>
      </c>
      <c r="G555" s="36" t="s">
        <v>61</v>
      </c>
      <c r="H555" s="38">
        <v>8800</v>
      </c>
      <c r="I555" s="40">
        <v>7155</v>
      </c>
      <c r="J555" s="40"/>
      <c r="K555" s="40"/>
      <c r="L555" s="40"/>
      <c r="M555" s="40"/>
      <c r="N555" s="36" t="s">
        <v>2260</v>
      </c>
      <c r="O555" s="37">
        <v>45523</v>
      </c>
      <c r="P555" s="44" t="s">
        <v>58</v>
      </c>
      <c r="Q555" s="38">
        <v>352000</v>
      </c>
      <c r="R555" s="33">
        <f t="shared" si="94"/>
        <v>1073.25</v>
      </c>
      <c r="S555" s="35">
        <f t="shared" si="93"/>
        <v>71.55</v>
      </c>
      <c r="T555" s="34">
        <v>500</v>
      </c>
    </row>
    <row r="556" spans="1:20" x14ac:dyDescent="0.25">
      <c r="A556" s="36" t="s">
        <v>683</v>
      </c>
      <c r="B556" s="36"/>
      <c r="C556" s="36" t="s">
        <v>34</v>
      </c>
      <c r="D556" s="39">
        <v>45523</v>
      </c>
      <c r="E556" s="39">
        <v>45888</v>
      </c>
      <c r="F556" s="36" t="s">
        <v>1525</v>
      </c>
      <c r="G556" s="36" t="s">
        <v>61</v>
      </c>
      <c r="H556" s="38">
        <v>8800</v>
      </c>
      <c r="I556" s="40">
        <v>7155</v>
      </c>
      <c r="J556" s="40"/>
      <c r="K556" s="40"/>
      <c r="L556" s="40"/>
      <c r="M556" s="40"/>
      <c r="N556" s="36" t="s">
        <v>2261</v>
      </c>
      <c r="O556" s="37">
        <v>45523</v>
      </c>
      <c r="P556" s="44" t="s">
        <v>58</v>
      </c>
      <c r="Q556" s="38">
        <v>352000</v>
      </c>
      <c r="R556" s="33">
        <f t="shared" si="94"/>
        <v>1073.25</v>
      </c>
      <c r="S556" s="35">
        <f t="shared" si="93"/>
        <v>71.55</v>
      </c>
      <c r="T556" s="34">
        <v>500</v>
      </c>
    </row>
    <row r="557" spans="1:20" x14ac:dyDescent="0.25">
      <c r="A557" s="36" t="s">
        <v>684</v>
      </c>
      <c r="B557" s="36"/>
      <c r="C557" s="36" t="s">
        <v>30</v>
      </c>
      <c r="D557" s="39">
        <v>45523</v>
      </c>
      <c r="E557" s="39">
        <v>45888</v>
      </c>
      <c r="F557" s="36" t="s">
        <v>1526</v>
      </c>
      <c r="G557" s="36" t="s">
        <v>61</v>
      </c>
      <c r="H557" s="38">
        <v>14960</v>
      </c>
      <c r="I557" s="40">
        <v>12466</v>
      </c>
      <c r="J557" s="40"/>
      <c r="K557" s="40"/>
      <c r="L557" s="40"/>
      <c r="M557" s="40"/>
      <c r="N557" s="36" t="s">
        <v>2262</v>
      </c>
      <c r="O557" s="37">
        <v>45523</v>
      </c>
      <c r="P557" s="44" t="s">
        <v>58</v>
      </c>
      <c r="Q557" s="38">
        <v>352000</v>
      </c>
      <c r="R557" s="33">
        <f t="shared" si="94"/>
        <v>1869.9</v>
      </c>
      <c r="S557" s="35">
        <f t="shared" si="93"/>
        <v>124.66</v>
      </c>
      <c r="T557" s="34">
        <v>500</v>
      </c>
    </row>
    <row r="558" spans="1:20" x14ac:dyDescent="0.25">
      <c r="A558" s="36" t="s">
        <v>685</v>
      </c>
      <c r="B558" s="36"/>
      <c r="C558" s="36" t="s">
        <v>30</v>
      </c>
      <c r="D558" s="39">
        <v>45889</v>
      </c>
      <c r="E558" s="39">
        <v>46254</v>
      </c>
      <c r="F558" s="36" t="s">
        <v>1526</v>
      </c>
      <c r="G558" s="36" t="s">
        <v>61</v>
      </c>
      <c r="H558" s="38">
        <v>14960</v>
      </c>
      <c r="I558" s="40">
        <v>12466</v>
      </c>
      <c r="J558" s="40"/>
      <c r="K558" s="40"/>
      <c r="L558" s="40"/>
      <c r="M558" s="40"/>
      <c r="N558" s="36" t="s">
        <v>2262</v>
      </c>
      <c r="O558" s="37">
        <v>45523</v>
      </c>
      <c r="P558" s="44" t="s">
        <v>58</v>
      </c>
      <c r="Q558" s="38">
        <v>352000</v>
      </c>
      <c r="R558" s="33">
        <f t="shared" si="94"/>
        <v>1869.9</v>
      </c>
      <c r="S558" s="35">
        <f t="shared" si="93"/>
        <v>124.66</v>
      </c>
      <c r="T558" s="34">
        <v>500</v>
      </c>
    </row>
    <row r="559" spans="1:20" x14ac:dyDescent="0.25">
      <c r="A559" s="36" t="s">
        <v>686</v>
      </c>
      <c r="B559" s="36"/>
      <c r="C559" s="36" t="s">
        <v>34</v>
      </c>
      <c r="D559" s="39">
        <v>45523</v>
      </c>
      <c r="E559" s="39">
        <v>45888</v>
      </c>
      <c r="F559" s="36" t="s">
        <v>1186</v>
      </c>
      <c r="G559" s="36" t="s">
        <v>61</v>
      </c>
      <c r="H559" s="38">
        <v>8800</v>
      </c>
      <c r="I559" s="40">
        <v>7155</v>
      </c>
      <c r="J559" s="40"/>
      <c r="K559" s="40"/>
      <c r="L559" s="40"/>
      <c r="M559" s="40"/>
      <c r="N559" s="36" t="s">
        <v>2263</v>
      </c>
      <c r="O559" s="37">
        <v>45523</v>
      </c>
      <c r="P559" s="44" t="s">
        <v>58</v>
      </c>
      <c r="Q559" s="38">
        <v>352000</v>
      </c>
      <c r="R559" s="33">
        <f t="shared" si="94"/>
        <v>1073.25</v>
      </c>
      <c r="S559" s="35">
        <f t="shared" si="93"/>
        <v>71.55</v>
      </c>
      <c r="T559" s="34">
        <v>500</v>
      </c>
    </row>
    <row r="560" spans="1:20" x14ac:dyDescent="0.25">
      <c r="A560" s="36" t="s">
        <v>687</v>
      </c>
      <c r="B560" s="36"/>
      <c r="C560" s="36" t="s">
        <v>32</v>
      </c>
      <c r="D560" s="39">
        <v>45523</v>
      </c>
      <c r="E560" s="39">
        <v>45888</v>
      </c>
      <c r="F560" s="36" t="s">
        <v>1527</v>
      </c>
      <c r="G560" s="36" t="s">
        <v>63</v>
      </c>
      <c r="H560" s="38">
        <v>23248</v>
      </c>
      <c r="I560" s="40">
        <v>19610</v>
      </c>
      <c r="J560" s="40"/>
      <c r="K560" s="40"/>
      <c r="L560" s="40"/>
      <c r="M560" s="40"/>
      <c r="N560" s="36" t="s">
        <v>2264</v>
      </c>
      <c r="O560" s="37">
        <v>45523</v>
      </c>
      <c r="P560" s="44" t="s">
        <v>58</v>
      </c>
      <c r="Q560" s="38">
        <v>547000</v>
      </c>
      <c r="R560" s="33">
        <f t="shared" si="94"/>
        <v>2941.5</v>
      </c>
      <c r="S560" s="35">
        <f t="shared" si="93"/>
        <v>196.1</v>
      </c>
      <c r="T560" s="34">
        <v>500</v>
      </c>
    </row>
    <row r="561" spans="1:20" x14ac:dyDescent="0.25">
      <c r="A561" s="36" t="s">
        <v>688</v>
      </c>
      <c r="B561" s="36"/>
      <c r="C561" s="36" t="s">
        <v>32</v>
      </c>
      <c r="D561" s="39">
        <v>45889</v>
      </c>
      <c r="E561" s="39">
        <v>46254</v>
      </c>
      <c r="F561" s="36" t="s">
        <v>1527</v>
      </c>
      <c r="G561" s="36" t="s">
        <v>63</v>
      </c>
      <c r="H561" s="38">
        <v>23248</v>
      </c>
      <c r="I561" s="40">
        <v>19610</v>
      </c>
      <c r="J561" s="40"/>
      <c r="K561" s="40"/>
      <c r="L561" s="40"/>
      <c r="M561" s="40"/>
      <c r="N561" s="36" t="s">
        <v>2264</v>
      </c>
      <c r="O561" s="37">
        <v>45523</v>
      </c>
      <c r="P561" s="44" t="s">
        <v>58</v>
      </c>
      <c r="Q561" s="38">
        <v>547000</v>
      </c>
      <c r="R561" s="33">
        <f t="shared" si="94"/>
        <v>2941.5</v>
      </c>
      <c r="S561" s="35">
        <f t="shared" si="93"/>
        <v>196.1</v>
      </c>
      <c r="T561" s="34">
        <v>500</v>
      </c>
    </row>
    <row r="562" spans="1:20" x14ac:dyDescent="0.25">
      <c r="A562" s="36" t="s">
        <v>689</v>
      </c>
      <c r="B562" s="36"/>
      <c r="C562" s="36" t="s">
        <v>34</v>
      </c>
      <c r="D562" s="39">
        <v>45523</v>
      </c>
      <c r="E562" s="39">
        <v>45888</v>
      </c>
      <c r="F562" s="36" t="s">
        <v>1528</v>
      </c>
      <c r="G562" s="36" t="s">
        <v>62</v>
      </c>
      <c r="H562" s="38">
        <v>9550</v>
      </c>
      <c r="I562" s="40">
        <v>7802</v>
      </c>
      <c r="J562" s="40"/>
      <c r="K562" s="40"/>
      <c r="L562" s="40"/>
      <c r="M562" s="40"/>
      <c r="N562" s="36" t="s">
        <v>2265</v>
      </c>
      <c r="O562" s="37">
        <v>45523</v>
      </c>
      <c r="P562" s="44" t="s">
        <v>58</v>
      </c>
      <c r="Q562" s="38">
        <v>382000</v>
      </c>
      <c r="R562" s="33">
        <f t="shared" si="94"/>
        <v>1170.3</v>
      </c>
      <c r="S562" s="35">
        <f t="shared" si="93"/>
        <v>78.02</v>
      </c>
      <c r="T562" s="34">
        <v>500</v>
      </c>
    </row>
    <row r="563" spans="1:20" x14ac:dyDescent="0.25">
      <c r="A563" s="36" t="s">
        <v>690</v>
      </c>
      <c r="B563" s="36"/>
      <c r="C563" s="36" t="s">
        <v>34</v>
      </c>
      <c r="D563" s="39">
        <v>45523</v>
      </c>
      <c r="E563" s="39">
        <v>45888</v>
      </c>
      <c r="F563" s="36" t="s">
        <v>1528</v>
      </c>
      <c r="G563" s="36" t="s">
        <v>62</v>
      </c>
      <c r="H563" s="38">
        <v>9550</v>
      </c>
      <c r="I563" s="40">
        <v>7802</v>
      </c>
      <c r="J563" s="40"/>
      <c r="K563" s="40"/>
      <c r="L563" s="40"/>
      <c r="M563" s="40"/>
      <c r="N563" s="36" t="s">
        <v>2265</v>
      </c>
      <c r="O563" s="37">
        <v>45523</v>
      </c>
      <c r="P563" s="44" t="s">
        <v>58</v>
      </c>
      <c r="Q563" s="38">
        <v>382000</v>
      </c>
      <c r="R563" s="33">
        <f t="shared" si="94"/>
        <v>1170.3</v>
      </c>
      <c r="S563" s="35">
        <f t="shared" si="93"/>
        <v>78.02</v>
      </c>
      <c r="T563" s="34">
        <v>500</v>
      </c>
    </row>
    <row r="564" spans="1:20" x14ac:dyDescent="0.25">
      <c r="A564" s="36" t="s">
        <v>691</v>
      </c>
      <c r="B564" s="36"/>
      <c r="C564" s="36" t="s">
        <v>32</v>
      </c>
      <c r="D564" s="39">
        <v>45523</v>
      </c>
      <c r="E564" s="39">
        <v>45888</v>
      </c>
      <c r="F564" s="36" t="s">
        <v>1529</v>
      </c>
      <c r="G564" s="36" t="s">
        <v>63</v>
      </c>
      <c r="H564" s="38">
        <v>23248</v>
      </c>
      <c r="I564" s="40">
        <v>19610</v>
      </c>
      <c r="J564" s="40"/>
      <c r="K564" s="40"/>
      <c r="L564" s="40"/>
      <c r="M564" s="40"/>
      <c r="N564" s="36" t="s">
        <v>2266</v>
      </c>
      <c r="O564" s="37">
        <v>45523</v>
      </c>
      <c r="P564" s="44" t="s">
        <v>58</v>
      </c>
      <c r="Q564" s="38">
        <v>547000</v>
      </c>
      <c r="R564" s="33">
        <f t="shared" si="94"/>
        <v>2941.5</v>
      </c>
      <c r="S564" s="35">
        <f t="shared" si="93"/>
        <v>196.1</v>
      </c>
      <c r="T564" s="34">
        <v>500</v>
      </c>
    </row>
    <row r="565" spans="1:20" x14ac:dyDescent="0.25">
      <c r="A565" s="36" t="s">
        <v>692</v>
      </c>
      <c r="B565" s="36"/>
      <c r="C565" s="36" t="s">
        <v>32</v>
      </c>
      <c r="D565" s="39">
        <v>45889</v>
      </c>
      <c r="E565" s="39">
        <v>46254</v>
      </c>
      <c r="F565" s="36" t="s">
        <v>1529</v>
      </c>
      <c r="G565" s="36" t="s">
        <v>63</v>
      </c>
      <c r="H565" s="38">
        <v>23248</v>
      </c>
      <c r="I565" s="40">
        <v>19610</v>
      </c>
      <c r="J565" s="40"/>
      <c r="K565" s="40"/>
      <c r="L565" s="40"/>
      <c r="M565" s="40"/>
      <c r="N565" s="36" t="s">
        <v>2266</v>
      </c>
      <c r="O565" s="37">
        <v>45523</v>
      </c>
      <c r="P565" s="44" t="s">
        <v>58</v>
      </c>
      <c r="Q565" s="38">
        <v>547000</v>
      </c>
      <c r="R565" s="33">
        <f t="shared" si="94"/>
        <v>2941.5</v>
      </c>
      <c r="S565" s="35">
        <f t="shared" si="93"/>
        <v>196.1</v>
      </c>
      <c r="T565" s="34">
        <v>500</v>
      </c>
    </row>
    <row r="566" spans="1:20" x14ac:dyDescent="0.25">
      <c r="A566" s="36" t="s">
        <v>693</v>
      </c>
      <c r="B566" s="36"/>
      <c r="C566" s="36" t="s">
        <v>31</v>
      </c>
      <c r="D566" s="39">
        <v>45523</v>
      </c>
      <c r="E566" s="39">
        <v>45888</v>
      </c>
      <c r="F566" s="36" t="s">
        <v>1530</v>
      </c>
      <c r="G566" s="36" t="s">
        <v>61</v>
      </c>
      <c r="H566" s="38">
        <v>14960</v>
      </c>
      <c r="I566" s="40">
        <v>12466</v>
      </c>
      <c r="J566" s="40"/>
      <c r="K566" s="40"/>
      <c r="L566" s="40"/>
      <c r="M566" s="40"/>
      <c r="N566" s="36" t="s">
        <v>2267</v>
      </c>
      <c r="O566" s="37">
        <v>45523</v>
      </c>
      <c r="P566" s="44" t="s">
        <v>58</v>
      </c>
      <c r="Q566" s="38">
        <v>352000</v>
      </c>
      <c r="R566" s="33">
        <f t="shared" si="94"/>
        <v>1869.9</v>
      </c>
      <c r="S566" s="35">
        <f t="shared" si="93"/>
        <v>124.66</v>
      </c>
      <c r="T566" s="34">
        <v>500</v>
      </c>
    </row>
    <row r="567" spans="1:20" x14ac:dyDescent="0.25">
      <c r="A567" s="36" t="s">
        <v>694</v>
      </c>
      <c r="B567" s="36"/>
      <c r="C567" s="36" t="s">
        <v>71</v>
      </c>
      <c r="D567" s="39">
        <v>45523</v>
      </c>
      <c r="E567" s="39">
        <v>45888</v>
      </c>
      <c r="F567" s="36" t="s">
        <v>1531</v>
      </c>
      <c r="G567" s="36" t="s">
        <v>61</v>
      </c>
      <c r="H567" s="38">
        <v>8800</v>
      </c>
      <c r="I567" s="40">
        <v>7155</v>
      </c>
      <c r="J567" s="40"/>
      <c r="K567" s="40"/>
      <c r="L567" s="40"/>
      <c r="M567" s="40"/>
      <c r="N567" s="36" t="s">
        <v>2268</v>
      </c>
      <c r="O567" s="37">
        <v>45523</v>
      </c>
      <c r="P567" s="44" t="s">
        <v>58</v>
      </c>
      <c r="Q567" s="38">
        <v>352000</v>
      </c>
      <c r="R567" s="33">
        <f t="shared" si="94"/>
        <v>1073.25</v>
      </c>
      <c r="S567" s="35">
        <f t="shared" si="93"/>
        <v>71.55</v>
      </c>
      <c r="T567" s="34">
        <v>500</v>
      </c>
    </row>
    <row r="568" spans="1:20" x14ac:dyDescent="0.25">
      <c r="A568" s="36" t="s">
        <v>695</v>
      </c>
      <c r="B568" s="36"/>
      <c r="C568" s="36" t="s">
        <v>34</v>
      </c>
      <c r="D568" s="39">
        <v>45523</v>
      </c>
      <c r="E568" s="39">
        <v>45888</v>
      </c>
      <c r="F568" s="36" t="s">
        <v>84</v>
      </c>
      <c r="G568" s="36" t="s">
        <v>64</v>
      </c>
      <c r="H568" s="38">
        <v>12475</v>
      </c>
      <c r="I568" s="40">
        <v>10323</v>
      </c>
      <c r="J568" s="40"/>
      <c r="K568" s="40"/>
      <c r="L568" s="40"/>
      <c r="M568" s="40"/>
      <c r="N568" s="36" t="s">
        <v>2269</v>
      </c>
      <c r="O568" s="37">
        <v>45523</v>
      </c>
      <c r="P568" s="44" t="s">
        <v>58</v>
      </c>
      <c r="Q568" s="38">
        <v>499000</v>
      </c>
      <c r="R568" s="33">
        <f t="shared" si="94"/>
        <v>1548.45</v>
      </c>
      <c r="S568" s="35">
        <f t="shared" si="93"/>
        <v>103.23</v>
      </c>
      <c r="T568" s="34">
        <v>500</v>
      </c>
    </row>
    <row r="569" spans="1:20" x14ac:dyDescent="0.25">
      <c r="A569" s="36" t="s">
        <v>696</v>
      </c>
      <c r="B569" s="36"/>
      <c r="C569" s="36" t="s">
        <v>53</v>
      </c>
      <c r="D569" s="39">
        <v>45523</v>
      </c>
      <c r="E569" s="39">
        <v>45888</v>
      </c>
      <c r="F569" s="36" t="s">
        <v>1532</v>
      </c>
      <c r="G569" s="36" t="s">
        <v>61</v>
      </c>
      <c r="H569" s="38">
        <v>8800</v>
      </c>
      <c r="I569" s="40">
        <v>7155</v>
      </c>
      <c r="J569" s="40"/>
      <c r="K569" s="40"/>
      <c r="L569" s="40"/>
      <c r="M569" s="40"/>
      <c r="N569" s="36" t="s">
        <v>2270</v>
      </c>
      <c r="O569" s="37">
        <v>45523</v>
      </c>
      <c r="P569" s="44" t="s">
        <v>58</v>
      </c>
      <c r="Q569" s="38">
        <v>352000</v>
      </c>
      <c r="R569" s="33">
        <f t="shared" si="94"/>
        <v>1073.25</v>
      </c>
      <c r="S569" s="35">
        <f t="shared" si="93"/>
        <v>71.55</v>
      </c>
      <c r="T569" s="34">
        <v>500</v>
      </c>
    </row>
    <row r="570" spans="1:20" x14ac:dyDescent="0.25">
      <c r="A570" s="36" t="s">
        <v>697</v>
      </c>
      <c r="B570" s="36"/>
      <c r="C570" s="36" t="s">
        <v>33</v>
      </c>
      <c r="D570" s="39">
        <v>45523</v>
      </c>
      <c r="E570" s="39">
        <v>45888</v>
      </c>
      <c r="F570" s="36" t="s">
        <v>96</v>
      </c>
      <c r="G570" s="36" t="s">
        <v>62</v>
      </c>
      <c r="H570" s="38">
        <v>16235</v>
      </c>
      <c r="I570" s="40">
        <v>13565</v>
      </c>
      <c r="J570" s="40"/>
      <c r="K570" s="40"/>
      <c r="L570" s="40"/>
      <c r="M570" s="40"/>
      <c r="N570" s="36" t="s">
        <v>2271</v>
      </c>
      <c r="O570" s="37">
        <v>45523</v>
      </c>
      <c r="P570" s="44" t="s">
        <v>58</v>
      </c>
      <c r="Q570" s="38">
        <v>382000</v>
      </c>
      <c r="R570" s="33">
        <f t="shared" si="94"/>
        <v>2034.75</v>
      </c>
      <c r="S570" s="35">
        <f t="shared" si="93"/>
        <v>135.65</v>
      </c>
      <c r="T570" s="34">
        <v>500</v>
      </c>
    </row>
    <row r="571" spans="1:20" x14ac:dyDescent="0.25">
      <c r="A571" s="36" t="s">
        <v>698</v>
      </c>
      <c r="B571" s="36"/>
      <c r="C571" s="36" t="s">
        <v>52</v>
      </c>
      <c r="D571" s="39">
        <v>45523</v>
      </c>
      <c r="E571" s="39">
        <v>45888</v>
      </c>
      <c r="F571" s="36" t="s">
        <v>1533</v>
      </c>
      <c r="G571" s="36" t="s">
        <v>61</v>
      </c>
      <c r="H571" s="38">
        <v>14960</v>
      </c>
      <c r="I571" s="40">
        <v>12466</v>
      </c>
      <c r="J571" s="40"/>
      <c r="K571" s="40"/>
      <c r="L571" s="40"/>
      <c r="M571" s="40"/>
      <c r="N571" s="36" t="s">
        <v>2272</v>
      </c>
      <c r="O571" s="37">
        <v>45523</v>
      </c>
      <c r="P571" s="44" t="s">
        <v>58</v>
      </c>
      <c r="Q571" s="38">
        <v>352000</v>
      </c>
      <c r="R571" s="33">
        <f t="shared" si="94"/>
        <v>1869.9</v>
      </c>
      <c r="S571" s="35">
        <f t="shared" si="93"/>
        <v>124.66</v>
      </c>
      <c r="T571" s="34">
        <v>500</v>
      </c>
    </row>
    <row r="572" spans="1:20" x14ac:dyDescent="0.25">
      <c r="A572" s="36" t="s">
        <v>699</v>
      </c>
      <c r="B572" s="36"/>
      <c r="C572" s="36" t="s">
        <v>53</v>
      </c>
      <c r="D572" s="39">
        <v>45523</v>
      </c>
      <c r="E572" s="39">
        <v>45888</v>
      </c>
      <c r="F572" s="36" t="s">
        <v>1534</v>
      </c>
      <c r="G572" s="36" t="s">
        <v>63</v>
      </c>
      <c r="H572" s="38">
        <v>13675</v>
      </c>
      <c r="I572" s="40">
        <v>11358</v>
      </c>
      <c r="J572" s="40"/>
      <c r="K572" s="40"/>
      <c r="L572" s="40"/>
      <c r="M572" s="40"/>
      <c r="N572" s="36" t="s">
        <v>2273</v>
      </c>
      <c r="O572" s="37">
        <v>45523</v>
      </c>
      <c r="P572" s="44" t="s">
        <v>58</v>
      </c>
      <c r="Q572" s="38">
        <v>547000</v>
      </c>
      <c r="R572" s="33">
        <f t="shared" si="94"/>
        <v>1703.7</v>
      </c>
      <c r="S572" s="35">
        <f t="shared" si="93"/>
        <v>113.58</v>
      </c>
      <c r="T572" s="34">
        <v>500</v>
      </c>
    </row>
    <row r="573" spans="1:20" x14ac:dyDescent="0.25">
      <c r="A573" s="36" t="s">
        <v>700</v>
      </c>
      <c r="B573" s="36"/>
      <c r="C573" s="36" t="s">
        <v>52</v>
      </c>
      <c r="D573" s="39">
        <v>45523</v>
      </c>
      <c r="E573" s="39">
        <v>45888</v>
      </c>
      <c r="F573" s="36" t="s">
        <v>1535</v>
      </c>
      <c r="G573" s="36" t="s">
        <v>61</v>
      </c>
      <c r="H573" s="38">
        <v>14960</v>
      </c>
      <c r="I573" s="40">
        <v>12466</v>
      </c>
      <c r="J573" s="40"/>
      <c r="K573" s="40"/>
      <c r="L573" s="40"/>
      <c r="M573" s="40"/>
      <c r="N573" s="36" t="s">
        <v>2274</v>
      </c>
      <c r="O573" s="37">
        <v>45523</v>
      </c>
      <c r="P573" s="44" t="s">
        <v>58</v>
      </c>
      <c r="Q573" s="38">
        <v>352000</v>
      </c>
      <c r="R573" s="33">
        <f t="shared" si="94"/>
        <v>1869.9</v>
      </c>
      <c r="S573" s="35">
        <f t="shared" si="93"/>
        <v>124.66</v>
      </c>
      <c r="T573" s="34">
        <v>500</v>
      </c>
    </row>
    <row r="574" spans="1:20" x14ac:dyDescent="0.25">
      <c r="A574" s="36" t="s">
        <v>701</v>
      </c>
      <c r="B574" s="36"/>
      <c r="C574" s="36" t="s">
        <v>32</v>
      </c>
      <c r="D574" s="39">
        <v>45523</v>
      </c>
      <c r="E574" s="39">
        <v>45888</v>
      </c>
      <c r="F574" s="36" t="s">
        <v>1536</v>
      </c>
      <c r="G574" s="36" t="s">
        <v>61</v>
      </c>
      <c r="H574" s="38">
        <v>14960</v>
      </c>
      <c r="I574" s="40">
        <v>12466</v>
      </c>
      <c r="J574" s="40"/>
      <c r="K574" s="40"/>
      <c r="L574" s="40"/>
      <c r="M574" s="40"/>
      <c r="N574" s="36" t="s">
        <v>2275</v>
      </c>
      <c r="O574" s="37">
        <v>45523</v>
      </c>
      <c r="P574" s="44" t="s">
        <v>58</v>
      </c>
      <c r="Q574" s="38">
        <v>352000</v>
      </c>
      <c r="R574" s="33">
        <f t="shared" si="94"/>
        <v>1869.9</v>
      </c>
      <c r="S574" s="35">
        <f t="shared" si="93"/>
        <v>124.66</v>
      </c>
      <c r="T574" s="34">
        <v>500</v>
      </c>
    </row>
    <row r="575" spans="1:20" x14ac:dyDescent="0.25">
      <c r="A575" s="36" t="s">
        <v>702</v>
      </c>
      <c r="B575" s="36"/>
      <c r="C575" s="36" t="s">
        <v>32</v>
      </c>
      <c r="D575" s="39">
        <v>45889</v>
      </c>
      <c r="E575" s="39">
        <v>46254</v>
      </c>
      <c r="F575" s="36" t="s">
        <v>1536</v>
      </c>
      <c r="G575" s="36" t="s">
        <v>61</v>
      </c>
      <c r="H575" s="38">
        <v>14960</v>
      </c>
      <c r="I575" s="40">
        <v>12466</v>
      </c>
      <c r="J575" s="40"/>
      <c r="K575" s="40"/>
      <c r="L575" s="40"/>
      <c r="M575" s="40"/>
      <c r="N575" s="36" t="s">
        <v>2275</v>
      </c>
      <c r="O575" s="37">
        <v>45523</v>
      </c>
      <c r="P575" s="44" t="s">
        <v>58</v>
      </c>
      <c r="Q575" s="38">
        <v>352000</v>
      </c>
      <c r="R575" s="33">
        <f t="shared" si="94"/>
        <v>1869.9</v>
      </c>
      <c r="S575" s="35">
        <f t="shared" si="93"/>
        <v>124.66</v>
      </c>
      <c r="T575" s="34">
        <v>500</v>
      </c>
    </row>
    <row r="576" spans="1:20" x14ac:dyDescent="0.25">
      <c r="A576" s="36" t="s">
        <v>703</v>
      </c>
      <c r="B576" s="36"/>
      <c r="C576" s="36" t="s">
        <v>49</v>
      </c>
      <c r="D576" s="39">
        <v>45523</v>
      </c>
      <c r="E576" s="39">
        <v>45888</v>
      </c>
      <c r="F576" s="36" t="s">
        <v>1537</v>
      </c>
      <c r="G576" s="36" t="s">
        <v>62</v>
      </c>
      <c r="H576" s="38">
        <v>9550</v>
      </c>
      <c r="I576" s="40">
        <v>7802</v>
      </c>
      <c r="J576" s="40"/>
      <c r="K576" s="40"/>
      <c r="L576" s="40"/>
      <c r="M576" s="40"/>
      <c r="N576" s="36" t="s">
        <v>2276</v>
      </c>
      <c r="O576" s="37">
        <v>45523</v>
      </c>
      <c r="P576" s="44" t="s">
        <v>58</v>
      </c>
      <c r="Q576" s="38">
        <v>382000</v>
      </c>
      <c r="R576" s="33">
        <f t="shared" si="94"/>
        <v>1170.3</v>
      </c>
      <c r="S576" s="35">
        <f t="shared" si="93"/>
        <v>78.02</v>
      </c>
      <c r="T576" s="34">
        <v>500</v>
      </c>
    </row>
    <row r="577" spans="1:20" x14ac:dyDescent="0.25">
      <c r="A577" s="36" t="s">
        <v>704</v>
      </c>
      <c r="B577" s="36"/>
      <c r="C577" s="36" t="s">
        <v>30</v>
      </c>
      <c r="D577" s="39">
        <v>45524</v>
      </c>
      <c r="E577" s="39">
        <v>45889</v>
      </c>
      <c r="F577" s="36" t="s">
        <v>1538</v>
      </c>
      <c r="G577" s="36" t="s">
        <v>61</v>
      </c>
      <c r="H577" s="38">
        <v>14960</v>
      </c>
      <c r="I577" s="40">
        <v>12466</v>
      </c>
      <c r="J577" s="40"/>
      <c r="K577" s="40"/>
      <c r="L577" s="40"/>
      <c r="M577" s="40"/>
      <c r="N577" s="36" t="s">
        <v>2277</v>
      </c>
      <c r="O577" s="37">
        <v>45524</v>
      </c>
      <c r="P577" s="44" t="s">
        <v>58</v>
      </c>
      <c r="Q577" s="38">
        <v>352000</v>
      </c>
      <c r="R577" s="33">
        <f t="shared" si="94"/>
        <v>1869.9</v>
      </c>
      <c r="S577" s="35">
        <f t="shared" si="93"/>
        <v>124.66</v>
      </c>
      <c r="T577" s="34">
        <v>500</v>
      </c>
    </row>
    <row r="578" spans="1:20" x14ac:dyDescent="0.25">
      <c r="A578" s="36" t="s">
        <v>705</v>
      </c>
      <c r="B578" s="36"/>
      <c r="C578" s="36" t="s">
        <v>30</v>
      </c>
      <c r="D578" s="39">
        <v>45890</v>
      </c>
      <c r="E578" s="39">
        <v>46255</v>
      </c>
      <c r="F578" s="36" t="s">
        <v>1538</v>
      </c>
      <c r="G578" s="36" t="s">
        <v>61</v>
      </c>
      <c r="H578" s="38">
        <v>14960</v>
      </c>
      <c r="I578" s="40">
        <v>12466</v>
      </c>
      <c r="J578" s="40"/>
      <c r="K578" s="40"/>
      <c r="L578" s="40"/>
      <c r="M578" s="40"/>
      <c r="N578" s="36" t="s">
        <v>2277</v>
      </c>
      <c r="O578" s="37">
        <v>45524</v>
      </c>
      <c r="P578" s="44" t="s">
        <v>58</v>
      </c>
      <c r="Q578" s="38">
        <v>352000</v>
      </c>
      <c r="R578" s="33">
        <f t="shared" si="94"/>
        <v>1869.9</v>
      </c>
      <c r="S578" s="35">
        <f t="shared" si="93"/>
        <v>124.66</v>
      </c>
      <c r="T578" s="34">
        <v>500</v>
      </c>
    </row>
    <row r="579" spans="1:20" x14ac:dyDescent="0.25">
      <c r="A579" s="36" t="s">
        <v>706</v>
      </c>
      <c r="B579" s="36"/>
      <c r="C579" s="36" t="s">
        <v>70</v>
      </c>
      <c r="D579" s="39">
        <v>45524</v>
      </c>
      <c r="E579" s="39">
        <v>45889</v>
      </c>
      <c r="F579" s="36" t="s">
        <v>1539</v>
      </c>
      <c r="G579" s="36" t="s">
        <v>61</v>
      </c>
      <c r="H579" s="38">
        <v>8800</v>
      </c>
      <c r="I579" s="40">
        <v>7155</v>
      </c>
      <c r="J579" s="40"/>
      <c r="K579" s="40"/>
      <c r="L579" s="40"/>
      <c r="M579" s="40"/>
      <c r="N579" s="36" t="s">
        <v>2278</v>
      </c>
      <c r="O579" s="37">
        <v>45524</v>
      </c>
      <c r="P579" s="44" t="s">
        <v>58</v>
      </c>
      <c r="Q579" s="38">
        <v>352000</v>
      </c>
      <c r="R579" s="33">
        <f t="shared" si="94"/>
        <v>1073.25</v>
      </c>
      <c r="S579" s="35">
        <f t="shared" ref="S579:S642" si="95">I579*1/100</f>
        <v>71.55</v>
      </c>
      <c r="T579" s="34">
        <v>500</v>
      </c>
    </row>
    <row r="580" spans="1:20" x14ac:dyDescent="0.25">
      <c r="A580" s="36" t="s">
        <v>707</v>
      </c>
      <c r="B580" s="36"/>
      <c r="C580" s="36" t="s">
        <v>53</v>
      </c>
      <c r="D580" s="39">
        <v>45524</v>
      </c>
      <c r="E580" s="39">
        <v>45889</v>
      </c>
      <c r="F580" s="36" t="s">
        <v>1540</v>
      </c>
      <c r="G580" s="36" t="s">
        <v>63</v>
      </c>
      <c r="H580" s="38">
        <v>13675</v>
      </c>
      <c r="I580" s="40">
        <v>11358</v>
      </c>
      <c r="J580" s="40"/>
      <c r="K580" s="40"/>
      <c r="L580" s="40"/>
      <c r="M580" s="40"/>
      <c r="N580" s="36" t="s">
        <v>2279</v>
      </c>
      <c r="O580" s="37">
        <v>45524</v>
      </c>
      <c r="P580" s="44" t="s">
        <v>58</v>
      </c>
      <c r="Q580" s="38">
        <v>547000</v>
      </c>
      <c r="R580" s="33">
        <f t="shared" ref="R580:R643" si="96">I580*15/100</f>
        <v>1703.7</v>
      </c>
      <c r="S580" s="35">
        <f t="shared" si="95"/>
        <v>113.58</v>
      </c>
      <c r="T580" s="34">
        <v>500</v>
      </c>
    </row>
    <row r="581" spans="1:20" x14ac:dyDescent="0.25">
      <c r="A581" s="36" t="s">
        <v>708</v>
      </c>
      <c r="B581" s="36"/>
      <c r="C581" s="36" t="s">
        <v>70</v>
      </c>
      <c r="D581" s="39">
        <v>45524</v>
      </c>
      <c r="E581" s="39">
        <v>45889</v>
      </c>
      <c r="F581" s="36" t="s">
        <v>1541</v>
      </c>
      <c r="G581" s="36" t="s">
        <v>62</v>
      </c>
      <c r="H581" s="38">
        <v>9550</v>
      </c>
      <c r="I581" s="40">
        <v>7802</v>
      </c>
      <c r="J581" s="40"/>
      <c r="K581" s="40"/>
      <c r="L581" s="40"/>
      <c r="M581" s="40"/>
      <c r="N581" s="36" t="s">
        <v>2280</v>
      </c>
      <c r="O581" s="37">
        <v>45524</v>
      </c>
      <c r="P581" s="44" t="s">
        <v>58</v>
      </c>
      <c r="Q581" s="38">
        <v>382000</v>
      </c>
      <c r="R581" s="33">
        <f t="shared" si="96"/>
        <v>1170.3</v>
      </c>
      <c r="S581" s="35">
        <f t="shared" si="95"/>
        <v>78.02</v>
      </c>
      <c r="T581" s="34">
        <v>500</v>
      </c>
    </row>
    <row r="582" spans="1:20" x14ac:dyDescent="0.25">
      <c r="A582" s="36" t="s">
        <v>709</v>
      </c>
      <c r="B582" s="36"/>
      <c r="C582" s="36" t="s">
        <v>70</v>
      </c>
      <c r="D582" s="39">
        <v>45524</v>
      </c>
      <c r="E582" s="39">
        <v>45889</v>
      </c>
      <c r="F582" s="36" t="s">
        <v>1542</v>
      </c>
      <c r="G582" s="36" t="s">
        <v>62</v>
      </c>
      <c r="H582" s="38">
        <v>9550</v>
      </c>
      <c r="I582" s="40">
        <v>7802</v>
      </c>
      <c r="J582" s="40"/>
      <c r="K582" s="40"/>
      <c r="L582" s="40"/>
      <c r="M582" s="40"/>
      <c r="N582" s="36" t="s">
        <v>2281</v>
      </c>
      <c r="O582" s="37">
        <v>45524</v>
      </c>
      <c r="P582" s="44" t="s">
        <v>58</v>
      </c>
      <c r="Q582" s="38">
        <v>382000</v>
      </c>
      <c r="R582" s="33">
        <f t="shared" si="96"/>
        <v>1170.3</v>
      </c>
      <c r="S582" s="35">
        <f t="shared" si="95"/>
        <v>78.02</v>
      </c>
      <c r="T582" s="34">
        <v>500</v>
      </c>
    </row>
    <row r="583" spans="1:20" x14ac:dyDescent="0.25">
      <c r="A583" s="36" t="s">
        <v>710</v>
      </c>
      <c r="B583" s="36"/>
      <c r="C583" s="36" t="s">
        <v>39</v>
      </c>
      <c r="D583" s="39">
        <v>45524</v>
      </c>
      <c r="E583" s="39">
        <v>45889</v>
      </c>
      <c r="F583" s="36" t="s">
        <v>1543</v>
      </c>
      <c r="G583" s="36" t="s">
        <v>61</v>
      </c>
      <c r="H583" s="38">
        <v>23248</v>
      </c>
      <c r="I583" s="40">
        <v>19610</v>
      </c>
      <c r="J583" s="40"/>
      <c r="K583" s="40"/>
      <c r="L583" s="40"/>
      <c r="M583" s="40"/>
      <c r="N583" s="36" t="s">
        <v>2282</v>
      </c>
      <c r="O583" s="37">
        <v>45524</v>
      </c>
      <c r="P583" s="44" t="s">
        <v>58</v>
      </c>
      <c r="Q583" s="38">
        <v>547000</v>
      </c>
      <c r="R583" s="33">
        <f t="shared" si="96"/>
        <v>2941.5</v>
      </c>
      <c r="S583" s="35">
        <f t="shared" si="95"/>
        <v>196.1</v>
      </c>
      <c r="T583" s="34">
        <v>500</v>
      </c>
    </row>
    <row r="584" spans="1:20" x14ac:dyDescent="0.25">
      <c r="A584" s="36" t="s">
        <v>711</v>
      </c>
      <c r="B584" s="36"/>
      <c r="C584" s="36" t="s">
        <v>39</v>
      </c>
      <c r="D584" s="39">
        <v>45890</v>
      </c>
      <c r="E584" s="39">
        <v>46255</v>
      </c>
      <c r="F584" s="36" t="s">
        <v>1543</v>
      </c>
      <c r="G584" s="36" t="s">
        <v>61</v>
      </c>
      <c r="H584" s="38">
        <v>23248</v>
      </c>
      <c r="I584" s="40">
        <v>19610</v>
      </c>
      <c r="J584" s="40"/>
      <c r="K584" s="40"/>
      <c r="L584" s="40"/>
      <c r="M584" s="40"/>
      <c r="N584" s="36" t="s">
        <v>2282</v>
      </c>
      <c r="O584" s="37">
        <v>45524</v>
      </c>
      <c r="P584" s="44" t="s">
        <v>58</v>
      </c>
      <c r="Q584" s="38">
        <v>547000</v>
      </c>
      <c r="R584" s="33">
        <f t="shared" si="96"/>
        <v>2941.5</v>
      </c>
      <c r="S584" s="35">
        <f t="shared" si="95"/>
        <v>196.1</v>
      </c>
      <c r="T584" s="34">
        <v>500</v>
      </c>
    </row>
    <row r="585" spans="1:20" x14ac:dyDescent="0.25">
      <c r="A585" s="36" t="s">
        <v>712</v>
      </c>
      <c r="B585" s="36"/>
      <c r="C585" s="36" t="s">
        <v>80</v>
      </c>
      <c r="D585" s="39">
        <v>45524</v>
      </c>
      <c r="E585" s="39">
        <v>45889</v>
      </c>
      <c r="F585" s="36" t="s">
        <v>1544</v>
      </c>
      <c r="G585" s="36" t="s">
        <v>61</v>
      </c>
      <c r="H585" s="38">
        <v>8800</v>
      </c>
      <c r="I585" s="40">
        <v>7155</v>
      </c>
      <c r="J585" s="40"/>
      <c r="K585" s="40"/>
      <c r="L585" s="40"/>
      <c r="M585" s="40"/>
      <c r="N585" s="36" t="s">
        <v>2283</v>
      </c>
      <c r="O585" s="37">
        <v>45524</v>
      </c>
      <c r="P585" s="44" t="s">
        <v>58</v>
      </c>
      <c r="Q585" s="38">
        <v>352000</v>
      </c>
      <c r="R585" s="33">
        <f t="shared" si="96"/>
        <v>1073.25</v>
      </c>
      <c r="S585" s="35">
        <f t="shared" si="95"/>
        <v>71.55</v>
      </c>
      <c r="T585" s="34">
        <v>500</v>
      </c>
    </row>
    <row r="586" spans="1:20" x14ac:dyDescent="0.25">
      <c r="A586" s="36" t="s">
        <v>713</v>
      </c>
      <c r="B586" s="36"/>
      <c r="C586" s="36" t="s">
        <v>53</v>
      </c>
      <c r="D586" s="39">
        <v>45524</v>
      </c>
      <c r="E586" s="39">
        <v>45889</v>
      </c>
      <c r="F586" s="36" t="s">
        <v>1545</v>
      </c>
      <c r="G586" s="36" t="s">
        <v>61</v>
      </c>
      <c r="H586" s="38">
        <v>8800</v>
      </c>
      <c r="I586" s="40">
        <v>7155</v>
      </c>
      <c r="J586" s="40"/>
      <c r="K586" s="40"/>
      <c r="L586" s="40"/>
      <c r="M586" s="40"/>
      <c r="N586" s="36" t="s">
        <v>2284</v>
      </c>
      <c r="O586" s="37">
        <v>45524</v>
      </c>
      <c r="P586" s="44" t="s">
        <v>58</v>
      </c>
      <c r="Q586" s="38">
        <v>352000</v>
      </c>
      <c r="R586" s="33">
        <f t="shared" si="96"/>
        <v>1073.25</v>
      </c>
      <c r="S586" s="35">
        <f t="shared" si="95"/>
        <v>71.55</v>
      </c>
      <c r="T586" s="34">
        <v>500</v>
      </c>
    </row>
    <row r="587" spans="1:20" x14ac:dyDescent="0.25">
      <c r="A587" s="36" t="s">
        <v>714</v>
      </c>
      <c r="B587" s="36"/>
      <c r="C587" s="36" t="s">
        <v>80</v>
      </c>
      <c r="D587" s="39">
        <v>45524</v>
      </c>
      <c r="E587" s="39">
        <v>45889</v>
      </c>
      <c r="F587" s="36" t="s">
        <v>1546</v>
      </c>
      <c r="G587" s="36" t="s">
        <v>61</v>
      </c>
      <c r="H587" s="38">
        <v>8800</v>
      </c>
      <c r="I587" s="40">
        <v>7155</v>
      </c>
      <c r="J587" s="40"/>
      <c r="K587" s="40"/>
      <c r="L587" s="40"/>
      <c r="M587" s="40"/>
      <c r="N587" s="36" t="s">
        <v>2285</v>
      </c>
      <c r="O587" s="37">
        <v>45524</v>
      </c>
      <c r="P587" s="44" t="s">
        <v>58</v>
      </c>
      <c r="Q587" s="38">
        <v>352000</v>
      </c>
      <c r="R587" s="33">
        <f t="shared" si="96"/>
        <v>1073.25</v>
      </c>
      <c r="S587" s="35">
        <f t="shared" si="95"/>
        <v>71.55</v>
      </c>
      <c r="T587" s="34">
        <v>500</v>
      </c>
    </row>
    <row r="588" spans="1:20" x14ac:dyDescent="0.25">
      <c r="A588" s="36" t="s">
        <v>715</v>
      </c>
      <c r="B588" s="36"/>
      <c r="C588" s="36" t="s">
        <v>53</v>
      </c>
      <c r="D588" s="39">
        <v>45524</v>
      </c>
      <c r="E588" s="39">
        <v>45889</v>
      </c>
      <c r="F588" s="36" t="s">
        <v>97</v>
      </c>
      <c r="G588" s="36" t="s">
        <v>61</v>
      </c>
      <c r="H588" s="38">
        <v>8800</v>
      </c>
      <c r="I588" s="40">
        <v>7155</v>
      </c>
      <c r="J588" s="40"/>
      <c r="K588" s="40"/>
      <c r="L588" s="40"/>
      <c r="M588" s="40"/>
      <c r="N588" s="36" t="s">
        <v>2286</v>
      </c>
      <c r="O588" s="37">
        <v>45524</v>
      </c>
      <c r="P588" s="44" t="s">
        <v>58</v>
      </c>
      <c r="Q588" s="38">
        <v>352000</v>
      </c>
      <c r="R588" s="33">
        <f t="shared" si="96"/>
        <v>1073.25</v>
      </c>
      <c r="S588" s="35">
        <f t="shared" si="95"/>
        <v>71.55</v>
      </c>
      <c r="T588" s="34">
        <v>500</v>
      </c>
    </row>
    <row r="589" spans="1:20" x14ac:dyDescent="0.25">
      <c r="A589" s="36" t="s">
        <v>716</v>
      </c>
      <c r="B589" s="36"/>
      <c r="C589" s="36" t="s">
        <v>80</v>
      </c>
      <c r="D589" s="39">
        <v>45524</v>
      </c>
      <c r="E589" s="39">
        <v>45889</v>
      </c>
      <c r="F589" s="36" t="s">
        <v>1547</v>
      </c>
      <c r="G589" s="36" t="s">
        <v>61</v>
      </c>
      <c r="H589" s="38">
        <v>8800</v>
      </c>
      <c r="I589" s="40">
        <v>7155</v>
      </c>
      <c r="J589" s="40"/>
      <c r="K589" s="40"/>
      <c r="L589" s="40"/>
      <c r="M589" s="40"/>
      <c r="N589" s="36" t="s">
        <v>2287</v>
      </c>
      <c r="O589" s="37">
        <v>45524</v>
      </c>
      <c r="P589" s="44" t="s">
        <v>58</v>
      </c>
      <c r="Q589" s="38">
        <v>352000</v>
      </c>
      <c r="R589" s="33">
        <f t="shared" si="96"/>
        <v>1073.25</v>
      </c>
      <c r="S589" s="35">
        <f t="shared" si="95"/>
        <v>71.55</v>
      </c>
      <c r="T589" s="34">
        <v>500</v>
      </c>
    </row>
    <row r="590" spans="1:20" x14ac:dyDescent="0.25">
      <c r="A590" s="36" t="s">
        <v>717</v>
      </c>
      <c r="B590" s="36"/>
      <c r="C590" s="36" t="s">
        <v>80</v>
      </c>
      <c r="D590" s="39">
        <v>45524</v>
      </c>
      <c r="E590" s="39">
        <v>45889</v>
      </c>
      <c r="F590" s="36" t="s">
        <v>1548</v>
      </c>
      <c r="G590" s="36" t="s">
        <v>61</v>
      </c>
      <c r="H590" s="38">
        <v>8800</v>
      </c>
      <c r="I590" s="40">
        <v>7155</v>
      </c>
      <c r="J590" s="40"/>
      <c r="K590" s="40"/>
      <c r="L590" s="40"/>
      <c r="M590" s="40"/>
      <c r="N590" s="36" t="s">
        <v>2288</v>
      </c>
      <c r="O590" s="37">
        <v>45524</v>
      </c>
      <c r="P590" s="44" t="s">
        <v>58</v>
      </c>
      <c r="Q590" s="38">
        <v>352000</v>
      </c>
      <c r="R590" s="33">
        <f t="shared" si="96"/>
        <v>1073.25</v>
      </c>
      <c r="S590" s="35">
        <f t="shared" si="95"/>
        <v>71.55</v>
      </c>
      <c r="T590" s="34">
        <v>500</v>
      </c>
    </row>
    <row r="591" spans="1:20" x14ac:dyDescent="0.25">
      <c r="A591" s="36" t="s">
        <v>718</v>
      </c>
      <c r="B591" s="36"/>
      <c r="C591" s="36" t="s">
        <v>80</v>
      </c>
      <c r="D591" s="39">
        <v>45524</v>
      </c>
      <c r="E591" s="39">
        <v>45889</v>
      </c>
      <c r="F591" s="36" t="s">
        <v>127</v>
      </c>
      <c r="G591" s="36" t="s">
        <v>61</v>
      </c>
      <c r="H591" s="38">
        <v>8800</v>
      </c>
      <c r="I591" s="40">
        <v>7155</v>
      </c>
      <c r="J591" s="40"/>
      <c r="K591" s="40"/>
      <c r="L591" s="40"/>
      <c r="M591" s="40"/>
      <c r="N591" s="36" t="s">
        <v>2289</v>
      </c>
      <c r="O591" s="37">
        <v>45524</v>
      </c>
      <c r="P591" s="44" t="s">
        <v>58</v>
      </c>
      <c r="Q591" s="38">
        <v>352000</v>
      </c>
      <c r="R591" s="33">
        <f t="shared" si="96"/>
        <v>1073.25</v>
      </c>
      <c r="S591" s="35">
        <f t="shared" si="95"/>
        <v>71.55</v>
      </c>
      <c r="T591" s="34">
        <v>500</v>
      </c>
    </row>
    <row r="592" spans="1:20" x14ac:dyDescent="0.25">
      <c r="A592" s="36" t="s">
        <v>719</v>
      </c>
      <c r="B592" s="36"/>
      <c r="C592" s="36" t="s">
        <v>80</v>
      </c>
      <c r="D592" s="39">
        <v>45524</v>
      </c>
      <c r="E592" s="39">
        <v>45889</v>
      </c>
      <c r="F592" s="36" t="s">
        <v>1549</v>
      </c>
      <c r="G592" s="36" t="s">
        <v>61</v>
      </c>
      <c r="H592" s="38">
        <v>8800</v>
      </c>
      <c r="I592" s="40">
        <v>7155</v>
      </c>
      <c r="J592" s="40"/>
      <c r="K592" s="40"/>
      <c r="L592" s="40"/>
      <c r="M592" s="40"/>
      <c r="N592" s="36" t="s">
        <v>2290</v>
      </c>
      <c r="O592" s="37">
        <v>45524</v>
      </c>
      <c r="P592" s="44" t="s">
        <v>58</v>
      </c>
      <c r="Q592" s="38">
        <v>352000</v>
      </c>
      <c r="R592" s="33">
        <f t="shared" si="96"/>
        <v>1073.25</v>
      </c>
      <c r="S592" s="35">
        <f t="shared" si="95"/>
        <v>71.55</v>
      </c>
      <c r="T592" s="34">
        <v>500</v>
      </c>
    </row>
    <row r="593" spans="1:20" x14ac:dyDescent="0.25">
      <c r="A593" s="36" t="s">
        <v>720</v>
      </c>
      <c r="B593" s="36"/>
      <c r="C593" s="36" t="s">
        <v>80</v>
      </c>
      <c r="D593" s="39">
        <v>45524</v>
      </c>
      <c r="E593" s="39">
        <v>45889</v>
      </c>
      <c r="F593" s="36" t="s">
        <v>1550</v>
      </c>
      <c r="G593" s="36" t="s">
        <v>61</v>
      </c>
      <c r="H593" s="38">
        <v>8800</v>
      </c>
      <c r="I593" s="40">
        <v>7155</v>
      </c>
      <c r="J593" s="40"/>
      <c r="K593" s="40"/>
      <c r="L593" s="40"/>
      <c r="M593" s="40"/>
      <c r="N593" s="36" t="s">
        <v>2291</v>
      </c>
      <c r="O593" s="37">
        <v>45524</v>
      </c>
      <c r="P593" s="44" t="s">
        <v>58</v>
      </c>
      <c r="Q593" s="38">
        <v>352000</v>
      </c>
      <c r="R593" s="33">
        <f t="shared" si="96"/>
        <v>1073.25</v>
      </c>
      <c r="S593" s="35">
        <f t="shared" si="95"/>
        <v>71.55</v>
      </c>
      <c r="T593" s="34">
        <v>500</v>
      </c>
    </row>
    <row r="594" spans="1:20" x14ac:dyDescent="0.25">
      <c r="A594" s="36" t="s">
        <v>721</v>
      </c>
      <c r="B594" s="36"/>
      <c r="C594" s="36" t="s">
        <v>49</v>
      </c>
      <c r="D594" s="39">
        <v>45524</v>
      </c>
      <c r="E594" s="39">
        <v>45889</v>
      </c>
      <c r="F594" s="36" t="s">
        <v>1551</v>
      </c>
      <c r="G594" s="36" t="s">
        <v>62</v>
      </c>
      <c r="H594" s="38">
        <v>9550</v>
      </c>
      <c r="I594" s="40">
        <v>7802</v>
      </c>
      <c r="J594" s="40"/>
      <c r="K594" s="40"/>
      <c r="L594" s="40"/>
      <c r="M594" s="40"/>
      <c r="N594" s="36" t="s">
        <v>2292</v>
      </c>
      <c r="O594" s="37">
        <v>45524</v>
      </c>
      <c r="P594" s="44" t="s">
        <v>58</v>
      </c>
      <c r="Q594" s="38">
        <v>382000</v>
      </c>
      <c r="R594" s="33">
        <f t="shared" si="96"/>
        <v>1170.3</v>
      </c>
      <c r="S594" s="35">
        <f t="shared" si="95"/>
        <v>78.02</v>
      </c>
      <c r="T594" s="34">
        <v>500</v>
      </c>
    </row>
    <row r="595" spans="1:20" x14ac:dyDescent="0.25">
      <c r="A595" s="36" t="s">
        <v>722</v>
      </c>
      <c r="B595" s="36"/>
      <c r="C595" s="36" t="s">
        <v>80</v>
      </c>
      <c r="D595" s="39">
        <v>45524</v>
      </c>
      <c r="E595" s="39">
        <v>45889</v>
      </c>
      <c r="F595" s="36" t="s">
        <v>1552</v>
      </c>
      <c r="G595" s="36" t="s">
        <v>61</v>
      </c>
      <c r="H595" s="38">
        <v>8800</v>
      </c>
      <c r="I595" s="40">
        <v>7155</v>
      </c>
      <c r="J595" s="40"/>
      <c r="K595" s="40"/>
      <c r="L595" s="40"/>
      <c r="M595" s="40"/>
      <c r="N595" s="36" t="s">
        <v>2293</v>
      </c>
      <c r="O595" s="37">
        <v>45524</v>
      </c>
      <c r="P595" s="44" t="s">
        <v>58</v>
      </c>
      <c r="Q595" s="38">
        <v>352000</v>
      </c>
      <c r="R595" s="33">
        <f t="shared" si="96"/>
        <v>1073.25</v>
      </c>
      <c r="S595" s="35">
        <f t="shared" si="95"/>
        <v>71.55</v>
      </c>
      <c r="T595" s="34">
        <v>500</v>
      </c>
    </row>
    <row r="596" spans="1:20" x14ac:dyDescent="0.25">
      <c r="A596" s="36" t="s">
        <v>723</v>
      </c>
      <c r="B596" s="36"/>
      <c r="C596" s="36" t="s">
        <v>49</v>
      </c>
      <c r="D596" s="39">
        <v>45524</v>
      </c>
      <c r="E596" s="39">
        <v>45889</v>
      </c>
      <c r="F596" s="36" t="s">
        <v>1553</v>
      </c>
      <c r="G596" s="36" t="s">
        <v>61</v>
      </c>
      <c r="H596" s="38">
        <v>8800</v>
      </c>
      <c r="I596" s="40">
        <v>7155</v>
      </c>
      <c r="J596" s="40"/>
      <c r="K596" s="40"/>
      <c r="L596" s="40"/>
      <c r="M596" s="40"/>
      <c r="N596" s="36" t="s">
        <v>2294</v>
      </c>
      <c r="O596" s="37">
        <v>45524</v>
      </c>
      <c r="P596" s="44" t="s">
        <v>58</v>
      </c>
      <c r="Q596" s="38">
        <v>352000</v>
      </c>
      <c r="R596" s="33">
        <f t="shared" si="96"/>
        <v>1073.25</v>
      </c>
      <c r="S596" s="35">
        <f t="shared" si="95"/>
        <v>71.55</v>
      </c>
      <c r="T596" s="34">
        <v>500</v>
      </c>
    </row>
    <row r="597" spans="1:20" x14ac:dyDescent="0.25">
      <c r="A597" s="36" t="s">
        <v>724</v>
      </c>
      <c r="B597" s="36"/>
      <c r="C597" s="36" t="s">
        <v>80</v>
      </c>
      <c r="D597" s="39">
        <v>45524</v>
      </c>
      <c r="E597" s="39">
        <v>45889</v>
      </c>
      <c r="F597" s="36" t="s">
        <v>124</v>
      </c>
      <c r="G597" s="36" t="s">
        <v>61</v>
      </c>
      <c r="H597" s="38">
        <v>8800</v>
      </c>
      <c r="I597" s="40">
        <v>7155</v>
      </c>
      <c r="J597" s="40"/>
      <c r="K597" s="40"/>
      <c r="L597" s="40"/>
      <c r="M597" s="40"/>
      <c r="N597" s="36" t="s">
        <v>2295</v>
      </c>
      <c r="O597" s="37">
        <v>45524</v>
      </c>
      <c r="P597" s="44" t="s">
        <v>58</v>
      </c>
      <c r="Q597" s="38">
        <v>352000</v>
      </c>
      <c r="R597" s="33">
        <f t="shared" si="96"/>
        <v>1073.25</v>
      </c>
      <c r="S597" s="35">
        <f t="shared" si="95"/>
        <v>71.55</v>
      </c>
      <c r="T597" s="34">
        <v>500</v>
      </c>
    </row>
    <row r="598" spans="1:20" x14ac:dyDescent="0.25">
      <c r="A598" s="36" t="s">
        <v>725</v>
      </c>
      <c r="B598" s="36"/>
      <c r="C598" s="36" t="s">
        <v>32</v>
      </c>
      <c r="D598" s="39">
        <v>45525</v>
      </c>
      <c r="E598" s="39">
        <v>45890</v>
      </c>
      <c r="F598" s="36" t="s">
        <v>1554</v>
      </c>
      <c r="G598" s="36" t="s">
        <v>61</v>
      </c>
      <c r="H598" s="38">
        <v>14960</v>
      </c>
      <c r="I598" s="40">
        <v>12466</v>
      </c>
      <c r="J598" s="40"/>
      <c r="K598" s="40"/>
      <c r="L598" s="40"/>
      <c r="M598" s="40"/>
      <c r="N598" s="36" t="s">
        <v>2296</v>
      </c>
      <c r="O598" s="37">
        <v>45525</v>
      </c>
      <c r="P598" s="44" t="s">
        <v>58</v>
      </c>
      <c r="Q598" s="38">
        <v>352000</v>
      </c>
      <c r="R598" s="33">
        <f t="shared" si="96"/>
        <v>1869.9</v>
      </c>
      <c r="S598" s="35">
        <f t="shared" si="95"/>
        <v>124.66</v>
      </c>
      <c r="T598" s="34">
        <v>500</v>
      </c>
    </row>
    <row r="599" spans="1:20" x14ac:dyDescent="0.25">
      <c r="A599" s="36" t="s">
        <v>726</v>
      </c>
      <c r="B599" s="36"/>
      <c r="C599" s="36" t="s">
        <v>32</v>
      </c>
      <c r="D599" s="39">
        <v>45891</v>
      </c>
      <c r="E599" s="39">
        <v>46256</v>
      </c>
      <c r="F599" s="36" t="s">
        <v>1554</v>
      </c>
      <c r="G599" s="36" t="s">
        <v>61</v>
      </c>
      <c r="H599" s="38">
        <v>14960</v>
      </c>
      <c r="I599" s="40">
        <v>12466</v>
      </c>
      <c r="J599" s="40"/>
      <c r="K599" s="40"/>
      <c r="L599" s="40"/>
      <c r="M599" s="40"/>
      <c r="N599" s="36" t="s">
        <v>2296</v>
      </c>
      <c r="O599" s="37">
        <v>45525</v>
      </c>
      <c r="P599" s="44" t="s">
        <v>58</v>
      </c>
      <c r="Q599" s="38">
        <v>352000</v>
      </c>
      <c r="R599" s="33">
        <f t="shared" si="96"/>
        <v>1869.9</v>
      </c>
      <c r="S599" s="35">
        <f t="shared" si="95"/>
        <v>124.66</v>
      </c>
      <c r="T599" s="34">
        <v>500</v>
      </c>
    </row>
    <row r="600" spans="1:20" x14ac:dyDescent="0.25">
      <c r="A600" s="36" t="s">
        <v>727</v>
      </c>
      <c r="B600" s="36"/>
      <c r="C600" s="36" t="s">
        <v>54</v>
      </c>
      <c r="D600" s="39">
        <v>45525</v>
      </c>
      <c r="E600" s="39">
        <v>45890</v>
      </c>
      <c r="F600" s="36" t="s">
        <v>121</v>
      </c>
      <c r="G600" s="36" t="s">
        <v>63</v>
      </c>
      <c r="H600" s="38">
        <v>13675</v>
      </c>
      <c r="I600" s="40">
        <v>11358</v>
      </c>
      <c r="J600" s="40"/>
      <c r="K600" s="40"/>
      <c r="L600" s="40"/>
      <c r="M600" s="40"/>
      <c r="N600" s="36" t="s">
        <v>2297</v>
      </c>
      <c r="O600" s="37">
        <v>45525</v>
      </c>
      <c r="P600" s="44" t="s">
        <v>58</v>
      </c>
      <c r="Q600" s="38">
        <v>547000</v>
      </c>
      <c r="R600" s="33">
        <f t="shared" si="96"/>
        <v>1703.7</v>
      </c>
      <c r="S600" s="35">
        <f t="shared" si="95"/>
        <v>113.58</v>
      </c>
      <c r="T600" s="34">
        <v>500</v>
      </c>
    </row>
    <row r="601" spans="1:20" x14ac:dyDescent="0.25">
      <c r="A601" s="36" t="s">
        <v>728</v>
      </c>
      <c r="B601" s="36"/>
      <c r="C601" s="36" t="s">
        <v>32</v>
      </c>
      <c r="D601" s="39">
        <v>45525</v>
      </c>
      <c r="E601" s="39">
        <v>45890</v>
      </c>
      <c r="F601" s="36" t="s">
        <v>1555</v>
      </c>
      <c r="G601" s="36" t="s">
        <v>62</v>
      </c>
      <c r="H601" s="38">
        <v>16235</v>
      </c>
      <c r="I601" s="40">
        <v>13565</v>
      </c>
      <c r="J601" s="40"/>
      <c r="K601" s="40"/>
      <c r="L601" s="40"/>
      <c r="M601" s="40"/>
      <c r="N601" s="36" t="s">
        <v>2298</v>
      </c>
      <c r="O601" s="37">
        <v>45525</v>
      </c>
      <c r="P601" s="44" t="s">
        <v>58</v>
      </c>
      <c r="Q601" s="38">
        <v>382000</v>
      </c>
      <c r="R601" s="33">
        <f t="shared" si="96"/>
        <v>2034.75</v>
      </c>
      <c r="S601" s="35">
        <f t="shared" si="95"/>
        <v>135.65</v>
      </c>
      <c r="T601" s="34">
        <v>500</v>
      </c>
    </row>
    <row r="602" spans="1:20" x14ac:dyDescent="0.25">
      <c r="A602" s="36" t="s">
        <v>729</v>
      </c>
      <c r="B602" s="36"/>
      <c r="C602" s="36" t="s">
        <v>32</v>
      </c>
      <c r="D602" s="39">
        <v>45525</v>
      </c>
      <c r="E602" s="39">
        <v>45890</v>
      </c>
      <c r="F602" s="36" t="s">
        <v>1556</v>
      </c>
      <c r="G602" s="36" t="s">
        <v>61</v>
      </c>
      <c r="H602" s="38">
        <v>14960</v>
      </c>
      <c r="I602" s="40">
        <v>12466</v>
      </c>
      <c r="J602" s="40"/>
      <c r="K602" s="40"/>
      <c r="L602" s="40"/>
      <c r="M602" s="40"/>
      <c r="N602" s="36" t="s">
        <v>2299</v>
      </c>
      <c r="O602" s="37">
        <v>45525</v>
      </c>
      <c r="P602" s="44" t="s">
        <v>58</v>
      </c>
      <c r="Q602" s="38">
        <v>352000</v>
      </c>
      <c r="R602" s="33">
        <f t="shared" si="96"/>
        <v>1869.9</v>
      </c>
      <c r="S602" s="35">
        <f t="shared" si="95"/>
        <v>124.66</v>
      </c>
      <c r="T602" s="34">
        <v>500</v>
      </c>
    </row>
    <row r="603" spans="1:20" x14ac:dyDescent="0.25">
      <c r="A603" s="36" t="s">
        <v>730</v>
      </c>
      <c r="B603" s="36"/>
      <c r="C603" s="36" t="s">
        <v>54</v>
      </c>
      <c r="D603" s="39">
        <v>45525</v>
      </c>
      <c r="E603" s="39">
        <v>45890</v>
      </c>
      <c r="F603" s="36" t="s">
        <v>1557</v>
      </c>
      <c r="G603" s="36" t="s">
        <v>61</v>
      </c>
      <c r="H603" s="38">
        <v>8800</v>
      </c>
      <c r="I603" s="40">
        <v>7155</v>
      </c>
      <c r="J603" s="40"/>
      <c r="K603" s="40"/>
      <c r="L603" s="40"/>
      <c r="M603" s="40"/>
      <c r="N603" s="36" t="s">
        <v>2300</v>
      </c>
      <c r="O603" s="37">
        <v>45525</v>
      </c>
      <c r="P603" s="44" t="s">
        <v>58</v>
      </c>
      <c r="Q603" s="38">
        <v>352000</v>
      </c>
      <c r="R603" s="33">
        <f t="shared" si="96"/>
        <v>1073.25</v>
      </c>
      <c r="S603" s="35">
        <f t="shared" si="95"/>
        <v>71.55</v>
      </c>
      <c r="T603" s="34">
        <v>500</v>
      </c>
    </row>
    <row r="604" spans="1:20" x14ac:dyDescent="0.25">
      <c r="A604" s="36" t="s">
        <v>731</v>
      </c>
      <c r="B604" s="36"/>
      <c r="C604" s="36" t="s">
        <v>32</v>
      </c>
      <c r="D604" s="39">
        <v>45525</v>
      </c>
      <c r="E604" s="39">
        <v>45890</v>
      </c>
      <c r="F604" s="36" t="s">
        <v>1558</v>
      </c>
      <c r="G604" s="36" t="s">
        <v>61</v>
      </c>
      <c r="H604" s="38">
        <v>14960</v>
      </c>
      <c r="I604" s="40">
        <v>12466</v>
      </c>
      <c r="J604" s="40"/>
      <c r="K604" s="40"/>
      <c r="L604" s="40"/>
      <c r="M604" s="40"/>
      <c r="N604" s="36" t="s">
        <v>2301</v>
      </c>
      <c r="O604" s="37">
        <v>45525</v>
      </c>
      <c r="P604" s="44" t="s">
        <v>58</v>
      </c>
      <c r="Q604" s="38">
        <v>352000</v>
      </c>
      <c r="R604" s="33">
        <f t="shared" si="96"/>
        <v>1869.9</v>
      </c>
      <c r="S604" s="35">
        <f t="shared" si="95"/>
        <v>124.66</v>
      </c>
      <c r="T604" s="34">
        <v>500</v>
      </c>
    </row>
    <row r="605" spans="1:20" x14ac:dyDescent="0.25">
      <c r="A605" s="36" t="s">
        <v>732</v>
      </c>
      <c r="B605" s="36"/>
      <c r="C605" s="36" t="s">
        <v>31</v>
      </c>
      <c r="D605" s="39">
        <v>45525</v>
      </c>
      <c r="E605" s="39">
        <v>45890</v>
      </c>
      <c r="F605" s="36" t="s">
        <v>1559</v>
      </c>
      <c r="G605" s="36" t="s">
        <v>61</v>
      </c>
      <c r="H605" s="38">
        <v>14960</v>
      </c>
      <c r="I605" s="40">
        <v>12466</v>
      </c>
      <c r="J605" s="40"/>
      <c r="K605" s="40"/>
      <c r="L605" s="40"/>
      <c r="M605" s="40"/>
      <c r="N605" s="36" t="s">
        <v>2302</v>
      </c>
      <c r="O605" s="37">
        <v>45525</v>
      </c>
      <c r="P605" s="44" t="s">
        <v>58</v>
      </c>
      <c r="Q605" s="38">
        <v>352000</v>
      </c>
      <c r="R605" s="33">
        <f t="shared" si="96"/>
        <v>1869.9</v>
      </c>
      <c r="S605" s="35">
        <f t="shared" si="95"/>
        <v>124.66</v>
      </c>
      <c r="T605" s="34">
        <v>500</v>
      </c>
    </row>
    <row r="606" spans="1:20" x14ac:dyDescent="0.25">
      <c r="A606" s="36" t="s">
        <v>733</v>
      </c>
      <c r="B606" s="36"/>
      <c r="C606" s="36" t="s">
        <v>32</v>
      </c>
      <c r="D606" s="39">
        <v>45525</v>
      </c>
      <c r="E606" s="39">
        <v>45890</v>
      </c>
      <c r="F606" s="36" t="s">
        <v>1560</v>
      </c>
      <c r="G606" s="36" t="s">
        <v>63</v>
      </c>
      <c r="H606" s="38">
        <v>23248</v>
      </c>
      <c r="I606" s="40">
        <v>19610</v>
      </c>
      <c r="J606" s="40"/>
      <c r="K606" s="40"/>
      <c r="L606" s="40"/>
      <c r="M606" s="40"/>
      <c r="N606" s="36" t="s">
        <v>2303</v>
      </c>
      <c r="O606" s="37">
        <v>45525</v>
      </c>
      <c r="P606" s="44" t="s">
        <v>58</v>
      </c>
      <c r="Q606" s="38">
        <v>547000</v>
      </c>
      <c r="R606" s="33">
        <f t="shared" si="96"/>
        <v>2941.5</v>
      </c>
      <c r="S606" s="35">
        <f t="shared" si="95"/>
        <v>196.1</v>
      </c>
      <c r="T606" s="34">
        <v>500</v>
      </c>
    </row>
    <row r="607" spans="1:20" x14ac:dyDescent="0.25">
      <c r="A607" s="36" t="s">
        <v>734</v>
      </c>
      <c r="B607" s="36"/>
      <c r="C607" s="36" t="s">
        <v>32</v>
      </c>
      <c r="D607" s="39">
        <v>45891</v>
      </c>
      <c r="E607" s="39">
        <v>46256</v>
      </c>
      <c r="F607" s="36" t="s">
        <v>1560</v>
      </c>
      <c r="G607" s="36" t="s">
        <v>63</v>
      </c>
      <c r="H607" s="38">
        <v>23248</v>
      </c>
      <c r="I607" s="40">
        <v>19610</v>
      </c>
      <c r="J607" s="40"/>
      <c r="K607" s="40"/>
      <c r="L607" s="40"/>
      <c r="M607" s="40"/>
      <c r="N607" s="36" t="s">
        <v>2303</v>
      </c>
      <c r="O607" s="37">
        <v>45525</v>
      </c>
      <c r="P607" s="44" t="s">
        <v>58</v>
      </c>
      <c r="Q607" s="38">
        <v>547000</v>
      </c>
      <c r="R607" s="33">
        <f t="shared" si="96"/>
        <v>2941.5</v>
      </c>
      <c r="S607" s="35">
        <f t="shared" si="95"/>
        <v>196.1</v>
      </c>
      <c r="T607" s="34">
        <v>500</v>
      </c>
    </row>
    <row r="608" spans="1:20" x14ac:dyDescent="0.25">
      <c r="A608" s="36" t="s">
        <v>735</v>
      </c>
      <c r="B608" s="36"/>
      <c r="C608" s="36" t="s">
        <v>32</v>
      </c>
      <c r="D608" s="39">
        <v>45525</v>
      </c>
      <c r="E608" s="39">
        <v>45890</v>
      </c>
      <c r="F608" s="36" t="s">
        <v>1561</v>
      </c>
      <c r="G608" s="36" t="s">
        <v>63</v>
      </c>
      <c r="H608" s="38">
        <v>23248</v>
      </c>
      <c r="I608" s="40">
        <v>19610</v>
      </c>
      <c r="J608" s="40"/>
      <c r="K608" s="40"/>
      <c r="L608" s="40"/>
      <c r="M608" s="40"/>
      <c r="N608" s="36" t="s">
        <v>2304</v>
      </c>
      <c r="O608" s="37">
        <v>45525</v>
      </c>
      <c r="P608" s="44" t="s">
        <v>58</v>
      </c>
      <c r="Q608" s="38">
        <v>547000</v>
      </c>
      <c r="R608" s="33">
        <f t="shared" si="96"/>
        <v>2941.5</v>
      </c>
      <c r="S608" s="35">
        <f t="shared" si="95"/>
        <v>196.1</v>
      </c>
      <c r="T608" s="34">
        <v>500</v>
      </c>
    </row>
    <row r="609" spans="1:20" x14ac:dyDescent="0.25">
      <c r="A609" s="36" t="s">
        <v>736</v>
      </c>
      <c r="B609" s="36"/>
      <c r="C609" s="36" t="s">
        <v>32</v>
      </c>
      <c r="D609" s="39">
        <v>45891</v>
      </c>
      <c r="E609" s="39">
        <v>46256</v>
      </c>
      <c r="F609" s="36" t="s">
        <v>1561</v>
      </c>
      <c r="G609" s="36" t="s">
        <v>63</v>
      </c>
      <c r="H609" s="38">
        <v>23248</v>
      </c>
      <c r="I609" s="40">
        <v>19610</v>
      </c>
      <c r="J609" s="40"/>
      <c r="K609" s="40"/>
      <c r="L609" s="40"/>
      <c r="M609" s="40"/>
      <c r="N609" s="36" t="s">
        <v>2305</v>
      </c>
      <c r="O609" s="37">
        <v>45525</v>
      </c>
      <c r="P609" s="44" t="s">
        <v>58</v>
      </c>
      <c r="Q609" s="38">
        <v>547000</v>
      </c>
      <c r="R609" s="33">
        <f t="shared" si="96"/>
        <v>2941.5</v>
      </c>
      <c r="S609" s="35">
        <f t="shared" si="95"/>
        <v>196.1</v>
      </c>
      <c r="T609" s="34">
        <v>500</v>
      </c>
    </row>
    <row r="610" spans="1:20" x14ac:dyDescent="0.25">
      <c r="A610" s="36" t="s">
        <v>737</v>
      </c>
      <c r="B610" s="36"/>
      <c r="C610" s="36" t="s">
        <v>32</v>
      </c>
      <c r="D610" s="39">
        <v>45525</v>
      </c>
      <c r="E610" s="39">
        <v>45890</v>
      </c>
      <c r="F610" s="36" t="s">
        <v>1562</v>
      </c>
      <c r="G610" s="36" t="s">
        <v>62</v>
      </c>
      <c r="H610" s="38">
        <v>16235</v>
      </c>
      <c r="I610" s="40">
        <v>13565</v>
      </c>
      <c r="J610" s="40"/>
      <c r="K610" s="40"/>
      <c r="L610" s="40"/>
      <c r="M610" s="40"/>
      <c r="N610" s="36" t="s">
        <v>2306</v>
      </c>
      <c r="O610" s="37">
        <v>45525</v>
      </c>
      <c r="P610" s="44" t="s">
        <v>58</v>
      </c>
      <c r="Q610" s="38">
        <v>382000</v>
      </c>
      <c r="R610" s="33">
        <f t="shared" si="96"/>
        <v>2034.75</v>
      </c>
      <c r="S610" s="35">
        <f t="shared" si="95"/>
        <v>135.65</v>
      </c>
      <c r="T610" s="34">
        <v>500</v>
      </c>
    </row>
    <row r="611" spans="1:20" x14ac:dyDescent="0.25">
      <c r="A611" s="36" t="s">
        <v>738</v>
      </c>
      <c r="B611" s="36"/>
      <c r="C611" s="36" t="s">
        <v>32</v>
      </c>
      <c r="D611" s="39">
        <v>45891</v>
      </c>
      <c r="E611" s="39">
        <v>46256</v>
      </c>
      <c r="F611" s="36" t="s">
        <v>1562</v>
      </c>
      <c r="G611" s="36" t="s">
        <v>62</v>
      </c>
      <c r="H611" s="38">
        <v>16235</v>
      </c>
      <c r="I611" s="40">
        <v>13565</v>
      </c>
      <c r="J611" s="40"/>
      <c r="K611" s="40"/>
      <c r="L611" s="40"/>
      <c r="M611" s="40"/>
      <c r="N611" s="36" t="s">
        <v>2306</v>
      </c>
      <c r="O611" s="37">
        <v>45525</v>
      </c>
      <c r="P611" s="44" t="s">
        <v>58</v>
      </c>
      <c r="Q611" s="38">
        <v>382000</v>
      </c>
      <c r="R611" s="33">
        <f t="shared" si="96"/>
        <v>2034.75</v>
      </c>
      <c r="S611" s="35">
        <f t="shared" si="95"/>
        <v>135.65</v>
      </c>
      <c r="T611" s="34">
        <v>500</v>
      </c>
    </row>
    <row r="612" spans="1:20" x14ac:dyDescent="0.25">
      <c r="A612" s="36" t="s">
        <v>739</v>
      </c>
      <c r="B612" s="36"/>
      <c r="C612" s="36" t="s">
        <v>30</v>
      </c>
      <c r="D612" s="39">
        <v>45525</v>
      </c>
      <c r="E612" s="39">
        <v>45890</v>
      </c>
      <c r="F612" s="36" t="s">
        <v>1563</v>
      </c>
      <c r="G612" s="36" t="s">
        <v>61</v>
      </c>
      <c r="H612" s="38">
        <v>14960</v>
      </c>
      <c r="I612" s="40">
        <v>12466</v>
      </c>
      <c r="J612" s="40"/>
      <c r="K612" s="40"/>
      <c r="L612" s="40"/>
      <c r="M612" s="40"/>
      <c r="N612" s="36" t="s">
        <v>2307</v>
      </c>
      <c r="O612" s="37">
        <v>45525</v>
      </c>
      <c r="P612" s="44" t="s">
        <v>58</v>
      </c>
      <c r="Q612" s="38">
        <v>352000</v>
      </c>
      <c r="R612" s="33">
        <f t="shared" si="96"/>
        <v>1869.9</v>
      </c>
      <c r="S612" s="35">
        <f t="shared" si="95"/>
        <v>124.66</v>
      </c>
      <c r="T612" s="34">
        <v>500</v>
      </c>
    </row>
    <row r="613" spans="1:20" x14ac:dyDescent="0.25">
      <c r="A613" s="36" t="s">
        <v>740</v>
      </c>
      <c r="B613" s="36"/>
      <c r="C613" s="36" t="s">
        <v>31</v>
      </c>
      <c r="D613" s="39">
        <v>45525</v>
      </c>
      <c r="E613" s="39">
        <v>45890</v>
      </c>
      <c r="F613" s="36" t="s">
        <v>1168</v>
      </c>
      <c r="G613" s="36" t="s">
        <v>61</v>
      </c>
      <c r="H613" s="38">
        <v>14960</v>
      </c>
      <c r="I613" s="40">
        <v>12466</v>
      </c>
      <c r="J613" s="40"/>
      <c r="K613" s="40"/>
      <c r="L613" s="40"/>
      <c r="M613" s="40"/>
      <c r="N613" s="36" t="s">
        <v>2308</v>
      </c>
      <c r="O613" s="37">
        <v>45525</v>
      </c>
      <c r="P613" s="44" t="s">
        <v>58</v>
      </c>
      <c r="Q613" s="38">
        <v>352000</v>
      </c>
      <c r="R613" s="33">
        <f t="shared" si="96"/>
        <v>1869.9</v>
      </c>
      <c r="S613" s="35">
        <f t="shared" si="95"/>
        <v>124.66</v>
      </c>
      <c r="T613" s="34">
        <v>500</v>
      </c>
    </row>
    <row r="614" spans="1:20" x14ac:dyDescent="0.25">
      <c r="A614" s="36" t="s">
        <v>741</v>
      </c>
      <c r="B614" s="36"/>
      <c r="C614" s="36" t="s">
        <v>37</v>
      </c>
      <c r="D614" s="39">
        <v>45525</v>
      </c>
      <c r="E614" s="39">
        <v>45890</v>
      </c>
      <c r="F614" s="36" t="s">
        <v>1564</v>
      </c>
      <c r="G614" s="36" t="s">
        <v>61</v>
      </c>
      <c r="H614" s="38">
        <v>8800</v>
      </c>
      <c r="I614" s="40">
        <v>7155</v>
      </c>
      <c r="J614" s="40"/>
      <c r="K614" s="40"/>
      <c r="L614" s="40"/>
      <c r="M614" s="40"/>
      <c r="N614" s="36" t="s">
        <v>2309</v>
      </c>
      <c r="O614" s="37">
        <v>45525</v>
      </c>
      <c r="P614" s="44" t="s">
        <v>58</v>
      </c>
      <c r="Q614" s="38">
        <v>352000</v>
      </c>
      <c r="R614" s="33">
        <f t="shared" si="96"/>
        <v>1073.25</v>
      </c>
      <c r="S614" s="35">
        <f t="shared" si="95"/>
        <v>71.55</v>
      </c>
      <c r="T614" s="34">
        <v>500</v>
      </c>
    </row>
    <row r="615" spans="1:20" x14ac:dyDescent="0.25">
      <c r="A615" s="36" t="s">
        <v>742</v>
      </c>
      <c r="B615" s="36"/>
      <c r="C615" s="36" t="s">
        <v>34</v>
      </c>
      <c r="D615" s="39">
        <v>45525</v>
      </c>
      <c r="E615" s="39">
        <v>45890</v>
      </c>
      <c r="F615" s="36" t="s">
        <v>1565</v>
      </c>
      <c r="G615" s="36" t="s">
        <v>61</v>
      </c>
      <c r="H615" s="38">
        <v>8800</v>
      </c>
      <c r="I615" s="40">
        <v>7155</v>
      </c>
      <c r="J615" s="40"/>
      <c r="K615" s="40"/>
      <c r="L615" s="40"/>
      <c r="M615" s="40"/>
      <c r="N615" s="36" t="s">
        <v>2310</v>
      </c>
      <c r="O615" s="37">
        <v>45525</v>
      </c>
      <c r="P615" s="44" t="s">
        <v>58</v>
      </c>
      <c r="Q615" s="38">
        <v>352000</v>
      </c>
      <c r="R615" s="33">
        <f t="shared" si="96"/>
        <v>1073.25</v>
      </c>
      <c r="S615" s="35">
        <f t="shared" si="95"/>
        <v>71.55</v>
      </c>
      <c r="T615" s="34">
        <v>500</v>
      </c>
    </row>
    <row r="616" spans="1:20" x14ac:dyDescent="0.25">
      <c r="A616" s="36" t="s">
        <v>743</v>
      </c>
      <c r="B616" s="36"/>
      <c r="C616" s="36" t="s">
        <v>32</v>
      </c>
      <c r="D616" s="39">
        <v>45525</v>
      </c>
      <c r="E616" s="39">
        <v>45890</v>
      </c>
      <c r="F616" s="36" t="s">
        <v>1566</v>
      </c>
      <c r="G616" s="36" t="s">
        <v>61</v>
      </c>
      <c r="H616" s="38">
        <v>14960</v>
      </c>
      <c r="I616" s="40">
        <v>12466</v>
      </c>
      <c r="J616" s="40"/>
      <c r="K616" s="40"/>
      <c r="L616" s="40"/>
      <c r="M616" s="40"/>
      <c r="N616" s="36" t="s">
        <v>2311</v>
      </c>
      <c r="O616" s="37">
        <v>45525</v>
      </c>
      <c r="P616" s="44" t="s">
        <v>58</v>
      </c>
      <c r="Q616" s="38">
        <v>352000</v>
      </c>
      <c r="R616" s="33">
        <f t="shared" si="96"/>
        <v>1869.9</v>
      </c>
      <c r="S616" s="35">
        <f t="shared" si="95"/>
        <v>124.66</v>
      </c>
      <c r="T616" s="34">
        <v>500</v>
      </c>
    </row>
    <row r="617" spans="1:20" x14ac:dyDescent="0.25">
      <c r="A617" s="36" t="s">
        <v>744</v>
      </c>
      <c r="B617" s="36"/>
      <c r="C617" s="36" t="s">
        <v>37</v>
      </c>
      <c r="D617" s="39">
        <v>45525</v>
      </c>
      <c r="E617" s="39">
        <v>45890</v>
      </c>
      <c r="F617" s="36" t="s">
        <v>1567</v>
      </c>
      <c r="G617" s="36" t="s">
        <v>61</v>
      </c>
      <c r="H617" s="38">
        <v>8800</v>
      </c>
      <c r="I617" s="40">
        <v>7155</v>
      </c>
      <c r="J617" s="40"/>
      <c r="K617" s="40"/>
      <c r="L617" s="40"/>
      <c r="M617" s="40"/>
      <c r="N617" s="36" t="s">
        <v>2312</v>
      </c>
      <c r="O617" s="37">
        <v>45525</v>
      </c>
      <c r="P617" s="44" t="s">
        <v>58</v>
      </c>
      <c r="Q617" s="38">
        <v>352000</v>
      </c>
      <c r="R617" s="33">
        <f t="shared" si="96"/>
        <v>1073.25</v>
      </c>
      <c r="S617" s="35">
        <f t="shared" si="95"/>
        <v>71.55</v>
      </c>
      <c r="T617" s="34">
        <v>500</v>
      </c>
    </row>
    <row r="618" spans="1:20" x14ac:dyDescent="0.25">
      <c r="A618" s="36" t="s">
        <v>745</v>
      </c>
      <c r="B618" s="36"/>
      <c r="C618" s="36" t="s">
        <v>37</v>
      </c>
      <c r="D618" s="39">
        <v>45525</v>
      </c>
      <c r="E618" s="39">
        <v>45890</v>
      </c>
      <c r="F618" s="36" t="s">
        <v>1568</v>
      </c>
      <c r="G618" s="36" t="s">
        <v>64</v>
      </c>
      <c r="H618" s="38">
        <v>12475</v>
      </c>
      <c r="I618" s="40">
        <v>10323</v>
      </c>
      <c r="J618" s="40"/>
      <c r="K618" s="40"/>
      <c r="L618" s="40"/>
      <c r="M618" s="40"/>
      <c r="N618" s="36" t="s">
        <v>2313</v>
      </c>
      <c r="O618" s="37">
        <v>45525</v>
      </c>
      <c r="P618" s="44" t="s">
        <v>58</v>
      </c>
      <c r="Q618" s="38">
        <v>499000</v>
      </c>
      <c r="R618" s="33">
        <f t="shared" si="96"/>
        <v>1548.45</v>
      </c>
      <c r="S618" s="35">
        <f t="shared" si="95"/>
        <v>103.23</v>
      </c>
      <c r="T618" s="34">
        <v>500</v>
      </c>
    </row>
    <row r="619" spans="1:20" x14ac:dyDescent="0.25">
      <c r="A619" s="36" t="s">
        <v>746</v>
      </c>
      <c r="B619" s="36"/>
      <c r="C619" s="36" t="s">
        <v>34</v>
      </c>
      <c r="D619" s="39">
        <v>45525</v>
      </c>
      <c r="E619" s="39">
        <v>45890</v>
      </c>
      <c r="F619" s="36" t="s">
        <v>1569</v>
      </c>
      <c r="G619" s="36" t="s">
        <v>64</v>
      </c>
      <c r="H619" s="38">
        <v>12475</v>
      </c>
      <c r="I619" s="40">
        <v>10323</v>
      </c>
      <c r="J619" s="40"/>
      <c r="K619" s="40"/>
      <c r="L619" s="40"/>
      <c r="M619" s="40"/>
      <c r="N619" s="36" t="s">
        <v>2314</v>
      </c>
      <c r="O619" s="37">
        <v>45525</v>
      </c>
      <c r="P619" s="44" t="s">
        <v>58</v>
      </c>
      <c r="Q619" s="38">
        <v>499000</v>
      </c>
      <c r="R619" s="33">
        <f t="shared" si="96"/>
        <v>1548.45</v>
      </c>
      <c r="S619" s="35">
        <f t="shared" si="95"/>
        <v>103.23</v>
      </c>
      <c r="T619" s="34">
        <v>500</v>
      </c>
    </row>
    <row r="620" spans="1:20" x14ac:dyDescent="0.25">
      <c r="A620" s="36" t="s">
        <v>747</v>
      </c>
      <c r="B620" s="36"/>
      <c r="C620" s="36" t="s">
        <v>34</v>
      </c>
      <c r="D620" s="39">
        <v>45525</v>
      </c>
      <c r="E620" s="39">
        <v>45890</v>
      </c>
      <c r="F620" s="36" t="s">
        <v>1570</v>
      </c>
      <c r="G620" s="36" t="s">
        <v>64</v>
      </c>
      <c r="H620" s="38">
        <v>12475</v>
      </c>
      <c r="I620" s="40">
        <v>10323</v>
      </c>
      <c r="J620" s="40"/>
      <c r="K620" s="40"/>
      <c r="L620" s="40"/>
      <c r="M620" s="40"/>
      <c r="N620" s="36" t="s">
        <v>2315</v>
      </c>
      <c r="O620" s="37">
        <v>45525</v>
      </c>
      <c r="P620" s="44" t="s">
        <v>58</v>
      </c>
      <c r="Q620" s="38">
        <v>499000</v>
      </c>
      <c r="R620" s="33">
        <f t="shared" si="96"/>
        <v>1548.45</v>
      </c>
      <c r="S620" s="35">
        <f t="shared" si="95"/>
        <v>103.23</v>
      </c>
      <c r="T620" s="34">
        <v>500</v>
      </c>
    </row>
    <row r="621" spans="1:20" x14ac:dyDescent="0.25">
      <c r="A621" s="36" t="s">
        <v>748</v>
      </c>
      <c r="B621" s="36"/>
      <c r="C621" s="36" t="s">
        <v>34</v>
      </c>
      <c r="D621" s="39">
        <v>45525</v>
      </c>
      <c r="E621" s="39">
        <v>45890</v>
      </c>
      <c r="F621" s="36" t="s">
        <v>1571</v>
      </c>
      <c r="G621" s="36" t="s">
        <v>61</v>
      </c>
      <c r="H621" s="38">
        <v>8800</v>
      </c>
      <c r="I621" s="40">
        <v>7155</v>
      </c>
      <c r="J621" s="40"/>
      <c r="K621" s="40"/>
      <c r="L621" s="40"/>
      <c r="M621" s="40"/>
      <c r="N621" s="36" t="s">
        <v>2316</v>
      </c>
      <c r="O621" s="37">
        <v>45525</v>
      </c>
      <c r="P621" s="44" t="s">
        <v>58</v>
      </c>
      <c r="Q621" s="38">
        <v>352000</v>
      </c>
      <c r="R621" s="33">
        <f t="shared" si="96"/>
        <v>1073.25</v>
      </c>
      <c r="S621" s="35">
        <f t="shared" si="95"/>
        <v>71.55</v>
      </c>
      <c r="T621" s="34">
        <v>500</v>
      </c>
    </row>
    <row r="622" spans="1:20" x14ac:dyDescent="0.25">
      <c r="A622" s="36" t="s">
        <v>749</v>
      </c>
      <c r="B622" s="36"/>
      <c r="C622" s="36" t="s">
        <v>34</v>
      </c>
      <c r="D622" s="39">
        <v>45525</v>
      </c>
      <c r="E622" s="39">
        <v>45890</v>
      </c>
      <c r="F622" s="36" t="s">
        <v>1571</v>
      </c>
      <c r="G622" s="36" t="s">
        <v>61</v>
      </c>
      <c r="H622" s="38">
        <v>8800</v>
      </c>
      <c r="I622" s="40">
        <v>7155</v>
      </c>
      <c r="J622" s="40"/>
      <c r="K622" s="40"/>
      <c r="L622" s="40"/>
      <c r="M622" s="40"/>
      <c r="N622" s="36" t="s">
        <v>2316</v>
      </c>
      <c r="O622" s="37">
        <v>45525</v>
      </c>
      <c r="P622" s="44" t="s">
        <v>58</v>
      </c>
      <c r="Q622" s="38">
        <v>352000</v>
      </c>
      <c r="R622" s="33">
        <f t="shared" si="96"/>
        <v>1073.25</v>
      </c>
      <c r="S622" s="35">
        <f t="shared" si="95"/>
        <v>71.55</v>
      </c>
      <c r="T622" s="34">
        <v>500</v>
      </c>
    </row>
    <row r="623" spans="1:20" x14ac:dyDescent="0.25">
      <c r="A623" s="36" t="s">
        <v>750</v>
      </c>
      <c r="B623" s="36"/>
      <c r="C623" s="36" t="s">
        <v>34</v>
      </c>
      <c r="D623" s="39">
        <v>45525</v>
      </c>
      <c r="E623" s="39">
        <v>45890</v>
      </c>
      <c r="F623" s="36" t="s">
        <v>1572</v>
      </c>
      <c r="G623" s="36" t="s">
        <v>64</v>
      </c>
      <c r="H623" s="38">
        <v>12475</v>
      </c>
      <c r="I623" s="40">
        <v>10323</v>
      </c>
      <c r="J623" s="40"/>
      <c r="K623" s="40"/>
      <c r="L623" s="40"/>
      <c r="M623" s="40"/>
      <c r="N623" s="36" t="s">
        <v>2317</v>
      </c>
      <c r="O623" s="37">
        <v>45525</v>
      </c>
      <c r="P623" s="44" t="s">
        <v>58</v>
      </c>
      <c r="Q623" s="38">
        <v>499000</v>
      </c>
      <c r="R623" s="33">
        <f t="shared" si="96"/>
        <v>1548.45</v>
      </c>
      <c r="S623" s="35">
        <f t="shared" si="95"/>
        <v>103.23</v>
      </c>
      <c r="T623" s="34">
        <v>500</v>
      </c>
    </row>
    <row r="624" spans="1:20" x14ac:dyDescent="0.25">
      <c r="A624" s="36" t="s">
        <v>751</v>
      </c>
      <c r="B624" s="36"/>
      <c r="C624" s="36" t="s">
        <v>37</v>
      </c>
      <c r="D624" s="39">
        <v>45525</v>
      </c>
      <c r="E624" s="39">
        <v>45890</v>
      </c>
      <c r="F624" s="36" t="s">
        <v>1573</v>
      </c>
      <c r="G624" s="36" t="s">
        <v>61</v>
      </c>
      <c r="H624" s="38">
        <v>8800</v>
      </c>
      <c r="I624" s="40">
        <v>7155</v>
      </c>
      <c r="J624" s="40"/>
      <c r="K624" s="40"/>
      <c r="L624" s="40"/>
      <c r="M624" s="40"/>
      <c r="N624" s="36" t="s">
        <v>2318</v>
      </c>
      <c r="O624" s="37">
        <v>45525</v>
      </c>
      <c r="P624" s="44" t="s">
        <v>58</v>
      </c>
      <c r="Q624" s="38">
        <v>352000</v>
      </c>
      <c r="R624" s="33">
        <f t="shared" si="96"/>
        <v>1073.25</v>
      </c>
      <c r="S624" s="35">
        <f t="shared" si="95"/>
        <v>71.55</v>
      </c>
      <c r="T624" s="34">
        <v>500</v>
      </c>
    </row>
    <row r="625" spans="1:20" x14ac:dyDescent="0.25">
      <c r="A625" s="36" t="s">
        <v>752</v>
      </c>
      <c r="B625" s="36"/>
      <c r="C625" s="36" t="s">
        <v>34</v>
      </c>
      <c r="D625" s="39">
        <v>45525</v>
      </c>
      <c r="E625" s="39">
        <v>45890</v>
      </c>
      <c r="F625" s="36" t="s">
        <v>1574</v>
      </c>
      <c r="G625" s="36" t="s">
        <v>61</v>
      </c>
      <c r="H625" s="38">
        <v>8800</v>
      </c>
      <c r="I625" s="40">
        <v>7155</v>
      </c>
      <c r="J625" s="40"/>
      <c r="K625" s="40"/>
      <c r="L625" s="40"/>
      <c r="M625" s="40"/>
      <c r="N625" s="36" t="s">
        <v>2319</v>
      </c>
      <c r="O625" s="37">
        <v>45525</v>
      </c>
      <c r="P625" s="44" t="s">
        <v>58</v>
      </c>
      <c r="Q625" s="38">
        <v>352000</v>
      </c>
      <c r="R625" s="33">
        <f t="shared" si="96"/>
        <v>1073.25</v>
      </c>
      <c r="S625" s="35">
        <f t="shared" si="95"/>
        <v>71.55</v>
      </c>
      <c r="T625" s="34">
        <v>500</v>
      </c>
    </row>
    <row r="626" spans="1:20" x14ac:dyDescent="0.25">
      <c r="A626" s="36" t="s">
        <v>753</v>
      </c>
      <c r="B626" s="36"/>
      <c r="C626" s="36" t="s">
        <v>34</v>
      </c>
      <c r="D626" s="39">
        <v>45525</v>
      </c>
      <c r="E626" s="39">
        <v>45890</v>
      </c>
      <c r="F626" s="36" t="s">
        <v>1575</v>
      </c>
      <c r="G626" s="36" t="s">
        <v>61</v>
      </c>
      <c r="H626" s="38">
        <v>8800</v>
      </c>
      <c r="I626" s="40">
        <v>7155</v>
      </c>
      <c r="J626" s="40"/>
      <c r="K626" s="40"/>
      <c r="L626" s="40"/>
      <c r="M626" s="40"/>
      <c r="N626" s="36" t="s">
        <v>2320</v>
      </c>
      <c r="O626" s="37">
        <v>45525</v>
      </c>
      <c r="P626" s="44" t="s">
        <v>58</v>
      </c>
      <c r="Q626" s="38">
        <v>352000</v>
      </c>
      <c r="R626" s="33">
        <f t="shared" si="96"/>
        <v>1073.25</v>
      </c>
      <c r="S626" s="35">
        <f t="shared" si="95"/>
        <v>71.55</v>
      </c>
      <c r="T626" s="34">
        <v>500</v>
      </c>
    </row>
    <row r="627" spans="1:20" x14ac:dyDescent="0.25">
      <c r="A627" s="36" t="s">
        <v>754</v>
      </c>
      <c r="B627" s="36"/>
      <c r="C627" s="36" t="s">
        <v>34</v>
      </c>
      <c r="D627" s="39">
        <v>45525</v>
      </c>
      <c r="E627" s="39">
        <v>45890</v>
      </c>
      <c r="F627" s="36" t="s">
        <v>1575</v>
      </c>
      <c r="G627" s="36" t="s">
        <v>61</v>
      </c>
      <c r="H627" s="38">
        <v>8800</v>
      </c>
      <c r="I627" s="40">
        <v>7155</v>
      </c>
      <c r="J627" s="40"/>
      <c r="K627" s="40"/>
      <c r="L627" s="40"/>
      <c r="M627" s="40"/>
      <c r="N627" s="36" t="s">
        <v>2320</v>
      </c>
      <c r="O627" s="37">
        <v>45525</v>
      </c>
      <c r="P627" s="44" t="s">
        <v>58</v>
      </c>
      <c r="Q627" s="38">
        <v>352000</v>
      </c>
      <c r="R627" s="33">
        <f t="shared" si="96"/>
        <v>1073.25</v>
      </c>
      <c r="S627" s="35">
        <f t="shared" si="95"/>
        <v>71.55</v>
      </c>
      <c r="T627" s="34">
        <v>500</v>
      </c>
    </row>
    <row r="628" spans="1:20" x14ac:dyDescent="0.25">
      <c r="A628" s="36" t="s">
        <v>755</v>
      </c>
      <c r="B628" s="36"/>
      <c r="C628" s="36" t="s">
        <v>34</v>
      </c>
      <c r="D628" s="39">
        <v>45525</v>
      </c>
      <c r="E628" s="39">
        <v>45890</v>
      </c>
      <c r="F628" s="36" t="s">
        <v>1257</v>
      </c>
      <c r="G628" s="36" t="s">
        <v>61</v>
      </c>
      <c r="H628" s="38">
        <v>8800</v>
      </c>
      <c r="I628" s="40">
        <v>7155</v>
      </c>
      <c r="J628" s="40"/>
      <c r="K628" s="40"/>
      <c r="L628" s="40"/>
      <c r="M628" s="40"/>
      <c r="N628" s="36" t="s">
        <v>2321</v>
      </c>
      <c r="O628" s="37">
        <v>45525</v>
      </c>
      <c r="P628" s="44" t="s">
        <v>58</v>
      </c>
      <c r="Q628" s="38">
        <v>352000</v>
      </c>
      <c r="R628" s="33">
        <f t="shared" si="96"/>
        <v>1073.25</v>
      </c>
      <c r="S628" s="35">
        <f t="shared" si="95"/>
        <v>71.55</v>
      </c>
      <c r="T628" s="34">
        <v>500</v>
      </c>
    </row>
    <row r="629" spans="1:20" x14ac:dyDescent="0.25">
      <c r="A629" s="36" t="s">
        <v>756</v>
      </c>
      <c r="B629" s="36"/>
      <c r="C629" s="36" t="s">
        <v>35</v>
      </c>
      <c r="D629" s="39">
        <v>45525</v>
      </c>
      <c r="E629" s="39">
        <v>45890</v>
      </c>
      <c r="F629" s="36" t="s">
        <v>1576</v>
      </c>
      <c r="G629" s="36" t="s">
        <v>64</v>
      </c>
      <c r="H629" s="38">
        <v>21208</v>
      </c>
      <c r="I629" s="40">
        <v>17852</v>
      </c>
      <c r="J629" s="40"/>
      <c r="K629" s="40"/>
      <c r="L629" s="40"/>
      <c r="M629" s="40"/>
      <c r="N629" s="36" t="s">
        <v>2322</v>
      </c>
      <c r="O629" s="37">
        <v>45525</v>
      </c>
      <c r="P629" s="44" t="s">
        <v>58</v>
      </c>
      <c r="Q629" s="38">
        <v>499000</v>
      </c>
      <c r="R629" s="33">
        <f t="shared" si="96"/>
        <v>2677.8</v>
      </c>
      <c r="S629" s="35">
        <f t="shared" si="95"/>
        <v>178.52</v>
      </c>
      <c r="T629" s="34">
        <v>500</v>
      </c>
    </row>
    <row r="630" spans="1:20" x14ac:dyDescent="0.25">
      <c r="A630" s="36" t="s">
        <v>757</v>
      </c>
      <c r="B630" s="36"/>
      <c r="C630" s="36" t="s">
        <v>31</v>
      </c>
      <c r="D630" s="39">
        <v>45525</v>
      </c>
      <c r="E630" s="39">
        <v>45890</v>
      </c>
      <c r="F630" s="36" t="s">
        <v>1577</v>
      </c>
      <c r="G630" s="36" t="s">
        <v>61</v>
      </c>
      <c r="H630" s="38">
        <v>14960</v>
      </c>
      <c r="I630" s="40">
        <v>12466</v>
      </c>
      <c r="J630" s="40"/>
      <c r="K630" s="40"/>
      <c r="L630" s="40"/>
      <c r="M630" s="40"/>
      <c r="N630" s="36" t="s">
        <v>2323</v>
      </c>
      <c r="O630" s="37">
        <v>45525</v>
      </c>
      <c r="P630" s="44" t="s">
        <v>58</v>
      </c>
      <c r="Q630" s="38">
        <v>352000</v>
      </c>
      <c r="R630" s="33">
        <f t="shared" si="96"/>
        <v>1869.9</v>
      </c>
      <c r="S630" s="35">
        <f t="shared" si="95"/>
        <v>124.66</v>
      </c>
      <c r="T630" s="34">
        <v>500</v>
      </c>
    </row>
    <row r="631" spans="1:20" x14ac:dyDescent="0.25">
      <c r="A631" s="36" t="s">
        <v>758</v>
      </c>
      <c r="B631" s="36"/>
      <c r="C631" s="36" t="s">
        <v>30</v>
      </c>
      <c r="D631" s="39">
        <v>45525</v>
      </c>
      <c r="E631" s="39">
        <v>45890</v>
      </c>
      <c r="F631" s="36" t="s">
        <v>1578</v>
      </c>
      <c r="G631" s="36" t="s">
        <v>61</v>
      </c>
      <c r="H631" s="38">
        <v>14960</v>
      </c>
      <c r="I631" s="40">
        <v>12466</v>
      </c>
      <c r="J631" s="40"/>
      <c r="K631" s="40"/>
      <c r="L631" s="40"/>
      <c r="M631" s="40"/>
      <c r="N631" s="36" t="s">
        <v>2324</v>
      </c>
      <c r="O631" s="37">
        <v>45525</v>
      </c>
      <c r="P631" s="44" t="s">
        <v>58</v>
      </c>
      <c r="Q631" s="38">
        <v>352000</v>
      </c>
      <c r="R631" s="33">
        <f t="shared" si="96"/>
        <v>1869.9</v>
      </c>
      <c r="S631" s="35">
        <f t="shared" si="95"/>
        <v>124.66</v>
      </c>
      <c r="T631" s="34">
        <v>500</v>
      </c>
    </row>
    <row r="632" spans="1:20" x14ac:dyDescent="0.25">
      <c r="A632" s="36" t="s">
        <v>759</v>
      </c>
      <c r="B632" s="36"/>
      <c r="C632" s="36" t="s">
        <v>37</v>
      </c>
      <c r="D632" s="39">
        <v>45525</v>
      </c>
      <c r="E632" s="39">
        <v>45890</v>
      </c>
      <c r="F632" s="36" t="s">
        <v>1579</v>
      </c>
      <c r="G632" s="36" t="s">
        <v>61</v>
      </c>
      <c r="H632" s="38">
        <v>8800</v>
      </c>
      <c r="I632" s="40">
        <v>7155</v>
      </c>
      <c r="J632" s="40"/>
      <c r="K632" s="40"/>
      <c r="L632" s="40"/>
      <c r="M632" s="40"/>
      <c r="N632" s="36" t="s">
        <v>2325</v>
      </c>
      <c r="O632" s="37">
        <v>45525</v>
      </c>
      <c r="P632" s="44" t="s">
        <v>58</v>
      </c>
      <c r="Q632" s="38">
        <v>352000</v>
      </c>
      <c r="R632" s="33">
        <f t="shared" si="96"/>
        <v>1073.25</v>
      </c>
      <c r="S632" s="35">
        <f t="shared" si="95"/>
        <v>71.55</v>
      </c>
      <c r="T632" s="34">
        <v>500</v>
      </c>
    </row>
    <row r="633" spans="1:20" x14ac:dyDescent="0.25">
      <c r="A633" s="36" t="s">
        <v>760</v>
      </c>
      <c r="B633" s="36"/>
      <c r="C633" s="36" t="s">
        <v>37</v>
      </c>
      <c r="D633" s="39">
        <v>45525</v>
      </c>
      <c r="E633" s="39">
        <v>45890</v>
      </c>
      <c r="F633" s="36" t="s">
        <v>1580</v>
      </c>
      <c r="G633" s="36" t="s">
        <v>64</v>
      </c>
      <c r="H633" s="38">
        <v>12475</v>
      </c>
      <c r="I633" s="40">
        <v>10323</v>
      </c>
      <c r="J633" s="40"/>
      <c r="K633" s="40"/>
      <c r="L633" s="40"/>
      <c r="M633" s="40"/>
      <c r="N633" s="36" t="s">
        <v>2326</v>
      </c>
      <c r="O633" s="37">
        <v>45525</v>
      </c>
      <c r="P633" s="44" t="s">
        <v>58</v>
      </c>
      <c r="Q633" s="38">
        <v>499000</v>
      </c>
      <c r="R633" s="33">
        <f t="shared" si="96"/>
        <v>1548.45</v>
      </c>
      <c r="S633" s="35">
        <f t="shared" si="95"/>
        <v>103.23</v>
      </c>
      <c r="T633" s="34">
        <v>500</v>
      </c>
    </row>
    <row r="634" spans="1:20" x14ac:dyDescent="0.25">
      <c r="A634" s="36" t="s">
        <v>761</v>
      </c>
      <c r="B634" s="36"/>
      <c r="C634" s="36" t="s">
        <v>53</v>
      </c>
      <c r="D634" s="39">
        <v>45525</v>
      </c>
      <c r="E634" s="39">
        <v>45890</v>
      </c>
      <c r="F634" s="36" t="s">
        <v>1581</v>
      </c>
      <c r="G634" s="36" t="s">
        <v>61</v>
      </c>
      <c r="H634" s="38">
        <v>8800</v>
      </c>
      <c r="I634" s="40">
        <v>7155</v>
      </c>
      <c r="J634" s="40"/>
      <c r="K634" s="40"/>
      <c r="L634" s="40"/>
      <c r="M634" s="40"/>
      <c r="N634" s="36" t="s">
        <v>2327</v>
      </c>
      <c r="O634" s="37">
        <v>45525</v>
      </c>
      <c r="P634" s="44" t="s">
        <v>58</v>
      </c>
      <c r="Q634" s="38">
        <v>352000</v>
      </c>
      <c r="R634" s="33">
        <f t="shared" si="96"/>
        <v>1073.25</v>
      </c>
      <c r="S634" s="35">
        <f t="shared" si="95"/>
        <v>71.55</v>
      </c>
      <c r="T634" s="34">
        <v>500</v>
      </c>
    </row>
    <row r="635" spans="1:20" x14ac:dyDescent="0.25">
      <c r="A635" s="36" t="s">
        <v>762</v>
      </c>
      <c r="B635" s="36"/>
      <c r="C635" s="36" t="s">
        <v>37</v>
      </c>
      <c r="D635" s="39">
        <v>45525</v>
      </c>
      <c r="E635" s="39">
        <v>45890</v>
      </c>
      <c r="F635" s="36" t="s">
        <v>1582</v>
      </c>
      <c r="G635" s="36" t="s">
        <v>61</v>
      </c>
      <c r="H635" s="38">
        <v>8800</v>
      </c>
      <c r="I635" s="40">
        <v>7155</v>
      </c>
      <c r="J635" s="40"/>
      <c r="K635" s="40"/>
      <c r="L635" s="40"/>
      <c r="M635" s="40"/>
      <c r="N635" s="36" t="s">
        <v>2328</v>
      </c>
      <c r="O635" s="37">
        <v>45525</v>
      </c>
      <c r="P635" s="44" t="s">
        <v>58</v>
      </c>
      <c r="Q635" s="38">
        <v>352000</v>
      </c>
      <c r="R635" s="33">
        <f t="shared" si="96"/>
        <v>1073.25</v>
      </c>
      <c r="S635" s="35">
        <f t="shared" si="95"/>
        <v>71.55</v>
      </c>
      <c r="T635" s="34">
        <v>500</v>
      </c>
    </row>
    <row r="636" spans="1:20" x14ac:dyDescent="0.25">
      <c r="A636" s="36" t="s">
        <v>763</v>
      </c>
      <c r="B636" s="36"/>
      <c r="C636" s="36" t="s">
        <v>38</v>
      </c>
      <c r="D636" s="39">
        <v>45525</v>
      </c>
      <c r="E636" s="39">
        <v>45890</v>
      </c>
      <c r="F636" s="36" t="s">
        <v>1583</v>
      </c>
      <c r="G636" s="36" t="s">
        <v>61</v>
      </c>
      <c r="H636" s="38">
        <v>14960</v>
      </c>
      <c r="I636" s="40">
        <v>12466</v>
      </c>
      <c r="J636" s="40"/>
      <c r="K636" s="40"/>
      <c r="L636" s="40"/>
      <c r="M636" s="40"/>
      <c r="N636" s="36" t="s">
        <v>2329</v>
      </c>
      <c r="O636" s="37">
        <v>45525</v>
      </c>
      <c r="P636" s="44" t="s">
        <v>58</v>
      </c>
      <c r="Q636" s="38">
        <v>352000</v>
      </c>
      <c r="R636" s="33">
        <f t="shared" si="96"/>
        <v>1869.9</v>
      </c>
      <c r="S636" s="35">
        <f t="shared" si="95"/>
        <v>124.66</v>
      </c>
      <c r="T636" s="34">
        <v>500</v>
      </c>
    </row>
    <row r="637" spans="1:20" x14ac:dyDescent="0.25">
      <c r="A637" s="36" t="s">
        <v>764</v>
      </c>
      <c r="B637" s="36"/>
      <c r="C637" s="36" t="s">
        <v>38</v>
      </c>
      <c r="D637" s="39">
        <v>45525</v>
      </c>
      <c r="E637" s="39">
        <v>45890</v>
      </c>
      <c r="F637" s="36" t="s">
        <v>1584</v>
      </c>
      <c r="G637" s="36" t="s">
        <v>61</v>
      </c>
      <c r="H637" s="38">
        <v>14960</v>
      </c>
      <c r="I637" s="40">
        <v>12466</v>
      </c>
      <c r="J637" s="40"/>
      <c r="K637" s="40"/>
      <c r="L637" s="40"/>
      <c r="M637" s="40"/>
      <c r="N637" s="36" t="s">
        <v>2330</v>
      </c>
      <c r="O637" s="37">
        <v>45525</v>
      </c>
      <c r="P637" s="44" t="s">
        <v>58</v>
      </c>
      <c r="Q637" s="38">
        <v>352000</v>
      </c>
      <c r="R637" s="33">
        <f t="shared" si="96"/>
        <v>1869.9</v>
      </c>
      <c r="S637" s="35">
        <f t="shared" si="95"/>
        <v>124.66</v>
      </c>
      <c r="T637" s="34">
        <v>500</v>
      </c>
    </row>
    <row r="638" spans="1:20" x14ac:dyDescent="0.25">
      <c r="A638" s="36" t="s">
        <v>765</v>
      </c>
      <c r="B638" s="36"/>
      <c r="C638" s="36" t="s">
        <v>38</v>
      </c>
      <c r="D638" s="39">
        <v>45891</v>
      </c>
      <c r="E638" s="39">
        <v>46256</v>
      </c>
      <c r="F638" s="36" t="s">
        <v>1584</v>
      </c>
      <c r="G638" s="36" t="s">
        <v>61</v>
      </c>
      <c r="H638" s="38">
        <v>14960</v>
      </c>
      <c r="I638" s="40">
        <v>12466</v>
      </c>
      <c r="J638" s="40"/>
      <c r="K638" s="40"/>
      <c r="L638" s="40"/>
      <c r="M638" s="40"/>
      <c r="N638" s="36" t="s">
        <v>2330</v>
      </c>
      <c r="O638" s="37">
        <v>45525</v>
      </c>
      <c r="P638" s="44" t="s">
        <v>58</v>
      </c>
      <c r="Q638" s="38">
        <v>352000</v>
      </c>
      <c r="R638" s="33">
        <f t="shared" si="96"/>
        <v>1869.9</v>
      </c>
      <c r="S638" s="35">
        <f t="shared" si="95"/>
        <v>124.66</v>
      </c>
      <c r="T638" s="34">
        <v>500</v>
      </c>
    </row>
    <row r="639" spans="1:20" x14ac:dyDescent="0.25">
      <c r="A639" s="36" t="s">
        <v>766</v>
      </c>
      <c r="B639" s="36"/>
      <c r="C639" s="36" t="s">
        <v>38</v>
      </c>
      <c r="D639" s="39">
        <v>45525</v>
      </c>
      <c r="E639" s="39">
        <v>45890</v>
      </c>
      <c r="F639" s="36" t="s">
        <v>1585</v>
      </c>
      <c r="G639" s="36" t="s">
        <v>61</v>
      </c>
      <c r="H639" s="38">
        <v>14960</v>
      </c>
      <c r="I639" s="40">
        <v>12466</v>
      </c>
      <c r="J639" s="40"/>
      <c r="K639" s="40"/>
      <c r="L639" s="40"/>
      <c r="M639" s="40"/>
      <c r="N639" s="36" t="s">
        <v>2331</v>
      </c>
      <c r="O639" s="37">
        <v>45525</v>
      </c>
      <c r="P639" s="44" t="s">
        <v>58</v>
      </c>
      <c r="Q639" s="38">
        <v>352000</v>
      </c>
      <c r="R639" s="33">
        <f t="shared" si="96"/>
        <v>1869.9</v>
      </c>
      <c r="S639" s="35">
        <f t="shared" si="95"/>
        <v>124.66</v>
      </c>
      <c r="T639" s="34">
        <v>500</v>
      </c>
    </row>
    <row r="640" spans="1:20" x14ac:dyDescent="0.25">
      <c r="A640" s="36" t="s">
        <v>767</v>
      </c>
      <c r="B640" s="36"/>
      <c r="C640" s="36" t="s">
        <v>38</v>
      </c>
      <c r="D640" s="39">
        <v>45525</v>
      </c>
      <c r="E640" s="39">
        <v>45890</v>
      </c>
      <c r="F640" s="36" t="s">
        <v>1586</v>
      </c>
      <c r="G640" s="36" t="s">
        <v>61</v>
      </c>
      <c r="H640" s="38">
        <v>14960</v>
      </c>
      <c r="I640" s="40">
        <v>12466</v>
      </c>
      <c r="J640" s="40"/>
      <c r="K640" s="40"/>
      <c r="L640" s="40"/>
      <c r="M640" s="40"/>
      <c r="N640" s="36" t="s">
        <v>2332</v>
      </c>
      <c r="O640" s="37">
        <v>45525</v>
      </c>
      <c r="P640" s="44" t="s">
        <v>58</v>
      </c>
      <c r="Q640" s="38">
        <v>352000</v>
      </c>
      <c r="R640" s="33">
        <f t="shared" si="96"/>
        <v>1869.9</v>
      </c>
      <c r="S640" s="35">
        <f t="shared" si="95"/>
        <v>124.66</v>
      </c>
      <c r="T640" s="34">
        <v>500</v>
      </c>
    </row>
    <row r="641" spans="1:20" x14ac:dyDescent="0.25">
      <c r="A641" s="36" t="s">
        <v>768</v>
      </c>
      <c r="B641" s="36"/>
      <c r="C641" s="36" t="s">
        <v>38</v>
      </c>
      <c r="D641" s="39">
        <v>45891</v>
      </c>
      <c r="E641" s="39">
        <v>46256</v>
      </c>
      <c r="F641" s="36" t="s">
        <v>1586</v>
      </c>
      <c r="G641" s="36" t="s">
        <v>61</v>
      </c>
      <c r="H641" s="38">
        <v>14960</v>
      </c>
      <c r="I641" s="40">
        <v>12466</v>
      </c>
      <c r="J641" s="40"/>
      <c r="K641" s="40"/>
      <c r="L641" s="40"/>
      <c r="M641" s="40"/>
      <c r="N641" s="36" t="s">
        <v>2332</v>
      </c>
      <c r="O641" s="37">
        <v>45525</v>
      </c>
      <c r="P641" s="44" t="s">
        <v>58</v>
      </c>
      <c r="Q641" s="38">
        <v>352000</v>
      </c>
      <c r="R641" s="33">
        <f t="shared" si="96"/>
        <v>1869.9</v>
      </c>
      <c r="S641" s="35">
        <f t="shared" si="95"/>
        <v>124.66</v>
      </c>
      <c r="T641" s="34">
        <v>500</v>
      </c>
    </row>
    <row r="642" spans="1:20" x14ac:dyDescent="0.25">
      <c r="A642" s="36" t="s">
        <v>769</v>
      </c>
      <c r="B642" s="36"/>
      <c r="C642" s="36" t="s">
        <v>38</v>
      </c>
      <c r="D642" s="39">
        <v>45525</v>
      </c>
      <c r="E642" s="39">
        <v>45890</v>
      </c>
      <c r="F642" s="36" t="s">
        <v>1587</v>
      </c>
      <c r="G642" s="36" t="s">
        <v>61</v>
      </c>
      <c r="H642" s="38">
        <v>14960</v>
      </c>
      <c r="I642" s="40">
        <v>12466</v>
      </c>
      <c r="J642" s="40"/>
      <c r="K642" s="40"/>
      <c r="L642" s="40"/>
      <c r="M642" s="40"/>
      <c r="N642" s="36" t="s">
        <v>2333</v>
      </c>
      <c r="O642" s="37">
        <v>45525</v>
      </c>
      <c r="P642" s="44" t="s">
        <v>58</v>
      </c>
      <c r="Q642" s="38">
        <v>352000</v>
      </c>
      <c r="R642" s="33">
        <f t="shared" si="96"/>
        <v>1869.9</v>
      </c>
      <c r="S642" s="35">
        <f t="shared" si="95"/>
        <v>124.66</v>
      </c>
      <c r="T642" s="34">
        <v>500</v>
      </c>
    </row>
    <row r="643" spans="1:20" x14ac:dyDescent="0.25">
      <c r="A643" s="36" t="s">
        <v>770</v>
      </c>
      <c r="B643" s="36"/>
      <c r="C643" s="36" t="s">
        <v>38</v>
      </c>
      <c r="D643" s="39">
        <v>45891</v>
      </c>
      <c r="E643" s="39">
        <v>46256</v>
      </c>
      <c r="F643" s="36" t="s">
        <v>1587</v>
      </c>
      <c r="G643" s="36" t="s">
        <v>61</v>
      </c>
      <c r="H643" s="38">
        <v>14960</v>
      </c>
      <c r="I643" s="40">
        <v>12466</v>
      </c>
      <c r="J643" s="40"/>
      <c r="K643" s="40"/>
      <c r="L643" s="40"/>
      <c r="M643" s="40"/>
      <c r="N643" s="36" t="s">
        <v>2333</v>
      </c>
      <c r="O643" s="37">
        <v>45525</v>
      </c>
      <c r="P643" s="44" t="s">
        <v>58</v>
      </c>
      <c r="Q643" s="38">
        <v>352000</v>
      </c>
      <c r="R643" s="33">
        <f t="shared" si="96"/>
        <v>1869.9</v>
      </c>
      <c r="S643" s="35">
        <f t="shared" ref="S643:S706" si="97">I643*1/100</f>
        <v>124.66</v>
      </c>
      <c r="T643" s="34">
        <v>500</v>
      </c>
    </row>
    <row r="644" spans="1:20" x14ac:dyDescent="0.25">
      <c r="A644" s="36" t="s">
        <v>771</v>
      </c>
      <c r="B644" s="36"/>
      <c r="C644" s="36" t="s">
        <v>38</v>
      </c>
      <c r="D644" s="39">
        <v>45525</v>
      </c>
      <c r="E644" s="39">
        <v>45890</v>
      </c>
      <c r="F644" s="36" t="s">
        <v>1588</v>
      </c>
      <c r="G644" s="36" t="s">
        <v>61</v>
      </c>
      <c r="H644" s="38">
        <v>14960</v>
      </c>
      <c r="I644" s="40">
        <v>12466</v>
      </c>
      <c r="J644" s="40"/>
      <c r="K644" s="40"/>
      <c r="L644" s="40"/>
      <c r="M644" s="40"/>
      <c r="N644" s="36" t="s">
        <v>2334</v>
      </c>
      <c r="O644" s="37">
        <v>45525</v>
      </c>
      <c r="P644" s="44" t="s">
        <v>58</v>
      </c>
      <c r="Q644" s="38">
        <v>352000</v>
      </c>
      <c r="R644" s="33">
        <f t="shared" ref="R644:R707" si="98">I644*15/100</f>
        <v>1869.9</v>
      </c>
      <c r="S644" s="35">
        <f t="shared" si="97"/>
        <v>124.66</v>
      </c>
      <c r="T644" s="34">
        <v>500</v>
      </c>
    </row>
    <row r="645" spans="1:20" x14ac:dyDescent="0.25">
      <c r="A645" s="36" t="s">
        <v>772</v>
      </c>
      <c r="B645" s="36"/>
      <c r="C645" s="36" t="s">
        <v>38</v>
      </c>
      <c r="D645" s="39">
        <v>45891</v>
      </c>
      <c r="E645" s="39">
        <v>46256</v>
      </c>
      <c r="F645" s="36" t="s">
        <v>1588</v>
      </c>
      <c r="G645" s="36" t="s">
        <v>61</v>
      </c>
      <c r="H645" s="38">
        <v>14960</v>
      </c>
      <c r="I645" s="40">
        <v>12466</v>
      </c>
      <c r="J645" s="40"/>
      <c r="K645" s="40"/>
      <c r="L645" s="40"/>
      <c r="M645" s="40"/>
      <c r="N645" s="36" t="s">
        <v>2334</v>
      </c>
      <c r="O645" s="37">
        <v>45525</v>
      </c>
      <c r="P645" s="44" t="s">
        <v>58</v>
      </c>
      <c r="Q645" s="38">
        <v>352000</v>
      </c>
      <c r="R645" s="33">
        <f t="shared" si="98"/>
        <v>1869.9</v>
      </c>
      <c r="S645" s="35">
        <f t="shared" si="97"/>
        <v>124.66</v>
      </c>
      <c r="T645" s="34">
        <v>500</v>
      </c>
    </row>
    <row r="646" spans="1:20" x14ac:dyDescent="0.25">
      <c r="A646" s="36" t="s">
        <v>773</v>
      </c>
      <c r="B646" s="36"/>
      <c r="C646" s="36" t="s">
        <v>36</v>
      </c>
      <c r="D646" s="39">
        <v>45526</v>
      </c>
      <c r="E646" s="39">
        <v>45891</v>
      </c>
      <c r="F646" s="36" t="s">
        <v>1589</v>
      </c>
      <c r="G646" s="36" t="s">
        <v>61</v>
      </c>
      <c r="H646" s="38">
        <v>14960</v>
      </c>
      <c r="I646" s="40">
        <v>12466</v>
      </c>
      <c r="J646" s="40"/>
      <c r="K646" s="40"/>
      <c r="L646" s="40"/>
      <c r="M646" s="40"/>
      <c r="N646" s="36" t="s">
        <v>2335</v>
      </c>
      <c r="O646" s="37">
        <v>45526</v>
      </c>
      <c r="P646" s="44" t="s">
        <v>58</v>
      </c>
      <c r="Q646" s="38">
        <v>352000</v>
      </c>
      <c r="R646" s="33">
        <f t="shared" si="98"/>
        <v>1869.9</v>
      </c>
      <c r="S646" s="35">
        <f t="shared" si="97"/>
        <v>124.66</v>
      </c>
      <c r="T646" s="34">
        <v>500</v>
      </c>
    </row>
    <row r="647" spans="1:20" x14ac:dyDescent="0.25">
      <c r="A647" s="36" t="s">
        <v>774</v>
      </c>
      <c r="B647" s="36"/>
      <c r="C647" s="36" t="s">
        <v>36</v>
      </c>
      <c r="D647" s="39">
        <v>45526</v>
      </c>
      <c r="E647" s="39">
        <v>45891</v>
      </c>
      <c r="F647" s="36" t="s">
        <v>1590</v>
      </c>
      <c r="G647" s="36" t="s">
        <v>61</v>
      </c>
      <c r="H647" s="38">
        <v>14960</v>
      </c>
      <c r="I647" s="40">
        <v>12466</v>
      </c>
      <c r="J647" s="40"/>
      <c r="K647" s="40"/>
      <c r="L647" s="40"/>
      <c r="M647" s="40"/>
      <c r="N647" s="36" t="s">
        <v>2336</v>
      </c>
      <c r="O647" s="37">
        <v>45526</v>
      </c>
      <c r="P647" s="44" t="s">
        <v>58</v>
      </c>
      <c r="Q647" s="38">
        <v>352000</v>
      </c>
      <c r="R647" s="33">
        <f t="shared" si="98"/>
        <v>1869.9</v>
      </c>
      <c r="S647" s="35">
        <f t="shared" si="97"/>
        <v>124.66</v>
      </c>
      <c r="T647" s="34">
        <v>500</v>
      </c>
    </row>
    <row r="648" spans="1:20" x14ac:dyDescent="0.25">
      <c r="A648" s="36" t="s">
        <v>775</v>
      </c>
      <c r="B648" s="36"/>
      <c r="C648" s="36" t="s">
        <v>39</v>
      </c>
      <c r="D648" s="39">
        <v>45526</v>
      </c>
      <c r="E648" s="39">
        <v>45891</v>
      </c>
      <c r="F648" s="36" t="s">
        <v>1591</v>
      </c>
      <c r="G648" s="36" t="s">
        <v>61</v>
      </c>
      <c r="H648" s="38">
        <v>14960</v>
      </c>
      <c r="I648" s="40">
        <v>12466</v>
      </c>
      <c r="J648" s="40"/>
      <c r="K648" s="40"/>
      <c r="L648" s="40"/>
      <c r="M648" s="40"/>
      <c r="N648" s="36" t="s">
        <v>2337</v>
      </c>
      <c r="O648" s="37">
        <v>45526</v>
      </c>
      <c r="P648" s="44" t="s">
        <v>58</v>
      </c>
      <c r="Q648" s="38">
        <v>352000</v>
      </c>
      <c r="R648" s="33">
        <f t="shared" si="98"/>
        <v>1869.9</v>
      </c>
      <c r="S648" s="35">
        <f t="shared" si="97"/>
        <v>124.66</v>
      </c>
      <c r="T648" s="34">
        <v>500</v>
      </c>
    </row>
    <row r="649" spans="1:20" x14ac:dyDescent="0.25">
      <c r="A649" s="36" t="s">
        <v>776</v>
      </c>
      <c r="B649" s="36"/>
      <c r="C649" s="36" t="s">
        <v>35</v>
      </c>
      <c r="D649" s="39">
        <v>45526</v>
      </c>
      <c r="E649" s="39">
        <v>45891</v>
      </c>
      <c r="F649" s="36" t="s">
        <v>1592</v>
      </c>
      <c r="G649" s="36" t="s">
        <v>61</v>
      </c>
      <c r="H649" s="38">
        <v>14960</v>
      </c>
      <c r="I649" s="40">
        <v>12466</v>
      </c>
      <c r="J649" s="40"/>
      <c r="K649" s="40"/>
      <c r="L649" s="40"/>
      <c r="M649" s="40"/>
      <c r="N649" s="36" t="s">
        <v>2338</v>
      </c>
      <c r="O649" s="37">
        <v>45526</v>
      </c>
      <c r="P649" s="44" t="s">
        <v>58</v>
      </c>
      <c r="Q649" s="38">
        <v>352000</v>
      </c>
      <c r="R649" s="33">
        <f t="shared" si="98"/>
        <v>1869.9</v>
      </c>
      <c r="S649" s="35">
        <f t="shared" si="97"/>
        <v>124.66</v>
      </c>
      <c r="T649" s="34">
        <v>500</v>
      </c>
    </row>
    <row r="650" spans="1:20" x14ac:dyDescent="0.25">
      <c r="A650" s="36" t="s">
        <v>777</v>
      </c>
      <c r="B650" s="36"/>
      <c r="C650" s="36" t="s">
        <v>35</v>
      </c>
      <c r="D650" s="39">
        <v>45892</v>
      </c>
      <c r="E650" s="39">
        <v>46257</v>
      </c>
      <c r="F650" s="36" t="s">
        <v>1592</v>
      </c>
      <c r="G650" s="36" t="s">
        <v>61</v>
      </c>
      <c r="H650" s="38">
        <v>14960</v>
      </c>
      <c r="I650" s="40">
        <v>12466</v>
      </c>
      <c r="J650" s="40"/>
      <c r="K650" s="40"/>
      <c r="L650" s="40"/>
      <c r="M650" s="40"/>
      <c r="N650" s="36" t="s">
        <v>2338</v>
      </c>
      <c r="O650" s="37">
        <v>45526</v>
      </c>
      <c r="P650" s="44" t="s">
        <v>58</v>
      </c>
      <c r="Q650" s="38">
        <v>352000</v>
      </c>
      <c r="R650" s="33">
        <f t="shared" si="98"/>
        <v>1869.9</v>
      </c>
      <c r="S650" s="35">
        <f t="shared" si="97"/>
        <v>124.66</v>
      </c>
      <c r="T650" s="34">
        <v>500</v>
      </c>
    </row>
    <row r="651" spans="1:20" x14ac:dyDescent="0.25">
      <c r="A651" s="36" t="s">
        <v>778</v>
      </c>
      <c r="B651" s="36"/>
      <c r="C651" s="36" t="s">
        <v>34</v>
      </c>
      <c r="D651" s="39">
        <v>45526</v>
      </c>
      <c r="E651" s="39">
        <v>45891</v>
      </c>
      <c r="F651" s="36" t="s">
        <v>1593</v>
      </c>
      <c r="G651" s="36" t="s">
        <v>62</v>
      </c>
      <c r="H651" s="38">
        <v>9550</v>
      </c>
      <c r="I651" s="40">
        <v>7802</v>
      </c>
      <c r="J651" s="40"/>
      <c r="K651" s="40"/>
      <c r="L651" s="40"/>
      <c r="M651" s="40"/>
      <c r="N651" s="36" t="s">
        <v>2339</v>
      </c>
      <c r="O651" s="37">
        <v>45526</v>
      </c>
      <c r="P651" s="44" t="s">
        <v>58</v>
      </c>
      <c r="Q651" s="38">
        <v>382000</v>
      </c>
      <c r="R651" s="33">
        <f t="shared" si="98"/>
        <v>1170.3</v>
      </c>
      <c r="S651" s="35">
        <f t="shared" si="97"/>
        <v>78.02</v>
      </c>
      <c r="T651" s="34">
        <v>500</v>
      </c>
    </row>
    <row r="652" spans="1:20" x14ac:dyDescent="0.25">
      <c r="A652" s="36" t="s">
        <v>779</v>
      </c>
      <c r="B652" s="36"/>
      <c r="C652" s="36" t="s">
        <v>34</v>
      </c>
      <c r="D652" s="39">
        <v>45526</v>
      </c>
      <c r="E652" s="39">
        <v>45891</v>
      </c>
      <c r="F652" s="36" t="s">
        <v>121</v>
      </c>
      <c r="G652" s="36" t="s">
        <v>64</v>
      </c>
      <c r="H652" s="38">
        <v>12475</v>
      </c>
      <c r="I652" s="40">
        <v>10323</v>
      </c>
      <c r="J652" s="40"/>
      <c r="K652" s="40"/>
      <c r="L652" s="40"/>
      <c r="M652" s="40"/>
      <c r="N652" s="36" t="s">
        <v>2340</v>
      </c>
      <c r="O652" s="37">
        <v>45526</v>
      </c>
      <c r="P652" s="44" t="s">
        <v>58</v>
      </c>
      <c r="Q652" s="38">
        <v>499000</v>
      </c>
      <c r="R652" s="33">
        <f t="shared" si="98"/>
        <v>1548.45</v>
      </c>
      <c r="S652" s="35">
        <f t="shared" si="97"/>
        <v>103.23</v>
      </c>
      <c r="T652" s="34">
        <v>500</v>
      </c>
    </row>
    <row r="653" spans="1:20" x14ac:dyDescent="0.25">
      <c r="A653" s="36" t="s">
        <v>780</v>
      </c>
      <c r="B653" s="36"/>
      <c r="C653" s="36" t="s">
        <v>31</v>
      </c>
      <c r="D653" s="39">
        <v>45526</v>
      </c>
      <c r="E653" s="39">
        <v>45891</v>
      </c>
      <c r="F653" s="36" t="s">
        <v>1594</v>
      </c>
      <c r="G653" s="36" t="s">
        <v>61</v>
      </c>
      <c r="H653" s="38">
        <v>14960</v>
      </c>
      <c r="I653" s="40">
        <v>12466</v>
      </c>
      <c r="J653" s="40"/>
      <c r="K653" s="40"/>
      <c r="L653" s="40"/>
      <c r="M653" s="40"/>
      <c r="N653" s="36" t="s">
        <v>2341</v>
      </c>
      <c r="O653" s="37">
        <v>45526</v>
      </c>
      <c r="P653" s="44" t="s">
        <v>58</v>
      </c>
      <c r="Q653" s="38">
        <v>352000</v>
      </c>
      <c r="R653" s="33">
        <f t="shared" si="98"/>
        <v>1869.9</v>
      </c>
      <c r="S653" s="35">
        <f t="shared" si="97"/>
        <v>124.66</v>
      </c>
      <c r="T653" s="34">
        <v>500</v>
      </c>
    </row>
    <row r="654" spans="1:20" x14ac:dyDescent="0.25">
      <c r="A654" s="36" t="s">
        <v>781</v>
      </c>
      <c r="B654" s="36"/>
      <c r="C654" s="36" t="s">
        <v>31</v>
      </c>
      <c r="D654" s="39">
        <v>45892</v>
      </c>
      <c r="E654" s="39">
        <v>46257</v>
      </c>
      <c r="F654" s="36" t="s">
        <v>1594</v>
      </c>
      <c r="G654" s="36" t="s">
        <v>61</v>
      </c>
      <c r="H654" s="38">
        <v>14960</v>
      </c>
      <c r="I654" s="40">
        <v>12466</v>
      </c>
      <c r="J654" s="40"/>
      <c r="K654" s="40"/>
      <c r="L654" s="40"/>
      <c r="M654" s="40"/>
      <c r="N654" s="36" t="s">
        <v>2341</v>
      </c>
      <c r="O654" s="37">
        <v>45526</v>
      </c>
      <c r="P654" s="44" t="s">
        <v>58</v>
      </c>
      <c r="Q654" s="38">
        <v>352000</v>
      </c>
      <c r="R654" s="33">
        <f t="shared" si="98"/>
        <v>1869.9</v>
      </c>
      <c r="S654" s="35">
        <f t="shared" si="97"/>
        <v>124.66</v>
      </c>
      <c r="T654" s="34">
        <v>500</v>
      </c>
    </row>
    <row r="655" spans="1:20" x14ac:dyDescent="0.25">
      <c r="A655" s="36" t="s">
        <v>782</v>
      </c>
      <c r="B655" s="36"/>
      <c r="C655" s="36" t="s">
        <v>34</v>
      </c>
      <c r="D655" s="39">
        <v>45526</v>
      </c>
      <c r="E655" s="39">
        <v>45891</v>
      </c>
      <c r="F655" s="36" t="s">
        <v>75</v>
      </c>
      <c r="G655" s="36" t="s">
        <v>65</v>
      </c>
      <c r="H655" s="38">
        <v>9550</v>
      </c>
      <c r="I655" s="40">
        <v>7802</v>
      </c>
      <c r="J655" s="40"/>
      <c r="K655" s="40"/>
      <c r="L655" s="40"/>
      <c r="M655" s="40"/>
      <c r="N655" s="36" t="s">
        <v>2342</v>
      </c>
      <c r="O655" s="37">
        <v>45526</v>
      </c>
      <c r="P655" s="44" t="s">
        <v>58</v>
      </c>
      <c r="Q655" s="38">
        <v>382000</v>
      </c>
      <c r="R655" s="33">
        <f t="shared" si="98"/>
        <v>1170.3</v>
      </c>
      <c r="S655" s="35">
        <f t="shared" si="97"/>
        <v>78.02</v>
      </c>
      <c r="T655" s="34">
        <v>500</v>
      </c>
    </row>
    <row r="656" spans="1:20" x14ac:dyDescent="0.25">
      <c r="A656" s="36" t="s">
        <v>783</v>
      </c>
      <c r="B656" s="36"/>
      <c r="C656" s="36" t="s">
        <v>34</v>
      </c>
      <c r="D656" s="39">
        <v>45526</v>
      </c>
      <c r="E656" s="39">
        <v>45891</v>
      </c>
      <c r="F656" s="36" t="s">
        <v>114</v>
      </c>
      <c r="G656" s="36" t="s">
        <v>65</v>
      </c>
      <c r="H656" s="38">
        <v>9550</v>
      </c>
      <c r="I656" s="40">
        <v>7802</v>
      </c>
      <c r="J656" s="40"/>
      <c r="K656" s="40"/>
      <c r="L656" s="40"/>
      <c r="M656" s="40"/>
      <c r="N656" s="36" t="s">
        <v>2343</v>
      </c>
      <c r="O656" s="37">
        <v>45526</v>
      </c>
      <c r="P656" s="44" t="s">
        <v>58</v>
      </c>
      <c r="Q656" s="38">
        <v>382000</v>
      </c>
      <c r="R656" s="33">
        <f t="shared" si="98"/>
        <v>1170.3</v>
      </c>
      <c r="S656" s="35">
        <f t="shared" si="97"/>
        <v>78.02</v>
      </c>
      <c r="T656" s="34">
        <v>500</v>
      </c>
    </row>
    <row r="657" spans="1:20" x14ac:dyDescent="0.25">
      <c r="A657" s="36" t="s">
        <v>784</v>
      </c>
      <c r="B657" s="36"/>
      <c r="C657" s="36" t="s">
        <v>34</v>
      </c>
      <c r="D657" s="39">
        <v>45526</v>
      </c>
      <c r="E657" s="39">
        <v>45891</v>
      </c>
      <c r="F657" s="36" t="s">
        <v>1595</v>
      </c>
      <c r="G657" s="36" t="s">
        <v>62</v>
      </c>
      <c r="H657" s="38">
        <v>9550</v>
      </c>
      <c r="I657" s="40">
        <v>7802</v>
      </c>
      <c r="J657" s="40"/>
      <c r="K657" s="40"/>
      <c r="L657" s="40"/>
      <c r="M657" s="40"/>
      <c r="N657" s="36" t="s">
        <v>2344</v>
      </c>
      <c r="O657" s="37">
        <v>45526</v>
      </c>
      <c r="P657" s="44" t="s">
        <v>58</v>
      </c>
      <c r="Q657" s="38">
        <v>382000</v>
      </c>
      <c r="R657" s="33">
        <f t="shared" si="98"/>
        <v>1170.3</v>
      </c>
      <c r="S657" s="35">
        <f t="shared" si="97"/>
        <v>78.02</v>
      </c>
      <c r="T657" s="34">
        <v>500</v>
      </c>
    </row>
    <row r="658" spans="1:20" x14ac:dyDescent="0.25">
      <c r="A658" s="36" t="s">
        <v>785</v>
      </c>
      <c r="B658" s="36"/>
      <c r="C658" s="36" t="s">
        <v>38</v>
      </c>
      <c r="D658" s="39">
        <v>45526</v>
      </c>
      <c r="E658" s="39">
        <v>45891</v>
      </c>
      <c r="F658" s="36" t="s">
        <v>1596</v>
      </c>
      <c r="G658" s="36" t="s">
        <v>62</v>
      </c>
      <c r="H658" s="38">
        <v>16235</v>
      </c>
      <c r="I658" s="40">
        <v>13565</v>
      </c>
      <c r="J658" s="40"/>
      <c r="K658" s="40"/>
      <c r="L658" s="40"/>
      <c r="M658" s="40"/>
      <c r="N658" s="36" t="s">
        <v>2345</v>
      </c>
      <c r="O658" s="37">
        <v>45526</v>
      </c>
      <c r="P658" s="44" t="s">
        <v>58</v>
      </c>
      <c r="Q658" s="38">
        <v>382000</v>
      </c>
      <c r="R658" s="33">
        <f t="shared" si="98"/>
        <v>2034.75</v>
      </c>
      <c r="S658" s="35">
        <f t="shared" si="97"/>
        <v>135.65</v>
      </c>
      <c r="T658" s="34">
        <v>500</v>
      </c>
    </row>
    <row r="659" spans="1:20" x14ac:dyDescent="0.25">
      <c r="A659" s="36" t="s">
        <v>786</v>
      </c>
      <c r="B659" s="36"/>
      <c r="C659" s="36" t="s">
        <v>34</v>
      </c>
      <c r="D659" s="39">
        <v>45526</v>
      </c>
      <c r="E659" s="39">
        <v>45891</v>
      </c>
      <c r="F659" s="36" t="s">
        <v>1597</v>
      </c>
      <c r="G659" s="36" t="s">
        <v>65</v>
      </c>
      <c r="H659" s="38">
        <v>9550</v>
      </c>
      <c r="I659" s="40">
        <v>7802</v>
      </c>
      <c r="J659" s="40"/>
      <c r="K659" s="40"/>
      <c r="L659" s="40"/>
      <c r="M659" s="40"/>
      <c r="N659" s="36" t="s">
        <v>2346</v>
      </c>
      <c r="O659" s="37">
        <v>45526</v>
      </c>
      <c r="P659" s="44" t="s">
        <v>58</v>
      </c>
      <c r="Q659" s="38">
        <v>382000</v>
      </c>
      <c r="R659" s="33">
        <f t="shared" si="98"/>
        <v>1170.3</v>
      </c>
      <c r="S659" s="35">
        <f t="shared" si="97"/>
        <v>78.02</v>
      </c>
      <c r="T659" s="34">
        <v>500</v>
      </c>
    </row>
    <row r="660" spans="1:20" x14ac:dyDescent="0.25">
      <c r="A660" s="36" t="s">
        <v>787</v>
      </c>
      <c r="B660" s="36"/>
      <c r="C660" s="36" t="s">
        <v>34</v>
      </c>
      <c r="D660" s="39">
        <v>45526</v>
      </c>
      <c r="E660" s="39">
        <v>45891</v>
      </c>
      <c r="F660" s="36" t="s">
        <v>1598</v>
      </c>
      <c r="G660" s="36" t="s">
        <v>61</v>
      </c>
      <c r="H660" s="38">
        <v>8800</v>
      </c>
      <c r="I660" s="40">
        <v>7155</v>
      </c>
      <c r="J660" s="40"/>
      <c r="K660" s="40"/>
      <c r="L660" s="40"/>
      <c r="M660" s="40"/>
      <c r="N660" s="36" t="s">
        <v>2347</v>
      </c>
      <c r="O660" s="37">
        <v>45526</v>
      </c>
      <c r="P660" s="44" t="s">
        <v>58</v>
      </c>
      <c r="Q660" s="38">
        <v>352000</v>
      </c>
      <c r="R660" s="33">
        <f t="shared" si="98"/>
        <v>1073.25</v>
      </c>
      <c r="S660" s="35">
        <f t="shared" si="97"/>
        <v>71.55</v>
      </c>
      <c r="T660" s="34">
        <v>500</v>
      </c>
    </row>
    <row r="661" spans="1:20" x14ac:dyDescent="0.25">
      <c r="A661" s="36" t="s">
        <v>788</v>
      </c>
      <c r="B661" s="36"/>
      <c r="C661" s="36" t="s">
        <v>34</v>
      </c>
      <c r="D661" s="39">
        <v>45526</v>
      </c>
      <c r="E661" s="39">
        <v>45891</v>
      </c>
      <c r="F661" s="36" t="s">
        <v>1599</v>
      </c>
      <c r="G661" s="36" t="s">
        <v>61</v>
      </c>
      <c r="H661" s="38">
        <v>8800</v>
      </c>
      <c r="I661" s="40">
        <v>7155</v>
      </c>
      <c r="J661" s="40"/>
      <c r="K661" s="40"/>
      <c r="L661" s="40"/>
      <c r="M661" s="40"/>
      <c r="N661" s="36" t="s">
        <v>2348</v>
      </c>
      <c r="O661" s="37">
        <v>45526</v>
      </c>
      <c r="P661" s="44" t="s">
        <v>58</v>
      </c>
      <c r="Q661" s="38">
        <v>352000</v>
      </c>
      <c r="R661" s="33">
        <f t="shared" si="98"/>
        <v>1073.25</v>
      </c>
      <c r="S661" s="35">
        <f t="shared" si="97"/>
        <v>71.55</v>
      </c>
      <c r="T661" s="34">
        <v>500</v>
      </c>
    </row>
    <row r="662" spans="1:20" x14ac:dyDescent="0.25">
      <c r="A662" s="36" t="s">
        <v>789</v>
      </c>
      <c r="B662" s="36"/>
      <c r="C662" s="36" t="s">
        <v>34</v>
      </c>
      <c r="D662" s="39">
        <v>45526</v>
      </c>
      <c r="E662" s="39">
        <v>45891</v>
      </c>
      <c r="F662" s="36" t="s">
        <v>1600</v>
      </c>
      <c r="G662" s="36" t="s">
        <v>61</v>
      </c>
      <c r="H662" s="38">
        <v>8800</v>
      </c>
      <c r="I662" s="40">
        <v>7155</v>
      </c>
      <c r="J662" s="40"/>
      <c r="K662" s="40"/>
      <c r="L662" s="40"/>
      <c r="M662" s="40"/>
      <c r="N662" s="36" t="s">
        <v>2349</v>
      </c>
      <c r="O662" s="37">
        <v>45526</v>
      </c>
      <c r="P662" s="44" t="s">
        <v>58</v>
      </c>
      <c r="Q662" s="38">
        <v>352000</v>
      </c>
      <c r="R662" s="33">
        <f t="shared" si="98"/>
        <v>1073.25</v>
      </c>
      <c r="S662" s="35">
        <f t="shared" si="97"/>
        <v>71.55</v>
      </c>
      <c r="T662" s="34">
        <v>500</v>
      </c>
    </row>
    <row r="663" spans="1:20" x14ac:dyDescent="0.25">
      <c r="A663" s="36" t="s">
        <v>790</v>
      </c>
      <c r="B663" s="36"/>
      <c r="C663" s="36" t="s">
        <v>31</v>
      </c>
      <c r="D663" s="39">
        <v>45526</v>
      </c>
      <c r="E663" s="39">
        <v>45891</v>
      </c>
      <c r="F663" s="36" t="s">
        <v>1601</v>
      </c>
      <c r="G663" s="36" t="s">
        <v>61</v>
      </c>
      <c r="H663" s="38">
        <v>14960</v>
      </c>
      <c r="I663" s="40">
        <v>12466</v>
      </c>
      <c r="J663" s="40"/>
      <c r="K663" s="40"/>
      <c r="L663" s="40"/>
      <c r="M663" s="40"/>
      <c r="N663" s="36" t="s">
        <v>2350</v>
      </c>
      <c r="O663" s="37">
        <v>45526</v>
      </c>
      <c r="P663" s="44" t="s">
        <v>58</v>
      </c>
      <c r="Q663" s="38">
        <v>352000</v>
      </c>
      <c r="R663" s="33">
        <f t="shared" si="98"/>
        <v>1869.9</v>
      </c>
      <c r="S663" s="35">
        <f t="shared" si="97"/>
        <v>124.66</v>
      </c>
      <c r="T663" s="34">
        <v>500</v>
      </c>
    </row>
    <row r="664" spans="1:20" x14ac:dyDescent="0.25">
      <c r="A664" s="36" t="s">
        <v>791</v>
      </c>
      <c r="B664" s="36"/>
      <c r="C664" s="36" t="s">
        <v>31</v>
      </c>
      <c r="D664" s="39">
        <v>45892</v>
      </c>
      <c r="E664" s="39">
        <v>46257</v>
      </c>
      <c r="F664" s="36" t="s">
        <v>1601</v>
      </c>
      <c r="G664" s="36" t="s">
        <v>61</v>
      </c>
      <c r="H664" s="38">
        <v>14960</v>
      </c>
      <c r="I664" s="40">
        <v>12466</v>
      </c>
      <c r="J664" s="40"/>
      <c r="K664" s="40"/>
      <c r="L664" s="40"/>
      <c r="M664" s="40"/>
      <c r="N664" s="36" t="s">
        <v>2350</v>
      </c>
      <c r="O664" s="37">
        <v>45526</v>
      </c>
      <c r="P664" s="44" t="s">
        <v>58</v>
      </c>
      <c r="Q664" s="38">
        <v>352000</v>
      </c>
      <c r="R664" s="33">
        <f t="shared" si="98"/>
        <v>1869.9</v>
      </c>
      <c r="S664" s="35">
        <f t="shared" si="97"/>
        <v>124.66</v>
      </c>
      <c r="T664" s="34">
        <v>500</v>
      </c>
    </row>
    <row r="665" spans="1:20" x14ac:dyDescent="0.25">
      <c r="A665" s="36" t="s">
        <v>792</v>
      </c>
      <c r="B665" s="36"/>
      <c r="C665" s="36" t="s">
        <v>34</v>
      </c>
      <c r="D665" s="39">
        <v>45526</v>
      </c>
      <c r="E665" s="39">
        <v>45891</v>
      </c>
      <c r="F665" s="36" t="s">
        <v>118</v>
      </c>
      <c r="G665" s="36" t="s">
        <v>61</v>
      </c>
      <c r="H665" s="38">
        <v>8800</v>
      </c>
      <c r="I665" s="40">
        <v>7155</v>
      </c>
      <c r="J665" s="40"/>
      <c r="K665" s="40"/>
      <c r="L665" s="40"/>
      <c r="M665" s="40"/>
      <c r="N665" s="36" t="s">
        <v>2351</v>
      </c>
      <c r="O665" s="37">
        <v>45526</v>
      </c>
      <c r="P665" s="44" t="s">
        <v>58</v>
      </c>
      <c r="Q665" s="38">
        <v>352000</v>
      </c>
      <c r="R665" s="33">
        <f t="shared" si="98"/>
        <v>1073.25</v>
      </c>
      <c r="S665" s="35">
        <f t="shared" si="97"/>
        <v>71.55</v>
      </c>
      <c r="T665" s="34">
        <v>500</v>
      </c>
    </row>
    <row r="666" spans="1:20" x14ac:dyDescent="0.25">
      <c r="A666" s="36" t="s">
        <v>793</v>
      </c>
      <c r="B666" s="36"/>
      <c r="C666" s="36" t="s">
        <v>71</v>
      </c>
      <c r="D666" s="39">
        <v>45526</v>
      </c>
      <c r="E666" s="39">
        <v>45891</v>
      </c>
      <c r="F666" s="36" t="s">
        <v>1602</v>
      </c>
      <c r="G666" s="36" t="s">
        <v>62</v>
      </c>
      <c r="H666" s="38">
        <v>9550</v>
      </c>
      <c r="I666" s="40">
        <v>7802</v>
      </c>
      <c r="J666" s="40"/>
      <c r="K666" s="40"/>
      <c r="L666" s="40"/>
      <c r="M666" s="40"/>
      <c r="N666" s="36" t="s">
        <v>2352</v>
      </c>
      <c r="O666" s="37">
        <v>45526</v>
      </c>
      <c r="P666" s="44" t="s">
        <v>58</v>
      </c>
      <c r="Q666" s="38">
        <v>382000</v>
      </c>
      <c r="R666" s="33">
        <f t="shared" si="98"/>
        <v>1170.3</v>
      </c>
      <c r="S666" s="35">
        <f t="shared" si="97"/>
        <v>78.02</v>
      </c>
      <c r="T666" s="34">
        <v>500</v>
      </c>
    </row>
    <row r="667" spans="1:20" x14ac:dyDescent="0.25">
      <c r="A667" s="36" t="s">
        <v>794</v>
      </c>
      <c r="B667" s="36"/>
      <c r="C667" s="36" t="s">
        <v>39</v>
      </c>
      <c r="D667" s="39">
        <v>45526</v>
      </c>
      <c r="E667" s="39">
        <v>45891</v>
      </c>
      <c r="F667" s="36" t="s">
        <v>1603</v>
      </c>
      <c r="G667" s="36" t="s">
        <v>62</v>
      </c>
      <c r="H667" s="38">
        <v>16235</v>
      </c>
      <c r="I667" s="40">
        <v>13565</v>
      </c>
      <c r="J667" s="40"/>
      <c r="K667" s="40"/>
      <c r="L667" s="40"/>
      <c r="M667" s="40"/>
      <c r="N667" s="36" t="s">
        <v>2353</v>
      </c>
      <c r="O667" s="37">
        <v>45526</v>
      </c>
      <c r="P667" s="44" t="s">
        <v>58</v>
      </c>
      <c r="Q667" s="38">
        <v>382000</v>
      </c>
      <c r="R667" s="33">
        <f t="shared" si="98"/>
        <v>2034.75</v>
      </c>
      <c r="S667" s="35">
        <f t="shared" si="97"/>
        <v>135.65</v>
      </c>
      <c r="T667" s="34">
        <v>500</v>
      </c>
    </row>
    <row r="668" spans="1:20" x14ac:dyDescent="0.25">
      <c r="A668" s="36" t="s">
        <v>795</v>
      </c>
      <c r="B668" s="36"/>
      <c r="C668" s="36" t="s">
        <v>30</v>
      </c>
      <c r="D668" s="39">
        <v>45526</v>
      </c>
      <c r="E668" s="39">
        <v>45891</v>
      </c>
      <c r="F668" s="36" t="s">
        <v>1604</v>
      </c>
      <c r="G668" s="36" t="s">
        <v>61</v>
      </c>
      <c r="H668" s="38">
        <v>14960</v>
      </c>
      <c r="I668" s="40">
        <v>12466</v>
      </c>
      <c r="J668" s="40"/>
      <c r="K668" s="40"/>
      <c r="L668" s="40"/>
      <c r="M668" s="40"/>
      <c r="N668" s="36" t="s">
        <v>2354</v>
      </c>
      <c r="O668" s="37">
        <v>45526</v>
      </c>
      <c r="P668" s="44" t="s">
        <v>58</v>
      </c>
      <c r="Q668" s="38">
        <v>352000</v>
      </c>
      <c r="R668" s="33">
        <f t="shared" si="98"/>
        <v>1869.9</v>
      </c>
      <c r="S668" s="35">
        <f t="shared" si="97"/>
        <v>124.66</v>
      </c>
      <c r="T668" s="34">
        <v>500</v>
      </c>
    </row>
    <row r="669" spans="1:20" x14ac:dyDescent="0.25">
      <c r="A669" s="36" t="s">
        <v>796</v>
      </c>
      <c r="B669" s="36"/>
      <c r="C669" s="36" t="s">
        <v>39</v>
      </c>
      <c r="D669" s="39">
        <v>45526</v>
      </c>
      <c r="E669" s="39">
        <v>45891</v>
      </c>
      <c r="F669" s="36" t="s">
        <v>1605</v>
      </c>
      <c r="G669" s="36" t="s">
        <v>61</v>
      </c>
      <c r="H669" s="38">
        <v>14960</v>
      </c>
      <c r="I669" s="40">
        <v>12466</v>
      </c>
      <c r="J669" s="40"/>
      <c r="K669" s="40"/>
      <c r="L669" s="40"/>
      <c r="M669" s="40"/>
      <c r="N669" s="36" t="s">
        <v>2355</v>
      </c>
      <c r="O669" s="37">
        <v>45526</v>
      </c>
      <c r="P669" s="44" t="s">
        <v>58</v>
      </c>
      <c r="Q669" s="38">
        <v>352000</v>
      </c>
      <c r="R669" s="33">
        <f t="shared" si="98"/>
        <v>1869.9</v>
      </c>
      <c r="S669" s="35">
        <f t="shared" si="97"/>
        <v>124.66</v>
      </c>
      <c r="T669" s="34">
        <v>500</v>
      </c>
    </row>
    <row r="670" spans="1:20" x14ac:dyDescent="0.25">
      <c r="A670" s="36" t="s">
        <v>797</v>
      </c>
      <c r="B670" s="36"/>
      <c r="C670" s="36" t="s">
        <v>39</v>
      </c>
      <c r="D670" s="39">
        <v>45892</v>
      </c>
      <c r="E670" s="39">
        <v>46257</v>
      </c>
      <c r="F670" s="36" t="s">
        <v>1605</v>
      </c>
      <c r="G670" s="36" t="s">
        <v>61</v>
      </c>
      <c r="H670" s="38">
        <v>14960</v>
      </c>
      <c r="I670" s="40">
        <v>12466</v>
      </c>
      <c r="J670" s="40"/>
      <c r="K670" s="40"/>
      <c r="L670" s="40"/>
      <c r="M670" s="40"/>
      <c r="N670" s="36" t="s">
        <v>2355</v>
      </c>
      <c r="O670" s="37">
        <v>45526</v>
      </c>
      <c r="P670" s="44" t="s">
        <v>58</v>
      </c>
      <c r="Q670" s="38">
        <v>352000</v>
      </c>
      <c r="R670" s="33">
        <f t="shared" si="98"/>
        <v>1869.9</v>
      </c>
      <c r="S670" s="35">
        <f t="shared" si="97"/>
        <v>124.66</v>
      </c>
      <c r="T670" s="34">
        <v>500</v>
      </c>
    </row>
    <row r="671" spans="1:20" x14ac:dyDescent="0.25">
      <c r="A671" s="36" t="s">
        <v>798</v>
      </c>
      <c r="B671" s="36"/>
      <c r="C671" s="36" t="s">
        <v>30</v>
      </c>
      <c r="D671" s="39">
        <v>45526</v>
      </c>
      <c r="E671" s="39">
        <v>45891</v>
      </c>
      <c r="F671" s="36" t="s">
        <v>1606</v>
      </c>
      <c r="G671" s="36" t="s">
        <v>61</v>
      </c>
      <c r="H671" s="38">
        <v>14960</v>
      </c>
      <c r="I671" s="40">
        <v>12466</v>
      </c>
      <c r="J671" s="40"/>
      <c r="K671" s="40"/>
      <c r="L671" s="40"/>
      <c r="M671" s="40"/>
      <c r="N671" s="36" t="s">
        <v>2356</v>
      </c>
      <c r="O671" s="37">
        <v>45526</v>
      </c>
      <c r="P671" s="44" t="s">
        <v>58</v>
      </c>
      <c r="Q671" s="38">
        <v>352000</v>
      </c>
      <c r="R671" s="33">
        <f t="shared" si="98"/>
        <v>1869.9</v>
      </c>
      <c r="S671" s="35">
        <f t="shared" si="97"/>
        <v>124.66</v>
      </c>
      <c r="T671" s="34">
        <v>500</v>
      </c>
    </row>
    <row r="672" spans="1:20" x14ac:dyDescent="0.25">
      <c r="A672" s="36" t="s">
        <v>799</v>
      </c>
      <c r="B672" s="36"/>
      <c r="C672" s="36" t="s">
        <v>30</v>
      </c>
      <c r="D672" s="39">
        <v>45892</v>
      </c>
      <c r="E672" s="39">
        <v>46257</v>
      </c>
      <c r="F672" s="36" t="s">
        <v>1606</v>
      </c>
      <c r="G672" s="36" t="s">
        <v>61</v>
      </c>
      <c r="H672" s="38">
        <v>14960</v>
      </c>
      <c r="I672" s="40">
        <v>12466</v>
      </c>
      <c r="J672" s="40"/>
      <c r="K672" s="40"/>
      <c r="L672" s="40"/>
      <c r="M672" s="40"/>
      <c r="N672" s="36" t="s">
        <v>2356</v>
      </c>
      <c r="O672" s="37">
        <v>45526</v>
      </c>
      <c r="P672" s="44" t="s">
        <v>58</v>
      </c>
      <c r="Q672" s="38">
        <v>352000</v>
      </c>
      <c r="R672" s="33">
        <f t="shared" si="98"/>
        <v>1869.9</v>
      </c>
      <c r="S672" s="35">
        <f t="shared" si="97"/>
        <v>124.66</v>
      </c>
      <c r="T672" s="34">
        <v>500</v>
      </c>
    </row>
    <row r="673" spans="1:20" x14ac:dyDescent="0.25">
      <c r="A673" s="36" t="s">
        <v>800</v>
      </c>
      <c r="B673" s="36"/>
      <c r="C673" s="36" t="s">
        <v>38</v>
      </c>
      <c r="D673" s="39">
        <v>45589</v>
      </c>
      <c r="E673" s="39">
        <v>45953</v>
      </c>
      <c r="F673" s="36" t="s">
        <v>1607</v>
      </c>
      <c r="G673" s="36" t="s">
        <v>1843</v>
      </c>
      <c r="H673" s="38">
        <v>12320</v>
      </c>
      <c r="I673" s="40">
        <v>10190</v>
      </c>
      <c r="J673" s="40"/>
      <c r="K673" s="40"/>
      <c r="L673" s="40"/>
      <c r="M673" s="40"/>
      <c r="N673" s="36" t="s">
        <v>2357</v>
      </c>
      <c r="O673" s="37">
        <v>45526</v>
      </c>
      <c r="P673" s="44" t="s">
        <v>58</v>
      </c>
      <c r="Q673" s="38">
        <v>352000</v>
      </c>
      <c r="R673" s="33">
        <f t="shared" si="98"/>
        <v>1528.5</v>
      </c>
      <c r="S673" s="35">
        <f t="shared" si="97"/>
        <v>101.9</v>
      </c>
      <c r="T673" s="34">
        <v>500</v>
      </c>
    </row>
    <row r="674" spans="1:20" x14ac:dyDescent="0.25">
      <c r="A674" s="36" t="s">
        <v>801</v>
      </c>
      <c r="B674" s="36"/>
      <c r="C674" s="36" t="s">
        <v>38</v>
      </c>
      <c r="D674" s="39">
        <v>45569</v>
      </c>
      <c r="E674" s="39">
        <v>45933</v>
      </c>
      <c r="F674" s="36" t="s">
        <v>1608</v>
      </c>
      <c r="G674" s="36" t="s">
        <v>61</v>
      </c>
      <c r="H674" s="38">
        <v>11725</v>
      </c>
      <c r="I674" s="40">
        <v>9676</v>
      </c>
      <c r="J674" s="40"/>
      <c r="K674" s="40"/>
      <c r="L674" s="40"/>
      <c r="M674" s="40"/>
      <c r="N674" s="36" t="s">
        <v>2358</v>
      </c>
      <c r="O674" s="37">
        <v>45526</v>
      </c>
      <c r="P674" s="44" t="s">
        <v>58</v>
      </c>
      <c r="Q674" s="38">
        <v>335000</v>
      </c>
      <c r="R674" s="33">
        <f t="shared" si="98"/>
        <v>1451.4</v>
      </c>
      <c r="S674" s="35">
        <f t="shared" si="97"/>
        <v>96.76</v>
      </c>
      <c r="T674" s="34">
        <v>500</v>
      </c>
    </row>
    <row r="675" spans="1:20" x14ac:dyDescent="0.25">
      <c r="A675" s="36" t="s">
        <v>802</v>
      </c>
      <c r="B675" s="36"/>
      <c r="C675" s="36" t="s">
        <v>33</v>
      </c>
      <c r="D675" s="39">
        <v>45526</v>
      </c>
      <c r="E675" s="39">
        <v>45891</v>
      </c>
      <c r="F675" s="36" t="s">
        <v>1609</v>
      </c>
      <c r="G675" s="36" t="s">
        <v>61</v>
      </c>
      <c r="H675" s="38">
        <v>14960</v>
      </c>
      <c r="I675" s="40">
        <v>12466</v>
      </c>
      <c r="J675" s="40"/>
      <c r="K675" s="40"/>
      <c r="L675" s="40"/>
      <c r="M675" s="40"/>
      <c r="N675" s="36" t="s">
        <v>2359</v>
      </c>
      <c r="O675" s="37">
        <v>45526</v>
      </c>
      <c r="P675" s="44" t="s">
        <v>58</v>
      </c>
      <c r="Q675" s="38">
        <v>352000</v>
      </c>
      <c r="R675" s="33">
        <f t="shared" si="98"/>
        <v>1869.9</v>
      </c>
      <c r="S675" s="35">
        <f t="shared" si="97"/>
        <v>124.66</v>
      </c>
      <c r="T675" s="34">
        <v>500</v>
      </c>
    </row>
    <row r="676" spans="1:20" x14ac:dyDescent="0.25">
      <c r="A676" s="36" t="s">
        <v>803</v>
      </c>
      <c r="B676" s="36"/>
      <c r="C676" s="36" t="s">
        <v>33</v>
      </c>
      <c r="D676" s="39">
        <v>45892</v>
      </c>
      <c r="E676" s="39">
        <v>46257</v>
      </c>
      <c r="F676" s="36" t="s">
        <v>1609</v>
      </c>
      <c r="G676" s="36" t="s">
        <v>61</v>
      </c>
      <c r="H676" s="38">
        <v>14960</v>
      </c>
      <c r="I676" s="40">
        <v>12466</v>
      </c>
      <c r="J676" s="40"/>
      <c r="K676" s="40"/>
      <c r="L676" s="40"/>
      <c r="M676" s="40"/>
      <c r="N676" s="36" t="s">
        <v>2359</v>
      </c>
      <c r="O676" s="37">
        <v>45526</v>
      </c>
      <c r="P676" s="44" t="s">
        <v>58</v>
      </c>
      <c r="Q676" s="38">
        <v>352000</v>
      </c>
      <c r="R676" s="33">
        <f t="shared" si="98"/>
        <v>1869.9</v>
      </c>
      <c r="S676" s="35">
        <f t="shared" si="97"/>
        <v>124.66</v>
      </c>
      <c r="T676" s="34">
        <v>500</v>
      </c>
    </row>
    <row r="677" spans="1:20" x14ac:dyDescent="0.25">
      <c r="A677" s="36" t="s">
        <v>804</v>
      </c>
      <c r="B677" s="36"/>
      <c r="C677" s="36" t="s">
        <v>38</v>
      </c>
      <c r="D677" s="39">
        <v>45598</v>
      </c>
      <c r="E677" s="39">
        <v>45962</v>
      </c>
      <c r="F677" s="36" t="s">
        <v>1462</v>
      </c>
      <c r="G677" s="36" t="s">
        <v>61</v>
      </c>
      <c r="H677" s="38">
        <v>12320</v>
      </c>
      <c r="I677" s="40">
        <v>10190</v>
      </c>
      <c r="J677" s="40"/>
      <c r="K677" s="40"/>
      <c r="L677" s="40"/>
      <c r="M677" s="40"/>
      <c r="N677" s="36" t="s">
        <v>2360</v>
      </c>
      <c r="O677" s="37">
        <v>45526</v>
      </c>
      <c r="P677" s="44" t="s">
        <v>58</v>
      </c>
      <c r="Q677" s="38">
        <v>352000</v>
      </c>
      <c r="R677" s="33">
        <f t="shared" si="98"/>
        <v>1528.5</v>
      </c>
      <c r="S677" s="35">
        <f t="shared" si="97"/>
        <v>101.9</v>
      </c>
      <c r="T677" s="34">
        <v>500</v>
      </c>
    </row>
    <row r="678" spans="1:20" x14ac:dyDescent="0.25">
      <c r="A678" s="36" t="s">
        <v>805</v>
      </c>
      <c r="B678" s="36"/>
      <c r="C678" s="36" t="s">
        <v>38</v>
      </c>
      <c r="D678" s="39">
        <v>45589</v>
      </c>
      <c r="E678" s="39">
        <v>45953</v>
      </c>
      <c r="F678" s="36" t="s">
        <v>1610</v>
      </c>
      <c r="G678" s="36" t="s">
        <v>62</v>
      </c>
      <c r="H678" s="38">
        <v>13370</v>
      </c>
      <c r="I678" s="40">
        <v>11095</v>
      </c>
      <c r="J678" s="40"/>
      <c r="K678" s="40"/>
      <c r="L678" s="40"/>
      <c r="M678" s="40"/>
      <c r="N678" s="36" t="s">
        <v>2361</v>
      </c>
      <c r="O678" s="37">
        <v>45526</v>
      </c>
      <c r="P678" s="44" t="s">
        <v>58</v>
      </c>
      <c r="Q678" s="38">
        <v>382000</v>
      </c>
      <c r="R678" s="33">
        <f t="shared" si="98"/>
        <v>1664.25</v>
      </c>
      <c r="S678" s="35">
        <f t="shared" si="97"/>
        <v>110.95</v>
      </c>
      <c r="T678" s="34">
        <v>500</v>
      </c>
    </row>
    <row r="679" spans="1:20" x14ac:dyDescent="0.25">
      <c r="A679" s="36" t="s">
        <v>806</v>
      </c>
      <c r="B679" s="36"/>
      <c r="C679" s="36" t="s">
        <v>38</v>
      </c>
      <c r="D679" s="39">
        <v>45598</v>
      </c>
      <c r="E679" s="39">
        <v>45962</v>
      </c>
      <c r="F679" s="36" t="s">
        <v>1611</v>
      </c>
      <c r="G679" s="36" t="s">
        <v>62</v>
      </c>
      <c r="H679" s="38">
        <v>13370</v>
      </c>
      <c r="I679" s="40">
        <v>11095</v>
      </c>
      <c r="J679" s="40"/>
      <c r="K679" s="40"/>
      <c r="L679" s="40"/>
      <c r="M679" s="40"/>
      <c r="N679" s="36" t="s">
        <v>2362</v>
      </c>
      <c r="O679" s="37">
        <v>45526</v>
      </c>
      <c r="P679" s="44" t="s">
        <v>58</v>
      </c>
      <c r="Q679" s="38">
        <v>382000</v>
      </c>
      <c r="R679" s="33">
        <f t="shared" si="98"/>
        <v>1664.25</v>
      </c>
      <c r="S679" s="35">
        <f t="shared" si="97"/>
        <v>110.95</v>
      </c>
      <c r="T679" s="34">
        <v>500</v>
      </c>
    </row>
    <row r="680" spans="1:20" x14ac:dyDescent="0.25">
      <c r="A680" s="36" t="s">
        <v>807</v>
      </c>
      <c r="B680" s="36"/>
      <c r="C680" s="36" t="s">
        <v>38</v>
      </c>
      <c r="D680" s="39">
        <v>45586</v>
      </c>
      <c r="E680" s="39">
        <v>45950</v>
      </c>
      <c r="F680" s="36" t="s">
        <v>1612</v>
      </c>
      <c r="G680" s="36" t="s">
        <v>61</v>
      </c>
      <c r="H680" s="38">
        <v>11725</v>
      </c>
      <c r="I680" s="40">
        <v>9676</v>
      </c>
      <c r="J680" s="40"/>
      <c r="K680" s="40"/>
      <c r="L680" s="40"/>
      <c r="M680" s="40"/>
      <c r="N680" s="36" t="s">
        <v>2363</v>
      </c>
      <c r="O680" s="37">
        <v>45526</v>
      </c>
      <c r="P680" s="44" t="s">
        <v>58</v>
      </c>
      <c r="Q680" s="38">
        <v>335000</v>
      </c>
      <c r="R680" s="33">
        <f t="shared" si="98"/>
        <v>1451.4</v>
      </c>
      <c r="S680" s="35">
        <f t="shared" si="97"/>
        <v>96.76</v>
      </c>
      <c r="T680" s="34">
        <v>500</v>
      </c>
    </row>
    <row r="681" spans="1:20" x14ac:dyDescent="0.25">
      <c r="A681" s="36" t="s">
        <v>808</v>
      </c>
      <c r="B681" s="36"/>
      <c r="C681" s="36" t="s">
        <v>33</v>
      </c>
      <c r="D681" s="39">
        <v>45526</v>
      </c>
      <c r="E681" s="39">
        <v>45891</v>
      </c>
      <c r="F681" s="36" t="s">
        <v>1613</v>
      </c>
      <c r="G681" s="36" t="s">
        <v>61</v>
      </c>
      <c r="H681" s="38">
        <v>14960</v>
      </c>
      <c r="I681" s="40">
        <v>12466</v>
      </c>
      <c r="J681" s="40"/>
      <c r="K681" s="40"/>
      <c r="L681" s="40"/>
      <c r="M681" s="40"/>
      <c r="N681" s="36" t="s">
        <v>2364</v>
      </c>
      <c r="O681" s="37">
        <v>45526</v>
      </c>
      <c r="P681" s="44" t="s">
        <v>58</v>
      </c>
      <c r="Q681" s="38">
        <v>352000</v>
      </c>
      <c r="R681" s="33">
        <f t="shared" si="98"/>
        <v>1869.9</v>
      </c>
      <c r="S681" s="35">
        <f t="shared" si="97"/>
        <v>124.66</v>
      </c>
      <c r="T681" s="34">
        <v>500</v>
      </c>
    </row>
    <row r="682" spans="1:20" x14ac:dyDescent="0.25">
      <c r="A682" s="36" t="s">
        <v>809</v>
      </c>
      <c r="B682" s="36"/>
      <c r="C682" s="36" t="s">
        <v>37</v>
      </c>
      <c r="D682" s="39">
        <v>45526</v>
      </c>
      <c r="E682" s="39">
        <v>45891</v>
      </c>
      <c r="F682" s="36" t="s">
        <v>1530</v>
      </c>
      <c r="G682" s="36" t="s">
        <v>63</v>
      </c>
      <c r="H682" s="38">
        <v>13675</v>
      </c>
      <c r="I682" s="40">
        <v>11358</v>
      </c>
      <c r="J682" s="40"/>
      <c r="K682" s="40"/>
      <c r="L682" s="40"/>
      <c r="M682" s="40"/>
      <c r="N682" s="36" t="s">
        <v>2365</v>
      </c>
      <c r="O682" s="37">
        <v>45526</v>
      </c>
      <c r="P682" s="44" t="s">
        <v>58</v>
      </c>
      <c r="Q682" s="38">
        <v>547000</v>
      </c>
      <c r="R682" s="33">
        <f t="shared" si="98"/>
        <v>1703.7</v>
      </c>
      <c r="S682" s="35">
        <f t="shared" si="97"/>
        <v>113.58</v>
      </c>
      <c r="T682" s="34">
        <v>500</v>
      </c>
    </row>
    <row r="683" spans="1:20" x14ac:dyDescent="0.25">
      <c r="A683" s="36" t="s">
        <v>810</v>
      </c>
      <c r="B683" s="36"/>
      <c r="C683" s="36" t="s">
        <v>31</v>
      </c>
      <c r="D683" s="39">
        <v>45527</v>
      </c>
      <c r="E683" s="39">
        <v>45892</v>
      </c>
      <c r="F683" s="36" t="s">
        <v>113</v>
      </c>
      <c r="G683" s="36" t="s">
        <v>61</v>
      </c>
      <c r="H683" s="38">
        <v>14960</v>
      </c>
      <c r="I683" s="40">
        <v>12466</v>
      </c>
      <c r="J683" s="40"/>
      <c r="K683" s="40"/>
      <c r="L683" s="40"/>
      <c r="M683" s="40"/>
      <c r="N683" s="36" t="s">
        <v>2366</v>
      </c>
      <c r="O683" s="37">
        <v>45527</v>
      </c>
      <c r="P683" s="44" t="s">
        <v>58</v>
      </c>
      <c r="Q683" s="38">
        <v>352000</v>
      </c>
      <c r="R683" s="33">
        <f t="shared" si="98"/>
        <v>1869.9</v>
      </c>
      <c r="S683" s="35">
        <f t="shared" si="97"/>
        <v>124.66</v>
      </c>
      <c r="T683" s="34">
        <v>500</v>
      </c>
    </row>
    <row r="684" spans="1:20" x14ac:dyDescent="0.25">
      <c r="A684" s="36" t="s">
        <v>811</v>
      </c>
      <c r="B684" s="36"/>
      <c r="C684" s="36" t="s">
        <v>31</v>
      </c>
      <c r="D684" s="39">
        <v>45893</v>
      </c>
      <c r="E684" s="39">
        <v>46258</v>
      </c>
      <c r="F684" s="36" t="s">
        <v>113</v>
      </c>
      <c r="G684" s="36" t="s">
        <v>61</v>
      </c>
      <c r="H684" s="38">
        <v>14960</v>
      </c>
      <c r="I684" s="40">
        <v>12466</v>
      </c>
      <c r="J684" s="40"/>
      <c r="K684" s="40"/>
      <c r="L684" s="40"/>
      <c r="M684" s="40"/>
      <c r="N684" s="36" t="s">
        <v>2366</v>
      </c>
      <c r="O684" s="37">
        <v>45527</v>
      </c>
      <c r="P684" s="44" t="s">
        <v>58</v>
      </c>
      <c r="Q684" s="38">
        <v>352000</v>
      </c>
      <c r="R684" s="33">
        <f t="shared" si="98"/>
        <v>1869.9</v>
      </c>
      <c r="S684" s="35">
        <f t="shared" si="97"/>
        <v>124.66</v>
      </c>
      <c r="T684" s="34">
        <v>500</v>
      </c>
    </row>
    <row r="685" spans="1:20" x14ac:dyDescent="0.25">
      <c r="A685" s="36" t="s">
        <v>812</v>
      </c>
      <c r="B685" s="36"/>
      <c r="C685" s="36" t="s">
        <v>54</v>
      </c>
      <c r="D685" s="39">
        <v>45527</v>
      </c>
      <c r="E685" s="39">
        <v>45892</v>
      </c>
      <c r="F685" s="36" t="s">
        <v>59</v>
      </c>
      <c r="G685" s="36" t="s">
        <v>61</v>
      </c>
      <c r="H685" s="38">
        <v>8800</v>
      </c>
      <c r="I685" s="40">
        <v>7155</v>
      </c>
      <c r="J685" s="40"/>
      <c r="K685" s="40"/>
      <c r="L685" s="40"/>
      <c r="M685" s="40"/>
      <c r="N685" s="36" t="s">
        <v>2367</v>
      </c>
      <c r="O685" s="37">
        <v>45527</v>
      </c>
      <c r="P685" s="44" t="s">
        <v>58</v>
      </c>
      <c r="Q685" s="38">
        <v>352000</v>
      </c>
      <c r="R685" s="33">
        <f t="shared" si="98"/>
        <v>1073.25</v>
      </c>
      <c r="S685" s="35">
        <f t="shared" si="97"/>
        <v>71.55</v>
      </c>
      <c r="T685" s="34">
        <v>500</v>
      </c>
    </row>
    <row r="686" spans="1:20" x14ac:dyDescent="0.25">
      <c r="A686" s="36" t="s">
        <v>813</v>
      </c>
      <c r="B686" s="36"/>
      <c r="C686" s="36" t="s">
        <v>30</v>
      </c>
      <c r="D686" s="39">
        <v>45527</v>
      </c>
      <c r="E686" s="39">
        <v>45892</v>
      </c>
      <c r="F686" s="36" t="s">
        <v>1614</v>
      </c>
      <c r="G686" s="36" t="s">
        <v>63</v>
      </c>
      <c r="H686" s="38">
        <v>23248</v>
      </c>
      <c r="I686" s="40">
        <v>19610</v>
      </c>
      <c r="J686" s="40"/>
      <c r="K686" s="40"/>
      <c r="L686" s="40"/>
      <c r="M686" s="40"/>
      <c r="N686" s="36" t="s">
        <v>2368</v>
      </c>
      <c r="O686" s="37">
        <v>45527</v>
      </c>
      <c r="P686" s="44" t="s">
        <v>58</v>
      </c>
      <c r="Q686" s="38">
        <v>547000</v>
      </c>
      <c r="R686" s="33">
        <f t="shared" si="98"/>
        <v>2941.5</v>
      </c>
      <c r="S686" s="35">
        <f t="shared" si="97"/>
        <v>196.1</v>
      </c>
      <c r="T686" s="34">
        <v>500</v>
      </c>
    </row>
    <row r="687" spans="1:20" x14ac:dyDescent="0.25">
      <c r="A687" s="36" t="s">
        <v>814</v>
      </c>
      <c r="B687" s="36"/>
      <c r="C687" s="36" t="s">
        <v>53</v>
      </c>
      <c r="D687" s="39">
        <v>45527</v>
      </c>
      <c r="E687" s="39">
        <v>45892</v>
      </c>
      <c r="F687" s="36" t="s">
        <v>1615</v>
      </c>
      <c r="G687" s="36" t="s">
        <v>61</v>
      </c>
      <c r="H687" s="38">
        <v>8800</v>
      </c>
      <c r="I687" s="40">
        <v>7155</v>
      </c>
      <c r="J687" s="40"/>
      <c r="K687" s="40"/>
      <c r="L687" s="40"/>
      <c r="M687" s="40"/>
      <c r="N687" s="36" t="s">
        <v>2369</v>
      </c>
      <c r="O687" s="37">
        <v>45527</v>
      </c>
      <c r="P687" s="44" t="s">
        <v>58</v>
      </c>
      <c r="Q687" s="38">
        <v>352000</v>
      </c>
      <c r="R687" s="33">
        <f t="shared" si="98"/>
        <v>1073.25</v>
      </c>
      <c r="S687" s="35">
        <f t="shared" si="97"/>
        <v>71.55</v>
      </c>
      <c r="T687" s="34">
        <v>500</v>
      </c>
    </row>
    <row r="688" spans="1:20" x14ac:dyDescent="0.25">
      <c r="A688" s="36" t="s">
        <v>815</v>
      </c>
      <c r="B688" s="36"/>
      <c r="C688" s="36" t="s">
        <v>36</v>
      </c>
      <c r="D688" s="39">
        <v>45527</v>
      </c>
      <c r="E688" s="39">
        <v>45892</v>
      </c>
      <c r="F688" s="36" t="s">
        <v>1616</v>
      </c>
      <c r="G688" s="36" t="s">
        <v>61</v>
      </c>
      <c r="H688" s="38">
        <v>14960</v>
      </c>
      <c r="I688" s="40">
        <v>12466</v>
      </c>
      <c r="J688" s="40"/>
      <c r="K688" s="40"/>
      <c r="L688" s="40"/>
      <c r="M688" s="40"/>
      <c r="N688" s="36" t="s">
        <v>2370</v>
      </c>
      <c r="O688" s="37">
        <v>45527</v>
      </c>
      <c r="P688" s="44" t="s">
        <v>58</v>
      </c>
      <c r="Q688" s="38">
        <v>352000</v>
      </c>
      <c r="R688" s="33">
        <f t="shared" si="98"/>
        <v>1869.9</v>
      </c>
      <c r="S688" s="35">
        <f t="shared" si="97"/>
        <v>124.66</v>
      </c>
      <c r="T688" s="34">
        <v>500</v>
      </c>
    </row>
    <row r="689" spans="1:20" x14ac:dyDescent="0.25">
      <c r="A689" s="36" t="s">
        <v>816</v>
      </c>
      <c r="B689" s="36"/>
      <c r="C689" s="36" t="s">
        <v>34</v>
      </c>
      <c r="D689" s="39">
        <v>45527</v>
      </c>
      <c r="E689" s="39">
        <v>45892</v>
      </c>
      <c r="F689" s="36" t="s">
        <v>83</v>
      </c>
      <c r="G689" s="36" t="s">
        <v>61</v>
      </c>
      <c r="H689" s="38">
        <v>8800</v>
      </c>
      <c r="I689" s="40">
        <v>7155</v>
      </c>
      <c r="J689" s="40"/>
      <c r="K689" s="40"/>
      <c r="L689" s="40"/>
      <c r="M689" s="40"/>
      <c r="N689" s="36" t="s">
        <v>2371</v>
      </c>
      <c r="O689" s="37">
        <v>45527</v>
      </c>
      <c r="P689" s="44" t="s">
        <v>58</v>
      </c>
      <c r="Q689" s="38">
        <v>352000</v>
      </c>
      <c r="R689" s="33">
        <f t="shared" si="98"/>
        <v>1073.25</v>
      </c>
      <c r="S689" s="35">
        <f t="shared" si="97"/>
        <v>71.55</v>
      </c>
      <c r="T689" s="34">
        <v>500</v>
      </c>
    </row>
    <row r="690" spans="1:20" x14ac:dyDescent="0.25">
      <c r="A690" s="36" t="s">
        <v>817</v>
      </c>
      <c r="B690" s="36"/>
      <c r="C690" s="36" t="s">
        <v>34</v>
      </c>
      <c r="D690" s="39">
        <v>45527</v>
      </c>
      <c r="E690" s="39">
        <v>45892</v>
      </c>
      <c r="F690" s="36" t="s">
        <v>1617</v>
      </c>
      <c r="G690" s="36" t="s">
        <v>63</v>
      </c>
      <c r="H690" s="38">
        <v>13675</v>
      </c>
      <c r="I690" s="40">
        <v>11358</v>
      </c>
      <c r="J690" s="40"/>
      <c r="K690" s="40"/>
      <c r="L690" s="40"/>
      <c r="M690" s="40"/>
      <c r="N690" s="36" t="s">
        <v>2372</v>
      </c>
      <c r="O690" s="37">
        <v>45527</v>
      </c>
      <c r="P690" s="44" t="s">
        <v>58</v>
      </c>
      <c r="Q690" s="38">
        <v>547000</v>
      </c>
      <c r="R690" s="33">
        <f t="shared" si="98"/>
        <v>1703.7</v>
      </c>
      <c r="S690" s="35">
        <f t="shared" si="97"/>
        <v>113.58</v>
      </c>
      <c r="T690" s="34">
        <v>500</v>
      </c>
    </row>
    <row r="691" spans="1:20" x14ac:dyDescent="0.25">
      <c r="A691" s="36" t="s">
        <v>818</v>
      </c>
      <c r="B691" s="36"/>
      <c r="C691" s="36" t="s">
        <v>34</v>
      </c>
      <c r="D691" s="39">
        <v>45527</v>
      </c>
      <c r="E691" s="39">
        <v>45892</v>
      </c>
      <c r="F691" s="36" t="s">
        <v>1618</v>
      </c>
      <c r="G691" s="36" t="s">
        <v>61</v>
      </c>
      <c r="H691" s="38">
        <v>8800</v>
      </c>
      <c r="I691" s="40">
        <v>7155</v>
      </c>
      <c r="J691" s="40"/>
      <c r="K691" s="40"/>
      <c r="L691" s="40"/>
      <c r="M691" s="40"/>
      <c r="N691" s="36" t="s">
        <v>2373</v>
      </c>
      <c r="O691" s="37">
        <v>45527</v>
      </c>
      <c r="P691" s="44" t="s">
        <v>58</v>
      </c>
      <c r="Q691" s="38">
        <v>352000</v>
      </c>
      <c r="R691" s="33">
        <f t="shared" si="98"/>
        <v>1073.25</v>
      </c>
      <c r="S691" s="35">
        <f t="shared" si="97"/>
        <v>71.55</v>
      </c>
      <c r="T691" s="34">
        <v>500</v>
      </c>
    </row>
    <row r="692" spans="1:20" x14ac:dyDescent="0.25">
      <c r="A692" s="36" t="s">
        <v>819</v>
      </c>
      <c r="B692" s="36"/>
      <c r="C692" s="36" t="s">
        <v>34</v>
      </c>
      <c r="D692" s="39">
        <v>45527</v>
      </c>
      <c r="E692" s="39">
        <v>45892</v>
      </c>
      <c r="F692" s="36" t="s">
        <v>1619</v>
      </c>
      <c r="G692" s="36" t="s">
        <v>61</v>
      </c>
      <c r="H692" s="38">
        <v>8800</v>
      </c>
      <c r="I692" s="40">
        <v>7155</v>
      </c>
      <c r="J692" s="40"/>
      <c r="K692" s="40"/>
      <c r="L692" s="40"/>
      <c r="M692" s="40"/>
      <c r="N692" s="36" t="s">
        <v>2374</v>
      </c>
      <c r="O692" s="37">
        <v>45527</v>
      </c>
      <c r="P692" s="44" t="s">
        <v>58</v>
      </c>
      <c r="Q692" s="38">
        <v>352000</v>
      </c>
      <c r="R692" s="33">
        <f t="shared" si="98"/>
        <v>1073.25</v>
      </c>
      <c r="S692" s="35">
        <f t="shared" si="97"/>
        <v>71.55</v>
      </c>
      <c r="T692" s="34">
        <v>500</v>
      </c>
    </row>
    <row r="693" spans="1:20" x14ac:dyDescent="0.25">
      <c r="A693" s="36" t="s">
        <v>820</v>
      </c>
      <c r="B693" s="36"/>
      <c r="C693" s="36" t="s">
        <v>33</v>
      </c>
      <c r="D693" s="39">
        <v>45527</v>
      </c>
      <c r="E693" s="39">
        <v>45892</v>
      </c>
      <c r="F693" s="36" t="s">
        <v>1620</v>
      </c>
      <c r="G693" s="36" t="s">
        <v>63</v>
      </c>
      <c r="H693" s="38">
        <v>23248</v>
      </c>
      <c r="I693" s="40">
        <v>19610</v>
      </c>
      <c r="J693" s="40"/>
      <c r="K693" s="40"/>
      <c r="L693" s="40"/>
      <c r="M693" s="40"/>
      <c r="N693" s="36" t="s">
        <v>2375</v>
      </c>
      <c r="O693" s="37">
        <v>45527</v>
      </c>
      <c r="P693" s="44" t="s">
        <v>58</v>
      </c>
      <c r="Q693" s="38">
        <v>547000</v>
      </c>
      <c r="R693" s="33">
        <f t="shared" si="98"/>
        <v>2941.5</v>
      </c>
      <c r="S693" s="35">
        <f t="shared" si="97"/>
        <v>196.1</v>
      </c>
      <c r="T693" s="34">
        <v>500</v>
      </c>
    </row>
    <row r="694" spans="1:20" x14ac:dyDescent="0.25">
      <c r="A694" s="36" t="s">
        <v>821</v>
      </c>
      <c r="B694" s="36"/>
      <c r="C694" s="36" t="s">
        <v>33</v>
      </c>
      <c r="D694" s="39">
        <v>45893</v>
      </c>
      <c r="E694" s="39">
        <v>46258</v>
      </c>
      <c r="F694" s="36" t="s">
        <v>1620</v>
      </c>
      <c r="G694" s="36" t="s">
        <v>63</v>
      </c>
      <c r="H694" s="38">
        <v>23248</v>
      </c>
      <c r="I694" s="40">
        <v>19610</v>
      </c>
      <c r="J694" s="40"/>
      <c r="K694" s="40"/>
      <c r="L694" s="40"/>
      <c r="M694" s="40"/>
      <c r="N694" s="36" t="s">
        <v>2375</v>
      </c>
      <c r="O694" s="37">
        <v>45527</v>
      </c>
      <c r="P694" s="44" t="s">
        <v>58</v>
      </c>
      <c r="Q694" s="38">
        <v>547000</v>
      </c>
      <c r="R694" s="33">
        <f t="shared" si="98"/>
        <v>2941.5</v>
      </c>
      <c r="S694" s="35">
        <f t="shared" si="97"/>
        <v>196.1</v>
      </c>
      <c r="T694" s="34">
        <v>500</v>
      </c>
    </row>
    <row r="695" spans="1:20" x14ac:dyDescent="0.25">
      <c r="A695" s="36" t="s">
        <v>822</v>
      </c>
      <c r="B695" s="36"/>
      <c r="C695" s="36" t="s">
        <v>31</v>
      </c>
      <c r="D695" s="39">
        <v>45527</v>
      </c>
      <c r="E695" s="39">
        <v>45892</v>
      </c>
      <c r="F695" s="36" t="s">
        <v>1621</v>
      </c>
      <c r="G695" s="36" t="s">
        <v>61</v>
      </c>
      <c r="H695" s="38">
        <v>14960</v>
      </c>
      <c r="I695" s="40">
        <v>12466</v>
      </c>
      <c r="J695" s="40"/>
      <c r="K695" s="40"/>
      <c r="L695" s="40"/>
      <c r="M695" s="40"/>
      <c r="N695" s="36" t="s">
        <v>2376</v>
      </c>
      <c r="O695" s="37">
        <v>45527</v>
      </c>
      <c r="P695" s="44" t="s">
        <v>58</v>
      </c>
      <c r="Q695" s="38">
        <v>352000</v>
      </c>
      <c r="R695" s="33">
        <f t="shared" si="98"/>
        <v>1869.9</v>
      </c>
      <c r="S695" s="35">
        <f t="shared" si="97"/>
        <v>124.66</v>
      </c>
      <c r="T695" s="34">
        <v>500</v>
      </c>
    </row>
    <row r="696" spans="1:20" x14ac:dyDescent="0.25">
      <c r="A696" s="36" t="s">
        <v>823</v>
      </c>
      <c r="B696" s="36"/>
      <c r="C696" s="36" t="s">
        <v>39</v>
      </c>
      <c r="D696" s="39">
        <v>45527</v>
      </c>
      <c r="E696" s="39">
        <v>45892</v>
      </c>
      <c r="F696" s="36" t="s">
        <v>104</v>
      </c>
      <c r="G696" s="36" t="s">
        <v>61</v>
      </c>
      <c r="H696" s="38">
        <v>14960</v>
      </c>
      <c r="I696" s="40">
        <v>12466</v>
      </c>
      <c r="J696" s="40"/>
      <c r="K696" s="40"/>
      <c r="L696" s="40"/>
      <c r="M696" s="40"/>
      <c r="N696" s="36" t="s">
        <v>2377</v>
      </c>
      <c r="O696" s="37">
        <v>45527</v>
      </c>
      <c r="P696" s="44" t="s">
        <v>58</v>
      </c>
      <c r="Q696" s="38">
        <v>352000</v>
      </c>
      <c r="R696" s="33">
        <f t="shared" si="98"/>
        <v>1869.9</v>
      </c>
      <c r="S696" s="35">
        <f t="shared" si="97"/>
        <v>124.66</v>
      </c>
      <c r="T696" s="34">
        <v>500</v>
      </c>
    </row>
    <row r="697" spans="1:20" x14ac:dyDescent="0.25">
      <c r="A697" s="36" t="s">
        <v>824</v>
      </c>
      <c r="B697" s="36"/>
      <c r="C697" s="36" t="s">
        <v>33</v>
      </c>
      <c r="D697" s="39">
        <v>45527</v>
      </c>
      <c r="E697" s="39">
        <v>45892</v>
      </c>
      <c r="F697" s="36" t="s">
        <v>1622</v>
      </c>
      <c r="G697" s="36" t="s">
        <v>61</v>
      </c>
      <c r="H697" s="38">
        <v>14960</v>
      </c>
      <c r="I697" s="40">
        <v>12466</v>
      </c>
      <c r="J697" s="40"/>
      <c r="K697" s="40"/>
      <c r="L697" s="40"/>
      <c r="M697" s="40"/>
      <c r="N697" s="36" t="s">
        <v>2378</v>
      </c>
      <c r="O697" s="37">
        <v>45527</v>
      </c>
      <c r="P697" s="44" t="s">
        <v>58</v>
      </c>
      <c r="Q697" s="38">
        <v>352000</v>
      </c>
      <c r="R697" s="33">
        <f t="shared" si="98"/>
        <v>1869.9</v>
      </c>
      <c r="S697" s="35">
        <f t="shared" si="97"/>
        <v>124.66</v>
      </c>
      <c r="T697" s="34">
        <v>500</v>
      </c>
    </row>
    <row r="698" spans="1:20" x14ac:dyDescent="0.25">
      <c r="A698" s="36" t="s">
        <v>825</v>
      </c>
      <c r="B698" s="36"/>
      <c r="C698" s="36" t="s">
        <v>35</v>
      </c>
      <c r="D698" s="39">
        <v>45527</v>
      </c>
      <c r="E698" s="39">
        <v>45892</v>
      </c>
      <c r="F698" s="36" t="s">
        <v>1623</v>
      </c>
      <c r="G698" s="36" t="s">
        <v>61</v>
      </c>
      <c r="H698" s="38">
        <v>14960</v>
      </c>
      <c r="I698" s="40">
        <v>12466</v>
      </c>
      <c r="J698" s="40"/>
      <c r="K698" s="40"/>
      <c r="L698" s="40"/>
      <c r="M698" s="40"/>
      <c r="N698" s="36" t="s">
        <v>2379</v>
      </c>
      <c r="O698" s="37">
        <v>45527</v>
      </c>
      <c r="P698" s="44" t="s">
        <v>58</v>
      </c>
      <c r="Q698" s="38">
        <v>352000</v>
      </c>
      <c r="R698" s="33">
        <f t="shared" si="98"/>
        <v>1869.9</v>
      </c>
      <c r="S698" s="35">
        <f t="shared" si="97"/>
        <v>124.66</v>
      </c>
      <c r="T698" s="34">
        <v>500</v>
      </c>
    </row>
    <row r="699" spans="1:20" x14ac:dyDescent="0.25">
      <c r="A699" s="36" t="s">
        <v>826</v>
      </c>
      <c r="B699" s="36"/>
      <c r="C699" s="36" t="s">
        <v>53</v>
      </c>
      <c r="D699" s="39">
        <v>45527</v>
      </c>
      <c r="E699" s="39">
        <v>45892</v>
      </c>
      <c r="F699" s="36" t="s">
        <v>1624</v>
      </c>
      <c r="G699" s="36" t="s">
        <v>61</v>
      </c>
      <c r="H699" s="38">
        <v>8800</v>
      </c>
      <c r="I699" s="40">
        <v>7155</v>
      </c>
      <c r="J699" s="40"/>
      <c r="K699" s="40"/>
      <c r="L699" s="40"/>
      <c r="M699" s="40"/>
      <c r="N699" s="36" t="s">
        <v>2380</v>
      </c>
      <c r="O699" s="37">
        <v>45527</v>
      </c>
      <c r="P699" s="44" t="s">
        <v>58</v>
      </c>
      <c r="Q699" s="38">
        <v>352000</v>
      </c>
      <c r="R699" s="33">
        <f t="shared" si="98"/>
        <v>1073.25</v>
      </c>
      <c r="S699" s="35">
        <f t="shared" si="97"/>
        <v>71.55</v>
      </c>
      <c r="T699" s="34">
        <v>500</v>
      </c>
    </row>
    <row r="700" spans="1:20" x14ac:dyDescent="0.25">
      <c r="A700" s="36" t="s">
        <v>827</v>
      </c>
      <c r="B700" s="36"/>
      <c r="C700" s="36" t="s">
        <v>33</v>
      </c>
      <c r="D700" s="39">
        <v>45527</v>
      </c>
      <c r="E700" s="39">
        <v>45892</v>
      </c>
      <c r="F700" s="36" t="s">
        <v>1625</v>
      </c>
      <c r="G700" s="36" t="s">
        <v>61</v>
      </c>
      <c r="H700" s="38">
        <v>14960</v>
      </c>
      <c r="I700" s="40">
        <v>12466</v>
      </c>
      <c r="J700" s="40"/>
      <c r="K700" s="40"/>
      <c r="L700" s="40"/>
      <c r="M700" s="40"/>
      <c r="N700" s="36" t="s">
        <v>2381</v>
      </c>
      <c r="O700" s="37">
        <v>45527</v>
      </c>
      <c r="P700" s="44" t="s">
        <v>58</v>
      </c>
      <c r="Q700" s="38">
        <v>352000</v>
      </c>
      <c r="R700" s="33">
        <f t="shared" si="98"/>
        <v>1869.9</v>
      </c>
      <c r="S700" s="35">
        <f t="shared" si="97"/>
        <v>124.66</v>
      </c>
      <c r="T700" s="34">
        <v>500</v>
      </c>
    </row>
    <row r="701" spans="1:20" x14ac:dyDescent="0.25">
      <c r="A701" s="36" t="s">
        <v>828</v>
      </c>
      <c r="B701" s="36"/>
      <c r="C701" s="36" t="s">
        <v>33</v>
      </c>
      <c r="D701" s="39">
        <v>45893</v>
      </c>
      <c r="E701" s="39">
        <v>46258</v>
      </c>
      <c r="F701" s="36" t="s">
        <v>1625</v>
      </c>
      <c r="G701" s="36" t="s">
        <v>61</v>
      </c>
      <c r="H701" s="38">
        <v>14960</v>
      </c>
      <c r="I701" s="40">
        <v>12466</v>
      </c>
      <c r="J701" s="40"/>
      <c r="K701" s="40"/>
      <c r="L701" s="40"/>
      <c r="M701" s="40"/>
      <c r="N701" s="36" t="s">
        <v>2381</v>
      </c>
      <c r="O701" s="37">
        <v>45527</v>
      </c>
      <c r="P701" s="44" t="s">
        <v>58</v>
      </c>
      <c r="Q701" s="38">
        <v>352000</v>
      </c>
      <c r="R701" s="33">
        <f t="shared" si="98"/>
        <v>1869.9</v>
      </c>
      <c r="S701" s="35">
        <f t="shared" si="97"/>
        <v>124.66</v>
      </c>
      <c r="T701" s="34">
        <v>500</v>
      </c>
    </row>
    <row r="702" spans="1:20" x14ac:dyDescent="0.25">
      <c r="A702" s="36" t="s">
        <v>829</v>
      </c>
      <c r="B702" s="36"/>
      <c r="C702" s="36" t="s">
        <v>34</v>
      </c>
      <c r="D702" s="39">
        <v>45527</v>
      </c>
      <c r="E702" s="39">
        <v>45892</v>
      </c>
      <c r="F702" s="36" t="s">
        <v>1626</v>
      </c>
      <c r="G702" s="36" t="s">
        <v>63</v>
      </c>
      <c r="H702" s="38">
        <v>13675</v>
      </c>
      <c r="I702" s="40">
        <v>11358</v>
      </c>
      <c r="J702" s="40"/>
      <c r="K702" s="40"/>
      <c r="L702" s="40"/>
      <c r="M702" s="40"/>
      <c r="N702" s="36" t="s">
        <v>2382</v>
      </c>
      <c r="O702" s="37">
        <v>45527</v>
      </c>
      <c r="P702" s="44" t="s">
        <v>58</v>
      </c>
      <c r="Q702" s="38">
        <v>547000</v>
      </c>
      <c r="R702" s="33">
        <f t="shared" si="98"/>
        <v>1703.7</v>
      </c>
      <c r="S702" s="35">
        <f t="shared" si="97"/>
        <v>113.58</v>
      </c>
      <c r="T702" s="34">
        <v>500</v>
      </c>
    </row>
    <row r="703" spans="1:20" x14ac:dyDescent="0.25">
      <c r="A703" s="36" t="s">
        <v>830</v>
      </c>
      <c r="B703" s="36"/>
      <c r="C703" s="36" t="s">
        <v>35</v>
      </c>
      <c r="D703" s="39">
        <v>45527</v>
      </c>
      <c r="E703" s="39">
        <v>45892</v>
      </c>
      <c r="F703" s="36" t="s">
        <v>1627</v>
      </c>
      <c r="G703" s="36" t="s">
        <v>64</v>
      </c>
      <c r="H703" s="38">
        <v>21208</v>
      </c>
      <c r="I703" s="40">
        <v>17852</v>
      </c>
      <c r="J703" s="40"/>
      <c r="K703" s="40"/>
      <c r="L703" s="40"/>
      <c r="M703" s="40"/>
      <c r="N703" s="36" t="s">
        <v>2383</v>
      </c>
      <c r="O703" s="37">
        <v>45527</v>
      </c>
      <c r="P703" s="44" t="s">
        <v>58</v>
      </c>
      <c r="Q703" s="38">
        <v>499000</v>
      </c>
      <c r="R703" s="33">
        <f t="shared" si="98"/>
        <v>2677.8</v>
      </c>
      <c r="S703" s="35">
        <f t="shared" si="97"/>
        <v>178.52</v>
      </c>
      <c r="T703" s="34">
        <v>500</v>
      </c>
    </row>
    <row r="704" spans="1:20" x14ac:dyDescent="0.25">
      <c r="A704" s="36" t="s">
        <v>831</v>
      </c>
      <c r="B704" s="36"/>
      <c r="C704" s="36" t="s">
        <v>34</v>
      </c>
      <c r="D704" s="39">
        <v>45527</v>
      </c>
      <c r="E704" s="39">
        <v>45892</v>
      </c>
      <c r="F704" s="36" t="s">
        <v>1628</v>
      </c>
      <c r="G704" s="36" t="s">
        <v>61</v>
      </c>
      <c r="H704" s="38">
        <v>8800</v>
      </c>
      <c r="I704" s="40">
        <v>7155</v>
      </c>
      <c r="J704" s="40"/>
      <c r="K704" s="40"/>
      <c r="L704" s="40"/>
      <c r="M704" s="40"/>
      <c r="N704" s="36" t="s">
        <v>2384</v>
      </c>
      <c r="O704" s="37">
        <v>45527</v>
      </c>
      <c r="P704" s="44" t="s">
        <v>58</v>
      </c>
      <c r="Q704" s="38">
        <v>352000</v>
      </c>
      <c r="R704" s="33">
        <f t="shared" si="98"/>
        <v>1073.25</v>
      </c>
      <c r="S704" s="35">
        <f t="shared" si="97"/>
        <v>71.55</v>
      </c>
      <c r="T704" s="34">
        <v>500</v>
      </c>
    </row>
    <row r="705" spans="1:20" x14ac:dyDescent="0.25">
      <c r="A705" s="36" t="s">
        <v>832</v>
      </c>
      <c r="B705" s="36"/>
      <c r="C705" s="36" t="s">
        <v>34</v>
      </c>
      <c r="D705" s="39">
        <v>45527</v>
      </c>
      <c r="E705" s="39">
        <v>45892</v>
      </c>
      <c r="F705" s="36" t="s">
        <v>1629</v>
      </c>
      <c r="G705" s="36" t="s">
        <v>61</v>
      </c>
      <c r="H705" s="38">
        <v>8800</v>
      </c>
      <c r="I705" s="40">
        <v>7155</v>
      </c>
      <c r="J705" s="40"/>
      <c r="K705" s="40"/>
      <c r="L705" s="40"/>
      <c r="M705" s="40"/>
      <c r="N705" s="36" t="s">
        <v>2385</v>
      </c>
      <c r="O705" s="37">
        <v>45527</v>
      </c>
      <c r="P705" s="44" t="s">
        <v>58</v>
      </c>
      <c r="Q705" s="38">
        <v>352000</v>
      </c>
      <c r="R705" s="33">
        <f t="shared" si="98"/>
        <v>1073.25</v>
      </c>
      <c r="S705" s="35">
        <f t="shared" si="97"/>
        <v>71.55</v>
      </c>
      <c r="T705" s="34">
        <v>500</v>
      </c>
    </row>
    <row r="706" spans="1:20" x14ac:dyDescent="0.25">
      <c r="A706" s="36" t="s">
        <v>833</v>
      </c>
      <c r="B706" s="36"/>
      <c r="C706" s="36" t="s">
        <v>34</v>
      </c>
      <c r="D706" s="39">
        <v>45527</v>
      </c>
      <c r="E706" s="39">
        <v>45892</v>
      </c>
      <c r="F706" s="36" t="s">
        <v>1630</v>
      </c>
      <c r="G706" s="36" t="s">
        <v>61</v>
      </c>
      <c r="H706" s="38">
        <v>8800</v>
      </c>
      <c r="I706" s="40">
        <v>7155</v>
      </c>
      <c r="J706" s="40"/>
      <c r="K706" s="40"/>
      <c r="L706" s="40"/>
      <c r="M706" s="40"/>
      <c r="N706" s="36" t="s">
        <v>2386</v>
      </c>
      <c r="O706" s="37">
        <v>45527</v>
      </c>
      <c r="P706" s="44" t="s">
        <v>58</v>
      </c>
      <c r="Q706" s="38">
        <v>352000</v>
      </c>
      <c r="R706" s="33">
        <f t="shared" si="98"/>
        <v>1073.25</v>
      </c>
      <c r="S706" s="35">
        <f t="shared" si="97"/>
        <v>71.55</v>
      </c>
      <c r="T706" s="34">
        <v>500</v>
      </c>
    </row>
    <row r="707" spans="1:20" x14ac:dyDescent="0.25">
      <c r="A707" s="36" t="s">
        <v>834</v>
      </c>
      <c r="B707" s="36"/>
      <c r="C707" s="36" t="s">
        <v>34</v>
      </c>
      <c r="D707" s="39">
        <v>45527</v>
      </c>
      <c r="E707" s="39">
        <v>45892</v>
      </c>
      <c r="F707" s="36" t="s">
        <v>1631</v>
      </c>
      <c r="G707" s="36" t="s">
        <v>61</v>
      </c>
      <c r="H707" s="38">
        <v>8800</v>
      </c>
      <c r="I707" s="40">
        <v>7155</v>
      </c>
      <c r="J707" s="40"/>
      <c r="K707" s="40"/>
      <c r="L707" s="40"/>
      <c r="M707" s="40"/>
      <c r="N707" s="36" t="s">
        <v>2387</v>
      </c>
      <c r="O707" s="37">
        <v>45527</v>
      </c>
      <c r="P707" s="44" t="s">
        <v>58</v>
      </c>
      <c r="Q707" s="38">
        <v>352000</v>
      </c>
      <c r="R707" s="33">
        <f t="shared" si="98"/>
        <v>1073.25</v>
      </c>
      <c r="S707" s="35">
        <f t="shared" ref="S707:S770" si="99">I707*1/100</f>
        <v>71.55</v>
      </c>
      <c r="T707" s="34">
        <v>500</v>
      </c>
    </row>
    <row r="708" spans="1:20" x14ac:dyDescent="0.25">
      <c r="A708" s="36" t="s">
        <v>835</v>
      </c>
      <c r="B708" s="36"/>
      <c r="C708" s="36" t="s">
        <v>35</v>
      </c>
      <c r="D708" s="39">
        <v>45527</v>
      </c>
      <c r="E708" s="39">
        <v>45892</v>
      </c>
      <c r="F708" s="36" t="s">
        <v>1632</v>
      </c>
      <c r="G708" s="36" t="s">
        <v>61</v>
      </c>
      <c r="H708" s="38">
        <v>14960</v>
      </c>
      <c r="I708" s="40">
        <v>12466</v>
      </c>
      <c r="J708" s="40"/>
      <c r="K708" s="40"/>
      <c r="L708" s="40"/>
      <c r="M708" s="40"/>
      <c r="N708" s="36" t="s">
        <v>2388</v>
      </c>
      <c r="O708" s="37">
        <v>45527</v>
      </c>
      <c r="P708" s="44" t="s">
        <v>58</v>
      </c>
      <c r="Q708" s="38">
        <v>352000</v>
      </c>
      <c r="R708" s="33">
        <f t="shared" ref="R708:R771" si="100">I708*15/100</f>
        <v>1869.9</v>
      </c>
      <c r="S708" s="35">
        <f t="shared" si="99"/>
        <v>124.66</v>
      </c>
      <c r="T708" s="34">
        <v>500</v>
      </c>
    </row>
    <row r="709" spans="1:20" x14ac:dyDescent="0.25">
      <c r="A709" s="36" t="s">
        <v>836</v>
      </c>
      <c r="B709" s="36"/>
      <c r="C709" s="36" t="s">
        <v>35</v>
      </c>
      <c r="D709" s="39">
        <v>45893</v>
      </c>
      <c r="E709" s="39">
        <v>46258</v>
      </c>
      <c r="F709" s="36" t="s">
        <v>1632</v>
      </c>
      <c r="G709" s="36" t="s">
        <v>61</v>
      </c>
      <c r="H709" s="38">
        <v>14960</v>
      </c>
      <c r="I709" s="40">
        <v>12466</v>
      </c>
      <c r="J709" s="40"/>
      <c r="K709" s="40"/>
      <c r="L709" s="40"/>
      <c r="M709" s="40"/>
      <c r="N709" s="36" t="s">
        <v>2388</v>
      </c>
      <c r="O709" s="37">
        <v>45527</v>
      </c>
      <c r="P709" s="44" t="s">
        <v>58</v>
      </c>
      <c r="Q709" s="38">
        <v>352000</v>
      </c>
      <c r="R709" s="33">
        <f t="shared" si="100"/>
        <v>1869.9</v>
      </c>
      <c r="S709" s="35">
        <f t="shared" si="99"/>
        <v>124.66</v>
      </c>
      <c r="T709" s="34">
        <v>500</v>
      </c>
    </row>
    <row r="710" spans="1:20" x14ac:dyDescent="0.25">
      <c r="A710" s="36" t="s">
        <v>837</v>
      </c>
      <c r="B710" s="36"/>
      <c r="C710" s="36" t="s">
        <v>34</v>
      </c>
      <c r="D710" s="39">
        <v>45527</v>
      </c>
      <c r="E710" s="39">
        <v>45892</v>
      </c>
      <c r="F710" s="36" t="s">
        <v>1545</v>
      </c>
      <c r="G710" s="36" t="s">
        <v>61</v>
      </c>
      <c r="H710" s="38">
        <v>8800</v>
      </c>
      <c r="I710" s="40">
        <v>7155</v>
      </c>
      <c r="J710" s="40"/>
      <c r="K710" s="40"/>
      <c r="L710" s="40"/>
      <c r="M710" s="40"/>
      <c r="N710" s="36" t="s">
        <v>2389</v>
      </c>
      <c r="O710" s="37">
        <v>45527</v>
      </c>
      <c r="P710" s="44" t="s">
        <v>58</v>
      </c>
      <c r="Q710" s="38">
        <v>352000</v>
      </c>
      <c r="R710" s="33">
        <f t="shared" si="100"/>
        <v>1073.25</v>
      </c>
      <c r="S710" s="35">
        <f t="shared" si="99"/>
        <v>71.55</v>
      </c>
      <c r="T710" s="34">
        <v>500</v>
      </c>
    </row>
    <row r="711" spans="1:20" x14ac:dyDescent="0.25">
      <c r="A711" s="36" t="s">
        <v>838</v>
      </c>
      <c r="B711" s="36"/>
      <c r="C711" s="36" t="s">
        <v>30</v>
      </c>
      <c r="D711" s="39">
        <v>45527</v>
      </c>
      <c r="E711" s="39">
        <v>45892</v>
      </c>
      <c r="F711" s="36" t="s">
        <v>1633</v>
      </c>
      <c r="G711" s="36" t="s">
        <v>61</v>
      </c>
      <c r="H711" s="38">
        <v>14960</v>
      </c>
      <c r="I711" s="40">
        <v>12466</v>
      </c>
      <c r="J711" s="40"/>
      <c r="K711" s="40"/>
      <c r="L711" s="40"/>
      <c r="M711" s="40"/>
      <c r="N711" s="36" t="s">
        <v>2390</v>
      </c>
      <c r="O711" s="37">
        <v>45527</v>
      </c>
      <c r="P711" s="44" t="s">
        <v>58</v>
      </c>
      <c r="Q711" s="38">
        <v>352000</v>
      </c>
      <c r="R711" s="33">
        <f t="shared" si="100"/>
        <v>1869.9</v>
      </c>
      <c r="S711" s="35">
        <f t="shared" si="99"/>
        <v>124.66</v>
      </c>
      <c r="T711" s="34">
        <v>500</v>
      </c>
    </row>
    <row r="712" spans="1:20" x14ac:dyDescent="0.25">
      <c r="A712" s="36" t="s">
        <v>839</v>
      </c>
      <c r="B712" s="36"/>
      <c r="C712" s="36" t="s">
        <v>34</v>
      </c>
      <c r="D712" s="39">
        <v>45527</v>
      </c>
      <c r="E712" s="39">
        <v>45892</v>
      </c>
      <c r="F712" s="36" t="s">
        <v>1438</v>
      </c>
      <c r="G712" s="36" t="s">
        <v>61</v>
      </c>
      <c r="H712" s="38">
        <v>8800</v>
      </c>
      <c r="I712" s="40">
        <v>7155</v>
      </c>
      <c r="J712" s="40"/>
      <c r="K712" s="40"/>
      <c r="L712" s="40"/>
      <c r="M712" s="40"/>
      <c r="N712" s="36" t="s">
        <v>2391</v>
      </c>
      <c r="O712" s="37">
        <v>45527</v>
      </c>
      <c r="P712" s="44" t="s">
        <v>58</v>
      </c>
      <c r="Q712" s="38">
        <v>352000</v>
      </c>
      <c r="R712" s="33">
        <f t="shared" si="100"/>
        <v>1073.25</v>
      </c>
      <c r="S712" s="35">
        <f t="shared" si="99"/>
        <v>71.55</v>
      </c>
      <c r="T712" s="34">
        <v>500</v>
      </c>
    </row>
    <row r="713" spans="1:20" x14ac:dyDescent="0.25">
      <c r="A713" s="36" t="s">
        <v>840</v>
      </c>
      <c r="B713" s="36"/>
      <c r="C713" s="36" t="s">
        <v>30</v>
      </c>
      <c r="D713" s="39">
        <v>45527</v>
      </c>
      <c r="E713" s="39">
        <v>45892</v>
      </c>
      <c r="F713" s="36" t="s">
        <v>1634</v>
      </c>
      <c r="G713" s="36" t="s">
        <v>61</v>
      </c>
      <c r="H713" s="38">
        <v>14960</v>
      </c>
      <c r="I713" s="40">
        <v>12466</v>
      </c>
      <c r="J713" s="40"/>
      <c r="K713" s="40"/>
      <c r="L713" s="40"/>
      <c r="M713" s="40"/>
      <c r="N713" s="36" t="s">
        <v>2392</v>
      </c>
      <c r="O713" s="37">
        <v>45527</v>
      </c>
      <c r="P713" s="44" t="s">
        <v>58</v>
      </c>
      <c r="Q713" s="38">
        <v>352000</v>
      </c>
      <c r="R713" s="33">
        <f t="shared" si="100"/>
        <v>1869.9</v>
      </c>
      <c r="S713" s="35">
        <f t="shared" si="99"/>
        <v>124.66</v>
      </c>
      <c r="T713" s="34">
        <v>500</v>
      </c>
    </row>
    <row r="714" spans="1:20" x14ac:dyDescent="0.25">
      <c r="A714" s="36" t="s">
        <v>841</v>
      </c>
      <c r="B714" s="36"/>
      <c r="C714" s="36" t="s">
        <v>38</v>
      </c>
      <c r="D714" s="39">
        <v>45527</v>
      </c>
      <c r="E714" s="39">
        <v>45892</v>
      </c>
      <c r="F714" s="36" t="s">
        <v>1635</v>
      </c>
      <c r="G714" s="36" t="s">
        <v>61</v>
      </c>
      <c r="H714" s="41">
        <f>K714</f>
        <v>14960.000000000002</v>
      </c>
      <c r="I714" s="41">
        <f>L714</f>
        <v>12396.551724137933</v>
      </c>
      <c r="J714" s="42">
        <v>4.2500000000000003E-2</v>
      </c>
      <c r="K714" s="41">
        <f>Q714*J714</f>
        <v>14960.000000000002</v>
      </c>
      <c r="L714" s="41">
        <f>K714/116%-T714</f>
        <v>12396.551724137933</v>
      </c>
      <c r="M714" s="41">
        <f>K714-H714</f>
        <v>0</v>
      </c>
      <c r="N714" s="36" t="s">
        <v>2393</v>
      </c>
      <c r="O714" s="37">
        <v>45527</v>
      </c>
      <c r="P714" s="44" t="s">
        <v>58</v>
      </c>
      <c r="Q714" s="38">
        <v>352000</v>
      </c>
      <c r="R714" s="33">
        <f t="shared" si="100"/>
        <v>1859.4827586206898</v>
      </c>
      <c r="S714" s="35">
        <f t="shared" si="99"/>
        <v>123.96551724137933</v>
      </c>
      <c r="T714" s="34">
        <v>500</v>
      </c>
    </row>
    <row r="715" spans="1:20" x14ac:dyDescent="0.25">
      <c r="A715" s="36" t="s">
        <v>842</v>
      </c>
      <c r="B715" s="36"/>
      <c r="C715" s="36" t="s">
        <v>38</v>
      </c>
      <c r="D715" s="39">
        <v>45527</v>
      </c>
      <c r="E715" s="39">
        <v>45892</v>
      </c>
      <c r="F715" s="36" t="s">
        <v>1636</v>
      </c>
      <c r="G715" s="36" t="s">
        <v>61</v>
      </c>
      <c r="H715" s="38">
        <v>14960</v>
      </c>
      <c r="I715" s="40">
        <v>12466</v>
      </c>
      <c r="J715" s="40"/>
      <c r="K715" s="40"/>
      <c r="L715" s="40"/>
      <c r="M715" s="40"/>
      <c r="N715" s="36" t="s">
        <v>2394</v>
      </c>
      <c r="O715" s="37">
        <v>45527</v>
      </c>
      <c r="P715" s="44" t="s">
        <v>58</v>
      </c>
      <c r="Q715" s="38">
        <v>352000</v>
      </c>
      <c r="R715" s="33">
        <f t="shared" si="100"/>
        <v>1869.9</v>
      </c>
      <c r="S715" s="35">
        <f t="shared" si="99"/>
        <v>124.66</v>
      </c>
      <c r="T715" s="34">
        <v>500</v>
      </c>
    </row>
    <row r="716" spans="1:20" x14ac:dyDescent="0.25">
      <c r="A716" s="36" t="s">
        <v>843</v>
      </c>
      <c r="B716" s="36"/>
      <c r="C716" s="36" t="s">
        <v>38</v>
      </c>
      <c r="D716" s="39">
        <v>45893</v>
      </c>
      <c r="E716" s="39">
        <v>46258</v>
      </c>
      <c r="F716" s="36" t="s">
        <v>1636</v>
      </c>
      <c r="G716" s="36" t="s">
        <v>61</v>
      </c>
      <c r="H716" s="38">
        <v>14960</v>
      </c>
      <c r="I716" s="40">
        <v>12466</v>
      </c>
      <c r="J716" s="40"/>
      <c r="K716" s="40"/>
      <c r="L716" s="40"/>
      <c r="M716" s="40"/>
      <c r="N716" s="36" t="s">
        <v>2394</v>
      </c>
      <c r="O716" s="37">
        <v>45527</v>
      </c>
      <c r="P716" s="44" t="s">
        <v>58</v>
      </c>
      <c r="Q716" s="38">
        <v>352000</v>
      </c>
      <c r="R716" s="33">
        <f t="shared" si="100"/>
        <v>1869.9</v>
      </c>
      <c r="S716" s="35">
        <f t="shared" si="99"/>
        <v>124.66</v>
      </c>
      <c r="T716" s="34">
        <v>500</v>
      </c>
    </row>
    <row r="717" spans="1:20" x14ac:dyDescent="0.25">
      <c r="A717" s="36" t="s">
        <v>844</v>
      </c>
      <c r="B717" s="36"/>
      <c r="C717" s="36" t="s">
        <v>38</v>
      </c>
      <c r="D717" s="39">
        <v>45527</v>
      </c>
      <c r="E717" s="39">
        <v>45892</v>
      </c>
      <c r="F717" s="36" t="s">
        <v>1637</v>
      </c>
      <c r="G717" s="36" t="s">
        <v>61</v>
      </c>
      <c r="H717" s="38">
        <v>14960</v>
      </c>
      <c r="I717" s="40">
        <v>12466</v>
      </c>
      <c r="J717" s="40"/>
      <c r="K717" s="40"/>
      <c r="L717" s="40"/>
      <c r="M717" s="40"/>
      <c r="N717" s="36" t="s">
        <v>2395</v>
      </c>
      <c r="O717" s="37">
        <v>45527</v>
      </c>
      <c r="P717" s="44" t="s">
        <v>58</v>
      </c>
      <c r="Q717" s="38">
        <v>352000</v>
      </c>
      <c r="R717" s="33">
        <f t="shared" si="100"/>
        <v>1869.9</v>
      </c>
      <c r="S717" s="35">
        <f t="shared" si="99"/>
        <v>124.66</v>
      </c>
      <c r="T717" s="34">
        <v>500</v>
      </c>
    </row>
    <row r="718" spans="1:20" x14ac:dyDescent="0.25">
      <c r="A718" s="36" t="s">
        <v>845</v>
      </c>
      <c r="B718" s="36"/>
      <c r="C718" s="36" t="s">
        <v>38</v>
      </c>
      <c r="D718" s="39">
        <v>45893</v>
      </c>
      <c r="E718" s="39">
        <v>46258</v>
      </c>
      <c r="F718" s="36" t="s">
        <v>1637</v>
      </c>
      <c r="G718" s="36" t="s">
        <v>61</v>
      </c>
      <c r="H718" s="38">
        <v>14960</v>
      </c>
      <c r="I718" s="40">
        <v>12466</v>
      </c>
      <c r="J718" s="40"/>
      <c r="K718" s="40"/>
      <c r="L718" s="40"/>
      <c r="M718" s="40"/>
      <c r="N718" s="36" t="s">
        <v>2395</v>
      </c>
      <c r="O718" s="37">
        <v>45527</v>
      </c>
      <c r="P718" s="44" t="s">
        <v>58</v>
      </c>
      <c r="Q718" s="38">
        <v>352000</v>
      </c>
      <c r="R718" s="33">
        <f t="shared" si="100"/>
        <v>1869.9</v>
      </c>
      <c r="S718" s="35">
        <f t="shared" si="99"/>
        <v>124.66</v>
      </c>
      <c r="T718" s="34">
        <v>500</v>
      </c>
    </row>
    <row r="719" spans="1:20" x14ac:dyDescent="0.25">
      <c r="A719" s="36" t="s">
        <v>846</v>
      </c>
      <c r="B719" s="36"/>
      <c r="C719" s="36" t="s">
        <v>71</v>
      </c>
      <c r="D719" s="39">
        <v>45528</v>
      </c>
      <c r="E719" s="39">
        <v>45893</v>
      </c>
      <c r="F719" s="36" t="s">
        <v>1638</v>
      </c>
      <c r="G719" s="36" t="s">
        <v>62</v>
      </c>
      <c r="H719" s="38">
        <v>9550</v>
      </c>
      <c r="I719" s="40">
        <v>7802</v>
      </c>
      <c r="J719" s="40"/>
      <c r="K719" s="40"/>
      <c r="L719" s="40"/>
      <c r="M719" s="40"/>
      <c r="N719" s="36" t="s">
        <v>2396</v>
      </c>
      <c r="O719" s="37">
        <v>45528</v>
      </c>
      <c r="P719" s="44" t="s">
        <v>58</v>
      </c>
      <c r="Q719" s="38">
        <v>382000</v>
      </c>
      <c r="R719" s="33">
        <f t="shared" si="100"/>
        <v>1170.3</v>
      </c>
      <c r="S719" s="35">
        <f t="shared" si="99"/>
        <v>78.02</v>
      </c>
      <c r="T719" s="34">
        <v>500</v>
      </c>
    </row>
    <row r="720" spans="1:20" x14ac:dyDescent="0.25">
      <c r="A720" s="36" t="s">
        <v>847</v>
      </c>
      <c r="B720" s="36"/>
      <c r="C720" s="36" t="s">
        <v>91</v>
      </c>
      <c r="D720" s="39">
        <v>45528</v>
      </c>
      <c r="E720" s="39">
        <v>45893</v>
      </c>
      <c r="F720" s="36" t="s">
        <v>88</v>
      </c>
      <c r="G720" s="36" t="s">
        <v>61</v>
      </c>
      <c r="H720" s="38">
        <v>8800</v>
      </c>
      <c r="I720" s="40">
        <v>7155</v>
      </c>
      <c r="J720" s="40"/>
      <c r="K720" s="40"/>
      <c r="L720" s="40"/>
      <c r="M720" s="40"/>
      <c r="N720" s="36" t="s">
        <v>2397</v>
      </c>
      <c r="O720" s="37">
        <v>45528</v>
      </c>
      <c r="P720" s="44" t="s">
        <v>58</v>
      </c>
      <c r="Q720" s="38">
        <v>352000</v>
      </c>
      <c r="R720" s="33">
        <f t="shared" si="100"/>
        <v>1073.25</v>
      </c>
      <c r="S720" s="35">
        <f t="shared" si="99"/>
        <v>71.55</v>
      </c>
      <c r="T720" s="34">
        <v>500</v>
      </c>
    </row>
    <row r="721" spans="1:20" x14ac:dyDescent="0.25">
      <c r="A721" s="36" t="s">
        <v>848</v>
      </c>
      <c r="B721" s="36"/>
      <c r="C721" s="36" t="s">
        <v>91</v>
      </c>
      <c r="D721" s="39">
        <v>45528</v>
      </c>
      <c r="E721" s="39">
        <v>45893</v>
      </c>
      <c r="F721" s="36" t="s">
        <v>74</v>
      </c>
      <c r="G721" s="36" t="s">
        <v>61</v>
      </c>
      <c r="H721" s="38">
        <v>8800</v>
      </c>
      <c r="I721" s="40">
        <v>7155</v>
      </c>
      <c r="J721" s="40"/>
      <c r="K721" s="40"/>
      <c r="L721" s="40"/>
      <c r="M721" s="40"/>
      <c r="N721" s="36" t="s">
        <v>2398</v>
      </c>
      <c r="O721" s="37">
        <v>45528</v>
      </c>
      <c r="P721" s="44" t="s">
        <v>58</v>
      </c>
      <c r="Q721" s="38">
        <v>352000</v>
      </c>
      <c r="R721" s="33">
        <f t="shared" si="100"/>
        <v>1073.25</v>
      </c>
      <c r="S721" s="35">
        <f t="shared" si="99"/>
        <v>71.55</v>
      </c>
      <c r="T721" s="34">
        <v>500</v>
      </c>
    </row>
    <row r="722" spans="1:20" x14ac:dyDescent="0.25">
      <c r="A722" s="36" t="s">
        <v>849</v>
      </c>
      <c r="B722" s="36"/>
      <c r="C722" s="36" t="s">
        <v>91</v>
      </c>
      <c r="D722" s="39">
        <v>45528</v>
      </c>
      <c r="E722" s="39">
        <v>45893</v>
      </c>
      <c r="F722" s="36" t="s">
        <v>1639</v>
      </c>
      <c r="G722" s="36" t="s">
        <v>61</v>
      </c>
      <c r="H722" s="38">
        <v>8800</v>
      </c>
      <c r="I722" s="40">
        <v>7155</v>
      </c>
      <c r="J722" s="40"/>
      <c r="K722" s="40"/>
      <c r="L722" s="40"/>
      <c r="M722" s="40"/>
      <c r="N722" s="36" t="s">
        <v>2399</v>
      </c>
      <c r="O722" s="37">
        <v>45528</v>
      </c>
      <c r="P722" s="44" t="s">
        <v>58</v>
      </c>
      <c r="Q722" s="38">
        <v>352000</v>
      </c>
      <c r="R722" s="33">
        <f t="shared" si="100"/>
        <v>1073.25</v>
      </c>
      <c r="S722" s="35">
        <f t="shared" si="99"/>
        <v>71.55</v>
      </c>
      <c r="T722" s="34">
        <v>500</v>
      </c>
    </row>
    <row r="723" spans="1:20" x14ac:dyDescent="0.25">
      <c r="A723" s="36" t="s">
        <v>850</v>
      </c>
      <c r="B723" s="36"/>
      <c r="C723" s="36" t="s">
        <v>91</v>
      </c>
      <c r="D723" s="39">
        <v>45528</v>
      </c>
      <c r="E723" s="39">
        <v>45893</v>
      </c>
      <c r="F723" s="36" t="s">
        <v>1640</v>
      </c>
      <c r="G723" s="36" t="s">
        <v>62</v>
      </c>
      <c r="H723" s="38">
        <v>9550</v>
      </c>
      <c r="I723" s="40">
        <v>7802</v>
      </c>
      <c r="J723" s="40"/>
      <c r="K723" s="40"/>
      <c r="L723" s="40"/>
      <c r="M723" s="40"/>
      <c r="N723" s="36" t="s">
        <v>2400</v>
      </c>
      <c r="O723" s="37">
        <v>45528</v>
      </c>
      <c r="P723" s="44" t="s">
        <v>58</v>
      </c>
      <c r="Q723" s="38">
        <v>382000</v>
      </c>
      <c r="R723" s="33">
        <f t="shared" si="100"/>
        <v>1170.3</v>
      </c>
      <c r="S723" s="35">
        <f t="shared" si="99"/>
        <v>78.02</v>
      </c>
      <c r="T723" s="34">
        <v>500</v>
      </c>
    </row>
    <row r="724" spans="1:20" x14ac:dyDescent="0.25">
      <c r="A724" s="36" t="s">
        <v>851</v>
      </c>
      <c r="B724" s="36"/>
      <c r="C724" s="36" t="s">
        <v>91</v>
      </c>
      <c r="D724" s="39">
        <v>45528</v>
      </c>
      <c r="E724" s="39">
        <v>45893</v>
      </c>
      <c r="F724" s="36" t="s">
        <v>1641</v>
      </c>
      <c r="G724" s="36" t="s">
        <v>61</v>
      </c>
      <c r="H724" s="38">
        <v>8800</v>
      </c>
      <c r="I724" s="40">
        <v>7155</v>
      </c>
      <c r="J724" s="40"/>
      <c r="K724" s="40"/>
      <c r="L724" s="40"/>
      <c r="M724" s="40"/>
      <c r="N724" s="36" t="s">
        <v>2401</v>
      </c>
      <c r="O724" s="37">
        <v>45528</v>
      </c>
      <c r="P724" s="44" t="s">
        <v>58</v>
      </c>
      <c r="Q724" s="38">
        <v>352000</v>
      </c>
      <c r="R724" s="33">
        <f t="shared" si="100"/>
        <v>1073.25</v>
      </c>
      <c r="S724" s="35">
        <f t="shared" si="99"/>
        <v>71.55</v>
      </c>
      <c r="T724" s="34">
        <v>500</v>
      </c>
    </row>
    <row r="725" spans="1:20" x14ac:dyDescent="0.25">
      <c r="A725" s="36" t="s">
        <v>852</v>
      </c>
      <c r="B725" s="36"/>
      <c r="C725" s="36" t="s">
        <v>91</v>
      </c>
      <c r="D725" s="39">
        <v>45528</v>
      </c>
      <c r="E725" s="39">
        <v>45893</v>
      </c>
      <c r="F725" s="36" t="s">
        <v>1642</v>
      </c>
      <c r="G725" s="36" t="s">
        <v>61</v>
      </c>
      <c r="H725" s="38">
        <v>8800</v>
      </c>
      <c r="I725" s="40">
        <v>7155</v>
      </c>
      <c r="J725" s="40"/>
      <c r="K725" s="40"/>
      <c r="L725" s="40"/>
      <c r="M725" s="40"/>
      <c r="N725" s="36" t="s">
        <v>2402</v>
      </c>
      <c r="O725" s="37">
        <v>45528</v>
      </c>
      <c r="P725" s="44" t="s">
        <v>58</v>
      </c>
      <c r="Q725" s="38">
        <v>352000</v>
      </c>
      <c r="R725" s="33">
        <f t="shared" si="100"/>
        <v>1073.25</v>
      </c>
      <c r="S725" s="35">
        <f t="shared" si="99"/>
        <v>71.55</v>
      </c>
      <c r="T725" s="34">
        <v>500</v>
      </c>
    </row>
    <row r="726" spans="1:20" x14ac:dyDescent="0.25">
      <c r="A726" s="36" t="s">
        <v>853</v>
      </c>
      <c r="B726" s="36"/>
      <c r="C726" s="36" t="s">
        <v>91</v>
      </c>
      <c r="D726" s="39">
        <v>45528</v>
      </c>
      <c r="E726" s="39">
        <v>45893</v>
      </c>
      <c r="F726" s="36" t="s">
        <v>110</v>
      </c>
      <c r="G726" s="36" t="s">
        <v>61</v>
      </c>
      <c r="H726" s="38">
        <v>8800</v>
      </c>
      <c r="I726" s="40">
        <v>7155</v>
      </c>
      <c r="J726" s="40"/>
      <c r="K726" s="40"/>
      <c r="L726" s="40"/>
      <c r="M726" s="40"/>
      <c r="N726" s="36" t="s">
        <v>2403</v>
      </c>
      <c r="O726" s="37">
        <v>45528</v>
      </c>
      <c r="P726" s="44" t="s">
        <v>58</v>
      </c>
      <c r="Q726" s="38">
        <v>352000</v>
      </c>
      <c r="R726" s="33">
        <f t="shared" si="100"/>
        <v>1073.25</v>
      </c>
      <c r="S726" s="35">
        <f t="shared" si="99"/>
        <v>71.55</v>
      </c>
      <c r="T726" s="34">
        <v>500</v>
      </c>
    </row>
    <row r="727" spans="1:20" x14ac:dyDescent="0.25">
      <c r="A727" s="36" t="s">
        <v>854</v>
      </c>
      <c r="B727" s="36"/>
      <c r="C727" s="36" t="s">
        <v>37</v>
      </c>
      <c r="D727" s="39">
        <v>45528</v>
      </c>
      <c r="E727" s="39">
        <v>45893</v>
      </c>
      <c r="F727" s="36" t="s">
        <v>1643</v>
      </c>
      <c r="G727" s="36" t="s">
        <v>64</v>
      </c>
      <c r="H727" s="38">
        <v>12475</v>
      </c>
      <c r="I727" s="40">
        <v>10323</v>
      </c>
      <c r="J727" s="40"/>
      <c r="K727" s="40"/>
      <c r="L727" s="40"/>
      <c r="M727" s="40"/>
      <c r="N727" s="36" t="s">
        <v>2404</v>
      </c>
      <c r="O727" s="37">
        <v>45528</v>
      </c>
      <c r="P727" s="44" t="s">
        <v>58</v>
      </c>
      <c r="Q727" s="38">
        <v>499000</v>
      </c>
      <c r="R727" s="33">
        <f t="shared" si="100"/>
        <v>1548.45</v>
      </c>
      <c r="S727" s="35">
        <f t="shared" si="99"/>
        <v>103.23</v>
      </c>
      <c r="T727" s="34">
        <v>500</v>
      </c>
    </row>
    <row r="728" spans="1:20" x14ac:dyDescent="0.25">
      <c r="A728" s="36" t="s">
        <v>855</v>
      </c>
      <c r="B728" s="36"/>
      <c r="C728" s="36" t="s">
        <v>38</v>
      </c>
      <c r="D728" s="39">
        <v>45528</v>
      </c>
      <c r="E728" s="39">
        <v>45893</v>
      </c>
      <c r="F728" s="36" t="s">
        <v>1644</v>
      </c>
      <c r="G728" s="36" t="s">
        <v>61</v>
      </c>
      <c r="H728" s="38">
        <v>14960</v>
      </c>
      <c r="I728" s="40">
        <v>12466</v>
      </c>
      <c r="J728" s="40"/>
      <c r="K728" s="40"/>
      <c r="L728" s="40"/>
      <c r="M728" s="40"/>
      <c r="N728" s="36" t="s">
        <v>2405</v>
      </c>
      <c r="O728" s="37">
        <v>45528</v>
      </c>
      <c r="P728" s="44" t="s">
        <v>58</v>
      </c>
      <c r="Q728" s="38">
        <v>352000</v>
      </c>
      <c r="R728" s="33">
        <f t="shared" si="100"/>
        <v>1869.9</v>
      </c>
      <c r="S728" s="35">
        <f t="shared" si="99"/>
        <v>124.66</v>
      </c>
      <c r="T728" s="34">
        <v>500</v>
      </c>
    </row>
    <row r="729" spans="1:20" x14ac:dyDescent="0.25">
      <c r="A729" s="36" t="s">
        <v>856</v>
      </c>
      <c r="B729" s="36"/>
      <c r="C729" s="36" t="s">
        <v>38</v>
      </c>
      <c r="D729" s="39">
        <v>45894</v>
      </c>
      <c r="E729" s="39">
        <v>46259</v>
      </c>
      <c r="F729" s="36" t="s">
        <v>1644</v>
      </c>
      <c r="G729" s="36" t="s">
        <v>61</v>
      </c>
      <c r="H729" s="38">
        <v>14960</v>
      </c>
      <c r="I729" s="40">
        <v>12466</v>
      </c>
      <c r="J729" s="40"/>
      <c r="K729" s="40"/>
      <c r="L729" s="40"/>
      <c r="M729" s="40"/>
      <c r="N729" s="36" t="s">
        <v>2405</v>
      </c>
      <c r="O729" s="37">
        <v>45528</v>
      </c>
      <c r="P729" s="44" t="s">
        <v>58</v>
      </c>
      <c r="Q729" s="38">
        <v>352000</v>
      </c>
      <c r="R729" s="33">
        <f t="shared" si="100"/>
        <v>1869.9</v>
      </c>
      <c r="S729" s="35">
        <f t="shared" si="99"/>
        <v>124.66</v>
      </c>
      <c r="T729" s="34">
        <v>500</v>
      </c>
    </row>
    <row r="730" spans="1:20" x14ac:dyDescent="0.25">
      <c r="A730" s="36" t="s">
        <v>857</v>
      </c>
      <c r="B730" s="36"/>
      <c r="C730" s="36" t="s">
        <v>37</v>
      </c>
      <c r="D730" s="39">
        <v>45528</v>
      </c>
      <c r="E730" s="39">
        <v>45893</v>
      </c>
      <c r="F730" s="36" t="s">
        <v>1645</v>
      </c>
      <c r="G730" s="36" t="s">
        <v>63</v>
      </c>
      <c r="H730" s="38">
        <v>13675</v>
      </c>
      <c r="I730" s="40">
        <v>11358</v>
      </c>
      <c r="J730" s="40"/>
      <c r="K730" s="40"/>
      <c r="L730" s="40"/>
      <c r="M730" s="40"/>
      <c r="N730" s="36" t="s">
        <v>2406</v>
      </c>
      <c r="O730" s="37">
        <v>45528</v>
      </c>
      <c r="P730" s="44" t="s">
        <v>58</v>
      </c>
      <c r="Q730" s="38">
        <v>547000</v>
      </c>
      <c r="R730" s="33">
        <f t="shared" si="100"/>
        <v>1703.7</v>
      </c>
      <c r="S730" s="35">
        <f t="shared" si="99"/>
        <v>113.58</v>
      </c>
      <c r="T730" s="34">
        <v>500</v>
      </c>
    </row>
    <row r="731" spans="1:20" x14ac:dyDescent="0.25">
      <c r="A731" s="36" t="s">
        <v>858</v>
      </c>
      <c r="B731" s="36"/>
      <c r="C731" s="36" t="s">
        <v>35</v>
      </c>
      <c r="D731" s="39">
        <v>45528</v>
      </c>
      <c r="E731" s="39">
        <v>45893</v>
      </c>
      <c r="F731" s="36" t="s">
        <v>1646</v>
      </c>
      <c r="G731" s="36" t="s">
        <v>63</v>
      </c>
      <c r="H731" s="38">
        <v>23248</v>
      </c>
      <c r="I731" s="40">
        <v>19610</v>
      </c>
      <c r="J731" s="40"/>
      <c r="K731" s="40"/>
      <c r="L731" s="40"/>
      <c r="M731" s="40"/>
      <c r="N731" s="36" t="s">
        <v>2407</v>
      </c>
      <c r="O731" s="37">
        <v>45528</v>
      </c>
      <c r="P731" s="44" t="s">
        <v>58</v>
      </c>
      <c r="Q731" s="38">
        <v>547000</v>
      </c>
      <c r="R731" s="33">
        <f t="shared" si="100"/>
        <v>2941.5</v>
      </c>
      <c r="S731" s="35">
        <f t="shared" si="99"/>
        <v>196.1</v>
      </c>
      <c r="T731" s="34">
        <v>500</v>
      </c>
    </row>
    <row r="732" spans="1:20" x14ac:dyDescent="0.25">
      <c r="A732" s="36" t="s">
        <v>859</v>
      </c>
      <c r="B732" s="36"/>
      <c r="C732" s="36" t="s">
        <v>35</v>
      </c>
      <c r="D732" s="39">
        <v>45894</v>
      </c>
      <c r="E732" s="39">
        <v>46259</v>
      </c>
      <c r="F732" s="36" t="s">
        <v>1646</v>
      </c>
      <c r="G732" s="36" t="s">
        <v>63</v>
      </c>
      <c r="H732" s="38">
        <v>23248</v>
      </c>
      <c r="I732" s="40">
        <v>19610</v>
      </c>
      <c r="J732" s="40"/>
      <c r="K732" s="40"/>
      <c r="L732" s="40"/>
      <c r="M732" s="40"/>
      <c r="N732" s="36" t="s">
        <v>2407</v>
      </c>
      <c r="O732" s="37">
        <v>45528</v>
      </c>
      <c r="P732" s="44" t="s">
        <v>58</v>
      </c>
      <c r="Q732" s="38">
        <v>547000</v>
      </c>
      <c r="R732" s="33">
        <f t="shared" si="100"/>
        <v>2941.5</v>
      </c>
      <c r="S732" s="35">
        <f t="shared" si="99"/>
        <v>196.1</v>
      </c>
      <c r="T732" s="34">
        <v>500</v>
      </c>
    </row>
    <row r="733" spans="1:20" x14ac:dyDescent="0.25">
      <c r="A733" s="36" t="s">
        <v>860</v>
      </c>
      <c r="B733" s="36"/>
      <c r="C733" s="36" t="s">
        <v>39</v>
      </c>
      <c r="D733" s="39">
        <v>45528</v>
      </c>
      <c r="E733" s="39">
        <v>45893</v>
      </c>
      <c r="F733" s="36" t="s">
        <v>1647</v>
      </c>
      <c r="G733" s="36" t="s">
        <v>61</v>
      </c>
      <c r="H733" s="38">
        <v>14960</v>
      </c>
      <c r="I733" s="40">
        <v>12466</v>
      </c>
      <c r="J733" s="40"/>
      <c r="K733" s="40"/>
      <c r="L733" s="40"/>
      <c r="M733" s="40"/>
      <c r="N733" s="36" t="s">
        <v>2408</v>
      </c>
      <c r="O733" s="37">
        <v>45528</v>
      </c>
      <c r="P733" s="44" t="s">
        <v>58</v>
      </c>
      <c r="Q733" s="38">
        <v>352000</v>
      </c>
      <c r="R733" s="33">
        <f t="shared" si="100"/>
        <v>1869.9</v>
      </c>
      <c r="S733" s="35">
        <f t="shared" si="99"/>
        <v>124.66</v>
      </c>
      <c r="T733" s="34">
        <v>500</v>
      </c>
    </row>
    <row r="734" spans="1:20" x14ac:dyDescent="0.25">
      <c r="A734" s="36" t="s">
        <v>861</v>
      </c>
      <c r="B734" s="36"/>
      <c r="C734" s="36" t="s">
        <v>36</v>
      </c>
      <c r="D734" s="39">
        <v>45528</v>
      </c>
      <c r="E734" s="39">
        <v>45893</v>
      </c>
      <c r="F734" s="36" t="s">
        <v>1648</v>
      </c>
      <c r="G734" s="36" t="s">
        <v>61</v>
      </c>
      <c r="H734" s="38">
        <v>14960</v>
      </c>
      <c r="I734" s="40">
        <v>12466</v>
      </c>
      <c r="J734" s="40"/>
      <c r="K734" s="40"/>
      <c r="L734" s="40"/>
      <c r="M734" s="40"/>
      <c r="N734" s="36" t="s">
        <v>2409</v>
      </c>
      <c r="O734" s="37">
        <v>45528</v>
      </c>
      <c r="P734" s="44" t="s">
        <v>58</v>
      </c>
      <c r="Q734" s="38">
        <v>352000</v>
      </c>
      <c r="R734" s="33">
        <f t="shared" si="100"/>
        <v>1869.9</v>
      </c>
      <c r="S734" s="35">
        <f t="shared" si="99"/>
        <v>124.66</v>
      </c>
      <c r="T734" s="34">
        <v>500</v>
      </c>
    </row>
    <row r="735" spans="1:20" x14ac:dyDescent="0.25">
      <c r="A735" s="36" t="s">
        <v>862</v>
      </c>
      <c r="B735" s="36"/>
      <c r="C735" s="36" t="s">
        <v>36</v>
      </c>
      <c r="D735" s="39">
        <v>45894</v>
      </c>
      <c r="E735" s="39">
        <v>46259</v>
      </c>
      <c r="F735" s="36" t="s">
        <v>1648</v>
      </c>
      <c r="G735" s="36" t="s">
        <v>61</v>
      </c>
      <c r="H735" s="38">
        <v>14960</v>
      </c>
      <c r="I735" s="40">
        <v>12466</v>
      </c>
      <c r="J735" s="40"/>
      <c r="K735" s="40"/>
      <c r="L735" s="40"/>
      <c r="M735" s="40"/>
      <c r="N735" s="36" t="s">
        <v>2409</v>
      </c>
      <c r="O735" s="37">
        <v>45528</v>
      </c>
      <c r="P735" s="44" t="s">
        <v>58</v>
      </c>
      <c r="Q735" s="38">
        <v>352000</v>
      </c>
      <c r="R735" s="33">
        <f t="shared" si="100"/>
        <v>1869.9</v>
      </c>
      <c r="S735" s="35">
        <f t="shared" si="99"/>
        <v>124.66</v>
      </c>
      <c r="T735" s="34">
        <v>500</v>
      </c>
    </row>
    <row r="736" spans="1:20" x14ac:dyDescent="0.25">
      <c r="A736" s="36" t="s">
        <v>863</v>
      </c>
      <c r="B736" s="36"/>
      <c r="C736" s="36" t="s">
        <v>91</v>
      </c>
      <c r="D736" s="39">
        <v>45528</v>
      </c>
      <c r="E736" s="39">
        <v>45893</v>
      </c>
      <c r="F736" s="36" t="s">
        <v>1649</v>
      </c>
      <c r="G736" s="36" t="s">
        <v>61</v>
      </c>
      <c r="H736" s="38">
        <v>8800</v>
      </c>
      <c r="I736" s="40">
        <v>7155</v>
      </c>
      <c r="J736" s="40"/>
      <c r="K736" s="40"/>
      <c r="L736" s="40"/>
      <c r="M736" s="40"/>
      <c r="N736" s="36" t="s">
        <v>2410</v>
      </c>
      <c r="O736" s="37">
        <v>45528</v>
      </c>
      <c r="P736" s="44" t="s">
        <v>58</v>
      </c>
      <c r="Q736" s="38">
        <v>352000</v>
      </c>
      <c r="R736" s="33">
        <f t="shared" si="100"/>
        <v>1073.25</v>
      </c>
      <c r="S736" s="35">
        <f t="shared" si="99"/>
        <v>71.55</v>
      </c>
      <c r="T736" s="34">
        <v>500</v>
      </c>
    </row>
    <row r="737" spans="1:20" x14ac:dyDescent="0.25">
      <c r="A737" s="36" t="s">
        <v>864</v>
      </c>
      <c r="B737" s="36"/>
      <c r="C737" s="36" t="s">
        <v>34</v>
      </c>
      <c r="D737" s="39">
        <v>45528</v>
      </c>
      <c r="E737" s="39">
        <v>45893</v>
      </c>
      <c r="F737" s="36" t="s">
        <v>1650</v>
      </c>
      <c r="G737" s="36" t="s">
        <v>61</v>
      </c>
      <c r="H737" s="38">
        <v>8800</v>
      </c>
      <c r="I737" s="40">
        <v>7155</v>
      </c>
      <c r="J737" s="40"/>
      <c r="K737" s="40"/>
      <c r="L737" s="40"/>
      <c r="M737" s="40"/>
      <c r="N737" s="36" t="s">
        <v>2411</v>
      </c>
      <c r="O737" s="37">
        <v>45528</v>
      </c>
      <c r="P737" s="44" t="s">
        <v>58</v>
      </c>
      <c r="Q737" s="38">
        <v>352000</v>
      </c>
      <c r="R737" s="33">
        <f t="shared" si="100"/>
        <v>1073.25</v>
      </c>
      <c r="S737" s="35">
        <f t="shared" si="99"/>
        <v>71.55</v>
      </c>
      <c r="T737" s="34">
        <v>500</v>
      </c>
    </row>
    <row r="738" spans="1:20" x14ac:dyDescent="0.25">
      <c r="A738" s="36" t="s">
        <v>865</v>
      </c>
      <c r="B738" s="36"/>
      <c r="C738" s="36" t="s">
        <v>91</v>
      </c>
      <c r="D738" s="39">
        <v>45528</v>
      </c>
      <c r="E738" s="39">
        <v>45893</v>
      </c>
      <c r="F738" s="36" t="s">
        <v>1651</v>
      </c>
      <c r="G738" s="36" t="s">
        <v>64</v>
      </c>
      <c r="H738" s="38">
        <v>12475</v>
      </c>
      <c r="I738" s="40">
        <v>10323</v>
      </c>
      <c r="J738" s="40"/>
      <c r="K738" s="40"/>
      <c r="L738" s="40"/>
      <c r="M738" s="40"/>
      <c r="N738" s="36" t="s">
        <v>2412</v>
      </c>
      <c r="O738" s="37">
        <v>45528</v>
      </c>
      <c r="P738" s="44" t="s">
        <v>58</v>
      </c>
      <c r="Q738" s="38">
        <v>499000</v>
      </c>
      <c r="R738" s="33">
        <f t="shared" si="100"/>
        <v>1548.45</v>
      </c>
      <c r="S738" s="35">
        <f t="shared" si="99"/>
        <v>103.23</v>
      </c>
      <c r="T738" s="34">
        <v>500</v>
      </c>
    </row>
    <row r="739" spans="1:20" x14ac:dyDescent="0.25">
      <c r="A739" s="36" t="s">
        <v>866</v>
      </c>
      <c r="B739" s="36"/>
      <c r="C739" s="36" t="s">
        <v>38</v>
      </c>
      <c r="D739" s="39">
        <v>45528</v>
      </c>
      <c r="E739" s="39">
        <v>45893</v>
      </c>
      <c r="F739" s="36" t="s">
        <v>1652</v>
      </c>
      <c r="G739" s="36" t="s">
        <v>61</v>
      </c>
      <c r="H739" s="38">
        <v>14960</v>
      </c>
      <c r="I739" s="40">
        <v>12466</v>
      </c>
      <c r="J739" s="40"/>
      <c r="K739" s="40"/>
      <c r="L739" s="40"/>
      <c r="M739" s="40"/>
      <c r="N739" s="36" t="s">
        <v>2413</v>
      </c>
      <c r="O739" s="37">
        <v>45528</v>
      </c>
      <c r="P739" s="44" t="s">
        <v>58</v>
      </c>
      <c r="Q739" s="38">
        <v>352000</v>
      </c>
      <c r="R739" s="33">
        <f t="shared" si="100"/>
        <v>1869.9</v>
      </c>
      <c r="S739" s="35">
        <f t="shared" si="99"/>
        <v>124.66</v>
      </c>
      <c r="T739" s="34">
        <v>500</v>
      </c>
    </row>
    <row r="740" spans="1:20" x14ac:dyDescent="0.25">
      <c r="A740" s="36" t="s">
        <v>867</v>
      </c>
      <c r="B740" s="36"/>
      <c r="C740" s="36" t="s">
        <v>38</v>
      </c>
      <c r="D740" s="39">
        <v>45894</v>
      </c>
      <c r="E740" s="39">
        <v>46259</v>
      </c>
      <c r="F740" s="36" t="s">
        <v>1652</v>
      </c>
      <c r="G740" s="36" t="s">
        <v>61</v>
      </c>
      <c r="H740" s="38">
        <v>14960</v>
      </c>
      <c r="I740" s="40">
        <v>12466</v>
      </c>
      <c r="J740" s="40"/>
      <c r="K740" s="40"/>
      <c r="L740" s="40"/>
      <c r="M740" s="40"/>
      <c r="N740" s="36" t="s">
        <v>2413</v>
      </c>
      <c r="O740" s="37">
        <v>45528</v>
      </c>
      <c r="P740" s="44" t="s">
        <v>58</v>
      </c>
      <c r="Q740" s="38">
        <v>352000</v>
      </c>
      <c r="R740" s="33">
        <f t="shared" si="100"/>
        <v>1869.9</v>
      </c>
      <c r="S740" s="35">
        <f t="shared" si="99"/>
        <v>124.66</v>
      </c>
      <c r="T740" s="34">
        <v>500</v>
      </c>
    </row>
    <row r="741" spans="1:20" x14ac:dyDescent="0.25">
      <c r="A741" s="36" t="s">
        <v>868</v>
      </c>
      <c r="B741" s="36"/>
      <c r="C741" s="36" t="s">
        <v>34</v>
      </c>
      <c r="D741" s="39">
        <v>45528</v>
      </c>
      <c r="E741" s="39">
        <v>45893</v>
      </c>
      <c r="F741" s="36" t="s">
        <v>1653</v>
      </c>
      <c r="G741" s="36" t="s">
        <v>61</v>
      </c>
      <c r="H741" s="38">
        <v>8800</v>
      </c>
      <c r="I741" s="40">
        <v>7155</v>
      </c>
      <c r="J741" s="40"/>
      <c r="K741" s="40"/>
      <c r="L741" s="40"/>
      <c r="M741" s="40"/>
      <c r="N741" s="36" t="s">
        <v>2414</v>
      </c>
      <c r="O741" s="37">
        <v>45528</v>
      </c>
      <c r="P741" s="44" t="s">
        <v>58</v>
      </c>
      <c r="Q741" s="38">
        <v>352000</v>
      </c>
      <c r="R741" s="33">
        <f t="shared" si="100"/>
        <v>1073.25</v>
      </c>
      <c r="S741" s="35">
        <f t="shared" si="99"/>
        <v>71.55</v>
      </c>
      <c r="T741" s="34">
        <v>500</v>
      </c>
    </row>
    <row r="742" spans="1:20" x14ac:dyDescent="0.25">
      <c r="A742" s="36" t="s">
        <v>869</v>
      </c>
      <c r="B742" s="36"/>
      <c r="C742" s="36" t="s">
        <v>34</v>
      </c>
      <c r="D742" s="39">
        <v>45528</v>
      </c>
      <c r="E742" s="39">
        <v>45893</v>
      </c>
      <c r="F742" s="36" t="s">
        <v>1654</v>
      </c>
      <c r="G742" s="36" t="s">
        <v>61</v>
      </c>
      <c r="H742" s="38">
        <v>8800</v>
      </c>
      <c r="I742" s="40">
        <v>7155</v>
      </c>
      <c r="J742" s="40"/>
      <c r="K742" s="40"/>
      <c r="L742" s="40"/>
      <c r="M742" s="40"/>
      <c r="N742" s="36" t="s">
        <v>2415</v>
      </c>
      <c r="O742" s="37">
        <v>45528</v>
      </c>
      <c r="P742" s="44" t="s">
        <v>58</v>
      </c>
      <c r="Q742" s="38">
        <v>352000</v>
      </c>
      <c r="R742" s="33">
        <f t="shared" si="100"/>
        <v>1073.25</v>
      </c>
      <c r="S742" s="35">
        <f t="shared" si="99"/>
        <v>71.55</v>
      </c>
      <c r="T742" s="34">
        <v>500</v>
      </c>
    </row>
    <row r="743" spans="1:20" x14ac:dyDescent="0.25">
      <c r="A743" s="36" t="s">
        <v>870</v>
      </c>
      <c r="B743" s="36"/>
      <c r="C743" s="36" t="s">
        <v>35</v>
      </c>
      <c r="D743" s="39">
        <v>45528</v>
      </c>
      <c r="E743" s="39">
        <v>45893</v>
      </c>
      <c r="F743" s="36" t="s">
        <v>1655</v>
      </c>
      <c r="G743" s="36" t="s">
        <v>61</v>
      </c>
      <c r="H743" s="38">
        <v>14960</v>
      </c>
      <c r="I743" s="40">
        <v>12466</v>
      </c>
      <c r="J743" s="40"/>
      <c r="K743" s="40"/>
      <c r="L743" s="40"/>
      <c r="M743" s="40"/>
      <c r="N743" s="36" t="s">
        <v>2416</v>
      </c>
      <c r="O743" s="37">
        <v>45528</v>
      </c>
      <c r="P743" s="44" t="s">
        <v>58</v>
      </c>
      <c r="Q743" s="38">
        <v>352000</v>
      </c>
      <c r="R743" s="33">
        <f t="shared" si="100"/>
        <v>1869.9</v>
      </c>
      <c r="S743" s="35">
        <f t="shared" si="99"/>
        <v>124.66</v>
      </c>
      <c r="T743" s="34">
        <v>500</v>
      </c>
    </row>
    <row r="744" spans="1:20" x14ac:dyDescent="0.25">
      <c r="A744" s="36" t="s">
        <v>871</v>
      </c>
      <c r="B744" s="36"/>
      <c r="C744" s="36" t="s">
        <v>35</v>
      </c>
      <c r="D744" s="39">
        <v>45894</v>
      </c>
      <c r="E744" s="39">
        <v>46259</v>
      </c>
      <c r="F744" s="36" t="s">
        <v>1655</v>
      </c>
      <c r="G744" s="36" t="s">
        <v>61</v>
      </c>
      <c r="H744" s="38">
        <v>14960</v>
      </c>
      <c r="I744" s="40">
        <v>12466</v>
      </c>
      <c r="J744" s="40"/>
      <c r="K744" s="40"/>
      <c r="L744" s="40"/>
      <c r="M744" s="40"/>
      <c r="N744" s="36" t="s">
        <v>2416</v>
      </c>
      <c r="O744" s="37">
        <v>45528</v>
      </c>
      <c r="P744" s="44" t="s">
        <v>58</v>
      </c>
      <c r="Q744" s="38">
        <v>352000</v>
      </c>
      <c r="R744" s="33">
        <f t="shared" si="100"/>
        <v>1869.9</v>
      </c>
      <c r="S744" s="35">
        <f t="shared" si="99"/>
        <v>124.66</v>
      </c>
      <c r="T744" s="34">
        <v>500</v>
      </c>
    </row>
    <row r="745" spans="1:20" x14ac:dyDescent="0.25">
      <c r="A745" s="36" t="s">
        <v>872</v>
      </c>
      <c r="B745" s="36"/>
      <c r="C745" s="36" t="s">
        <v>34</v>
      </c>
      <c r="D745" s="39">
        <v>45528</v>
      </c>
      <c r="E745" s="39">
        <v>45893</v>
      </c>
      <c r="F745" s="36" t="s">
        <v>1656</v>
      </c>
      <c r="G745" s="36" t="s">
        <v>61</v>
      </c>
      <c r="H745" s="38">
        <v>8800</v>
      </c>
      <c r="I745" s="40">
        <v>7155</v>
      </c>
      <c r="J745" s="40"/>
      <c r="K745" s="40"/>
      <c r="L745" s="40"/>
      <c r="M745" s="40"/>
      <c r="N745" s="36" t="s">
        <v>2417</v>
      </c>
      <c r="O745" s="37">
        <v>45528</v>
      </c>
      <c r="P745" s="44" t="s">
        <v>58</v>
      </c>
      <c r="Q745" s="38">
        <v>352000</v>
      </c>
      <c r="R745" s="33">
        <f t="shared" si="100"/>
        <v>1073.25</v>
      </c>
      <c r="S745" s="35">
        <f t="shared" si="99"/>
        <v>71.55</v>
      </c>
      <c r="T745" s="34">
        <v>500</v>
      </c>
    </row>
    <row r="746" spans="1:20" x14ac:dyDescent="0.25">
      <c r="A746" s="36" t="s">
        <v>873</v>
      </c>
      <c r="B746" s="36"/>
      <c r="C746" s="36" t="s">
        <v>34</v>
      </c>
      <c r="D746" s="39">
        <v>45528</v>
      </c>
      <c r="E746" s="39">
        <v>45893</v>
      </c>
      <c r="F746" s="36" t="s">
        <v>1657</v>
      </c>
      <c r="G746" s="36" t="s">
        <v>61</v>
      </c>
      <c r="H746" s="38">
        <v>8800</v>
      </c>
      <c r="I746" s="40">
        <v>7155</v>
      </c>
      <c r="J746" s="40"/>
      <c r="K746" s="40"/>
      <c r="L746" s="40"/>
      <c r="M746" s="40"/>
      <c r="N746" s="36" t="s">
        <v>2418</v>
      </c>
      <c r="O746" s="37">
        <v>45528</v>
      </c>
      <c r="P746" s="44" t="s">
        <v>58</v>
      </c>
      <c r="Q746" s="38">
        <v>352000</v>
      </c>
      <c r="R746" s="33">
        <f t="shared" si="100"/>
        <v>1073.25</v>
      </c>
      <c r="S746" s="35">
        <f t="shared" si="99"/>
        <v>71.55</v>
      </c>
      <c r="T746" s="34">
        <v>500</v>
      </c>
    </row>
    <row r="747" spans="1:20" x14ac:dyDescent="0.25">
      <c r="A747" s="36" t="s">
        <v>874</v>
      </c>
      <c r="B747" s="36"/>
      <c r="C747" s="36" t="s">
        <v>34</v>
      </c>
      <c r="D747" s="39">
        <v>45528</v>
      </c>
      <c r="E747" s="39">
        <v>45893</v>
      </c>
      <c r="F747" s="36" t="s">
        <v>1658</v>
      </c>
      <c r="G747" s="36" t="s">
        <v>61</v>
      </c>
      <c r="H747" s="38">
        <v>8800</v>
      </c>
      <c r="I747" s="40">
        <v>7155</v>
      </c>
      <c r="J747" s="40"/>
      <c r="K747" s="40"/>
      <c r="L747" s="40"/>
      <c r="M747" s="40"/>
      <c r="N747" s="36" t="s">
        <v>2419</v>
      </c>
      <c r="O747" s="37">
        <v>45528</v>
      </c>
      <c r="P747" s="44" t="s">
        <v>58</v>
      </c>
      <c r="Q747" s="38">
        <v>352000</v>
      </c>
      <c r="R747" s="33">
        <f t="shared" si="100"/>
        <v>1073.25</v>
      </c>
      <c r="S747" s="35">
        <f t="shared" si="99"/>
        <v>71.55</v>
      </c>
      <c r="T747" s="34">
        <v>500</v>
      </c>
    </row>
    <row r="748" spans="1:20" x14ac:dyDescent="0.25">
      <c r="A748" s="36" t="s">
        <v>875</v>
      </c>
      <c r="B748" s="36"/>
      <c r="C748" s="36" t="s">
        <v>34</v>
      </c>
      <c r="D748" s="39">
        <v>45528</v>
      </c>
      <c r="E748" s="39">
        <v>45893</v>
      </c>
      <c r="F748" s="36" t="s">
        <v>127</v>
      </c>
      <c r="G748" s="36" t="s">
        <v>61</v>
      </c>
      <c r="H748" s="38">
        <v>8800</v>
      </c>
      <c r="I748" s="40">
        <v>7155</v>
      </c>
      <c r="J748" s="40"/>
      <c r="K748" s="40"/>
      <c r="L748" s="40"/>
      <c r="M748" s="40"/>
      <c r="N748" s="36" t="s">
        <v>2420</v>
      </c>
      <c r="O748" s="37">
        <v>45528</v>
      </c>
      <c r="P748" s="44" t="s">
        <v>58</v>
      </c>
      <c r="Q748" s="38">
        <v>352000</v>
      </c>
      <c r="R748" s="33">
        <f t="shared" si="100"/>
        <v>1073.25</v>
      </c>
      <c r="S748" s="35">
        <f t="shared" si="99"/>
        <v>71.55</v>
      </c>
      <c r="T748" s="34">
        <v>500</v>
      </c>
    </row>
    <row r="749" spans="1:20" x14ac:dyDescent="0.25">
      <c r="A749" s="36" t="s">
        <v>876</v>
      </c>
      <c r="B749" s="36"/>
      <c r="C749" s="36" t="s">
        <v>34</v>
      </c>
      <c r="D749" s="39">
        <v>45528</v>
      </c>
      <c r="E749" s="39">
        <v>45893</v>
      </c>
      <c r="F749" s="36" t="s">
        <v>1659</v>
      </c>
      <c r="G749" s="36" t="s">
        <v>61</v>
      </c>
      <c r="H749" s="38">
        <v>8800</v>
      </c>
      <c r="I749" s="40">
        <v>7155</v>
      </c>
      <c r="J749" s="40"/>
      <c r="K749" s="40"/>
      <c r="L749" s="40"/>
      <c r="M749" s="40"/>
      <c r="N749" s="36" t="s">
        <v>2421</v>
      </c>
      <c r="O749" s="37">
        <v>45528</v>
      </c>
      <c r="P749" s="44" t="s">
        <v>58</v>
      </c>
      <c r="Q749" s="38">
        <v>352000</v>
      </c>
      <c r="R749" s="33">
        <f t="shared" si="100"/>
        <v>1073.25</v>
      </c>
      <c r="S749" s="35">
        <f t="shared" si="99"/>
        <v>71.55</v>
      </c>
      <c r="T749" s="34">
        <v>500</v>
      </c>
    </row>
    <row r="750" spans="1:20" x14ac:dyDescent="0.25">
      <c r="A750" s="36" t="s">
        <v>877</v>
      </c>
      <c r="B750" s="36"/>
      <c r="C750" s="36" t="s">
        <v>37</v>
      </c>
      <c r="D750" s="39">
        <v>45528</v>
      </c>
      <c r="E750" s="39">
        <v>45893</v>
      </c>
      <c r="F750" s="36" t="s">
        <v>1660</v>
      </c>
      <c r="G750" s="36" t="s">
        <v>63</v>
      </c>
      <c r="H750" s="38">
        <v>13675</v>
      </c>
      <c r="I750" s="40">
        <v>11358</v>
      </c>
      <c r="J750" s="40"/>
      <c r="K750" s="40"/>
      <c r="L750" s="40"/>
      <c r="M750" s="40"/>
      <c r="N750" s="36" t="s">
        <v>2422</v>
      </c>
      <c r="O750" s="37">
        <v>45528</v>
      </c>
      <c r="P750" s="44" t="s">
        <v>58</v>
      </c>
      <c r="Q750" s="38">
        <v>547000</v>
      </c>
      <c r="R750" s="33">
        <f t="shared" si="100"/>
        <v>1703.7</v>
      </c>
      <c r="S750" s="35">
        <f t="shared" si="99"/>
        <v>113.58</v>
      </c>
      <c r="T750" s="34">
        <v>500</v>
      </c>
    </row>
    <row r="751" spans="1:20" x14ac:dyDescent="0.25">
      <c r="A751" s="36" t="s">
        <v>878</v>
      </c>
      <c r="B751" s="36"/>
      <c r="C751" s="36" t="s">
        <v>34</v>
      </c>
      <c r="D751" s="39">
        <v>45528</v>
      </c>
      <c r="E751" s="39">
        <v>45893</v>
      </c>
      <c r="F751" s="36" t="s">
        <v>1661</v>
      </c>
      <c r="G751" s="36" t="s">
        <v>63</v>
      </c>
      <c r="H751" s="38">
        <v>13675</v>
      </c>
      <c r="I751" s="40">
        <v>11358</v>
      </c>
      <c r="J751" s="40"/>
      <c r="K751" s="40"/>
      <c r="L751" s="40"/>
      <c r="M751" s="40"/>
      <c r="N751" s="36" t="s">
        <v>2423</v>
      </c>
      <c r="O751" s="37">
        <v>45528</v>
      </c>
      <c r="P751" s="44" t="s">
        <v>58</v>
      </c>
      <c r="Q751" s="38">
        <v>547000</v>
      </c>
      <c r="R751" s="33">
        <f t="shared" si="100"/>
        <v>1703.7</v>
      </c>
      <c r="S751" s="35">
        <f t="shared" si="99"/>
        <v>113.58</v>
      </c>
      <c r="T751" s="34">
        <v>500</v>
      </c>
    </row>
    <row r="752" spans="1:20" x14ac:dyDescent="0.25">
      <c r="A752" s="36" t="s">
        <v>879</v>
      </c>
      <c r="B752" s="36"/>
      <c r="C752" s="36" t="s">
        <v>34</v>
      </c>
      <c r="D752" s="39">
        <v>45528</v>
      </c>
      <c r="E752" s="39">
        <v>45893</v>
      </c>
      <c r="F752" s="36" t="s">
        <v>1662</v>
      </c>
      <c r="G752" s="36" t="s">
        <v>61</v>
      </c>
      <c r="H752" s="38">
        <v>8800</v>
      </c>
      <c r="I752" s="40">
        <v>7155</v>
      </c>
      <c r="J752" s="40"/>
      <c r="K752" s="40"/>
      <c r="L752" s="40"/>
      <c r="M752" s="40"/>
      <c r="N752" s="36" t="s">
        <v>2424</v>
      </c>
      <c r="O752" s="37">
        <v>45528</v>
      </c>
      <c r="P752" s="44" t="s">
        <v>58</v>
      </c>
      <c r="Q752" s="38">
        <v>352000</v>
      </c>
      <c r="R752" s="33">
        <f t="shared" si="100"/>
        <v>1073.25</v>
      </c>
      <c r="S752" s="35">
        <f t="shared" si="99"/>
        <v>71.55</v>
      </c>
      <c r="T752" s="34">
        <v>500</v>
      </c>
    </row>
    <row r="753" spans="1:20" x14ac:dyDescent="0.25">
      <c r="A753" s="36" t="s">
        <v>880</v>
      </c>
      <c r="B753" s="36"/>
      <c r="C753" s="36" t="s">
        <v>34</v>
      </c>
      <c r="D753" s="39">
        <v>45528</v>
      </c>
      <c r="E753" s="39">
        <v>45893</v>
      </c>
      <c r="F753" s="36" t="s">
        <v>1663</v>
      </c>
      <c r="G753" s="36" t="s">
        <v>65</v>
      </c>
      <c r="H753" s="38">
        <v>9550</v>
      </c>
      <c r="I753" s="40">
        <v>7802</v>
      </c>
      <c r="J753" s="40"/>
      <c r="K753" s="40"/>
      <c r="L753" s="40"/>
      <c r="M753" s="40"/>
      <c r="N753" s="36" t="s">
        <v>2425</v>
      </c>
      <c r="O753" s="37">
        <v>45528</v>
      </c>
      <c r="P753" s="44" t="s">
        <v>58</v>
      </c>
      <c r="Q753" s="38">
        <v>382000</v>
      </c>
      <c r="R753" s="33">
        <f t="shared" si="100"/>
        <v>1170.3</v>
      </c>
      <c r="S753" s="35">
        <f t="shared" si="99"/>
        <v>78.02</v>
      </c>
      <c r="T753" s="34">
        <v>500</v>
      </c>
    </row>
    <row r="754" spans="1:20" x14ac:dyDescent="0.25">
      <c r="A754" s="36" t="s">
        <v>881</v>
      </c>
      <c r="B754" s="36"/>
      <c r="C754" s="36" t="s">
        <v>33</v>
      </c>
      <c r="D754" s="39">
        <v>45528</v>
      </c>
      <c r="E754" s="39">
        <v>45893</v>
      </c>
      <c r="F754" s="36" t="s">
        <v>1664</v>
      </c>
      <c r="G754" s="36" t="s">
        <v>61</v>
      </c>
      <c r="H754" s="38">
        <v>14960</v>
      </c>
      <c r="I754" s="40">
        <v>12466</v>
      </c>
      <c r="J754" s="40"/>
      <c r="K754" s="40"/>
      <c r="L754" s="40"/>
      <c r="M754" s="40"/>
      <c r="N754" s="36" t="s">
        <v>2426</v>
      </c>
      <c r="O754" s="37">
        <v>45528</v>
      </c>
      <c r="P754" s="44" t="s">
        <v>58</v>
      </c>
      <c r="Q754" s="38">
        <v>352000</v>
      </c>
      <c r="R754" s="33">
        <f t="shared" si="100"/>
        <v>1869.9</v>
      </c>
      <c r="S754" s="35">
        <f t="shared" si="99"/>
        <v>124.66</v>
      </c>
      <c r="T754" s="34">
        <v>500</v>
      </c>
    </row>
    <row r="755" spans="1:20" x14ac:dyDescent="0.25">
      <c r="A755" s="36" t="s">
        <v>882</v>
      </c>
      <c r="B755" s="36"/>
      <c r="C755" s="36" t="s">
        <v>33</v>
      </c>
      <c r="D755" s="39">
        <v>45894</v>
      </c>
      <c r="E755" s="39">
        <v>46259</v>
      </c>
      <c r="F755" s="36" t="s">
        <v>1664</v>
      </c>
      <c r="G755" s="36" t="s">
        <v>61</v>
      </c>
      <c r="H755" s="38">
        <v>14960</v>
      </c>
      <c r="I755" s="40">
        <v>12466</v>
      </c>
      <c r="J755" s="40"/>
      <c r="K755" s="40"/>
      <c r="L755" s="40"/>
      <c r="M755" s="40"/>
      <c r="N755" s="36" t="s">
        <v>2426</v>
      </c>
      <c r="O755" s="37">
        <v>45528</v>
      </c>
      <c r="P755" s="44" t="s">
        <v>58</v>
      </c>
      <c r="Q755" s="38">
        <v>352000</v>
      </c>
      <c r="R755" s="33">
        <f t="shared" si="100"/>
        <v>1869.9</v>
      </c>
      <c r="S755" s="35">
        <f t="shared" si="99"/>
        <v>124.66</v>
      </c>
      <c r="T755" s="34">
        <v>500</v>
      </c>
    </row>
    <row r="756" spans="1:20" x14ac:dyDescent="0.25">
      <c r="A756" s="36" t="s">
        <v>883</v>
      </c>
      <c r="B756" s="36"/>
      <c r="C756" s="36" t="s">
        <v>53</v>
      </c>
      <c r="D756" s="39">
        <v>45528</v>
      </c>
      <c r="E756" s="39">
        <v>45893</v>
      </c>
      <c r="F756" s="36" t="s">
        <v>1665</v>
      </c>
      <c r="G756" s="36" t="s">
        <v>61</v>
      </c>
      <c r="H756" s="38">
        <v>8800</v>
      </c>
      <c r="I756" s="40">
        <v>7155</v>
      </c>
      <c r="J756" s="40"/>
      <c r="K756" s="40"/>
      <c r="L756" s="40"/>
      <c r="M756" s="40"/>
      <c r="N756" s="36" t="s">
        <v>2427</v>
      </c>
      <c r="O756" s="37">
        <v>45528</v>
      </c>
      <c r="P756" s="44" t="s">
        <v>58</v>
      </c>
      <c r="Q756" s="38">
        <v>352000</v>
      </c>
      <c r="R756" s="33">
        <f t="shared" si="100"/>
        <v>1073.25</v>
      </c>
      <c r="S756" s="35">
        <f t="shared" si="99"/>
        <v>71.55</v>
      </c>
      <c r="T756" s="34">
        <v>500</v>
      </c>
    </row>
    <row r="757" spans="1:20" x14ac:dyDescent="0.25">
      <c r="A757" s="36" t="s">
        <v>884</v>
      </c>
      <c r="B757" s="36"/>
      <c r="C757" s="36" t="s">
        <v>53</v>
      </c>
      <c r="D757" s="39">
        <v>45528</v>
      </c>
      <c r="E757" s="39">
        <v>45893</v>
      </c>
      <c r="F757" s="36" t="s">
        <v>89</v>
      </c>
      <c r="G757" s="36" t="s">
        <v>61</v>
      </c>
      <c r="H757" s="38">
        <v>8800</v>
      </c>
      <c r="I757" s="40">
        <v>7155</v>
      </c>
      <c r="J757" s="40"/>
      <c r="K757" s="40"/>
      <c r="L757" s="40"/>
      <c r="M757" s="40"/>
      <c r="N757" s="36" t="s">
        <v>2428</v>
      </c>
      <c r="O757" s="37">
        <v>45528</v>
      </c>
      <c r="P757" s="44" t="s">
        <v>58</v>
      </c>
      <c r="Q757" s="38">
        <v>352000</v>
      </c>
      <c r="R757" s="33">
        <f t="shared" si="100"/>
        <v>1073.25</v>
      </c>
      <c r="S757" s="35">
        <f t="shared" si="99"/>
        <v>71.55</v>
      </c>
      <c r="T757" s="34">
        <v>500</v>
      </c>
    </row>
    <row r="758" spans="1:20" x14ac:dyDescent="0.25">
      <c r="A758" s="36" t="s">
        <v>885</v>
      </c>
      <c r="B758" s="36"/>
      <c r="C758" s="36" t="s">
        <v>32</v>
      </c>
      <c r="D758" s="39">
        <v>45528</v>
      </c>
      <c r="E758" s="39">
        <v>45893</v>
      </c>
      <c r="F758" s="36" t="s">
        <v>1666</v>
      </c>
      <c r="G758" s="36" t="s">
        <v>63</v>
      </c>
      <c r="H758" s="38">
        <v>23248</v>
      </c>
      <c r="I758" s="40">
        <v>19610</v>
      </c>
      <c r="J758" s="40"/>
      <c r="K758" s="40"/>
      <c r="L758" s="40"/>
      <c r="M758" s="40"/>
      <c r="N758" s="36" t="s">
        <v>2429</v>
      </c>
      <c r="O758" s="37">
        <v>45528</v>
      </c>
      <c r="P758" s="44" t="s">
        <v>58</v>
      </c>
      <c r="Q758" s="38">
        <v>547000</v>
      </c>
      <c r="R758" s="33">
        <f t="shared" si="100"/>
        <v>2941.5</v>
      </c>
      <c r="S758" s="35">
        <f t="shared" si="99"/>
        <v>196.1</v>
      </c>
      <c r="T758" s="34">
        <v>500</v>
      </c>
    </row>
    <row r="759" spans="1:20" x14ac:dyDescent="0.25">
      <c r="A759" s="36" t="s">
        <v>886</v>
      </c>
      <c r="B759" s="36"/>
      <c r="C759" s="36" t="s">
        <v>37</v>
      </c>
      <c r="D759" s="39">
        <v>45528</v>
      </c>
      <c r="E759" s="39">
        <v>45893</v>
      </c>
      <c r="F759" s="36" t="s">
        <v>1667</v>
      </c>
      <c r="G759" s="36" t="s">
        <v>61</v>
      </c>
      <c r="H759" s="38">
        <v>8800</v>
      </c>
      <c r="I759" s="40">
        <v>7155</v>
      </c>
      <c r="J759" s="40"/>
      <c r="K759" s="40"/>
      <c r="L759" s="40"/>
      <c r="M759" s="40"/>
      <c r="N759" s="36" t="s">
        <v>2430</v>
      </c>
      <c r="O759" s="37">
        <v>45528</v>
      </c>
      <c r="P759" s="44" t="s">
        <v>58</v>
      </c>
      <c r="Q759" s="38">
        <v>352000</v>
      </c>
      <c r="R759" s="33">
        <f t="shared" si="100"/>
        <v>1073.25</v>
      </c>
      <c r="S759" s="35">
        <f t="shared" si="99"/>
        <v>71.55</v>
      </c>
      <c r="T759" s="34">
        <v>500</v>
      </c>
    </row>
    <row r="760" spans="1:20" x14ac:dyDescent="0.25">
      <c r="A760" s="36" t="s">
        <v>887</v>
      </c>
      <c r="B760" s="36"/>
      <c r="C760" s="36" t="s">
        <v>32</v>
      </c>
      <c r="D760" s="39">
        <v>45528</v>
      </c>
      <c r="E760" s="39">
        <v>45893</v>
      </c>
      <c r="F760" s="36" t="s">
        <v>1668</v>
      </c>
      <c r="G760" s="36" t="s">
        <v>63</v>
      </c>
      <c r="H760" s="38">
        <v>23248</v>
      </c>
      <c r="I760" s="40">
        <v>19610</v>
      </c>
      <c r="J760" s="40"/>
      <c r="K760" s="40"/>
      <c r="L760" s="40"/>
      <c r="M760" s="40"/>
      <c r="N760" s="36" t="s">
        <v>2431</v>
      </c>
      <c r="O760" s="37">
        <v>45528</v>
      </c>
      <c r="P760" s="44" t="s">
        <v>58</v>
      </c>
      <c r="Q760" s="38">
        <v>547000</v>
      </c>
      <c r="R760" s="33">
        <f t="shared" si="100"/>
        <v>2941.5</v>
      </c>
      <c r="S760" s="35">
        <f t="shared" si="99"/>
        <v>196.1</v>
      </c>
      <c r="T760" s="34">
        <v>500</v>
      </c>
    </row>
    <row r="761" spans="1:20" x14ac:dyDescent="0.25">
      <c r="A761" s="36" t="s">
        <v>888</v>
      </c>
      <c r="B761" s="36"/>
      <c r="C761" s="36" t="s">
        <v>32</v>
      </c>
      <c r="D761" s="39">
        <v>45528</v>
      </c>
      <c r="E761" s="39">
        <v>45893</v>
      </c>
      <c r="F761" s="36" t="s">
        <v>1669</v>
      </c>
      <c r="G761" s="36" t="s">
        <v>61</v>
      </c>
      <c r="H761" s="38">
        <v>14960</v>
      </c>
      <c r="I761" s="40">
        <v>12466</v>
      </c>
      <c r="J761" s="40"/>
      <c r="K761" s="40"/>
      <c r="L761" s="40"/>
      <c r="M761" s="40"/>
      <c r="N761" s="36" t="s">
        <v>2432</v>
      </c>
      <c r="O761" s="37">
        <v>45528</v>
      </c>
      <c r="P761" s="44" t="s">
        <v>58</v>
      </c>
      <c r="Q761" s="38">
        <v>352000</v>
      </c>
      <c r="R761" s="33">
        <f t="shared" si="100"/>
        <v>1869.9</v>
      </c>
      <c r="S761" s="35">
        <f t="shared" si="99"/>
        <v>124.66</v>
      </c>
      <c r="T761" s="34">
        <v>500</v>
      </c>
    </row>
    <row r="762" spans="1:20" x14ac:dyDescent="0.25">
      <c r="A762" s="36" t="s">
        <v>889</v>
      </c>
      <c r="B762" s="36"/>
      <c r="C762" s="36" t="s">
        <v>32</v>
      </c>
      <c r="D762" s="39">
        <v>45528</v>
      </c>
      <c r="E762" s="39">
        <v>45893</v>
      </c>
      <c r="F762" s="36" t="s">
        <v>1670</v>
      </c>
      <c r="G762" s="36" t="s">
        <v>64</v>
      </c>
      <c r="H762" s="38">
        <v>21208</v>
      </c>
      <c r="I762" s="40">
        <v>17852</v>
      </c>
      <c r="J762" s="40"/>
      <c r="K762" s="40"/>
      <c r="L762" s="40"/>
      <c r="M762" s="40"/>
      <c r="N762" s="36" t="s">
        <v>2433</v>
      </c>
      <c r="O762" s="37">
        <v>45528</v>
      </c>
      <c r="P762" s="44" t="s">
        <v>58</v>
      </c>
      <c r="Q762" s="38">
        <v>499000</v>
      </c>
      <c r="R762" s="33">
        <f t="shared" si="100"/>
        <v>2677.8</v>
      </c>
      <c r="S762" s="35">
        <f t="shared" si="99"/>
        <v>178.52</v>
      </c>
      <c r="T762" s="34">
        <v>500</v>
      </c>
    </row>
    <row r="763" spans="1:20" x14ac:dyDescent="0.25">
      <c r="A763" s="36" t="s">
        <v>890</v>
      </c>
      <c r="B763" s="36"/>
      <c r="C763" s="36" t="s">
        <v>32</v>
      </c>
      <c r="D763" s="39">
        <v>45528</v>
      </c>
      <c r="E763" s="39">
        <v>45893</v>
      </c>
      <c r="F763" s="36" t="s">
        <v>1671</v>
      </c>
      <c r="G763" s="36" t="s">
        <v>61</v>
      </c>
      <c r="H763" s="38">
        <v>14960</v>
      </c>
      <c r="I763" s="40">
        <v>12466</v>
      </c>
      <c r="J763" s="40"/>
      <c r="K763" s="40"/>
      <c r="L763" s="40"/>
      <c r="M763" s="40"/>
      <c r="N763" s="36" t="s">
        <v>2434</v>
      </c>
      <c r="O763" s="37">
        <v>45528</v>
      </c>
      <c r="P763" s="44" t="s">
        <v>58</v>
      </c>
      <c r="Q763" s="38">
        <v>352000</v>
      </c>
      <c r="R763" s="33">
        <f t="shared" si="100"/>
        <v>1869.9</v>
      </c>
      <c r="S763" s="35">
        <f t="shared" si="99"/>
        <v>124.66</v>
      </c>
      <c r="T763" s="34">
        <v>500</v>
      </c>
    </row>
    <row r="764" spans="1:20" x14ac:dyDescent="0.25">
      <c r="A764" s="36" t="s">
        <v>891</v>
      </c>
      <c r="B764" s="36"/>
      <c r="C764" s="36" t="s">
        <v>32</v>
      </c>
      <c r="D764" s="39">
        <v>45894</v>
      </c>
      <c r="E764" s="39">
        <v>46259</v>
      </c>
      <c r="F764" s="36" t="s">
        <v>1671</v>
      </c>
      <c r="G764" s="36" t="s">
        <v>61</v>
      </c>
      <c r="H764" s="38">
        <v>14960</v>
      </c>
      <c r="I764" s="40">
        <v>12466</v>
      </c>
      <c r="J764" s="40"/>
      <c r="K764" s="40"/>
      <c r="L764" s="40"/>
      <c r="M764" s="40"/>
      <c r="N764" s="36" t="s">
        <v>2434</v>
      </c>
      <c r="O764" s="37">
        <v>45528</v>
      </c>
      <c r="P764" s="44" t="s">
        <v>58</v>
      </c>
      <c r="Q764" s="38">
        <v>352000</v>
      </c>
      <c r="R764" s="33">
        <f t="shared" si="100"/>
        <v>1869.9</v>
      </c>
      <c r="S764" s="35">
        <f t="shared" si="99"/>
        <v>124.66</v>
      </c>
      <c r="T764" s="34">
        <v>500</v>
      </c>
    </row>
    <row r="765" spans="1:20" x14ac:dyDescent="0.25">
      <c r="A765" s="36" t="s">
        <v>892</v>
      </c>
      <c r="B765" s="36"/>
      <c r="C765" s="36" t="s">
        <v>32</v>
      </c>
      <c r="D765" s="39">
        <v>45528</v>
      </c>
      <c r="E765" s="39">
        <v>45893</v>
      </c>
      <c r="F765" s="36" t="s">
        <v>1672</v>
      </c>
      <c r="G765" s="36" t="s">
        <v>61</v>
      </c>
      <c r="H765" s="38">
        <v>14960</v>
      </c>
      <c r="I765" s="40">
        <v>12466</v>
      </c>
      <c r="J765" s="40"/>
      <c r="K765" s="40"/>
      <c r="L765" s="40"/>
      <c r="M765" s="40"/>
      <c r="N765" s="36" t="s">
        <v>2435</v>
      </c>
      <c r="O765" s="37">
        <v>45528</v>
      </c>
      <c r="P765" s="44" t="s">
        <v>58</v>
      </c>
      <c r="Q765" s="38">
        <v>352000</v>
      </c>
      <c r="R765" s="33">
        <f t="shared" si="100"/>
        <v>1869.9</v>
      </c>
      <c r="S765" s="35">
        <f t="shared" si="99"/>
        <v>124.66</v>
      </c>
      <c r="T765" s="34">
        <v>500</v>
      </c>
    </row>
    <row r="766" spans="1:20" x14ac:dyDescent="0.25">
      <c r="A766" s="36" t="s">
        <v>893</v>
      </c>
      <c r="B766" s="36"/>
      <c r="C766" s="36" t="s">
        <v>32</v>
      </c>
      <c r="D766" s="39">
        <v>45894</v>
      </c>
      <c r="E766" s="39">
        <v>46259</v>
      </c>
      <c r="F766" s="36" t="s">
        <v>1672</v>
      </c>
      <c r="G766" s="36" t="s">
        <v>61</v>
      </c>
      <c r="H766" s="38">
        <v>14960</v>
      </c>
      <c r="I766" s="40">
        <v>12466</v>
      </c>
      <c r="J766" s="40"/>
      <c r="K766" s="40"/>
      <c r="L766" s="40"/>
      <c r="M766" s="40"/>
      <c r="N766" s="36" t="s">
        <v>2435</v>
      </c>
      <c r="O766" s="37">
        <v>45528</v>
      </c>
      <c r="P766" s="44" t="s">
        <v>58</v>
      </c>
      <c r="Q766" s="38">
        <v>352000</v>
      </c>
      <c r="R766" s="33">
        <f t="shared" si="100"/>
        <v>1869.9</v>
      </c>
      <c r="S766" s="35">
        <f t="shared" si="99"/>
        <v>124.66</v>
      </c>
      <c r="T766" s="34">
        <v>500</v>
      </c>
    </row>
    <row r="767" spans="1:20" x14ac:dyDescent="0.25">
      <c r="A767" s="36" t="s">
        <v>894</v>
      </c>
      <c r="B767" s="36"/>
      <c r="C767" s="36" t="s">
        <v>32</v>
      </c>
      <c r="D767" s="39">
        <v>45528</v>
      </c>
      <c r="E767" s="39">
        <v>45893</v>
      </c>
      <c r="F767" s="36" t="s">
        <v>1673</v>
      </c>
      <c r="G767" s="36" t="s">
        <v>61</v>
      </c>
      <c r="H767" s="38">
        <v>14960</v>
      </c>
      <c r="I767" s="40">
        <v>12466</v>
      </c>
      <c r="J767" s="40"/>
      <c r="K767" s="40"/>
      <c r="L767" s="40"/>
      <c r="M767" s="40"/>
      <c r="N767" s="36" t="s">
        <v>2436</v>
      </c>
      <c r="O767" s="37">
        <v>45528</v>
      </c>
      <c r="P767" s="44" t="s">
        <v>58</v>
      </c>
      <c r="Q767" s="38">
        <v>352000</v>
      </c>
      <c r="R767" s="33">
        <f t="shared" si="100"/>
        <v>1869.9</v>
      </c>
      <c r="S767" s="35">
        <f t="shared" si="99"/>
        <v>124.66</v>
      </c>
      <c r="T767" s="34">
        <v>500</v>
      </c>
    </row>
    <row r="768" spans="1:20" x14ac:dyDescent="0.25">
      <c r="A768" s="36" t="s">
        <v>895</v>
      </c>
      <c r="B768" s="36"/>
      <c r="C768" s="36" t="s">
        <v>32</v>
      </c>
      <c r="D768" s="39">
        <v>45894</v>
      </c>
      <c r="E768" s="39">
        <v>46259</v>
      </c>
      <c r="F768" s="36" t="s">
        <v>1673</v>
      </c>
      <c r="G768" s="36" t="s">
        <v>61</v>
      </c>
      <c r="H768" s="38">
        <v>14960</v>
      </c>
      <c r="I768" s="40">
        <v>12466</v>
      </c>
      <c r="J768" s="40"/>
      <c r="K768" s="40"/>
      <c r="L768" s="40"/>
      <c r="M768" s="40"/>
      <c r="N768" s="36" t="s">
        <v>2436</v>
      </c>
      <c r="O768" s="37">
        <v>45528</v>
      </c>
      <c r="P768" s="44" t="s">
        <v>58</v>
      </c>
      <c r="Q768" s="38">
        <v>352000</v>
      </c>
      <c r="R768" s="33">
        <f t="shared" si="100"/>
        <v>1869.9</v>
      </c>
      <c r="S768" s="35">
        <f t="shared" si="99"/>
        <v>124.66</v>
      </c>
      <c r="T768" s="34">
        <v>500</v>
      </c>
    </row>
    <row r="769" spans="1:20" x14ac:dyDescent="0.25">
      <c r="A769" s="36" t="s">
        <v>896</v>
      </c>
      <c r="B769" s="36"/>
      <c r="C769" s="36" t="s">
        <v>38</v>
      </c>
      <c r="D769" s="39">
        <v>45585</v>
      </c>
      <c r="E769" s="39">
        <v>45949</v>
      </c>
      <c r="F769" s="36" t="s">
        <v>1674</v>
      </c>
      <c r="G769" s="36" t="s">
        <v>61</v>
      </c>
      <c r="H769" s="38">
        <v>11725</v>
      </c>
      <c r="I769" s="40">
        <v>9676</v>
      </c>
      <c r="J769" s="40"/>
      <c r="K769" s="40"/>
      <c r="L769" s="40"/>
      <c r="M769" s="40"/>
      <c r="N769" s="36" t="s">
        <v>2437</v>
      </c>
      <c r="O769" s="37">
        <v>45530</v>
      </c>
      <c r="P769" s="44" t="s">
        <v>58</v>
      </c>
      <c r="Q769" s="38">
        <v>335000</v>
      </c>
      <c r="R769" s="33">
        <f t="shared" si="100"/>
        <v>1451.4</v>
      </c>
      <c r="S769" s="35">
        <f t="shared" si="99"/>
        <v>96.76</v>
      </c>
      <c r="T769" s="34">
        <v>500</v>
      </c>
    </row>
    <row r="770" spans="1:20" x14ac:dyDescent="0.25">
      <c r="A770" s="36" t="s">
        <v>897</v>
      </c>
      <c r="B770" s="36"/>
      <c r="C770" s="36" t="s">
        <v>38</v>
      </c>
      <c r="D770" s="39">
        <v>45588</v>
      </c>
      <c r="E770" s="39">
        <v>45952</v>
      </c>
      <c r="F770" s="36" t="s">
        <v>1675</v>
      </c>
      <c r="G770" s="36" t="s">
        <v>1843</v>
      </c>
      <c r="H770" s="38">
        <v>12320</v>
      </c>
      <c r="I770" s="40">
        <v>10190</v>
      </c>
      <c r="J770" s="40"/>
      <c r="K770" s="40"/>
      <c r="L770" s="40"/>
      <c r="M770" s="40"/>
      <c r="N770" s="36" t="s">
        <v>2438</v>
      </c>
      <c r="O770" s="37">
        <v>45530</v>
      </c>
      <c r="P770" s="44" t="s">
        <v>58</v>
      </c>
      <c r="Q770" s="38">
        <v>352000</v>
      </c>
      <c r="R770" s="33">
        <f t="shared" si="100"/>
        <v>1528.5</v>
      </c>
      <c r="S770" s="35">
        <f t="shared" si="99"/>
        <v>101.9</v>
      </c>
      <c r="T770" s="34">
        <v>500</v>
      </c>
    </row>
    <row r="771" spans="1:20" x14ac:dyDescent="0.25">
      <c r="A771" s="36" t="s">
        <v>898</v>
      </c>
      <c r="B771" s="36"/>
      <c r="C771" s="36" t="s">
        <v>38</v>
      </c>
      <c r="D771" s="39">
        <v>45568</v>
      </c>
      <c r="E771" s="39">
        <v>45932</v>
      </c>
      <c r="F771" s="36" t="s">
        <v>95</v>
      </c>
      <c r="G771" s="36" t="s">
        <v>61</v>
      </c>
      <c r="H771" s="38">
        <v>11725</v>
      </c>
      <c r="I771" s="40">
        <v>9676</v>
      </c>
      <c r="J771" s="40"/>
      <c r="K771" s="40"/>
      <c r="L771" s="40"/>
      <c r="M771" s="40"/>
      <c r="N771" s="36" t="s">
        <v>2439</v>
      </c>
      <c r="O771" s="37">
        <v>45530</v>
      </c>
      <c r="P771" s="44" t="s">
        <v>58</v>
      </c>
      <c r="Q771" s="38">
        <v>335000</v>
      </c>
      <c r="R771" s="33">
        <f t="shared" si="100"/>
        <v>1451.4</v>
      </c>
      <c r="S771" s="35">
        <f t="shared" ref="S771:S834" si="101">I771*1/100</f>
        <v>96.76</v>
      </c>
      <c r="T771" s="34">
        <v>500</v>
      </c>
    </row>
    <row r="772" spans="1:20" x14ac:dyDescent="0.25">
      <c r="A772" s="36" t="s">
        <v>899</v>
      </c>
      <c r="B772" s="36"/>
      <c r="C772" s="36" t="s">
        <v>38</v>
      </c>
      <c r="D772" s="39">
        <v>45526</v>
      </c>
      <c r="E772" s="39">
        <v>45890</v>
      </c>
      <c r="F772" s="36" t="s">
        <v>1676</v>
      </c>
      <c r="G772" s="36" t="s">
        <v>62</v>
      </c>
      <c r="H772" s="38">
        <v>12740</v>
      </c>
      <c r="I772" s="40">
        <v>10551</v>
      </c>
      <c r="J772" s="40"/>
      <c r="K772" s="40"/>
      <c r="L772" s="40"/>
      <c r="M772" s="40"/>
      <c r="N772" s="36" t="s">
        <v>2440</v>
      </c>
      <c r="O772" s="37">
        <v>45530</v>
      </c>
      <c r="P772" s="44" t="s">
        <v>58</v>
      </c>
      <c r="Q772" s="38">
        <v>364000</v>
      </c>
      <c r="R772" s="33">
        <f t="shared" ref="R772:R835" si="102">I772*15/100</f>
        <v>1582.65</v>
      </c>
      <c r="S772" s="35">
        <f t="shared" si="101"/>
        <v>105.51</v>
      </c>
      <c r="T772" s="34">
        <v>500</v>
      </c>
    </row>
    <row r="773" spans="1:20" x14ac:dyDescent="0.25">
      <c r="A773" s="36" t="s">
        <v>900</v>
      </c>
      <c r="B773" s="36"/>
      <c r="C773" s="36" t="s">
        <v>38</v>
      </c>
      <c r="D773" s="39">
        <v>45543</v>
      </c>
      <c r="E773" s="39">
        <v>45907</v>
      </c>
      <c r="F773" s="36" t="s">
        <v>1677</v>
      </c>
      <c r="G773" s="36" t="s">
        <v>1843</v>
      </c>
      <c r="H773" s="38">
        <v>11725</v>
      </c>
      <c r="I773" s="40">
        <v>9676</v>
      </c>
      <c r="J773" s="40"/>
      <c r="K773" s="40"/>
      <c r="L773" s="40"/>
      <c r="M773" s="40"/>
      <c r="N773" s="36" t="s">
        <v>2441</v>
      </c>
      <c r="O773" s="37">
        <v>45530</v>
      </c>
      <c r="P773" s="44" t="s">
        <v>58</v>
      </c>
      <c r="Q773" s="38">
        <v>335000</v>
      </c>
      <c r="R773" s="33">
        <f t="shared" si="102"/>
        <v>1451.4</v>
      </c>
      <c r="S773" s="35">
        <f t="shared" si="101"/>
        <v>96.76</v>
      </c>
      <c r="T773" s="34">
        <v>500</v>
      </c>
    </row>
    <row r="774" spans="1:20" x14ac:dyDescent="0.25">
      <c r="A774" s="36" t="s">
        <v>901</v>
      </c>
      <c r="B774" s="36"/>
      <c r="C774" s="36" t="s">
        <v>38</v>
      </c>
      <c r="D774" s="39">
        <v>45588</v>
      </c>
      <c r="E774" s="39">
        <v>45952</v>
      </c>
      <c r="F774" s="36" t="s">
        <v>1678</v>
      </c>
      <c r="G774" s="36" t="s">
        <v>1843</v>
      </c>
      <c r="H774" s="38">
        <v>12320</v>
      </c>
      <c r="I774" s="40">
        <v>10190</v>
      </c>
      <c r="J774" s="40"/>
      <c r="K774" s="40"/>
      <c r="L774" s="40"/>
      <c r="M774" s="40"/>
      <c r="N774" s="36" t="s">
        <v>2442</v>
      </c>
      <c r="O774" s="37">
        <v>45530</v>
      </c>
      <c r="P774" s="44" t="s">
        <v>58</v>
      </c>
      <c r="Q774" s="38">
        <v>352000</v>
      </c>
      <c r="R774" s="33">
        <f t="shared" si="102"/>
        <v>1528.5</v>
      </c>
      <c r="S774" s="35">
        <f t="shared" si="101"/>
        <v>101.9</v>
      </c>
      <c r="T774" s="34">
        <v>500</v>
      </c>
    </row>
    <row r="775" spans="1:20" x14ac:dyDescent="0.25">
      <c r="A775" s="36" t="s">
        <v>902</v>
      </c>
      <c r="B775" s="36"/>
      <c r="C775" s="36" t="s">
        <v>38</v>
      </c>
      <c r="D775" s="39">
        <v>45538</v>
      </c>
      <c r="E775" s="39">
        <v>45902</v>
      </c>
      <c r="F775" s="36" t="s">
        <v>1679</v>
      </c>
      <c r="G775" s="36" t="s">
        <v>62</v>
      </c>
      <c r="H775" s="38">
        <v>12740</v>
      </c>
      <c r="I775" s="40">
        <v>10551</v>
      </c>
      <c r="J775" s="40"/>
      <c r="K775" s="40"/>
      <c r="L775" s="40"/>
      <c r="M775" s="40"/>
      <c r="N775" s="36" t="s">
        <v>2443</v>
      </c>
      <c r="O775" s="37">
        <v>45530</v>
      </c>
      <c r="P775" s="44" t="s">
        <v>58</v>
      </c>
      <c r="Q775" s="38">
        <v>364000</v>
      </c>
      <c r="R775" s="33">
        <f t="shared" si="102"/>
        <v>1582.65</v>
      </c>
      <c r="S775" s="35">
        <f t="shared" si="101"/>
        <v>105.51</v>
      </c>
      <c r="T775" s="34">
        <v>500</v>
      </c>
    </row>
    <row r="776" spans="1:20" x14ac:dyDescent="0.25">
      <c r="A776" s="36" t="s">
        <v>903</v>
      </c>
      <c r="B776" s="36"/>
      <c r="C776" s="36" t="s">
        <v>38</v>
      </c>
      <c r="D776" s="39">
        <v>45538</v>
      </c>
      <c r="E776" s="39">
        <v>45902</v>
      </c>
      <c r="F776" s="36" t="s">
        <v>1680</v>
      </c>
      <c r="G776" s="36" t="s">
        <v>1843</v>
      </c>
      <c r="H776" s="38">
        <v>11725</v>
      </c>
      <c r="I776" s="40">
        <v>9676</v>
      </c>
      <c r="J776" s="40"/>
      <c r="K776" s="40"/>
      <c r="L776" s="40"/>
      <c r="M776" s="40"/>
      <c r="N776" s="36" t="s">
        <v>2444</v>
      </c>
      <c r="O776" s="37">
        <v>45530</v>
      </c>
      <c r="P776" s="44" t="s">
        <v>58</v>
      </c>
      <c r="Q776" s="38">
        <v>335000</v>
      </c>
      <c r="R776" s="33">
        <f t="shared" si="102"/>
        <v>1451.4</v>
      </c>
      <c r="S776" s="35">
        <f t="shared" si="101"/>
        <v>96.76</v>
      </c>
      <c r="T776" s="34">
        <v>500</v>
      </c>
    </row>
    <row r="777" spans="1:20" x14ac:dyDescent="0.25">
      <c r="A777" s="36" t="s">
        <v>904</v>
      </c>
      <c r="B777" s="36"/>
      <c r="C777" s="36" t="s">
        <v>38</v>
      </c>
      <c r="D777" s="39">
        <v>45568</v>
      </c>
      <c r="E777" s="39">
        <v>45932</v>
      </c>
      <c r="F777" s="36" t="s">
        <v>1681</v>
      </c>
      <c r="G777" s="36" t="s">
        <v>62</v>
      </c>
      <c r="H777" s="38">
        <v>12740</v>
      </c>
      <c r="I777" s="40">
        <v>10551</v>
      </c>
      <c r="J777" s="40"/>
      <c r="K777" s="40"/>
      <c r="L777" s="40"/>
      <c r="M777" s="40"/>
      <c r="N777" s="36" t="s">
        <v>2445</v>
      </c>
      <c r="O777" s="37">
        <v>45530</v>
      </c>
      <c r="P777" s="44" t="s">
        <v>58</v>
      </c>
      <c r="Q777" s="38">
        <v>364000</v>
      </c>
      <c r="R777" s="33">
        <f t="shared" si="102"/>
        <v>1582.65</v>
      </c>
      <c r="S777" s="35">
        <f t="shared" si="101"/>
        <v>105.51</v>
      </c>
      <c r="T777" s="34">
        <v>500</v>
      </c>
    </row>
    <row r="778" spans="1:20" x14ac:dyDescent="0.25">
      <c r="A778" s="36" t="s">
        <v>905</v>
      </c>
      <c r="B778" s="36"/>
      <c r="C778" s="36" t="s">
        <v>38</v>
      </c>
      <c r="D778" s="39">
        <v>45610</v>
      </c>
      <c r="E778" s="39">
        <v>45974</v>
      </c>
      <c r="F778" s="36" t="s">
        <v>1682</v>
      </c>
      <c r="G778" s="36" t="s">
        <v>1843</v>
      </c>
      <c r="H778" s="38">
        <v>12320</v>
      </c>
      <c r="I778" s="40">
        <v>10190</v>
      </c>
      <c r="J778" s="40"/>
      <c r="K778" s="40"/>
      <c r="L778" s="40"/>
      <c r="M778" s="40"/>
      <c r="N778" s="36" t="s">
        <v>2446</v>
      </c>
      <c r="O778" s="37">
        <v>45530</v>
      </c>
      <c r="P778" s="44" t="s">
        <v>58</v>
      </c>
      <c r="Q778" s="38">
        <v>352000</v>
      </c>
      <c r="R778" s="33">
        <f t="shared" si="102"/>
        <v>1528.5</v>
      </c>
      <c r="S778" s="35">
        <f t="shared" si="101"/>
        <v>101.9</v>
      </c>
      <c r="T778" s="34">
        <v>500</v>
      </c>
    </row>
    <row r="779" spans="1:20" x14ac:dyDescent="0.25">
      <c r="A779" s="36" t="s">
        <v>906</v>
      </c>
      <c r="B779" s="36"/>
      <c r="C779" s="36" t="s">
        <v>54</v>
      </c>
      <c r="D779" s="39">
        <v>45530</v>
      </c>
      <c r="E779" s="39">
        <v>45895</v>
      </c>
      <c r="F779" s="36" t="s">
        <v>1683</v>
      </c>
      <c r="G779" s="36" t="s">
        <v>61</v>
      </c>
      <c r="H779" s="38">
        <v>8800</v>
      </c>
      <c r="I779" s="40">
        <v>7155</v>
      </c>
      <c r="J779" s="40"/>
      <c r="K779" s="40"/>
      <c r="L779" s="40"/>
      <c r="M779" s="40"/>
      <c r="N779" s="36" t="s">
        <v>2447</v>
      </c>
      <c r="O779" s="37">
        <v>45530</v>
      </c>
      <c r="P779" s="44" t="s">
        <v>58</v>
      </c>
      <c r="Q779" s="38">
        <v>352000</v>
      </c>
      <c r="R779" s="33">
        <f t="shared" si="102"/>
        <v>1073.25</v>
      </c>
      <c r="S779" s="35">
        <f t="shared" si="101"/>
        <v>71.55</v>
      </c>
      <c r="T779" s="34">
        <v>500</v>
      </c>
    </row>
    <row r="780" spans="1:20" x14ac:dyDescent="0.25">
      <c r="A780" s="36" t="s">
        <v>907</v>
      </c>
      <c r="B780" s="36"/>
      <c r="C780" s="36" t="s">
        <v>31</v>
      </c>
      <c r="D780" s="39">
        <v>45530</v>
      </c>
      <c r="E780" s="39">
        <v>45895</v>
      </c>
      <c r="F780" s="36" t="s">
        <v>1684</v>
      </c>
      <c r="G780" s="36" t="s">
        <v>61</v>
      </c>
      <c r="H780" s="38">
        <v>14960</v>
      </c>
      <c r="I780" s="40">
        <v>12466</v>
      </c>
      <c r="J780" s="40"/>
      <c r="K780" s="40"/>
      <c r="L780" s="40"/>
      <c r="M780" s="40"/>
      <c r="N780" s="36" t="s">
        <v>2448</v>
      </c>
      <c r="O780" s="37">
        <v>45530</v>
      </c>
      <c r="P780" s="44" t="s">
        <v>58</v>
      </c>
      <c r="Q780" s="38">
        <v>352000</v>
      </c>
      <c r="R780" s="33">
        <f t="shared" si="102"/>
        <v>1869.9</v>
      </c>
      <c r="S780" s="35">
        <f t="shared" si="101"/>
        <v>124.66</v>
      </c>
      <c r="T780" s="34">
        <v>500</v>
      </c>
    </row>
    <row r="781" spans="1:20" x14ac:dyDescent="0.25">
      <c r="A781" s="36" t="s">
        <v>908</v>
      </c>
      <c r="B781" s="36"/>
      <c r="C781" s="36" t="s">
        <v>54</v>
      </c>
      <c r="D781" s="39">
        <v>45530</v>
      </c>
      <c r="E781" s="39">
        <v>45895</v>
      </c>
      <c r="F781" s="36" t="s">
        <v>1685</v>
      </c>
      <c r="G781" s="36" t="s">
        <v>61</v>
      </c>
      <c r="H781" s="38">
        <v>8800</v>
      </c>
      <c r="I781" s="40">
        <v>7155</v>
      </c>
      <c r="J781" s="40"/>
      <c r="K781" s="40"/>
      <c r="L781" s="40"/>
      <c r="M781" s="40"/>
      <c r="N781" s="36" t="s">
        <v>2449</v>
      </c>
      <c r="O781" s="37">
        <v>45530</v>
      </c>
      <c r="P781" s="44" t="s">
        <v>58</v>
      </c>
      <c r="Q781" s="38">
        <v>352000</v>
      </c>
      <c r="R781" s="33">
        <f t="shared" si="102"/>
        <v>1073.25</v>
      </c>
      <c r="S781" s="35">
        <f t="shared" si="101"/>
        <v>71.55</v>
      </c>
      <c r="T781" s="34">
        <v>500</v>
      </c>
    </row>
    <row r="782" spans="1:20" x14ac:dyDescent="0.25">
      <c r="A782" s="36" t="s">
        <v>909</v>
      </c>
      <c r="B782" s="36"/>
      <c r="C782" s="36" t="s">
        <v>53</v>
      </c>
      <c r="D782" s="39">
        <v>45530</v>
      </c>
      <c r="E782" s="39">
        <v>45895</v>
      </c>
      <c r="F782" s="36" t="s">
        <v>1686</v>
      </c>
      <c r="G782" s="36" t="s">
        <v>64</v>
      </c>
      <c r="H782" s="38">
        <v>12475</v>
      </c>
      <c r="I782" s="40">
        <v>10323</v>
      </c>
      <c r="J782" s="40"/>
      <c r="K782" s="40"/>
      <c r="L782" s="40"/>
      <c r="M782" s="40"/>
      <c r="N782" s="36" t="s">
        <v>2450</v>
      </c>
      <c r="O782" s="37">
        <v>45530</v>
      </c>
      <c r="P782" s="44" t="s">
        <v>58</v>
      </c>
      <c r="Q782" s="38">
        <v>499000</v>
      </c>
      <c r="R782" s="33">
        <f t="shared" si="102"/>
        <v>1548.45</v>
      </c>
      <c r="S782" s="35">
        <f t="shared" si="101"/>
        <v>103.23</v>
      </c>
      <c r="T782" s="34">
        <v>500</v>
      </c>
    </row>
    <row r="783" spans="1:20" x14ac:dyDescent="0.25">
      <c r="A783" s="36" t="s">
        <v>910</v>
      </c>
      <c r="B783" s="36"/>
      <c r="C783" s="36" t="s">
        <v>32</v>
      </c>
      <c r="D783" s="39">
        <v>45530</v>
      </c>
      <c r="E783" s="39">
        <v>45895</v>
      </c>
      <c r="F783" s="36" t="s">
        <v>1687</v>
      </c>
      <c r="G783" s="36" t="s">
        <v>61</v>
      </c>
      <c r="H783" s="38">
        <v>14960</v>
      </c>
      <c r="I783" s="40">
        <v>12466</v>
      </c>
      <c r="J783" s="40"/>
      <c r="K783" s="40"/>
      <c r="L783" s="40"/>
      <c r="M783" s="40"/>
      <c r="N783" s="36" t="s">
        <v>2451</v>
      </c>
      <c r="O783" s="37">
        <v>45530</v>
      </c>
      <c r="P783" s="44" t="s">
        <v>58</v>
      </c>
      <c r="Q783" s="38">
        <v>352000</v>
      </c>
      <c r="R783" s="33">
        <f t="shared" si="102"/>
        <v>1869.9</v>
      </c>
      <c r="S783" s="35">
        <f t="shared" si="101"/>
        <v>124.66</v>
      </c>
      <c r="T783" s="34">
        <v>500</v>
      </c>
    </row>
    <row r="784" spans="1:20" x14ac:dyDescent="0.25">
      <c r="A784" s="36" t="s">
        <v>911</v>
      </c>
      <c r="B784" s="36"/>
      <c r="C784" s="36" t="s">
        <v>32</v>
      </c>
      <c r="D784" s="39">
        <v>45896</v>
      </c>
      <c r="E784" s="39">
        <v>46261</v>
      </c>
      <c r="F784" s="36" t="s">
        <v>1687</v>
      </c>
      <c r="G784" s="36" t="s">
        <v>61</v>
      </c>
      <c r="H784" s="38">
        <v>14960</v>
      </c>
      <c r="I784" s="40">
        <v>12466</v>
      </c>
      <c r="J784" s="40"/>
      <c r="K784" s="40"/>
      <c r="L784" s="40"/>
      <c r="M784" s="40"/>
      <c r="N784" s="36" t="s">
        <v>2451</v>
      </c>
      <c r="O784" s="37">
        <v>45530</v>
      </c>
      <c r="P784" s="44" t="s">
        <v>58</v>
      </c>
      <c r="Q784" s="38">
        <v>352000</v>
      </c>
      <c r="R784" s="33">
        <f t="shared" si="102"/>
        <v>1869.9</v>
      </c>
      <c r="S784" s="35">
        <f t="shared" si="101"/>
        <v>124.66</v>
      </c>
      <c r="T784" s="34">
        <v>500</v>
      </c>
    </row>
    <row r="785" spans="1:20" x14ac:dyDescent="0.25">
      <c r="A785" s="36" t="s">
        <v>912</v>
      </c>
      <c r="B785" s="36"/>
      <c r="C785" s="36" t="s">
        <v>73</v>
      </c>
      <c r="D785" s="39">
        <v>45530</v>
      </c>
      <c r="E785" s="39">
        <v>45895</v>
      </c>
      <c r="F785" s="36" t="s">
        <v>1688</v>
      </c>
      <c r="G785" s="36" t="s">
        <v>63</v>
      </c>
      <c r="H785" s="38">
        <v>13675</v>
      </c>
      <c r="I785" s="40">
        <v>11358</v>
      </c>
      <c r="J785" s="40"/>
      <c r="K785" s="40"/>
      <c r="L785" s="40"/>
      <c r="M785" s="40"/>
      <c r="N785" s="36" t="s">
        <v>2452</v>
      </c>
      <c r="O785" s="37">
        <v>45530</v>
      </c>
      <c r="P785" s="44" t="s">
        <v>58</v>
      </c>
      <c r="Q785" s="38">
        <v>547000</v>
      </c>
      <c r="R785" s="33">
        <f t="shared" si="102"/>
        <v>1703.7</v>
      </c>
      <c r="S785" s="35">
        <f t="shared" si="101"/>
        <v>113.58</v>
      </c>
      <c r="T785" s="34">
        <v>500</v>
      </c>
    </row>
    <row r="786" spans="1:20" x14ac:dyDescent="0.25">
      <c r="A786" s="36" t="s">
        <v>913</v>
      </c>
      <c r="B786" s="36"/>
      <c r="C786" s="36" t="s">
        <v>73</v>
      </c>
      <c r="D786" s="39">
        <v>45530</v>
      </c>
      <c r="E786" s="39">
        <v>45895</v>
      </c>
      <c r="F786" s="36" t="s">
        <v>1689</v>
      </c>
      <c r="G786" s="36" t="s">
        <v>61</v>
      </c>
      <c r="H786" s="38">
        <v>8800</v>
      </c>
      <c r="I786" s="40">
        <v>7155</v>
      </c>
      <c r="J786" s="40"/>
      <c r="K786" s="40"/>
      <c r="L786" s="40"/>
      <c r="M786" s="40"/>
      <c r="N786" s="36" t="s">
        <v>2453</v>
      </c>
      <c r="O786" s="37">
        <v>45530</v>
      </c>
      <c r="P786" s="44" t="s">
        <v>58</v>
      </c>
      <c r="Q786" s="38">
        <v>352000</v>
      </c>
      <c r="R786" s="33">
        <f t="shared" si="102"/>
        <v>1073.25</v>
      </c>
      <c r="S786" s="35">
        <f t="shared" si="101"/>
        <v>71.55</v>
      </c>
      <c r="T786" s="34">
        <v>500</v>
      </c>
    </row>
    <row r="787" spans="1:20" x14ac:dyDescent="0.25">
      <c r="A787" s="36" t="s">
        <v>914</v>
      </c>
      <c r="B787" s="36"/>
      <c r="C787" s="36" t="s">
        <v>32</v>
      </c>
      <c r="D787" s="39">
        <v>45530</v>
      </c>
      <c r="E787" s="39">
        <v>45895</v>
      </c>
      <c r="F787" s="36" t="s">
        <v>1690</v>
      </c>
      <c r="G787" s="36" t="s">
        <v>61</v>
      </c>
      <c r="H787" s="38">
        <v>14960</v>
      </c>
      <c r="I787" s="40">
        <v>12466</v>
      </c>
      <c r="J787" s="40"/>
      <c r="K787" s="40"/>
      <c r="L787" s="40"/>
      <c r="M787" s="40"/>
      <c r="N787" s="36" t="s">
        <v>2454</v>
      </c>
      <c r="O787" s="37">
        <v>45530</v>
      </c>
      <c r="P787" s="44" t="s">
        <v>58</v>
      </c>
      <c r="Q787" s="38">
        <v>352000</v>
      </c>
      <c r="R787" s="33">
        <f t="shared" si="102"/>
        <v>1869.9</v>
      </c>
      <c r="S787" s="35">
        <f t="shared" si="101"/>
        <v>124.66</v>
      </c>
      <c r="T787" s="34">
        <v>500</v>
      </c>
    </row>
    <row r="788" spans="1:20" x14ac:dyDescent="0.25">
      <c r="A788" s="36" t="s">
        <v>915</v>
      </c>
      <c r="B788" s="36"/>
      <c r="C788" s="36" t="s">
        <v>73</v>
      </c>
      <c r="D788" s="39">
        <v>45530</v>
      </c>
      <c r="E788" s="39">
        <v>45895</v>
      </c>
      <c r="F788" s="36" t="s">
        <v>1691</v>
      </c>
      <c r="G788" s="36" t="s">
        <v>62</v>
      </c>
      <c r="H788" s="38">
        <v>9550</v>
      </c>
      <c r="I788" s="40">
        <v>7802</v>
      </c>
      <c r="J788" s="40"/>
      <c r="K788" s="40"/>
      <c r="L788" s="40"/>
      <c r="M788" s="40"/>
      <c r="N788" s="36" t="s">
        <v>2455</v>
      </c>
      <c r="O788" s="37">
        <v>45530</v>
      </c>
      <c r="P788" s="44" t="s">
        <v>58</v>
      </c>
      <c r="Q788" s="38">
        <v>382000</v>
      </c>
      <c r="R788" s="33">
        <f t="shared" si="102"/>
        <v>1170.3</v>
      </c>
      <c r="S788" s="35">
        <f t="shared" si="101"/>
        <v>78.02</v>
      </c>
      <c r="T788" s="34">
        <v>500</v>
      </c>
    </row>
    <row r="789" spans="1:20" x14ac:dyDescent="0.25">
      <c r="A789" s="36" t="s">
        <v>916</v>
      </c>
      <c r="B789" s="36"/>
      <c r="C789" s="36" t="s">
        <v>73</v>
      </c>
      <c r="D789" s="39">
        <v>45530</v>
      </c>
      <c r="E789" s="39">
        <v>45895</v>
      </c>
      <c r="F789" s="36" t="s">
        <v>1692</v>
      </c>
      <c r="G789" s="36" t="s">
        <v>61</v>
      </c>
      <c r="H789" s="38">
        <v>8800</v>
      </c>
      <c r="I789" s="40">
        <v>7155</v>
      </c>
      <c r="J789" s="40"/>
      <c r="K789" s="40"/>
      <c r="L789" s="40"/>
      <c r="M789" s="40"/>
      <c r="N789" s="36" t="s">
        <v>2456</v>
      </c>
      <c r="O789" s="37">
        <v>45530</v>
      </c>
      <c r="P789" s="44" t="s">
        <v>58</v>
      </c>
      <c r="Q789" s="38">
        <v>352000</v>
      </c>
      <c r="R789" s="33">
        <f t="shared" si="102"/>
        <v>1073.25</v>
      </c>
      <c r="S789" s="35">
        <f t="shared" si="101"/>
        <v>71.55</v>
      </c>
      <c r="T789" s="34">
        <v>500</v>
      </c>
    </row>
    <row r="790" spans="1:20" x14ac:dyDescent="0.25">
      <c r="A790" s="36" t="s">
        <v>917</v>
      </c>
      <c r="B790" s="36"/>
      <c r="C790" s="36" t="s">
        <v>71</v>
      </c>
      <c r="D790" s="39">
        <v>45530</v>
      </c>
      <c r="E790" s="39">
        <v>45895</v>
      </c>
      <c r="F790" s="36" t="s">
        <v>1693</v>
      </c>
      <c r="G790" s="36" t="s">
        <v>64</v>
      </c>
      <c r="H790" s="38">
        <v>12475</v>
      </c>
      <c r="I790" s="40">
        <v>10323</v>
      </c>
      <c r="J790" s="40"/>
      <c r="K790" s="40"/>
      <c r="L790" s="40"/>
      <c r="M790" s="40"/>
      <c r="N790" s="36" t="s">
        <v>2457</v>
      </c>
      <c r="O790" s="37">
        <v>45530</v>
      </c>
      <c r="P790" s="44" t="s">
        <v>58</v>
      </c>
      <c r="Q790" s="38">
        <v>499000</v>
      </c>
      <c r="R790" s="33">
        <f t="shared" si="102"/>
        <v>1548.45</v>
      </c>
      <c r="S790" s="35">
        <f t="shared" si="101"/>
        <v>103.23</v>
      </c>
      <c r="T790" s="34">
        <v>500</v>
      </c>
    </row>
    <row r="791" spans="1:20" x14ac:dyDescent="0.25">
      <c r="A791" s="36" t="s">
        <v>918</v>
      </c>
      <c r="B791" s="36"/>
      <c r="C791" s="36" t="s">
        <v>73</v>
      </c>
      <c r="D791" s="39">
        <v>45530</v>
      </c>
      <c r="E791" s="39">
        <v>45895</v>
      </c>
      <c r="F791" s="36" t="s">
        <v>1694</v>
      </c>
      <c r="G791" s="36" t="s">
        <v>63</v>
      </c>
      <c r="H791" s="38">
        <v>13675</v>
      </c>
      <c r="I791" s="40">
        <v>11358</v>
      </c>
      <c r="J791" s="40"/>
      <c r="K791" s="40"/>
      <c r="L791" s="40"/>
      <c r="M791" s="40"/>
      <c r="N791" s="36" t="s">
        <v>2458</v>
      </c>
      <c r="O791" s="37">
        <v>45530</v>
      </c>
      <c r="P791" s="44" t="s">
        <v>58</v>
      </c>
      <c r="Q791" s="38">
        <v>547000</v>
      </c>
      <c r="R791" s="33">
        <f t="shared" si="102"/>
        <v>1703.7</v>
      </c>
      <c r="S791" s="35">
        <f t="shared" si="101"/>
        <v>113.58</v>
      </c>
      <c r="T791" s="34">
        <v>500</v>
      </c>
    </row>
    <row r="792" spans="1:20" x14ac:dyDescent="0.25">
      <c r="A792" s="36" t="s">
        <v>919</v>
      </c>
      <c r="B792" s="36"/>
      <c r="C792" s="36" t="s">
        <v>73</v>
      </c>
      <c r="D792" s="39">
        <v>45530</v>
      </c>
      <c r="E792" s="39">
        <v>45895</v>
      </c>
      <c r="F792" s="36" t="s">
        <v>1695</v>
      </c>
      <c r="G792" s="36" t="s">
        <v>61</v>
      </c>
      <c r="H792" s="38">
        <v>8800</v>
      </c>
      <c r="I792" s="40">
        <v>7155</v>
      </c>
      <c r="J792" s="40"/>
      <c r="K792" s="40"/>
      <c r="L792" s="40"/>
      <c r="M792" s="40"/>
      <c r="N792" s="36" t="s">
        <v>2459</v>
      </c>
      <c r="O792" s="37">
        <v>45530</v>
      </c>
      <c r="P792" s="44" t="s">
        <v>58</v>
      </c>
      <c r="Q792" s="38">
        <v>352000</v>
      </c>
      <c r="R792" s="33">
        <f t="shared" si="102"/>
        <v>1073.25</v>
      </c>
      <c r="S792" s="35">
        <f t="shared" si="101"/>
        <v>71.55</v>
      </c>
      <c r="T792" s="34">
        <v>500</v>
      </c>
    </row>
    <row r="793" spans="1:20" x14ac:dyDescent="0.25">
      <c r="A793" s="36" t="s">
        <v>920</v>
      </c>
      <c r="B793" s="36"/>
      <c r="C793" s="36" t="s">
        <v>66</v>
      </c>
      <c r="D793" s="39">
        <v>45530</v>
      </c>
      <c r="E793" s="39">
        <v>45895</v>
      </c>
      <c r="F793" s="36" t="s">
        <v>1696</v>
      </c>
      <c r="G793" s="36" t="s">
        <v>62</v>
      </c>
      <c r="H793" s="38">
        <v>9550</v>
      </c>
      <c r="I793" s="40">
        <v>7802</v>
      </c>
      <c r="J793" s="40"/>
      <c r="K793" s="40"/>
      <c r="L793" s="40"/>
      <c r="M793" s="40"/>
      <c r="N793" s="36" t="s">
        <v>2460</v>
      </c>
      <c r="O793" s="37">
        <v>45530</v>
      </c>
      <c r="P793" s="44" t="s">
        <v>58</v>
      </c>
      <c r="Q793" s="38">
        <v>382000</v>
      </c>
      <c r="R793" s="33">
        <f t="shared" si="102"/>
        <v>1170.3</v>
      </c>
      <c r="S793" s="35">
        <f t="shared" si="101"/>
        <v>78.02</v>
      </c>
      <c r="T793" s="34">
        <v>500</v>
      </c>
    </row>
    <row r="794" spans="1:20" x14ac:dyDescent="0.25">
      <c r="A794" s="36" t="s">
        <v>921</v>
      </c>
      <c r="B794" s="36"/>
      <c r="C794" s="36" t="s">
        <v>32</v>
      </c>
      <c r="D794" s="39">
        <v>45530</v>
      </c>
      <c r="E794" s="39">
        <v>45895</v>
      </c>
      <c r="F794" s="36" t="s">
        <v>1697</v>
      </c>
      <c r="G794" s="36" t="s">
        <v>64</v>
      </c>
      <c r="H794" s="38">
        <v>21208</v>
      </c>
      <c r="I794" s="40">
        <v>17852</v>
      </c>
      <c r="J794" s="40"/>
      <c r="K794" s="40"/>
      <c r="L794" s="40"/>
      <c r="M794" s="40"/>
      <c r="N794" s="36" t="s">
        <v>2461</v>
      </c>
      <c r="O794" s="37">
        <v>45530</v>
      </c>
      <c r="P794" s="44" t="s">
        <v>58</v>
      </c>
      <c r="Q794" s="38">
        <v>499000</v>
      </c>
      <c r="R794" s="33">
        <f t="shared" si="102"/>
        <v>2677.8</v>
      </c>
      <c r="S794" s="35">
        <f t="shared" si="101"/>
        <v>178.52</v>
      </c>
      <c r="T794" s="34">
        <v>500</v>
      </c>
    </row>
    <row r="795" spans="1:20" x14ac:dyDescent="0.25">
      <c r="A795" s="36" t="s">
        <v>922</v>
      </c>
      <c r="B795" s="36"/>
      <c r="C795" s="36" t="s">
        <v>32</v>
      </c>
      <c r="D795" s="39">
        <v>45896</v>
      </c>
      <c r="E795" s="39">
        <v>46261</v>
      </c>
      <c r="F795" s="36" t="s">
        <v>1697</v>
      </c>
      <c r="G795" s="36" t="s">
        <v>64</v>
      </c>
      <c r="H795" s="38">
        <v>21208</v>
      </c>
      <c r="I795" s="40">
        <v>17852</v>
      </c>
      <c r="J795" s="40"/>
      <c r="K795" s="40"/>
      <c r="L795" s="40"/>
      <c r="M795" s="40"/>
      <c r="N795" s="36" t="s">
        <v>2461</v>
      </c>
      <c r="O795" s="37">
        <v>45530</v>
      </c>
      <c r="P795" s="44" t="s">
        <v>58</v>
      </c>
      <c r="Q795" s="38">
        <v>499000</v>
      </c>
      <c r="R795" s="33">
        <f t="shared" si="102"/>
        <v>2677.8</v>
      </c>
      <c r="S795" s="35">
        <f t="shared" si="101"/>
        <v>178.52</v>
      </c>
      <c r="T795" s="34">
        <v>500</v>
      </c>
    </row>
    <row r="796" spans="1:20" x14ac:dyDescent="0.25">
      <c r="A796" s="36" t="s">
        <v>923</v>
      </c>
      <c r="B796" s="36"/>
      <c r="C796" s="36" t="s">
        <v>66</v>
      </c>
      <c r="D796" s="39">
        <v>45530</v>
      </c>
      <c r="E796" s="39">
        <v>45895</v>
      </c>
      <c r="F796" s="36" t="s">
        <v>126</v>
      </c>
      <c r="G796" s="36" t="s">
        <v>62</v>
      </c>
      <c r="H796" s="38">
        <v>9550</v>
      </c>
      <c r="I796" s="40">
        <v>7802</v>
      </c>
      <c r="J796" s="40"/>
      <c r="K796" s="40"/>
      <c r="L796" s="40"/>
      <c r="M796" s="40"/>
      <c r="N796" s="36" t="s">
        <v>2462</v>
      </c>
      <c r="O796" s="37">
        <v>45530</v>
      </c>
      <c r="P796" s="44" t="s">
        <v>58</v>
      </c>
      <c r="Q796" s="38">
        <v>382000</v>
      </c>
      <c r="R796" s="33">
        <f t="shared" si="102"/>
        <v>1170.3</v>
      </c>
      <c r="S796" s="35">
        <f t="shared" si="101"/>
        <v>78.02</v>
      </c>
      <c r="T796" s="34">
        <v>500</v>
      </c>
    </row>
    <row r="797" spans="1:20" x14ac:dyDescent="0.25">
      <c r="A797" s="36" t="s">
        <v>924</v>
      </c>
      <c r="B797" s="36"/>
      <c r="C797" s="36" t="s">
        <v>66</v>
      </c>
      <c r="D797" s="39">
        <v>45530</v>
      </c>
      <c r="E797" s="39">
        <v>45895</v>
      </c>
      <c r="F797" s="36" t="s">
        <v>1698</v>
      </c>
      <c r="G797" s="36" t="s">
        <v>62</v>
      </c>
      <c r="H797" s="38">
        <v>9550</v>
      </c>
      <c r="I797" s="40">
        <v>7802</v>
      </c>
      <c r="J797" s="40"/>
      <c r="K797" s="40"/>
      <c r="L797" s="40"/>
      <c r="M797" s="40"/>
      <c r="N797" s="36" t="s">
        <v>2463</v>
      </c>
      <c r="O797" s="37">
        <v>45530</v>
      </c>
      <c r="P797" s="44" t="s">
        <v>58</v>
      </c>
      <c r="Q797" s="38">
        <v>382000</v>
      </c>
      <c r="R797" s="33">
        <f t="shared" si="102"/>
        <v>1170.3</v>
      </c>
      <c r="S797" s="35">
        <f t="shared" si="101"/>
        <v>78.02</v>
      </c>
      <c r="T797" s="34">
        <v>500</v>
      </c>
    </row>
    <row r="798" spans="1:20" x14ac:dyDescent="0.25">
      <c r="A798" s="36" t="s">
        <v>925</v>
      </c>
      <c r="B798" s="36"/>
      <c r="C798" s="36" t="s">
        <v>66</v>
      </c>
      <c r="D798" s="39">
        <v>45530</v>
      </c>
      <c r="E798" s="39">
        <v>45895</v>
      </c>
      <c r="F798" s="36" t="s">
        <v>1699</v>
      </c>
      <c r="G798" s="36" t="s">
        <v>63</v>
      </c>
      <c r="H798" s="38">
        <v>13675</v>
      </c>
      <c r="I798" s="40">
        <v>11358</v>
      </c>
      <c r="J798" s="40"/>
      <c r="K798" s="40"/>
      <c r="L798" s="40"/>
      <c r="M798" s="40"/>
      <c r="N798" s="36" t="s">
        <v>2464</v>
      </c>
      <c r="O798" s="37">
        <v>45530</v>
      </c>
      <c r="P798" s="44" t="s">
        <v>58</v>
      </c>
      <c r="Q798" s="38">
        <v>547000</v>
      </c>
      <c r="R798" s="33">
        <f t="shared" si="102"/>
        <v>1703.7</v>
      </c>
      <c r="S798" s="35">
        <f t="shared" si="101"/>
        <v>113.58</v>
      </c>
      <c r="T798" s="34">
        <v>500</v>
      </c>
    </row>
    <row r="799" spans="1:20" x14ac:dyDescent="0.25">
      <c r="A799" s="36" t="s">
        <v>926</v>
      </c>
      <c r="B799" s="36"/>
      <c r="C799" s="36" t="s">
        <v>71</v>
      </c>
      <c r="D799" s="39">
        <v>45530</v>
      </c>
      <c r="E799" s="39">
        <v>45895</v>
      </c>
      <c r="F799" s="36" t="s">
        <v>1700</v>
      </c>
      <c r="G799" s="36" t="s">
        <v>64</v>
      </c>
      <c r="H799" s="38">
        <v>12475</v>
      </c>
      <c r="I799" s="40">
        <v>10323</v>
      </c>
      <c r="J799" s="40"/>
      <c r="K799" s="40"/>
      <c r="L799" s="40"/>
      <c r="M799" s="40"/>
      <c r="N799" s="36" t="s">
        <v>2465</v>
      </c>
      <c r="O799" s="37">
        <v>45530</v>
      </c>
      <c r="P799" s="44" t="s">
        <v>58</v>
      </c>
      <c r="Q799" s="38">
        <v>499000</v>
      </c>
      <c r="R799" s="33">
        <f t="shared" si="102"/>
        <v>1548.45</v>
      </c>
      <c r="S799" s="35">
        <f t="shared" si="101"/>
        <v>103.23</v>
      </c>
      <c r="T799" s="34">
        <v>500</v>
      </c>
    </row>
    <row r="800" spans="1:20" x14ac:dyDescent="0.25">
      <c r="A800" s="36" t="s">
        <v>927</v>
      </c>
      <c r="B800" s="36"/>
      <c r="C800" s="36" t="s">
        <v>66</v>
      </c>
      <c r="D800" s="39">
        <v>45530</v>
      </c>
      <c r="E800" s="39">
        <v>45895</v>
      </c>
      <c r="F800" s="36" t="s">
        <v>1701</v>
      </c>
      <c r="G800" s="36" t="s">
        <v>61</v>
      </c>
      <c r="H800" s="38">
        <v>8800</v>
      </c>
      <c r="I800" s="40">
        <v>7155</v>
      </c>
      <c r="J800" s="40"/>
      <c r="K800" s="40"/>
      <c r="L800" s="40"/>
      <c r="M800" s="40"/>
      <c r="N800" s="36" t="s">
        <v>2466</v>
      </c>
      <c r="O800" s="37">
        <v>45530</v>
      </c>
      <c r="P800" s="44" t="s">
        <v>58</v>
      </c>
      <c r="Q800" s="38">
        <v>352000</v>
      </c>
      <c r="R800" s="33">
        <f t="shared" si="102"/>
        <v>1073.25</v>
      </c>
      <c r="S800" s="35">
        <f t="shared" si="101"/>
        <v>71.55</v>
      </c>
      <c r="T800" s="34">
        <v>500</v>
      </c>
    </row>
    <row r="801" spans="1:20" x14ac:dyDescent="0.25">
      <c r="A801" s="36" t="s">
        <v>928</v>
      </c>
      <c r="B801" s="36"/>
      <c r="C801" s="36" t="s">
        <v>66</v>
      </c>
      <c r="D801" s="39">
        <v>45530</v>
      </c>
      <c r="E801" s="39">
        <v>45895</v>
      </c>
      <c r="F801" s="36" t="s">
        <v>1702</v>
      </c>
      <c r="G801" s="36" t="s">
        <v>62</v>
      </c>
      <c r="H801" s="38">
        <v>9550</v>
      </c>
      <c r="I801" s="40">
        <v>7802</v>
      </c>
      <c r="J801" s="40"/>
      <c r="K801" s="40"/>
      <c r="L801" s="40"/>
      <c r="M801" s="40"/>
      <c r="N801" s="36" t="s">
        <v>2467</v>
      </c>
      <c r="O801" s="37">
        <v>45530</v>
      </c>
      <c r="P801" s="44" t="s">
        <v>58</v>
      </c>
      <c r="Q801" s="38">
        <v>382000</v>
      </c>
      <c r="R801" s="33">
        <f t="shared" si="102"/>
        <v>1170.3</v>
      </c>
      <c r="S801" s="35">
        <f t="shared" si="101"/>
        <v>78.02</v>
      </c>
      <c r="T801" s="34">
        <v>500</v>
      </c>
    </row>
    <row r="802" spans="1:20" x14ac:dyDescent="0.25">
      <c r="A802" s="36" t="s">
        <v>929</v>
      </c>
      <c r="B802" s="36"/>
      <c r="C802" s="36" t="s">
        <v>71</v>
      </c>
      <c r="D802" s="39">
        <v>45530</v>
      </c>
      <c r="E802" s="39">
        <v>45895</v>
      </c>
      <c r="F802" s="36" t="s">
        <v>1703</v>
      </c>
      <c r="G802" s="36" t="s">
        <v>61</v>
      </c>
      <c r="H802" s="38">
        <v>8800</v>
      </c>
      <c r="I802" s="40">
        <v>7155</v>
      </c>
      <c r="J802" s="40"/>
      <c r="K802" s="40"/>
      <c r="L802" s="40"/>
      <c r="M802" s="40"/>
      <c r="N802" s="36" t="s">
        <v>2468</v>
      </c>
      <c r="O802" s="37">
        <v>45530</v>
      </c>
      <c r="P802" s="44" t="s">
        <v>58</v>
      </c>
      <c r="Q802" s="38">
        <v>352000</v>
      </c>
      <c r="R802" s="33">
        <f t="shared" si="102"/>
        <v>1073.25</v>
      </c>
      <c r="S802" s="35">
        <f t="shared" si="101"/>
        <v>71.55</v>
      </c>
      <c r="T802" s="34">
        <v>500</v>
      </c>
    </row>
    <row r="803" spans="1:20" x14ac:dyDescent="0.25">
      <c r="A803" s="36" t="s">
        <v>930</v>
      </c>
      <c r="B803" s="36"/>
      <c r="C803" s="36" t="s">
        <v>66</v>
      </c>
      <c r="D803" s="39">
        <v>45530</v>
      </c>
      <c r="E803" s="39">
        <v>45895</v>
      </c>
      <c r="F803" s="36" t="s">
        <v>1704</v>
      </c>
      <c r="G803" s="36" t="s">
        <v>61</v>
      </c>
      <c r="H803" s="38">
        <v>8800</v>
      </c>
      <c r="I803" s="40">
        <v>7155</v>
      </c>
      <c r="J803" s="40"/>
      <c r="K803" s="40"/>
      <c r="L803" s="40"/>
      <c r="M803" s="40"/>
      <c r="N803" s="36" t="s">
        <v>2469</v>
      </c>
      <c r="O803" s="37">
        <v>45530</v>
      </c>
      <c r="P803" s="44" t="s">
        <v>58</v>
      </c>
      <c r="Q803" s="38">
        <v>352000</v>
      </c>
      <c r="R803" s="33">
        <f t="shared" si="102"/>
        <v>1073.25</v>
      </c>
      <c r="S803" s="35">
        <f t="shared" si="101"/>
        <v>71.55</v>
      </c>
      <c r="T803" s="34">
        <v>500</v>
      </c>
    </row>
    <row r="804" spans="1:20" x14ac:dyDescent="0.25">
      <c r="A804" s="36" t="s">
        <v>931</v>
      </c>
      <c r="B804" s="36"/>
      <c r="C804" s="36" t="s">
        <v>66</v>
      </c>
      <c r="D804" s="39">
        <v>45530</v>
      </c>
      <c r="E804" s="39">
        <v>45895</v>
      </c>
      <c r="F804" s="36" t="s">
        <v>1705</v>
      </c>
      <c r="G804" s="36" t="s">
        <v>61</v>
      </c>
      <c r="H804" s="38">
        <v>8800</v>
      </c>
      <c r="I804" s="40">
        <v>7155</v>
      </c>
      <c r="J804" s="40"/>
      <c r="K804" s="40"/>
      <c r="L804" s="40"/>
      <c r="M804" s="40"/>
      <c r="N804" s="36" t="s">
        <v>2470</v>
      </c>
      <c r="O804" s="37">
        <v>45530</v>
      </c>
      <c r="P804" s="44" t="s">
        <v>58</v>
      </c>
      <c r="Q804" s="38">
        <v>352000</v>
      </c>
      <c r="R804" s="33">
        <f t="shared" si="102"/>
        <v>1073.25</v>
      </c>
      <c r="S804" s="35">
        <f t="shared" si="101"/>
        <v>71.55</v>
      </c>
      <c r="T804" s="34">
        <v>500</v>
      </c>
    </row>
    <row r="805" spans="1:20" x14ac:dyDescent="0.25">
      <c r="A805" s="36" t="s">
        <v>932</v>
      </c>
      <c r="B805" s="36"/>
      <c r="C805" s="36" t="s">
        <v>66</v>
      </c>
      <c r="D805" s="39">
        <v>45530</v>
      </c>
      <c r="E805" s="39">
        <v>45895</v>
      </c>
      <c r="F805" s="36" t="s">
        <v>1706</v>
      </c>
      <c r="G805" s="36" t="s">
        <v>62</v>
      </c>
      <c r="H805" s="38">
        <v>9550</v>
      </c>
      <c r="I805" s="40">
        <v>7802</v>
      </c>
      <c r="J805" s="40"/>
      <c r="K805" s="40"/>
      <c r="L805" s="40"/>
      <c r="M805" s="40"/>
      <c r="N805" s="36" t="s">
        <v>2471</v>
      </c>
      <c r="O805" s="37">
        <v>45530</v>
      </c>
      <c r="P805" s="44" t="s">
        <v>58</v>
      </c>
      <c r="Q805" s="38">
        <v>382000</v>
      </c>
      <c r="R805" s="33">
        <f t="shared" si="102"/>
        <v>1170.3</v>
      </c>
      <c r="S805" s="35">
        <f t="shared" si="101"/>
        <v>78.02</v>
      </c>
      <c r="T805" s="34">
        <v>500</v>
      </c>
    </row>
    <row r="806" spans="1:20" x14ac:dyDescent="0.25">
      <c r="A806" s="36" t="s">
        <v>933</v>
      </c>
      <c r="B806" s="36"/>
      <c r="C806" s="36" t="s">
        <v>36</v>
      </c>
      <c r="D806" s="39">
        <v>45530</v>
      </c>
      <c r="E806" s="39">
        <v>45895</v>
      </c>
      <c r="F806" s="36" t="s">
        <v>1707</v>
      </c>
      <c r="G806" s="36" t="s">
        <v>61</v>
      </c>
      <c r="H806" s="38">
        <v>14960</v>
      </c>
      <c r="I806" s="40">
        <v>12466</v>
      </c>
      <c r="J806" s="40"/>
      <c r="K806" s="40"/>
      <c r="L806" s="40"/>
      <c r="M806" s="40"/>
      <c r="N806" s="36" t="s">
        <v>2472</v>
      </c>
      <c r="O806" s="37">
        <v>45530</v>
      </c>
      <c r="P806" s="44" t="s">
        <v>58</v>
      </c>
      <c r="Q806" s="38">
        <v>352000</v>
      </c>
      <c r="R806" s="33">
        <f t="shared" si="102"/>
        <v>1869.9</v>
      </c>
      <c r="S806" s="35">
        <f t="shared" si="101"/>
        <v>124.66</v>
      </c>
      <c r="T806" s="34">
        <v>500</v>
      </c>
    </row>
    <row r="807" spans="1:20" x14ac:dyDescent="0.25">
      <c r="A807" s="36" t="s">
        <v>934</v>
      </c>
      <c r="B807" s="36"/>
      <c r="C807" s="36" t="s">
        <v>66</v>
      </c>
      <c r="D807" s="39">
        <v>45530</v>
      </c>
      <c r="E807" s="39">
        <v>45895</v>
      </c>
      <c r="F807" s="36" t="s">
        <v>1708</v>
      </c>
      <c r="G807" s="36" t="s">
        <v>61</v>
      </c>
      <c r="H807" s="38">
        <v>8800</v>
      </c>
      <c r="I807" s="40">
        <v>7155</v>
      </c>
      <c r="J807" s="40"/>
      <c r="K807" s="40"/>
      <c r="L807" s="40"/>
      <c r="M807" s="40"/>
      <c r="N807" s="36" t="s">
        <v>2473</v>
      </c>
      <c r="O807" s="37">
        <v>45530</v>
      </c>
      <c r="P807" s="44" t="s">
        <v>58</v>
      </c>
      <c r="Q807" s="38">
        <v>352000</v>
      </c>
      <c r="R807" s="33">
        <f t="shared" si="102"/>
        <v>1073.25</v>
      </c>
      <c r="S807" s="35">
        <f t="shared" si="101"/>
        <v>71.55</v>
      </c>
      <c r="T807" s="34">
        <v>500</v>
      </c>
    </row>
    <row r="808" spans="1:20" x14ac:dyDescent="0.25">
      <c r="A808" s="36" t="s">
        <v>935</v>
      </c>
      <c r="B808" s="36"/>
      <c r="C808" s="36" t="s">
        <v>71</v>
      </c>
      <c r="D808" s="39">
        <v>45530</v>
      </c>
      <c r="E808" s="39">
        <v>45895</v>
      </c>
      <c r="F808" s="36" t="s">
        <v>1709</v>
      </c>
      <c r="G808" s="36" t="s">
        <v>61</v>
      </c>
      <c r="H808" s="38">
        <v>8800</v>
      </c>
      <c r="I808" s="40">
        <v>7155</v>
      </c>
      <c r="J808" s="40"/>
      <c r="K808" s="40"/>
      <c r="L808" s="40"/>
      <c r="M808" s="40"/>
      <c r="N808" s="36" t="s">
        <v>2474</v>
      </c>
      <c r="O808" s="37">
        <v>45530</v>
      </c>
      <c r="P808" s="44" t="s">
        <v>58</v>
      </c>
      <c r="Q808" s="38">
        <v>352000</v>
      </c>
      <c r="R808" s="33">
        <f t="shared" si="102"/>
        <v>1073.25</v>
      </c>
      <c r="S808" s="35">
        <f t="shared" si="101"/>
        <v>71.55</v>
      </c>
      <c r="T808" s="34">
        <v>500</v>
      </c>
    </row>
    <row r="809" spans="1:20" x14ac:dyDescent="0.25">
      <c r="A809" s="36" t="s">
        <v>936</v>
      </c>
      <c r="B809" s="36"/>
      <c r="C809" s="36" t="s">
        <v>31</v>
      </c>
      <c r="D809" s="39">
        <v>45530</v>
      </c>
      <c r="E809" s="39">
        <v>45895</v>
      </c>
      <c r="F809" s="36" t="s">
        <v>1710</v>
      </c>
      <c r="G809" s="36" t="s">
        <v>61</v>
      </c>
      <c r="H809" s="38">
        <v>14960</v>
      </c>
      <c r="I809" s="40">
        <v>12466</v>
      </c>
      <c r="J809" s="40"/>
      <c r="K809" s="40"/>
      <c r="L809" s="40"/>
      <c r="M809" s="40"/>
      <c r="N809" s="36" t="s">
        <v>2475</v>
      </c>
      <c r="O809" s="37">
        <v>45530</v>
      </c>
      <c r="P809" s="44" t="s">
        <v>58</v>
      </c>
      <c r="Q809" s="38">
        <v>352000</v>
      </c>
      <c r="R809" s="33">
        <f t="shared" si="102"/>
        <v>1869.9</v>
      </c>
      <c r="S809" s="35">
        <f t="shared" si="101"/>
        <v>124.66</v>
      </c>
      <c r="T809" s="34">
        <v>500</v>
      </c>
    </row>
    <row r="810" spans="1:20" x14ac:dyDescent="0.25">
      <c r="A810" s="36" t="s">
        <v>937</v>
      </c>
      <c r="B810" s="36"/>
      <c r="C810" s="36" t="s">
        <v>66</v>
      </c>
      <c r="D810" s="39">
        <v>45530</v>
      </c>
      <c r="E810" s="39">
        <v>45895</v>
      </c>
      <c r="F810" s="36" t="s">
        <v>1711</v>
      </c>
      <c r="G810" s="36" t="s">
        <v>61</v>
      </c>
      <c r="H810" s="38">
        <v>8800</v>
      </c>
      <c r="I810" s="40">
        <v>7155</v>
      </c>
      <c r="J810" s="40"/>
      <c r="K810" s="40"/>
      <c r="L810" s="40"/>
      <c r="M810" s="40"/>
      <c r="N810" s="36" t="s">
        <v>2476</v>
      </c>
      <c r="O810" s="37">
        <v>45530</v>
      </c>
      <c r="P810" s="44" t="s">
        <v>58</v>
      </c>
      <c r="Q810" s="38">
        <v>352000</v>
      </c>
      <c r="R810" s="33">
        <f t="shared" si="102"/>
        <v>1073.25</v>
      </c>
      <c r="S810" s="35">
        <f t="shared" si="101"/>
        <v>71.55</v>
      </c>
      <c r="T810" s="34">
        <v>500</v>
      </c>
    </row>
    <row r="811" spans="1:20" x14ac:dyDescent="0.25">
      <c r="A811" s="36" t="s">
        <v>938</v>
      </c>
      <c r="B811" s="36"/>
      <c r="C811" s="36" t="s">
        <v>66</v>
      </c>
      <c r="D811" s="39">
        <v>45530</v>
      </c>
      <c r="E811" s="39">
        <v>45895</v>
      </c>
      <c r="F811" s="36" t="s">
        <v>1712</v>
      </c>
      <c r="G811" s="36" t="s">
        <v>62</v>
      </c>
      <c r="H811" s="38">
        <v>9550</v>
      </c>
      <c r="I811" s="40">
        <v>7802</v>
      </c>
      <c r="J811" s="40"/>
      <c r="K811" s="40"/>
      <c r="L811" s="40"/>
      <c r="M811" s="40"/>
      <c r="N811" s="36" t="s">
        <v>2477</v>
      </c>
      <c r="O811" s="37">
        <v>45530</v>
      </c>
      <c r="P811" s="44" t="s">
        <v>58</v>
      </c>
      <c r="Q811" s="38">
        <v>382000</v>
      </c>
      <c r="R811" s="33">
        <f t="shared" si="102"/>
        <v>1170.3</v>
      </c>
      <c r="S811" s="35">
        <f t="shared" si="101"/>
        <v>78.02</v>
      </c>
      <c r="T811" s="34">
        <v>500</v>
      </c>
    </row>
    <row r="812" spans="1:20" x14ac:dyDescent="0.25">
      <c r="A812" s="36" t="s">
        <v>939</v>
      </c>
      <c r="B812" s="36"/>
      <c r="C812" s="36" t="s">
        <v>66</v>
      </c>
      <c r="D812" s="39">
        <v>45530</v>
      </c>
      <c r="E812" s="39">
        <v>45895</v>
      </c>
      <c r="F812" s="36" t="s">
        <v>1713</v>
      </c>
      <c r="G812" s="36" t="s">
        <v>61</v>
      </c>
      <c r="H812" s="38">
        <v>8800</v>
      </c>
      <c r="I812" s="40">
        <v>7155</v>
      </c>
      <c r="J812" s="40"/>
      <c r="K812" s="40"/>
      <c r="L812" s="40"/>
      <c r="M812" s="40"/>
      <c r="N812" s="36" t="s">
        <v>2478</v>
      </c>
      <c r="O812" s="37">
        <v>45530</v>
      </c>
      <c r="P812" s="44" t="s">
        <v>58</v>
      </c>
      <c r="Q812" s="38">
        <v>352000</v>
      </c>
      <c r="R812" s="33">
        <f t="shared" si="102"/>
        <v>1073.25</v>
      </c>
      <c r="S812" s="35">
        <f t="shared" si="101"/>
        <v>71.55</v>
      </c>
      <c r="T812" s="34">
        <v>500</v>
      </c>
    </row>
    <row r="813" spans="1:20" x14ac:dyDescent="0.25">
      <c r="A813" s="36" t="s">
        <v>940</v>
      </c>
      <c r="B813" s="36"/>
      <c r="C813" s="36" t="s">
        <v>72</v>
      </c>
      <c r="D813" s="39">
        <v>45530</v>
      </c>
      <c r="E813" s="39">
        <v>45895</v>
      </c>
      <c r="F813" s="36" t="s">
        <v>1714</v>
      </c>
      <c r="G813" s="36" t="s">
        <v>61</v>
      </c>
      <c r="H813" s="38">
        <v>8800</v>
      </c>
      <c r="I813" s="40">
        <v>7155</v>
      </c>
      <c r="J813" s="40"/>
      <c r="K813" s="40"/>
      <c r="L813" s="40"/>
      <c r="M813" s="40"/>
      <c r="N813" s="36" t="s">
        <v>2479</v>
      </c>
      <c r="O813" s="37">
        <v>45530</v>
      </c>
      <c r="P813" s="44" t="s">
        <v>58</v>
      </c>
      <c r="Q813" s="38">
        <v>352000</v>
      </c>
      <c r="R813" s="33">
        <f t="shared" si="102"/>
        <v>1073.25</v>
      </c>
      <c r="S813" s="35">
        <f t="shared" si="101"/>
        <v>71.55</v>
      </c>
      <c r="T813" s="34">
        <v>500</v>
      </c>
    </row>
    <row r="814" spans="1:20" x14ac:dyDescent="0.25">
      <c r="A814" s="36" t="s">
        <v>941</v>
      </c>
      <c r="B814" s="36"/>
      <c r="C814" s="36" t="s">
        <v>72</v>
      </c>
      <c r="D814" s="39">
        <v>45530</v>
      </c>
      <c r="E814" s="39">
        <v>45895</v>
      </c>
      <c r="F814" s="36" t="s">
        <v>1715</v>
      </c>
      <c r="G814" s="36" t="s">
        <v>62</v>
      </c>
      <c r="H814" s="38">
        <v>9550</v>
      </c>
      <c r="I814" s="40">
        <v>7802</v>
      </c>
      <c r="J814" s="40"/>
      <c r="K814" s="40"/>
      <c r="L814" s="40"/>
      <c r="M814" s="40"/>
      <c r="N814" s="36" t="s">
        <v>2480</v>
      </c>
      <c r="O814" s="37">
        <v>45530</v>
      </c>
      <c r="P814" s="44" t="s">
        <v>58</v>
      </c>
      <c r="Q814" s="38">
        <v>382000</v>
      </c>
      <c r="R814" s="33">
        <f t="shared" si="102"/>
        <v>1170.3</v>
      </c>
      <c r="S814" s="35">
        <f t="shared" si="101"/>
        <v>78.02</v>
      </c>
      <c r="T814" s="34">
        <v>500</v>
      </c>
    </row>
    <row r="815" spans="1:20" x14ac:dyDescent="0.25">
      <c r="A815" s="36" t="s">
        <v>942</v>
      </c>
      <c r="B815" s="36"/>
      <c r="C815" s="36" t="s">
        <v>81</v>
      </c>
      <c r="D815" s="39">
        <v>45530</v>
      </c>
      <c r="E815" s="39">
        <v>45895</v>
      </c>
      <c r="F815" s="36" t="s">
        <v>1716</v>
      </c>
      <c r="G815" s="36" t="s">
        <v>62</v>
      </c>
      <c r="H815" s="38">
        <v>9550</v>
      </c>
      <c r="I815" s="40">
        <v>7802</v>
      </c>
      <c r="J815" s="40"/>
      <c r="K815" s="40"/>
      <c r="L815" s="40"/>
      <c r="M815" s="40"/>
      <c r="N815" s="36" t="s">
        <v>2481</v>
      </c>
      <c r="O815" s="37">
        <v>45530</v>
      </c>
      <c r="P815" s="44" t="s">
        <v>58</v>
      </c>
      <c r="Q815" s="38">
        <v>382000</v>
      </c>
      <c r="R815" s="33">
        <f t="shared" si="102"/>
        <v>1170.3</v>
      </c>
      <c r="S815" s="35">
        <f t="shared" si="101"/>
        <v>78.02</v>
      </c>
      <c r="T815" s="34">
        <v>500</v>
      </c>
    </row>
    <row r="816" spans="1:20" x14ac:dyDescent="0.25">
      <c r="A816" s="36" t="s">
        <v>943</v>
      </c>
      <c r="B816" s="36"/>
      <c r="C816" s="36" t="s">
        <v>53</v>
      </c>
      <c r="D816" s="39">
        <v>45530</v>
      </c>
      <c r="E816" s="39">
        <v>45895</v>
      </c>
      <c r="F816" s="36" t="s">
        <v>1717</v>
      </c>
      <c r="G816" s="36" t="s">
        <v>61</v>
      </c>
      <c r="H816" s="38">
        <v>8800</v>
      </c>
      <c r="I816" s="40">
        <v>7155</v>
      </c>
      <c r="J816" s="40"/>
      <c r="K816" s="40"/>
      <c r="L816" s="40"/>
      <c r="M816" s="40"/>
      <c r="N816" s="36" t="s">
        <v>2482</v>
      </c>
      <c r="O816" s="37">
        <v>45530</v>
      </c>
      <c r="P816" s="44" t="s">
        <v>58</v>
      </c>
      <c r="Q816" s="38">
        <v>352000</v>
      </c>
      <c r="R816" s="33">
        <f t="shared" si="102"/>
        <v>1073.25</v>
      </c>
      <c r="S816" s="35">
        <f t="shared" si="101"/>
        <v>71.55</v>
      </c>
      <c r="T816" s="34">
        <v>500</v>
      </c>
    </row>
    <row r="817" spans="1:20" x14ac:dyDescent="0.25">
      <c r="A817" s="36" t="s">
        <v>944</v>
      </c>
      <c r="B817" s="36"/>
      <c r="C817" s="36" t="s">
        <v>49</v>
      </c>
      <c r="D817" s="39">
        <v>45530</v>
      </c>
      <c r="E817" s="39">
        <v>45895</v>
      </c>
      <c r="F817" s="36" t="s">
        <v>94</v>
      </c>
      <c r="G817" s="36" t="s">
        <v>64</v>
      </c>
      <c r="H817" s="38">
        <v>12475</v>
      </c>
      <c r="I817" s="40">
        <v>10323</v>
      </c>
      <c r="J817" s="40"/>
      <c r="K817" s="40"/>
      <c r="L817" s="40"/>
      <c r="M817" s="40"/>
      <c r="N817" s="36" t="s">
        <v>2483</v>
      </c>
      <c r="O817" s="37">
        <v>45530</v>
      </c>
      <c r="P817" s="44" t="s">
        <v>58</v>
      </c>
      <c r="Q817" s="38">
        <v>499000</v>
      </c>
      <c r="R817" s="33">
        <f t="shared" si="102"/>
        <v>1548.45</v>
      </c>
      <c r="S817" s="35">
        <f t="shared" si="101"/>
        <v>103.23</v>
      </c>
      <c r="T817" s="34">
        <v>500</v>
      </c>
    </row>
    <row r="818" spans="1:20" x14ac:dyDescent="0.25">
      <c r="A818" s="36" t="s">
        <v>945</v>
      </c>
      <c r="B818" s="36"/>
      <c r="C818" s="36" t="s">
        <v>49</v>
      </c>
      <c r="D818" s="39">
        <v>45896</v>
      </c>
      <c r="E818" s="39">
        <v>46261</v>
      </c>
      <c r="F818" s="36" t="s">
        <v>94</v>
      </c>
      <c r="G818" s="36" t="s">
        <v>64</v>
      </c>
      <c r="H818" s="38">
        <v>12475</v>
      </c>
      <c r="I818" s="40">
        <v>10323</v>
      </c>
      <c r="J818" s="40"/>
      <c r="K818" s="40"/>
      <c r="L818" s="40"/>
      <c r="M818" s="40"/>
      <c r="N818" s="36" t="s">
        <v>2483</v>
      </c>
      <c r="O818" s="37">
        <v>45530</v>
      </c>
      <c r="P818" s="44" t="s">
        <v>58</v>
      </c>
      <c r="Q818" s="38">
        <v>499000</v>
      </c>
      <c r="R818" s="33">
        <f t="shared" si="102"/>
        <v>1548.45</v>
      </c>
      <c r="S818" s="35">
        <f t="shared" si="101"/>
        <v>103.23</v>
      </c>
      <c r="T818" s="34">
        <v>500</v>
      </c>
    </row>
    <row r="819" spans="1:20" x14ac:dyDescent="0.25">
      <c r="A819" s="36" t="s">
        <v>946</v>
      </c>
      <c r="B819" s="36"/>
      <c r="C819" s="36" t="s">
        <v>36</v>
      </c>
      <c r="D819" s="39">
        <v>45531</v>
      </c>
      <c r="E819" s="39">
        <v>45896</v>
      </c>
      <c r="F819" s="36" t="s">
        <v>1718</v>
      </c>
      <c r="G819" s="36" t="s">
        <v>61</v>
      </c>
      <c r="H819" s="38">
        <v>14960</v>
      </c>
      <c r="I819" s="40">
        <v>12466</v>
      </c>
      <c r="J819" s="40"/>
      <c r="K819" s="40"/>
      <c r="L819" s="40"/>
      <c r="M819" s="40"/>
      <c r="N819" s="36" t="s">
        <v>2484</v>
      </c>
      <c r="O819" s="37">
        <v>45531</v>
      </c>
      <c r="P819" s="44" t="s">
        <v>58</v>
      </c>
      <c r="Q819" s="38">
        <v>352000</v>
      </c>
      <c r="R819" s="33">
        <f t="shared" si="102"/>
        <v>1869.9</v>
      </c>
      <c r="S819" s="35">
        <f t="shared" si="101"/>
        <v>124.66</v>
      </c>
      <c r="T819" s="34">
        <v>500</v>
      </c>
    </row>
    <row r="820" spans="1:20" x14ac:dyDescent="0.25">
      <c r="A820" s="36" t="s">
        <v>947</v>
      </c>
      <c r="B820" s="36"/>
      <c r="C820" s="36" t="s">
        <v>36</v>
      </c>
      <c r="D820" s="39">
        <v>45897</v>
      </c>
      <c r="E820" s="39">
        <v>46262</v>
      </c>
      <c r="F820" s="36" t="s">
        <v>1718</v>
      </c>
      <c r="G820" s="36" t="s">
        <v>61</v>
      </c>
      <c r="H820" s="38">
        <v>14960</v>
      </c>
      <c r="I820" s="40">
        <v>12466</v>
      </c>
      <c r="J820" s="40"/>
      <c r="K820" s="40"/>
      <c r="L820" s="40"/>
      <c r="M820" s="40"/>
      <c r="N820" s="36" t="s">
        <v>2484</v>
      </c>
      <c r="O820" s="37">
        <v>45531</v>
      </c>
      <c r="P820" s="44" t="s">
        <v>58</v>
      </c>
      <c r="Q820" s="38">
        <v>352000</v>
      </c>
      <c r="R820" s="33">
        <f t="shared" si="102"/>
        <v>1869.9</v>
      </c>
      <c r="S820" s="35">
        <f t="shared" si="101"/>
        <v>124.66</v>
      </c>
      <c r="T820" s="34">
        <v>500</v>
      </c>
    </row>
    <row r="821" spans="1:20" x14ac:dyDescent="0.25">
      <c r="A821" s="36" t="s">
        <v>948</v>
      </c>
      <c r="B821" s="36"/>
      <c r="C821" s="36" t="s">
        <v>31</v>
      </c>
      <c r="D821" s="39">
        <v>45531</v>
      </c>
      <c r="E821" s="39">
        <v>45896</v>
      </c>
      <c r="F821" s="36" t="s">
        <v>1719</v>
      </c>
      <c r="G821" s="36" t="s">
        <v>62</v>
      </c>
      <c r="H821" s="38">
        <v>16235</v>
      </c>
      <c r="I821" s="40">
        <v>13565</v>
      </c>
      <c r="J821" s="40"/>
      <c r="K821" s="40"/>
      <c r="L821" s="40"/>
      <c r="M821" s="40"/>
      <c r="N821" s="36" t="s">
        <v>2485</v>
      </c>
      <c r="O821" s="37">
        <v>45531</v>
      </c>
      <c r="P821" s="44" t="s">
        <v>58</v>
      </c>
      <c r="Q821" s="38">
        <v>382000</v>
      </c>
      <c r="R821" s="33">
        <f t="shared" si="102"/>
        <v>2034.75</v>
      </c>
      <c r="S821" s="35">
        <f t="shared" si="101"/>
        <v>135.65</v>
      </c>
      <c r="T821" s="34">
        <v>500</v>
      </c>
    </row>
    <row r="822" spans="1:20" x14ac:dyDescent="0.25">
      <c r="A822" s="36" t="s">
        <v>949</v>
      </c>
      <c r="B822" s="36"/>
      <c r="C822" s="36" t="s">
        <v>31</v>
      </c>
      <c r="D822" s="39">
        <v>45897</v>
      </c>
      <c r="E822" s="39">
        <v>46262</v>
      </c>
      <c r="F822" s="36" t="s">
        <v>1719</v>
      </c>
      <c r="G822" s="36" t="s">
        <v>62</v>
      </c>
      <c r="H822" s="38">
        <v>16235</v>
      </c>
      <c r="I822" s="40">
        <v>13565</v>
      </c>
      <c r="J822" s="40"/>
      <c r="K822" s="40"/>
      <c r="L822" s="40"/>
      <c r="M822" s="40"/>
      <c r="N822" s="36" t="s">
        <v>2485</v>
      </c>
      <c r="O822" s="37">
        <v>45531</v>
      </c>
      <c r="P822" s="44" t="s">
        <v>58</v>
      </c>
      <c r="Q822" s="38">
        <v>382000</v>
      </c>
      <c r="R822" s="33">
        <f t="shared" si="102"/>
        <v>2034.75</v>
      </c>
      <c r="S822" s="35">
        <f t="shared" si="101"/>
        <v>135.65</v>
      </c>
      <c r="T822" s="34">
        <v>500</v>
      </c>
    </row>
    <row r="823" spans="1:20" x14ac:dyDescent="0.25">
      <c r="A823" s="36" t="s">
        <v>950</v>
      </c>
      <c r="B823" s="36"/>
      <c r="C823" s="36" t="s">
        <v>31</v>
      </c>
      <c r="D823" s="39">
        <v>45897</v>
      </c>
      <c r="E823" s="39">
        <v>46262</v>
      </c>
      <c r="F823" s="36" t="s">
        <v>1680</v>
      </c>
      <c r="G823" s="36" t="s">
        <v>62</v>
      </c>
      <c r="H823" s="38">
        <v>16235</v>
      </c>
      <c r="I823" s="40">
        <v>13565</v>
      </c>
      <c r="J823" s="40"/>
      <c r="K823" s="40"/>
      <c r="L823" s="40"/>
      <c r="M823" s="40"/>
      <c r="N823" s="36" t="s">
        <v>2486</v>
      </c>
      <c r="O823" s="37">
        <v>45531</v>
      </c>
      <c r="P823" s="44" t="s">
        <v>58</v>
      </c>
      <c r="Q823" s="38">
        <v>382000</v>
      </c>
      <c r="R823" s="33">
        <f t="shared" si="102"/>
        <v>2034.75</v>
      </c>
      <c r="S823" s="35">
        <f t="shared" si="101"/>
        <v>135.65</v>
      </c>
      <c r="T823" s="34">
        <v>500</v>
      </c>
    </row>
    <row r="824" spans="1:20" x14ac:dyDescent="0.25">
      <c r="A824" s="36" t="s">
        <v>951</v>
      </c>
      <c r="B824" s="36"/>
      <c r="C824" s="36" t="s">
        <v>37</v>
      </c>
      <c r="D824" s="39">
        <v>45531</v>
      </c>
      <c r="E824" s="39">
        <v>45896</v>
      </c>
      <c r="F824" s="36" t="s">
        <v>1720</v>
      </c>
      <c r="G824" s="36" t="s">
        <v>64</v>
      </c>
      <c r="H824" s="38">
        <v>12475</v>
      </c>
      <c r="I824" s="40">
        <v>10323</v>
      </c>
      <c r="J824" s="40"/>
      <c r="K824" s="40"/>
      <c r="L824" s="40"/>
      <c r="M824" s="40"/>
      <c r="N824" s="36" t="s">
        <v>2487</v>
      </c>
      <c r="O824" s="37">
        <v>45531</v>
      </c>
      <c r="P824" s="44" t="s">
        <v>58</v>
      </c>
      <c r="Q824" s="38">
        <v>499000</v>
      </c>
      <c r="R824" s="33">
        <f t="shared" si="102"/>
        <v>1548.45</v>
      </c>
      <c r="S824" s="35">
        <f t="shared" si="101"/>
        <v>103.23</v>
      </c>
      <c r="T824" s="34">
        <v>500</v>
      </c>
    </row>
    <row r="825" spans="1:20" x14ac:dyDescent="0.25">
      <c r="A825" s="36" t="s">
        <v>952</v>
      </c>
      <c r="B825" s="36"/>
      <c r="C825" s="36" t="s">
        <v>31</v>
      </c>
      <c r="D825" s="39">
        <v>45531</v>
      </c>
      <c r="E825" s="39">
        <v>45896</v>
      </c>
      <c r="F825" s="36" t="s">
        <v>1554</v>
      </c>
      <c r="G825" s="36" t="s">
        <v>61</v>
      </c>
      <c r="H825" s="38">
        <v>14960</v>
      </c>
      <c r="I825" s="40">
        <v>12466</v>
      </c>
      <c r="J825" s="40"/>
      <c r="K825" s="40"/>
      <c r="L825" s="40"/>
      <c r="M825" s="40"/>
      <c r="N825" s="36" t="s">
        <v>2488</v>
      </c>
      <c r="O825" s="37">
        <v>45531</v>
      </c>
      <c r="P825" s="44" t="s">
        <v>58</v>
      </c>
      <c r="Q825" s="38">
        <v>352000</v>
      </c>
      <c r="R825" s="33">
        <f t="shared" si="102"/>
        <v>1869.9</v>
      </c>
      <c r="S825" s="35">
        <f t="shared" si="101"/>
        <v>124.66</v>
      </c>
      <c r="T825" s="34">
        <v>500</v>
      </c>
    </row>
    <row r="826" spans="1:20" x14ac:dyDescent="0.25">
      <c r="A826" s="36" t="s">
        <v>953</v>
      </c>
      <c r="B826" s="36"/>
      <c r="C826" s="36" t="s">
        <v>31</v>
      </c>
      <c r="D826" s="39">
        <v>45897</v>
      </c>
      <c r="E826" s="39">
        <v>46262</v>
      </c>
      <c r="F826" s="36" t="s">
        <v>1554</v>
      </c>
      <c r="G826" s="36" t="s">
        <v>61</v>
      </c>
      <c r="H826" s="38">
        <v>14960</v>
      </c>
      <c r="I826" s="40">
        <v>12466</v>
      </c>
      <c r="J826" s="40"/>
      <c r="K826" s="40"/>
      <c r="L826" s="40"/>
      <c r="M826" s="40"/>
      <c r="N826" s="36" t="s">
        <v>2488</v>
      </c>
      <c r="O826" s="37">
        <v>45531</v>
      </c>
      <c r="P826" s="44" t="s">
        <v>58</v>
      </c>
      <c r="Q826" s="38">
        <v>352000</v>
      </c>
      <c r="R826" s="33">
        <f t="shared" si="102"/>
        <v>1869.9</v>
      </c>
      <c r="S826" s="35">
        <f t="shared" si="101"/>
        <v>124.66</v>
      </c>
      <c r="T826" s="34">
        <v>500</v>
      </c>
    </row>
    <row r="827" spans="1:20" x14ac:dyDescent="0.25">
      <c r="A827" s="36" t="s">
        <v>954</v>
      </c>
      <c r="B827" s="36"/>
      <c r="C827" s="36" t="s">
        <v>31</v>
      </c>
      <c r="D827" s="39">
        <v>45531</v>
      </c>
      <c r="E827" s="39">
        <v>45896</v>
      </c>
      <c r="F827" s="36" t="s">
        <v>1721</v>
      </c>
      <c r="G827" s="36" t="s">
        <v>1843</v>
      </c>
      <c r="H827" s="38">
        <v>14960</v>
      </c>
      <c r="I827" s="40">
        <v>12466</v>
      </c>
      <c r="J827" s="40"/>
      <c r="K827" s="40"/>
      <c r="L827" s="40"/>
      <c r="M827" s="40"/>
      <c r="N827" s="36" t="s">
        <v>2489</v>
      </c>
      <c r="O827" s="37">
        <v>45531</v>
      </c>
      <c r="P827" s="44" t="s">
        <v>58</v>
      </c>
      <c r="Q827" s="38">
        <v>352000</v>
      </c>
      <c r="R827" s="33">
        <f t="shared" si="102"/>
        <v>1869.9</v>
      </c>
      <c r="S827" s="35">
        <f t="shared" si="101"/>
        <v>124.66</v>
      </c>
      <c r="T827" s="34">
        <v>500</v>
      </c>
    </row>
    <row r="828" spans="1:20" x14ac:dyDescent="0.25">
      <c r="A828" s="36" t="s">
        <v>955</v>
      </c>
      <c r="B828" s="36"/>
      <c r="C828" s="36" t="s">
        <v>35</v>
      </c>
      <c r="D828" s="39">
        <v>45531</v>
      </c>
      <c r="E828" s="39">
        <v>45896</v>
      </c>
      <c r="F828" s="36" t="s">
        <v>1722</v>
      </c>
      <c r="G828" s="36" t="s">
        <v>61</v>
      </c>
      <c r="H828" s="38">
        <v>14960</v>
      </c>
      <c r="I828" s="40">
        <v>12466</v>
      </c>
      <c r="J828" s="40"/>
      <c r="K828" s="40"/>
      <c r="L828" s="40"/>
      <c r="M828" s="40"/>
      <c r="N828" s="36" t="s">
        <v>2490</v>
      </c>
      <c r="O828" s="37">
        <v>45531</v>
      </c>
      <c r="P828" s="44" t="s">
        <v>58</v>
      </c>
      <c r="Q828" s="38">
        <v>352000</v>
      </c>
      <c r="R828" s="33">
        <f t="shared" si="102"/>
        <v>1869.9</v>
      </c>
      <c r="S828" s="35">
        <f t="shared" si="101"/>
        <v>124.66</v>
      </c>
      <c r="T828" s="34">
        <v>500</v>
      </c>
    </row>
    <row r="829" spans="1:20" x14ac:dyDescent="0.25">
      <c r="A829" s="36" t="s">
        <v>956</v>
      </c>
      <c r="B829" s="36"/>
      <c r="C829" s="36" t="s">
        <v>30</v>
      </c>
      <c r="D829" s="39">
        <v>45531</v>
      </c>
      <c r="E829" s="39">
        <v>45896</v>
      </c>
      <c r="F829" s="36" t="s">
        <v>79</v>
      </c>
      <c r="G829" s="36" t="s">
        <v>61</v>
      </c>
      <c r="H829" s="38">
        <v>14960</v>
      </c>
      <c r="I829" s="40">
        <v>12466</v>
      </c>
      <c r="J829" s="40"/>
      <c r="K829" s="40"/>
      <c r="L829" s="40"/>
      <c r="M829" s="40"/>
      <c r="N829" s="36" t="s">
        <v>2491</v>
      </c>
      <c r="O829" s="37">
        <v>45531</v>
      </c>
      <c r="P829" s="44" t="s">
        <v>58</v>
      </c>
      <c r="Q829" s="38">
        <v>352000</v>
      </c>
      <c r="R829" s="33">
        <f t="shared" si="102"/>
        <v>1869.9</v>
      </c>
      <c r="S829" s="35">
        <f t="shared" si="101"/>
        <v>124.66</v>
      </c>
      <c r="T829" s="34">
        <v>500</v>
      </c>
    </row>
    <row r="830" spans="1:20" x14ac:dyDescent="0.25">
      <c r="A830" s="36" t="s">
        <v>957</v>
      </c>
      <c r="B830" s="36"/>
      <c r="C830" s="36" t="s">
        <v>30</v>
      </c>
      <c r="D830" s="39">
        <v>45897</v>
      </c>
      <c r="E830" s="39">
        <v>46262</v>
      </c>
      <c r="F830" s="36" t="s">
        <v>79</v>
      </c>
      <c r="G830" s="36" t="s">
        <v>61</v>
      </c>
      <c r="H830" s="38">
        <v>14960</v>
      </c>
      <c r="I830" s="40">
        <v>12466</v>
      </c>
      <c r="J830" s="40"/>
      <c r="K830" s="40"/>
      <c r="L830" s="40"/>
      <c r="M830" s="40"/>
      <c r="N830" s="36" t="s">
        <v>2491</v>
      </c>
      <c r="O830" s="37">
        <v>45531</v>
      </c>
      <c r="P830" s="44" t="s">
        <v>58</v>
      </c>
      <c r="Q830" s="38">
        <v>352000</v>
      </c>
      <c r="R830" s="33">
        <f t="shared" si="102"/>
        <v>1869.9</v>
      </c>
      <c r="S830" s="35">
        <f t="shared" si="101"/>
        <v>124.66</v>
      </c>
      <c r="T830" s="34">
        <v>500</v>
      </c>
    </row>
    <row r="831" spans="1:20" x14ac:dyDescent="0.25">
      <c r="A831" s="36" t="s">
        <v>958</v>
      </c>
      <c r="B831" s="36"/>
      <c r="C831" s="36" t="s">
        <v>30</v>
      </c>
      <c r="D831" s="39">
        <v>45531</v>
      </c>
      <c r="E831" s="39">
        <v>45896</v>
      </c>
      <c r="F831" s="36" t="s">
        <v>1723</v>
      </c>
      <c r="G831" s="36" t="s">
        <v>62</v>
      </c>
      <c r="H831" s="38">
        <v>16235</v>
      </c>
      <c r="I831" s="40">
        <v>13565</v>
      </c>
      <c r="J831" s="40"/>
      <c r="K831" s="40"/>
      <c r="L831" s="40"/>
      <c r="M831" s="40"/>
      <c r="N831" s="36" t="s">
        <v>2492</v>
      </c>
      <c r="O831" s="37">
        <v>45531</v>
      </c>
      <c r="P831" s="44" t="s">
        <v>58</v>
      </c>
      <c r="Q831" s="38">
        <v>382000</v>
      </c>
      <c r="R831" s="33">
        <f t="shared" si="102"/>
        <v>2034.75</v>
      </c>
      <c r="S831" s="35">
        <f t="shared" si="101"/>
        <v>135.65</v>
      </c>
      <c r="T831" s="34">
        <v>500</v>
      </c>
    </row>
    <row r="832" spans="1:20" x14ac:dyDescent="0.25">
      <c r="A832" s="36" t="s">
        <v>959</v>
      </c>
      <c r="B832" s="36"/>
      <c r="C832" s="36" t="s">
        <v>30</v>
      </c>
      <c r="D832" s="39">
        <v>45897</v>
      </c>
      <c r="E832" s="39">
        <v>46262</v>
      </c>
      <c r="F832" s="36" t="s">
        <v>1723</v>
      </c>
      <c r="G832" s="36" t="s">
        <v>62</v>
      </c>
      <c r="H832" s="38">
        <v>16235</v>
      </c>
      <c r="I832" s="40">
        <v>13565</v>
      </c>
      <c r="J832" s="40"/>
      <c r="K832" s="40"/>
      <c r="L832" s="40"/>
      <c r="M832" s="40"/>
      <c r="N832" s="36" t="s">
        <v>2492</v>
      </c>
      <c r="O832" s="37">
        <v>45531</v>
      </c>
      <c r="P832" s="44" t="s">
        <v>58</v>
      </c>
      <c r="Q832" s="38">
        <v>382000</v>
      </c>
      <c r="R832" s="33">
        <f t="shared" si="102"/>
        <v>2034.75</v>
      </c>
      <c r="S832" s="35">
        <f t="shared" si="101"/>
        <v>135.65</v>
      </c>
      <c r="T832" s="34">
        <v>500</v>
      </c>
    </row>
    <row r="833" spans="1:20" x14ac:dyDescent="0.25">
      <c r="A833" s="36" t="s">
        <v>960</v>
      </c>
      <c r="B833" s="36"/>
      <c r="C833" s="36" t="s">
        <v>30</v>
      </c>
      <c r="D833" s="39">
        <v>45531</v>
      </c>
      <c r="E833" s="39">
        <v>45896</v>
      </c>
      <c r="F833" s="36" t="s">
        <v>1724</v>
      </c>
      <c r="G833" s="36" t="s">
        <v>61</v>
      </c>
      <c r="H833" s="38">
        <v>14960</v>
      </c>
      <c r="I833" s="40">
        <v>12466</v>
      </c>
      <c r="J833" s="40"/>
      <c r="K833" s="40"/>
      <c r="L833" s="40"/>
      <c r="M833" s="40"/>
      <c r="N833" s="36" t="s">
        <v>2493</v>
      </c>
      <c r="O833" s="37">
        <v>45531</v>
      </c>
      <c r="P833" s="44" t="s">
        <v>58</v>
      </c>
      <c r="Q833" s="38">
        <v>352000</v>
      </c>
      <c r="R833" s="33">
        <f t="shared" si="102"/>
        <v>1869.9</v>
      </c>
      <c r="S833" s="35">
        <f t="shared" si="101"/>
        <v>124.66</v>
      </c>
      <c r="T833" s="34">
        <v>500</v>
      </c>
    </row>
    <row r="834" spans="1:20" x14ac:dyDescent="0.25">
      <c r="A834" s="36" t="s">
        <v>961</v>
      </c>
      <c r="B834" s="36"/>
      <c r="C834" s="36" t="s">
        <v>35</v>
      </c>
      <c r="D834" s="39">
        <v>45531</v>
      </c>
      <c r="E834" s="39">
        <v>45896</v>
      </c>
      <c r="F834" s="36" t="s">
        <v>1725</v>
      </c>
      <c r="G834" s="36" t="s">
        <v>62</v>
      </c>
      <c r="H834" s="38">
        <v>16235</v>
      </c>
      <c r="I834" s="40">
        <v>13565</v>
      </c>
      <c r="J834" s="40"/>
      <c r="K834" s="40"/>
      <c r="L834" s="40"/>
      <c r="M834" s="40"/>
      <c r="N834" s="36" t="s">
        <v>2494</v>
      </c>
      <c r="O834" s="37">
        <v>45531</v>
      </c>
      <c r="P834" s="44" t="s">
        <v>58</v>
      </c>
      <c r="Q834" s="38">
        <v>382000</v>
      </c>
      <c r="R834" s="33">
        <f t="shared" si="102"/>
        <v>2034.75</v>
      </c>
      <c r="S834" s="35">
        <f t="shared" si="101"/>
        <v>135.65</v>
      </c>
      <c r="T834" s="34">
        <v>500</v>
      </c>
    </row>
    <row r="835" spans="1:20" x14ac:dyDescent="0.25">
      <c r="A835" s="36" t="s">
        <v>962</v>
      </c>
      <c r="B835" s="36"/>
      <c r="C835" s="36" t="s">
        <v>35</v>
      </c>
      <c r="D835" s="39">
        <v>45897</v>
      </c>
      <c r="E835" s="39">
        <v>46262</v>
      </c>
      <c r="F835" s="36" t="s">
        <v>1725</v>
      </c>
      <c r="G835" s="36" t="s">
        <v>62</v>
      </c>
      <c r="H835" s="38">
        <v>16235</v>
      </c>
      <c r="I835" s="40">
        <v>13565</v>
      </c>
      <c r="J835" s="40"/>
      <c r="K835" s="40"/>
      <c r="L835" s="40"/>
      <c r="M835" s="40"/>
      <c r="N835" s="36" t="s">
        <v>2494</v>
      </c>
      <c r="O835" s="37">
        <v>45531</v>
      </c>
      <c r="P835" s="44" t="s">
        <v>58</v>
      </c>
      <c r="Q835" s="38">
        <v>382000</v>
      </c>
      <c r="R835" s="33">
        <f t="shared" si="102"/>
        <v>2034.75</v>
      </c>
      <c r="S835" s="35">
        <f t="shared" ref="S835:S898" si="103">I835*1/100</f>
        <v>135.65</v>
      </c>
      <c r="T835" s="34">
        <v>500</v>
      </c>
    </row>
    <row r="836" spans="1:20" x14ac:dyDescent="0.25">
      <c r="A836" s="36" t="s">
        <v>963</v>
      </c>
      <c r="B836" s="36"/>
      <c r="C836" s="36" t="s">
        <v>38</v>
      </c>
      <c r="D836" s="39">
        <v>45512</v>
      </c>
      <c r="E836" s="39">
        <v>45876</v>
      </c>
      <c r="F836" s="36" t="s">
        <v>1726</v>
      </c>
      <c r="G836" s="36" t="s">
        <v>128</v>
      </c>
      <c r="H836" s="38">
        <v>11725</v>
      </c>
      <c r="I836" s="40">
        <v>9676</v>
      </c>
      <c r="J836" s="40"/>
      <c r="K836" s="40"/>
      <c r="L836" s="40"/>
      <c r="M836" s="40"/>
      <c r="N836" s="36" t="s">
        <v>2495</v>
      </c>
      <c r="O836" s="37">
        <v>45531</v>
      </c>
      <c r="P836" s="44" t="s">
        <v>58</v>
      </c>
      <c r="Q836" s="38">
        <v>335000</v>
      </c>
      <c r="R836" s="33">
        <f t="shared" ref="R836:R899" si="104">I836*15/100</f>
        <v>1451.4</v>
      </c>
      <c r="S836" s="35">
        <f t="shared" si="103"/>
        <v>96.76</v>
      </c>
      <c r="T836" s="34">
        <v>500</v>
      </c>
    </row>
    <row r="837" spans="1:20" x14ac:dyDescent="0.25">
      <c r="A837" s="36" t="s">
        <v>964</v>
      </c>
      <c r="B837" s="36"/>
      <c r="C837" s="36" t="s">
        <v>38</v>
      </c>
      <c r="D837" s="39">
        <v>45522</v>
      </c>
      <c r="E837" s="39">
        <v>45886</v>
      </c>
      <c r="F837" s="36" t="s">
        <v>1727</v>
      </c>
      <c r="G837" s="36" t="s">
        <v>1843</v>
      </c>
      <c r="H837" s="38">
        <v>11725</v>
      </c>
      <c r="I837" s="40">
        <v>9676</v>
      </c>
      <c r="J837" s="40"/>
      <c r="K837" s="40"/>
      <c r="L837" s="40"/>
      <c r="M837" s="40"/>
      <c r="N837" s="36" t="s">
        <v>2496</v>
      </c>
      <c r="O837" s="37">
        <v>45531</v>
      </c>
      <c r="P837" s="44" t="s">
        <v>58</v>
      </c>
      <c r="Q837" s="38">
        <v>335000</v>
      </c>
      <c r="R837" s="33">
        <f t="shared" si="104"/>
        <v>1451.4</v>
      </c>
      <c r="S837" s="35">
        <f t="shared" si="103"/>
        <v>96.76</v>
      </c>
      <c r="T837" s="34">
        <v>500</v>
      </c>
    </row>
    <row r="838" spans="1:20" x14ac:dyDescent="0.25">
      <c r="A838" s="36" t="s">
        <v>965</v>
      </c>
      <c r="B838" s="36"/>
      <c r="C838" s="36" t="s">
        <v>38</v>
      </c>
      <c r="D838" s="39">
        <v>45497</v>
      </c>
      <c r="E838" s="39">
        <v>45861</v>
      </c>
      <c r="F838" s="36" t="s">
        <v>1728</v>
      </c>
      <c r="G838" s="36" t="s">
        <v>62</v>
      </c>
      <c r="H838" s="38">
        <v>12740</v>
      </c>
      <c r="I838" s="40">
        <v>10551</v>
      </c>
      <c r="J838" s="40"/>
      <c r="K838" s="40"/>
      <c r="L838" s="40"/>
      <c r="M838" s="40"/>
      <c r="N838" s="36" t="s">
        <v>2497</v>
      </c>
      <c r="O838" s="37">
        <v>45531</v>
      </c>
      <c r="P838" s="44" t="s">
        <v>58</v>
      </c>
      <c r="Q838" s="38">
        <v>364000</v>
      </c>
      <c r="R838" s="33">
        <f t="shared" si="104"/>
        <v>1582.65</v>
      </c>
      <c r="S838" s="35">
        <f t="shared" si="103"/>
        <v>105.51</v>
      </c>
      <c r="T838" s="34">
        <v>500</v>
      </c>
    </row>
    <row r="839" spans="1:20" x14ac:dyDescent="0.25">
      <c r="A839" s="36" t="s">
        <v>966</v>
      </c>
      <c r="B839" s="36"/>
      <c r="C839" s="36" t="s">
        <v>50</v>
      </c>
      <c r="D839" s="39">
        <v>45531</v>
      </c>
      <c r="E839" s="39">
        <v>45896</v>
      </c>
      <c r="F839" s="36" t="s">
        <v>1729</v>
      </c>
      <c r="G839" s="36" t="s">
        <v>62</v>
      </c>
      <c r="H839" s="38">
        <v>9550</v>
      </c>
      <c r="I839" s="40">
        <v>7802</v>
      </c>
      <c r="J839" s="40"/>
      <c r="K839" s="40"/>
      <c r="L839" s="40"/>
      <c r="M839" s="40"/>
      <c r="N839" s="36" t="s">
        <v>2498</v>
      </c>
      <c r="O839" s="37">
        <v>45531</v>
      </c>
      <c r="P839" s="44" t="s">
        <v>58</v>
      </c>
      <c r="Q839" s="38">
        <v>382000</v>
      </c>
      <c r="R839" s="33">
        <f t="shared" si="104"/>
        <v>1170.3</v>
      </c>
      <c r="S839" s="35">
        <f t="shared" si="103"/>
        <v>78.02</v>
      </c>
      <c r="T839" s="34">
        <v>500</v>
      </c>
    </row>
    <row r="840" spans="1:20" x14ac:dyDescent="0.25">
      <c r="A840" s="36" t="s">
        <v>967</v>
      </c>
      <c r="B840" s="36"/>
      <c r="C840" s="36" t="s">
        <v>38</v>
      </c>
      <c r="D840" s="39">
        <v>45522</v>
      </c>
      <c r="E840" s="39">
        <v>45886</v>
      </c>
      <c r="F840" s="36" t="s">
        <v>103</v>
      </c>
      <c r="G840" s="36" t="s">
        <v>62</v>
      </c>
      <c r="H840" s="38">
        <v>12740</v>
      </c>
      <c r="I840" s="40">
        <v>10551</v>
      </c>
      <c r="J840" s="40"/>
      <c r="K840" s="40"/>
      <c r="L840" s="40"/>
      <c r="M840" s="40"/>
      <c r="N840" s="36" t="s">
        <v>2499</v>
      </c>
      <c r="O840" s="37">
        <v>45531</v>
      </c>
      <c r="P840" s="44" t="s">
        <v>58</v>
      </c>
      <c r="Q840" s="38">
        <v>364000</v>
      </c>
      <c r="R840" s="33">
        <f t="shared" si="104"/>
        <v>1582.65</v>
      </c>
      <c r="S840" s="35">
        <f t="shared" si="103"/>
        <v>105.51</v>
      </c>
      <c r="T840" s="34">
        <v>500</v>
      </c>
    </row>
    <row r="841" spans="1:20" x14ac:dyDescent="0.25">
      <c r="A841" s="36" t="s">
        <v>968</v>
      </c>
      <c r="B841" s="36"/>
      <c r="C841" s="36" t="s">
        <v>38</v>
      </c>
      <c r="D841" s="39">
        <v>45497</v>
      </c>
      <c r="E841" s="39">
        <v>45861</v>
      </c>
      <c r="F841" s="36" t="s">
        <v>1730</v>
      </c>
      <c r="G841" s="36" t="s">
        <v>61</v>
      </c>
      <c r="H841" s="38">
        <v>11725</v>
      </c>
      <c r="I841" s="40">
        <v>9676</v>
      </c>
      <c r="J841" s="40"/>
      <c r="K841" s="40"/>
      <c r="L841" s="40"/>
      <c r="M841" s="40"/>
      <c r="N841" s="36" t="s">
        <v>2500</v>
      </c>
      <c r="O841" s="37">
        <v>45531</v>
      </c>
      <c r="P841" s="44" t="s">
        <v>58</v>
      </c>
      <c r="Q841" s="38">
        <v>335000</v>
      </c>
      <c r="R841" s="33">
        <f t="shared" si="104"/>
        <v>1451.4</v>
      </c>
      <c r="S841" s="35">
        <f t="shared" si="103"/>
        <v>96.76</v>
      </c>
      <c r="T841" s="34">
        <v>500</v>
      </c>
    </row>
    <row r="842" spans="1:20" x14ac:dyDescent="0.25">
      <c r="A842" s="36" t="s">
        <v>969</v>
      </c>
      <c r="B842" s="36"/>
      <c r="C842" s="36" t="s">
        <v>73</v>
      </c>
      <c r="D842" s="39">
        <v>45531</v>
      </c>
      <c r="E842" s="39">
        <v>45896</v>
      </c>
      <c r="F842" s="36" t="s">
        <v>1731</v>
      </c>
      <c r="G842" s="36" t="s">
        <v>61</v>
      </c>
      <c r="H842" s="38">
        <v>8800</v>
      </c>
      <c r="I842" s="40">
        <v>7155</v>
      </c>
      <c r="J842" s="40"/>
      <c r="K842" s="40"/>
      <c r="L842" s="40"/>
      <c r="M842" s="40"/>
      <c r="N842" s="36" t="s">
        <v>2501</v>
      </c>
      <c r="O842" s="37">
        <v>45531</v>
      </c>
      <c r="P842" s="44" t="s">
        <v>58</v>
      </c>
      <c r="Q842" s="38">
        <v>352000</v>
      </c>
      <c r="R842" s="33">
        <f t="shared" si="104"/>
        <v>1073.25</v>
      </c>
      <c r="S842" s="35">
        <f t="shared" si="103"/>
        <v>71.55</v>
      </c>
      <c r="T842" s="34">
        <v>500</v>
      </c>
    </row>
    <row r="843" spans="1:20" x14ac:dyDescent="0.25">
      <c r="A843" s="36" t="s">
        <v>970</v>
      </c>
      <c r="B843" s="36"/>
      <c r="C843" s="36" t="s">
        <v>81</v>
      </c>
      <c r="D843" s="39">
        <v>45531</v>
      </c>
      <c r="E843" s="39">
        <v>45896</v>
      </c>
      <c r="F843" s="36" t="s">
        <v>1732</v>
      </c>
      <c r="G843" s="36" t="s">
        <v>64</v>
      </c>
      <c r="H843" s="38">
        <v>12475</v>
      </c>
      <c r="I843" s="40">
        <v>10323</v>
      </c>
      <c r="J843" s="40"/>
      <c r="K843" s="40"/>
      <c r="L843" s="40"/>
      <c r="M843" s="40"/>
      <c r="N843" s="36" t="s">
        <v>2502</v>
      </c>
      <c r="O843" s="37">
        <v>45531</v>
      </c>
      <c r="P843" s="44" t="s">
        <v>58</v>
      </c>
      <c r="Q843" s="38">
        <v>499000</v>
      </c>
      <c r="R843" s="33">
        <f t="shared" si="104"/>
        <v>1548.45</v>
      </c>
      <c r="S843" s="35">
        <f t="shared" si="103"/>
        <v>103.23</v>
      </c>
      <c r="T843" s="34">
        <v>500</v>
      </c>
    </row>
    <row r="844" spans="1:20" x14ac:dyDescent="0.25">
      <c r="A844" s="36" t="s">
        <v>971</v>
      </c>
      <c r="B844" s="36"/>
      <c r="C844" s="36" t="s">
        <v>81</v>
      </c>
      <c r="D844" s="39">
        <v>45531</v>
      </c>
      <c r="E844" s="39">
        <v>45896</v>
      </c>
      <c r="F844" s="36" t="s">
        <v>1733</v>
      </c>
      <c r="G844" s="36" t="s">
        <v>62</v>
      </c>
      <c r="H844" s="38">
        <v>9550</v>
      </c>
      <c r="I844" s="40">
        <v>7802</v>
      </c>
      <c r="J844" s="40"/>
      <c r="K844" s="40"/>
      <c r="L844" s="40"/>
      <c r="M844" s="40"/>
      <c r="N844" s="36" t="s">
        <v>2503</v>
      </c>
      <c r="O844" s="37">
        <v>45531</v>
      </c>
      <c r="P844" s="44" t="s">
        <v>58</v>
      </c>
      <c r="Q844" s="38">
        <v>382000</v>
      </c>
      <c r="R844" s="33">
        <f t="shared" si="104"/>
        <v>1170.3</v>
      </c>
      <c r="S844" s="35">
        <f t="shared" si="103"/>
        <v>78.02</v>
      </c>
      <c r="T844" s="34">
        <v>500</v>
      </c>
    </row>
    <row r="845" spans="1:20" x14ac:dyDescent="0.25">
      <c r="A845" s="36" t="s">
        <v>972</v>
      </c>
      <c r="B845" s="36"/>
      <c r="C845" s="36" t="s">
        <v>81</v>
      </c>
      <c r="D845" s="39">
        <v>45531</v>
      </c>
      <c r="E845" s="39">
        <v>45896</v>
      </c>
      <c r="F845" s="36" t="s">
        <v>1734</v>
      </c>
      <c r="G845" s="36" t="s">
        <v>61</v>
      </c>
      <c r="H845" s="38">
        <v>8800</v>
      </c>
      <c r="I845" s="40">
        <v>7155</v>
      </c>
      <c r="J845" s="40"/>
      <c r="K845" s="40"/>
      <c r="L845" s="40"/>
      <c r="M845" s="40"/>
      <c r="N845" s="36" t="s">
        <v>2504</v>
      </c>
      <c r="O845" s="37">
        <v>45531</v>
      </c>
      <c r="P845" s="44" t="s">
        <v>58</v>
      </c>
      <c r="Q845" s="38">
        <v>352000</v>
      </c>
      <c r="R845" s="33">
        <f t="shared" si="104"/>
        <v>1073.25</v>
      </c>
      <c r="S845" s="35">
        <f t="shared" si="103"/>
        <v>71.55</v>
      </c>
      <c r="T845" s="34">
        <v>500</v>
      </c>
    </row>
    <row r="846" spans="1:20" x14ac:dyDescent="0.25">
      <c r="A846" s="36" t="s">
        <v>973</v>
      </c>
      <c r="B846" s="36"/>
      <c r="C846" s="36" t="s">
        <v>52</v>
      </c>
      <c r="D846" s="39">
        <v>45531</v>
      </c>
      <c r="E846" s="39">
        <v>45896</v>
      </c>
      <c r="F846" s="36" t="s">
        <v>1735</v>
      </c>
      <c r="G846" s="36" t="s">
        <v>61</v>
      </c>
      <c r="H846" s="38">
        <v>14960</v>
      </c>
      <c r="I846" s="40">
        <v>12466</v>
      </c>
      <c r="J846" s="40"/>
      <c r="K846" s="40"/>
      <c r="L846" s="40"/>
      <c r="M846" s="40"/>
      <c r="N846" s="36" t="s">
        <v>2505</v>
      </c>
      <c r="O846" s="37">
        <v>45531</v>
      </c>
      <c r="P846" s="44" t="s">
        <v>58</v>
      </c>
      <c r="Q846" s="38">
        <v>352000</v>
      </c>
      <c r="R846" s="33">
        <f t="shared" si="104"/>
        <v>1869.9</v>
      </c>
      <c r="S846" s="35">
        <f t="shared" si="103"/>
        <v>124.66</v>
      </c>
      <c r="T846" s="34">
        <v>500</v>
      </c>
    </row>
    <row r="847" spans="1:20" x14ac:dyDescent="0.25">
      <c r="A847" s="36" t="s">
        <v>974</v>
      </c>
      <c r="B847" s="36"/>
      <c r="C847" s="36" t="s">
        <v>49</v>
      </c>
      <c r="D847" s="39">
        <v>45531</v>
      </c>
      <c r="E847" s="39">
        <v>45896</v>
      </c>
      <c r="F847" s="36" t="s">
        <v>74</v>
      </c>
      <c r="G847" s="36" t="s">
        <v>61</v>
      </c>
      <c r="H847" s="38">
        <v>8800</v>
      </c>
      <c r="I847" s="40">
        <v>7155</v>
      </c>
      <c r="J847" s="40"/>
      <c r="K847" s="40"/>
      <c r="L847" s="40"/>
      <c r="M847" s="40"/>
      <c r="N847" s="36" t="s">
        <v>2506</v>
      </c>
      <c r="O847" s="37">
        <v>45531</v>
      </c>
      <c r="P847" s="44" t="s">
        <v>58</v>
      </c>
      <c r="Q847" s="38">
        <v>352000</v>
      </c>
      <c r="R847" s="33">
        <f t="shared" si="104"/>
        <v>1073.25</v>
      </c>
      <c r="S847" s="35">
        <f t="shared" si="103"/>
        <v>71.55</v>
      </c>
      <c r="T847" s="34">
        <v>500</v>
      </c>
    </row>
    <row r="848" spans="1:20" x14ac:dyDescent="0.25">
      <c r="A848" s="36" t="s">
        <v>975</v>
      </c>
      <c r="B848" s="36"/>
      <c r="C848" s="36" t="s">
        <v>35</v>
      </c>
      <c r="D848" s="39">
        <v>45531</v>
      </c>
      <c r="E848" s="39">
        <v>45896</v>
      </c>
      <c r="F848" s="36" t="s">
        <v>1736</v>
      </c>
      <c r="G848" s="36" t="s">
        <v>61</v>
      </c>
      <c r="H848" s="38">
        <v>14960</v>
      </c>
      <c r="I848" s="40">
        <v>12466</v>
      </c>
      <c r="J848" s="40"/>
      <c r="K848" s="40"/>
      <c r="L848" s="40"/>
      <c r="M848" s="40"/>
      <c r="N848" s="36" t="s">
        <v>2507</v>
      </c>
      <c r="O848" s="37">
        <v>45531</v>
      </c>
      <c r="P848" s="44" t="s">
        <v>58</v>
      </c>
      <c r="Q848" s="38">
        <v>352000</v>
      </c>
      <c r="R848" s="33">
        <f t="shared" si="104"/>
        <v>1869.9</v>
      </c>
      <c r="S848" s="35">
        <f t="shared" si="103"/>
        <v>124.66</v>
      </c>
      <c r="T848" s="34">
        <v>500</v>
      </c>
    </row>
    <row r="849" spans="1:20" x14ac:dyDescent="0.25">
      <c r="A849" s="36" t="s">
        <v>976</v>
      </c>
      <c r="B849" s="36"/>
      <c r="C849" s="36" t="s">
        <v>35</v>
      </c>
      <c r="D849" s="39">
        <v>45897</v>
      </c>
      <c r="E849" s="39">
        <v>46262</v>
      </c>
      <c r="F849" s="36" t="s">
        <v>1736</v>
      </c>
      <c r="G849" s="36" t="s">
        <v>61</v>
      </c>
      <c r="H849" s="38">
        <v>14960</v>
      </c>
      <c r="I849" s="40">
        <v>12466</v>
      </c>
      <c r="J849" s="40"/>
      <c r="K849" s="40"/>
      <c r="L849" s="40"/>
      <c r="M849" s="40"/>
      <c r="N849" s="36" t="s">
        <v>2507</v>
      </c>
      <c r="O849" s="37">
        <v>45531</v>
      </c>
      <c r="P849" s="44" t="s">
        <v>58</v>
      </c>
      <c r="Q849" s="38">
        <v>352000</v>
      </c>
      <c r="R849" s="33">
        <f t="shared" si="104"/>
        <v>1869.9</v>
      </c>
      <c r="S849" s="35">
        <f t="shared" si="103"/>
        <v>124.66</v>
      </c>
      <c r="T849" s="34">
        <v>500</v>
      </c>
    </row>
    <row r="850" spans="1:20" x14ac:dyDescent="0.25">
      <c r="A850" s="36" t="s">
        <v>977</v>
      </c>
      <c r="B850" s="36"/>
      <c r="C850" s="36" t="s">
        <v>80</v>
      </c>
      <c r="D850" s="39">
        <v>45531</v>
      </c>
      <c r="E850" s="39">
        <v>45896</v>
      </c>
      <c r="F850" s="36" t="s">
        <v>116</v>
      </c>
      <c r="G850" s="36" t="s">
        <v>61</v>
      </c>
      <c r="H850" s="38">
        <v>8800</v>
      </c>
      <c r="I850" s="40">
        <v>7155</v>
      </c>
      <c r="J850" s="40"/>
      <c r="K850" s="40"/>
      <c r="L850" s="40"/>
      <c r="M850" s="40"/>
      <c r="N850" s="36" t="s">
        <v>2508</v>
      </c>
      <c r="O850" s="37">
        <v>45531</v>
      </c>
      <c r="P850" s="44" t="s">
        <v>58</v>
      </c>
      <c r="Q850" s="38">
        <v>352000</v>
      </c>
      <c r="R850" s="33">
        <f t="shared" si="104"/>
        <v>1073.25</v>
      </c>
      <c r="S850" s="35">
        <f t="shared" si="103"/>
        <v>71.55</v>
      </c>
      <c r="T850" s="34">
        <v>500</v>
      </c>
    </row>
    <row r="851" spans="1:20" x14ac:dyDescent="0.25">
      <c r="A851" s="36" t="s">
        <v>978</v>
      </c>
      <c r="B851" s="36"/>
      <c r="C851" s="36" t="s">
        <v>67</v>
      </c>
      <c r="D851" s="39">
        <v>45531</v>
      </c>
      <c r="E851" s="39">
        <v>45896</v>
      </c>
      <c r="F851" s="36" t="s">
        <v>1737</v>
      </c>
      <c r="G851" s="36" t="s">
        <v>63</v>
      </c>
      <c r="H851" s="38">
        <v>13675</v>
      </c>
      <c r="I851" s="40">
        <v>11358</v>
      </c>
      <c r="J851" s="40"/>
      <c r="K851" s="40"/>
      <c r="L851" s="40"/>
      <c r="M851" s="40"/>
      <c r="N851" s="36" t="s">
        <v>2509</v>
      </c>
      <c r="O851" s="37">
        <v>45531</v>
      </c>
      <c r="P851" s="44" t="s">
        <v>58</v>
      </c>
      <c r="Q851" s="38">
        <v>547000</v>
      </c>
      <c r="R851" s="33">
        <f t="shared" si="104"/>
        <v>1703.7</v>
      </c>
      <c r="S851" s="35">
        <f t="shared" si="103"/>
        <v>113.58</v>
      </c>
      <c r="T851" s="34">
        <v>500</v>
      </c>
    </row>
    <row r="852" spans="1:20" x14ac:dyDescent="0.25">
      <c r="A852" s="36" t="s">
        <v>979</v>
      </c>
      <c r="B852" s="36"/>
      <c r="C852" s="36" t="s">
        <v>67</v>
      </c>
      <c r="D852" s="39">
        <v>45531</v>
      </c>
      <c r="E852" s="39">
        <v>45896</v>
      </c>
      <c r="F852" s="36" t="s">
        <v>1738</v>
      </c>
      <c r="G852" s="36" t="s">
        <v>61</v>
      </c>
      <c r="H852" s="38">
        <v>8800</v>
      </c>
      <c r="I852" s="40">
        <v>7155</v>
      </c>
      <c r="J852" s="40"/>
      <c r="K852" s="40"/>
      <c r="L852" s="40"/>
      <c r="M852" s="40"/>
      <c r="N852" s="36" t="s">
        <v>2510</v>
      </c>
      <c r="O852" s="37">
        <v>45531</v>
      </c>
      <c r="P852" s="44" t="s">
        <v>58</v>
      </c>
      <c r="Q852" s="38">
        <v>352000</v>
      </c>
      <c r="R852" s="33">
        <f t="shared" si="104"/>
        <v>1073.25</v>
      </c>
      <c r="S852" s="35">
        <f t="shared" si="103"/>
        <v>71.55</v>
      </c>
      <c r="T852" s="34">
        <v>500</v>
      </c>
    </row>
    <row r="853" spans="1:20" x14ac:dyDescent="0.25">
      <c r="A853" s="36" t="s">
        <v>980</v>
      </c>
      <c r="B853" s="36"/>
      <c r="C853" s="36" t="s">
        <v>67</v>
      </c>
      <c r="D853" s="39">
        <v>45531</v>
      </c>
      <c r="E853" s="39">
        <v>45896</v>
      </c>
      <c r="F853" s="36" t="s">
        <v>1739</v>
      </c>
      <c r="G853" s="36" t="s">
        <v>61</v>
      </c>
      <c r="H853" s="38">
        <v>8800</v>
      </c>
      <c r="I853" s="40">
        <v>7155</v>
      </c>
      <c r="J853" s="40"/>
      <c r="K853" s="40"/>
      <c r="L853" s="40"/>
      <c r="M853" s="40"/>
      <c r="N853" s="36" t="s">
        <v>2511</v>
      </c>
      <c r="O853" s="37">
        <v>45531</v>
      </c>
      <c r="P853" s="44" t="s">
        <v>58</v>
      </c>
      <c r="Q853" s="38">
        <v>352000</v>
      </c>
      <c r="R853" s="33">
        <f t="shared" si="104"/>
        <v>1073.25</v>
      </c>
      <c r="S853" s="35">
        <f t="shared" si="103"/>
        <v>71.55</v>
      </c>
      <c r="T853" s="34">
        <v>500</v>
      </c>
    </row>
    <row r="854" spans="1:20" x14ac:dyDescent="0.25">
      <c r="A854" s="36" t="s">
        <v>981</v>
      </c>
      <c r="B854" s="36"/>
      <c r="C854" s="36" t="s">
        <v>39</v>
      </c>
      <c r="D854" s="39">
        <v>45531</v>
      </c>
      <c r="E854" s="39">
        <v>45896</v>
      </c>
      <c r="F854" s="36" t="s">
        <v>1740</v>
      </c>
      <c r="G854" s="36" t="s">
        <v>63</v>
      </c>
      <c r="H854" s="38">
        <v>23248</v>
      </c>
      <c r="I854" s="40">
        <v>19610</v>
      </c>
      <c r="J854" s="40"/>
      <c r="K854" s="40"/>
      <c r="L854" s="40"/>
      <c r="M854" s="40"/>
      <c r="N854" s="36" t="s">
        <v>2512</v>
      </c>
      <c r="O854" s="37">
        <v>45531</v>
      </c>
      <c r="P854" s="44" t="s">
        <v>58</v>
      </c>
      <c r="Q854" s="38">
        <v>547000</v>
      </c>
      <c r="R854" s="33">
        <f t="shared" si="104"/>
        <v>2941.5</v>
      </c>
      <c r="S854" s="35">
        <f t="shared" si="103"/>
        <v>196.1</v>
      </c>
      <c r="T854" s="34">
        <v>500</v>
      </c>
    </row>
    <row r="855" spans="1:20" x14ac:dyDescent="0.25">
      <c r="A855" s="36" t="s">
        <v>982</v>
      </c>
      <c r="B855" s="36"/>
      <c r="C855" s="36" t="s">
        <v>39</v>
      </c>
      <c r="D855" s="39">
        <v>45531</v>
      </c>
      <c r="E855" s="39">
        <v>45896</v>
      </c>
      <c r="F855" s="36" t="s">
        <v>1741</v>
      </c>
      <c r="G855" s="36" t="s">
        <v>61</v>
      </c>
      <c r="H855" s="38">
        <v>14960</v>
      </c>
      <c r="I855" s="40">
        <v>12466</v>
      </c>
      <c r="J855" s="40"/>
      <c r="K855" s="40"/>
      <c r="L855" s="40"/>
      <c r="M855" s="40"/>
      <c r="N855" s="36" t="s">
        <v>2513</v>
      </c>
      <c r="O855" s="37">
        <v>45531</v>
      </c>
      <c r="P855" s="44" t="s">
        <v>58</v>
      </c>
      <c r="Q855" s="38">
        <v>352000</v>
      </c>
      <c r="R855" s="33">
        <f t="shared" si="104"/>
        <v>1869.9</v>
      </c>
      <c r="S855" s="35">
        <f t="shared" si="103"/>
        <v>124.66</v>
      </c>
      <c r="T855" s="34">
        <v>500</v>
      </c>
    </row>
    <row r="856" spans="1:20" x14ac:dyDescent="0.25">
      <c r="A856" s="36" t="s">
        <v>983</v>
      </c>
      <c r="B856" s="36"/>
      <c r="C856" s="36" t="s">
        <v>39</v>
      </c>
      <c r="D856" s="39">
        <v>45897</v>
      </c>
      <c r="E856" s="39">
        <v>46262</v>
      </c>
      <c r="F856" s="36" t="s">
        <v>1741</v>
      </c>
      <c r="G856" s="36" t="s">
        <v>61</v>
      </c>
      <c r="H856" s="38">
        <v>14960</v>
      </c>
      <c r="I856" s="40">
        <v>12466</v>
      </c>
      <c r="J856" s="40"/>
      <c r="K856" s="40"/>
      <c r="L856" s="40"/>
      <c r="M856" s="40"/>
      <c r="N856" s="36" t="s">
        <v>2513</v>
      </c>
      <c r="O856" s="37">
        <v>45531</v>
      </c>
      <c r="P856" s="44" t="s">
        <v>58</v>
      </c>
      <c r="Q856" s="38">
        <v>352000</v>
      </c>
      <c r="R856" s="33">
        <f t="shared" si="104"/>
        <v>1869.9</v>
      </c>
      <c r="S856" s="35">
        <f t="shared" si="103"/>
        <v>124.66</v>
      </c>
      <c r="T856" s="34">
        <v>500</v>
      </c>
    </row>
    <row r="857" spans="1:20" x14ac:dyDescent="0.25">
      <c r="A857" s="36" t="s">
        <v>984</v>
      </c>
      <c r="B857" s="36"/>
      <c r="C857" s="36" t="s">
        <v>39</v>
      </c>
      <c r="D857" s="39">
        <v>45531</v>
      </c>
      <c r="E857" s="39">
        <v>45896</v>
      </c>
      <c r="F857" s="36" t="s">
        <v>1742</v>
      </c>
      <c r="G857" s="36" t="s">
        <v>61</v>
      </c>
      <c r="H857" s="38">
        <v>14960</v>
      </c>
      <c r="I857" s="40">
        <v>12466</v>
      </c>
      <c r="J857" s="40"/>
      <c r="K857" s="40"/>
      <c r="L857" s="40"/>
      <c r="M857" s="40"/>
      <c r="N857" s="36" t="s">
        <v>2514</v>
      </c>
      <c r="O857" s="37">
        <v>45531</v>
      </c>
      <c r="P857" s="44" t="s">
        <v>58</v>
      </c>
      <c r="Q857" s="38">
        <v>352000</v>
      </c>
      <c r="R857" s="33">
        <f t="shared" si="104"/>
        <v>1869.9</v>
      </c>
      <c r="S857" s="35">
        <f t="shared" si="103"/>
        <v>124.66</v>
      </c>
      <c r="T857" s="34">
        <v>500</v>
      </c>
    </row>
    <row r="858" spans="1:20" x14ac:dyDescent="0.25">
      <c r="A858" s="36" t="s">
        <v>985</v>
      </c>
      <c r="B858" s="36"/>
      <c r="C858" s="36" t="s">
        <v>39</v>
      </c>
      <c r="D858" s="39">
        <v>45531</v>
      </c>
      <c r="E858" s="39">
        <v>45896</v>
      </c>
      <c r="F858" s="36" t="s">
        <v>1743</v>
      </c>
      <c r="G858" s="36" t="s">
        <v>62</v>
      </c>
      <c r="H858" s="38">
        <v>16235</v>
      </c>
      <c r="I858" s="40">
        <v>13565</v>
      </c>
      <c r="J858" s="40"/>
      <c r="K858" s="40"/>
      <c r="L858" s="40"/>
      <c r="M858" s="40"/>
      <c r="N858" s="36" t="s">
        <v>2515</v>
      </c>
      <c r="O858" s="37">
        <v>45531</v>
      </c>
      <c r="P858" s="44" t="s">
        <v>58</v>
      </c>
      <c r="Q858" s="38">
        <v>382000</v>
      </c>
      <c r="R858" s="33">
        <f t="shared" si="104"/>
        <v>2034.75</v>
      </c>
      <c r="S858" s="35">
        <f t="shared" si="103"/>
        <v>135.65</v>
      </c>
      <c r="T858" s="34">
        <v>500</v>
      </c>
    </row>
    <row r="859" spans="1:20" x14ac:dyDescent="0.25">
      <c r="A859" s="36" t="s">
        <v>986</v>
      </c>
      <c r="B859" s="36"/>
      <c r="C859" s="36" t="s">
        <v>39</v>
      </c>
      <c r="D859" s="39">
        <v>45897</v>
      </c>
      <c r="E859" s="39">
        <v>46262</v>
      </c>
      <c r="F859" s="36" t="s">
        <v>1743</v>
      </c>
      <c r="G859" s="36" t="s">
        <v>62</v>
      </c>
      <c r="H859" s="38">
        <v>16235</v>
      </c>
      <c r="I859" s="40">
        <v>13565</v>
      </c>
      <c r="J859" s="40"/>
      <c r="K859" s="40"/>
      <c r="L859" s="40"/>
      <c r="M859" s="40"/>
      <c r="N859" s="36" t="s">
        <v>2515</v>
      </c>
      <c r="O859" s="37">
        <v>45531</v>
      </c>
      <c r="P859" s="44" t="s">
        <v>58</v>
      </c>
      <c r="Q859" s="38">
        <v>382000</v>
      </c>
      <c r="R859" s="33">
        <f t="shared" si="104"/>
        <v>2034.75</v>
      </c>
      <c r="S859" s="35">
        <f t="shared" si="103"/>
        <v>135.65</v>
      </c>
      <c r="T859" s="34">
        <v>500</v>
      </c>
    </row>
    <row r="860" spans="1:20" x14ac:dyDescent="0.25">
      <c r="A860" s="36" t="s">
        <v>987</v>
      </c>
      <c r="B860" s="36"/>
      <c r="C860" s="36" t="s">
        <v>33</v>
      </c>
      <c r="D860" s="39">
        <v>45531</v>
      </c>
      <c r="E860" s="39">
        <v>45896</v>
      </c>
      <c r="F860" s="36" t="s">
        <v>1744</v>
      </c>
      <c r="G860" s="36" t="s">
        <v>62</v>
      </c>
      <c r="H860" s="38">
        <v>16235</v>
      </c>
      <c r="I860" s="40">
        <v>13565</v>
      </c>
      <c r="J860" s="40"/>
      <c r="K860" s="40"/>
      <c r="L860" s="40"/>
      <c r="M860" s="40"/>
      <c r="N860" s="36" t="s">
        <v>2516</v>
      </c>
      <c r="O860" s="37">
        <v>45531</v>
      </c>
      <c r="P860" s="44" t="s">
        <v>58</v>
      </c>
      <c r="Q860" s="38">
        <v>382000</v>
      </c>
      <c r="R860" s="33">
        <f t="shared" si="104"/>
        <v>2034.75</v>
      </c>
      <c r="S860" s="35">
        <f t="shared" si="103"/>
        <v>135.65</v>
      </c>
      <c r="T860" s="34">
        <v>500</v>
      </c>
    </row>
    <row r="861" spans="1:20" x14ac:dyDescent="0.25">
      <c r="A861" s="36" t="s">
        <v>988</v>
      </c>
      <c r="B861" s="36"/>
      <c r="C861" s="36" t="s">
        <v>36</v>
      </c>
      <c r="D861" s="39">
        <v>45532</v>
      </c>
      <c r="E861" s="39">
        <v>45897</v>
      </c>
      <c r="F861" s="36" t="s">
        <v>1745</v>
      </c>
      <c r="G861" s="36" t="s">
        <v>62</v>
      </c>
      <c r="H861" s="38">
        <v>16235</v>
      </c>
      <c r="I861" s="40">
        <v>13565</v>
      </c>
      <c r="J861" s="40"/>
      <c r="K861" s="40"/>
      <c r="L861" s="40"/>
      <c r="M861" s="40"/>
      <c r="N861" s="36" t="s">
        <v>2517</v>
      </c>
      <c r="O861" s="37">
        <v>45532</v>
      </c>
      <c r="P861" s="44" t="s">
        <v>58</v>
      </c>
      <c r="Q861" s="38">
        <v>382000</v>
      </c>
      <c r="R861" s="33">
        <f t="shared" si="104"/>
        <v>2034.75</v>
      </c>
      <c r="S861" s="35">
        <f t="shared" si="103"/>
        <v>135.65</v>
      </c>
      <c r="T861" s="34">
        <v>500</v>
      </c>
    </row>
    <row r="862" spans="1:20" x14ac:dyDescent="0.25">
      <c r="A862" s="36" t="s">
        <v>989</v>
      </c>
      <c r="B862" s="36"/>
      <c r="C862" s="36" t="s">
        <v>36</v>
      </c>
      <c r="D862" s="39">
        <v>45532</v>
      </c>
      <c r="E862" s="39">
        <v>45897</v>
      </c>
      <c r="F862" s="36" t="s">
        <v>1746</v>
      </c>
      <c r="G862" s="36" t="s">
        <v>62</v>
      </c>
      <c r="H862" s="38">
        <v>16235</v>
      </c>
      <c r="I862" s="40">
        <v>13565</v>
      </c>
      <c r="J862" s="40"/>
      <c r="K862" s="40"/>
      <c r="L862" s="40"/>
      <c r="M862" s="40"/>
      <c r="N862" s="36" t="s">
        <v>2518</v>
      </c>
      <c r="O862" s="37">
        <v>45532</v>
      </c>
      <c r="P862" s="44" t="s">
        <v>58</v>
      </c>
      <c r="Q862" s="38">
        <v>382000</v>
      </c>
      <c r="R862" s="33">
        <f t="shared" si="104"/>
        <v>2034.75</v>
      </c>
      <c r="S862" s="35">
        <f t="shared" si="103"/>
        <v>135.65</v>
      </c>
      <c r="T862" s="34">
        <v>500</v>
      </c>
    </row>
    <row r="863" spans="1:20" x14ac:dyDescent="0.25">
      <c r="A863" s="36" t="s">
        <v>990</v>
      </c>
      <c r="B863" s="36"/>
      <c r="C863" s="36" t="s">
        <v>36</v>
      </c>
      <c r="D863" s="39">
        <v>45898</v>
      </c>
      <c r="E863" s="39">
        <v>46263</v>
      </c>
      <c r="F863" s="36" t="s">
        <v>1746</v>
      </c>
      <c r="G863" s="36" t="s">
        <v>62</v>
      </c>
      <c r="H863" s="38">
        <v>16235</v>
      </c>
      <c r="I863" s="40">
        <v>13565</v>
      </c>
      <c r="J863" s="40"/>
      <c r="K863" s="40"/>
      <c r="L863" s="40"/>
      <c r="M863" s="40"/>
      <c r="N863" s="36" t="s">
        <v>2518</v>
      </c>
      <c r="O863" s="37">
        <v>45532</v>
      </c>
      <c r="P863" s="44" t="s">
        <v>58</v>
      </c>
      <c r="Q863" s="38">
        <v>382000</v>
      </c>
      <c r="R863" s="33">
        <f t="shared" si="104"/>
        <v>2034.75</v>
      </c>
      <c r="S863" s="35">
        <f t="shared" si="103"/>
        <v>135.65</v>
      </c>
      <c r="T863" s="34">
        <v>500</v>
      </c>
    </row>
    <row r="864" spans="1:20" x14ac:dyDescent="0.25">
      <c r="A864" s="36" t="s">
        <v>991</v>
      </c>
      <c r="B864" s="36"/>
      <c r="C864" s="36" t="s">
        <v>36</v>
      </c>
      <c r="D864" s="39">
        <v>45532</v>
      </c>
      <c r="E864" s="39">
        <v>45897</v>
      </c>
      <c r="F864" s="36" t="s">
        <v>1336</v>
      </c>
      <c r="G864" s="36" t="s">
        <v>62</v>
      </c>
      <c r="H864" s="38">
        <v>16235</v>
      </c>
      <c r="I864" s="40">
        <v>13565</v>
      </c>
      <c r="J864" s="40"/>
      <c r="K864" s="40"/>
      <c r="L864" s="40"/>
      <c r="M864" s="40"/>
      <c r="N864" s="36" t="s">
        <v>2519</v>
      </c>
      <c r="O864" s="37">
        <v>45532</v>
      </c>
      <c r="P864" s="44" t="s">
        <v>58</v>
      </c>
      <c r="Q864" s="38">
        <v>382000</v>
      </c>
      <c r="R864" s="33">
        <f t="shared" si="104"/>
        <v>2034.75</v>
      </c>
      <c r="S864" s="35">
        <f t="shared" si="103"/>
        <v>135.65</v>
      </c>
      <c r="T864" s="34">
        <v>500</v>
      </c>
    </row>
    <row r="865" spans="1:20" x14ac:dyDescent="0.25">
      <c r="A865" s="36" t="s">
        <v>992</v>
      </c>
      <c r="B865" s="36"/>
      <c r="C865" s="36" t="s">
        <v>53</v>
      </c>
      <c r="D865" s="39">
        <v>45532</v>
      </c>
      <c r="E865" s="39">
        <v>45897</v>
      </c>
      <c r="F865" s="36" t="s">
        <v>1747</v>
      </c>
      <c r="G865" s="36" t="s">
        <v>63</v>
      </c>
      <c r="H865" s="38">
        <v>13675</v>
      </c>
      <c r="I865" s="40">
        <v>11358</v>
      </c>
      <c r="J865" s="40"/>
      <c r="K865" s="40"/>
      <c r="L865" s="40"/>
      <c r="M865" s="40"/>
      <c r="N865" s="36" t="s">
        <v>2520</v>
      </c>
      <c r="O865" s="37">
        <v>45532</v>
      </c>
      <c r="P865" s="44" t="s">
        <v>58</v>
      </c>
      <c r="Q865" s="38">
        <v>547000</v>
      </c>
      <c r="R865" s="33">
        <f t="shared" si="104"/>
        <v>1703.7</v>
      </c>
      <c r="S865" s="35">
        <f t="shared" si="103"/>
        <v>113.58</v>
      </c>
      <c r="T865" s="34">
        <v>500</v>
      </c>
    </row>
    <row r="866" spans="1:20" x14ac:dyDescent="0.25">
      <c r="A866" s="36" t="s">
        <v>993</v>
      </c>
      <c r="B866" s="36"/>
      <c r="C866" s="36" t="s">
        <v>31</v>
      </c>
      <c r="D866" s="39">
        <v>45532</v>
      </c>
      <c r="E866" s="39">
        <v>45897</v>
      </c>
      <c r="F866" s="36" t="s">
        <v>1748</v>
      </c>
      <c r="G866" s="36" t="s">
        <v>62</v>
      </c>
      <c r="H866" s="38">
        <v>16235</v>
      </c>
      <c r="I866" s="40">
        <v>13565</v>
      </c>
      <c r="J866" s="40"/>
      <c r="K866" s="40"/>
      <c r="L866" s="40"/>
      <c r="M866" s="40"/>
      <c r="N866" s="36" t="s">
        <v>2521</v>
      </c>
      <c r="O866" s="37">
        <v>45532</v>
      </c>
      <c r="P866" s="44" t="s">
        <v>58</v>
      </c>
      <c r="Q866" s="38">
        <v>382000</v>
      </c>
      <c r="R866" s="33">
        <f t="shared" si="104"/>
        <v>2034.75</v>
      </c>
      <c r="S866" s="35">
        <f t="shared" si="103"/>
        <v>135.65</v>
      </c>
      <c r="T866" s="34">
        <v>500</v>
      </c>
    </row>
    <row r="867" spans="1:20" x14ac:dyDescent="0.25">
      <c r="A867" s="36" t="s">
        <v>994</v>
      </c>
      <c r="B867" s="36"/>
      <c r="C867" s="36" t="s">
        <v>31</v>
      </c>
      <c r="D867" s="39">
        <v>45898</v>
      </c>
      <c r="E867" s="39">
        <v>46263</v>
      </c>
      <c r="F867" s="36" t="s">
        <v>1748</v>
      </c>
      <c r="G867" s="36" t="s">
        <v>62</v>
      </c>
      <c r="H867" s="38">
        <v>16235</v>
      </c>
      <c r="I867" s="40">
        <v>13565</v>
      </c>
      <c r="J867" s="40"/>
      <c r="K867" s="40"/>
      <c r="L867" s="40"/>
      <c r="M867" s="40"/>
      <c r="N867" s="36" t="s">
        <v>2521</v>
      </c>
      <c r="O867" s="37">
        <v>45532</v>
      </c>
      <c r="P867" s="44" t="s">
        <v>58</v>
      </c>
      <c r="Q867" s="38">
        <v>382000</v>
      </c>
      <c r="R867" s="33">
        <f t="shared" si="104"/>
        <v>2034.75</v>
      </c>
      <c r="S867" s="35">
        <f t="shared" si="103"/>
        <v>135.65</v>
      </c>
      <c r="T867" s="34">
        <v>500</v>
      </c>
    </row>
    <row r="868" spans="1:20" x14ac:dyDescent="0.25">
      <c r="A868" s="36" t="s">
        <v>995</v>
      </c>
      <c r="B868" s="36"/>
      <c r="C868" s="36" t="s">
        <v>32</v>
      </c>
      <c r="D868" s="39">
        <v>45532</v>
      </c>
      <c r="E868" s="39">
        <v>45897</v>
      </c>
      <c r="F868" s="36" t="s">
        <v>1749</v>
      </c>
      <c r="G868" s="36" t="s">
        <v>62</v>
      </c>
      <c r="H868" s="38">
        <v>16235</v>
      </c>
      <c r="I868" s="40">
        <v>13565</v>
      </c>
      <c r="J868" s="40"/>
      <c r="K868" s="40"/>
      <c r="L868" s="40"/>
      <c r="M868" s="40"/>
      <c r="N868" s="36" t="s">
        <v>2522</v>
      </c>
      <c r="O868" s="37">
        <v>45532</v>
      </c>
      <c r="P868" s="44" t="s">
        <v>58</v>
      </c>
      <c r="Q868" s="38">
        <v>382000</v>
      </c>
      <c r="R868" s="33">
        <f t="shared" si="104"/>
        <v>2034.75</v>
      </c>
      <c r="S868" s="35">
        <f t="shared" si="103"/>
        <v>135.65</v>
      </c>
      <c r="T868" s="34">
        <v>500</v>
      </c>
    </row>
    <row r="869" spans="1:20" x14ac:dyDescent="0.25">
      <c r="A869" s="36" t="s">
        <v>996</v>
      </c>
      <c r="B869" s="36"/>
      <c r="C869" s="36" t="s">
        <v>32</v>
      </c>
      <c r="D869" s="39">
        <v>45898</v>
      </c>
      <c r="E869" s="39">
        <v>46263</v>
      </c>
      <c r="F869" s="36" t="s">
        <v>1749</v>
      </c>
      <c r="G869" s="36" t="s">
        <v>62</v>
      </c>
      <c r="H869" s="38">
        <v>16235</v>
      </c>
      <c r="I869" s="40">
        <v>13565</v>
      </c>
      <c r="J869" s="40"/>
      <c r="K869" s="40"/>
      <c r="L869" s="40"/>
      <c r="M869" s="40"/>
      <c r="N869" s="36" t="s">
        <v>2522</v>
      </c>
      <c r="O869" s="37">
        <v>45532</v>
      </c>
      <c r="P869" s="44" t="s">
        <v>58</v>
      </c>
      <c r="Q869" s="38">
        <v>382000</v>
      </c>
      <c r="R869" s="33">
        <f t="shared" si="104"/>
        <v>2034.75</v>
      </c>
      <c r="S869" s="35">
        <f t="shared" si="103"/>
        <v>135.65</v>
      </c>
      <c r="T869" s="34">
        <v>500</v>
      </c>
    </row>
    <row r="870" spans="1:20" x14ac:dyDescent="0.25">
      <c r="A870" s="36" t="s">
        <v>997</v>
      </c>
      <c r="B870" s="36"/>
      <c r="C870" s="36" t="s">
        <v>36</v>
      </c>
      <c r="D870" s="39">
        <v>45532</v>
      </c>
      <c r="E870" s="39">
        <v>45897</v>
      </c>
      <c r="F870" s="36" t="s">
        <v>1750</v>
      </c>
      <c r="G870" s="36" t="s">
        <v>62</v>
      </c>
      <c r="H870" s="38">
        <v>16235</v>
      </c>
      <c r="I870" s="40">
        <v>13565</v>
      </c>
      <c r="J870" s="40"/>
      <c r="K870" s="40"/>
      <c r="L870" s="40"/>
      <c r="M870" s="40"/>
      <c r="N870" s="36" t="s">
        <v>2523</v>
      </c>
      <c r="O870" s="37">
        <v>45532</v>
      </c>
      <c r="P870" s="44" t="s">
        <v>58</v>
      </c>
      <c r="Q870" s="38">
        <v>382000</v>
      </c>
      <c r="R870" s="33">
        <f t="shared" si="104"/>
        <v>2034.75</v>
      </c>
      <c r="S870" s="35">
        <f t="shared" si="103"/>
        <v>135.65</v>
      </c>
      <c r="T870" s="34">
        <v>500</v>
      </c>
    </row>
    <row r="871" spans="1:20" x14ac:dyDescent="0.25">
      <c r="A871" s="36" t="s">
        <v>998</v>
      </c>
      <c r="B871" s="36"/>
      <c r="C871" s="36" t="s">
        <v>36</v>
      </c>
      <c r="D871" s="39">
        <v>45898</v>
      </c>
      <c r="E871" s="39">
        <v>46263</v>
      </c>
      <c r="F871" s="36" t="s">
        <v>1750</v>
      </c>
      <c r="G871" s="36" t="s">
        <v>62</v>
      </c>
      <c r="H871" s="38">
        <v>16235</v>
      </c>
      <c r="I871" s="40">
        <v>13565</v>
      </c>
      <c r="J871" s="40"/>
      <c r="K871" s="40"/>
      <c r="L871" s="40"/>
      <c r="M871" s="40"/>
      <c r="N871" s="36" t="s">
        <v>2523</v>
      </c>
      <c r="O871" s="37">
        <v>45532</v>
      </c>
      <c r="P871" s="44" t="s">
        <v>58</v>
      </c>
      <c r="Q871" s="38">
        <v>382000</v>
      </c>
      <c r="R871" s="33">
        <f t="shared" si="104"/>
        <v>2034.75</v>
      </c>
      <c r="S871" s="35">
        <f t="shared" si="103"/>
        <v>135.65</v>
      </c>
      <c r="T871" s="34">
        <v>500</v>
      </c>
    </row>
    <row r="872" spans="1:20" x14ac:dyDescent="0.25">
      <c r="A872" s="36" t="s">
        <v>999</v>
      </c>
      <c r="B872" s="36"/>
      <c r="C872" s="36" t="s">
        <v>31</v>
      </c>
      <c r="D872" s="39">
        <v>45532</v>
      </c>
      <c r="E872" s="39">
        <v>45897</v>
      </c>
      <c r="F872" s="36" t="s">
        <v>1751</v>
      </c>
      <c r="G872" s="36" t="s">
        <v>61</v>
      </c>
      <c r="H872" s="38">
        <v>14960</v>
      </c>
      <c r="I872" s="40">
        <v>12466</v>
      </c>
      <c r="J872" s="40"/>
      <c r="K872" s="40"/>
      <c r="L872" s="40"/>
      <c r="M872" s="40"/>
      <c r="N872" s="36" t="s">
        <v>2524</v>
      </c>
      <c r="O872" s="37">
        <v>45532</v>
      </c>
      <c r="P872" s="44" t="s">
        <v>58</v>
      </c>
      <c r="Q872" s="38">
        <v>352000</v>
      </c>
      <c r="R872" s="33">
        <f t="shared" si="104"/>
        <v>1869.9</v>
      </c>
      <c r="S872" s="35">
        <f t="shared" si="103"/>
        <v>124.66</v>
      </c>
      <c r="T872" s="34">
        <v>500</v>
      </c>
    </row>
    <row r="873" spans="1:20" x14ac:dyDescent="0.25">
      <c r="A873" s="36" t="s">
        <v>1000</v>
      </c>
      <c r="B873" s="36"/>
      <c r="C873" s="36" t="s">
        <v>31</v>
      </c>
      <c r="D873" s="39">
        <v>45898</v>
      </c>
      <c r="E873" s="39">
        <v>46263</v>
      </c>
      <c r="F873" s="36" t="s">
        <v>1751</v>
      </c>
      <c r="G873" s="36" t="s">
        <v>61</v>
      </c>
      <c r="H873" s="38">
        <v>14960</v>
      </c>
      <c r="I873" s="40">
        <v>12466</v>
      </c>
      <c r="J873" s="40"/>
      <c r="K873" s="40"/>
      <c r="L873" s="40"/>
      <c r="M873" s="40"/>
      <c r="N873" s="36" t="s">
        <v>2524</v>
      </c>
      <c r="O873" s="37">
        <v>45532</v>
      </c>
      <c r="P873" s="44" t="s">
        <v>58</v>
      </c>
      <c r="Q873" s="38">
        <v>352000</v>
      </c>
      <c r="R873" s="33">
        <f t="shared" si="104"/>
        <v>1869.9</v>
      </c>
      <c r="S873" s="35">
        <f t="shared" si="103"/>
        <v>124.66</v>
      </c>
      <c r="T873" s="34">
        <v>500</v>
      </c>
    </row>
    <row r="874" spans="1:20" x14ac:dyDescent="0.25">
      <c r="A874" s="36" t="s">
        <v>1001</v>
      </c>
      <c r="B874" s="36"/>
      <c r="C874" s="36" t="s">
        <v>31</v>
      </c>
      <c r="D874" s="39">
        <v>45532</v>
      </c>
      <c r="E874" s="39">
        <v>45897</v>
      </c>
      <c r="F874" s="36" t="s">
        <v>1752</v>
      </c>
      <c r="G874" s="36" t="s">
        <v>63</v>
      </c>
      <c r="H874" s="38">
        <v>23248</v>
      </c>
      <c r="I874" s="40">
        <v>19610</v>
      </c>
      <c r="J874" s="40"/>
      <c r="K874" s="40"/>
      <c r="L874" s="40"/>
      <c r="M874" s="40"/>
      <c r="N874" s="36" t="s">
        <v>2525</v>
      </c>
      <c r="O874" s="37">
        <v>45532</v>
      </c>
      <c r="P874" s="44" t="s">
        <v>58</v>
      </c>
      <c r="Q874" s="38">
        <v>547000</v>
      </c>
      <c r="R874" s="33">
        <f t="shared" si="104"/>
        <v>2941.5</v>
      </c>
      <c r="S874" s="35">
        <f t="shared" si="103"/>
        <v>196.1</v>
      </c>
      <c r="T874" s="34">
        <v>500</v>
      </c>
    </row>
    <row r="875" spans="1:20" x14ac:dyDescent="0.25">
      <c r="A875" s="36" t="s">
        <v>1002</v>
      </c>
      <c r="B875" s="36"/>
      <c r="C875" s="36" t="s">
        <v>31</v>
      </c>
      <c r="D875" s="39">
        <v>45898</v>
      </c>
      <c r="E875" s="39">
        <v>46263</v>
      </c>
      <c r="F875" s="36" t="s">
        <v>1752</v>
      </c>
      <c r="G875" s="36" t="s">
        <v>63</v>
      </c>
      <c r="H875" s="38">
        <v>23248</v>
      </c>
      <c r="I875" s="40">
        <v>19610</v>
      </c>
      <c r="J875" s="40"/>
      <c r="K875" s="40"/>
      <c r="L875" s="40"/>
      <c r="M875" s="40"/>
      <c r="N875" s="36" t="s">
        <v>2525</v>
      </c>
      <c r="O875" s="37">
        <v>45532</v>
      </c>
      <c r="P875" s="44" t="s">
        <v>58</v>
      </c>
      <c r="Q875" s="38">
        <v>547000</v>
      </c>
      <c r="R875" s="33">
        <f t="shared" si="104"/>
        <v>2941.5</v>
      </c>
      <c r="S875" s="35">
        <f t="shared" si="103"/>
        <v>196.1</v>
      </c>
      <c r="T875" s="34">
        <v>500</v>
      </c>
    </row>
    <row r="876" spans="1:20" x14ac:dyDescent="0.25">
      <c r="A876" s="36" t="s">
        <v>1003</v>
      </c>
      <c r="B876" s="36"/>
      <c r="C876" s="36" t="s">
        <v>36</v>
      </c>
      <c r="D876" s="39">
        <v>45532</v>
      </c>
      <c r="E876" s="39">
        <v>45897</v>
      </c>
      <c r="F876" s="36" t="s">
        <v>1753</v>
      </c>
      <c r="G876" s="36" t="s">
        <v>62</v>
      </c>
      <c r="H876" s="38">
        <v>16235</v>
      </c>
      <c r="I876" s="40">
        <v>13565</v>
      </c>
      <c r="J876" s="40"/>
      <c r="K876" s="40"/>
      <c r="L876" s="40"/>
      <c r="M876" s="40"/>
      <c r="N876" s="36" t="s">
        <v>2526</v>
      </c>
      <c r="O876" s="37">
        <v>45532</v>
      </c>
      <c r="P876" s="44" t="s">
        <v>58</v>
      </c>
      <c r="Q876" s="38">
        <v>382000</v>
      </c>
      <c r="R876" s="33">
        <f t="shared" si="104"/>
        <v>2034.75</v>
      </c>
      <c r="S876" s="35">
        <f t="shared" si="103"/>
        <v>135.65</v>
      </c>
      <c r="T876" s="34">
        <v>500</v>
      </c>
    </row>
    <row r="877" spans="1:20" x14ac:dyDescent="0.25">
      <c r="A877" s="36" t="s">
        <v>1004</v>
      </c>
      <c r="B877" s="36"/>
      <c r="C877" s="36" t="s">
        <v>36</v>
      </c>
      <c r="D877" s="39">
        <v>45898</v>
      </c>
      <c r="E877" s="39">
        <v>46263</v>
      </c>
      <c r="F877" s="36" t="s">
        <v>1753</v>
      </c>
      <c r="G877" s="36" t="s">
        <v>62</v>
      </c>
      <c r="H877" s="38">
        <v>16235</v>
      </c>
      <c r="I877" s="40">
        <v>13565</v>
      </c>
      <c r="J877" s="40"/>
      <c r="K877" s="40"/>
      <c r="L877" s="40"/>
      <c r="M877" s="40"/>
      <c r="N877" s="36" t="s">
        <v>2526</v>
      </c>
      <c r="O877" s="37">
        <v>45532</v>
      </c>
      <c r="P877" s="44" t="s">
        <v>58</v>
      </c>
      <c r="Q877" s="38">
        <v>382000</v>
      </c>
      <c r="R877" s="33">
        <f t="shared" si="104"/>
        <v>2034.75</v>
      </c>
      <c r="S877" s="35">
        <f t="shared" si="103"/>
        <v>135.65</v>
      </c>
      <c r="T877" s="34">
        <v>500</v>
      </c>
    </row>
    <row r="878" spans="1:20" x14ac:dyDescent="0.25">
      <c r="A878" s="36" t="s">
        <v>1005</v>
      </c>
      <c r="B878" s="36"/>
      <c r="C878" s="36" t="s">
        <v>50</v>
      </c>
      <c r="D878" s="39">
        <v>45532</v>
      </c>
      <c r="E878" s="39">
        <v>45897</v>
      </c>
      <c r="F878" s="36" t="s">
        <v>1754</v>
      </c>
      <c r="G878" s="36" t="s">
        <v>63</v>
      </c>
      <c r="H878" s="38">
        <v>13675</v>
      </c>
      <c r="I878" s="40">
        <v>11358</v>
      </c>
      <c r="J878" s="40"/>
      <c r="K878" s="40"/>
      <c r="L878" s="40"/>
      <c r="M878" s="40"/>
      <c r="N878" s="36" t="s">
        <v>2527</v>
      </c>
      <c r="O878" s="37">
        <v>45532</v>
      </c>
      <c r="P878" s="44" t="s">
        <v>58</v>
      </c>
      <c r="Q878" s="38">
        <v>547000</v>
      </c>
      <c r="R878" s="33">
        <f t="shared" si="104"/>
        <v>1703.7</v>
      </c>
      <c r="S878" s="35">
        <f t="shared" si="103"/>
        <v>113.58</v>
      </c>
      <c r="T878" s="34">
        <v>500</v>
      </c>
    </row>
    <row r="879" spans="1:20" x14ac:dyDescent="0.25">
      <c r="A879" s="36" t="s">
        <v>1006</v>
      </c>
      <c r="B879" s="36"/>
      <c r="C879" s="36" t="s">
        <v>50</v>
      </c>
      <c r="D879" s="39">
        <v>45532</v>
      </c>
      <c r="E879" s="39">
        <v>45897</v>
      </c>
      <c r="F879" s="36" t="s">
        <v>1755</v>
      </c>
      <c r="G879" s="36" t="s">
        <v>61</v>
      </c>
      <c r="H879" s="38">
        <v>8800</v>
      </c>
      <c r="I879" s="40">
        <v>7155</v>
      </c>
      <c r="J879" s="40"/>
      <c r="K879" s="40"/>
      <c r="L879" s="40"/>
      <c r="M879" s="40"/>
      <c r="N879" s="36" t="s">
        <v>2528</v>
      </c>
      <c r="O879" s="37">
        <v>45532</v>
      </c>
      <c r="P879" s="44" t="s">
        <v>58</v>
      </c>
      <c r="Q879" s="38">
        <v>352000</v>
      </c>
      <c r="R879" s="33">
        <f t="shared" si="104"/>
        <v>1073.25</v>
      </c>
      <c r="S879" s="35">
        <f t="shared" si="103"/>
        <v>71.55</v>
      </c>
      <c r="T879" s="34">
        <v>500</v>
      </c>
    </row>
    <row r="880" spans="1:20" x14ac:dyDescent="0.25">
      <c r="A880" s="36" t="s">
        <v>1007</v>
      </c>
      <c r="B880" s="36"/>
      <c r="C880" s="36" t="s">
        <v>50</v>
      </c>
      <c r="D880" s="39">
        <v>45532</v>
      </c>
      <c r="E880" s="39">
        <v>45897</v>
      </c>
      <c r="F880" s="36" t="s">
        <v>82</v>
      </c>
      <c r="G880" s="36" t="s">
        <v>61</v>
      </c>
      <c r="H880" s="38">
        <v>8800</v>
      </c>
      <c r="I880" s="40">
        <v>7155</v>
      </c>
      <c r="J880" s="40"/>
      <c r="K880" s="40"/>
      <c r="L880" s="40"/>
      <c r="M880" s="40"/>
      <c r="N880" s="36" t="s">
        <v>2529</v>
      </c>
      <c r="O880" s="37">
        <v>45532</v>
      </c>
      <c r="P880" s="44" t="s">
        <v>58</v>
      </c>
      <c r="Q880" s="38">
        <v>352000</v>
      </c>
      <c r="R880" s="33">
        <f t="shared" si="104"/>
        <v>1073.25</v>
      </c>
      <c r="S880" s="35">
        <f t="shared" si="103"/>
        <v>71.55</v>
      </c>
      <c r="T880" s="34">
        <v>500</v>
      </c>
    </row>
    <row r="881" spans="1:20" x14ac:dyDescent="0.25">
      <c r="A881" s="36" t="s">
        <v>1008</v>
      </c>
      <c r="B881" s="36"/>
      <c r="C881" s="36" t="s">
        <v>50</v>
      </c>
      <c r="D881" s="39">
        <v>45532</v>
      </c>
      <c r="E881" s="39">
        <v>45897</v>
      </c>
      <c r="F881" s="36" t="s">
        <v>1756</v>
      </c>
      <c r="G881" s="36" t="s">
        <v>64</v>
      </c>
      <c r="H881" s="38">
        <v>12475</v>
      </c>
      <c r="I881" s="40">
        <v>10323</v>
      </c>
      <c r="J881" s="40"/>
      <c r="K881" s="40"/>
      <c r="L881" s="40"/>
      <c r="M881" s="40"/>
      <c r="N881" s="36" t="s">
        <v>2530</v>
      </c>
      <c r="O881" s="37">
        <v>45532</v>
      </c>
      <c r="P881" s="44" t="s">
        <v>58</v>
      </c>
      <c r="Q881" s="38">
        <v>499000</v>
      </c>
      <c r="R881" s="33">
        <f t="shared" si="104"/>
        <v>1548.45</v>
      </c>
      <c r="S881" s="35">
        <f t="shared" si="103"/>
        <v>103.23</v>
      </c>
      <c r="T881" s="34">
        <v>500</v>
      </c>
    </row>
    <row r="882" spans="1:20" x14ac:dyDescent="0.25">
      <c r="A882" s="36" t="s">
        <v>1009</v>
      </c>
      <c r="B882" s="36"/>
      <c r="C882" s="36" t="s">
        <v>50</v>
      </c>
      <c r="D882" s="39">
        <v>45532</v>
      </c>
      <c r="E882" s="39">
        <v>45897</v>
      </c>
      <c r="F882" s="36" t="s">
        <v>1757</v>
      </c>
      <c r="G882" s="36" t="s">
        <v>62</v>
      </c>
      <c r="H882" s="38">
        <v>9550</v>
      </c>
      <c r="I882" s="40">
        <v>7802</v>
      </c>
      <c r="J882" s="40"/>
      <c r="K882" s="40"/>
      <c r="L882" s="40"/>
      <c r="M882" s="40"/>
      <c r="N882" s="36" t="s">
        <v>2531</v>
      </c>
      <c r="O882" s="37">
        <v>45532</v>
      </c>
      <c r="P882" s="44" t="s">
        <v>58</v>
      </c>
      <c r="Q882" s="38">
        <v>382000</v>
      </c>
      <c r="R882" s="33">
        <f t="shared" si="104"/>
        <v>1170.3</v>
      </c>
      <c r="S882" s="35">
        <f t="shared" si="103"/>
        <v>78.02</v>
      </c>
      <c r="T882" s="34">
        <v>500</v>
      </c>
    </row>
    <row r="883" spans="1:20" x14ac:dyDescent="0.25">
      <c r="A883" s="36" t="s">
        <v>1010</v>
      </c>
      <c r="B883" s="36"/>
      <c r="C883" s="36" t="s">
        <v>50</v>
      </c>
      <c r="D883" s="39">
        <v>45532</v>
      </c>
      <c r="E883" s="39">
        <v>45897</v>
      </c>
      <c r="F883" s="36" t="s">
        <v>1758</v>
      </c>
      <c r="G883" s="36" t="s">
        <v>63</v>
      </c>
      <c r="H883" s="38">
        <v>13675</v>
      </c>
      <c r="I883" s="40">
        <v>11358</v>
      </c>
      <c r="J883" s="40"/>
      <c r="K883" s="40"/>
      <c r="L883" s="40"/>
      <c r="M883" s="40"/>
      <c r="N883" s="36" t="s">
        <v>2532</v>
      </c>
      <c r="O883" s="37">
        <v>45532</v>
      </c>
      <c r="P883" s="44" t="s">
        <v>58</v>
      </c>
      <c r="Q883" s="38">
        <v>547000</v>
      </c>
      <c r="R883" s="33">
        <f t="shared" si="104"/>
        <v>1703.7</v>
      </c>
      <c r="S883" s="35">
        <f t="shared" si="103"/>
        <v>113.58</v>
      </c>
      <c r="T883" s="34">
        <v>500</v>
      </c>
    </row>
    <row r="884" spans="1:20" x14ac:dyDescent="0.25">
      <c r="A884" s="36" t="s">
        <v>1011</v>
      </c>
      <c r="B884" s="36"/>
      <c r="C884" s="36" t="s">
        <v>32</v>
      </c>
      <c r="D884" s="39">
        <v>45532</v>
      </c>
      <c r="E884" s="39">
        <v>45897</v>
      </c>
      <c r="F884" s="36" t="s">
        <v>1759</v>
      </c>
      <c r="G884" s="36" t="s">
        <v>62</v>
      </c>
      <c r="H884" s="38">
        <v>16235</v>
      </c>
      <c r="I884" s="40">
        <v>13565</v>
      </c>
      <c r="J884" s="40"/>
      <c r="K884" s="40"/>
      <c r="L884" s="40"/>
      <c r="M884" s="40"/>
      <c r="N884" s="36" t="s">
        <v>2533</v>
      </c>
      <c r="O884" s="37">
        <v>45532</v>
      </c>
      <c r="P884" s="44" t="s">
        <v>58</v>
      </c>
      <c r="Q884" s="38">
        <v>382000</v>
      </c>
      <c r="R884" s="33">
        <f t="shared" si="104"/>
        <v>2034.75</v>
      </c>
      <c r="S884" s="35">
        <f t="shared" si="103"/>
        <v>135.65</v>
      </c>
      <c r="T884" s="34">
        <v>500</v>
      </c>
    </row>
    <row r="885" spans="1:20" x14ac:dyDescent="0.25">
      <c r="A885" s="36" t="s">
        <v>1012</v>
      </c>
      <c r="B885" s="36"/>
      <c r="C885" s="36" t="s">
        <v>32</v>
      </c>
      <c r="D885" s="39">
        <v>45898</v>
      </c>
      <c r="E885" s="39">
        <v>46263</v>
      </c>
      <c r="F885" s="36" t="s">
        <v>1759</v>
      </c>
      <c r="G885" s="36" t="s">
        <v>62</v>
      </c>
      <c r="H885" s="38">
        <v>16235</v>
      </c>
      <c r="I885" s="40">
        <v>13565</v>
      </c>
      <c r="J885" s="40"/>
      <c r="K885" s="40"/>
      <c r="L885" s="40"/>
      <c r="M885" s="40"/>
      <c r="N885" s="36" t="s">
        <v>2533</v>
      </c>
      <c r="O885" s="37">
        <v>45532</v>
      </c>
      <c r="P885" s="44" t="s">
        <v>58</v>
      </c>
      <c r="Q885" s="38">
        <v>382000</v>
      </c>
      <c r="R885" s="33">
        <f t="shared" si="104"/>
        <v>2034.75</v>
      </c>
      <c r="S885" s="35">
        <f t="shared" si="103"/>
        <v>135.65</v>
      </c>
      <c r="T885" s="34">
        <v>500</v>
      </c>
    </row>
    <row r="886" spans="1:20" x14ac:dyDescent="0.25">
      <c r="A886" s="36" t="s">
        <v>1013</v>
      </c>
      <c r="B886" s="36"/>
      <c r="C886" s="36" t="s">
        <v>67</v>
      </c>
      <c r="D886" s="39">
        <v>45532</v>
      </c>
      <c r="E886" s="39">
        <v>45897</v>
      </c>
      <c r="F886" s="36" t="s">
        <v>1760</v>
      </c>
      <c r="G886" s="36" t="s">
        <v>62</v>
      </c>
      <c r="H886" s="38">
        <v>9550</v>
      </c>
      <c r="I886" s="40">
        <v>7802</v>
      </c>
      <c r="J886" s="40"/>
      <c r="K886" s="40"/>
      <c r="L886" s="40"/>
      <c r="M886" s="40"/>
      <c r="N886" s="36" t="s">
        <v>2534</v>
      </c>
      <c r="O886" s="37">
        <v>45532</v>
      </c>
      <c r="P886" s="44" t="s">
        <v>58</v>
      </c>
      <c r="Q886" s="38">
        <v>382000</v>
      </c>
      <c r="R886" s="33">
        <f t="shared" si="104"/>
        <v>1170.3</v>
      </c>
      <c r="S886" s="35">
        <f t="shared" si="103"/>
        <v>78.02</v>
      </c>
      <c r="T886" s="34">
        <v>500</v>
      </c>
    </row>
    <row r="887" spans="1:20" x14ac:dyDescent="0.25">
      <c r="A887" s="36" t="s">
        <v>1014</v>
      </c>
      <c r="B887" s="36"/>
      <c r="C887" s="36" t="s">
        <v>67</v>
      </c>
      <c r="D887" s="39">
        <v>45532</v>
      </c>
      <c r="E887" s="39">
        <v>45897</v>
      </c>
      <c r="F887" s="36" t="s">
        <v>1761</v>
      </c>
      <c r="G887" s="36" t="s">
        <v>65</v>
      </c>
      <c r="H887" s="38">
        <v>9550</v>
      </c>
      <c r="I887" s="40">
        <v>7802</v>
      </c>
      <c r="J887" s="40"/>
      <c r="K887" s="40"/>
      <c r="L887" s="40"/>
      <c r="M887" s="40"/>
      <c r="N887" s="36" t="s">
        <v>2535</v>
      </c>
      <c r="O887" s="37">
        <v>45532</v>
      </c>
      <c r="P887" s="44" t="s">
        <v>58</v>
      </c>
      <c r="Q887" s="38">
        <v>382000</v>
      </c>
      <c r="R887" s="33">
        <f t="shared" si="104"/>
        <v>1170.3</v>
      </c>
      <c r="S887" s="35">
        <f t="shared" si="103"/>
        <v>78.02</v>
      </c>
      <c r="T887" s="34">
        <v>500</v>
      </c>
    </row>
    <row r="888" spans="1:20" x14ac:dyDescent="0.25">
      <c r="A888" s="36" t="s">
        <v>1015</v>
      </c>
      <c r="B888" s="36"/>
      <c r="C888" s="36" t="s">
        <v>67</v>
      </c>
      <c r="D888" s="39">
        <v>45532</v>
      </c>
      <c r="E888" s="39">
        <v>45897</v>
      </c>
      <c r="F888" s="36" t="s">
        <v>1761</v>
      </c>
      <c r="G888" s="36" t="s">
        <v>65</v>
      </c>
      <c r="H888" s="38">
        <v>9550</v>
      </c>
      <c r="I888" s="40">
        <v>7802</v>
      </c>
      <c r="J888" s="40"/>
      <c r="K888" s="40"/>
      <c r="L888" s="40"/>
      <c r="M888" s="40"/>
      <c r="N888" s="36" t="s">
        <v>2535</v>
      </c>
      <c r="O888" s="37">
        <v>45532</v>
      </c>
      <c r="P888" s="44" t="s">
        <v>58</v>
      </c>
      <c r="Q888" s="38">
        <v>382000</v>
      </c>
      <c r="R888" s="33">
        <f t="shared" si="104"/>
        <v>1170.3</v>
      </c>
      <c r="S888" s="35">
        <f t="shared" si="103"/>
        <v>78.02</v>
      </c>
      <c r="T888" s="34">
        <v>500</v>
      </c>
    </row>
    <row r="889" spans="1:20" x14ac:dyDescent="0.25">
      <c r="A889" s="36" t="s">
        <v>1016</v>
      </c>
      <c r="B889" s="36"/>
      <c r="C889" s="36" t="s">
        <v>1146</v>
      </c>
      <c r="D889" s="39">
        <v>45532</v>
      </c>
      <c r="E889" s="39">
        <v>45897</v>
      </c>
      <c r="F889" s="36" t="s">
        <v>1762</v>
      </c>
      <c r="G889" s="36" t="s">
        <v>62</v>
      </c>
      <c r="H889" s="38">
        <v>9550</v>
      </c>
      <c r="I889" s="40">
        <v>7802</v>
      </c>
      <c r="J889" s="40"/>
      <c r="K889" s="40"/>
      <c r="L889" s="40"/>
      <c r="M889" s="40"/>
      <c r="N889" s="36" t="s">
        <v>2536</v>
      </c>
      <c r="O889" s="37">
        <v>45532</v>
      </c>
      <c r="P889" s="44" t="s">
        <v>58</v>
      </c>
      <c r="Q889" s="38">
        <v>382000</v>
      </c>
      <c r="R889" s="33">
        <f t="shared" si="104"/>
        <v>1170.3</v>
      </c>
      <c r="S889" s="35">
        <f t="shared" si="103"/>
        <v>78.02</v>
      </c>
      <c r="T889" s="34">
        <v>500</v>
      </c>
    </row>
    <row r="890" spans="1:20" x14ac:dyDescent="0.25">
      <c r="A890" s="36" t="s">
        <v>1017</v>
      </c>
      <c r="B890" s="36"/>
      <c r="C890" s="36" t="s">
        <v>67</v>
      </c>
      <c r="D890" s="39">
        <v>45532</v>
      </c>
      <c r="E890" s="39">
        <v>45897</v>
      </c>
      <c r="F890" s="36" t="s">
        <v>1763</v>
      </c>
      <c r="G890" s="36" t="s">
        <v>62</v>
      </c>
      <c r="H890" s="38">
        <v>9550</v>
      </c>
      <c r="I890" s="40">
        <v>7802</v>
      </c>
      <c r="J890" s="40"/>
      <c r="K890" s="40"/>
      <c r="L890" s="40"/>
      <c r="M890" s="40"/>
      <c r="N890" s="36" t="s">
        <v>2537</v>
      </c>
      <c r="O890" s="37">
        <v>45532</v>
      </c>
      <c r="P890" s="44" t="s">
        <v>58</v>
      </c>
      <c r="Q890" s="38">
        <v>382000</v>
      </c>
      <c r="R890" s="33">
        <f t="shared" si="104"/>
        <v>1170.3</v>
      </c>
      <c r="S890" s="35">
        <f t="shared" si="103"/>
        <v>78.02</v>
      </c>
      <c r="T890" s="34">
        <v>500</v>
      </c>
    </row>
    <row r="891" spans="1:20" x14ac:dyDescent="0.25">
      <c r="A891" s="36" t="s">
        <v>1018</v>
      </c>
      <c r="B891" s="36"/>
      <c r="C891" s="36" t="s">
        <v>80</v>
      </c>
      <c r="D891" s="39">
        <v>45532</v>
      </c>
      <c r="E891" s="39">
        <v>45897</v>
      </c>
      <c r="F891" s="36" t="s">
        <v>1764</v>
      </c>
      <c r="G891" s="36" t="s">
        <v>61</v>
      </c>
      <c r="H891" s="38">
        <v>8800</v>
      </c>
      <c r="I891" s="40">
        <v>7155</v>
      </c>
      <c r="J891" s="40"/>
      <c r="K891" s="40"/>
      <c r="L891" s="40"/>
      <c r="M891" s="40"/>
      <c r="N891" s="36" t="s">
        <v>2538</v>
      </c>
      <c r="O891" s="37">
        <v>45532</v>
      </c>
      <c r="P891" s="44" t="s">
        <v>58</v>
      </c>
      <c r="Q891" s="38">
        <v>352000</v>
      </c>
      <c r="R891" s="33">
        <f t="shared" si="104"/>
        <v>1073.25</v>
      </c>
      <c r="S891" s="35">
        <f t="shared" si="103"/>
        <v>71.55</v>
      </c>
      <c r="T891" s="34">
        <v>500</v>
      </c>
    </row>
    <row r="892" spans="1:20" x14ac:dyDescent="0.25">
      <c r="A892" s="36" t="s">
        <v>1019</v>
      </c>
      <c r="B892" s="36"/>
      <c r="C892" s="36" t="s">
        <v>67</v>
      </c>
      <c r="D892" s="39">
        <v>45532</v>
      </c>
      <c r="E892" s="39">
        <v>45897</v>
      </c>
      <c r="F892" s="36" t="s">
        <v>1765</v>
      </c>
      <c r="G892" s="36" t="s">
        <v>62</v>
      </c>
      <c r="H892" s="38">
        <v>9550</v>
      </c>
      <c r="I892" s="40">
        <v>7802</v>
      </c>
      <c r="J892" s="40"/>
      <c r="K892" s="40"/>
      <c r="L892" s="40"/>
      <c r="M892" s="40"/>
      <c r="N892" s="36" t="s">
        <v>2539</v>
      </c>
      <c r="O892" s="37">
        <v>45532</v>
      </c>
      <c r="P892" s="44" t="s">
        <v>58</v>
      </c>
      <c r="Q892" s="38">
        <v>382000</v>
      </c>
      <c r="R892" s="33">
        <f t="shared" si="104"/>
        <v>1170.3</v>
      </c>
      <c r="S892" s="35">
        <f t="shared" si="103"/>
        <v>78.02</v>
      </c>
      <c r="T892" s="34">
        <v>500</v>
      </c>
    </row>
    <row r="893" spans="1:20" x14ac:dyDescent="0.25">
      <c r="A893" s="36" t="s">
        <v>1020</v>
      </c>
      <c r="B893" s="36"/>
      <c r="C893" s="36" t="s">
        <v>1146</v>
      </c>
      <c r="D893" s="39">
        <v>45532</v>
      </c>
      <c r="E893" s="39">
        <v>45897</v>
      </c>
      <c r="F893" s="36" t="s">
        <v>1766</v>
      </c>
      <c r="G893" s="36" t="s">
        <v>63</v>
      </c>
      <c r="H893" s="38">
        <v>13675</v>
      </c>
      <c r="I893" s="40">
        <v>11358</v>
      </c>
      <c r="J893" s="40"/>
      <c r="K893" s="40"/>
      <c r="L893" s="40"/>
      <c r="M893" s="40"/>
      <c r="N893" s="36" t="s">
        <v>2540</v>
      </c>
      <c r="O893" s="37">
        <v>45532</v>
      </c>
      <c r="P893" s="44" t="s">
        <v>58</v>
      </c>
      <c r="Q893" s="38">
        <v>547000</v>
      </c>
      <c r="R893" s="33">
        <f t="shared" si="104"/>
        <v>1703.7</v>
      </c>
      <c r="S893" s="35">
        <f t="shared" si="103"/>
        <v>113.58</v>
      </c>
      <c r="T893" s="34">
        <v>500</v>
      </c>
    </row>
    <row r="894" spans="1:20" x14ac:dyDescent="0.25">
      <c r="A894" s="36" t="s">
        <v>1021</v>
      </c>
      <c r="B894" s="36"/>
      <c r="C894" s="36" t="s">
        <v>80</v>
      </c>
      <c r="D894" s="39">
        <v>45532</v>
      </c>
      <c r="E894" s="39">
        <v>45897</v>
      </c>
      <c r="F894" s="36" t="s">
        <v>1767</v>
      </c>
      <c r="G894" s="36" t="s">
        <v>61</v>
      </c>
      <c r="H894" s="38">
        <v>8800</v>
      </c>
      <c r="I894" s="40">
        <v>7155</v>
      </c>
      <c r="J894" s="40"/>
      <c r="K894" s="40"/>
      <c r="L894" s="40"/>
      <c r="M894" s="40"/>
      <c r="N894" s="36" t="s">
        <v>2541</v>
      </c>
      <c r="O894" s="37">
        <v>45532</v>
      </c>
      <c r="P894" s="44" t="s">
        <v>58</v>
      </c>
      <c r="Q894" s="38">
        <v>352000</v>
      </c>
      <c r="R894" s="33">
        <f t="shared" si="104"/>
        <v>1073.25</v>
      </c>
      <c r="S894" s="35">
        <f t="shared" si="103"/>
        <v>71.55</v>
      </c>
      <c r="T894" s="34">
        <v>500</v>
      </c>
    </row>
    <row r="895" spans="1:20" x14ac:dyDescent="0.25">
      <c r="A895" s="36" t="s">
        <v>1022</v>
      </c>
      <c r="B895" s="36"/>
      <c r="C895" s="36" t="s">
        <v>80</v>
      </c>
      <c r="D895" s="39">
        <v>45532</v>
      </c>
      <c r="E895" s="39">
        <v>45897</v>
      </c>
      <c r="F895" s="36" t="s">
        <v>60</v>
      </c>
      <c r="G895" s="36" t="s">
        <v>61</v>
      </c>
      <c r="H895" s="38">
        <v>8800</v>
      </c>
      <c r="I895" s="40">
        <v>7155</v>
      </c>
      <c r="J895" s="40"/>
      <c r="K895" s="40"/>
      <c r="L895" s="40"/>
      <c r="M895" s="40"/>
      <c r="N895" s="36" t="s">
        <v>2542</v>
      </c>
      <c r="O895" s="37">
        <v>45532</v>
      </c>
      <c r="P895" s="44" t="s">
        <v>58</v>
      </c>
      <c r="Q895" s="38">
        <v>352000</v>
      </c>
      <c r="R895" s="33">
        <f t="shared" si="104"/>
        <v>1073.25</v>
      </c>
      <c r="S895" s="35">
        <f t="shared" si="103"/>
        <v>71.55</v>
      </c>
      <c r="T895" s="34">
        <v>500</v>
      </c>
    </row>
    <row r="896" spans="1:20" x14ac:dyDescent="0.25">
      <c r="A896" s="36" t="s">
        <v>1023</v>
      </c>
      <c r="B896" s="36"/>
      <c r="C896" s="36" t="s">
        <v>67</v>
      </c>
      <c r="D896" s="39">
        <v>45532</v>
      </c>
      <c r="E896" s="39">
        <v>45897</v>
      </c>
      <c r="F896" s="36" t="s">
        <v>1768</v>
      </c>
      <c r="G896" s="36" t="s">
        <v>62</v>
      </c>
      <c r="H896" s="38">
        <v>9550</v>
      </c>
      <c r="I896" s="40">
        <v>7802</v>
      </c>
      <c r="J896" s="40"/>
      <c r="K896" s="40"/>
      <c r="L896" s="40"/>
      <c r="M896" s="40"/>
      <c r="N896" s="36" t="s">
        <v>2543</v>
      </c>
      <c r="O896" s="37">
        <v>45532</v>
      </c>
      <c r="P896" s="44" t="s">
        <v>58</v>
      </c>
      <c r="Q896" s="38">
        <v>382000</v>
      </c>
      <c r="R896" s="33">
        <f t="shared" si="104"/>
        <v>1170.3</v>
      </c>
      <c r="S896" s="35">
        <f t="shared" si="103"/>
        <v>78.02</v>
      </c>
      <c r="T896" s="34">
        <v>500</v>
      </c>
    </row>
    <row r="897" spans="1:20" x14ac:dyDescent="0.25">
      <c r="A897" s="36" t="s">
        <v>1024</v>
      </c>
      <c r="B897" s="36"/>
      <c r="C897" s="36" t="s">
        <v>80</v>
      </c>
      <c r="D897" s="39">
        <v>45532</v>
      </c>
      <c r="E897" s="39">
        <v>45897</v>
      </c>
      <c r="F897" s="36" t="s">
        <v>1769</v>
      </c>
      <c r="G897" s="36" t="s">
        <v>62</v>
      </c>
      <c r="H897" s="38">
        <v>9550</v>
      </c>
      <c r="I897" s="40">
        <v>7802</v>
      </c>
      <c r="J897" s="40"/>
      <c r="K897" s="40"/>
      <c r="L897" s="40"/>
      <c r="M897" s="40"/>
      <c r="N897" s="36" t="s">
        <v>2544</v>
      </c>
      <c r="O897" s="37">
        <v>45532</v>
      </c>
      <c r="P897" s="44" t="s">
        <v>58</v>
      </c>
      <c r="Q897" s="38">
        <v>382000</v>
      </c>
      <c r="R897" s="33">
        <f t="shared" si="104"/>
        <v>1170.3</v>
      </c>
      <c r="S897" s="35">
        <f t="shared" si="103"/>
        <v>78.02</v>
      </c>
      <c r="T897" s="34">
        <v>500</v>
      </c>
    </row>
    <row r="898" spans="1:20" x14ac:dyDescent="0.25">
      <c r="A898" s="36" t="s">
        <v>1025</v>
      </c>
      <c r="B898" s="36"/>
      <c r="C898" s="36" t="s">
        <v>80</v>
      </c>
      <c r="D898" s="39">
        <v>45532</v>
      </c>
      <c r="E898" s="39">
        <v>45897</v>
      </c>
      <c r="F898" s="36" t="s">
        <v>1770</v>
      </c>
      <c r="G898" s="36" t="s">
        <v>62</v>
      </c>
      <c r="H898" s="38">
        <v>9550</v>
      </c>
      <c r="I898" s="40">
        <v>7802</v>
      </c>
      <c r="J898" s="40"/>
      <c r="K898" s="40"/>
      <c r="L898" s="40"/>
      <c r="M898" s="40"/>
      <c r="N898" s="36" t="s">
        <v>2545</v>
      </c>
      <c r="O898" s="37">
        <v>45532</v>
      </c>
      <c r="P898" s="44" t="s">
        <v>58</v>
      </c>
      <c r="Q898" s="38">
        <v>382000</v>
      </c>
      <c r="R898" s="33">
        <f t="shared" si="104"/>
        <v>1170.3</v>
      </c>
      <c r="S898" s="35">
        <f t="shared" si="103"/>
        <v>78.02</v>
      </c>
      <c r="T898" s="34">
        <v>500</v>
      </c>
    </row>
    <row r="899" spans="1:20" x14ac:dyDescent="0.25">
      <c r="A899" s="36" t="s">
        <v>1026</v>
      </c>
      <c r="B899" s="36"/>
      <c r="C899" s="36" t="s">
        <v>80</v>
      </c>
      <c r="D899" s="39">
        <v>45532</v>
      </c>
      <c r="E899" s="39">
        <v>45897</v>
      </c>
      <c r="F899" s="36" t="s">
        <v>1771</v>
      </c>
      <c r="G899" s="36" t="s">
        <v>61</v>
      </c>
      <c r="H899" s="41">
        <f>K899</f>
        <v>8800</v>
      </c>
      <c r="I899" s="41">
        <f>L899</f>
        <v>7086.2068965517246</v>
      </c>
      <c r="J899" s="42">
        <v>2.5000000000000001E-2</v>
      </c>
      <c r="K899" s="41">
        <f>Q899*J899</f>
        <v>8800</v>
      </c>
      <c r="L899" s="41">
        <f>K899/116%-T899</f>
        <v>7086.2068965517246</v>
      </c>
      <c r="M899" s="41">
        <f>K899-H899</f>
        <v>0</v>
      </c>
      <c r="N899" s="36" t="s">
        <v>2546</v>
      </c>
      <c r="O899" s="37">
        <v>45532</v>
      </c>
      <c r="P899" s="44" t="s">
        <v>58</v>
      </c>
      <c r="Q899" s="38">
        <v>352000</v>
      </c>
      <c r="R899" s="33">
        <f t="shared" si="104"/>
        <v>1062.9310344827586</v>
      </c>
      <c r="S899" s="35">
        <f t="shared" ref="S899:S962" si="105">I899*1/100</f>
        <v>70.862068965517253</v>
      </c>
      <c r="T899" s="34">
        <v>500</v>
      </c>
    </row>
    <row r="900" spans="1:20" x14ac:dyDescent="0.25">
      <c r="A900" s="36" t="s">
        <v>1027</v>
      </c>
      <c r="B900" s="36"/>
      <c r="C900" s="36" t="s">
        <v>80</v>
      </c>
      <c r="D900" s="39">
        <v>45532</v>
      </c>
      <c r="E900" s="39">
        <v>45897</v>
      </c>
      <c r="F900" s="36" t="s">
        <v>1772</v>
      </c>
      <c r="G900" s="36" t="s">
        <v>62</v>
      </c>
      <c r="H900" s="38">
        <v>9550</v>
      </c>
      <c r="I900" s="40">
        <v>7802</v>
      </c>
      <c r="J900" s="40"/>
      <c r="K900" s="40"/>
      <c r="L900" s="40"/>
      <c r="M900" s="40"/>
      <c r="N900" s="36" t="s">
        <v>2547</v>
      </c>
      <c r="O900" s="37">
        <v>45532</v>
      </c>
      <c r="P900" s="44" t="s">
        <v>58</v>
      </c>
      <c r="Q900" s="38">
        <v>382000</v>
      </c>
      <c r="R900" s="33">
        <f t="shared" ref="R900:R963" si="106">I900*15/100</f>
        <v>1170.3</v>
      </c>
      <c r="S900" s="35">
        <f t="shared" si="105"/>
        <v>78.02</v>
      </c>
      <c r="T900" s="34">
        <v>500</v>
      </c>
    </row>
    <row r="901" spans="1:20" x14ac:dyDescent="0.25">
      <c r="A901" s="36" t="s">
        <v>1028</v>
      </c>
      <c r="B901" s="36"/>
      <c r="C901" s="36" t="s">
        <v>80</v>
      </c>
      <c r="D901" s="39">
        <v>45532</v>
      </c>
      <c r="E901" s="39">
        <v>45897</v>
      </c>
      <c r="F901" s="36" t="s">
        <v>1773</v>
      </c>
      <c r="G901" s="36" t="s">
        <v>61</v>
      </c>
      <c r="H901" s="38">
        <v>8800</v>
      </c>
      <c r="I901" s="40">
        <v>7155</v>
      </c>
      <c r="J901" s="40"/>
      <c r="K901" s="40"/>
      <c r="L901" s="40"/>
      <c r="M901" s="40"/>
      <c r="N901" s="36" t="s">
        <v>2548</v>
      </c>
      <c r="O901" s="37">
        <v>45532</v>
      </c>
      <c r="P901" s="44" t="s">
        <v>58</v>
      </c>
      <c r="Q901" s="38">
        <v>352000</v>
      </c>
      <c r="R901" s="33">
        <f t="shared" si="106"/>
        <v>1073.25</v>
      </c>
      <c r="S901" s="35">
        <f t="shared" si="105"/>
        <v>71.55</v>
      </c>
      <c r="T901" s="34">
        <v>500</v>
      </c>
    </row>
    <row r="902" spans="1:20" x14ac:dyDescent="0.25">
      <c r="A902" s="36" t="s">
        <v>1029</v>
      </c>
      <c r="B902" s="36"/>
      <c r="C902" s="36" t="s">
        <v>67</v>
      </c>
      <c r="D902" s="39">
        <v>45532</v>
      </c>
      <c r="E902" s="39">
        <v>45897</v>
      </c>
      <c r="F902" s="36" t="s">
        <v>1774</v>
      </c>
      <c r="G902" s="36" t="s">
        <v>62</v>
      </c>
      <c r="H902" s="38">
        <v>9550</v>
      </c>
      <c r="I902" s="40">
        <v>7802</v>
      </c>
      <c r="J902" s="40"/>
      <c r="K902" s="40"/>
      <c r="L902" s="40"/>
      <c r="M902" s="40"/>
      <c r="N902" s="36" t="s">
        <v>2549</v>
      </c>
      <c r="O902" s="37">
        <v>45532</v>
      </c>
      <c r="P902" s="44" t="s">
        <v>58</v>
      </c>
      <c r="Q902" s="38">
        <v>382000</v>
      </c>
      <c r="R902" s="33">
        <f t="shared" si="106"/>
        <v>1170.3</v>
      </c>
      <c r="S902" s="35">
        <f t="shared" si="105"/>
        <v>78.02</v>
      </c>
      <c r="T902" s="34">
        <v>500</v>
      </c>
    </row>
    <row r="903" spans="1:20" x14ac:dyDescent="0.25">
      <c r="A903" s="36" t="s">
        <v>1030</v>
      </c>
      <c r="B903" s="36"/>
      <c r="C903" s="36" t="s">
        <v>80</v>
      </c>
      <c r="D903" s="39">
        <v>45532</v>
      </c>
      <c r="E903" s="39">
        <v>45897</v>
      </c>
      <c r="F903" s="36" t="s">
        <v>1775</v>
      </c>
      <c r="G903" s="36" t="s">
        <v>63</v>
      </c>
      <c r="H903" s="38">
        <v>13675</v>
      </c>
      <c r="I903" s="40">
        <v>11358</v>
      </c>
      <c r="J903" s="40"/>
      <c r="K903" s="40"/>
      <c r="L903" s="40"/>
      <c r="M903" s="40"/>
      <c r="N903" s="36" t="s">
        <v>2550</v>
      </c>
      <c r="O903" s="37">
        <v>45532</v>
      </c>
      <c r="P903" s="44" t="s">
        <v>58</v>
      </c>
      <c r="Q903" s="38">
        <v>547000</v>
      </c>
      <c r="R903" s="33">
        <f t="shared" si="106"/>
        <v>1703.7</v>
      </c>
      <c r="S903" s="35">
        <f t="shared" si="105"/>
        <v>113.58</v>
      </c>
      <c r="T903" s="34">
        <v>500</v>
      </c>
    </row>
    <row r="904" spans="1:20" x14ac:dyDescent="0.25">
      <c r="A904" s="36" t="s">
        <v>1031</v>
      </c>
      <c r="B904" s="36"/>
      <c r="C904" s="36" t="s">
        <v>80</v>
      </c>
      <c r="D904" s="39">
        <v>45532</v>
      </c>
      <c r="E904" s="39">
        <v>45897</v>
      </c>
      <c r="F904" s="36" t="s">
        <v>1776</v>
      </c>
      <c r="G904" s="36" t="s">
        <v>61</v>
      </c>
      <c r="H904" s="38">
        <v>8800</v>
      </c>
      <c r="I904" s="40">
        <v>7155</v>
      </c>
      <c r="J904" s="40"/>
      <c r="K904" s="40"/>
      <c r="L904" s="40"/>
      <c r="M904" s="40"/>
      <c r="N904" s="36" t="s">
        <v>2551</v>
      </c>
      <c r="O904" s="37">
        <v>45532</v>
      </c>
      <c r="P904" s="44" t="s">
        <v>58</v>
      </c>
      <c r="Q904" s="38">
        <v>352000</v>
      </c>
      <c r="R904" s="33">
        <f t="shared" si="106"/>
        <v>1073.25</v>
      </c>
      <c r="S904" s="35">
        <f t="shared" si="105"/>
        <v>71.55</v>
      </c>
      <c r="T904" s="34">
        <v>500</v>
      </c>
    </row>
    <row r="905" spans="1:20" x14ac:dyDescent="0.25">
      <c r="A905" s="36" t="s">
        <v>1032</v>
      </c>
      <c r="B905" s="36"/>
      <c r="C905" s="36" t="s">
        <v>67</v>
      </c>
      <c r="D905" s="39">
        <v>45532</v>
      </c>
      <c r="E905" s="39">
        <v>45897</v>
      </c>
      <c r="F905" s="36" t="s">
        <v>1777</v>
      </c>
      <c r="G905" s="36" t="s">
        <v>61</v>
      </c>
      <c r="H905" s="38">
        <v>8800</v>
      </c>
      <c r="I905" s="40">
        <v>7155</v>
      </c>
      <c r="J905" s="40"/>
      <c r="K905" s="40"/>
      <c r="L905" s="40"/>
      <c r="M905" s="40"/>
      <c r="N905" s="36" t="s">
        <v>2552</v>
      </c>
      <c r="O905" s="37">
        <v>45532</v>
      </c>
      <c r="P905" s="44" t="s">
        <v>58</v>
      </c>
      <c r="Q905" s="38">
        <v>352000</v>
      </c>
      <c r="R905" s="33">
        <f t="shared" si="106"/>
        <v>1073.25</v>
      </c>
      <c r="S905" s="35">
        <f t="shared" si="105"/>
        <v>71.55</v>
      </c>
      <c r="T905" s="34">
        <v>500</v>
      </c>
    </row>
    <row r="906" spans="1:20" x14ac:dyDescent="0.25">
      <c r="A906" s="36" t="s">
        <v>1033</v>
      </c>
      <c r="B906" s="36"/>
      <c r="C906" s="36" t="s">
        <v>80</v>
      </c>
      <c r="D906" s="39">
        <v>45532</v>
      </c>
      <c r="E906" s="39">
        <v>45897</v>
      </c>
      <c r="F906" s="36" t="s">
        <v>1778</v>
      </c>
      <c r="G906" s="36" t="s">
        <v>61</v>
      </c>
      <c r="H906" s="38">
        <v>8800</v>
      </c>
      <c r="I906" s="40">
        <v>7155</v>
      </c>
      <c r="J906" s="40"/>
      <c r="K906" s="40"/>
      <c r="L906" s="40"/>
      <c r="M906" s="40"/>
      <c r="N906" s="36" t="s">
        <v>2553</v>
      </c>
      <c r="O906" s="37">
        <v>45532</v>
      </c>
      <c r="P906" s="44" t="s">
        <v>58</v>
      </c>
      <c r="Q906" s="38">
        <v>352000</v>
      </c>
      <c r="R906" s="33">
        <f t="shared" si="106"/>
        <v>1073.25</v>
      </c>
      <c r="S906" s="35">
        <f t="shared" si="105"/>
        <v>71.55</v>
      </c>
      <c r="T906" s="34">
        <v>500</v>
      </c>
    </row>
    <row r="907" spans="1:20" x14ac:dyDescent="0.25">
      <c r="A907" s="36" t="s">
        <v>1034</v>
      </c>
      <c r="B907" s="36"/>
      <c r="C907" s="36" t="s">
        <v>33</v>
      </c>
      <c r="D907" s="39">
        <v>45532</v>
      </c>
      <c r="E907" s="39">
        <v>45897</v>
      </c>
      <c r="F907" s="36" t="s">
        <v>1779</v>
      </c>
      <c r="G907" s="36" t="s">
        <v>61</v>
      </c>
      <c r="H907" s="38">
        <v>14960</v>
      </c>
      <c r="I907" s="40">
        <v>12466</v>
      </c>
      <c r="J907" s="40"/>
      <c r="K907" s="40"/>
      <c r="L907" s="40"/>
      <c r="M907" s="40"/>
      <c r="N907" s="36" t="s">
        <v>2554</v>
      </c>
      <c r="O907" s="37">
        <v>45532</v>
      </c>
      <c r="P907" s="44" t="s">
        <v>58</v>
      </c>
      <c r="Q907" s="38">
        <v>352000</v>
      </c>
      <c r="R907" s="33">
        <f t="shared" si="106"/>
        <v>1869.9</v>
      </c>
      <c r="S907" s="35">
        <f t="shared" si="105"/>
        <v>124.66</v>
      </c>
      <c r="T907" s="34">
        <v>500</v>
      </c>
    </row>
    <row r="908" spans="1:20" x14ac:dyDescent="0.25">
      <c r="A908" s="36" t="s">
        <v>1035</v>
      </c>
      <c r="B908" s="36"/>
      <c r="C908" s="36" t="s">
        <v>33</v>
      </c>
      <c r="D908" s="39">
        <v>45898</v>
      </c>
      <c r="E908" s="39">
        <v>46263</v>
      </c>
      <c r="F908" s="36" t="s">
        <v>1779</v>
      </c>
      <c r="G908" s="36" t="s">
        <v>61</v>
      </c>
      <c r="H908" s="38">
        <v>14960</v>
      </c>
      <c r="I908" s="40">
        <v>12466</v>
      </c>
      <c r="J908" s="40"/>
      <c r="K908" s="40"/>
      <c r="L908" s="40"/>
      <c r="M908" s="40"/>
      <c r="N908" s="36" t="s">
        <v>2554</v>
      </c>
      <c r="O908" s="37">
        <v>45532</v>
      </c>
      <c r="P908" s="44" t="s">
        <v>58</v>
      </c>
      <c r="Q908" s="38">
        <v>352000</v>
      </c>
      <c r="R908" s="33">
        <f t="shared" si="106"/>
        <v>1869.9</v>
      </c>
      <c r="S908" s="35">
        <f t="shared" si="105"/>
        <v>124.66</v>
      </c>
      <c r="T908" s="34">
        <v>500</v>
      </c>
    </row>
    <row r="909" spans="1:20" x14ac:dyDescent="0.25">
      <c r="A909" s="36" t="s">
        <v>1036</v>
      </c>
      <c r="B909" s="36"/>
      <c r="C909" s="36" t="s">
        <v>67</v>
      </c>
      <c r="D909" s="39">
        <v>45533</v>
      </c>
      <c r="E909" s="39">
        <v>45898</v>
      </c>
      <c r="F909" s="36" t="s">
        <v>1780</v>
      </c>
      <c r="G909" s="36" t="s">
        <v>61</v>
      </c>
      <c r="H909" s="38">
        <v>8800</v>
      </c>
      <c r="I909" s="40">
        <v>7155</v>
      </c>
      <c r="J909" s="40"/>
      <c r="K909" s="40"/>
      <c r="L909" s="40"/>
      <c r="M909" s="40"/>
      <c r="N909" s="36" t="s">
        <v>2555</v>
      </c>
      <c r="O909" s="37">
        <v>45533</v>
      </c>
      <c r="P909" s="44" t="s">
        <v>58</v>
      </c>
      <c r="Q909" s="38">
        <v>352000</v>
      </c>
      <c r="R909" s="33">
        <f t="shared" si="106"/>
        <v>1073.25</v>
      </c>
      <c r="S909" s="35">
        <f t="shared" si="105"/>
        <v>71.55</v>
      </c>
      <c r="T909" s="34">
        <v>500</v>
      </c>
    </row>
    <row r="910" spans="1:20" x14ac:dyDescent="0.25">
      <c r="A910" s="36" t="s">
        <v>1037</v>
      </c>
      <c r="B910" s="36"/>
      <c r="C910" s="36" t="s">
        <v>35</v>
      </c>
      <c r="D910" s="39">
        <v>45533</v>
      </c>
      <c r="E910" s="39">
        <v>45898</v>
      </c>
      <c r="F910" s="36" t="s">
        <v>1781</v>
      </c>
      <c r="G910" s="36" t="s">
        <v>62</v>
      </c>
      <c r="H910" s="38">
        <v>16235</v>
      </c>
      <c r="I910" s="40">
        <v>13565</v>
      </c>
      <c r="J910" s="40"/>
      <c r="K910" s="40"/>
      <c r="L910" s="40"/>
      <c r="M910" s="40"/>
      <c r="N910" s="36" t="s">
        <v>2556</v>
      </c>
      <c r="O910" s="37">
        <v>45533</v>
      </c>
      <c r="P910" s="44" t="s">
        <v>58</v>
      </c>
      <c r="Q910" s="38">
        <v>382000</v>
      </c>
      <c r="R910" s="33">
        <f t="shared" si="106"/>
        <v>2034.75</v>
      </c>
      <c r="S910" s="35">
        <f t="shared" si="105"/>
        <v>135.65</v>
      </c>
      <c r="T910" s="34">
        <v>500</v>
      </c>
    </row>
    <row r="911" spans="1:20" x14ac:dyDescent="0.25">
      <c r="A911" s="36" t="s">
        <v>1038</v>
      </c>
      <c r="B911" s="36"/>
      <c r="C911" s="36" t="s">
        <v>35</v>
      </c>
      <c r="D911" s="39">
        <v>45533</v>
      </c>
      <c r="E911" s="39">
        <v>45898</v>
      </c>
      <c r="F911" s="36" t="s">
        <v>99</v>
      </c>
      <c r="G911" s="36" t="s">
        <v>63</v>
      </c>
      <c r="H911" s="38">
        <v>23248</v>
      </c>
      <c r="I911" s="40">
        <v>19610</v>
      </c>
      <c r="J911" s="40"/>
      <c r="K911" s="40"/>
      <c r="L911" s="40"/>
      <c r="M911" s="40"/>
      <c r="N911" s="36" t="s">
        <v>2557</v>
      </c>
      <c r="O911" s="37">
        <v>45533</v>
      </c>
      <c r="P911" s="44" t="s">
        <v>58</v>
      </c>
      <c r="Q911" s="38">
        <v>547000</v>
      </c>
      <c r="R911" s="33">
        <f t="shared" si="106"/>
        <v>2941.5</v>
      </c>
      <c r="S911" s="35">
        <f t="shared" si="105"/>
        <v>196.1</v>
      </c>
      <c r="T911" s="34">
        <v>500</v>
      </c>
    </row>
    <row r="912" spans="1:20" x14ac:dyDescent="0.25">
      <c r="A912" s="36" t="s">
        <v>1039</v>
      </c>
      <c r="B912" s="36"/>
      <c r="C912" s="36" t="s">
        <v>35</v>
      </c>
      <c r="D912" s="39">
        <v>45899</v>
      </c>
      <c r="E912" s="39">
        <v>46264</v>
      </c>
      <c r="F912" s="36" t="s">
        <v>99</v>
      </c>
      <c r="G912" s="36" t="s">
        <v>63</v>
      </c>
      <c r="H912" s="38">
        <v>23248</v>
      </c>
      <c r="I912" s="40">
        <v>19610</v>
      </c>
      <c r="J912" s="40"/>
      <c r="K912" s="40"/>
      <c r="L912" s="40"/>
      <c r="M912" s="40"/>
      <c r="N912" s="36" t="s">
        <v>2557</v>
      </c>
      <c r="O912" s="37">
        <v>45533</v>
      </c>
      <c r="P912" s="44" t="s">
        <v>58</v>
      </c>
      <c r="Q912" s="38">
        <v>547000</v>
      </c>
      <c r="R912" s="33">
        <f t="shared" si="106"/>
        <v>2941.5</v>
      </c>
      <c r="S912" s="35">
        <f t="shared" si="105"/>
        <v>196.1</v>
      </c>
      <c r="T912" s="34">
        <v>500</v>
      </c>
    </row>
    <row r="913" spans="1:20" x14ac:dyDescent="0.25">
      <c r="A913" s="36" t="s">
        <v>1040</v>
      </c>
      <c r="B913" s="36"/>
      <c r="C913" s="36" t="s">
        <v>35</v>
      </c>
      <c r="D913" s="39">
        <v>45533</v>
      </c>
      <c r="E913" s="39">
        <v>45898</v>
      </c>
      <c r="F913" s="36" t="s">
        <v>1782</v>
      </c>
      <c r="G913" s="36" t="s">
        <v>63</v>
      </c>
      <c r="H913" s="38">
        <v>23248</v>
      </c>
      <c r="I913" s="40">
        <v>19610</v>
      </c>
      <c r="J913" s="40"/>
      <c r="K913" s="40"/>
      <c r="L913" s="40"/>
      <c r="M913" s="40"/>
      <c r="N913" s="36" t="s">
        <v>2558</v>
      </c>
      <c r="O913" s="37">
        <v>45533</v>
      </c>
      <c r="P913" s="44" t="s">
        <v>58</v>
      </c>
      <c r="Q913" s="38">
        <v>547000</v>
      </c>
      <c r="R913" s="33">
        <f t="shared" si="106"/>
        <v>2941.5</v>
      </c>
      <c r="S913" s="35">
        <f t="shared" si="105"/>
        <v>196.1</v>
      </c>
      <c r="T913" s="34">
        <v>500</v>
      </c>
    </row>
    <row r="914" spans="1:20" x14ac:dyDescent="0.25">
      <c r="A914" s="36" t="s">
        <v>1041</v>
      </c>
      <c r="B914" s="36"/>
      <c r="C914" s="36" t="s">
        <v>36</v>
      </c>
      <c r="D914" s="39">
        <v>45533</v>
      </c>
      <c r="E914" s="39">
        <v>45898</v>
      </c>
      <c r="F914" s="36" t="s">
        <v>1783</v>
      </c>
      <c r="G914" s="36" t="s">
        <v>63</v>
      </c>
      <c r="H914" s="38">
        <v>23248</v>
      </c>
      <c r="I914" s="40">
        <v>19610</v>
      </c>
      <c r="J914" s="40"/>
      <c r="K914" s="40"/>
      <c r="L914" s="40"/>
      <c r="M914" s="40"/>
      <c r="N914" s="36" t="s">
        <v>2559</v>
      </c>
      <c r="O914" s="37">
        <v>45533</v>
      </c>
      <c r="P914" s="44" t="s">
        <v>58</v>
      </c>
      <c r="Q914" s="38">
        <v>547000</v>
      </c>
      <c r="R914" s="33">
        <f t="shared" si="106"/>
        <v>2941.5</v>
      </c>
      <c r="S914" s="35">
        <f t="shared" si="105"/>
        <v>196.1</v>
      </c>
      <c r="T914" s="34">
        <v>500</v>
      </c>
    </row>
    <row r="915" spans="1:20" x14ac:dyDescent="0.25">
      <c r="A915" s="36" t="s">
        <v>1042</v>
      </c>
      <c r="B915" s="36"/>
      <c r="C915" s="36" t="s">
        <v>36</v>
      </c>
      <c r="D915" s="39">
        <v>45899</v>
      </c>
      <c r="E915" s="39">
        <v>46264</v>
      </c>
      <c r="F915" s="36" t="s">
        <v>1783</v>
      </c>
      <c r="G915" s="36" t="s">
        <v>63</v>
      </c>
      <c r="H915" s="38">
        <v>23248</v>
      </c>
      <c r="I915" s="40">
        <v>19610</v>
      </c>
      <c r="J915" s="40"/>
      <c r="K915" s="40"/>
      <c r="L915" s="40"/>
      <c r="M915" s="40"/>
      <c r="N915" s="36" t="s">
        <v>2559</v>
      </c>
      <c r="O915" s="37">
        <v>45533</v>
      </c>
      <c r="P915" s="44" t="s">
        <v>58</v>
      </c>
      <c r="Q915" s="38">
        <v>547000</v>
      </c>
      <c r="R915" s="33">
        <f t="shared" si="106"/>
        <v>2941.5</v>
      </c>
      <c r="S915" s="35">
        <f t="shared" si="105"/>
        <v>196.1</v>
      </c>
      <c r="T915" s="34">
        <v>500</v>
      </c>
    </row>
    <row r="916" spans="1:20" x14ac:dyDescent="0.25">
      <c r="A916" s="36" t="s">
        <v>1043</v>
      </c>
      <c r="B916" s="36"/>
      <c r="C916" s="36" t="s">
        <v>35</v>
      </c>
      <c r="D916" s="39">
        <v>45533</v>
      </c>
      <c r="E916" s="39">
        <v>45898</v>
      </c>
      <c r="F916" s="36" t="s">
        <v>101</v>
      </c>
      <c r="G916" s="36" t="s">
        <v>63</v>
      </c>
      <c r="H916" s="38">
        <v>23248</v>
      </c>
      <c r="I916" s="40">
        <v>19610</v>
      </c>
      <c r="J916" s="40"/>
      <c r="K916" s="40"/>
      <c r="L916" s="40"/>
      <c r="M916" s="40"/>
      <c r="N916" s="36" t="s">
        <v>2560</v>
      </c>
      <c r="O916" s="37">
        <v>45533</v>
      </c>
      <c r="P916" s="44" t="s">
        <v>58</v>
      </c>
      <c r="Q916" s="38">
        <v>547000</v>
      </c>
      <c r="R916" s="33">
        <f t="shared" si="106"/>
        <v>2941.5</v>
      </c>
      <c r="S916" s="35">
        <f t="shared" si="105"/>
        <v>196.1</v>
      </c>
      <c r="T916" s="34">
        <v>500</v>
      </c>
    </row>
    <row r="917" spans="1:20" x14ac:dyDescent="0.25">
      <c r="A917" s="36" t="s">
        <v>1044</v>
      </c>
      <c r="B917" s="36"/>
      <c r="C917" s="36" t="s">
        <v>36</v>
      </c>
      <c r="D917" s="39">
        <v>45533</v>
      </c>
      <c r="E917" s="39">
        <v>45898</v>
      </c>
      <c r="F917" s="36" t="s">
        <v>1784</v>
      </c>
      <c r="G917" s="36" t="s">
        <v>61</v>
      </c>
      <c r="H917" s="38">
        <v>14960</v>
      </c>
      <c r="I917" s="40">
        <v>12466</v>
      </c>
      <c r="J917" s="40"/>
      <c r="K917" s="40"/>
      <c r="L917" s="40"/>
      <c r="M917" s="40"/>
      <c r="N917" s="36" t="s">
        <v>2561</v>
      </c>
      <c r="O917" s="37">
        <v>45533</v>
      </c>
      <c r="P917" s="44" t="s">
        <v>58</v>
      </c>
      <c r="Q917" s="38">
        <v>352000</v>
      </c>
      <c r="R917" s="33">
        <f t="shared" si="106"/>
        <v>1869.9</v>
      </c>
      <c r="S917" s="35">
        <f t="shared" si="105"/>
        <v>124.66</v>
      </c>
      <c r="T917" s="34">
        <v>500</v>
      </c>
    </row>
    <row r="918" spans="1:20" x14ac:dyDescent="0.25">
      <c r="A918" s="36" t="s">
        <v>1045</v>
      </c>
      <c r="B918" s="36"/>
      <c r="C918" s="36" t="s">
        <v>36</v>
      </c>
      <c r="D918" s="39">
        <v>45899</v>
      </c>
      <c r="E918" s="39">
        <v>46264</v>
      </c>
      <c r="F918" s="36" t="s">
        <v>1784</v>
      </c>
      <c r="G918" s="36" t="s">
        <v>61</v>
      </c>
      <c r="H918" s="38">
        <v>14960</v>
      </c>
      <c r="I918" s="40">
        <v>12466</v>
      </c>
      <c r="J918" s="40"/>
      <c r="K918" s="40"/>
      <c r="L918" s="40"/>
      <c r="M918" s="40"/>
      <c r="N918" s="36" t="s">
        <v>2561</v>
      </c>
      <c r="O918" s="37">
        <v>45533</v>
      </c>
      <c r="P918" s="44" t="s">
        <v>58</v>
      </c>
      <c r="Q918" s="38">
        <v>352000</v>
      </c>
      <c r="R918" s="33">
        <f t="shared" si="106"/>
        <v>1869.9</v>
      </c>
      <c r="S918" s="35">
        <f t="shared" si="105"/>
        <v>124.66</v>
      </c>
      <c r="T918" s="34">
        <v>500</v>
      </c>
    </row>
    <row r="919" spans="1:20" x14ac:dyDescent="0.25">
      <c r="A919" s="36" t="s">
        <v>1046</v>
      </c>
      <c r="B919" s="36"/>
      <c r="C919" s="36" t="s">
        <v>36</v>
      </c>
      <c r="D919" s="39">
        <v>45533</v>
      </c>
      <c r="E919" s="39">
        <v>45898</v>
      </c>
      <c r="F919" s="36" t="s">
        <v>95</v>
      </c>
      <c r="G919" s="36" t="s">
        <v>61</v>
      </c>
      <c r="H919" s="38">
        <v>14960</v>
      </c>
      <c r="I919" s="40">
        <v>12466</v>
      </c>
      <c r="J919" s="40"/>
      <c r="K919" s="40"/>
      <c r="L919" s="40"/>
      <c r="M919" s="40"/>
      <c r="N919" s="36" t="s">
        <v>2562</v>
      </c>
      <c r="O919" s="37">
        <v>45533</v>
      </c>
      <c r="P919" s="44" t="s">
        <v>58</v>
      </c>
      <c r="Q919" s="38">
        <v>352000</v>
      </c>
      <c r="R919" s="33">
        <f t="shared" si="106"/>
        <v>1869.9</v>
      </c>
      <c r="S919" s="35">
        <f t="shared" si="105"/>
        <v>124.66</v>
      </c>
      <c r="T919" s="34">
        <v>500</v>
      </c>
    </row>
    <row r="920" spans="1:20" x14ac:dyDescent="0.25">
      <c r="A920" s="36" t="s">
        <v>1047</v>
      </c>
      <c r="B920" s="36"/>
      <c r="C920" s="36" t="s">
        <v>36</v>
      </c>
      <c r="D920" s="39">
        <v>45533</v>
      </c>
      <c r="E920" s="39">
        <v>45898</v>
      </c>
      <c r="F920" s="36" t="s">
        <v>1153</v>
      </c>
      <c r="G920" s="36" t="s">
        <v>61</v>
      </c>
      <c r="H920" s="38">
        <v>14960</v>
      </c>
      <c r="I920" s="40">
        <v>12466</v>
      </c>
      <c r="J920" s="40"/>
      <c r="K920" s="40"/>
      <c r="L920" s="40"/>
      <c r="M920" s="40"/>
      <c r="N920" s="36" t="s">
        <v>2563</v>
      </c>
      <c r="O920" s="37">
        <v>45533</v>
      </c>
      <c r="P920" s="44" t="s">
        <v>58</v>
      </c>
      <c r="Q920" s="38">
        <v>352000</v>
      </c>
      <c r="R920" s="33">
        <f t="shared" si="106"/>
        <v>1869.9</v>
      </c>
      <c r="S920" s="35">
        <f t="shared" si="105"/>
        <v>124.66</v>
      </c>
      <c r="T920" s="34">
        <v>500</v>
      </c>
    </row>
    <row r="921" spans="1:20" x14ac:dyDescent="0.25">
      <c r="A921" s="36" t="s">
        <v>1048</v>
      </c>
      <c r="B921" s="36"/>
      <c r="C921" s="36" t="s">
        <v>35</v>
      </c>
      <c r="D921" s="39">
        <v>45533</v>
      </c>
      <c r="E921" s="39">
        <v>45898</v>
      </c>
      <c r="F921" s="36" t="s">
        <v>76</v>
      </c>
      <c r="G921" s="36" t="s">
        <v>63</v>
      </c>
      <c r="H921" s="38">
        <v>23248</v>
      </c>
      <c r="I921" s="40">
        <v>19610</v>
      </c>
      <c r="J921" s="40"/>
      <c r="K921" s="40"/>
      <c r="L921" s="40"/>
      <c r="M921" s="40"/>
      <c r="N921" s="36" t="s">
        <v>2564</v>
      </c>
      <c r="O921" s="37">
        <v>45533</v>
      </c>
      <c r="P921" s="44" t="s">
        <v>58</v>
      </c>
      <c r="Q921" s="38">
        <v>547000</v>
      </c>
      <c r="R921" s="33">
        <f t="shared" si="106"/>
        <v>2941.5</v>
      </c>
      <c r="S921" s="35">
        <f t="shared" si="105"/>
        <v>196.1</v>
      </c>
      <c r="T921" s="34">
        <v>500</v>
      </c>
    </row>
    <row r="922" spans="1:20" x14ac:dyDescent="0.25">
      <c r="A922" s="36" t="s">
        <v>1049</v>
      </c>
      <c r="B922" s="36"/>
      <c r="C922" s="36" t="s">
        <v>31</v>
      </c>
      <c r="D922" s="39">
        <v>45533</v>
      </c>
      <c r="E922" s="39">
        <v>45898</v>
      </c>
      <c r="F922" s="36" t="s">
        <v>1785</v>
      </c>
      <c r="G922" s="36" t="s">
        <v>61</v>
      </c>
      <c r="H922" s="38">
        <v>14960</v>
      </c>
      <c r="I922" s="40">
        <v>12466</v>
      </c>
      <c r="J922" s="40"/>
      <c r="K922" s="40"/>
      <c r="L922" s="40"/>
      <c r="M922" s="40"/>
      <c r="N922" s="36" t="s">
        <v>2565</v>
      </c>
      <c r="O922" s="37">
        <v>45533</v>
      </c>
      <c r="P922" s="44" t="s">
        <v>58</v>
      </c>
      <c r="Q922" s="38">
        <v>352000</v>
      </c>
      <c r="R922" s="33">
        <f t="shared" si="106"/>
        <v>1869.9</v>
      </c>
      <c r="S922" s="35">
        <f t="shared" si="105"/>
        <v>124.66</v>
      </c>
      <c r="T922" s="34">
        <v>500</v>
      </c>
    </row>
    <row r="923" spans="1:20" x14ac:dyDescent="0.25">
      <c r="A923" s="36" t="s">
        <v>1050</v>
      </c>
      <c r="B923" s="36"/>
      <c r="C923" s="36" t="s">
        <v>38</v>
      </c>
      <c r="D923" s="39">
        <v>45533</v>
      </c>
      <c r="E923" s="39">
        <v>45898</v>
      </c>
      <c r="F923" s="36" t="s">
        <v>1786</v>
      </c>
      <c r="G923" s="36" t="s">
        <v>62</v>
      </c>
      <c r="H923" s="38">
        <v>16235</v>
      </c>
      <c r="I923" s="40">
        <v>13565</v>
      </c>
      <c r="J923" s="40"/>
      <c r="K923" s="40"/>
      <c r="L923" s="40"/>
      <c r="M923" s="40"/>
      <c r="N923" s="36" t="s">
        <v>2566</v>
      </c>
      <c r="O923" s="37">
        <v>45533</v>
      </c>
      <c r="P923" s="44" t="s">
        <v>58</v>
      </c>
      <c r="Q923" s="38">
        <v>382000</v>
      </c>
      <c r="R923" s="33">
        <f t="shared" si="106"/>
        <v>2034.75</v>
      </c>
      <c r="S923" s="35">
        <f t="shared" si="105"/>
        <v>135.65</v>
      </c>
      <c r="T923" s="34">
        <v>500</v>
      </c>
    </row>
    <row r="924" spans="1:20" x14ac:dyDescent="0.25">
      <c r="A924" s="36" t="s">
        <v>1051</v>
      </c>
      <c r="B924" s="36"/>
      <c r="C924" s="36" t="s">
        <v>38</v>
      </c>
      <c r="D924" s="39">
        <v>45899</v>
      </c>
      <c r="E924" s="39">
        <v>46264</v>
      </c>
      <c r="F924" s="36" t="s">
        <v>1786</v>
      </c>
      <c r="G924" s="36" t="s">
        <v>62</v>
      </c>
      <c r="H924" s="38">
        <v>16235</v>
      </c>
      <c r="I924" s="40">
        <v>13565</v>
      </c>
      <c r="J924" s="40"/>
      <c r="K924" s="40"/>
      <c r="L924" s="40"/>
      <c r="M924" s="40"/>
      <c r="N924" s="36" t="s">
        <v>2566</v>
      </c>
      <c r="O924" s="37">
        <v>45533</v>
      </c>
      <c r="P924" s="44" t="s">
        <v>58</v>
      </c>
      <c r="Q924" s="38">
        <v>382000</v>
      </c>
      <c r="R924" s="33">
        <f t="shared" si="106"/>
        <v>2034.75</v>
      </c>
      <c r="S924" s="35">
        <f t="shared" si="105"/>
        <v>135.65</v>
      </c>
      <c r="T924" s="34">
        <v>500</v>
      </c>
    </row>
    <row r="925" spans="1:20" x14ac:dyDescent="0.25">
      <c r="A925" s="36" t="s">
        <v>1052</v>
      </c>
      <c r="B925" s="36"/>
      <c r="C925" s="36" t="s">
        <v>38</v>
      </c>
      <c r="D925" s="39">
        <v>45533</v>
      </c>
      <c r="E925" s="39">
        <v>45898</v>
      </c>
      <c r="F925" s="36" t="s">
        <v>1787</v>
      </c>
      <c r="G925" s="36" t="s">
        <v>62</v>
      </c>
      <c r="H925" s="38">
        <v>16235</v>
      </c>
      <c r="I925" s="40">
        <v>13565</v>
      </c>
      <c r="J925" s="40"/>
      <c r="K925" s="40"/>
      <c r="L925" s="40"/>
      <c r="M925" s="40"/>
      <c r="N925" s="36" t="s">
        <v>2567</v>
      </c>
      <c r="O925" s="37">
        <v>45533</v>
      </c>
      <c r="P925" s="44" t="s">
        <v>58</v>
      </c>
      <c r="Q925" s="38">
        <v>382000</v>
      </c>
      <c r="R925" s="33">
        <f t="shared" si="106"/>
        <v>2034.75</v>
      </c>
      <c r="S925" s="35">
        <f t="shared" si="105"/>
        <v>135.65</v>
      </c>
      <c r="T925" s="34">
        <v>500</v>
      </c>
    </row>
    <row r="926" spans="1:20" x14ac:dyDescent="0.25">
      <c r="A926" s="36" t="s">
        <v>1053</v>
      </c>
      <c r="B926" s="36"/>
      <c r="C926" s="36" t="s">
        <v>38</v>
      </c>
      <c r="D926" s="39">
        <v>45899</v>
      </c>
      <c r="E926" s="39">
        <v>46264</v>
      </c>
      <c r="F926" s="36" t="s">
        <v>1787</v>
      </c>
      <c r="G926" s="36" t="s">
        <v>62</v>
      </c>
      <c r="H926" s="38">
        <v>16235</v>
      </c>
      <c r="I926" s="40">
        <v>13565</v>
      </c>
      <c r="J926" s="40"/>
      <c r="K926" s="40"/>
      <c r="L926" s="40"/>
      <c r="M926" s="40"/>
      <c r="N926" s="36" t="s">
        <v>2567</v>
      </c>
      <c r="O926" s="37">
        <v>45533</v>
      </c>
      <c r="P926" s="44" t="s">
        <v>58</v>
      </c>
      <c r="Q926" s="38">
        <v>382000</v>
      </c>
      <c r="R926" s="33">
        <f t="shared" si="106"/>
        <v>2034.75</v>
      </c>
      <c r="S926" s="35">
        <f t="shared" si="105"/>
        <v>135.65</v>
      </c>
      <c r="T926" s="34">
        <v>500</v>
      </c>
    </row>
    <row r="927" spans="1:20" x14ac:dyDescent="0.25">
      <c r="A927" s="36" t="s">
        <v>1054</v>
      </c>
      <c r="B927" s="36"/>
      <c r="C927" s="36" t="s">
        <v>38</v>
      </c>
      <c r="D927" s="39">
        <v>45533</v>
      </c>
      <c r="E927" s="39">
        <v>45898</v>
      </c>
      <c r="F927" s="36" t="s">
        <v>1788</v>
      </c>
      <c r="G927" s="36" t="s">
        <v>61</v>
      </c>
      <c r="H927" s="38">
        <v>14960</v>
      </c>
      <c r="I927" s="40">
        <v>12466</v>
      </c>
      <c r="J927" s="40"/>
      <c r="K927" s="40"/>
      <c r="L927" s="40"/>
      <c r="M927" s="40"/>
      <c r="N927" s="36" t="s">
        <v>2568</v>
      </c>
      <c r="O927" s="37">
        <v>45533</v>
      </c>
      <c r="P927" s="44" t="s">
        <v>58</v>
      </c>
      <c r="Q927" s="38">
        <v>352000</v>
      </c>
      <c r="R927" s="33">
        <f t="shared" si="106"/>
        <v>1869.9</v>
      </c>
      <c r="S927" s="35">
        <f t="shared" si="105"/>
        <v>124.66</v>
      </c>
      <c r="T927" s="34">
        <v>500</v>
      </c>
    </row>
    <row r="928" spans="1:20" x14ac:dyDescent="0.25">
      <c r="A928" s="36" t="s">
        <v>1055</v>
      </c>
      <c r="B928" s="36"/>
      <c r="C928" s="36" t="s">
        <v>38</v>
      </c>
      <c r="D928" s="39">
        <v>45533</v>
      </c>
      <c r="E928" s="39">
        <v>45898</v>
      </c>
      <c r="F928" s="36" t="s">
        <v>1789</v>
      </c>
      <c r="G928" s="36" t="s">
        <v>63</v>
      </c>
      <c r="H928" s="38">
        <v>23248</v>
      </c>
      <c r="I928" s="40">
        <v>19610</v>
      </c>
      <c r="J928" s="40"/>
      <c r="K928" s="40"/>
      <c r="L928" s="40"/>
      <c r="M928" s="40"/>
      <c r="N928" s="36" t="s">
        <v>2569</v>
      </c>
      <c r="O928" s="37">
        <v>45533</v>
      </c>
      <c r="P928" s="44" t="s">
        <v>58</v>
      </c>
      <c r="Q928" s="38">
        <v>547000</v>
      </c>
      <c r="R928" s="33">
        <f t="shared" si="106"/>
        <v>2941.5</v>
      </c>
      <c r="S928" s="35">
        <f t="shared" si="105"/>
        <v>196.1</v>
      </c>
      <c r="T928" s="34">
        <v>500</v>
      </c>
    </row>
    <row r="929" spans="1:20" x14ac:dyDescent="0.25">
      <c r="A929" s="36" t="s">
        <v>1056</v>
      </c>
      <c r="B929" s="36"/>
      <c r="C929" s="36" t="s">
        <v>38</v>
      </c>
      <c r="D929" s="39">
        <v>45899</v>
      </c>
      <c r="E929" s="39">
        <v>46264</v>
      </c>
      <c r="F929" s="36" t="s">
        <v>1789</v>
      </c>
      <c r="G929" s="36" t="s">
        <v>63</v>
      </c>
      <c r="H929" s="38">
        <v>23248</v>
      </c>
      <c r="I929" s="40">
        <v>19610</v>
      </c>
      <c r="J929" s="40"/>
      <c r="K929" s="40"/>
      <c r="L929" s="40"/>
      <c r="M929" s="40"/>
      <c r="N929" s="36" t="s">
        <v>2569</v>
      </c>
      <c r="O929" s="37">
        <v>45533</v>
      </c>
      <c r="P929" s="44" t="s">
        <v>58</v>
      </c>
      <c r="Q929" s="38">
        <v>547000</v>
      </c>
      <c r="R929" s="33">
        <f t="shared" si="106"/>
        <v>2941.5</v>
      </c>
      <c r="S929" s="35">
        <f t="shared" si="105"/>
        <v>196.1</v>
      </c>
      <c r="T929" s="34">
        <v>500</v>
      </c>
    </row>
    <row r="930" spans="1:20" x14ac:dyDescent="0.25">
      <c r="A930" s="36" t="s">
        <v>1057</v>
      </c>
      <c r="B930" s="36"/>
      <c r="C930" s="36" t="s">
        <v>38</v>
      </c>
      <c r="D930" s="39">
        <v>45533</v>
      </c>
      <c r="E930" s="39">
        <v>45898</v>
      </c>
      <c r="F930" s="36" t="s">
        <v>1790</v>
      </c>
      <c r="G930" s="36" t="s">
        <v>63</v>
      </c>
      <c r="H930" s="38">
        <v>23248</v>
      </c>
      <c r="I930" s="40">
        <v>19610</v>
      </c>
      <c r="J930" s="40"/>
      <c r="K930" s="40"/>
      <c r="L930" s="40"/>
      <c r="M930" s="40"/>
      <c r="N930" s="36" t="s">
        <v>2570</v>
      </c>
      <c r="O930" s="37">
        <v>45533</v>
      </c>
      <c r="P930" s="44" t="s">
        <v>58</v>
      </c>
      <c r="Q930" s="38">
        <v>547000</v>
      </c>
      <c r="R930" s="33">
        <f t="shared" si="106"/>
        <v>2941.5</v>
      </c>
      <c r="S930" s="35">
        <f t="shared" si="105"/>
        <v>196.1</v>
      </c>
      <c r="T930" s="34">
        <v>500</v>
      </c>
    </row>
    <row r="931" spans="1:20" x14ac:dyDescent="0.25">
      <c r="A931" s="36" t="s">
        <v>1058</v>
      </c>
      <c r="B931" s="36"/>
      <c r="C931" s="36" t="s">
        <v>38</v>
      </c>
      <c r="D931" s="39">
        <v>45899</v>
      </c>
      <c r="E931" s="39">
        <v>46264</v>
      </c>
      <c r="F931" s="36" t="s">
        <v>1790</v>
      </c>
      <c r="G931" s="36" t="s">
        <v>63</v>
      </c>
      <c r="H931" s="38">
        <v>23248</v>
      </c>
      <c r="I931" s="40">
        <v>19610</v>
      </c>
      <c r="J931" s="40"/>
      <c r="K931" s="40"/>
      <c r="L931" s="40"/>
      <c r="M931" s="40"/>
      <c r="N931" s="36" t="s">
        <v>2570</v>
      </c>
      <c r="O931" s="37">
        <v>45533</v>
      </c>
      <c r="P931" s="44" t="s">
        <v>58</v>
      </c>
      <c r="Q931" s="38">
        <v>547000</v>
      </c>
      <c r="R931" s="33">
        <f t="shared" si="106"/>
        <v>2941.5</v>
      </c>
      <c r="S931" s="35">
        <f t="shared" si="105"/>
        <v>196.1</v>
      </c>
      <c r="T931" s="34">
        <v>500</v>
      </c>
    </row>
    <row r="932" spans="1:20" x14ac:dyDescent="0.25">
      <c r="A932" s="36" t="s">
        <v>1059</v>
      </c>
      <c r="B932" s="36"/>
      <c r="C932" s="36" t="s">
        <v>36</v>
      </c>
      <c r="D932" s="39">
        <v>45534</v>
      </c>
      <c r="E932" s="39">
        <v>45899</v>
      </c>
      <c r="F932" s="36" t="s">
        <v>1791</v>
      </c>
      <c r="G932" s="36" t="s">
        <v>62</v>
      </c>
      <c r="H932" s="38">
        <v>16235</v>
      </c>
      <c r="I932" s="40">
        <v>13565</v>
      </c>
      <c r="J932" s="40"/>
      <c r="K932" s="40"/>
      <c r="L932" s="40"/>
      <c r="M932" s="40"/>
      <c r="N932" s="36" t="s">
        <v>2571</v>
      </c>
      <c r="O932" s="37">
        <v>45534</v>
      </c>
      <c r="P932" s="44" t="s">
        <v>58</v>
      </c>
      <c r="Q932" s="38">
        <v>382000</v>
      </c>
      <c r="R932" s="33">
        <f t="shared" si="106"/>
        <v>2034.75</v>
      </c>
      <c r="S932" s="35">
        <f t="shared" si="105"/>
        <v>135.65</v>
      </c>
      <c r="T932" s="34">
        <v>500</v>
      </c>
    </row>
    <row r="933" spans="1:20" x14ac:dyDescent="0.25">
      <c r="A933" s="36" t="s">
        <v>1060</v>
      </c>
      <c r="B933" s="36"/>
      <c r="C933" s="36" t="s">
        <v>70</v>
      </c>
      <c r="D933" s="39">
        <v>45534</v>
      </c>
      <c r="E933" s="39">
        <v>45899</v>
      </c>
      <c r="F933" s="36" t="s">
        <v>1792</v>
      </c>
      <c r="G933" s="36" t="s">
        <v>63</v>
      </c>
      <c r="H933" s="38">
        <v>13675</v>
      </c>
      <c r="I933" s="40">
        <v>11358</v>
      </c>
      <c r="J933" s="40"/>
      <c r="K933" s="40"/>
      <c r="L933" s="40"/>
      <c r="M933" s="40"/>
      <c r="N933" s="36" t="s">
        <v>2572</v>
      </c>
      <c r="O933" s="37">
        <v>45534</v>
      </c>
      <c r="P933" s="44" t="s">
        <v>58</v>
      </c>
      <c r="Q933" s="38">
        <v>547000</v>
      </c>
      <c r="R933" s="33">
        <f t="shared" si="106"/>
        <v>1703.7</v>
      </c>
      <c r="S933" s="35">
        <f t="shared" si="105"/>
        <v>113.58</v>
      </c>
      <c r="T933" s="34">
        <v>500</v>
      </c>
    </row>
    <row r="934" spans="1:20" x14ac:dyDescent="0.25">
      <c r="A934" s="36" t="s">
        <v>1061</v>
      </c>
      <c r="B934" s="36"/>
      <c r="C934" s="36" t="s">
        <v>70</v>
      </c>
      <c r="D934" s="39">
        <v>45534</v>
      </c>
      <c r="E934" s="39">
        <v>45899</v>
      </c>
      <c r="F934" s="36" t="s">
        <v>1793</v>
      </c>
      <c r="G934" s="36" t="s">
        <v>62</v>
      </c>
      <c r="H934" s="38">
        <v>9550</v>
      </c>
      <c r="I934" s="40">
        <v>7802</v>
      </c>
      <c r="J934" s="40"/>
      <c r="K934" s="40"/>
      <c r="L934" s="40"/>
      <c r="M934" s="40"/>
      <c r="N934" s="36" t="s">
        <v>2573</v>
      </c>
      <c r="O934" s="37">
        <v>45534</v>
      </c>
      <c r="P934" s="44" t="s">
        <v>58</v>
      </c>
      <c r="Q934" s="38">
        <v>382000</v>
      </c>
      <c r="R934" s="33">
        <f t="shared" si="106"/>
        <v>1170.3</v>
      </c>
      <c r="S934" s="35">
        <f t="shared" si="105"/>
        <v>78.02</v>
      </c>
      <c r="T934" s="34">
        <v>500</v>
      </c>
    </row>
    <row r="935" spans="1:20" x14ac:dyDescent="0.25">
      <c r="A935" s="36" t="s">
        <v>1062</v>
      </c>
      <c r="B935" s="36"/>
      <c r="C935" s="36" t="s">
        <v>70</v>
      </c>
      <c r="D935" s="39">
        <v>45534</v>
      </c>
      <c r="E935" s="39">
        <v>45899</v>
      </c>
      <c r="F935" s="36" t="s">
        <v>1794</v>
      </c>
      <c r="G935" s="36" t="s">
        <v>63</v>
      </c>
      <c r="H935" s="38">
        <v>13675</v>
      </c>
      <c r="I935" s="40">
        <v>11358</v>
      </c>
      <c r="J935" s="40"/>
      <c r="K935" s="40"/>
      <c r="L935" s="40"/>
      <c r="M935" s="40"/>
      <c r="N935" s="36" t="s">
        <v>2572</v>
      </c>
      <c r="O935" s="37">
        <v>45534</v>
      </c>
      <c r="P935" s="44" t="s">
        <v>58</v>
      </c>
      <c r="Q935" s="38">
        <v>547000</v>
      </c>
      <c r="R935" s="33">
        <f t="shared" si="106"/>
        <v>1703.7</v>
      </c>
      <c r="S935" s="35">
        <f t="shared" si="105"/>
        <v>113.58</v>
      </c>
      <c r="T935" s="34">
        <v>500</v>
      </c>
    </row>
    <row r="936" spans="1:20" x14ac:dyDescent="0.25">
      <c r="A936" s="36" t="s">
        <v>1063</v>
      </c>
      <c r="B936" s="36"/>
      <c r="C936" s="36" t="s">
        <v>39</v>
      </c>
      <c r="D936" s="39">
        <v>45534</v>
      </c>
      <c r="E936" s="39">
        <v>45899</v>
      </c>
      <c r="F936" s="36" t="s">
        <v>1795</v>
      </c>
      <c r="G936" s="36" t="s">
        <v>62</v>
      </c>
      <c r="H936" s="38">
        <v>16235</v>
      </c>
      <c r="I936" s="40">
        <v>13565</v>
      </c>
      <c r="J936" s="40"/>
      <c r="K936" s="40"/>
      <c r="L936" s="40"/>
      <c r="M936" s="40"/>
      <c r="N936" s="36" t="s">
        <v>2574</v>
      </c>
      <c r="O936" s="37">
        <v>45534</v>
      </c>
      <c r="P936" s="44" t="s">
        <v>58</v>
      </c>
      <c r="Q936" s="38">
        <v>382000</v>
      </c>
      <c r="R936" s="33">
        <f t="shared" si="106"/>
        <v>2034.75</v>
      </c>
      <c r="S936" s="35">
        <f t="shared" si="105"/>
        <v>135.65</v>
      </c>
      <c r="T936" s="34">
        <v>500</v>
      </c>
    </row>
    <row r="937" spans="1:20" x14ac:dyDescent="0.25">
      <c r="A937" s="36" t="s">
        <v>1064</v>
      </c>
      <c r="B937" s="36"/>
      <c r="C937" s="36" t="s">
        <v>36</v>
      </c>
      <c r="D937" s="39">
        <v>45534</v>
      </c>
      <c r="E937" s="39">
        <v>45899</v>
      </c>
      <c r="F937" s="36" t="s">
        <v>77</v>
      </c>
      <c r="G937" s="36" t="s">
        <v>62</v>
      </c>
      <c r="H937" s="38">
        <v>16235</v>
      </c>
      <c r="I937" s="40">
        <v>13565</v>
      </c>
      <c r="J937" s="40"/>
      <c r="K937" s="40"/>
      <c r="L937" s="40"/>
      <c r="M937" s="40"/>
      <c r="N937" s="36" t="s">
        <v>2575</v>
      </c>
      <c r="O937" s="37">
        <v>45534</v>
      </c>
      <c r="P937" s="44" t="s">
        <v>58</v>
      </c>
      <c r="Q937" s="38">
        <v>382000</v>
      </c>
      <c r="R937" s="33">
        <f t="shared" si="106"/>
        <v>2034.75</v>
      </c>
      <c r="S937" s="35">
        <f t="shared" si="105"/>
        <v>135.65</v>
      </c>
      <c r="T937" s="34">
        <v>500</v>
      </c>
    </row>
    <row r="938" spans="1:20" x14ac:dyDescent="0.25">
      <c r="A938" s="36" t="s">
        <v>1065</v>
      </c>
      <c r="B938" s="36"/>
      <c r="C938" s="36" t="s">
        <v>36</v>
      </c>
      <c r="D938" s="39">
        <v>45900</v>
      </c>
      <c r="E938" s="39">
        <v>46265</v>
      </c>
      <c r="F938" s="36" t="s">
        <v>77</v>
      </c>
      <c r="G938" s="36" t="s">
        <v>62</v>
      </c>
      <c r="H938" s="38">
        <v>16235</v>
      </c>
      <c r="I938" s="40">
        <v>13565</v>
      </c>
      <c r="J938" s="40"/>
      <c r="K938" s="40"/>
      <c r="L938" s="40"/>
      <c r="M938" s="40"/>
      <c r="N938" s="36" t="s">
        <v>2575</v>
      </c>
      <c r="O938" s="37">
        <v>45534</v>
      </c>
      <c r="P938" s="44" t="s">
        <v>58</v>
      </c>
      <c r="Q938" s="38">
        <v>382000</v>
      </c>
      <c r="R938" s="33">
        <f t="shared" si="106"/>
        <v>2034.75</v>
      </c>
      <c r="S938" s="35">
        <f t="shared" si="105"/>
        <v>135.65</v>
      </c>
      <c r="T938" s="34">
        <v>500</v>
      </c>
    </row>
    <row r="939" spans="1:20" x14ac:dyDescent="0.25">
      <c r="A939" s="36" t="s">
        <v>1066</v>
      </c>
      <c r="B939" s="36"/>
      <c r="C939" s="36" t="s">
        <v>36</v>
      </c>
      <c r="D939" s="39">
        <v>45534</v>
      </c>
      <c r="E939" s="39">
        <v>45899</v>
      </c>
      <c r="F939" s="36" t="s">
        <v>1796</v>
      </c>
      <c r="G939" s="36" t="s">
        <v>62</v>
      </c>
      <c r="H939" s="38">
        <v>16235</v>
      </c>
      <c r="I939" s="40">
        <v>13565</v>
      </c>
      <c r="J939" s="40"/>
      <c r="K939" s="40"/>
      <c r="L939" s="40"/>
      <c r="M939" s="40"/>
      <c r="N939" s="36" t="s">
        <v>2576</v>
      </c>
      <c r="O939" s="37">
        <v>45534</v>
      </c>
      <c r="P939" s="44" t="s">
        <v>58</v>
      </c>
      <c r="Q939" s="38">
        <v>382000</v>
      </c>
      <c r="R939" s="33">
        <f t="shared" si="106"/>
        <v>2034.75</v>
      </c>
      <c r="S939" s="35">
        <f t="shared" si="105"/>
        <v>135.65</v>
      </c>
      <c r="T939" s="34">
        <v>500</v>
      </c>
    </row>
    <row r="940" spans="1:20" x14ac:dyDescent="0.25">
      <c r="A940" s="36" t="s">
        <v>1067</v>
      </c>
      <c r="B940" s="36"/>
      <c r="C940" s="36" t="s">
        <v>36</v>
      </c>
      <c r="D940" s="39">
        <v>45900</v>
      </c>
      <c r="E940" s="39">
        <v>46265</v>
      </c>
      <c r="F940" s="36" t="s">
        <v>1796</v>
      </c>
      <c r="G940" s="36" t="s">
        <v>62</v>
      </c>
      <c r="H940" s="38">
        <v>16235</v>
      </c>
      <c r="I940" s="40">
        <v>13565</v>
      </c>
      <c r="J940" s="40"/>
      <c r="K940" s="40"/>
      <c r="L940" s="40"/>
      <c r="M940" s="40"/>
      <c r="N940" s="36" t="s">
        <v>2576</v>
      </c>
      <c r="O940" s="37">
        <v>45534</v>
      </c>
      <c r="P940" s="44" t="s">
        <v>58</v>
      </c>
      <c r="Q940" s="38">
        <v>382000</v>
      </c>
      <c r="R940" s="33">
        <f t="shared" si="106"/>
        <v>2034.75</v>
      </c>
      <c r="S940" s="35">
        <f t="shared" si="105"/>
        <v>135.65</v>
      </c>
      <c r="T940" s="34">
        <v>500</v>
      </c>
    </row>
    <row r="941" spans="1:20" x14ac:dyDescent="0.25">
      <c r="A941" s="36" t="s">
        <v>1068</v>
      </c>
      <c r="B941" s="36"/>
      <c r="C941" s="36" t="s">
        <v>66</v>
      </c>
      <c r="D941" s="39">
        <v>45534</v>
      </c>
      <c r="E941" s="39">
        <v>45899</v>
      </c>
      <c r="F941" s="36" t="s">
        <v>1797</v>
      </c>
      <c r="G941" s="36" t="s">
        <v>62</v>
      </c>
      <c r="H941" s="38">
        <v>9550</v>
      </c>
      <c r="I941" s="40">
        <v>7802</v>
      </c>
      <c r="J941" s="40"/>
      <c r="K941" s="40"/>
      <c r="L941" s="40"/>
      <c r="M941" s="40"/>
      <c r="N941" s="36" t="s">
        <v>2577</v>
      </c>
      <c r="O941" s="37">
        <v>45534</v>
      </c>
      <c r="P941" s="44" t="s">
        <v>58</v>
      </c>
      <c r="Q941" s="38">
        <v>382000</v>
      </c>
      <c r="R941" s="33">
        <f t="shared" si="106"/>
        <v>1170.3</v>
      </c>
      <c r="S941" s="35">
        <f t="shared" si="105"/>
        <v>78.02</v>
      </c>
      <c r="T941" s="34">
        <v>500</v>
      </c>
    </row>
    <row r="942" spans="1:20" x14ac:dyDescent="0.25">
      <c r="A942" s="36" t="s">
        <v>1069</v>
      </c>
      <c r="B942" s="36"/>
      <c r="C942" s="36" t="s">
        <v>66</v>
      </c>
      <c r="D942" s="39">
        <v>45534</v>
      </c>
      <c r="E942" s="39">
        <v>45899</v>
      </c>
      <c r="F942" s="36" t="s">
        <v>1798</v>
      </c>
      <c r="G942" s="36" t="s">
        <v>62</v>
      </c>
      <c r="H942" s="38">
        <v>9550</v>
      </c>
      <c r="I942" s="40">
        <v>7802</v>
      </c>
      <c r="J942" s="40"/>
      <c r="K942" s="40"/>
      <c r="L942" s="40"/>
      <c r="M942" s="40"/>
      <c r="N942" s="36" t="s">
        <v>2578</v>
      </c>
      <c r="O942" s="37">
        <v>45534</v>
      </c>
      <c r="P942" s="44" t="s">
        <v>58</v>
      </c>
      <c r="Q942" s="38">
        <v>382000</v>
      </c>
      <c r="R942" s="33">
        <f t="shared" si="106"/>
        <v>1170.3</v>
      </c>
      <c r="S942" s="35">
        <f t="shared" si="105"/>
        <v>78.02</v>
      </c>
      <c r="T942" s="34">
        <v>500</v>
      </c>
    </row>
    <row r="943" spans="1:20" x14ac:dyDescent="0.25">
      <c r="A943" s="36" t="s">
        <v>1070</v>
      </c>
      <c r="B943" s="36"/>
      <c r="C943" s="36" t="s">
        <v>66</v>
      </c>
      <c r="D943" s="39">
        <v>45534</v>
      </c>
      <c r="E943" s="39">
        <v>45899</v>
      </c>
      <c r="F943" s="36" t="s">
        <v>1799</v>
      </c>
      <c r="G943" s="36" t="s">
        <v>61</v>
      </c>
      <c r="H943" s="38">
        <v>8800</v>
      </c>
      <c r="I943" s="40">
        <v>7155</v>
      </c>
      <c r="J943" s="40"/>
      <c r="K943" s="40"/>
      <c r="L943" s="40"/>
      <c r="M943" s="40"/>
      <c r="N943" s="36" t="s">
        <v>2579</v>
      </c>
      <c r="O943" s="37">
        <v>45534</v>
      </c>
      <c r="P943" s="44" t="s">
        <v>58</v>
      </c>
      <c r="Q943" s="38">
        <v>352000</v>
      </c>
      <c r="R943" s="33">
        <f t="shared" si="106"/>
        <v>1073.25</v>
      </c>
      <c r="S943" s="35">
        <f t="shared" si="105"/>
        <v>71.55</v>
      </c>
      <c r="T943" s="34">
        <v>500</v>
      </c>
    </row>
    <row r="944" spans="1:20" x14ac:dyDescent="0.25">
      <c r="A944" s="36" t="s">
        <v>1071</v>
      </c>
      <c r="B944" s="36"/>
      <c r="C944" s="36" t="s">
        <v>36</v>
      </c>
      <c r="D944" s="39">
        <v>45534</v>
      </c>
      <c r="E944" s="39">
        <v>45899</v>
      </c>
      <c r="F944" s="36" t="s">
        <v>1800</v>
      </c>
      <c r="G944" s="36" t="s">
        <v>62</v>
      </c>
      <c r="H944" s="38">
        <v>16235</v>
      </c>
      <c r="I944" s="40">
        <v>13565</v>
      </c>
      <c r="J944" s="40"/>
      <c r="K944" s="40"/>
      <c r="L944" s="40"/>
      <c r="M944" s="40"/>
      <c r="N944" s="36" t="s">
        <v>2580</v>
      </c>
      <c r="O944" s="37">
        <v>45534</v>
      </c>
      <c r="P944" s="44" t="s">
        <v>58</v>
      </c>
      <c r="Q944" s="38">
        <v>382000</v>
      </c>
      <c r="R944" s="33">
        <f t="shared" si="106"/>
        <v>2034.75</v>
      </c>
      <c r="S944" s="35">
        <f t="shared" si="105"/>
        <v>135.65</v>
      </c>
      <c r="T944" s="34">
        <v>500</v>
      </c>
    </row>
    <row r="945" spans="1:20" x14ac:dyDescent="0.25">
      <c r="A945" s="36" t="s">
        <v>1072</v>
      </c>
      <c r="B945" s="36"/>
      <c r="C945" s="36" t="s">
        <v>66</v>
      </c>
      <c r="D945" s="39">
        <v>45534</v>
      </c>
      <c r="E945" s="39">
        <v>45899</v>
      </c>
      <c r="F945" s="36" t="s">
        <v>1801</v>
      </c>
      <c r="G945" s="36" t="s">
        <v>61</v>
      </c>
      <c r="H945" s="38">
        <v>8800</v>
      </c>
      <c r="I945" s="40">
        <v>7155</v>
      </c>
      <c r="J945" s="40"/>
      <c r="K945" s="40"/>
      <c r="L945" s="40"/>
      <c r="M945" s="40"/>
      <c r="N945" s="36" t="s">
        <v>2581</v>
      </c>
      <c r="O945" s="37">
        <v>45534</v>
      </c>
      <c r="P945" s="44" t="s">
        <v>58</v>
      </c>
      <c r="Q945" s="38">
        <v>352000</v>
      </c>
      <c r="R945" s="33">
        <f t="shared" si="106"/>
        <v>1073.25</v>
      </c>
      <c r="S945" s="35">
        <f t="shared" si="105"/>
        <v>71.55</v>
      </c>
      <c r="T945" s="34">
        <v>500</v>
      </c>
    </row>
    <row r="946" spans="1:20" x14ac:dyDescent="0.25">
      <c r="A946" s="36" t="s">
        <v>1073</v>
      </c>
      <c r="B946" s="36"/>
      <c r="C946" s="36" t="s">
        <v>36</v>
      </c>
      <c r="D946" s="39">
        <v>45534</v>
      </c>
      <c r="E946" s="39">
        <v>45899</v>
      </c>
      <c r="F946" s="36" t="s">
        <v>1802</v>
      </c>
      <c r="G946" s="36" t="s">
        <v>62</v>
      </c>
      <c r="H946" s="38">
        <v>16235</v>
      </c>
      <c r="I946" s="40">
        <v>13565</v>
      </c>
      <c r="J946" s="40"/>
      <c r="K946" s="40"/>
      <c r="L946" s="40"/>
      <c r="M946" s="40"/>
      <c r="N946" s="36" t="s">
        <v>2582</v>
      </c>
      <c r="O946" s="37">
        <v>45534</v>
      </c>
      <c r="P946" s="44" t="s">
        <v>58</v>
      </c>
      <c r="Q946" s="38">
        <v>382000</v>
      </c>
      <c r="R946" s="33">
        <f t="shared" si="106"/>
        <v>2034.75</v>
      </c>
      <c r="S946" s="35">
        <f t="shared" si="105"/>
        <v>135.65</v>
      </c>
      <c r="T946" s="34">
        <v>500</v>
      </c>
    </row>
    <row r="947" spans="1:20" x14ac:dyDescent="0.25">
      <c r="A947" s="36" t="s">
        <v>1074</v>
      </c>
      <c r="B947" s="36"/>
      <c r="C947" s="36" t="s">
        <v>30</v>
      </c>
      <c r="D947" s="39">
        <v>45534</v>
      </c>
      <c r="E947" s="39">
        <v>45899</v>
      </c>
      <c r="F947" s="36" t="s">
        <v>1803</v>
      </c>
      <c r="G947" s="36" t="s">
        <v>62</v>
      </c>
      <c r="H947" s="38">
        <v>16235</v>
      </c>
      <c r="I947" s="40">
        <v>13565</v>
      </c>
      <c r="J947" s="40"/>
      <c r="K947" s="40"/>
      <c r="L947" s="40"/>
      <c r="M947" s="40"/>
      <c r="N947" s="36" t="s">
        <v>2583</v>
      </c>
      <c r="O947" s="37">
        <v>45534</v>
      </c>
      <c r="P947" s="44" t="s">
        <v>58</v>
      </c>
      <c r="Q947" s="38">
        <v>382000</v>
      </c>
      <c r="R947" s="33">
        <f t="shared" si="106"/>
        <v>2034.75</v>
      </c>
      <c r="S947" s="35">
        <f t="shared" si="105"/>
        <v>135.65</v>
      </c>
      <c r="T947" s="34">
        <v>500</v>
      </c>
    </row>
    <row r="948" spans="1:20" x14ac:dyDescent="0.25">
      <c r="A948" s="36" t="s">
        <v>1075</v>
      </c>
      <c r="B948" s="36"/>
      <c r="C948" s="36" t="s">
        <v>66</v>
      </c>
      <c r="D948" s="39">
        <v>45534</v>
      </c>
      <c r="E948" s="39">
        <v>45899</v>
      </c>
      <c r="F948" s="36" t="s">
        <v>1804</v>
      </c>
      <c r="G948" s="36" t="s">
        <v>61</v>
      </c>
      <c r="H948" s="38">
        <v>8800</v>
      </c>
      <c r="I948" s="40">
        <v>7155</v>
      </c>
      <c r="J948" s="40"/>
      <c r="K948" s="40"/>
      <c r="L948" s="40"/>
      <c r="M948" s="40"/>
      <c r="N948" s="36" t="s">
        <v>2584</v>
      </c>
      <c r="O948" s="37">
        <v>45534</v>
      </c>
      <c r="P948" s="44" t="s">
        <v>58</v>
      </c>
      <c r="Q948" s="38">
        <v>352000</v>
      </c>
      <c r="R948" s="33">
        <f t="shared" si="106"/>
        <v>1073.25</v>
      </c>
      <c r="S948" s="35">
        <f t="shared" si="105"/>
        <v>71.55</v>
      </c>
      <c r="T948" s="34">
        <v>500</v>
      </c>
    </row>
    <row r="949" spans="1:20" x14ac:dyDescent="0.25">
      <c r="A949" s="36" t="s">
        <v>1076</v>
      </c>
      <c r="B949" s="36"/>
      <c r="C949" s="36" t="s">
        <v>66</v>
      </c>
      <c r="D949" s="39">
        <v>45534</v>
      </c>
      <c r="E949" s="39">
        <v>45899</v>
      </c>
      <c r="F949" s="36" t="s">
        <v>1805</v>
      </c>
      <c r="G949" s="36" t="s">
        <v>61</v>
      </c>
      <c r="H949" s="38">
        <v>8800</v>
      </c>
      <c r="I949" s="40">
        <v>7155</v>
      </c>
      <c r="J949" s="40"/>
      <c r="K949" s="40"/>
      <c r="L949" s="40"/>
      <c r="M949" s="40"/>
      <c r="N949" s="36" t="s">
        <v>2585</v>
      </c>
      <c r="O949" s="37">
        <v>45534</v>
      </c>
      <c r="P949" s="44" t="s">
        <v>58</v>
      </c>
      <c r="Q949" s="38">
        <v>352000</v>
      </c>
      <c r="R949" s="33">
        <f t="shared" si="106"/>
        <v>1073.25</v>
      </c>
      <c r="S949" s="35">
        <f t="shared" si="105"/>
        <v>71.55</v>
      </c>
      <c r="T949" s="34">
        <v>500</v>
      </c>
    </row>
    <row r="950" spans="1:20" x14ac:dyDescent="0.25">
      <c r="A950" s="36" t="s">
        <v>1077</v>
      </c>
      <c r="B950" s="36"/>
      <c r="C950" s="36" t="s">
        <v>32</v>
      </c>
      <c r="D950" s="39">
        <v>45534</v>
      </c>
      <c r="E950" s="39">
        <v>45899</v>
      </c>
      <c r="F950" s="36" t="s">
        <v>1806</v>
      </c>
      <c r="G950" s="36" t="s">
        <v>61</v>
      </c>
      <c r="H950" s="38">
        <v>14960</v>
      </c>
      <c r="I950" s="40">
        <v>12466</v>
      </c>
      <c r="J950" s="40"/>
      <c r="K950" s="40"/>
      <c r="L950" s="40"/>
      <c r="M950" s="40"/>
      <c r="N950" s="36" t="s">
        <v>2586</v>
      </c>
      <c r="O950" s="37">
        <v>45534</v>
      </c>
      <c r="P950" s="44" t="s">
        <v>58</v>
      </c>
      <c r="Q950" s="38">
        <v>352000</v>
      </c>
      <c r="R950" s="33">
        <f t="shared" si="106"/>
        <v>1869.9</v>
      </c>
      <c r="S950" s="35">
        <f t="shared" si="105"/>
        <v>124.66</v>
      </c>
      <c r="T950" s="34">
        <v>500</v>
      </c>
    </row>
    <row r="951" spans="1:20" x14ac:dyDescent="0.25">
      <c r="A951" s="36" t="s">
        <v>1078</v>
      </c>
      <c r="B951" s="36"/>
      <c r="C951" s="36" t="s">
        <v>36</v>
      </c>
      <c r="D951" s="39">
        <v>45534</v>
      </c>
      <c r="E951" s="39">
        <v>45899</v>
      </c>
      <c r="F951" s="36" t="s">
        <v>1807</v>
      </c>
      <c r="G951" s="36" t="s">
        <v>61</v>
      </c>
      <c r="H951" s="38">
        <v>14960</v>
      </c>
      <c r="I951" s="40">
        <v>12466</v>
      </c>
      <c r="J951" s="40"/>
      <c r="K951" s="40"/>
      <c r="L951" s="40"/>
      <c r="M951" s="40"/>
      <c r="N951" s="36" t="s">
        <v>2587</v>
      </c>
      <c r="O951" s="37">
        <v>45534</v>
      </c>
      <c r="P951" s="44" t="s">
        <v>58</v>
      </c>
      <c r="Q951" s="38">
        <v>352000</v>
      </c>
      <c r="R951" s="33">
        <f t="shared" si="106"/>
        <v>1869.9</v>
      </c>
      <c r="S951" s="35">
        <f t="shared" si="105"/>
        <v>124.66</v>
      </c>
      <c r="T951" s="34">
        <v>500</v>
      </c>
    </row>
    <row r="952" spans="1:20" x14ac:dyDescent="0.25">
      <c r="A952" s="36" t="s">
        <v>1079</v>
      </c>
      <c r="B952" s="36"/>
      <c r="C952" s="36" t="s">
        <v>66</v>
      </c>
      <c r="D952" s="39">
        <v>45534</v>
      </c>
      <c r="E952" s="39">
        <v>45899</v>
      </c>
      <c r="F952" s="36" t="s">
        <v>78</v>
      </c>
      <c r="G952" s="36" t="s">
        <v>61</v>
      </c>
      <c r="H952" s="38">
        <v>8800</v>
      </c>
      <c r="I952" s="40">
        <v>7155</v>
      </c>
      <c r="J952" s="40"/>
      <c r="K952" s="40"/>
      <c r="L952" s="40"/>
      <c r="M952" s="40"/>
      <c r="N952" s="36" t="s">
        <v>2588</v>
      </c>
      <c r="O952" s="37">
        <v>45534</v>
      </c>
      <c r="P952" s="44" t="s">
        <v>58</v>
      </c>
      <c r="Q952" s="38">
        <v>352000</v>
      </c>
      <c r="R952" s="33">
        <f t="shared" si="106"/>
        <v>1073.25</v>
      </c>
      <c r="S952" s="35">
        <f t="shared" si="105"/>
        <v>71.55</v>
      </c>
      <c r="T952" s="34">
        <v>500</v>
      </c>
    </row>
    <row r="953" spans="1:20" x14ac:dyDescent="0.25">
      <c r="A953" s="36" t="s">
        <v>1080</v>
      </c>
      <c r="B953" s="36"/>
      <c r="C953" s="36" t="s">
        <v>66</v>
      </c>
      <c r="D953" s="39">
        <v>45534</v>
      </c>
      <c r="E953" s="39">
        <v>45899</v>
      </c>
      <c r="F953" s="36" t="s">
        <v>114</v>
      </c>
      <c r="G953" s="36" t="s">
        <v>63</v>
      </c>
      <c r="H953" s="38">
        <v>13675</v>
      </c>
      <c r="I953" s="40">
        <v>11358</v>
      </c>
      <c r="J953" s="40"/>
      <c r="K953" s="40"/>
      <c r="L953" s="40"/>
      <c r="M953" s="40"/>
      <c r="N953" s="36" t="s">
        <v>2589</v>
      </c>
      <c r="O953" s="37">
        <v>45534</v>
      </c>
      <c r="P953" s="44" t="s">
        <v>58</v>
      </c>
      <c r="Q953" s="38">
        <v>547000</v>
      </c>
      <c r="R953" s="33">
        <f t="shared" si="106"/>
        <v>1703.7</v>
      </c>
      <c r="S953" s="35">
        <f t="shared" si="105"/>
        <v>113.58</v>
      </c>
      <c r="T953" s="34">
        <v>500</v>
      </c>
    </row>
    <row r="954" spans="1:20" x14ac:dyDescent="0.25">
      <c r="A954" s="36" t="s">
        <v>1081</v>
      </c>
      <c r="B954" s="36"/>
      <c r="C954" s="36" t="s">
        <v>32</v>
      </c>
      <c r="D954" s="39">
        <v>45534</v>
      </c>
      <c r="E954" s="39">
        <v>45899</v>
      </c>
      <c r="F954" s="36" t="s">
        <v>1808</v>
      </c>
      <c r="G954" s="36" t="s">
        <v>63</v>
      </c>
      <c r="H954" s="38">
        <v>23248</v>
      </c>
      <c r="I954" s="40">
        <v>19610</v>
      </c>
      <c r="J954" s="40"/>
      <c r="K954" s="40"/>
      <c r="L954" s="40"/>
      <c r="M954" s="40"/>
      <c r="N954" s="36" t="s">
        <v>2590</v>
      </c>
      <c r="O954" s="37">
        <v>45534</v>
      </c>
      <c r="P954" s="44" t="s">
        <v>58</v>
      </c>
      <c r="Q954" s="38">
        <v>547000</v>
      </c>
      <c r="R954" s="33">
        <f t="shared" si="106"/>
        <v>2941.5</v>
      </c>
      <c r="S954" s="35">
        <f t="shared" si="105"/>
        <v>196.1</v>
      </c>
      <c r="T954" s="34">
        <v>500</v>
      </c>
    </row>
    <row r="955" spans="1:20" x14ac:dyDescent="0.25">
      <c r="A955" s="36" t="s">
        <v>1082</v>
      </c>
      <c r="B955" s="36"/>
      <c r="C955" s="36" t="s">
        <v>66</v>
      </c>
      <c r="D955" s="39">
        <v>45534</v>
      </c>
      <c r="E955" s="39">
        <v>45899</v>
      </c>
      <c r="F955" s="36" t="s">
        <v>1809</v>
      </c>
      <c r="G955" s="36" t="s">
        <v>61</v>
      </c>
      <c r="H955" s="38">
        <v>8800</v>
      </c>
      <c r="I955" s="40">
        <v>7155</v>
      </c>
      <c r="J955" s="40"/>
      <c r="K955" s="40"/>
      <c r="L955" s="40"/>
      <c r="M955" s="40"/>
      <c r="N955" s="36" t="s">
        <v>2591</v>
      </c>
      <c r="O955" s="37">
        <v>45534</v>
      </c>
      <c r="P955" s="44" t="s">
        <v>58</v>
      </c>
      <c r="Q955" s="38">
        <v>352000</v>
      </c>
      <c r="R955" s="33">
        <f t="shared" si="106"/>
        <v>1073.25</v>
      </c>
      <c r="S955" s="35">
        <f t="shared" si="105"/>
        <v>71.55</v>
      </c>
      <c r="T955" s="34">
        <v>500</v>
      </c>
    </row>
    <row r="956" spans="1:20" x14ac:dyDescent="0.25">
      <c r="A956" s="36" t="s">
        <v>1083</v>
      </c>
      <c r="B956" s="36"/>
      <c r="C956" s="36" t="s">
        <v>66</v>
      </c>
      <c r="D956" s="39">
        <v>45534</v>
      </c>
      <c r="E956" s="39">
        <v>45899</v>
      </c>
      <c r="F956" s="36" t="s">
        <v>1810</v>
      </c>
      <c r="G956" s="36" t="s">
        <v>61</v>
      </c>
      <c r="H956" s="38">
        <v>8800</v>
      </c>
      <c r="I956" s="40">
        <v>7155</v>
      </c>
      <c r="J956" s="40"/>
      <c r="K956" s="40"/>
      <c r="L956" s="40"/>
      <c r="M956" s="40"/>
      <c r="N956" s="36" t="s">
        <v>2592</v>
      </c>
      <c r="O956" s="37">
        <v>45534</v>
      </c>
      <c r="P956" s="44" t="s">
        <v>58</v>
      </c>
      <c r="Q956" s="38">
        <v>352000</v>
      </c>
      <c r="R956" s="33">
        <f t="shared" si="106"/>
        <v>1073.25</v>
      </c>
      <c r="S956" s="35">
        <f t="shared" si="105"/>
        <v>71.55</v>
      </c>
      <c r="T956" s="34">
        <v>500</v>
      </c>
    </row>
    <row r="957" spans="1:20" x14ac:dyDescent="0.25">
      <c r="A957" s="36" t="s">
        <v>1084</v>
      </c>
      <c r="B957" s="36"/>
      <c r="C957" s="36" t="s">
        <v>35</v>
      </c>
      <c r="D957" s="39">
        <v>45534</v>
      </c>
      <c r="E957" s="39">
        <v>45899</v>
      </c>
      <c r="F957" s="36" t="s">
        <v>1811</v>
      </c>
      <c r="G957" s="36" t="s">
        <v>61</v>
      </c>
      <c r="H957" s="38">
        <v>14960</v>
      </c>
      <c r="I957" s="40">
        <v>12466</v>
      </c>
      <c r="J957" s="40"/>
      <c r="K957" s="40"/>
      <c r="L957" s="40"/>
      <c r="M957" s="40"/>
      <c r="N957" s="36" t="s">
        <v>2593</v>
      </c>
      <c r="O957" s="37">
        <v>45534</v>
      </c>
      <c r="P957" s="44" t="s">
        <v>58</v>
      </c>
      <c r="Q957" s="38">
        <v>352000</v>
      </c>
      <c r="R957" s="33">
        <f t="shared" si="106"/>
        <v>1869.9</v>
      </c>
      <c r="S957" s="35">
        <f t="shared" si="105"/>
        <v>124.66</v>
      </c>
      <c r="T957" s="34">
        <v>500</v>
      </c>
    </row>
    <row r="958" spans="1:20" x14ac:dyDescent="0.25">
      <c r="A958" s="36" t="s">
        <v>1085</v>
      </c>
      <c r="B958" s="36"/>
      <c r="C958" s="36" t="s">
        <v>35</v>
      </c>
      <c r="D958" s="39">
        <v>45900</v>
      </c>
      <c r="E958" s="39">
        <v>46265</v>
      </c>
      <c r="F958" s="36" t="s">
        <v>1811</v>
      </c>
      <c r="G958" s="36" t="s">
        <v>61</v>
      </c>
      <c r="H958" s="38">
        <v>14960</v>
      </c>
      <c r="I958" s="40">
        <v>12466</v>
      </c>
      <c r="J958" s="40"/>
      <c r="K958" s="40"/>
      <c r="L958" s="40"/>
      <c r="M958" s="40"/>
      <c r="N958" s="36" t="s">
        <v>2593</v>
      </c>
      <c r="O958" s="37">
        <v>45534</v>
      </c>
      <c r="P958" s="44" t="s">
        <v>58</v>
      </c>
      <c r="Q958" s="38">
        <v>352000</v>
      </c>
      <c r="R958" s="33">
        <f t="shared" si="106"/>
        <v>1869.9</v>
      </c>
      <c r="S958" s="35">
        <f t="shared" si="105"/>
        <v>124.66</v>
      </c>
      <c r="T958" s="34">
        <v>500</v>
      </c>
    </row>
    <row r="959" spans="1:20" x14ac:dyDescent="0.25">
      <c r="A959" s="36" t="s">
        <v>1086</v>
      </c>
      <c r="B959" s="36"/>
      <c r="C959" s="36" t="s">
        <v>81</v>
      </c>
      <c r="D959" s="39">
        <v>45534</v>
      </c>
      <c r="E959" s="39">
        <v>45899</v>
      </c>
      <c r="F959" s="36" t="s">
        <v>1454</v>
      </c>
      <c r="G959" s="36" t="s">
        <v>63</v>
      </c>
      <c r="H959" s="38">
        <v>13675</v>
      </c>
      <c r="I959" s="40">
        <v>11358</v>
      </c>
      <c r="J959" s="40"/>
      <c r="K959" s="40"/>
      <c r="L959" s="40"/>
      <c r="M959" s="40"/>
      <c r="N959" s="36" t="s">
        <v>2594</v>
      </c>
      <c r="O959" s="37">
        <v>45534</v>
      </c>
      <c r="P959" s="44" t="s">
        <v>58</v>
      </c>
      <c r="Q959" s="38">
        <v>547000</v>
      </c>
      <c r="R959" s="33">
        <f t="shared" si="106"/>
        <v>1703.7</v>
      </c>
      <c r="S959" s="35">
        <f t="shared" si="105"/>
        <v>113.58</v>
      </c>
      <c r="T959" s="34">
        <v>500</v>
      </c>
    </row>
    <row r="960" spans="1:20" x14ac:dyDescent="0.25">
      <c r="A960" s="36" t="s">
        <v>1087</v>
      </c>
      <c r="B960" s="36"/>
      <c r="C960" s="36" t="s">
        <v>81</v>
      </c>
      <c r="D960" s="39">
        <v>45534</v>
      </c>
      <c r="E960" s="39">
        <v>45899</v>
      </c>
      <c r="F960" s="36" t="s">
        <v>1812</v>
      </c>
      <c r="G960" s="36" t="s">
        <v>61</v>
      </c>
      <c r="H960" s="38">
        <v>8800</v>
      </c>
      <c r="I960" s="40">
        <v>7155</v>
      </c>
      <c r="J960" s="40"/>
      <c r="K960" s="40"/>
      <c r="L960" s="40"/>
      <c r="M960" s="40"/>
      <c r="N960" s="36" t="s">
        <v>2595</v>
      </c>
      <c r="O960" s="37">
        <v>45534</v>
      </c>
      <c r="P960" s="44" t="s">
        <v>58</v>
      </c>
      <c r="Q960" s="38">
        <v>352000</v>
      </c>
      <c r="R960" s="33">
        <f t="shared" si="106"/>
        <v>1073.25</v>
      </c>
      <c r="S960" s="35">
        <f t="shared" si="105"/>
        <v>71.55</v>
      </c>
      <c r="T960" s="34">
        <v>500</v>
      </c>
    </row>
    <row r="961" spans="1:20" x14ac:dyDescent="0.25">
      <c r="A961" s="36" t="s">
        <v>1088</v>
      </c>
      <c r="B961" s="36"/>
      <c r="C961" s="36" t="s">
        <v>39</v>
      </c>
      <c r="D961" s="39">
        <v>45534</v>
      </c>
      <c r="E961" s="39">
        <v>45899</v>
      </c>
      <c r="F961" s="36" t="s">
        <v>85</v>
      </c>
      <c r="G961" s="36" t="s">
        <v>63</v>
      </c>
      <c r="H961" s="38">
        <v>23248</v>
      </c>
      <c r="I961" s="40">
        <v>19610</v>
      </c>
      <c r="J961" s="40"/>
      <c r="K961" s="40"/>
      <c r="L961" s="40"/>
      <c r="M961" s="40"/>
      <c r="N961" s="36" t="s">
        <v>2596</v>
      </c>
      <c r="O961" s="37">
        <v>45534</v>
      </c>
      <c r="P961" s="44" t="s">
        <v>58</v>
      </c>
      <c r="Q961" s="38">
        <v>547000</v>
      </c>
      <c r="R961" s="33">
        <f t="shared" si="106"/>
        <v>2941.5</v>
      </c>
      <c r="S961" s="35">
        <f t="shared" si="105"/>
        <v>196.1</v>
      </c>
      <c r="T961" s="34">
        <v>500</v>
      </c>
    </row>
    <row r="962" spans="1:20" x14ac:dyDescent="0.25">
      <c r="A962" s="36" t="s">
        <v>1089</v>
      </c>
      <c r="B962" s="36"/>
      <c r="C962" s="36" t="s">
        <v>39</v>
      </c>
      <c r="D962" s="39">
        <v>45900</v>
      </c>
      <c r="E962" s="39">
        <v>46265</v>
      </c>
      <c r="F962" s="36" t="s">
        <v>85</v>
      </c>
      <c r="G962" s="36" t="s">
        <v>63</v>
      </c>
      <c r="H962" s="38">
        <v>23248</v>
      </c>
      <c r="I962" s="40">
        <v>19610</v>
      </c>
      <c r="J962" s="40"/>
      <c r="K962" s="40"/>
      <c r="L962" s="40"/>
      <c r="M962" s="40"/>
      <c r="N962" s="36" t="s">
        <v>2596</v>
      </c>
      <c r="O962" s="37">
        <v>45534</v>
      </c>
      <c r="P962" s="44" t="s">
        <v>58</v>
      </c>
      <c r="Q962" s="38">
        <v>547000</v>
      </c>
      <c r="R962" s="33">
        <f t="shared" si="106"/>
        <v>2941.5</v>
      </c>
      <c r="S962" s="35">
        <f t="shared" si="105"/>
        <v>196.1</v>
      </c>
      <c r="T962" s="34">
        <v>500</v>
      </c>
    </row>
    <row r="963" spans="1:20" x14ac:dyDescent="0.25">
      <c r="A963" s="36" t="s">
        <v>1090</v>
      </c>
      <c r="B963" s="36"/>
      <c r="C963" s="36" t="s">
        <v>30</v>
      </c>
      <c r="D963" s="39">
        <v>45534</v>
      </c>
      <c r="E963" s="39">
        <v>45899</v>
      </c>
      <c r="F963" s="36" t="s">
        <v>1813</v>
      </c>
      <c r="G963" s="36" t="s">
        <v>62</v>
      </c>
      <c r="H963" s="38">
        <v>16235</v>
      </c>
      <c r="I963" s="40">
        <v>13565</v>
      </c>
      <c r="J963" s="40"/>
      <c r="K963" s="40"/>
      <c r="L963" s="40"/>
      <c r="M963" s="40"/>
      <c r="N963" s="36" t="s">
        <v>2597</v>
      </c>
      <c r="O963" s="37">
        <v>45534</v>
      </c>
      <c r="P963" s="44" t="s">
        <v>58</v>
      </c>
      <c r="Q963" s="38">
        <v>382000</v>
      </c>
      <c r="R963" s="33">
        <f t="shared" si="106"/>
        <v>2034.75</v>
      </c>
      <c r="S963" s="35">
        <f t="shared" ref="S963:S1018" si="107">I963*1/100</f>
        <v>135.65</v>
      </c>
      <c r="T963" s="34">
        <v>500</v>
      </c>
    </row>
    <row r="964" spans="1:20" x14ac:dyDescent="0.25">
      <c r="A964" s="36" t="s">
        <v>1091</v>
      </c>
      <c r="B964" s="36"/>
      <c r="C964" s="36" t="s">
        <v>39</v>
      </c>
      <c r="D964" s="39">
        <v>45534</v>
      </c>
      <c r="E964" s="39">
        <v>45899</v>
      </c>
      <c r="F964" s="36" t="s">
        <v>1186</v>
      </c>
      <c r="G964" s="36" t="s">
        <v>63</v>
      </c>
      <c r="H964" s="38">
        <v>14960</v>
      </c>
      <c r="I964" s="40">
        <v>12466</v>
      </c>
      <c r="J964" s="40"/>
      <c r="K964" s="40"/>
      <c r="L964" s="40"/>
      <c r="M964" s="40"/>
      <c r="N964" s="36" t="s">
        <v>2598</v>
      </c>
      <c r="O964" s="37">
        <v>45534</v>
      </c>
      <c r="P964" s="44" t="s">
        <v>58</v>
      </c>
      <c r="Q964" s="38">
        <v>352000</v>
      </c>
      <c r="R964" s="33">
        <f t="shared" ref="R964:R1018" si="108">I964*15/100</f>
        <v>1869.9</v>
      </c>
      <c r="S964" s="35">
        <f t="shared" si="107"/>
        <v>124.66</v>
      </c>
      <c r="T964" s="34">
        <v>500</v>
      </c>
    </row>
    <row r="965" spans="1:20" x14ac:dyDescent="0.25">
      <c r="A965" s="36" t="s">
        <v>1092</v>
      </c>
      <c r="B965" s="36"/>
      <c r="C965" s="36" t="s">
        <v>39</v>
      </c>
      <c r="D965" s="39">
        <v>45900</v>
      </c>
      <c r="E965" s="39">
        <v>46265</v>
      </c>
      <c r="F965" s="36" t="s">
        <v>1186</v>
      </c>
      <c r="G965" s="36" t="s">
        <v>63</v>
      </c>
      <c r="H965" s="38">
        <v>14960</v>
      </c>
      <c r="I965" s="40">
        <v>12466</v>
      </c>
      <c r="J965" s="40"/>
      <c r="K965" s="40"/>
      <c r="L965" s="40"/>
      <c r="M965" s="40"/>
      <c r="N965" s="36" t="s">
        <v>2598</v>
      </c>
      <c r="O965" s="37">
        <v>45534</v>
      </c>
      <c r="P965" s="44" t="s">
        <v>58</v>
      </c>
      <c r="Q965" s="38">
        <v>352000</v>
      </c>
      <c r="R965" s="33">
        <f t="shared" si="108"/>
        <v>1869.9</v>
      </c>
      <c r="S965" s="35">
        <f t="shared" si="107"/>
        <v>124.66</v>
      </c>
      <c r="T965" s="34">
        <v>500</v>
      </c>
    </row>
    <row r="966" spans="1:20" x14ac:dyDescent="0.25">
      <c r="A966" s="36" t="s">
        <v>1093</v>
      </c>
      <c r="B966" s="36"/>
      <c r="C966" s="36" t="s">
        <v>30</v>
      </c>
      <c r="D966" s="39">
        <v>45534</v>
      </c>
      <c r="E966" s="39">
        <v>45899</v>
      </c>
      <c r="F966" s="36" t="s">
        <v>1814</v>
      </c>
      <c r="G966" s="36" t="s">
        <v>62</v>
      </c>
      <c r="H966" s="38">
        <v>16235</v>
      </c>
      <c r="I966" s="40">
        <v>13565</v>
      </c>
      <c r="J966" s="40"/>
      <c r="K966" s="40"/>
      <c r="L966" s="40"/>
      <c r="M966" s="40"/>
      <c r="N966" s="36" t="s">
        <v>2599</v>
      </c>
      <c r="O966" s="37">
        <v>45534</v>
      </c>
      <c r="P966" s="44" t="s">
        <v>58</v>
      </c>
      <c r="Q966" s="38">
        <v>382000</v>
      </c>
      <c r="R966" s="33">
        <f t="shared" si="108"/>
        <v>2034.75</v>
      </c>
      <c r="S966" s="35">
        <f t="shared" si="107"/>
        <v>135.65</v>
      </c>
      <c r="T966" s="34">
        <v>500</v>
      </c>
    </row>
    <row r="967" spans="1:20" x14ac:dyDescent="0.25">
      <c r="A967" s="36" t="s">
        <v>1094</v>
      </c>
      <c r="B967" s="36"/>
      <c r="C967" s="36" t="s">
        <v>30</v>
      </c>
      <c r="D967" s="39">
        <v>45900</v>
      </c>
      <c r="E967" s="39">
        <v>46265</v>
      </c>
      <c r="F967" s="36" t="s">
        <v>1814</v>
      </c>
      <c r="G967" s="36" t="s">
        <v>62</v>
      </c>
      <c r="H967" s="38">
        <v>16235</v>
      </c>
      <c r="I967" s="40">
        <v>13565</v>
      </c>
      <c r="J967" s="40"/>
      <c r="K967" s="40"/>
      <c r="L967" s="40"/>
      <c r="M967" s="40"/>
      <c r="N967" s="36" t="s">
        <v>2599</v>
      </c>
      <c r="O967" s="37">
        <v>45534</v>
      </c>
      <c r="P967" s="44" t="s">
        <v>58</v>
      </c>
      <c r="Q967" s="38">
        <v>382000</v>
      </c>
      <c r="R967" s="33">
        <f t="shared" si="108"/>
        <v>2034.75</v>
      </c>
      <c r="S967" s="35">
        <f t="shared" si="107"/>
        <v>135.65</v>
      </c>
      <c r="T967" s="34">
        <v>500</v>
      </c>
    </row>
    <row r="968" spans="1:20" x14ac:dyDescent="0.25">
      <c r="A968" s="36" t="s">
        <v>1095</v>
      </c>
      <c r="B968" s="36"/>
      <c r="C968" s="36" t="s">
        <v>35</v>
      </c>
      <c r="D968" s="39">
        <v>45534</v>
      </c>
      <c r="E968" s="39">
        <v>45899</v>
      </c>
      <c r="F968" s="36" t="s">
        <v>1815</v>
      </c>
      <c r="G968" s="36" t="s">
        <v>61</v>
      </c>
      <c r="H968" s="38">
        <v>14960</v>
      </c>
      <c r="I968" s="40">
        <v>12466</v>
      </c>
      <c r="J968" s="40"/>
      <c r="K968" s="40"/>
      <c r="L968" s="40"/>
      <c r="M968" s="40"/>
      <c r="N968" s="36" t="s">
        <v>2600</v>
      </c>
      <c r="O968" s="37">
        <v>45534</v>
      </c>
      <c r="P968" s="44" t="s">
        <v>58</v>
      </c>
      <c r="Q968" s="38">
        <v>352000</v>
      </c>
      <c r="R968" s="33">
        <f t="shared" si="108"/>
        <v>1869.9</v>
      </c>
      <c r="S968" s="35">
        <f t="shared" si="107"/>
        <v>124.66</v>
      </c>
      <c r="T968" s="34">
        <v>500</v>
      </c>
    </row>
    <row r="969" spans="1:20" x14ac:dyDescent="0.25">
      <c r="A969" s="36" t="s">
        <v>1096</v>
      </c>
      <c r="B969" s="36"/>
      <c r="C969" s="36" t="s">
        <v>35</v>
      </c>
      <c r="D969" s="39">
        <v>45900</v>
      </c>
      <c r="E969" s="39">
        <v>46265</v>
      </c>
      <c r="F969" s="36" t="s">
        <v>1815</v>
      </c>
      <c r="G969" s="36" t="s">
        <v>61</v>
      </c>
      <c r="H969" s="38">
        <v>14960</v>
      </c>
      <c r="I969" s="40">
        <v>12466</v>
      </c>
      <c r="J969" s="40"/>
      <c r="K969" s="40"/>
      <c r="L969" s="40"/>
      <c r="M969" s="40"/>
      <c r="N969" s="36" t="s">
        <v>2600</v>
      </c>
      <c r="O969" s="37">
        <v>45534</v>
      </c>
      <c r="P969" s="44" t="s">
        <v>58</v>
      </c>
      <c r="Q969" s="38">
        <v>352000</v>
      </c>
      <c r="R969" s="33">
        <f t="shared" si="108"/>
        <v>1869.9</v>
      </c>
      <c r="S969" s="35">
        <f t="shared" si="107"/>
        <v>124.66</v>
      </c>
      <c r="T969" s="34">
        <v>500</v>
      </c>
    </row>
    <row r="970" spans="1:20" x14ac:dyDescent="0.25">
      <c r="A970" s="36" t="s">
        <v>1097</v>
      </c>
      <c r="B970" s="36"/>
      <c r="C970" s="36" t="s">
        <v>39</v>
      </c>
      <c r="D970" s="39">
        <v>45534</v>
      </c>
      <c r="E970" s="39">
        <v>45899</v>
      </c>
      <c r="F970" s="36" t="s">
        <v>1816</v>
      </c>
      <c r="G970" s="36" t="s">
        <v>61</v>
      </c>
      <c r="H970" s="38">
        <v>14960</v>
      </c>
      <c r="I970" s="40">
        <v>12466</v>
      </c>
      <c r="J970" s="40"/>
      <c r="K970" s="40"/>
      <c r="L970" s="40"/>
      <c r="M970" s="40"/>
      <c r="N970" s="36" t="s">
        <v>2601</v>
      </c>
      <c r="O970" s="37">
        <v>45534</v>
      </c>
      <c r="P970" s="44" t="s">
        <v>58</v>
      </c>
      <c r="Q970" s="38">
        <v>352000</v>
      </c>
      <c r="R970" s="33">
        <f t="shared" si="108"/>
        <v>1869.9</v>
      </c>
      <c r="S970" s="35">
        <f t="shared" si="107"/>
        <v>124.66</v>
      </c>
      <c r="T970" s="34">
        <v>500</v>
      </c>
    </row>
    <row r="971" spans="1:20" x14ac:dyDescent="0.25">
      <c r="A971" s="36" t="s">
        <v>1098</v>
      </c>
      <c r="B971" s="36"/>
      <c r="C971" s="36" t="s">
        <v>39</v>
      </c>
      <c r="D971" s="39">
        <v>45900</v>
      </c>
      <c r="E971" s="39">
        <v>46265</v>
      </c>
      <c r="F971" s="36" t="s">
        <v>1816</v>
      </c>
      <c r="G971" s="36" t="s">
        <v>61</v>
      </c>
      <c r="H971" s="38">
        <v>14960</v>
      </c>
      <c r="I971" s="40">
        <v>12466</v>
      </c>
      <c r="J971" s="40"/>
      <c r="K971" s="40"/>
      <c r="L971" s="40"/>
      <c r="M971" s="40"/>
      <c r="N971" s="36" t="s">
        <v>2601</v>
      </c>
      <c r="O971" s="37">
        <v>45534</v>
      </c>
      <c r="P971" s="44" t="s">
        <v>58</v>
      </c>
      <c r="Q971" s="38">
        <v>352000</v>
      </c>
      <c r="R971" s="33">
        <f t="shared" si="108"/>
        <v>1869.9</v>
      </c>
      <c r="S971" s="35">
        <f t="shared" si="107"/>
        <v>124.66</v>
      </c>
      <c r="T971" s="34">
        <v>500</v>
      </c>
    </row>
    <row r="972" spans="1:20" x14ac:dyDescent="0.25">
      <c r="A972" s="36" t="s">
        <v>1099</v>
      </c>
      <c r="B972" s="36"/>
      <c r="C972" s="36" t="s">
        <v>30</v>
      </c>
      <c r="D972" s="39">
        <v>45534</v>
      </c>
      <c r="E972" s="39">
        <v>45899</v>
      </c>
      <c r="F972" s="36" t="s">
        <v>1817</v>
      </c>
      <c r="G972" s="36" t="s">
        <v>61</v>
      </c>
      <c r="H972" s="38">
        <v>14960</v>
      </c>
      <c r="I972" s="40">
        <v>12466</v>
      </c>
      <c r="J972" s="40"/>
      <c r="K972" s="40"/>
      <c r="L972" s="40"/>
      <c r="M972" s="40"/>
      <c r="N972" s="36" t="s">
        <v>2602</v>
      </c>
      <c r="O972" s="37">
        <v>45534</v>
      </c>
      <c r="P972" s="44" t="s">
        <v>58</v>
      </c>
      <c r="Q972" s="38">
        <v>352000</v>
      </c>
      <c r="R972" s="33">
        <f t="shared" si="108"/>
        <v>1869.9</v>
      </c>
      <c r="S972" s="35">
        <f t="shared" si="107"/>
        <v>124.66</v>
      </c>
      <c r="T972" s="34">
        <v>500</v>
      </c>
    </row>
    <row r="973" spans="1:20" x14ac:dyDescent="0.25">
      <c r="A973" s="36" t="s">
        <v>1100</v>
      </c>
      <c r="B973" s="36"/>
      <c r="C973" s="36" t="s">
        <v>30</v>
      </c>
      <c r="D973" s="39">
        <v>45900</v>
      </c>
      <c r="E973" s="39">
        <v>46265</v>
      </c>
      <c r="F973" s="36" t="s">
        <v>1817</v>
      </c>
      <c r="G973" s="36" t="s">
        <v>61</v>
      </c>
      <c r="H973" s="38">
        <v>14960</v>
      </c>
      <c r="I973" s="40">
        <v>12466</v>
      </c>
      <c r="J973" s="40"/>
      <c r="K973" s="40"/>
      <c r="L973" s="40"/>
      <c r="M973" s="40"/>
      <c r="N973" s="36" t="s">
        <v>2602</v>
      </c>
      <c r="O973" s="37">
        <v>45534</v>
      </c>
      <c r="P973" s="44" t="s">
        <v>58</v>
      </c>
      <c r="Q973" s="38">
        <v>352000</v>
      </c>
      <c r="R973" s="33">
        <f t="shared" si="108"/>
        <v>1869.9</v>
      </c>
      <c r="S973" s="35">
        <f t="shared" si="107"/>
        <v>124.66</v>
      </c>
      <c r="T973" s="34">
        <v>500</v>
      </c>
    </row>
    <row r="974" spans="1:20" x14ac:dyDescent="0.25">
      <c r="A974" s="36" t="s">
        <v>1101</v>
      </c>
      <c r="B974" s="36"/>
      <c r="C974" s="36" t="s">
        <v>31</v>
      </c>
      <c r="D974" s="39">
        <v>45535</v>
      </c>
      <c r="E974" s="39">
        <v>45900</v>
      </c>
      <c r="F974" s="36" t="s">
        <v>1818</v>
      </c>
      <c r="G974" s="36" t="s">
        <v>63</v>
      </c>
      <c r="H974" s="38">
        <v>23248</v>
      </c>
      <c r="I974" s="40">
        <v>19610</v>
      </c>
      <c r="J974" s="40"/>
      <c r="K974" s="40"/>
      <c r="L974" s="40"/>
      <c r="M974" s="40"/>
      <c r="N974" s="36" t="s">
        <v>2603</v>
      </c>
      <c r="O974" s="37">
        <v>45535</v>
      </c>
      <c r="P974" s="44" t="s">
        <v>58</v>
      </c>
      <c r="Q974" s="38">
        <v>547000</v>
      </c>
      <c r="R974" s="33">
        <f t="shared" si="108"/>
        <v>2941.5</v>
      </c>
      <c r="S974" s="35">
        <f t="shared" si="107"/>
        <v>196.1</v>
      </c>
      <c r="T974" s="34">
        <v>500</v>
      </c>
    </row>
    <row r="975" spans="1:20" x14ac:dyDescent="0.25">
      <c r="A975" s="36" t="s">
        <v>1102</v>
      </c>
      <c r="B975" s="36"/>
      <c r="C975" s="36" t="s">
        <v>35</v>
      </c>
      <c r="D975" s="39">
        <v>45535</v>
      </c>
      <c r="E975" s="39">
        <v>45900</v>
      </c>
      <c r="F975" s="36" t="s">
        <v>107</v>
      </c>
      <c r="G975" s="36" t="s">
        <v>63</v>
      </c>
      <c r="H975" s="38">
        <v>23248</v>
      </c>
      <c r="I975" s="40">
        <v>19610</v>
      </c>
      <c r="J975" s="40"/>
      <c r="K975" s="40"/>
      <c r="L975" s="40"/>
      <c r="M975" s="40"/>
      <c r="N975" s="36" t="s">
        <v>2604</v>
      </c>
      <c r="O975" s="37">
        <v>45535</v>
      </c>
      <c r="P975" s="44" t="s">
        <v>58</v>
      </c>
      <c r="Q975" s="38">
        <v>547000</v>
      </c>
      <c r="R975" s="33">
        <f t="shared" si="108"/>
        <v>2941.5</v>
      </c>
      <c r="S975" s="35">
        <f t="shared" si="107"/>
        <v>196.1</v>
      </c>
      <c r="T975" s="34">
        <v>500</v>
      </c>
    </row>
    <row r="976" spans="1:20" x14ac:dyDescent="0.25">
      <c r="A976" s="36" t="s">
        <v>1103</v>
      </c>
      <c r="B976" s="36"/>
      <c r="C976" s="36" t="s">
        <v>35</v>
      </c>
      <c r="D976" s="39">
        <v>45901</v>
      </c>
      <c r="E976" s="39">
        <v>46266</v>
      </c>
      <c r="F976" s="36" t="s">
        <v>107</v>
      </c>
      <c r="G976" s="36" t="s">
        <v>63</v>
      </c>
      <c r="H976" s="38">
        <v>23248</v>
      </c>
      <c r="I976" s="40">
        <v>19610</v>
      </c>
      <c r="J976" s="40"/>
      <c r="K976" s="40"/>
      <c r="L976" s="40"/>
      <c r="M976" s="40"/>
      <c r="N976" s="36" t="s">
        <v>2604</v>
      </c>
      <c r="O976" s="37">
        <v>45535</v>
      </c>
      <c r="P976" s="44" t="s">
        <v>58</v>
      </c>
      <c r="Q976" s="38">
        <v>547000</v>
      </c>
      <c r="R976" s="33">
        <f t="shared" si="108"/>
        <v>2941.5</v>
      </c>
      <c r="S976" s="35">
        <f t="shared" si="107"/>
        <v>196.1</v>
      </c>
      <c r="T976" s="34">
        <v>500</v>
      </c>
    </row>
    <row r="977" spans="1:20" x14ac:dyDescent="0.25">
      <c r="A977" s="36" t="s">
        <v>1104</v>
      </c>
      <c r="B977" s="36"/>
      <c r="C977" s="36" t="s">
        <v>31</v>
      </c>
      <c r="D977" s="39">
        <v>45535</v>
      </c>
      <c r="E977" s="39">
        <v>45900</v>
      </c>
      <c r="F977" s="36" t="s">
        <v>1819</v>
      </c>
      <c r="G977" s="36" t="s">
        <v>61</v>
      </c>
      <c r="H977" s="38">
        <v>14960</v>
      </c>
      <c r="I977" s="40">
        <v>12466</v>
      </c>
      <c r="J977" s="40"/>
      <c r="K977" s="40"/>
      <c r="L977" s="40"/>
      <c r="M977" s="40"/>
      <c r="N977" s="36" t="s">
        <v>2605</v>
      </c>
      <c r="O977" s="37">
        <v>45535</v>
      </c>
      <c r="P977" s="44" t="s">
        <v>58</v>
      </c>
      <c r="Q977" s="38">
        <v>352000</v>
      </c>
      <c r="R977" s="33">
        <f t="shared" si="108"/>
        <v>1869.9</v>
      </c>
      <c r="S977" s="35">
        <f t="shared" si="107"/>
        <v>124.66</v>
      </c>
      <c r="T977" s="34">
        <v>500</v>
      </c>
    </row>
    <row r="978" spans="1:20" x14ac:dyDescent="0.25">
      <c r="A978" s="36" t="s">
        <v>1105</v>
      </c>
      <c r="B978" s="36"/>
      <c r="C978" s="36" t="s">
        <v>31</v>
      </c>
      <c r="D978" s="39">
        <v>45535</v>
      </c>
      <c r="E978" s="39">
        <v>45900</v>
      </c>
      <c r="F978" s="36" t="s">
        <v>1820</v>
      </c>
      <c r="G978" s="36" t="s">
        <v>61</v>
      </c>
      <c r="H978" s="38">
        <v>14960</v>
      </c>
      <c r="I978" s="40">
        <v>12466</v>
      </c>
      <c r="J978" s="40"/>
      <c r="K978" s="40"/>
      <c r="L978" s="40"/>
      <c r="M978" s="40"/>
      <c r="N978" s="36" t="s">
        <v>2606</v>
      </c>
      <c r="O978" s="37">
        <v>45535</v>
      </c>
      <c r="P978" s="44" t="s">
        <v>58</v>
      </c>
      <c r="Q978" s="38">
        <v>352000</v>
      </c>
      <c r="R978" s="33">
        <f t="shared" si="108"/>
        <v>1869.9</v>
      </c>
      <c r="S978" s="35">
        <f t="shared" si="107"/>
        <v>124.66</v>
      </c>
      <c r="T978" s="34">
        <v>500</v>
      </c>
    </row>
    <row r="979" spans="1:20" x14ac:dyDescent="0.25">
      <c r="A979" s="36" t="s">
        <v>1106</v>
      </c>
      <c r="B979" s="36"/>
      <c r="C979" s="36" t="s">
        <v>31</v>
      </c>
      <c r="D979" s="39">
        <v>45535</v>
      </c>
      <c r="E979" s="39">
        <v>45900</v>
      </c>
      <c r="F979" s="36" t="s">
        <v>1821</v>
      </c>
      <c r="G979" s="36" t="s">
        <v>61</v>
      </c>
      <c r="H979" s="38">
        <v>14960</v>
      </c>
      <c r="I979" s="40">
        <v>12466</v>
      </c>
      <c r="J979" s="40"/>
      <c r="K979" s="40"/>
      <c r="L979" s="40"/>
      <c r="M979" s="40"/>
      <c r="N979" s="36" t="s">
        <v>2607</v>
      </c>
      <c r="O979" s="37">
        <v>45535</v>
      </c>
      <c r="P979" s="44" t="s">
        <v>58</v>
      </c>
      <c r="Q979" s="38">
        <v>352000</v>
      </c>
      <c r="R979" s="33">
        <f t="shared" si="108"/>
        <v>1869.9</v>
      </c>
      <c r="S979" s="35">
        <f t="shared" si="107"/>
        <v>124.66</v>
      </c>
      <c r="T979" s="34">
        <v>500</v>
      </c>
    </row>
    <row r="980" spans="1:20" x14ac:dyDescent="0.25">
      <c r="A980" s="36" t="s">
        <v>1107</v>
      </c>
      <c r="B980" s="36"/>
      <c r="C980" s="36" t="s">
        <v>32</v>
      </c>
      <c r="D980" s="39">
        <v>45535</v>
      </c>
      <c r="E980" s="39">
        <v>45900</v>
      </c>
      <c r="F980" s="36" t="s">
        <v>1822</v>
      </c>
      <c r="G980" s="36" t="s">
        <v>62</v>
      </c>
      <c r="H980" s="38">
        <v>16235</v>
      </c>
      <c r="I980" s="40">
        <v>13565</v>
      </c>
      <c r="J980" s="40"/>
      <c r="K980" s="40"/>
      <c r="L980" s="40"/>
      <c r="M980" s="40"/>
      <c r="N980" s="36" t="s">
        <v>2608</v>
      </c>
      <c r="O980" s="37">
        <v>45535</v>
      </c>
      <c r="P980" s="44" t="s">
        <v>58</v>
      </c>
      <c r="Q980" s="38">
        <v>382000</v>
      </c>
      <c r="R980" s="33">
        <f t="shared" si="108"/>
        <v>2034.75</v>
      </c>
      <c r="S980" s="35">
        <f t="shared" si="107"/>
        <v>135.65</v>
      </c>
      <c r="T980" s="34">
        <v>500</v>
      </c>
    </row>
    <row r="981" spans="1:20" x14ac:dyDescent="0.25">
      <c r="A981" s="36" t="s">
        <v>1108</v>
      </c>
      <c r="B981" s="36"/>
      <c r="C981" s="36" t="s">
        <v>32</v>
      </c>
      <c r="D981" s="39">
        <v>45901</v>
      </c>
      <c r="E981" s="39">
        <v>46266</v>
      </c>
      <c r="F981" s="36" t="s">
        <v>1822</v>
      </c>
      <c r="G981" s="36" t="s">
        <v>62</v>
      </c>
      <c r="H981" s="38">
        <v>16235</v>
      </c>
      <c r="I981" s="40">
        <v>13565</v>
      </c>
      <c r="J981" s="40"/>
      <c r="K981" s="40"/>
      <c r="L981" s="40"/>
      <c r="M981" s="40"/>
      <c r="N981" s="36" t="s">
        <v>2608</v>
      </c>
      <c r="O981" s="37">
        <v>45535</v>
      </c>
      <c r="P981" s="44" t="s">
        <v>58</v>
      </c>
      <c r="Q981" s="38">
        <v>382000</v>
      </c>
      <c r="R981" s="33">
        <f t="shared" si="108"/>
        <v>2034.75</v>
      </c>
      <c r="S981" s="35">
        <f t="shared" si="107"/>
        <v>135.65</v>
      </c>
      <c r="T981" s="34">
        <v>500</v>
      </c>
    </row>
    <row r="982" spans="1:20" x14ac:dyDescent="0.25">
      <c r="A982" s="36" t="s">
        <v>1109</v>
      </c>
      <c r="B982" s="36"/>
      <c r="C982" s="36" t="s">
        <v>55</v>
      </c>
      <c r="D982" s="39">
        <v>45535</v>
      </c>
      <c r="E982" s="39">
        <v>45900</v>
      </c>
      <c r="F982" s="36" t="s">
        <v>110</v>
      </c>
      <c r="G982" s="36" t="s">
        <v>61</v>
      </c>
      <c r="H982" s="38">
        <v>8800</v>
      </c>
      <c r="I982" s="40">
        <v>7155</v>
      </c>
      <c r="J982" s="40"/>
      <c r="K982" s="40"/>
      <c r="L982" s="40"/>
      <c r="M982" s="40"/>
      <c r="N982" s="36" t="s">
        <v>2609</v>
      </c>
      <c r="O982" s="37">
        <v>45535</v>
      </c>
      <c r="P982" s="44" t="s">
        <v>58</v>
      </c>
      <c r="Q982" s="38">
        <v>352000</v>
      </c>
      <c r="R982" s="33">
        <f t="shared" si="108"/>
        <v>1073.25</v>
      </c>
      <c r="S982" s="35">
        <f t="shared" si="107"/>
        <v>71.55</v>
      </c>
      <c r="T982" s="34">
        <v>500</v>
      </c>
    </row>
    <row r="983" spans="1:20" x14ac:dyDescent="0.25">
      <c r="A983" s="36" t="s">
        <v>1110</v>
      </c>
      <c r="B983" s="36"/>
      <c r="C983" s="36" t="s">
        <v>55</v>
      </c>
      <c r="D983" s="39">
        <v>45535</v>
      </c>
      <c r="E983" s="39">
        <v>45900</v>
      </c>
      <c r="F983" s="36" t="s">
        <v>1823</v>
      </c>
      <c r="G983" s="36" t="s">
        <v>61</v>
      </c>
      <c r="H983" s="38">
        <v>8800</v>
      </c>
      <c r="I983" s="40">
        <v>7155</v>
      </c>
      <c r="J983" s="40"/>
      <c r="K983" s="40"/>
      <c r="L983" s="40"/>
      <c r="M983" s="40"/>
      <c r="N983" s="36" t="s">
        <v>2610</v>
      </c>
      <c r="O983" s="37">
        <v>45535</v>
      </c>
      <c r="P983" s="44" t="s">
        <v>58</v>
      </c>
      <c r="Q983" s="38">
        <v>352000</v>
      </c>
      <c r="R983" s="33">
        <f t="shared" si="108"/>
        <v>1073.25</v>
      </c>
      <c r="S983" s="35">
        <f t="shared" si="107"/>
        <v>71.55</v>
      </c>
      <c r="T983" s="34">
        <v>500</v>
      </c>
    </row>
    <row r="984" spans="1:20" x14ac:dyDescent="0.25">
      <c r="A984" s="36" t="s">
        <v>1111</v>
      </c>
      <c r="B984" s="36"/>
      <c r="C984" s="36" t="s">
        <v>55</v>
      </c>
      <c r="D984" s="39">
        <v>45535</v>
      </c>
      <c r="E984" s="39">
        <v>45900</v>
      </c>
      <c r="F984" s="36" t="s">
        <v>1319</v>
      </c>
      <c r="G984" s="36" t="s">
        <v>64</v>
      </c>
      <c r="H984" s="38">
        <v>12475</v>
      </c>
      <c r="I984" s="40">
        <v>10323</v>
      </c>
      <c r="J984" s="40"/>
      <c r="K984" s="40"/>
      <c r="L984" s="40"/>
      <c r="M984" s="40"/>
      <c r="N984" s="36" t="s">
        <v>2611</v>
      </c>
      <c r="O984" s="37">
        <v>45535</v>
      </c>
      <c r="P984" s="44" t="s">
        <v>58</v>
      </c>
      <c r="Q984" s="38">
        <v>499000</v>
      </c>
      <c r="R984" s="33">
        <f t="shared" si="108"/>
        <v>1548.45</v>
      </c>
      <c r="S984" s="35">
        <f t="shared" si="107"/>
        <v>103.23</v>
      </c>
      <c r="T984" s="34">
        <v>500</v>
      </c>
    </row>
    <row r="985" spans="1:20" x14ac:dyDescent="0.25">
      <c r="A985" s="36" t="s">
        <v>1112</v>
      </c>
      <c r="B985" s="36"/>
      <c r="C985" s="36" t="s">
        <v>36</v>
      </c>
      <c r="D985" s="39">
        <v>45535</v>
      </c>
      <c r="E985" s="39">
        <v>45900</v>
      </c>
      <c r="F985" s="36" t="s">
        <v>1824</v>
      </c>
      <c r="G985" s="36" t="s">
        <v>61</v>
      </c>
      <c r="H985" s="38">
        <v>14960</v>
      </c>
      <c r="I985" s="40">
        <v>12466</v>
      </c>
      <c r="J985" s="40"/>
      <c r="K985" s="40"/>
      <c r="L985" s="40"/>
      <c r="M985" s="40"/>
      <c r="N985" s="36" t="s">
        <v>2612</v>
      </c>
      <c r="O985" s="37">
        <v>45535</v>
      </c>
      <c r="P985" s="44" t="s">
        <v>58</v>
      </c>
      <c r="Q985" s="38">
        <v>352000</v>
      </c>
      <c r="R985" s="33">
        <f t="shared" si="108"/>
        <v>1869.9</v>
      </c>
      <c r="S985" s="35">
        <f t="shared" si="107"/>
        <v>124.66</v>
      </c>
      <c r="T985" s="34">
        <v>500</v>
      </c>
    </row>
    <row r="986" spans="1:20" x14ac:dyDescent="0.25">
      <c r="A986" s="36" t="s">
        <v>1113</v>
      </c>
      <c r="B986" s="36"/>
      <c r="C986" s="36" t="s">
        <v>36</v>
      </c>
      <c r="D986" s="39">
        <v>45901</v>
      </c>
      <c r="E986" s="39">
        <v>46266</v>
      </c>
      <c r="F986" s="36" t="s">
        <v>1824</v>
      </c>
      <c r="G986" s="36" t="s">
        <v>61</v>
      </c>
      <c r="H986" s="38">
        <v>14960</v>
      </c>
      <c r="I986" s="40">
        <v>12466</v>
      </c>
      <c r="J986" s="40"/>
      <c r="K986" s="40"/>
      <c r="L986" s="40"/>
      <c r="M986" s="40"/>
      <c r="N986" s="36" t="s">
        <v>2612</v>
      </c>
      <c r="O986" s="37">
        <v>45535</v>
      </c>
      <c r="P986" s="44" t="s">
        <v>58</v>
      </c>
      <c r="Q986" s="38">
        <v>352000</v>
      </c>
      <c r="R986" s="33">
        <f t="shared" si="108"/>
        <v>1869.9</v>
      </c>
      <c r="S986" s="35">
        <f t="shared" si="107"/>
        <v>124.66</v>
      </c>
      <c r="T986" s="34">
        <v>500</v>
      </c>
    </row>
    <row r="987" spans="1:20" x14ac:dyDescent="0.25">
      <c r="A987" s="36" t="s">
        <v>1114</v>
      </c>
      <c r="B987" s="36"/>
      <c r="C987" s="36" t="s">
        <v>31</v>
      </c>
      <c r="D987" s="39">
        <v>45535</v>
      </c>
      <c r="E987" s="39">
        <v>45900</v>
      </c>
      <c r="F987" s="36" t="s">
        <v>1825</v>
      </c>
      <c r="G987" s="36" t="s">
        <v>61</v>
      </c>
      <c r="H987" s="38">
        <v>14960</v>
      </c>
      <c r="I987" s="40">
        <v>12466</v>
      </c>
      <c r="J987" s="40"/>
      <c r="K987" s="40"/>
      <c r="L987" s="40"/>
      <c r="M987" s="40"/>
      <c r="N987" s="36" t="s">
        <v>2613</v>
      </c>
      <c r="O987" s="37">
        <v>45535</v>
      </c>
      <c r="P987" s="44" t="s">
        <v>58</v>
      </c>
      <c r="Q987" s="38">
        <v>352000</v>
      </c>
      <c r="R987" s="33">
        <f t="shared" si="108"/>
        <v>1869.9</v>
      </c>
      <c r="S987" s="35">
        <f t="shared" si="107"/>
        <v>124.66</v>
      </c>
      <c r="T987" s="34">
        <v>500</v>
      </c>
    </row>
    <row r="988" spans="1:20" x14ac:dyDescent="0.25">
      <c r="A988" s="36" t="s">
        <v>1115</v>
      </c>
      <c r="B988" s="36"/>
      <c r="C988" s="36" t="s">
        <v>31</v>
      </c>
      <c r="D988" s="39">
        <v>45901</v>
      </c>
      <c r="E988" s="39">
        <v>46266</v>
      </c>
      <c r="F988" s="36" t="s">
        <v>1825</v>
      </c>
      <c r="G988" s="36" t="s">
        <v>61</v>
      </c>
      <c r="H988" s="38">
        <v>14960</v>
      </c>
      <c r="I988" s="40">
        <v>12466</v>
      </c>
      <c r="J988" s="40"/>
      <c r="K988" s="40"/>
      <c r="L988" s="40"/>
      <c r="M988" s="40"/>
      <c r="N988" s="36" t="s">
        <v>2613</v>
      </c>
      <c r="O988" s="37">
        <v>45535</v>
      </c>
      <c r="P988" s="44" t="s">
        <v>58</v>
      </c>
      <c r="Q988" s="38">
        <v>352000</v>
      </c>
      <c r="R988" s="33">
        <f t="shared" si="108"/>
        <v>1869.9</v>
      </c>
      <c r="S988" s="35">
        <f t="shared" si="107"/>
        <v>124.66</v>
      </c>
      <c r="T988" s="34">
        <v>500</v>
      </c>
    </row>
    <row r="989" spans="1:20" x14ac:dyDescent="0.25">
      <c r="A989" s="36" t="s">
        <v>1116</v>
      </c>
      <c r="B989" s="36"/>
      <c r="C989" s="36" t="s">
        <v>31</v>
      </c>
      <c r="D989" s="39">
        <v>45535</v>
      </c>
      <c r="E989" s="39">
        <v>45900</v>
      </c>
      <c r="F989" s="36" t="s">
        <v>1826</v>
      </c>
      <c r="G989" s="36" t="s">
        <v>61</v>
      </c>
      <c r="H989" s="38">
        <v>14960</v>
      </c>
      <c r="I989" s="40">
        <v>12466</v>
      </c>
      <c r="J989" s="40"/>
      <c r="K989" s="40"/>
      <c r="L989" s="40"/>
      <c r="M989" s="40"/>
      <c r="N989" s="36" t="s">
        <v>2614</v>
      </c>
      <c r="O989" s="37">
        <v>45535</v>
      </c>
      <c r="P989" s="44" t="s">
        <v>58</v>
      </c>
      <c r="Q989" s="38">
        <v>352000</v>
      </c>
      <c r="R989" s="33">
        <f t="shared" si="108"/>
        <v>1869.9</v>
      </c>
      <c r="S989" s="35">
        <f t="shared" si="107"/>
        <v>124.66</v>
      </c>
      <c r="T989" s="34">
        <v>500</v>
      </c>
    </row>
    <row r="990" spans="1:20" x14ac:dyDescent="0.25">
      <c r="A990" s="36" t="s">
        <v>1117</v>
      </c>
      <c r="B990" s="36"/>
      <c r="C990" s="36" t="s">
        <v>31</v>
      </c>
      <c r="D990" s="39">
        <v>45901</v>
      </c>
      <c r="E990" s="39">
        <v>46266</v>
      </c>
      <c r="F990" s="36" t="s">
        <v>1826</v>
      </c>
      <c r="G990" s="36" t="s">
        <v>61</v>
      </c>
      <c r="H990" s="38">
        <v>14960</v>
      </c>
      <c r="I990" s="40">
        <v>12466</v>
      </c>
      <c r="J990" s="40"/>
      <c r="K990" s="40"/>
      <c r="L990" s="40"/>
      <c r="M990" s="40"/>
      <c r="N990" s="36" t="s">
        <v>2614</v>
      </c>
      <c r="O990" s="37">
        <v>45535</v>
      </c>
      <c r="P990" s="44" t="s">
        <v>58</v>
      </c>
      <c r="Q990" s="38">
        <v>352000</v>
      </c>
      <c r="R990" s="33">
        <f t="shared" si="108"/>
        <v>1869.9</v>
      </c>
      <c r="S990" s="35">
        <f t="shared" si="107"/>
        <v>124.66</v>
      </c>
      <c r="T990" s="34">
        <v>500</v>
      </c>
    </row>
    <row r="991" spans="1:20" x14ac:dyDescent="0.25">
      <c r="A991" s="36" t="s">
        <v>1118</v>
      </c>
      <c r="B991" s="36"/>
      <c r="C991" s="36" t="s">
        <v>32</v>
      </c>
      <c r="D991" s="39">
        <v>45535</v>
      </c>
      <c r="E991" s="39">
        <v>45900</v>
      </c>
      <c r="F991" s="36" t="s">
        <v>1827</v>
      </c>
      <c r="G991" s="36" t="s">
        <v>65</v>
      </c>
      <c r="H991" s="38">
        <v>16235</v>
      </c>
      <c r="I991" s="40">
        <v>13565</v>
      </c>
      <c r="J991" s="40"/>
      <c r="K991" s="40"/>
      <c r="L991" s="40"/>
      <c r="M991" s="40"/>
      <c r="N991" s="36" t="s">
        <v>2615</v>
      </c>
      <c r="O991" s="37">
        <v>45535</v>
      </c>
      <c r="P991" s="44" t="s">
        <v>58</v>
      </c>
      <c r="Q991" s="38">
        <v>382000</v>
      </c>
      <c r="R991" s="33">
        <f t="shared" si="108"/>
        <v>2034.75</v>
      </c>
      <c r="S991" s="35">
        <f t="shared" si="107"/>
        <v>135.65</v>
      </c>
      <c r="T991" s="34">
        <v>500</v>
      </c>
    </row>
    <row r="992" spans="1:20" x14ac:dyDescent="0.25">
      <c r="A992" s="36" t="s">
        <v>1119</v>
      </c>
      <c r="B992" s="36"/>
      <c r="C992" s="36" t="s">
        <v>32</v>
      </c>
      <c r="D992" s="39">
        <v>45901</v>
      </c>
      <c r="E992" s="39">
        <v>46266</v>
      </c>
      <c r="F992" s="36" t="s">
        <v>1827</v>
      </c>
      <c r="G992" s="36" t="s">
        <v>65</v>
      </c>
      <c r="H992" s="38">
        <v>16235</v>
      </c>
      <c r="I992" s="40">
        <v>13565</v>
      </c>
      <c r="J992" s="40"/>
      <c r="K992" s="40"/>
      <c r="L992" s="40"/>
      <c r="M992" s="40"/>
      <c r="N992" s="36" t="s">
        <v>2615</v>
      </c>
      <c r="O992" s="37">
        <v>45535</v>
      </c>
      <c r="P992" s="44" t="s">
        <v>58</v>
      </c>
      <c r="Q992" s="38">
        <v>382000</v>
      </c>
      <c r="R992" s="33">
        <f t="shared" si="108"/>
        <v>2034.75</v>
      </c>
      <c r="S992" s="35">
        <f t="shared" si="107"/>
        <v>135.65</v>
      </c>
      <c r="T992" s="34">
        <v>500</v>
      </c>
    </row>
    <row r="993" spans="1:20" x14ac:dyDescent="0.25">
      <c r="A993" s="36" t="s">
        <v>1120</v>
      </c>
      <c r="B993" s="36"/>
      <c r="C993" s="36" t="s">
        <v>55</v>
      </c>
      <c r="D993" s="39">
        <v>45535</v>
      </c>
      <c r="E993" s="39">
        <v>45900</v>
      </c>
      <c r="F993" s="36" t="s">
        <v>1828</v>
      </c>
      <c r="G993" s="36" t="s">
        <v>63</v>
      </c>
      <c r="H993" s="41">
        <f>K993</f>
        <v>13675</v>
      </c>
      <c r="I993" s="41">
        <f>L993</f>
        <v>11288.793103448277</v>
      </c>
      <c r="J993" s="42">
        <v>2.5000000000000001E-2</v>
      </c>
      <c r="K993" s="41">
        <f>Q993*J993</f>
        <v>13675</v>
      </c>
      <c r="L993" s="41">
        <f>K993/116%-T993</f>
        <v>11288.793103448277</v>
      </c>
      <c r="M993" s="41">
        <f>K993-H993</f>
        <v>0</v>
      </c>
      <c r="N993" s="36" t="s">
        <v>2512</v>
      </c>
      <c r="O993" s="37">
        <v>45535</v>
      </c>
      <c r="P993" s="44" t="s">
        <v>58</v>
      </c>
      <c r="Q993" s="38">
        <v>547000</v>
      </c>
      <c r="R993" s="33">
        <f t="shared" si="108"/>
        <v>1693.3189655172414</v>
      </c>
      <c r="S993" s="35">
        <f t="shared" si="107"/>
        <v>112.88793103448278</v>
      </c>
      <c r="T993" s="34">
        <v>500</v>
      </c>
    </row>
    <row r="994" spans="1:20" x14ac:dyDescent="0.25">
      <c r="A994" s="36" t="s">
        <v>1121</v>
      </c>
      <c r="B994" s="36"/>
      <c r="C994" s="36" t="s">
        <v>55</v>
      </c>
      <c r="D994" s="39">
        <v>45535</v>
      </c>
      <c r="E994" s="39">
        <v>45900</v>
      </c>
      <c r="F994" s="36" t="s">
        <v>1829</v>
      </c>
      <c r="G994" s="36" t="s">
        <v>61</v>
      </c>
      <c r="H994" s="38">
        <v>8800</v>
      </c>
      <c r="I994" s="40">
        <v>7155</v>
      </c>
      <c r="J994" s="40"/>
      <c r="K994" s="40"/>
      <c r="L994" s="40"/>
      <c r="M994" s="40"/>
      <c r="N994" s="36" t="s">
        <v>2616</v>
      </c>
      <c r="O994" s="37">
        <v>45535</v>
      </c>
      <c r="P994" s="44" t="s">
        <v>58</v>
      </c>
      <c r="Q994" s="38">
        <v>352000</v>
      </c>
      <c r="R994" s="33">
        <f t="shared" si="108"/>
        <v>1073.25</v>
      </c>
      <c r="S994" s="35">
        <f t="shared" si="107"/>
        <v>71.55</v>
      </c>
      <c r="T994" s="34">
        <v>500</v>
      </c>
    </row>
    <row r="995" spans="1:20" x14ac:dyDescent="0.25">
      <c r="A995" s="36" t="s">
        <v>1122</v>
      </c>
      <c r="B995" s="36"/>
      <c r="C995" s="36" t="s">
        <v>30</v>
      </c>
      <c r="D995" s="39">
        <v>45535</v>
      </c>
      <c r="E995" s="39">
        <v>45900</v>
      </c>
      <c r="F995" s="36" t="s">
        <v>113</v>
      </c>
      <c r="G995" s="36" t="s">
        <v>61</v>
      </c>
      <c r="H995" s="38">
        <v>14960</v>
      </c>
      <c r="I995" s="40">
        <v>12466</v>
      </c>
      <c r="J995" s="40"/>
      <c r="K995" s="40"/>
      <c r="L995" s="40"/>
      <c r="M995" s="40"/>
      <c r="N995" s="36" t="s">
        <v>2617</v>
      </c>
      <c r="O995" s="37">
        <v>45535</v>
      </c>
      <c r="P995" s="44" t="s">
        <v>58</v>
      </c>
      <c r="Q995" s="38">
        <v>352000</v>
      </c>
      <c r="R995" s="33">
        <f t="shared" si="108"/>
        <v>1869.9</v>
      </c>
      <c r="S995" s="35">
        <f t="shared" si="107"/>
        <v>124.66</v>
      </c>
      <c r="T995" s="34">
        <v>500</v>
      </c>
    </row>
    <row r="996" spans="1:20" x14ac:dyDescent="0.25">
      <c r="A996" s="36" t="s">
        <v>1123</v>
      </c>
      <c r="B996" s="36"/>
      <c r="C996" s="36" t="s">
        <v>30</v>
      </c>
      <c r="D996" s="39">
        <v>45901</v>
      </c>
      <c r="E996" s="39">
        <v>46266</v>
      </c>
      <c r="F996" s="36" t="s">
        <v>113</v>
      </c>
      <c r="G996" s="36" t="s">
        <v>61</v>
      </c>
      <c r="H996" s="38">
        <v>14960</v>
      </c>
      <c r="I996" s="40">
        <v>12466</v>
      </c>
      <c r="J996" s="40"/>
      <c r="K996" s="40"/>
      <c r="L996" s="40"/>
      <c r="M996" s="40"/>
      <c r="N996" s="36" t="s">
        <v>2617</v>
      </c>
      <c r="O996" s="37">
        <v>45535</v>
      </c>
      <c r="P996" s="44" t="s">
        <v>58</v>
      </c>
      <c r="Q996" s="38">
        <v>352000</v>
      </c>
      <c r="R996" s="33">
        <f t="shared" si="108"/>
        <v>1869.9</v>
      </c>
      <c r="S996" s="35">
        <f t="shared" si="107"/>
        <v>124.66</v>
      </c>
      <c r="T996" s="34">
        <v>500</v>
      </c>
    </row>
    <row r="997" spans="1:20" x14ac:dyDescent="0.25">
      <c r="A997" s="36" t="s">
        <v>1124</v>
      </c>
      <c r="B997" s="36"/>
      <c r="C997" s="36" t="s">
        <v>32</v>
      </c>
      <c r="D997" s="39">
        <v>45535</v>
      </c>
      <c r="E997" s="39">
        <v>45900</v>
      </c>
      <c r="F997" s="36" t="s">
        <v>1830</v>
      </c>
      <c r="G997" s="36" t="s">
        <v>65</v>
      </c>
      <c r="H997" s="38">
        <v>16235</v>
      </c>
      <c r="I997" s="40">
        <v>13565</v>
      </c>
      <c r="J997" s="40"/>
      <c r="K997" s="40"/>
      <c r="L997" s="40"/>
      <c r="M997" s="40"/>
      <c r="N997" s="36" t="s">
        <v>2618</v>
      </c>
      <c r="O997" s="37">
        <v>45535</v>
      </c>
      <c r="P997" s="44" t="s">
        <v>58</v>
      </c>
      <c r="Q997" s="38">
        <v>382000</v>
      </c>
      <c r="R997" s="33">
        <f t="shared" si="108"/>
        <v>2034.75</v>
      </c>
      <c r="S997" s="35">
        <f t="shared" si="107"/>
        <v>135.65</v>
      </c>
      <c r="T997" s="34">
        <v>500</v>
      </c>
    </row>
    <row r="998" spans="1:20" x14ac:dyDescent="0.25">
      <c r="A998" s="36" t="s">
        <v>1125</v>
      </c>
      <c r="B998" s="36"/>
      <c r="C998" s="36" t="s">
        <v>52</v>
      </c>
      <c r="D998" s="39">
        <v>45535</v>
      </c>
      <c r="E998" s="39">
        <v>45900</v>
      </c>
      <c r="F998" s="36" t="s">
        <v>1831</v>
      </c>
      <c r="G998" s="36" t="s">
        <v>61</v>
      </c>
      <c r="H998" s="38">
        <v>14960</v>
      </c>
      <c r="I998" s="40">
        <v>12466</v>
      </c>
      <c r="J998" s="40"/>
      <c r="K998" s="40"/>
      <c r="L998" s="40"/>
      <c r="M998" s="40"/>
      <c r="N998" s="36" t="s">
        <v>2619</v>
      </c>
      <c r="O998" s="37">
        <v>45535</v>
      </c>
      <c r="P998" s="44" t="s">
        <v>58</v>
      </c>
      <c r="Q998" s="38">
        <v>352000</v>
      </c>
      <c r="R998" s="33">
        <f t="shared" si="108"/>
        <v>1869.9</v>
      </c>
      <c r="S998" s="35">
        <f t="shared" si="107"/>
        <v>124.66</v>
      </c>
      <c r="T998" s="34">
        <v>500</v>
      </c>
    </row>
    <row r="999" spans="1:20" x14ac:dyDescent="0.25">
      <c r="A999" s="36" t="s">
        <v>1126</v>
      </c>
      <c r="B999" s="36"/>
      <c r="C999" s="36" t="s">
        <v>32</v>
      </c>
      <c r="D999" s="39">
        <v>45535</v>
      </c>
      <c r="E999" s="39">
        <v>45900</v>
      </c>
      <c r="F999" s="36" t="s">
        <v>1832</v>
      </c>
      <c r="G999" s="36" t="s">
        <v>65</v>
      </c>
      <c r="H999" s="38">
        <v>16235</v>
      </c>
      <c r="I999" s="40">
        <v>13565</v>
      </c>
      <c r="J999" s="40"/>
      <c r="K999" s="40"/>
      <c r="L999" s="40"/>
      <c r="M999" s="40"/>
      <c r="N999" s="36" t="s">
        <v>2620</v>
      </c>
      <c r="O999" s="37">
        <v>45535</v>
      </c>
      <c r="P999" s="44" t="s">
        <v>58</v>
      </c>
      <c r="Q999" s="38">
        <v>382000</v>
      </c>
      <c r="R999" s="33">
        <f t="shared" si="108"/>
        <v>2034.75</v>
      </c>
      <c r="S999" s="35">
        <f t="shared" si="107"/>
        <v>135.65</v>
      </c>
      <c r="T999" s="34">
        <v>500</v>
      </c>
    </row>
    <row r="1000" spans="1:20" x14ac:dyDescent="0.25">
      <c r="A1000" s="36" t="s">
        <v>1127</v>
      </c>
      <c r="B1000" s="36"/>
      <c r="C1000" s="36" t="s">
        <v>32</v>
      </c>
      <c r="D1000" s="39">
        <v>45901</v>
      </c>
      <c r="E1000" s="39">
        <v>46266</v>
      </c>
      <c r="F1000" s="36" t="s">
        <v>1832</v>
      </c>
      <c r="G1000" s="36" t="s">
        <v>65</v>
      </c>
      <c r="H1000" s="38">
        <v>16235</v>
      </c>
      <c r="I1000" s="40">
        <v>13565</v>
      </c>
      <c r="J1000" s="40"/>
      <c r="K1000" s="40"/>
      <c r="L1000" s="40"/>
      <c r="M1000" s="40"/>
      <c r="N1000" s="36" t="s">
        <v>2620</v>
      </c>
      <c r="O1000" s="37">
        <v>45535</v>
      </c>
      <c r="P1000" s="44" t="s">
        <v>58</v>
      </c>
      <c r="Q1000" s="38">
        <v>382000</v>
      </c>
      <c r="R1000" s="33">
        <f t="shared" si="108"/>
        <v>2034.75</v>
      </c>
      <c r="S1000" s="35">
        <f t="shared" si="107"/>
        <v>135.65</v>
      </c>
      <c r="T1000" s="34">
        <v>500</v>
      </c>
    </row>
    <row r="1001" spans="1:20" x14ac:dyDescent="0.25">
      <c r="A1001" s="36" t="s">
        <v>1128</v>
      </c>
      <c r="B1001" s="36"/>
      <c r="C1001" s="36" t="s">
        <v>32</v>
      </c>
      <c r="D1001" s="39">
        <v>45535</v>
      </c>
      <c r="E1001" s="39">
        <v>45900</v>
      </c>
      <c r="F1001" s="36" t="s">
        <v>1833</v>
      </c>
      <c r="G1001" s="36" t="s">
        <v>62</v>
      </c>
      <c r="H1001" s="38">
        <v>16235</v>
      </c>
      <c r="I1001" s="40">
        <v>13565</v>
      </c>
      <c r="J1001" s="40"/>
      <c r="K1001" s="40"/>
      <c r="L1001" s="40"/>
      <c r="M1001" s="40"/>
      <c r="N1001" s="36" t="s">
        <v>2621</v>
      </c>
      <c r="O1001" s="37">
        <v>45535</v>
      </c>
      <c r="P1001" s="44" t="s">
        <v>58</v>
      </c>
      <c r="Q1001" s="38">
        <v>382000</v>
      </c>
      <c r="R1001" s="33">
        <f t="shared" si="108"/>
        <v>2034.75</v>
      </c>
      <c r="S1001" s="35">
        <f t="shared" si="107"/>
        <v>135.65</v>
      </c>
      <c r="T1001" s="34">
        <v>500</v>
      </c>
    </row>
    <row r="1002" spans="1:20" x14ac:dyDescent="0.25">
      <c r="A1002" s="36" t="s">
        <v>1129</v>
      </c>
      <c r="B1002" s="36"/>
      <c r="C1002" s="36" t="s">
        <v>32</v>
      </c>
      <c r="D1002" s="39">
        <v>45535</v>
      </c>
      <c r="E1002" s="39">
        <v>45900</v>
      </c>
      <c r="F1002" s="36" t="s">
        <v>1834</v>
      </c>
      <c r="G1002" s="36" t="s">
        <v>64</v>
      </c>
      <c r="H1002" s="38">
        <v>21208</v>
      </c>
      <c r="I1002" s="40">
        <v>17852</v>
      </c>
      <c r="J1002" s="40"/>
      <c r="K1002" s="40"/>
      <c r="L1002" s="40"/>
      <c r="M1002" s="40"/>
      <c r="N1002" s="36" t="s">
        <v>2622</v>
      </c>
      <c r="O1002" s="37">
        <v>45535</v>
      </c>
      <c r="P1002" s="44" t="s">
        <v>58</v>
      </c>
      <c r="Q1002" s="38">
        <v>499000</v>
      </c>
      <c r="R1002" s="33">
        <f t="shared" si="108"/>
        <v>2677.8</v>
      </c>
      <c r="S1002" s="35">
        <f t="shared" si="107"/>
        <v>178.52</v>
      </c>
      <c r="T1002" s="34">
        <v>500</v>
      </c>
    </row>
    <row r="1003" spans="1:20" x14ac:dyDescent="0.25">
      <c r="A1003" s="36" t="s">
        <v>1130</v>
      </c>
      <c r="B1003" s="36"/>
      <c r="C1003" s="36" t="s">
        <v>32</v>
      </c>
      <c r="D1003" s="39">
        <v>45901</v>
      </c>
      <c r="E1003" s="39">
        <v>46266</v>
      </c>
      <c r="F1003" s="36" t="s">
        <v>1834</v>
      </c>
      <c r="G1003" s="36" t="s">
        <v>64</v>
      </c>
      <c r="H1003" s="38">
        <v>21208</v>
      </c>
      <c r="I1003" s="40">
        <v>17852</v>
      </c>
      <c r="J1003" s="40"/>
      <c r="K1003" s="40"/>
      <c r="L1003" s="40"/>
      <c r="M1003" s="40"/>
      <c r="N1003" s="36" t="s">
        <v>2622</v>
      </c>
      <c r="O1003" s="37">
        <v>45535</v>
      </c>
      <c r="P1003" s="44" t="s">
        <v>58</v>
      </c>
      <c r="Q1003" s="38">
        <v>499000</v>
      </c>
      <c r="R1003" s="33">
        <f t="shared" si="108"/>
        <v>2677.8</v>
      </c>
      <c r="S1003" s="35">
        <f t="shared" si="107"/>
        <v>178.52</v>
      </c>
      <c r="T1003" s="34">
        <v>500</v>
      </c>
    </row>
    <row r="1004" spans="1:20" x14ac:dyDescent="0.25">
      <c r="A1004" s="36" t="s">
        <v>1131</v>
      </c>
      <c r="B1004" s="36"/>
      <c r="C1004" s="36" t="s">
        <v>32</v>
      </c>
      <c r="D1004" s="39">
        <v>45535</v>
      </c>
      <c r="E1004" s="39">
        <v>45900</v>
      </c>
      <c r="F1004" s="36" t="s">
        <v>1835</v>
      </c>
      <c r="G1004" s="36" t="s">
        <v>61</v>
      </c>
      <c r="H1004" s="38">
        <v>14960</v>
      </c>
      <c r="I1004" s="40">
        <v>12466</v>
      </c>
      <c r="J1004" s="40"/>
      <c r="K1004" s="40"/>
      <c r="L1004" s="40"/>
      <c r="M1004" s="40"/>
      <c r="N1004" s="36" t="s">
        <v>2623</v>
      </c>
      <c r="O1004" s="37">
        <v>45535</v>
      </c>
      <c r="P1004" s="44" t="s">
        <v>58</v>
      </c>
      <c r="Q1004" s="38">
        <v>352000</v>
      </c>
      <c r="R1004" s="33">
        <f t="shared" si="108"/>
        <v>1869.9</v>
      </c>
      <c r="S1004" s="35">
        <f t="shared" si="107"/>
        <v>124.66</v>
      </c>
      <c r="T1004" s="34">
        <v>500</v>
      </c>
    </row>
    <row r="1005" spans="1:20" x14ac:dyDescent="0.25">
      <c r="A1005" s="36" t="s">
        <v>1132</v>
      </c>
      <c r="B1005" s="36"/>
      <c r="C1005" s="36" t="s">
        <v>32</v>
      </c>
      <c r="D1005" s="39">
        <v>45901</v>
      </c>
      <c r="E1005" s="39">
        <v>46266</v>
      </c>
      <c r="F1005" s="36" t="s">
        <v>1835</v>
      </c>
      <c r="G1005" s="36" t="s">
        <v>61</v>
      </c>
      <c r="H1005" s="38">
        <v>14960</v>
      </c>
      <c r="I1005" s="40">
        <v>12466</v>
      </c>
      <c r="J1005" s="40"/>
      <c r="K1005" s="40"/>
      <c r="L1005" s="40"/>
      <c r="M1005" s="40"/>
      <c r="N1005" s="36" t="s">
        <v>2623</v>
      </c>
      <c r="O1005" s="37">
        <v>45535</v>
      </c>
      <c r="P1005" s="44" t="s">
        <v>58</v>
      </c>
      <c r="Q1005" s="38">
        <v>352000</v>
      </c>
      <c r="R1005" s="33">
        <f t="shared" si="108"/>
        <v>1869.9</v>
      </c>
      <c r="S1005" s="35">
        <f t="shared" si="107"/>
        <v>124.66</v>
      </c>
      <c r="T1005" s="34">
        <v>500</v>
      </c>
    </row>
    <row r="1006" spans="1:20" x14ac:dyDescent="0.25">
      <c r="A1006" s="36" t="s">
        <v>1133</v>
      </c>
      <c r="B1006" s="36"/>
      <c r="C1006" s="36" t="s">
        <v>49</v>
      </c>
      <c r="D1006" s="39">
        <v>45535</v>
      </c>
      <c r="E1006" s="39">
        <v>45900</v>
      </c>
      <c r="F1006" s="36" t="s">
        <v>1836</v>
      </c>
      <c r="G1006" s="36" t="s">
        <v>64</v>
      </c>
      <c r="H1006" s="38">
        <v>12475</v>
      </c>
      <c r="I1006" s="40">
        <v>10323</v>
      </c>
      <c r="J1006" s="40"/>
      <c r="K1006" s="40"/>
      <c r="L1006" s="40"/>
      <c r="M1006" s="40"/>
      <c r="N1006" s="36" t="s">
        <v>2624</v>
      </c>
      <c r="O1006" s="37">
        <v>45535</v>
      </c>
      <c r="P1006" s="44" t="s">
        <v>58</v>
      </c>
      <c r="Q1006" s="38">
        <v>499000</v>
      </c>
      <c r="R1006" s="33">
        <f t="shared" si="108"/>
        <v>1548.45</v>
      </c>
      <c r="S1006" s="35">
        <f t="shared" si="107"/>
        <v>103.23</v>
      </c>
      <c r="T1006" s="34">
        <v>500</v>
      </c>
    </row>
    <row r="1007" spans="1:20" x14ac:dyDescent="0.25">
      <c r="A1007" s="36" t="s">
        <v>1134</v>
      </c>
      <c r="B1007" s="36"/>
      <c r="C1007" s="36" t="s">
        <v>49</v>
      </c>
      <c r="D1007" s="39">
        <v>45535</v>
      </c>
      <c r="E1007" s="39">
        <v>45900</v>
      </c>
      <c r="F1007" s="36" t="s">
        <v>1837</v>
      </c>
      <c r="G1007" s="36" t="s">
        <v>62</v>
      </c>
      <c r="H1007" s="38">
        <v>9550</v>
      </c>
      <c r="I1007" s="40">
        <v>7802</v>
      </c>
      <c r="J1007" s="40"/>
      <c r="K1007" s="40"/>
      <c r="L1007" s="40"/>
      <c r="M1007" s="40"/>
      <c r="N1007" s="36" t="s">
        <v>2625</v>
      </c>
      <c r="O1007" s="37">
        <v>45535</v>
      </c>
      <c r="P1007" s="44" t="s">
        <v>58</v>
      </c>
      <c r="Q1007" s="38">
        <v>382000</v>
      </c>
      <c r="R1007" s="33">
        <f t="shared" si="108"/>
        <v>1170.3</v>
      </c>
      <c r="S1007" s="35">
        <f t="shared" si="107"/>
        <v>78.02</v>
      </c>
      <c r="T1007" s="34">
        <v>500</v>
      </c>
    </row>
    <row r="1008" spans="1:20" x14ac:dyDescent="0.25">
      <c r="A1008" s="36" t="s">
        <v>1135</v>
      </c>
      <c r="B1008" s="36"/>
      <c r="C1008" s="36" t="s">
        <v>32</v>
      </c>
      <c r="D1008" s="39">
        <v>45535</v>
      </c>
      <c r="E1008" s="39">
        <v>45900</v>
      </c>
      <c r="F1008" s="36" t="s">
        <v>1838</v>
      </c>
      <c r="G1008" s="36" t="s">
        <v>61</v>
      </c>
      <c r="H1008" s="38">
        <v>14960</v>
      </c>
      <c r="I1008" s="40">
        <v>12466</v>
      </c>
      <c r="J1008" s="40"/>
      <c r="K1008" s="40"/>
      <c r="L1008" s="40"/>
      <c r="M1008" s="40"/>
      <c r="N1008" s="36" t="s">
        <v>2626</v>
      </c>
      <c r="O1008" s="37">
        <v>45535</v>
      </c>
      <c r="P1008" s="44" t="s">
        <v>58</v>
      </c>
      <c r="Q1008" s="38">
        <v>352000</v>
      </c>
      <c r="R1008" s="33">
        <f t="shared" si="108"/>
        <v>1869.9</v>
      </c>
      <c r="S1008" s="35">
        <f t="shared" si="107"/>
        <v>124.66</v>
      </c>
      <c r="T1008" s="34">
        <v>500</v>
      </c>
    </row>
    <row r="1009" spans="1:20" x14ac:dyDescent="0.25">
      <c r="A1009" s="36" t="s">
        <v>1136</v>
      </c>
      <c r="B1009" s="36"/>
      <c r="C1009" s="36" t="s">
        <v>32</v>
      </c>
      <c r="D1009" s="39">
        <v>45901</v>
      </c>
      <c r="E1009" s="39">
        <v>46266</v>
      </c>
      <c r="F1009" s="36" t="s">
        <v>1838</v>
      </c>
      <c r="G1009" s="36" t="s">
        <v>61</v>
      </c>
      <c r="H1009" s="38">
        <v>14960</v>
      </c>
      <c r="I1009" s="40">
        <v>12466</v>
      </c>
      <c r="J1009" s="40"/>
      <c r="K1009" s="40"/>
      <c r="L1009" s="40"/>
      <c r="M1009" s="40"/>
      <c r="N1009" s="36" t="s">
        <v>2626</v>
      </c>
      <c r="O1009" s="37">
        <v>45535</v>
      </c>
      <c r="P1009" s="44" t="s">
        <v>58</v>
      </c>
      <c r="Q1009" s="38">
        <v>352000</v>
      </c>
      <c r="R1009" s="33">
        <f t="shared" si="108"/>
        <v>1869.9</v>
      </c>
      <c r="S1009" s="35">
        <f t="shared" si="107"/>
        <v>124.66</v>
      </c>
      <c r="T1009" s="34">
        <v>500</v>
      </c>
    </row>
    <row r="1010" spans="1:20" x14ac:dyDescent="0.25">
      <c r="A1010" s="36" t="s">
        <v>1137</v>
      </c>
      <c r="B1010" s="36"/>
      <c r="C1010" s="36" t="s">
        <v>32</v>
      </c>
      <c r="D1010" s="39">
        <v>45535</v>
      </c>
      <c r="E1010" s="39">
        <v>45900</v>
      </c>
      <c r="F1010" s="36" t="s">
        <v>1839</v>
      </c>
      <c r="G1010" s="36" t="s">
        <v>61</v>
      </c>
      <c r="H1010" s="38">
        <v>14960</v>
      </c>
      <c r="I1010" s="40">
        <v>12466</v>
      </c>
      <c r="J1010" s="40"/>
      <c r="K1010" s="40"/>
      <c r="L1010" s="40"/>
      <c r="M1010" s="40"/>
      <c r="N1010" s="36" t="s">
        <v>2627</v>
      </c>
      <c r="O1010" s="37">
        <v>45535</v>
      </c>
      <c r="P1010" s="44" t="s">
        <v>58</v>
      </c>
      <c r="Q1010" s="38">
        <v>352000</v>
      </c>
      <c r="R1010" s="33">
        <f t="shared" si="108"/>
        <v>1869.9</v>
      </c>
      <c r="S1010" s="35">
        <f t="shared" si="107"/>
        <v>124.66</v>
      </c>
      <c r="T1010" s="34">
        <v>500</v>
      </c>
    </row>
    <row r="1011" spans="1:20" x14ac:dyDescent="0.25">
      <c r="A1011" s="36" t="s">
        <v>1138</v>
      </c>
      <c r="B1011" s="36"/>
      <c r="C1011" s="36" t="s">
        <v>32</v>
      </c>
      <c r="D1011" s="39">
        <v>45901</v>
      </c>
      <c r="E1011" s="39">
        <v>46266</v>
      </c>
      <c r="F1011" s="36" t="s">
        <v>1839</v>
      </c>
      <c r="G1011" s="36" t="s">
        <v>61</v>
      </c>
      <c r="H1011" s="38">
        <v>14960</v>
      </c>
      <c r="I1011" s="40">
        <v>12466</v>
      </c>
      <c r="J1011" s="40"/>
      <c r="K1011" s="40"/>
      <c r="L1011" s="40"/>
      <c r="M1011" s="40"/>
      <c r="N1011" s="36" t="s">
        <v>2627</v>
      </c>
      <c r="O1011" s="37">
        <v>45535</v>
      </c>
      <c r="P1011" s="44" t="s">
        <v>58</v>
      </c>
      <c r="Q1011" s="38">
        <v>352000</v>
      </c>
      <c r="R1011" s="33">
        <f t="shared" si="108"/>
        <v>1869.9</v>
      </c>
      <c r="S1011" s="35">
        <f t="shared" si="107"/>
        <v>124.66</v>
      </c>
      <c r="T1011" s="34">
        <v>500</v>
      </c>
    </row>
    <row r="1012" spans="1:20" x14ac:dyDescent="0.25">
      <c r="A1012" s="36" t="s">
        <v>1139</v>
      </c>
      <c r="B1012" s="36"/>
      <c r="C1012" s="36" t="s">
        <v>32</v>
      </c>
      <c r="D1012" s="39">
        <v>45535</v>
      </c>
      <c r="E1012" s="39">
        <v>45900</v>
      </c>
      <c r="F1012" s="36" t="s">
        <v>57</v>
      </c>
      <c r="G1012" s="36" t="s">
        <v>63</v>
      </c>
      <c r="H1012" s="38">
        <v>23248</v>
      </c>
      <c r="I1012" s="40">
        <v>19610</v>
      </c>
      <c r="J1012" s="40"/>
      <c r="K1012" s="40"/>
      <c r="L1012" s="40"/>
      <c r="M1012" s="40"/>
      <c r="N1012" s="36" t="s">
        <v>2628</v>
      </c>
      <c r="O1012" s="37">
        <v>45535</v>
      </c>
      <c r="P1012" s="44" t="s">
        <v>58</v>
      </c>
      <c r="Q1012" s="38">
        <v>547000</v>
      </c>
      <c r="R1012" s="33">
        <f t="shared" si="108"/>
        <v>2941.5</v>
      </c>
      <c r="S1012" s="35">
        <f t="shared" si="107"/>
        <v>196.1</v>
      </c>
      <c r="T1012" s="34">
        <v>500</v>
      </c>
    </row>
    <row r="1013" spans="1:20" x14ac:dyDescent="0.25">
      <c r="A1013" s="36" t="s">
        <v>1140</v>
      </c>
      <c r="B1013" s="36"/>
      <c r="C1013" s="36" t="s">
        <v>32</v>
      </c>
      <c r="D1013" s="39">
        <v>45901</v>
      </c>
      <c r="E1013" s="39">
        <v>46266</v>
      </c>
      <c r="F1013" s="36" t="s">
        <v>57</v>
      </c>
      <c r="G1013" s="36" t="s">
        <v>63</v>
      </c>
      <c r="H1013" s="38">
        <v>23248</v>
      </c>
      <c r="I1013" s="40">
        <v>19610</v>
      </c>
      <c r="J1013" s="40"/>
      <c r="K1013" s="40"/>
      <c r="L1013" s="40"/>
      <c r="M1013" s="40"/>
      <c r="N1013" s="36" t="s">
        <v>2628</v>
      </c>
      <c r="O1013" s="37">
        <v>45535</v>
      </c>
      <c r="P1013" s="44" t="s">
        <v>58</v>
      </c>
      <c r="Q1013" s="38">
        <v>547000</v>
      </c>
      <c r="R1013" s="33">
        <f t="shared" si="108"/>
        <v>2941.5</v>
      </c>
      <c r="S1013" s="35">
        <f t="shared" si="107"/>
        <v>196.1</v>
      </c>
      <c r="T1013" s="34">
        <v>500</v>
      </c>
    </row>
    <row r="1014" spans="1:20" x14ac:dyDescent="0.25">
      <c r="A1014" s="36" t="s">
        <v>1141</v>
      </c>
      <c r="B1014" s="36"/>
      <c r="C1014" s="36" t="s">
        <v>32</v>
      </c>
      <c r="D1014" s="39">
        <v>45535</v>
      </c>
      <c r="E1014" s="39">
        <v>45900</v>
      </c>
      <c r="F1014" s="36" t="s">
        <v>1840</v>
      </c>
      <c r="G1014" s="36" t="s">
        <v>61</v>
      </c>
      <c r="H1014" s="38">
        <v>14960</v>
      </c>
      <c r="I1014" s="40">
        <v>12466</v>
      </c>
      <c r="J1014" s="40"/>
      <c r="K1014" s="40"/>
      <c r="L1014" s="40"/>
      <c r="M1014" s="40"/>
      <c r="N1014" s="36" t="s">
        <v>2629</v>
      </c>
      <c r="O1014" s="37">
        <v>45535</v>
      </c>
      <c r="P1014" s="44" t="s">
        <v>58</v>
      </c>
      <c r="Q1014" s="38">
        <v>352000</v>
      </c>
      <c r="R1014" s="33">
        <f t="shared" si="108"/>
        <v>1869.9</v>
      </c>
      <c r="S1014" s="35">
        <f t="shared" si="107"/>
        <v>124.66</v>
      </c>
      <c r="T1014" s="34">
        <v>500</v>
      </c>
    </row>
    <row r="1015" spans="1:20" x14ac:dyDescent="0.25">
      <c r="A1015" s="36" t="s">
        <v>1142</v>
      </c>
      <c r="B1015" s="36"/>
      <c r="C1015" s="36" t="s">
        <v>32</v>
      </c>
      <c r="D1015" s="39">
        <v>45535</v>
      </c>
      <c r="E1015" s="39">
        <v>45900</v>
      </c>
      <c r="F1015" s="36" t="s">
        <v>1841</v>
      </c>
      <c r="G1015" s="36" t="s">
        <v>62</v>
      </c>
      <c r="H1015" s="38">
        <v>16235</v>
      </c>
      <c r="I1015" s="40">
        <v>13565</v>
      </c>
      <c r="J1015" s="40"/>
      <c r="K1015" s="40"/>
      <c r="L1015" s="40"/>
      <c r="M1015" s="40"/>
      <c r="N1015" s="36" t="s">
        <v>2630</v>
      </c>
      <c r="O1015" s="37">
        <v>45535</v>
      </c>
      <c r="P1015" s="44" t="s">
        <v>58</v>
      </c>
      <c r="Q1015" s="38">
        <v>382000</v>
      </c>
      <c r="R1015" s="33">
        <f t="shared" si="108"/>
        <v>2034.75</v>
      </c>
      <c r="S1015" s="35">
        <f t="shared" si="107"/>
        <v>135.65</v>
      </c>
      <c r="T1015" s="34">
        <v>500</v>
      </c>
    </row>
    <row r="1016" spans="1:20" x14ac:dyDescent="0.25">
      <c r="A1016" s="36" t="s">
        <v>1143</v>
      </c>
      <c r="B1016" s="36"/>
      <c r="C1016" s="36" t="s">
        <v>32</v>
      </c>
      <c r="D1016" s="39">
        <v>45901</v>
      </c>
      <c r="E1016" s="39">
        <v>46266</v>
      </c>
      <c r="F1016" s="36" t="s">
        <v>1841</v>
      </c>
      <c r="G1016" s="36" t="s">
        <v>62</v>
      </c>
      <c r="H1016" s="38">
        <v>16235</v>
      </c>
      <c r="I1016" s="40">
        <v>13565</v>
      </c>
      <c r="J1016" s="40"/>
      <c r="K1016" s="40"/>
      <c r="L1016" s="40"/>
      <c r="M1016" s="40"/>
      <c r="N1016" s="36" t="s">
        <v>2630</v>
      </c>
      <c r="O1016" s="37">
        <v>45535</v>
      </c>
      <c r="P1016" s="44" t="s">
        <v>58</v>
      </c>
      <c r="Q1016" s="38">
        <v>382000</v>
      </c>
      <c r="R1016" s="33">
        <f t="shared" si="108"/>
        <v>2034.75</v>
      </c>
      <c r="S1016" s="35">
        <f t="shared" si="107"/>
        <v>135.65</v>
      </c>
      <c r="T1016" s="34">
        <v>500</v>
      </c>
    </row>
    <row r="1017" spans="1:20" x14ac:dyDescent="0.25">
      <c r="A1017" s="36" t="s">
        <v>1144</v>
      </c>
      <c r="B1017" s="36"/>
      <c r="C1017" s="36" t="s">
        <v>32</v>
      </c>
      <c r="D1017" s="39">
        <v>45535</v>
      </c>
      <c r="E1017" s="39">
        <v>45900</v>
      </c>
      <c r="F1017" s="36" t="s">
        <v>1842</v>
      </c>
      <c r="G1017" s="36" t="s">
        <v>62</v>
      </c>
      <c r="H1017" s="38">
        <v>16235</v>
      </c>
      <c r="I1017" s="40">
        <v>13565</v>
      </c>
      <c r="J1017" s="40"/>
      <c r="K1017" s="40"/>
      <c r="L1017" s="40"/>
      <c r="M1017" s="40"/>
      <c r="N1017" s="36" t="s">
        <v>2631</v>
      </c>
      <c r="O1017" s="37">
        <v>45535</v>
      </c>
      <c r="P1017" s="44" t="s">
        <v>58</v>
      </c>
      <c r="Q1017" s="38">
        <v>382000</v>
      </c>
      <c r="R1017" s="33">
        <f t="shared" si="108"/>
        <v>2034.75</v>
      </c>
      <c r="S1017" s="35">
        <f t="shared" si="107"/>
        <v>135.65</v>
      </c>
      <c r="T1017" s="34">
        <v>500</v>
      </c>
    </row>
    <row r="1018" spans="1:20" x14ac:dyDescent="0.25">
      <c r="A1018" s="36" t="s">
        <v>1145</v>
      </c>
      <c r="B1018" s="36"/>
      <c r="C1018" s="36" t="s">
        <v>32</v>
      </c>
      <c r="D1018" s="39">
        <v>45901</v>
      </c>
      <c r="E1018" s="39">
        <v>46266</v>
      </c>
      <c r="F1018" s="36" t="s">
        <v>1842</v>
      </c>
      <c r="G1018" s="36" t="s">
        <v>62</v>
      </c>
      <c r="H1018" s="38">
        <v>16235</v>
      </c>
      <c r="I1018" s="40">
        <v>13565</v>
      </c>
      <c r="J1018" s="40"/>
      <c r="K1018" s="40"/>
      <c r="L1018" s="40"/>
      <c r="M1018" s="40"/>
      <c r="N1018" s="36" t="s">
        <v>2631</v>
      </c>
      <c r="O1018" s="37">
        <v>45535</v>
      </c>
      <c r="P1018" s="44" t="s">
        <v>58</v>
      </c>
      <c r="Q1018" s="38">
        <v>382000</v>
      </c>
      <c r="R1018" s="33">
        <f t="shared" si="108"/>
        <v>2034.75</v>
      </c>
      <c r="S1018" s="35">
        <f t="shared" si="107"/>
        <v>135.65</v>
      </c>
      <c r="T1018" s="34">
        <v>500</v>
      </c>
    </row>
  </sheetData>
  <autoFilter ref="A2:T1018" xr:uid="{47CF375C-9CAC-4F68-AD57-A0E165361B63}"/>
  <conditionalFormatting sqref="A3:B457">
    <cfRule type="duplicateValues" dxfId="25" priority="1298"/>
    <cfRule type="duplicateValues" dxfId="24" priority="1299"/>
    <cfRule type="duplicateValues" dxfId="23" priority="1300"/>
    <cfRule type="duplicateValues" dxfId="22" priority="1301"/>
    <cfRule type="duplicateValues" dxfId="21" priority="1302"/>
    <cfRule type="duplicateValues" dxfId="20" priority="1303"/>
    <cfRule type="duplicateValues" dxfId="19" priority="1304"/>
    <cfRule type="duplicateValues" dxfId="18" priority="1305"/>
  </conditionalFormatting>
  <conditionalFormatting sqref="G2">
    <cfRule type="duplicateValues" dxfId="17" priority="73"/>
    <cfRule type="duplicateValues" dxfId="16" priority="74"/>
    <cfRule type="duplicateValues" dxfId="15" priority="75"/>
    <cfRule type="duplicateValues" dxfId="14" priority="76"/>
    <cfRule type="duplicateValues" dxfId="13" priority="77"/>
    <cfRule type="duplicateValues" dxfId="12" priority="78"/>
  </conditionalFormatting>
  <conditionalFormatting sqref="G3:G457">
    <cfRule type="duplicateValues" dxfId="11" priority="1314"/>
    <cfRule type="duplicateValues" dxfId="10" priority="1315"/>
    <cfRule type="duplicateValues" dxfId="9" priority="1316"/>
    <cfRule type="duplicateValues" dxfId="8" priority="1317"/>
    <cfRule type="duplicateValues" dxfId="7" priority="1318"/>
    <cfRule type="duplicateValues" dxfId="6" priority="1319"/>
  </conditionalFormatting>
  <conditionalFormatting sqref="N2">
    <cfRule type="duplicateValues" dxfId="5" priority="72"/>
  </conditionalFormatting>
  <conditionalFormatting sqref="N3:N457">
    <cfRule type="duplicateValues" dxfId="4" priority="1326"/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584E-F622-4601-91C1-F5275336B539}">
  <dimension ref="A1:B1018"/>
  <sheetViews>
    <sheetView tabSelected="1" topLeftCell="A1001" workbookViewId="0">
      <selection activeCell="G1008" sqref="G1008"/>
    </sheetView>
  </sheetViews>
  <sheetFormatPr defaultRowHeight="15" x14ac:dyDescent="0.25"/>
  <cols>
    <col min="1" max="1" width="39.85546875" bestFit="1" customWidth="1"/>
    <col min="2" max="2" width="13.85546875" style="46" bestFit="1" customWidth="1"/>
  </cols>
  <sheetData>
    <row r="1" spans="1:2" x14ac:dyDescent="0.25">
      <c r="A1" t="s">
        <v>17</v>
      </c>
      <c r="B1" s="46" t="s">
        <v>2639</v>
      </c>
    </row>
    <row r="2" spans="1:2" x14ac:dyDescent="0.25">
      <c r="A2" t="s">
        <v>130</v>
      </c>
      <c r="B2" s="46">
        <v>23247.5</v>
      </c>
    </row>
    <row r="3" spans="1:2" x14ac:dyDescent="0.25">
      <c r="A3" t="s">
        <v>131</v>
      </c>
      <c r="B3" s="46">
        <v>23247.5</v>
      </c>
    </row>
    <row r="4" spans="1:2" x14ac:dyDescent="0.25">
      <c r="A4" t="s">
        <v>132</v>
      </c>
      <c r="B4" s="46">
        <v>23247.5</v>
      </c>
    </row>
    <row r="5" spans="1:2" x14ac:dyDescent="0.25">
      <c r="A5" t="s">
        <v>133</v>
      </c>
      <c r="B5" s="46">
        <v>23247.5</v>
      </c>
    </row>
    <row r="6" spans="1:2" x14ac:dyDescent="0.25">
      <c r="A6" t="s">
        <v>134</v>
      </c>
      <c r="B6" s="46">
        <v>23247.5</v>
      </c>
    </row>
    <row r="7" spans="1:2" x14ac:dyDescent="0.25">
      <c r="A7" t="s">
        <v>135</v>
      </c>
      <c r="B7" s="46">
        <v>21207.5</v>
      </c>
    </row>
    <row r="8" spans="1:2" x14ac:dyDescent="0.25">
      <c r="A8" t="s">
        <v>136</v>
      </c>
      <c r="B8" s="46">
        <v>21207.5</v>
      </c>
    </row>
    <row r="9" spans="1:2" x14ac:dyDescent="0.25">
      <c r="A9" t="s">
        <v>137</v>
      </c>
      <c r="B9" s="46">
        <v>16235.000000000002</v>
      </c>
    </row>
    <row r="10" spans="1:2" x14ac:dyDescent="0.25">
      <c r="A10" t="s">
        <v>138</v>
      </c>
      <c r="B10" s="46">
        <v>16235.000000000002</v>
      </c>
    </row>
    <row r="11" spans="1:2" x14ac:dyDescent="0.25">
      <c r="A11" t="s">
        <v>139</v>
      </c>
      <c r="B11" s="46">
        <v>16235.000000000002</v>
      </c>
    </row>
    <row r="12" spans="1:2" x14ac:dyDescent="0.25">
      <c r="A12" t="s">
        <v>140</v>
      </c>
      <c r="B12" s="46">
        <v>16235.000000000002</v>
      </c>
    </row>
    <row r="13" spans="1:2" x14ac:dyDescent="0.25">
      <c r="A13" t="s">
        <v>141</v>
      </c>
      <c r="B13" s="46">
        <v>16235.000000000002</v>
      </c>
    </row>
    <row r="14" spans="1:2" x14ac:dyDescent="0.25">
      <c r="A14" t="s">
        <v>142</v>
      </c>
      <c r="B14" s="46">
        <v>16235.000000000002</v>
      </c>
    </row>
    <row r="15" spans="1:2" x14ac:dyDescent="0.25">
      <c r="A15" t="s">
        <v>143</v>
      </c>
      <c r="B15" s="46">
        <v>16235.000000000002</v>
      </c>
    </row>
    <row r="16" spans="1:2" x14ac:dyDescent="0.25">
      <c r="A16" t="s">
        <v>144</v>
      </c>
      <c r="B16" s="46">
        <v>16235.000000000002</v>
      </c>
    </row>
    <row r="17" spans="1:2" x14ac:dyDescent="0.25">
      <c r="A17" t="s">
        <v>145</v>
      </c>
      <c r="B17" s="46">
        <v>14960.000000000002</v>
      </c>
    </row>
    <row r="18" spans="1:2" x14ac:dyDescent="0.25">
      <c r="A18" t="s">
        <v>146</v>
      </c>
      <c r="B18" s="46">
        <v>16235.000000000002</v>
      </c>
    </row>
    <row r="19" spans="1:2" x14ac:dyDescent="0.25">
      <c r="A19" t="s">
        <v>147</v>
      </c>
      <c r="B19" s="46">
        <v>16235.000000000002</v>
      </c>
    </row>
    <row r="20" spans="1:2" x14ac:dyDescent="0.25">
      <c r="A20" t="s">
        <v>148</v>
      </c>
      <c r="B20" s="46">
        <v>16235.000000000002</v>
      </c>
    </row>
    <row r="21" spans="1:2" x14ac:dyDescent="0.25">
      <c r="A21" t="s">
        <v>149</v>
      </c>
      <c r="B21" s="46">
        <v>23247.5</v>
      </c>
    </row>
    <row r="22" spans="1:2" x14ac:dyDescent="0.25">
      <c r="A22" t="s">
        <v>150</v>
      </c>
      <c r="B22" s="46">
        <v>23247.5</v>
      </c>
    </row>
    <row r="23" spans="1:2" x14ac:dyDescent="0.25">
      <c r="A23" t="s">
        <v>151</v>
      </c>
      <c r="B23" s="46">
        <v>14960.000000000002</v>
      </c>
    </row>
    <row r="24" spans="1:2" x14ac:dyDescent="0.25">
      <c r="A24" t="s">
        <v>152</v>
      </c>
      <c r="B24" s="46">
        <v>14960.000000000002</v>
      </c>
    </row>
    <row r="25" spans="1:2" x14ac:dyDescent="0.25">
      <c r="A25" t="s">
        <v>153</v>
      </c>
      <c r="B25" s="46">
        <v>21207.5</v>
      </c>
    </row>
    <row r="26" spans="1:2" x14ac:dyDescent="0.25">
      <c r="A26" t="s">
        <v>154</v>
      </c>
      <c r="B26" s="46">
        <v>21207.5</v>
      </c>
    </row>
    <row r="27" spans="1:2" x14ac:dyDescent="0.25">
      <c r="A27" t="s">
        <v>155</v>
      </c>
      <c r="B27" s="46">
        <v>16235.000000000002</v>
      </c>
    </row>
    <row r="28" spans="1:2" x14ac:dyDescent="0.25">
      <c r="A28" t="s">
        <v>156</v>
      </c>
      <c r="B28" s="46">
        <v>16235.000000000002</v>
      </c>
    </row>
    <row r="29" spans="1:2" x14ac:dyDescent="0.25">
      <c r="A29" t="s">
        <v>157</v>
      </c>
      <c r="B29" s="46">
        <v>16235.000000000002</v>
      </c>
    </row>
    <row r="30" spans="1:2" x14ac:dyDescent="0.25">
      <c r="A30" t="s">
        <v>158</v>
      </c>
      <c r="B30" s="46">
        <v>16235.000000000002</v>
      </c>
    </row>
    <row r="31" spans="1:2" x14ac:dyDescent="0.25">
      <c r="A31" t="s">
        <v>159</v>
      </c>
      <c r="B31" s="46">
        <v>12475</v>
      </c>
    </row>
    <row r="32" spans="1:2" x14ac:dyDescent="0.25">
      <c r="A32" t="s">
        <v>160</v>
      </c>
      <c r="B32" s="46">
        <v>16235.000000000002</v>
      </c>
    </row>
    <row r="33" spans="1:2" x14ac:dyDescent="0.25">
      <c r="A33" t="s">
        <v>161</v>
      </c>
      <c r="B33" s="46">
        <v>16235.000000000002</v>
      </c>
    </row>
    <row r="34" spans="1:2" x14ac:dyDescent="0.25">
      <c r="A34" t="s">
        <v>162</v>
      </c>
      <c r="B34" s="46">
        <v>14960.000000000002</v>
      </c>
    </row>
    <row r="35" spans="1:2" x14ac:dyDescent="0.25">
      <c r="A35" t="s">
        <v>163</v>
      </c>
      <c r="B35" s="46">
        <v>8800</v>
      </c>
    </row>
    <row r="36" spans="1:2" x14ac:dyDescent="0.25">
      <c r="A36" t="s">
        <v>164</v>
      </c>
      <c r="B36" s="46">
        <v>20378.5</v>
      </c>
    </row>
    <row r="37" spans="1:2" x14ac:dyDescent="0.25">
      <c r="A37" t="s">
        <v>165</v>
      </c>
      <c r="B37" s="46">
        <v>14960.000000000002</v>
      </c>
    </row>
    <row r="38" spans="1:2" x14ac:dyDescent="0.25">
      <c r="A38" t="s">
        <v>166</v>
      </c>
      <c r="B38" s="46">
        <v>14960.000000000002</v>
      </c>
    </row>
    <row r="39" spans="1:2" x14ac:dyDescent="0.25">
      <c r="A39" t="s">
        <v>167</v>
      </c>
      <c r="B39" s="46">
        <v>16235.000000000002</v>
      </c>
    </row>
    <row r="40" spans="1:2" x14ac:dyDescent="0.25">
      <c r="A40" t="s">
        <v>168</v>
      </c>
      <c r="B40" s="46">
        <v>16235.000000000002</v>
      </c>
    </row>
    <row r="41" spans="1:2" x14ac:dyDescent="0.25">
      <c r="A41" t="s">
        <v>169</v>
      </c>
      <c r="B41" s="46">
        <v>9550</v>
      </c>
    </row>
    <row r="42" spans="1:2" x14ac:dyDescent="0.25">
      <c r="A42" t="s">
        <v>170</v>
      </c>
      <c r="B42" s="46">
        <v>14960.000000000002</v>
      </c>
    </row>
    <row r="43" spans="1:2" x14ac:dyDescent="0.25">
      <c r="A43" t="s">
        <v>171</v>
      </c>
      <c r="B43" s="46">
        <v>14960.000000000002</v>
      </c>
    </row>
    <row r="44" spans="1:2" x14ac:dyDescent="0.25">
      <c r="A44" t="s">
        <v>172</v>
      </c>
      <c r="B44" s="46">
        <v>23247.5</v>
      </c>
    </row>
    <row r="45" spans="1:2" x14ac:dyDescent="0.25">
      <c r="A45" t="s">
        <v>173</v>
      </c>
      <c r="B45" s="46">
        <v>23247.5</v>
      </c>
    </row>
    <row r="46" spans="1:2" x14ac:dyDescent="0.25">
      <c r="A46" t="s">
        <v>174</v>
      </c>
      <c r="B46" s="46">
        <v>16235.000000000002</v>
      </c>
    </row>
    <row r="47" spans="1:2" x14ac:dyDescent="0.25">
      <c r="A47" t="s">
        <v>175</v>
      </c>
      <c r="B47" s="46">
        <v>16235.000000000002</v>
      </c>
    </row>
    <row r="48" spans="1:2" x14ac:dyDescent="0.25">
      <c r="A48" t="s">
        <v>176</v>
      </c>
      <c r="B48" s="46">
        <v>16235.000000000002</v>
      </c>
    </row>
    <row r="49" spans="1:2" x14ac:dyDescent="0.25">
      <c r="A49" t="s">
        <v>177</v>
      </c>
      <c r="B49" s="46">
        <v>14960.000000000002</v>
      </c>
    </row>
    <row r="50" spans="1:2" x14ac:dyDescent="0.25">
      <c r="A50" t="s">
        <v>178</v>
      </c>
      <c r="B50" s="46">
        <v>14960.000000000002</v>
      </c>
    </row>
    <row r="51" spans="1:2" x14ac:dyDescent="0.25">
      <c r="A51" t="s">
        <v>179</v>
      </c>
      <c r="B51" s="46">
        <v>23247.5</v>
      </c>
    </row>
    <row r="52" spans="1:2" x14ac:dyDescent="0.25">
      <c r="A52" t="s">
        <v>180</v>
      </c>
      <c r="B52" s="46">
        <v>23247.5</v>
      </c>
    </row>
    <row r="53" spans="1:2" x14ac:dyDescent="0.25">
      <c r="A53" t="s">
        <v>181</v>
      </c>
      <c r="B53" s="46">
        <v>13675</v>
      </c>
    </row>
    <row r="54" spans="1:2" x14ac:dyDescent="0.25">
      <c r="A54" t="s">
        <v>182</v>
      </c>
      <c r="B54" s="46">
        <v>23247.5</v>
      </c>
    </row>
    <row r="55" spans="1:2" x14ac:dyDescent="0.25">
      <c r="A55" t="s">
        <v>183</v>
      </c>
      <c r="B55" s="46">
        <v>23247.5</v>
      </c>
    </row>
    <row r="56" spans="1:2" x14ac:dyDescent="0.25">
      <c r="A56" t="s">
        <v>184</v>
      </c>
      <c r="B56" s="46">
        <v>23247.5</v>
      </c>
    </row>
    <row r="57" spans="1:2" x14ac:dyDescent="0.25">
      <c r="A57" t="s">
        <v>185</v>
      </c>
      <c r="B57" s="46">
        <v>23247.5</v>
      </c>
    </row>
    <row r="58" spans="1:2" x14ac:dyDescent="0.25">
      <c r="A58" t="s">
        <v>186</v>
      </c>
      <c r="B58" s="46">
        <v>14960.000000000002</v>
      </c>
    </row>
    <row r="59" spans="1:2" x14ac:dyDescent="0.25">
      <c r="A59" t="s">
        <v>187</v>
      </c>
      <c r="B59" s="46">
        <v>14960.000000000002</v>
      </c>
    </row>
    <row r="60" spans="1:2" x14ac:dyDescent="0.25">
      <c r="A60" t="s">
        <v>188</v>
      </c>
      <c r="B60" s="46">
        <v>14960.000000000002</v>
      </c>
    </row>
    <row r="61" spans="1:2" x14ac:dyDescent="0.25">
      <c r="A61" t="s">
        <v>189</v>
      </c>
      <c r="B61" s="46">
        <v>14960.000000000002</v>
      </c>
    </row>
    <row r="62" spans="1:2" x14ac:dyDescent="0.25">
      <c r="A62" t="s">
        <v>190</v>
      </c>
      <c r="B62" s="46">
        <v>14960.000000000002</v>
      </c>
    </row>
    <row r="63" spans="1:2" x14ac:dyDescent="0.25">
      <c r="A63" t="s">
        <v>191</v>
      </c>
      <c r="B63" s="46">
        <v>14960.000000000002</v>
      </c>
    </row>
    <row r="64" spans="1:2" x14ac:dyDescent="0.25">
      <c r="A64" t="s">
        <v>192</v>
      </c>
      <c r="B64" s="46">
        <v>23247.5</v>
      </c>
    </row>
    <row r="65" spans="1:2" x14ac:dyDescent="0.25">
      <c r="A65" t="s">
        <v>193</v>
      </c>
      <c r="B65" s="46">
        <v>23247.5</v>
      </c>
    </row>
    <row r="66" spans="1:2" x14ac:dyDescent="0.25">
      <c r="A66" t="s">
        <v>194</v>
      </c>
      <c r="B66" s="46">
        <v>8800</v>
      </c>
    </row>
    <row r="67" spans="1:2" x14ac:dyDescent="0.25">
      <c r="A67" t="s">
        <v>195</v>
      </c>
      <c r="B67" s="46">
        <v>16235.000000000002</v>
      </c>
    </row>
    <row r="68" spans="1:2" x14ac:dyDescent="0.25">
      <c r="A68" t="s">
        <v>196</v>
      </c>
      <c r="B68" s="46">
        <v>23247.5</v>
      </c>
    </row>
    <row r="69" spans="1:2" x14ac:dyDescent="0.25">
      <c r="A69" t="s">
        <v>197</v>
      </c>
      <c r="B69" s="46">
        <v>14960.000000000002</v>
      </c>
    </row>
    <row r="70" spans="1:2" x14ac:dyDescent="0.25">
      <c r="A70" t="s">
        <v>198</v>
      </c>
      <c r="B70" s="46">
        <v>14960.000000000002</v>
      </c>
    </row>
    <row r="71" spans="1:2" x14ac:dyDescent="0.25">
      <c r="A71" t="s">
        <v>199</v>
      </c>
      <c r="B71" s="46">
        <v>8800</v>
      </c>
    </row>
    <row r="72" spans="1:2" x14ac:dyDescent="0.25">
      <c r="A72" t="s">
        <v>200</v>
      </c>
      <c r="B72" s="46">
        <v>13675</v>
      </c>
    </row>
    <row r="73" spans="1:2" x14ac:dyDescent="0.25">
      <c r="A73" t="s">
        <v>201</v>
      </c>
      <c r="B73" s="46">
        <v>14960.000000000002</v>
      </c>
    </row>
    <row r="74" spans="1:2" x14ac:dyDescent="0.25">
      <c r="A74" t="s">
        <v>202</v>
      </c>
      <c r="B74" s="46">
        <v>23247.5</v>
      </c>
    </row>
    <row r="75" spans="1:2" x14ac:dyDescent="0.25">
      <c r="A75" t="s">
        <v>203</v>
      </c>
      <c r="B75" s="46">
        <v>23247.5</v>
      </c>
    </row>
    <row r="76" spans="1:2" x14ac:dyDescent="0.25">
      <c r="A76" t="s">
        <v>204</v>
      </c>
      <c r="B76" s="46">
        <v>14960.000000000002</v>
      </c>
    </row>
    <row r="77" spans="1:2" x14ac:dyDescent="0.25">
      <c r="A77" t="s">
        <v>205</v>
      </c>
      <c r="B77" s="46">
        <v>16235.000000000002</v>
      </c>
    </row>
    <row r="78" spans="1:2" x14ac:dyDescent="0.25">
      <c r="A78" t="s">
        <v>206</v>
      </c>
      <c r="B78" s="46">
        <v>23247.5</v>
      </c>
    </row>
    <row r="79" spans="1:2" x14ac:dyDescent="0.25">
      <c r="A79" t="s">
        <v>207</v>
      </c>
      <c r="B79" s="46">
        <v>23247.5</v>
      </c>
    </row>
    <row r="80" spans="1:2" x14ac:dyDescent="0.25">
      <c r="A80" t="s">
        <v>208</v>
      </c>
      <c r="B80" s="46">
        <v>16235.000000000002</v>
      </c>
    </row>
    <row r="81" spans="1:2" x14ac:dyDescent="0.25">
      <c r="A81" t="s">
        <v>209</v>
      </c>
      <c r="B81" s="46">
        <v>14960.000000000002</v>
      </c>
    </row>
    <row r="82" spans="1:2" x14ac:dyDescent="0.25">
      <c r="A82" t="s">
        <v>210</v>
      </c>
      <c r="B82" s="46">
        <v>14960.000000000002</v>
      </c>
    </row>
    <row r="83" spans="1:2" x14ac:dyDescent="0.25">
      <c r="A83" t="s">
        <v>211</v>
      </c>
      <c r="B83" s="46">
        <v>16235.000000000002</v>
      </c>
    </row>
    <row r="84" spans="1:2" x14ac:dyDescent="0.25">
      <c r="A84" t="s">
        <v>212</v>
      </c>
      <c r="B84" s="46">
        <v>16235.000000000002</v>
      </c>
    </row>
    <row r="85" spans="1:2" x14ac:dyDescent="0.25">
      <c r="A85" t="s">
        <v>213</v>
      </c>
      <c r="B85" s="46">
        <v>16235.000000000002</v>
      </c>
    </row>
    <row r="86" spans="1:2" x14ac:dyDescent="0.25">
      <c r="A86" t="s">
        <v>214</v>
      </c>
      <c r="B86" s="46">
        <v>16235.000000000002</v>
      </c>
    </row>
    <row r="87" spans="1:2" x14ac:dyDescent="0.25">
      <c r="A87" t="s">
        <v>215</v>
      </c>
      <c r="B87" s="46">
        <v>16235.000000000002</v>
      </c>
    </row>
    <row r="88" spans="1:2" x14ac:dyDescent="0.25">
      <c r="A88" t="s">
        <v>216</v>
      </c>
      <c r="B88" s="46">
        <v>8800</v>
      </c>
    </row>
    <row r="89" spans="1:2" x14ac:dyDescent="0.25">
      <c r="A89" t="s">
        <v>217</v>
      </c>
      <c r="B89" s="46">
        <v>16235.000000000002</v>
      </c>
    </row>
    <row r="90" spans="1:2" x14ac:dyDescent="0.25">
      <c r="A90" t="s">
        <v>218</v>
      </c>
      <c r="B90" s="46">
        <v>16235.000000000002</v>
      </c>
    </row>
    <row r="91" spans="1:2" x14ac:dyDescent="0.25">
      <c r="A91" t="s">
        <v>219</v>
      </c>
      <c r="B91" s="46">
        <v>9550</v>
      </c>
    </row>
    <row r="92" spans="1:2" x14ac:dyDescent="0.25">
      <c r="A92" t="s">
        <v>220</v>
      </c>
      <c r="B92" s="46">
        <v>9550</v>
      </c>
    </row>
    <row r="93" spans="1:2" x14ac:dyDescent="0.25">
      <c r="A93" t="s">
        <v>221</v>
      </c>
      <c r="B93" s="46">
        <v>9550</v>
      </c>
    </row>
    <row r="94" spans="1:2" x14ac:dyDescent="0.25">
      <c r="A94" t="s">
        <v>222</v>
      </c>
      <c r="B94" s="46">
        <v>13675</v>
      </c>
    </row>
    <row r="95" spans="1:2" x14ac:dyDescent="0.25">
      <c r="A95" t="s">
        <v>223</v>
      </c>
      <c r="B95" s="46">
        <v>12475</v>
      </c>
    </row>
    <row r="96" spans="1:2" x14ac:dyDescent="0.25">
      <c r="A96" t="s">
        <v>224</v>
      </c>
      <c r="B96" s="46">
        <v>9550</v>
      </c>
    </row>
    <row r="97" spans="1:2" x14ac:dyDescent="0.25">
      <c r="A97" t="s">
        <v>225</v>
      </c>
      <c r="B97" s="46">
        <v>14960.000000000002</v>
      </c>
    </row>
    <row r="98" spans="1:2" x14ac:dyDescent="0.25">
      <c r="A98" t="s">
        <v>226</v>
      </c>
      <c r="B98" s="46">
        <v>14960.000000000002</v>
      </c>
    </row>
    <row r="99" spans="1:2" x14ac:dyDescent="0.25">
      <c r="A99" t="s">
        <v>227</v>
      </c>
      <c r="B99" s="46">
        <v>14960.000000000002</v>
      </c>
    </row>
    <row r="100" spans="1:2" x14ac:dyDescent="0.25">
      <c r="A100" t="s">
        <v>228</v>
      </c>
      <c r="B100" s="46">
        <v>8800</v>
      </c>
    </row>
    <row r="101" spans="1:2" x14ac:dyDescent="0.25">
      <c r="A101" t="s">
        <v>229</v>
      </c>
      <c r="B101" s="46">
        <v>14960.000000000002</v>
      </c>
    </row>
    <row r="102" spans="1:2" x14ac:dyDescent="0.25">
      <c r="A102" t="s">
        <v>230</v>
      </c>
      <c r="B102" s="46">
        <v>14960.000000000002</v>
      </c>
    </row>
    <row r="103" spans="1:2" x14ac:dyDescent="0.25">
      <c r="A103" t="s">
        <v>231</v>
      </c>
      <c r="B103" s="46">
        <v>14960.000000000002</v>
      </c>
    </row>
    <row r="104" spans="1:2" x14ac:dyDescent="0.25">
      <c r="A104" t="s">
        <v>232</v>
      </c>
      <c r="B104" s="46">
        <v>8800</v>
      </c>
    </row>
    <row r="105" spans="1:2" x14ac:dyDescent="0.25">
      <c r="A105" t="s">
        <v>233</v>
      </c>
      <c r="B105" s="46">
        <v>8800</v>
      </c>
    </row>
    <row r="106" spans="1:2" x14ac:dyDescent="0.25">
      <c r="A106" t="s">
        <v>234</v>
      </c>
      <c r="B106" s="46">
        <v>13675</v>
      </c>
    </row>
    <row r="107" spans="1:2" x14ac:dyDescent="0.25">
      <c r="A107" t="s">
        <v>235</v>
      </c>
      <c r="B107" s="46">
        <v>12475</v>
      </c>
    </row>
    <row r="108" spans="1:2" x14ac:dyDescent="0.25">
      <c r="A108" t="s">
        <v>236</v>
      </c>
      <c r="B108" s="46">
        <v>9550</v>
      </c>
    </row>
    <row r="109" spans="1:2" x14ac:dyDescent="0.25">
      <c r="A109" t="s">
        <v>237</v>
      </c>
      <c r="B109" s="46">
        <v>8800</v>
      </c>
    </row>
    <row r="110" spans="1:2" x14ac:dyDescent="0.25">
      <c r="A110" t="s">
        <v>238</v>
      </c>
      <c r="B110" s="46">
        <v>8800</v>
      </c>
    </row>
    <row r="111" spans="1:2" x14ac:dyDescent="0.25">
      <c r="A111" t="s">
        <v>239</v>
      </c>
      <c r="B111" s="46">
        <v>9550</v>
      </c>
    </row>
    <row r="112" spans="1:2" x14ac:dyDescent="0.25">
      <c r="A112" t="s">
        <v>240</v>
      </c>
      <c r="B112" s="46">
        <v>13675</v>
      </c>
    </row>
    <row r="113" spans="1:2" x14ac:dyDescent="0.25">
      <c r="A113" t="s">
        <v>241</v>
      </c>
      <c r="B113" s="46">
        <v>9550</v>
      </c>
    </row>
    <row r="114" spans="1:2" x14ac:dyDescent="0.25">
      <c r="A114" t="s">
        <v>242</v>
      </c>
      <c r="B114" s="46">
        <v>14960.000000000002</v>
      </c>
    </row>
    <row r="115" spans="1:2" x14ac:dyDescent="0.25">
      <c r="A115" t="s">
        <v>243</v>
      </c>
      <c r="B115" s="46">
        <v>13675</v>
      </c>
    </row>
    <row r="116" spans="1:2" x14ac:dyDescent="0.25">
      <c r="A116" t="s">
        <v>244</v>
      </c>
      <c r="B116" s="46">
        <v>9550</v>
      </c>
    </row>
    <row r="117" spans="1:2" x14ac:dyDescent="0.25">
      <c r="A117" t="s">
        <v>245</v>
      </c>
      <c r="B117" s="46">
        <v>9550</v>
      </c>
    </row>
    <row r="118" spans="1:2" x14ac:dyDescent="0.25">
      <c r="A118" t="s">
        <v>246</v>
      </c>
      <c r="B118" s="46">
        <v>16235.000000000002</v>
      </c>
    </row>
    <row r="119" spans="1:2" x14ac:dyDescent="0.25">
      <c r="A119" t="s">
        <v>247</v>
      </c>
      <c r="B119" s="46">
        <v>14960.000000000002</v>
      </c>
    </row>
    <row r="120" spans="1:2" x14ac:dyDescent="0.25">
      <c r="A120" t="s">
        <v>248</v>
      </c>
      <c r="B120" s="46">
        <v>8800</v>
      </c>
    </row>
    <row r="121" spans="1:2" x14ac:dyDescent="0.25">
      <c r="A121" t="s">
        <v>249</v>
      </c>
      <c r="B121" s="46">
        <v>16235.000000000002</v>
      </c>
    </row>
    <row r="122" spans="1:2" x14ac:dyDescent="0.25">
      <c r="A122" t="s">
        <v>250</v>
      </c>
      <c r="B122" s="46">
        <v>16235.000000000002</v>
      </c>
    </row>
    <row r="123" spans="1:2" x14ac:dyDescent="0.25">
      <c r="A123" t="s">
        <v>251</v>
      </c>
      <c r="B123" s="46">
        <v>16235.000000000002</v>
      </c>
    </row>
    <row r="124" spans="1:2" x14ac:dyDescent="0.25">
      <c r="A124" t="s">
        <v>252</v>
      </c>
      <c r="B124" s="46">
        <v>16235.000000000002</v>
      </c>
    </row>
    <row r="125" spans="1:2" x14ac:dyDescent="0.25">
      <c r="A125" t="s">
        <v>253</v>
      </c>
      <c r="B125" s="46">
        <v>14960.000000000002</v>
      </c>
    </row>
    <row r="126" spans="1:2" x14ac:dyDescent="0.25">
      <c r="A126" t="s">
        <v>254</v>
      </c>
      <c r="B126" s="46">
        <v>14960.000000000002</v>
      </c>
    </row>
    <row r="127" spans="1:2" x14ac:dyDescent="0.25">
      <c r="A127" t="s">
        <v>255</v>
      </c>
      <c r="B127" s="46">
        <v>16235.000000000002</v>
      </c>
    </row>
    <row r="128" spans="1:2" x14ac:dyDescent="0.25">
      <c r="A128" t="s">
        <v>256</v>
      </c>
      <c r="B128" s="46">
        <v>16235.000000000002</v>
      </c>
    </row>
    <row r="129" spans="1:2" x14ac:dyDescent="0.25">
      <c r="A129" t="s">
        <v>257</v>
      </c>
      <c r="B129" s="46">
        <v>16235.000000000002</v>
      </c>
    </row>
    <row r="130" spans="1:2" x14ac:dyDescent="0.25">
      <c r="A130" t="s">
        <v>258</v>
      </c>
      <c r="B130" s="46">
        <v>23247.5</v>
      </c>
    </row>
    <row r="131" spans="1:2" x14ac:dyDescent="0.25">
      <c r="A131" t="s">
        <v>259</v>
      </c>
      <c r="B131" s="46">
        <v>14960.000000000002</v>
      </c>
    </row>
    <row r="132" spans="1:2" x14ac:dyDescent="0.25">
      <c r="A132" t="s">
        <v>260</v>
      </c>
      <c r="B132" s="46">
        <v>14960.000000000002</v>
      </c>
    </row>
    <row r="133" spans="1:2" x14ac:dyDescent="0.25">
      <c r="A133" t="s">
        <v>261</v>
      </c>
      <c r="B133" s="46">
        <v>23247.5</v>
      </c>
    </row>
    <row r="134" spans="1:2" x14ac:dyDescent="0.25">
      <c r="A134" t="s">
        <v>262</v>
      </c>
      <c r="B134" s="46">
        <v>14960.000000000002</v>
      </c>
    </row>
    <row r="135" spans="1:2" x14ac:dyDescent="0.25">
      <c r="A135" t="s">
        <v>263</v>
      </c>
      <c r="B135" s="46">
        <v>16235.000000000002</v>
      </c>
    </row>
    <row r="136" spans="1:2" x14ac:dyDescent="0.25">
      <c r="A136" t="s">
        <v>264</v>
      </c>
      <c r="B136" s="46">
        <v>16235.000000000002</v>
      </c>
    </row>
    <row r="137" spans="1:2" x14ac:dyDescent="0.25">
      <c r="A137" t="s">
        <v>265</v>
      </c>
      <c r="B137" s="46">
        <v>16235.000000000002</v>
      </c>
    </row>
    <row r="138" spans="1:2" x14ac:dyDescent="0.25">
      <c r="A138" t="s">
        <v>266</v>
      </c>
      <c r="B138" s="46">
        <v>14960.000000000002</v>
      </c>
    </row>
    <row r="139" spans="1:2" x14ac:dyDescent="0.25">
      <c r="A139" t="s">
        <v>267</v>
      </c>
      <c r="B139" s="46">
        <v>14960.000000000002</v>
      </c>
    </row>
    <row r="140" spans="1:2" x14ac:dyDescent="0.25">
      <c r="A140" t="s">
        <v>268</v>
      </c>
      <c r="B140" s="46">
        <v>14960.000000000002</v>
      </c>
    </row>
    <row r="141" spans="1:2" x14ac:dyDescent="0.25">
      <c r="A141" t="s">
        <v>269</v>
      </c>
      <c r="B141" s="46">
        <v>14960.000000000002</v>
      </c>
    </row>
    <row r="142" spans="1:2" x14ac:dyDescent="0.25">
      <c r="A142" t="s">
        <v>270</v>
      </c>
      <c r="B142" s="46">
        <v>14960.000000000002</v>
      </c>
    </row>
    <row r="143" spans="1:2" x14ac:dyDescent="0.25">
      <c r="A143" t="s">
        <v>271</v>
      </c>
      <c r="B143" s="46">
        <v>14960.000000000002</v>
      </c>
    </row>
    <row r="144" spans="1:2" x14ac:dyDescent="0.25">
      <c r="A144" t="s">
        <v>272</v>
      </c>
      <c r="B144" s="46">
        <v>14960.000000000002</v>
      </c>
    </row>
    <row r="145" spans="1:2" x14ac:dyDescent="0.25">
      <c r="A145" t="s">
        <v>273</v>
      </c>
      <c r="B145" s="46">
        <v>14960.000000000002</v>
      </c>
    </row>
    <row r="146" spans="1:2" x14ac:dyDescent="0.25">
      <c r="A146" t="s">
        <v>274</v>
      </c>
      <c r="B146" s="46">
        <v>14960.000000000002</v>
      </c>
    </row>
    <row r="147" spans="1:2" x14ac:dyDescent="0.25">
      <c r="A147" t="s">
        <v>275</v>
      </c>
      <c r="B147" s="46">
        <v>14960.000000000002</v>
      </c>
    </row>
    <row r="148" spans="1:2" x14ac:dyDescent="0.25">
      <c r="A148" t="s">
        <v>276</v>
      </c>
      <c r="B148" s="46">
        <v>14960.000000000002</v>
      </c>
    </row>
    <row r="149" spans="1:2" x14ac:dyDescent="0.25">
      <c r="A149" t="s">
        <v>277</v>
      </c>
      <c r="B149" s="46">
        <v>14960.000000000002</v>
      </c>
    </row>
    <row r="150" spans="1:2" x14ac:dyDescent="0.25">
      <c r="A150" t="s">
        <v>278</v>
      </c>
      <c r="B150" s="46">
        <v>16235.000000000002</v>
      </c>
    </row>
    <row r="151" spans="1:2" x14ac:dyDescent="0.25">
      <c r="A151" t="s">
        <v>279</v>
      </c>
      <c r="B151" s="46">
        <v>16235.000000000002</v>
      </c>
    </row>
    <row r="152" spans="1:2" x14ac:dyDescent="0.25">
      <c r="A152" t="s">
        <v>280</v>
      </c>
      <c r="B152" s="46">
        <v>16235.000000000002</v>
      </c>
    </row>
    <row r="153" spans="1:2" x14ac:dyDescent="0.25">
      <c r="A153" t="s">
        <v>281</v>
      </c>
      <c r="B153" s="46">
        <v>16235.000000000002</v>
      </c>
    </row>
    <row r="154" spans="1:2" x14ac:dyDescent="0.25">
      <c r="A154" t="s">
        <v>282</v>
      </c>
      <c r="B154" s="46">
        <v>16235.000000000002</v>
      </c>
    </row>
    <row r="155" spans="1:2" x14ac:dyDescent="0.25">
      <c r="A155" t="s">
        <v>283</v>
      </c>
      <c r="B155" s="46">
        <v>16235.000000000002</v>
      </c>
    </row>
    <row r="156" spans="1:2" x14ac:dyDescent="0.25">
      <c r="A156" t="s">
        <v>284</v>
      </c>
      <c r="B156" s="46">
        <v>8800</v>
      </c>
    </row>
    <row r="157" spans="1:2" x14ac:dyDescent="0.25">
      <c r="A157" t="s">
        <v>285</v>
      </c>
      <c r="B157" s="46">
        <v>8800</v>
      </c>
    </row>
    <row r="158" spans="1:2" x14ac:dyDescent="0.25">
      <c r="A158" t="s">
        <v>286</v>
      </c>
      <c r="B158" s="46">
        <v>8800</v>
      </c>
    </row>
    <row r="159" spans="1:2" x14ac:dyDescent="0.25">
      <c r="A159" t="s">
        <v>287</v>
      </c>
      <c r="B159" s="46">
        <v>8800</v>
      </c>
    </row>
    <row r="160" spans="1:2" x14ac:dyDescent="0.25">
      <c r="A160" t="s">
        <v>288</v>
      </c>
      <c r="B160" s="46">
        <v>8800</v>
      </c>
    </row>
    <row r="161" spans="1:2" x14ac:dyDescent="0.25">
      <c r="A161" t="s">
        <v>289</v>
      </c>
      <c r="B161" s="46">
        <v>9550</v>
      </c>
    </row>
    <row r="162" spans="1:2" x14ac:dyDescent="0.25">
      <c r="A162" t="s">
        <v>290</v>
      </c>
      <c r="B162" s="46">
        <v>9550</v>
      </c>
    </row>
    <row r="163" spans="1:2" x14ac:dyDescent="0.25">
      <c r="A163" t="s">
        <v>291</v>
      </c>
      <c r="B163" s="46">
        <v>9550</v>
      </c>
    </row>
    <row r="164" spans="1:2" x14ac:dyDescent="0.25">
      <c r="A164" t="s">
        <v>292</v>
      </c>
      <c r="B164" s="46">
        <v>8800</v>
      </c>
    </row>
    <row r="165" spans="1:2" x14ac:dyDescent="0.25">
      <c r="A165" t="s">
        <v>293</v>
      </c>
      <c r="B165" s="46">
        <v>8800</v>
      </c>
    </row>
    <row r="166" spans="1:2" x14ac:dyDescent="0.25">
      <c r="A166" t="s">
        <v>294</v>
      </c>
      <c r="B166" s="46">
        <v>9550</v>
      </c>
    </row>
    <row r="167" spans="1:2" x14ac:dyDescent="0.25">
      <c r="A167" t="s">
        <v>295</v>
      </c>
      <c r="B167" s="46">
        <v>8800</v>
      </c>
    </row>
    <row r="168" spans="1:2" x14ac:dyDescent="0.25">
      <c r="A168" t="s">
        <v>296</v>
      </c>
      <c r="B168" s="46">
        <v>9550</v>
      </c>
    </row>
    <row r="169" spans="1:2" x14ac:dyDescent="0.25">
      <c r="A169" t="s">
        <v>297</v>
      </c>
      <c r="B169" s="46">
        <v>9550</v>
      </c>
    </row>
    <row r="170" spans="1:2" x14ac:dyDescent="0.25">
      <c r="A170" t="s">
        <v>298</v>
      </c>
      <c r="B170" s="46">
        <v>9550</v>
      </c>
    </row>
    <row r="171" spans="1:2" x14ac:dyDescent="0.25">
      <c r="A171" t="s">
        <v>299</v>
      </c>
      <c r="B171" s="46">
        <v>9550</v>
      </c>
    </row>
    <row r="172" spans="1:2" x14ac:dyDescent="0.25">
      <c r="A172" t="s">
        <v>300</v>
      </c>
      <c r="B172" s="46">
        <v>9550</v>
      </c>
    </row>
    <row r="173" spans="1:2" x14ac:dyDescent="0.25">
      <c r="A173" t="s">
        <v>301</v>
      </c>
      <c r="B173" s="46">
        <v>8800</v>
      </c>
    </row>
    <row r="174" spans="1:2" x14ac:dyDescent="0.25">
      <c r="A174" t="s">
        <v>302</v>
      </c>
      <c r="B174" s="46">
        <v>8800</v>
      </c>
    </row>
    <row r="175" spans="1:2" x14ac:dyDescent="0.25">
      <c r="A175" t="s">
        <v>303</v>
      </c>
      <c r="B175" s="46">
        <v>8800</v>
      </c>
    </row>
    <row r="176" spans="1:2" x14ac:dyDescent="0.25">
      <c r="A176" t="s">
        <v>304</v>
      </c>
      <c r="B176" s="46">
        <v>8800</v>
      </c>
    </row>
    <row r="177" spans="1:2" x14ac:dyDescent="0.25">
      <c r="A177" t="s">
        <v>305</v>
      </c>
      <c r="B177" s="46">
        <v>8800</v>
      </c>
    </row>
    <row r="178" spans="1:2" x14ac:dyDescent="0.25">
      <c r="A178" t="s">
        <v>306</v>
      </c>
      <c r="B178" s="46">
        <v>9550</v>
      </c>
    </row>
    <row r="179" spans="1:2" x14ac:dyDescent="0.25">
      <c r="A179" t="s">
        <v>307</v>
      </c>
      <c r="B179" s="46">
        <v>16235.000000000002</v>
      </c>
    </row>
    <row r="180" spans="1:2" x14ac:dyDescent="0.25">
      <c r="A180" t="s">
        <v>308</v>
      </c>
      <c r="B180" s="46">
        <v>8800</v>
      </c>
    </row>
    <row r="181" spans="1:2" x14ac:dyDescent="0.25">
      <c r="A181" t="s">
        <v>309</v>
      </c>
      <c r="B181" s="46">
        <v>16235</v>
      </c>
    </row>
    <row r="182" spans="1:2" x14ac:dyDescent="0.25">
      <c r="A182" t="s">
        <v>310</v>
      </c>
      <c r="B182" s="46">
        <v>16235</v>
      </c>
    </row>
    <row r="183" spans="1:2" x14ac:dyDescent="0.25">
      <c r="A183" t="s">
        <v>311</v>
      </c>
      <c r="B183" s="46">
        <v>13675</v>
      </c>
    </row>
    <row r="184" spans="1:2" x14ac:dyDescent="0.25">
      <c r="A184" t="s">
        <v>312</v>
      </c>
      <c r="B184" s="46">
        <v>8800</v>
      </c>
    </row>
    <row r="185" spans="1:2" x14ac:dyDescent="0.25">
      <c r="A185" t="s">
        <v>313</v>
      </c>
      <c r="B185" s="46">
        <v>16235</v>
      </c>
    </row>
    <row r="186" spans="1:2" x14ac:dyDescent="0.25">
      <c r="A186" t="s">
        <v>314</v>
      </c>
      <c r="B186" s="46">
        <v>16235</v>
      </c>
    </row>
    <row r="187" spans="1:2" x14ac:dyDescent="0.25">
      <c r="A187" t="s">
        <v>315</v>
      </c>
      <c r="B187" s="46">
        <v>23248</v>
      </c>
    </row>
    <row r="188" spans="1:2" x14ac:dyDescent="0.25">
      <c r="A188" t="s">
        <v>316</v>
      </c>
      <c r="B188" s="46">
        <v>21208</v>
      </c>
    </row>
    <row r="189" spans="1:2" x14ac:dyDescent="0.25">
      <c r="A189" t="s">
        <v>317</v>
      </c>
      <c r="B189" s="46">
        <v>14960</v>
      </c>
    </row>
    <row r="190" spans="1:2" x14ac:dyDescent="0.25">
      <c r="A190" t="s">
        <v>318</v>
      </c>
      <c r="B190" s="46">
        <v>8800</v>
      </c>
    </row>
    <row r="191" spans="1:2" x14ac:dyDescent="0.25">
      <c r="A191" t="s">
        <v>319</v>
      </c>
      <c r="B191" s="46">
        <v>12475</v>
      </c>
    </row>
    <row r="192" spans="1:2" x14ac:dyDescent="0.25">
      <c r="A192" t="s">
        <v>320</v>
      </c>
      <c r="B192" s="46">
        <v>8800</v>
      </c>
    </row>
    <row r="193" spans="1:2" x14ac:dyDescent="0.25">
      <c r="A193" t="s">
        <v>321</v>
      </c>
      <c r="B193" s="46">
        <v>23248</v>
      </c>
    </row>
    <row r="194" spans="1:2" x14ac:dyDescent="0.25">
      <c r="A194" t="s">
        <v>322</v>
      </c>
      <c r="B194" s="46">
        <v>23248</v>
      </c>
    </row>
    <row r="195" spans="1:2" x14ac:dyDescent="0.25">
      <c r="A195" t="s">
        <v>323</v>
      </c>
      <c r="B195" s="46">
        <v>14960</v>
      </c>
    </row>
    <row r="196" spans="1:2" x14ac:dyDescent="0.25">
      <c r="A196" t="s">
        <v>324</v>
      </c>
      <c r="B196" s="46">
        <v>14960</v>
      </c>
    </row>
    <row r="197" spans="1:2" x14ac:dyDescent="0.25">
      <c r="A197" t="s">
        <v>325</v>
      </c>
      <c r="B197" s="46">
        <v>14960</v>
      </c>
    </row>
    <row r="198" spans="1:2" x14ac:dyDescent="0.25">
      <c r="A198" t="s">
        <v>326</v>
      </c>
      <c r="B198" s="46">
        <v>8800</v>
      </c>
    </row>
    <row r="199" spans="1:2" x14ac:dyDescent="0.25">
      <c r="A199" t="s">
        <v>327</v>
      </c>
      <c r="B199" s="46">
        <v>8800</v>
      </c>
    </row>
    <row r="200" spans="1:2" x14ac:dyDescent="0.25">
      <c r="A200" t="s">
        <v>328</v>
      </c>
      <c r="B200" s="46">
        <v>16235</v>
      </c>
    </row>
    <row r="201" spans="1:2" x14ac:dyDescent="0.25">
      <c r="A201" t="s">
        <v>329</v>
      </c>
      <c r="B201" s="46">
        <v>16235</v>
      </c>
    </row>
    <row r="202" spans="1:2" x14ac:dyDescent="0.25">
      <c r="A202" t="s">
        <v>330</v>
      </c>
      <c r="B202" s="46">
        <v>14960</v>
      </c>
    </row>
    <row r="203" spans="1:2" x14ac:dyDescent="0.25">
      <c r="A203" t="s">
        <v>331</v>
      </c>
      <c r="B203" s="46">
        <v>8800</v>
      </c>
    </row>
    <row r="204" spans="1:2" x14ac:dyDescent="0.25">
      <c r="A204" t="s">
        <v>332</v>
      </c>
      <c r="B204" s="46">
        <v>13675</v>
      </c>
    </row>
    <row r="205" spans="1:2" x14ac:dyDescent="0.25">
      <c r="A205" t="s">
        <v>333</v>
      </c>
      <c r="B205" s="46">
        <v>14960</v>
      </c>
    </row>
    <row r="206" spans="1:2" x14ac:dyDescent="0.25">
      <c r="A206" t="s">
        <v>334</v>
      </c>
      <c r="B206" s="46">
        <v>8800</v>
      </c>
    </row>
    <row r="207" spans="1:2" x14ac:dyDescent="0.25">
      <c r="A207" t="s">
        <v>335</v>
      </c>
      <c r="B207" s="46">
        <v>8800</v>
      </c>
    </row>
    <row r="208" spans="1:2" x14ac:dyDescent="0.25">
      <c r="A208" t="s">
        <v>336</v>
      </c>
      <c r="B208" s="46">
        <v>12475</v>
      </c>
    </row>
    <row r="209" spans="1:2" x14ac:dyDescent="0.25">
      <c r="A209" t="s">
        <v>337</v>
      </c>
      <c r="B209" s="46">
        <v>14960</v>
      </c>
    </row>
    <row r="210" spans="1:2" x14ac:dyDescent="0.25">
      <c r="A210" t="s">
        <v>338</v>
      </c>
      <c r="B210" s="46">
        <v>14960</v>
      </c>
    </row>
    <row r="211" spans="1:2" x14ac:dyDescent="0.25">
      <c r="A211" t="s">
        <v>339</v>
      </c>
      <c r="B211" s="46">
        <v>12475</v>
      </c>
    </row>
    <row r="212" spans="1:2" x14ac:dyDescent="0.25">
      <c r="A212" t="s">
        <v>340</v>
      </c>
      <c r="B212" s="46">
        <v>8800</v>
      </c>
    </row>
    <row r="213" spans="1:2" x14ac:dyDescent="0.25">
      <c r="A213" t="s">
        <v>341</v>
      </c>
      <c r="B213" s="46">
        <v>8800</v>
      </c>
    </row>
    <row r="214" spans="1:2" x14ac:dyDescent="0.25">
      <c r="A214" t="s">
        <v>342</v>
      </c>
      <c r="B214" s="46">
        <v>8800</v>
      </c>
    </row>
    <row r="215" spans="1:2" x14ac:dyDescent="0.25">
      <c r="A215" t="s">
        <v>343</v>
      </c>
      <c r="B215" s="46">
        <v>13675</v>
      </c>
    </row>
    <row r="216" spans="1:2" x14ac:dyDescent="0.25">
      <c r="A216" t="s">
        <v>344</v>
      </c>
      <c r="B216" s="46">
        <v>14960</v>
      </c>
    </row>
    <row r="217" spans="1:2" x14ac:dyDescent="0.25">
      <c r="A217" t="s">
        <v>345</v>
      </c>
      <c r="B217" s="46">
        <v>8800</v>
      </c>
    </row>
    <row r="218" spans="1:2" x14ac:dyDescent="0.25">
      <c r="A218" t="s">
        <v>346</v>
      </c>
      <c r="B218" s="46">
        <v>14960</v>
      </c>
    </row>
    <row r="219" spans="1:2" x14ac:dyDescent="0.25">
      <c r="A219" t="s">
        <v>347</v>
      </c>
      <c r="B219" s="46">
        <v>23248</v>
      </c>
    </row>
    <row r="220" spans="1:2" x14ac:dyDescent="0.25">
      <c r="A220" t="s">
        <v>348</v>
      </c>
      <c r="B220" s="46">
        <v>14960</v>
      </c>
    </row>
    <row r="221" spans="1:2" x14ac:dyDescent="0.25">
      <c r="A221" t="s">
        <v>349</v>
      </c>
      <c r="B221" s="46">
        <v>14960</v>
      </c>
    </row>
    <row r="222" spans="1:2" x14ac:dyDescent="0.25">
      <c r="A222" t="s">
        <v>350</v>
      </c>
      <c r="B222" s="46">
        <v>14960</v>
      </c>
    </row>
    <row r="223" spans="1:2" x14ac:dyDescent="0.25">
      <c r="A223" t="s">
        <v>351</v>
      </c>
      <c r="B223" s="46">
        <v>14960</v>
      </c>
    </row>
    <row r="224" spans="1:2" x14ac:dyDescent="0.25">
      <c r="A224" t="s">
        <v>352</v>
      </c>
      <c r="B224" s="46">
        <v>9550</v>
      </c>
    </row>
    <row r="225" spans="1:2" x14ac:dyDescent="0.25">
      <c r="A225" t="s">
        <v>353</v>
      </c>
      <c r="B225" s="46">
        <v>8800</v>
      </c>
    </row>
    <row r="226" spans="1:2" x14ac:dyDescent="0.25">
      <c r="A226" t="s">
        <v>354</v>
      </c>
      <c r="B226" s="46">
        <v>12475</v>
      </c>
    </row>
    <row r="227" spans="1:2" x14ac:dyDescent="0.25">
      <c r="A227" t="s">
        <v>355</v>
      </c>
      <c r="B227" s="46">
        <v>8800</v>
      </c>
    </row>
    <row r="228" spans="1:2" x14ac:dyDescent="0.25">
      <c r="A228" t="s">
        <v>356</v>
      </c>
      <c r="B228" s="46">
        <v>14960</v>
      </c>
    </row>
    <row r="229" spans="1:2" x14ac:dyDescent="0.25">
      <c r="A229" t="s">
        <v>357</v>
      </c>
      <c r="B229" s="46">
        <v>14960</v>
      </c>
    </row>
    <row r="230" spans="1:2" x14ac:dyDescent="0.25">
      <c r="A230" t="s">
        <v>358</v>
      </c>
      <c r="B230" s="46">
        <v>8800</v>
      </c>
    </row>
    <row r="231" spans="1:2" x14ac:dyDescent="0.25">
      <c r="A231" t="s">
        <v>359</v>
      </c>
      <c r="B231" s="46">
        <v>14960</v>
      </c>
    </row>
    <row r="232" spans="1:2" x14ac:dyDescent="0.25">
      <c r="A232" t="s">
        <v>360</v>
      </c>
      <c r="B232" s="46">
        <v>14960</v>
      </c>
    </row>
    <row r="233" spans="1:2" x14ac:dyDescent="0.25">
      <c r="A233" t="s">
        <v>361</v>
      </c>
      <c r="B233" s="46">
        <v>13675</v>
      </c>
    </row>
    <row r="234" spans="1:2" x14ac:dyDescent="0.25">
      <c r="A234" t="s">
        <v>362</v>
      </c>
      <c r="B234" s="46">
        <v>9550</v>
      </c>
    </row>
    <row r="235" spans="1:2" x14ac:dyDescent="0.25">
      <c r="A235" t="s">
        <v>363</v>
      </c>
      <c r="B235" s="46">
        <v>12475</v>
      </c>
    </row>
    <row r="236" spans="1:2" x14ac:dyDescent="0.25">
      <c r="A236" t="s">
        <v>364</v>
      </c>
      <c r="B236" s="46">
        <v>23247.5</v>
      </c>
    </row>
    <row r="237" spans="1:2" x14ac:dyDescent="0.25">
      <c r="A237" t="s">
        <v>365</v>
      </c>
      <c r="B237" s="46">
        <v>8800</v>
      </c>
    </row>
    <row r="238" spans="1:2" x14ac:dyDescent="0.25">
      <c r="A238" t="s">
        <v>366</v>
      </c>
      <c r="B238" s="46">
        <v>12475</v>
      </c>
    </row>
    <row r="239" spans="1:2" x14ac:dyDescent="0.25">
      <c r="A239" t="s">
        <v>367</v>
      </c>
      <c r="B239" s="46">
        <v>9550</v>
      </c>
    </row>
    <row r="240" spans="1:2" x14ac:dyDescent="0.25">
      <c r="A240" t="s">
        <v>368</v>
      </c>
      <c r="B240" s="46">
        <v>8800</v>
      </c>
    </row>
    <row r="241" spans="1:2" x14ac:dyDescent="0.25">
      <c r="A241" t="s">
        <v>369</v>
      </c>
      <c r="B241" s="46">
        <v>9550</v>
      </c>
    </row>
    <row r="242" spans="1:2" x14ac:dyDescent="0.25">
      <c r="A242" t="s">
        <v>370</v>
      </c>
      <c r="B242" s="46">
        <v>12475</v>
      </c>
    </row>
    <row r="243" spans="1:2" x14ac:dyDescent="0.25">
      <c r="A243" t="s">
        <v>371</v>
      </c>
      <c r="B243" s="46">
        <v>14960</v>
      </c>
    </row>
    <row r="244" spans="1:2" x14ac:dyDescent="0.25">
      <c r="A244" t="s">
        <v>372</v>
      </c>
      <c r="B244" s="46">
        <v>14960</v>
      </c>
    </row>
    <row r="245" spans="1:2" x14ac:dyDescent="0.25">
      <c r="A245" t="s">
        <v>373</v>
      </c>
      <c r="B245" s="46">
        <v>9550</v>
      </c>
    </row>
    <row r="246" spans="1:2" x14ac:dyDescent="0.25">
      <c r="A246" t="s">
        <v>374</v>
      </c>
      <c r="B246" s="46">
        <v>13675</v>
      </c>
    </row>
    <row r="247" spans="1:2" x14ac:dyDescent="0.25">
      <c r="A247" t="s">
        <v>375</v>
      </c>
      <c r="B247" s="46">
        <v>13675</v>
      </c>
    </row>
    <row r="248" spans="1:2" x14ac:dyDescent="0.25">
      <c r="A248" t="s">
        <v>376</v>
      </c>
      <c r="B248" s="46">
        <v>8800</v>
      </c>
    </row>
    <row r="249" spans="1:2" x14ac:dyDescent="0.25">
      <c r="A249" t="s">
        <v>377</v>
      </c>
      <c r="B249" s="46">
        <v>9550</v>
      </c>
    </row>
    <row r="250" spans="1:2" x14ac:dyDescent="0.25">
      <c r="A250" t="s">
        <v>378</v>
      </c>
      <c r="B250" s="46">
        <v>13675</v>
      </c>
    </row>
    <row r="251" spans="1:2" x14ac:dyDescent="0.25">
      <c r="A251" t="s">
        <v>379</v>
      </c>
      <c r="B251" s="46">
        <v>13675</v>
      </c>
    </row>
    <row r="252" spans="1:2" x14ac:dyDescent="0.25">
      <c r="A252" t="s">
        <v>380</v>
      </c>
      <c r="B252" s="46">
        <v>8800</v>
      </c>
    </row>
    <row r="253" spans="1:2" x14ac:dyDescent="0.25">
      <c r="A253" t="s">
        <v>381</v>
      </c>
      <c r="B253" s="46">
        <v>8800</v>
      </c>
    </row>
    <row r="254" spans="1:2" x14ac:dyDescent="0.25">
      <c r="A254" t="s">
        <v>382</v>
      </c>
      <c r="B254" s="46">
        <v>8800</v>
      </c>
    </row>
    <row r="255" spans="1:2" x14ac:dyDescent="0.25">
      <c r="A255" t="s">
        <v>383</v>
      </c>
      <c r="B255" s="46">
        <v>16235</v>
      </c>
    </row>
    <row r="256" spans="1:2" x14ac:dyDescent="0.25">
      <c r="A256" t="s">
        <v>384</v>
      </c>
      <c r="B256" s="46">
        <v>16235</v>
      </c>
    </row>
    <row r="257" spans="1:2" x14ac:dyDescent="0.25">
      <c r="A257" t="s">
        <v>385</v>
      </c>
      <c r="B257" s="46">
        <v>12475</v>
      </c>
    </row>
    <row r="258" spans="1:2" x14ac:dyDescent="0.25">
      <c r="A258" t="s">
        <v>386</v>
      </c>
      <c r="B258" s="46">
        <v>13675</v>
      </c>
    </row>
    <row r="259" spans="1:2" x14ac:dyDescent="0.25">
      <c r="A259" t="s">
        <v>387</v>
      </c>
      <c r="B259" s="46">
        <v>9550</v>
      </c>
    </row>
    <row r="260" spans="1:2" x14ac:dyDescent="0.25">
      <c r="A260" t="s">
        <v>388</v>
      </c>
      <c r="B260" s="46">
        <v>23248</v>
      </c>
    </row>
    <row r="261" spans="1:2" x14ac:dyDescent="0.25">
      <c r="A261" t="s">
        <v>389</v>
      </c>
      <c r="B261" s="46">
        <v>23248</v>
      </c>
    </row>
    <row r="262" spans="1:2" x14ac:dyDescent="0.25">
      <c r="A262" t="s">
        <v>390</v>
      </c>
      <c r="B262" s="46">
        <v>23248</v>
      </c>
    </row>
    <row r="263" spans="1:2" x14ac:dyDescent="0.25">
      <c r="A263" t="s">
        <v>391</v>
      </c>
      <c r="B263" s="46">
        <v>14960</v>
      </c>
    </row>
    <row r="264" spans="1:2" x14ac:dyDescent="0.25">
      <c r="A264" t="s">
        <v>392</v>
      </c>
      <c r="B264" s="46">
        <v>14960</v>
      </c>
    </row>
    <row r="265" spans="1:2" x14ac:dyDescent="0.25">
      <c r="A265" t="s">
        <v>393</v>
      </c>
      <c r="B265" s="46">
        <v>8800</v>
      </c>
    </row>
    <row r="266" spans="1:2" x14ac:dyDescent="0.25">
      <c r="A266" t="s">
        <v>394</v>
      </c>
      <c r="B266" s="46">
        <v>13675</v>
      </c>
    </row>
    <row r="267" spans="1:2" x14ac:dyDescent="0.25">
      <c r="A267" t="s">
        <v>395</v>
      </c>
      <c r="B267" s="46">
        <v>9550</v>
      </c>
    </row>
    <row r="268" spans="1:2" x14ac:dyDescent="0.25">
      <c r="A268" t="s">
        <v>396</v>
      </c>
      <c r="B268" s="46">
        <v>23248</v>
      </c>
    </row>
    <row r="269" spans="1:2" x14ac:dyDescent="0.25">
      <c r="A269" t="s">
        <v>397</v>
      </c>
      <c r="B269" s="46">
        <v>23248</v>
      </c>
    </row>
    <row r="270" spans="1:2" x14ac:dyDescent="0.25">
      <c r="A270" t="s">
        <v>398</v>
      </c>
      <c r="B270" s="46">
        <v>8800</v>
      </c>
    </row>
    <row r="271" spans="1:2" x14ac:dyDescent="0.25">
      <c r="A271" t="s">
        <v>399</v>
      </c>
      <c r="B271" s="46">
        <v>8800</v>
      </c>
    </row>
    <row r="272" spans="1:2" x14ac:dyDescent="0.25">
      <c r="A272" t="s">
        <v>400</v>
      </c>
      <c r="B272" s="46">
        <v>8800</v>
      </c>
    </row>
    <row r="273" spans="1:2" x14ac:dyDescent="0.25">
      <c r="A273" t="s">
        <v>401</v>
      </c>
      <c r="B273" s="46">
        <v>8800</v>
      </c>
    </row>
    <row r="274" spans="1:2" x14ac:dyDescent="0.25">
      <c r="A274" t="s">
        <v>402</v>
      </c>
      <c r="B274" s="46">
        <v>8800</v>
      </c>
    </row>
    <row r="275" spans="1:2" x14ac:dyDescent="0.25">
      <c r="A275" t="s">
        <v>403</v>
      </c>
      <c r="B275" s="46">
        <v>8800</v>
      </c>
    </row>
    <row r="276" spans="1:2" x14ac:dyDescent="0.25">
      <c r="A276" t="s">
        <v>404</v>
      </c>
      <c r="B276" s="46">
        <v>8800</v>
      </c>
    </row>
    <row r="277" spans="1:2" x14ac:dyDescent="0.25">
      <c r="A277" t="s">
        <v>405</v>
      </c>
      <c r="B277" s="46">
        <v>23248</v>
      </c>
    </row>
    <row r="278" spans="1:2" x14ac:dyDescent="0.25">
      <c r="A278" t="s">
        <v>406</v>
      </c>
      <c r="B278" s="46">
        <v>23248</v>
      </c>
    </row>
    <row r="279" spans="1:2" x14ac:dyDescent="0.25">
      <c r="A279" t="s">
        <v>407</v>
      </c>
      <c r="B279" s="46">
        <v>12475</v>
      </c>
    </row>
    <row r="280" spans="1:2" x14ac:dyDescent="0.25">
      <c r="A280" t="s">
        <v>408</v>
      </c>
      <c r="B280" s="46">
        <v>14960</v>
      </c>
    </row>
    <row r="281" spans="1:2" x14ac:dyDescent="0.25">
      <c r="A281" t="s">
        <v>409</v>
      </c>
      <c r="B281" s="46">
        <v>14960</v>
      </c>
    </row>
    <row r="282" spans="1:2" x14ac:dyDescent="0.25">
      <c r="A282" t="s">
        <v>410</v>
      </c>
      <c r="B282" s="46">
        <v>16235</v>
      </c>
    </row>
    <row r="283" spans="1:2" x14ac:dyDescent="0.25">
      <c r="A283" t="s">
        <v>411</v>
      </c>
      <c r="B283" s="46">
        <v>16235</v>
      </c>
    </row>
    <row r="284" spans="1:2" x14ac:dyDescent="0.25">
      <c r="A284" t="s">
        <v>412</v>
      </c>
      <c r="B284" s="46">
        <v>14960</v>
      </c>
    </row>
    <row r="285" spans="1:2" x14ac:dyDescent="0.25">
      <c r="A285" t="s">
        <v>413</v>
      </c>
      <c r="B285" s="46">
        <v>14960</v>
      </c>
    </row>
    <row r="286" spans="1:2" x14ac:dyDescent="0.25">
      <c r="A286" t="s">
        <v>414</v>
      </c>
      <c r="B286" s="46">
        <v>14960</v>
      </c>
    </row>
    <row r="287" spans="1:2" x14ac:dyDescent="0.25">
      <c r="A287" t="s">
        <v>415</v>
      </c>
      <c r="B287" s="46">
        <v>14960</v>
      </c>
    </row>
    <row r="288" spans="1:2" x14ac:dyDescent="0.25">
      <c r="A288" t="s">
        <v>416</v>
      </c>
      <c r="B288" s="46">
        <v>13675</v>
      </c>
    </row>
    <row r="289" spans="1:2" x14ac:dyDescent="0.25">
      <c r="A289" t="s">
        <v>417</v>
      </c>
      <c r="B289" s="46">
        <v>14960</v>
      </c>
    </row>
    <row r="290" spans="1:2" x14ac:dyDescent="0.25">
      <c r="A290" t="s">
        <v>418</v>
      </c>
      <c r="B290" s="46">
        <v>14960</v>
      </c>
    </row>
    <row r="291" spans="1:2" x14ac:dyDescent="0.25">
      <c r="A291" t="s">
        <v>419</v>
      </c>
      <c r="B291" s="46">
        <v>14960</v>
      </c>
    </row>
    <row r="292" spans="1:2" x14ac:dyDescent="0.25">
      <c r="A292" t="s">
        <v>420</v>
      </c>
      <c r="B292" s="46">
        <v>14960</v>
      </c>
    </row>
    <row r="293" spans="1:2" x14ac:dyDescent="0.25">
      <c r="A293" t="s">
        <v>421</v>
      </c>
      <c r="B293" s="46">
        <v>14960</v>
      </c>
    </row>
    <row r="294" spans="1:2" x14ac:dyDescent="0.25">
      <c r="A294" t="s">
        <v>422</v>
      </c>
      <c r="B294" s="46">
        <v>9550</v>
      </c>
    </row>
    <row r="295" spans="1:2" x14ac:dyDescent="0.25">
      <c r="A295" t="s">
        <v>423</v>
      </c>
      <c r="B295" s="46">
        <v>9550</v>
      </c>
    </row>
    <row r="296" spans="1:2" x14ac:dyDescent="0.25">
      <c r="A296" t="s">
        <v>424</v>
      </c>
      <c r="B296" s="46">
        <v>9550</v>
      </c>
    </row>
    <row r="297" spans="1:2" x14ac:dyDescent="0.25">
      <c r="A297" t="s">
        <v>425</v>
      </c>
      <c r="B297" s="46">
        <v>8800</v>
      </c>
    </row>
    <row r="298" spans="1:2" x14ac:dyDescent="0.25">
      <c r="A298" t="s">
        <v>426</v>
      </c>
      <c r="B298" s="46">
        <v>8800</v>
      </c>
    </row>
    <row r="299" spans="1:2" x14ac:dyDescent="0.25">
      <c r="A299" t="s">
        <v>427</v>
      </c>
      <c r="B299" s="46">
        <v>22355</v>
      </c>
    </row>
    <row r="300" spans="1:2" x14ac:dyDescent="0.25">
      <c r="A300" t="s">
        <v>428</v>
      </c>
      <c r="B300" s="46">
        <v>8800</v>
      </c>
    </row>
    <row r="301" spans="1:2" x14ac:dyDescent="0.25">
      <c r="A301" t="s">
        <v>429</v>
      </c>
      <c r="B301" s="46">
        <v>9550</v>
      </c>
    </row>
    <row r="302" spans="1:2" x14ac:dyDescent="0.25">
      <c r="A302" t="s">
        <v>430</v>
      </c>
      <c r="B302" s="46">
        <v>13675</v>
      </c>
    </row>
    <row r="303" spans="1:2" x14ac:dyDescent="0.25">
      <c r="A303" t="s">
        <v>431</v>
      </c>
      <c r="B303" s="46">
        <v>8800</v>
      </c>
    </row>
    <row r="304" spans="1:2" x14ac:dyDescent="0.25">
      <c r="A304" t="s">
        <v>432</v>
      </c>
      <c r="B304" s="46">
        <v>8800</v>
      </c>
    </row>
    <row r="305" spans="1:2" x14ac:dyDescent="0.25">
      <c r="A305" t="s">
        <v>433</v>
      </c>
      <c r="B305" s="46">
        <v>8800</v>
      </c>
    </row>
    <row r="306" spans="1:2" x14ac:dyDescent="0.25">
      <c r="A306" t="s">
        <v>434</v>
      </c>
      <c r="B306" s="46">
        <v>8800</v>
      </c>
    </row>
    <row r="307" spans="1:2" x14ac:dyDescent="0.25">
      <c r="A307" t="s">
        <v>435</v>
      </c>
      <c r="B307" s="46">
        <v>13675</v>
      </c>
    </row>
    <row r="308" spans="1:2" x14ac:dyDescent="0.25">
      <c r="A308" t="s">
        <v>436</v>
      </c>
      <c r="B308" s="46">
        <v>8800</v>
      </c>
    </row>
    <row r="309" spans="1:2" x14ac:dyDescent="0.25">
      <c r="A309" t="s">
        <v>437</v>
      </c>
      <c r="B309" s="46">
        <v>14365</v>
      </c>
    </row>
    <row r="310" spans="1:2" x14ac:dyDescent="0.25">
      <c r="A310" t="s">
        <v>438</v>
      </c>
      <c r="B310" s="46">
        <v>8800</v>
      </c>
    </row>
    <row r="311" spans="1:2" x14ac:dyDescent="0.25">
      <c r="A311" t="s">
        <v>439</v>
      </c>
      <c r="B311" s="46">
        <v>8800</v>
      </c>
    </row>
    <row r="312" spans="1:2" x14ac:dyDescent="0.25">
      <c r="A312" t="s">
        <v>440</v>
      </c>
      <c r="B312" s="46">
        <v>12475</v>
      </c>
    </row>
    <row r="313" spans="1:2" x14ac:dyDescent="0.25">
      <c r="A313" t="s">
        <v>441</v>
      </c>
      <c r="B313" s="46">
        <v>8800</v>
      </c>
    </row>
    <row r="314" spans="1:2" x14ac:dyDescent="0.25">
      <c r="A314" t="s">
        <v>442</v>
      </c>
      <c r="B314" s="46">
        <v>8800</v>
      </c>
    </row>
    <row r="315" spans="1:2" x14ac:dyDescent="0.25">
      <c r="A315" t="s">
        <v>443</v>
      </c>
      <c r="B315" s="46">
        <v>16235</v>
      </c>
    </row>
    <row r="316" spans="1:2" x14ac:dyDescent="0.25">
      <c r="A316" t="s">
        <v>444</v>
      </c>
      <c r="B316" s="46">
        <v>16235</v>
      </c>
    </row>
    <row r="317" spans="1:2" x14ac:dyDescent="0.25">
      <c r="A317" t="s">
        <v>445</v>
      </c>
      <c r="B317" s="46">
        <v>9550</v>
      </c>
    </row>
    <row r="318" spans="1:2" x14ac:dyDescent="0.25">
      <c r="A318" t="s">
        <v>446</v>
      </c>
      <c r="B318" s="46">
        <v>13675</v>
      </c>
    </row>
    <row r="319" spans="1:2" x14ac:dyDescent="0.25">
      <c r="A319" t="s">
        <v>447</v>
      </c>
      <c r="B319" s="46">
        <v>8800</v>
      </c>
    </row>
    <row r="320" spans="1:2" x14ac:dyDescent="0.25">
      <c r="A320" t="s">
        <v>448</v>
      </c>
      <c r="B320" s="46">
        <v>14960</v>
      </c>
    </row>
    <row r="321" spans="1:2" x14ac:dyDescent="0.25">
      <c r="A321" t="s">
        <v>449</v>
      </c>
      <c r="B321" s="46">
        <v>14960</v>
      </c>
    </row>
    <row r="322" spans="1:2" x14ac:dyDescent="0.25">
      <c r="A322" t="s">
        <v>450</v>
      </c>
      <c r="B322" s="46">
        <v>16235</v>
      </c>
    </row>
    <row r="323" spans="1:2" x14ac:dyDescent="0.25">
      <c r="A323" t="s">
        <v>451</v>
      </c>
      <c r="B323" s="46">
        <v>16235</v>
      </c>
    </row>
    <row r="324" spans="1:2" x14ac:dyDescent="0.25">
      <c r="A324" t="s">
        <v>452</v>
      </c>
      <c r="B324" s="46">
        <v>12475</v>
      </c>
    </row>
    <row r="325" spans="1:2" x14ac:dyDescent="0.25">
      <c r="A325" t="s">
        <v>453</v>
      </c>
      <c r="B325" s="46">
        <v>9550</v>
      </c>
    </row>
    <row r="326" spans="1:2" x14ac:dyDescent="0.25">
      <c r="A326" t="s">
        <v>454</v>
      </c>
      <c r="B326" s="46">
        <v>23248</v>
      </c>
    </row>
    <row r="327" spans="1:2" x14ac:dyDescent="0.25">
      <c r="A327" t="s">
        <v>455</v>
      </c>
      <c r="B327" s="46">
        <v>8800</v>
      </c>
    </row>
    <row r="328" spans="1:2" x14ac:dyDescent="0.25">
      <c r="A328" t="s">
        <v>456</v>
      </c>
      <c r="B328" s="46">
        <v>14960</v>
      </c>
    </row>
    <row r="329" spans="1:2" x14ac:dyDescent="0.25">
      <c r="A329" t="s">
        <v>457</v>
      </c>
      <c r="B329" s="46">
        <v>14960</v>
      </c>
    </row>
    <row r="330" spans="1:2" x14ac:dyDescent="0.25">
      <c r="A330" t="s">
        <v>458</v>
      </c>
      <c r="B330" s="46">
        <v>8800</v>
      </c>
    </row>
    <row r="331" spans="1:2" x14ac:dyDescent="0.25">
      <c r="A331" t="s">
        <v>459</v>
      </c>
      <c r="B331" s="46">
        <v>14960</v>
      </c>
    </row>
    <row r="332" spans="1:2" x14ac:dyDescent="0.25">
      <c r="A332" t="s">
        <v>460</v>
      </c>
      <c r="B332" s="46">
        <v>14960</v>
      </c>
    </row>
    <row r="333" spans="1:2" x14ac:dyDescent="0.25">
      <c r="A333" t="s">
        <v>461</v>
      </c>
      <c r="B333" s="46">
        <v>14960</v>
      </c>
    </row>
    <row r="334" spans="1:2" x14ac:dyDescent="0.25">
      <c r="A334" t="s">
        <v>462</v>
      </c>
      <c r="B334" s="46">
        <v>14960</v>
      </c>
    </row>
    <row r="335" spans="1:2" x14ac:dyDescent="0.25">
      <c r="A335" t="s">
        <v>463</v>
      </c>
      <c r="B335" s="46">
        <v>14960</v>
      </c>
    </row>
    <row r="336" spans="1:2" x14ac:dyDescent="0.25">
      <c r="A336" t="s">
        <v>464</v>
      </c>
      <c r="B336" s="46">
        <v>14960</v>
      </c>
    </row>
    <row r="337" spans="1:2" x14ac:dyDescent="0.25">
      <c r="A337" t="s">
        <v>465</v>
      </c>
      <c r="B337" s="46">
        <v>14960</v>
      </c>
    </row>
    <row r="338" spans="1:2" x14ac:dyDescent="0.25">
      <c r="A338" t="s">
        <v>466</v>
      </c>
      <c r="B338" s="46">
        <v>16235</v>
      </c>
    </row>
    <row r="339" spans="1:2" x14ac:dyDescent="0.25">
      <c r="A339" t="s">
        <v>467</v>
      </c>
      <c r="B339" s="46">
        <v>16235</v>
      </c>
    </row>
    <row r="340" spans="1:2" x14ac:dyDescent="0.25">
      <c r="A340" t="s">
        <v>468</v>
      </c>
      <c r="B340" s="46">
        <v>8800</v>
      </c>
    </row>
    <row r="341" spans="1:2" x14ac:dyDescent="0.25">
      <c r="A341" t="s">
        <v>469</v>
      </c>
      <c r="B341" s="46">
        <v>8800</v>
      </c>
    </row>
    <row r="342" spans="1:2" x14ac:dyDescent="0.25">
      <c r="A342" t="s">
        <v>470</v>
      </c>
      <c r="B342" s="46">
        <v>16235</v>
      </c>
    </row>
    <row r="343" spans="1:2" x14ac:dyDescent="0.25">
      <c r="A343" t="s">
        <v>471</v>
      </c>
      <c r="B343" s="46">
        <v>14960</v>
      </c>
    </row>
    <row r="344" spans="1:2" x14ac:dyDescent="0.25">
      <c r="A344" t="s">
        <v>472</v>
      </c>
      <c r="B344" s="46">
        <v>14960</v>
      </c>
    </row>
    <row r="345" spans="1:2" x14ac:dyDescent="0.25">
      <c r="A345" t="s">
        <v>473</v>
      </c>
      <c r="B345" s="46">
        <v>8800</v>
      </c>
    </row>
    <row r="346" spans="1:2" x14ac:dyDescent="0.25">
      <c r="A346" t="s">
        <v>474</v>
      </c>
      <c r="B346" s="46">
        <v>9550</v>
      </c>
    </row>
    <row r="347" spans="1:2" x14ac:dyDescent="0.25">
      <c r="A347" t="s">
        <v>475</v>
      </c>
      <c r="B347" s="46">
        <v>9550</v>
      </c>
    </row>
    <row r="348" spans="1:2" x14ac:dyDescent="0.25">
      <c r="A348" t="s">
        <v>476</v>
      </c>
      <c r="B348" s="46">
        <v>8800</v>
      </c>
    </row>
    <row r="349" spans="1:2" x14ac:dyDescent="0.25">
      <c r="A349" t="s">
        <v>477</v>
      </c>
      <c r="B349" s="46">
        <v>9550</v>
      </c>
    </row>
    <row r="350" spans="1:2" x14ac:dyDescent="0.25">
      <c r="A350" t="s">
        <v>478</v>
      </c>
      <c r="B350" s="46">
        <v>13675</v>
      </c>
    </row>
    <row r="351" spans="1:2" x14ac:dyDescent="0.25">
      <c r="A351" t="s">
        <v>479</v>
      </c>
      <c r="B351" s="46">
        <v>12475</v>
      </c>
    </row>
    <row r="352" spans="1:2" x14ac:dyDescent="0.25">
      <c r="A352" t="s">
        <v>480</v>
      </c>
      <c r="B352" s="46">
        <v>14960</v>
      </c>
    </row>
    <row r="353" spans="1:2" x14ac:dyDescent="0.25">
      <c r="A353" t="s">
        <v>481</v>
      </c>
      <c r="B353" s="46">
        <v>14960</v>
      </c>
    </row>
    <row r="354" spans="1:2" x14ac:dyDescent="0.25">
      <c r="A354" t="s">
        <v>482</v>
      </c>
      <c r="B354" s="46">
        <v>16235</v>
      </c>
    </row>
    <row r="355" spans="1:2" x14ac:dyDescent="0.25">
      <c r="A355" t="s">
        <v>483</v>
      </c>
      <c r="B355" s="46">
        <v>16235</v>
      </c>
    </row>
    <row r="356" spans="1:2" x14ac:dyDescent="0.25">
      <c r="A356" t="s">
        <v>484</v>
      </c>
      <c r="B356" s="46">
        <v>9550</v>
      </c>
    </row>
    <row r="357" spans="1:2" x14ac:dyDescent="0.25">
      <c r="A357" t="s">
        <v>485</v>
      </c>
      <c r="B357" s="46">
        <v>14960</v>
      </c>
    </row>
    <row r="358" spans="1:2" x14ac:dyDescent="0.25">
      <c r="A358" t="s">
        <v>486</v>
      </c>
      <c r="B358" s="46">
        <v>14960</v>
      </c>
    </row>
    <row r="359" spans="1:2" x14ac:dyDescent="0.25">
      <c r="A359" t="s">
        <v>487</v>
      </c>
      <c r="B359" s="46">
        <v>14960</v>
      </c>
    </row>
    <row r="360" spans="1:2" x14ac:dyDescent="0.25">
      <c r="A360" t="s">
        <v>488</v>
      </c>
      <c r="B360" s="46">
        <v>23248</v>
      </c>
    </row>
    <row r="361" spans="1:2" x14ac:dyDescent="0.25">
      <c r="A361" t="s">
        <v>489</v>
      </c>
      <c r="B361" s="46">
        <v>23248</v>
      </c>
    </row>
    <row r="362" spans="1:2" x14ac:dyDescent="0.25">
      <c r="A362" t="s">
        <v>490</v>
      </c>
      <c r="B362" s="46">
        <v>9550</v>
      </c>
    </row>
    <row r="363" spans="1:2" x14ac:dyDescent="0.25">
      <c r="A363" t="s">
        <v>491</v>
      </c>
      <c r="B363" s="46">
        <v>8800</v>
      </c>
    </row>
    <row r="364" spans="1:2" x14ac:dyDescent="0.25">
      <c r="A364" t="s">
        <v>492</v>
      </c>
      <c r="B364" s="46">
        <v>8800</v>
      </c>
    </row>
    <row r="365" spans="1:2" x14ac:dyDescent="0.25">
      <c r="A365" t="s">
        <v>493</v>
      </c>
      <c r="B365" s="46">
        <v>12475</v>
      </c>
    </row>
    <row r="366" spans="1:2" x14ac:dyDescent="0.25">
      <c r="A366" t="s">
        <v>494</v>
      </c>
      <c r="B366" s="46">
        <v>8800</v>
      </c>
    </row>
    <row r="367" spans="1:2" x14ac:dyDescent="0.25">
      <c r="A367" t="s">
        <v>495</v>
      </c>
      <c r="B367" s="46">
        <v>14960</v>
      </c>
    </row>
    <row r="368" spans="1:2" x14ac:dyDescent="0.25">
      <c r="A368" t="s">
        <v>496</v>
      </c>
      <c r="B368" s="46">
        <v>14960</v>
      </c>
    </row>
    <row r="369" spans="1:2" x14ac:dyDescent="0.25">
      <c r="A369" t="s">
        <v>497</v>
      </c>
      <c r="B369" s="46">
        <v>14960</v>
      </c>
    </row>
    <row r="370" spans="1:2" x14ac:dyDescent="0.25">
      <c r="A370" t="s">
        <v>498</v>
      </c>
      <c r="B370" s="46">
        <v>14960</v>
      </c>
    </row>
    <row r="371" spans="1:2" x14ac:dyDescent="0.25">
      <c r="A371" t="s">
        <v>499</v>
      </c>
      <c r="B371" s="46">
        <v>14960</v>
      </c>
    </row>
    <row r="372" spans="1:2" x14ac:dyDescent="0.25">
      <c r="A372" t="s">
        <v>500</v>
      </c>
      <c r="B372" s="46">
        <v>16235</v>
      </c>
    </row>
    <row r="373" spans="1:2" x14ac:dyDescent="0.25">
      <c r="A373" t="s">
        <v>501</v>
      </c>
      <c r="B373" s="46">
        <v>16235</v>
      </c>
    </row>
    <row r="374" spans="1:2" x14ac:dyDescent="0.25">
      <c r="A374" t="s">
        <v>502</v>
      </c>
      <c r="B374" s="46">
        <v>14960</v>
      </c>
    </row>
    <row r="375" spans="1:2" x14ac:dyDescent="0.25">
      <c r="A375" t="s">
        <v>503</v>
      </c>
      <c r="B375" s="46">
        <v>14960</v>
      </c>
    </row>
    <row r="376" spans="1:2" x14ac:dyDescent="0.25">
      <c r="A376" t="s">
        <v>504</v>
      </c>
      <c r="B376" s="46">
        <v>23248</v>
      </c>
    </row>
    <row r="377" spans="1:2" x14ac:dyDescent="0.25">
      <c r="A377" t="s">
        <v>505</v>
      </c>
      <c r="B377" s="46">
        <v>21208</v>
      </c>
    </row>
    <row r="378" spans="1:2" x14ac:dyDescent="0.25">
      <c r="A378" t="s">
        <v>506</v>
      </c>
      <c r="B378" s="46">
        <v>14960</v>
      </c>
    </row>
    <row r="379" spans="1:2" x14ac:dyDescent="0.25">
      <c r="A379" t="s">
        <v>507</v>
      </c>
      <c r="B379" s="46">
        <v>14960</v>
      </c>
    </row>
    <row r="380" spans="1:2" x14ac:dyDescent="0.25">
      <c r="A380" t="s">
        <v>508</v>
      </c>
      <c r="B380" s="46">
        <v>23248</v>
      </c>
    </row>
    <row r="381" spans="1:2" x14ac:dyDescent="0.25">
      <c r="A381" t="s">
        <v>509</v>
      </c>
      <c r="B381" s="46">
        <v>23248</v>
      </c>
    </row>
    <row r="382" spans="1:2" x14ac:dyDescent="0.25">
      <c r="A382" t="s">
        <v>510</v>
      </c>
      <c r="B382" s="46">
        <v>23248</v>
      </c>
    </row>
    <row r="383" spans="1:2" x14ac:dyDescent="0.25">
      <c r="A383" t="s">
        <v>511</v>
      </c>
      <c r="B383" s="46">
        <v>23248</v>
      </c>
    </row>
    <row r="384" spans="1:2" x14ac:dyDescent="0.25">
      <c r="A384" t="s">
        <v>512</v>
      </c>
      <c r="B384" s="46">
        <v>9550</v>
      </c>
    </row>
    <row r="385" spans="1:2" x14ac:dyDescent="0.25">
      <c r="A385" t="s">
        <v>513</v>
      </c>
      <c r="B385" s="46">
        <v>9550</v>
      </c>
    </row>
    <row r="386" spans="1:2" x14ac:dyDescent="0.25">
      <c r="A386" t="s">
        <v>514</v>
      </c>
      <c r="B386" s="46">
        <v>8800</v>
      </c>
    </row>
    <row r="387" spans="1:2" x14ac:dyDescent="0.25">
      <c r="A387" t="s">
        <v>515</v>
      </c>
      <c r="B387" s="46">
        <v>8800</v>
      </c>
    </row>
    <row r="388" spans="1:2" x14ac:dyDescent="0.25">
      <c r="A388" t="s">
        <v>516</v>
      </c>
      <c r="B388" s="46">
        <v>8800</v>
      </c>
    </row>
    <row r="389" spans="1:2" x14ac:dyDescent="0.25">
      <c r="A389" t="s">
        <v>517</v>
      </c>
      <c r="B389" s="46">
        <v>8800</v>
      </c>
    </row>
    <row r="390" spans="1:2" x14ac:dyDescent="0.25">
      <c r="A390" t="s">
        <v>518</v>
      </c>
      <c r="B390" s="46">
        <v>8800</v>
      </c>
    </row>
    <row r="391" spans="1:2" x14ac:dyDescent="0.25">
      <c r="A391" t="s">
        <v>519</v>
      </c>
      <c r="B391" s="46">
        <v>8800</v>
      </c>
    </row>
    <row r="392" spans="1:2" x14ac:dyDescent="0.25">
      <c r="A392" t="s">
        <v>520</v>
      </c>
      <c r="B392" s="46">
        <v>9550</v>
      </c>
    </row>
    <row r="393" spans="1:2" x14ac:dyDescent="0.25">
      <c r="A393" t="s">
        <v>521</v>
      </c>
      <c r="B393" s="46">
        <v>8800</v>
      </c>
    </row>
    <row r="394" spans="1:2" x14ac:dyDescent="0.25">
      <c r="A394" t="s">
        <v>522</v>
      </c>
      <c r="B394" s="46">
        <v>8800</v>
      </c>
    </row>
    <row r="395" spans="1:2" x14ac:dyDescent="0.25">
      <c r="A395" t="s">
        <v>523</v>
      </c>
      <c r="B395" s="46">
        <v>8800</v>
      </c>
    </row>
    <row r="396" spans="1:2" x14ac:dyDescent="0.25">
      <c r="A396" t="s">
        <v>524</v>
      </c>
      <c r="B396" s="46">
        <v>8800</v>
      </c>
    </row>
    <row r="397" spans="1:2" x14ac:dyDescent="0.25">
      <c r="A397" t="s">
        <v>525</v>
      </c>
      <c r="B397" s="46">
        <v>14960</v>
      </c>
    </row>
    <row r="398" spans="1:2" x14ac:dyDescent="0.25">
      <c r="A398" t="s">
        <v>526</v>
      </c>
      <c r="B398" s="46">
        <v>14960</v>
      </c>
    </row>
    <row r="399" spans="1:2" x14ac:dyDescent="0.25">
      <c r="A399" t="s">
        <v>527</v>
      </c>
      <c r="B399" s="46">
        <v>14960</v>
      </c>
    </row>
    <row r="400" spans="1:2" x14ac:dyDescent="0.25">
      <c r="A400" t="s">
        <v>528</v>
      </c>
      <c r="B400" s="46">
        <v>14960</v>
      </c>
    </row>
    <row r="401" spans="1:2" x14ac:dyDescent="0.25">
      <c r="A401" t="s">
        <v>529</v>
      </c>
      <c r="B401" s="46">
        <v>8800</v>
      </c>
    </row>
    <row r="402" spans="1:2" x14ac:dyDescent="0.25">
      <c r="A402" t="s">
        <v>530</v>
      </c>
      <c r="B402" s="46">
        <v>8800</v>
      </c>
    </row>
    <row r="403" spans="1:2" x14ac:dyDescent="0.25">
      <c r="A403" t="s">
        <v>531</v>
      </c>
      <c r="B403" s="46">
        <v>21208</v>
      </c>
    </row>
    <row r="404" spans="1:2" x14ac:dyDescent="0.25">
      <c r="A404" t="s">
        <v>532</v>
      </c>
      <c r="B404" s="46">
        <v>8800</v>
      </c>
    </row>
    <row r="405" spans="1:2" x14ac:dyDescent="0.25">
      <c r="A405" t="s">
        <v>533</v>
      </c>
      <c r="B405" s="46">
        <v>14960</v>
      </c>
    </row>
    <row r="406" spans="1:2" x14ac:dyDescent="0.25">
      <c r="A406" t="s">
        <v>534</v>
      </c>
      <c r="B406" s="46">
        <v>12475</v>
      </c>
    </row>
    <row r="407" spans="1:2" x14ac:dyDescent="0.25">
      <c r="A407" t="s">
        <v>535</v>
      </c>
      <c r="B407" s="46">
        <v>9550</v>
      </c>
    </row>
    <row r="408" spans="1:2" x14ac:dyDescent="0.25">
      <c r="A408" t="s">
        <v>536</v>
      </c>
      <c r="B408" s="46">
        <v>9550</v>
      </c>
    </row>
    <row r="409" spans="1:2" x14ac:dyDescent="0.25">
      <c r="A409" t="s">
        <v>537</v>
      </c>
      <c r="B409" s="46">
        <v>12475</v>
      </c>
    </row>
    <row r="410" spans="1:2" x14ac:dyDescent="0.25">
      <c r="A410" t="s">
        <v>538</v>
      </c>
      <c r="B410" s="46">
        <v>9550</v>
      </c>
    </row>
    <row r="411" spans="1:2" x14ac:dyDescent="0.25">
      <c r="A411" t="s">
        <v>539</v>
      </c>
      <c r="B411" s="46">
        <v>8800</v>
      </c>
    </row>
    <row r="412" spans="1:2" x14ac:dyDescent="0.25">
      <c r="A412" t="s">
        <v>540</v>
      </c>
      <c r="B412" s="46">
        <v>8800</v>
      </c>
    </row>
    <row r="413" spans="1:2" x14ac:dyDescent="0.25">
      <c r="A413" t="s">
        <v>541</v>
      </c>
      <c r="B413" s="46">
        <v>9550</v>
      </c>
    </row>
    <row r="414" spans="1:2" x14ac:dyDescent="0.25">
      <c r="A414" t="s">
        <v>542</v>
      </c>
      <c r="B414" s="46">
        <v>13675</v>
      </c>
    </row>
    <row r="415" spans="1:2" x14ac:dyDescent="0.25">
      <c r="A415" t="s">
        <v>543</v>
      </c>
      <c r="B415" s="46">
        <v>9550</v>
      </c>
    </row>
    <row r="416" spans="1:2" x14ac:dyDescent="0.25">
      <c r="A416" t="s">
        <v>544</v>
      </c>
      <c r="B416" s="46">
        <v>9550</v>
      </c>
    </row>
    <row r="417" spans="1:2" x14ac:dyDescent="0.25">
      <c r="A417" t="s">
        <v>545</v>
      </c>
      <c r="B417" s="46">
        <v>8800</v>
      </c>
    </row>
    <row r="418" spans="1:2" x14ac:dyDescent="0.25">
      <c r="A418" t="s">
        <v>546</v>
      </c>
      <c r="B418" s="46">
        <v>8800</v>
      </c>
    </row>
    <row r="419" spans="1:2" x14ac:dyDescent="0.25">
      <c r="A419" t="s">
        <v>547</v>
      </c>
      <c r="B419" s="46">
        <v>9550</v>
      </c>
    </row>
    <row r="420" spans="1:2" x14ac:dyDescent="0.25">
      <c r="A420" t="s">
        <v>548</v>
      </c>
      <c r="B420" s="46">
        <v>8800</v>
      </c>
    </row>
    <row r="421" spans="1:2" x14ac:dyDescent="0.25">
      <c r="A421" t="s">
        <v>549</v>
      </c>
      <c r="B421" s="46">
        <v>8800</v>
      </c>
    </row>
    <row r="422" spans="1:2" x14ac:dyDescent="0.25">
      <c r="A422" t="s">
        <v>550</v>
      </c>
      <c r="B422" s="46">
        <v>8800</v>
      </c>
    </row>
    <row r="423" spans="1:2" x14ac:dyDescent="0.25">
      <c r="A423" t="s">
        <v>551</v>
      </c>
      <c r="B423" s="46">
        <v>13675</v>
      </c>
    </row>
    <row r="424" spans="1:2" x14ac:dyDescent="0.25">
      <c r="A424" t="s">
        <v>552</v>
      </c>
      <c r="B424" s="46">
        <v>23248</v>
      </c>
    </row>
    <row r="425" spans="1:2" x14ac:dyDescent="0.25">
      <c r="A425" t="s">
        <v>553</v>
      </c>
      <c r="B425" s="46">
        <v>23248</v>
      </c>
    </row>
    <row r="426" spans="1:2" x14ac:dyDescent="0.25">
      <c r="A426" t="s">
        <v>554</v>
      </c>
      <c r="B426" s="46">
        <v>23248</v>
      </c>
    </row>
    <row r="427" spans="1:2" x14ac:dyDescent="0.25">
      <c r="A427" t="s">
        <v>555</v>
      </c>
      <c r="B427" s="46">
        <v>23248</v>
      </c>
    </row>
    <row r="428" spans="1:2" x14ac:dyDescent="0.25">
      <c r="A428" t="s">
        <v>556</v>
      </c>
      <c r="B428" s="46">
        <v>23248</v>
      </c>
    </row>
    <row r="429" spans="1:2" x14ac:dyDescent="0.25">
      <c r="A429" t="s">
        <v>557</v>
      </c>
      <c r="B429" s="46">
        <v>23248</v>
      </c>
    </row>
    <row r="430" spans="1:2" x14ac:dyDescent="0.25">
      <c r="A430" t="s">
        <v>558</v>
      </c>
      <c r="B430" s="46">
        <v>14960</v>
      </c>
    </row>
    <row r="431" spans="1:2" x14ac:dyDescent="0.25">
      <c r="A431" t="s">
        <v>559</v>
      </c>
      <c r="B431" s="46">
        <v>14960</v>
      </c>
    </row>
    <row r="432" spans="1:2" x14ac:dyDescent="0.25">
      <c r="A432" t="s">
        <v>560</v>
      </c>
      <c r="B432" s="46">
        <v>21208</v>
      </c>
    </row>
    <row r="433" spans="1:2" x14ac:dyDescent="0.25">
      <c r="A433" t="s">
        <v>561</v>
      </c>
      <c r="B433" s="46">
        <v>21208</v>
      </c>
    </row>
    <row r="434" spans="1:2" x14ac:dyDescent="0.25">
      <c r="A434" t="s">
        <v>562</v>
      </c>
      <c r="B434" s="46">
        <v>14960</v>
      </c>
    </row>
    <row r="435" spans="1:2" x14ac:dyDescent="0.25">
      <c r="A435" t="s">
        <v>563</v>
      </c>
      <c r="B435" s="46">
        <v>8800</v>
      </c>
    </row>
    <row r="436" spans="1:2" x14ac:dyDescent="0.25">
      <c r="A436" t="s">
        <v>564</v>
      </c>
      <c r="B436" s="46">
        <v>23248</v>
      </c>
    </row>
    <row r="437" spans="1:2" x14ac:dyDescent="0.25">
      <c r="A437" t="s">
        <v>565</v>
      </c>
      <c r="B437" s="46">
        <v>23248</v>
      </c>
    </row>
    <row r="438" spans="1:2" x14ac:dyDescent="0.25">
      <c r="A438" t="s">
        <v>566</v>
      </c>
      <c r="B438" s="46">
        <v>23248</v>
      </c>
    </row>
    <row r="439" spans="1:2" x14ac:dyDescent="0.25">
      <c r="A439" t="s">
        <v>567</v>
      </c>
      <c r="B439" s="46">
        <v>23248</v>
      </c>
    </row>
    <row r="440" spans="1:2" x14ac:dyDescent="0.25">
      <c r="A440" t="s">
        <v>568</v>
      </c>
      <c r="B440" s="46">
        <v>23248</v>
      </c>
    </row>
    <row r="441" spans="1:2" x14ac:dyDescent="0.25">
      <c r="A441" t="s">
        <v>569</v>
      </c>
      <c r="B441" s="46">
        <v>14960</v>
      </c>
    </row>
    <row r="442" spans="1:2" x14ac:dyDescent="0.25">
      <c r="A442" t="s">
        <v>570</v>
      </c>
      <c r="B442" s="46">
        <v>14960</v>
      </c>
    </row>
    <row r="443" spans="1:2" x14ac:dyDescent="0.25">
      <c r="A443" t="s">
        <v>571</v>
      </c>
      <c r="B443" s="46">
        <v>8800</v>
      </c>
    </row>
    <row r="444" spans="1:2" x14ac:dyDescent="0.25">
      <c r="A444" t="s">
        <v>572</v>
      </c>
      <c r="B444" s="46">
        <v>8800</v>
      </c>
    </row>
    <row r="445" spans="1:2" x14ac:dyDescent="0.25">
      <c r="A445" t="s">
        <v>573</v>
      </c>
      <c r="B445" s="46">
        <v>8800</v>
      </c>
    </row>
    <row r="446" spans="1:2" x14ac:dyDescent="0.25">
      <c r="A446" t="s">
        <v>574</v>
      </c>
      <c r="B446" s="46">
        <v>9550</v>
      </c>
    </row>
    <row r="447" spans="1:2" x14ac:dyDescent="0.25">
      <c r="A447" t="s">
        <v>575</v>
      </c>
      <c r="B447" s="46">
        <v>23248</v>
      </c>
    </row>
    <row r="448" spans="1:2" x14ac:dyDescent="0.25">
      <c r="A448" t="s">
        <v>576</v>
      </c>
      <c r="B448" s="46">
        <v>23248</v>
      </c>
    </row>
    <row r="449" spans="1:2" x14ac:dyDescent="0.25">
      <c r="A449" t="s">
        <v>577</v>
      </c>
      <c r="B449" s="46">
        <v>8800</v>
      </c>
    </row>
    <row r="450" spans="1:2" x14ac:dyDescent="0.25">
      <c r="A450" t="s">
        <v>578</v>
      </c>
      <c r="B450" s="46">
        <v>9550</v>
      </c>
    </row>
    <row r="451" spans="1:2" x14ac:dyDescent="0.25">
      <c r="A451" t="s">
        <v>579</v>
      </c>
      <c r="B451" s="46">
        <v>9550</v>
      </c>
    </row>
    <row r="452" spans="1:2" x14ac:dyDescent="0.25">
      <c r="A452" t="s">
        <v>580</v>
      </c>
      <c r="B452" s="46">
        <v>12475</v>
      </c>
    </row>
    <row r="453" spans="1:2" x14ac:dyDescent="0.25">
      <c r="A453" t="s">
        <v>581</v>
      </c>
      <c r="B453" s="46">
        <v>13675</v>
      </c>
    </row>
    <row r="454" spans="1:2" x14ac:dyDescent="0.25">
      <c r="A454" t="s">
        <v>582</v>
      </c>
      <c r="B454" s="46">
        <v>14960</v>
      </c>
    </row>
    <row r="455" spans="1:2" x14ac:dyDescent="0.25">
      <c r="A455" t="s">
        <v>583</v>
      </c>
      <c r="B455" s="46">
        <v>8800</v>
      </c>
    </row>
    <row r="456" spans="1:2" x14ac:dyDescent="0.25">
      <c r="A456" t="s">
        <v>584</v>
      </c>
      <c r="B456" s="46">
        <v>8800</v>
      </c>
    </row>
    <row r="457" spans="1:2" x14ac:dyDescent="0.25">
      <c r="A457" t="s">
        <v>585</v>
      </c>
      <c r="B457" s="46">
        <v>9550</v>
      </c>
    </row>
    <row r="458" spans="1:2" x14ac:dyDescent="0.25">
      <c r="A458" t="s">
        <v>586</v>
      </c>
      <c r="B458" s="46">
        <v>9550</v>
      </c>
    </row>
    <row r="459" spans="1:2" x14ac:dyDescent="0.25">
      <c r="A459" t="s">
        <v>587</v>
      </c>
      <c r="B459" s="46">
        <v>16235</v>
      </c>
    </row>
    <row r="460" spans="1:2" x14ac:dyDescent="0.25">
      <c r="A460" t="s">
        <v>588</v>
      </c>
      <c r="B460" s="46">
        <v>16235</v>
      </c>
    </row>
    <row r="461" spans="1:2" x14ac:dyDescent="0.25">
      <c r="A461" t="s">
        <v>589</v>
      </c>
      <c r="B461" s="46">
        <v>13675</v>
      </c>
    </row>
    <row r="462" spans="1:2" x14ac:dyDescent="0.25">
      <c r="A462" t="s">
        <v>590</v>
      </c>
      <c r="B462" s="46">
        <v>12475</v>
      </c>
    </row>
    <row r="463" spans="1:2" x14ac:dyDescent="0.25">
      <c r="A463" t="s">
        <v>591</v>
      </c>
      <c r="B463" s="46">
        <v>12475</v>
      </c>
    </row>
    <row r="464" spans="1:2" x14ac:dyDescent="0.25">
      <c r="A464" t="s">
        <v>592</v>
      </c>
      <c r="B464" s="46">
        <v>14960</v>
      </c>
    </row>
    <row r="465" spans="1:2" x14ac:dyDescent="0.25">
      <c r="A465" t="s">
        <v>593</v>
      </c>
      <c r="B465" s="46">
        <v>12475</v>
      </c>
    </row>
    <row r="466" spans="1:2" x14ac:dyDescent="0.25">
      <c r="A466" t="s">
        <v>594</v>
      </c>
      <c r="B466" s="46">
        <v>8800</v>
      </c>
    </row>
    <row r="467" spans="1:2" x14ac:dyDescent="0.25">
      <c r="A467" t="s">
        <v>595</v>
      </c>
      <c r="B467" s="46">
        <v>14960</v>
      </c>
    </row>
    <row r="468" spans="1:2" x14ac:dyDescent="0.25">
      <c r="A468" t="s">
        <v>596</v>
      </c>
      <c r="B468" s="46">
        <v>14960</v>
      </c>
    </row>
    <row r="469" spans="1:2" x14ac:dyDescent="0.25">
      <c r="A469" t="s">
        <v>597</v>
      </c>
      <c r="B469" s="46">
        <v>22355</v>
      </c>
    </row>
    <row r="470" spans="1:2" x14ac:dyDescent="0.25">
      <c r="A470" t="s">
        <v>598</v>
      </c>
      <c r="B470" s="46">
        <v>8800</v>
      </c>
    </row>
    <row r="471" spans="1:2" x14ac:dyDescent="0.25">
      <c r="A471" t="s">
        <v>599</v>
      </c>
      <c r="B471" s="46">
        <v>8800</v>
      </c>
    </row>
    <row r="472" spans="1:2" x14ac:dyDescent="0.25">
      <c r="A472" t="s">
        <v>600</v>
      </c>
      <c r="B472" s="46">
        <v>9550</v>
      </c>
    </row>
    <row r="473" spans="1:2" x14ac:dyDescent="0.25">
      <c r="A473" t="s">
        <v>601</v>
      </c>
      <c r="B473" s="46">
        <v>8800</v>
      </c>
    </row>
    <row r="474" spans="1:2" x14ac:dyDescent="0.25">
      <c r="A474" t="s">
        <v>602</v>
      </c>
      <c r="B474" s="46">
        <v>13675</v>
      </c>
    </row>
    <row r="475" spans="1:2" x14ac:dyDescent="0.25">
      <c r="A475" t="s">
        <v>603</v>
      </c>
      <c r="B475" s="46">
        <v>8800</v>
      </c>
    </row>
    <row r="476" spans="1:2" x14ac:dyDescent="0.25">
      <c r="A476" t="s">
        <v>604</v>
      </c>
      <c r="B476" s="46">
        <v>12475</v>
      </c>
    </row>
    <row r="477" spans="1:2" x14ac:dyDescent="0.25">
      <c r="A477" t="s">
        <v>605</v>
      </c>
      <c r="B477" s="46">
        <v>14960</v>
      </c>
    </row>
    <row r="478" spans="1:2" x14ac:dyDescent="0.25">
      <c r="A478" t="s">
        <v>606</v>
      </c>
      <c r="B478" s="46">
        <v>14960</v>
      </c>
    </row>
    <row r="479" spans="1:2" x14ac:dyDescent="0.25">
      <c r="A479" t="s">
        <v>607</v>
      </c>
      <c r="B479" s="46">
        <v>8800</v>
      </c>
    </row>
    <row r="480" spans="1:2" x14ac:dyDescent="0.25">
      <c r="A480" t="s">
        <v>608</v>
      </c>
      <c r="B480" s="46">
        <v>14960</v>
      </c>
    </row>
    <row r="481" spans="1:2" x14ac:dyDescent="0.25">
      <c r="A481" t="s">
        <v>609</v>
      </c>
      <c r="B481" s="46">
        <v>23248</v>
      </c>
    </row>
    <row r="482" spans="1:2" x14ac:dyDescent="0.25">
      <c r="A482" t="s">
        <v>610</v>
      </c>
      <c r="B482" s="46">
        <v>23248</v>
      </c>
    </row>
    <row r="483" spans="1:2" x14ac:dyDescent="0.25">
      <c r="A483" t="s">
        <v>611</v>
      </c>
      <c r="B483" s="46">
        <v>14960</v>
      </c>
    </row>
    <row r="484" spans="1:2" x14ac:dyDescent="0.25">
      <c r="A484" t="s">
        <v>612</v>
      </c>
      <c r="B484" s="46">
        <v>14960</v>
      </c>
    </row>
    <row r="485" spans="1:2" x14ac:dyDescent="0.25">
      <c r="A485" t="s">
        <v>613</v>
      </c>
      <c r="B485" s="46">
        <v>14960</v>
      </c>
    </row>
    <row r="486" spans="1:2" x14ac:dyDescent="0.25">
      <c r="A486" t="s">
        <v>614</v>
      </c>
      <c r="B486" s="46">
        <v>14365</v>
      </c>
    </row>
    <row r="487" spans="1:2" x14ac:dyDescent="0.25">
      <c r="A487" t="s">
        <v>615</v>
      </c>
      <c r="B487" s="46">
        <v>16235</v>
      </c>
    </row>
    <row r="488" spans="1:2" x14ac:dyDescent="0.25">
      <c r="A488" t="s">
        <v>616</v>
      </c>
      <c r="B488" s="46">
        <v>16235</v>
      </c>
    </row>
    <row r="489" spans="1:2" x14ac:dyDescent="0.25">
      <c r="A489" t="s">
        <v>617</v>
      </c>
      <c r="B489" s="46">
        <v>8800</v>
      </c>
    </row>
    <row r="490" spans="1:2" x14ac:dyDescent="0.25">
      <c r="A490" t="s">
        <v>618</v>
      </c>
      <c r="B490" s="46">
        <v>14960</v>
      </c>
    </row>
    <row r="491" spans="1:2" x14ac:dyDescent="0.25">
      <c r="A491" t="s">
        <v>619</v>
      </c>
      <c r="B491" s="46">
        <v>9550</v>
      </c>
    </row>
    <row r="492" spans="1:2" x14ac:dyDescent="0.25">
      <c r="A492" t="s">
        <v>620</v>
      </c>
      <c r="B492" s="46">
        <v>14960</v>
      </c>
    </row>
    <row r="493" spans="1:2" x14ac:dyDescent="0.25">
      <c r="A493" t="s">
        <v>621</v>
      </c>
      <c r="B493" s="46">
        <v>14960</v>
      </c>
    </row>
    <row r="494" spans="1:2" x14ac:dyDescent="0.25">
      <c r="A494" t="s">
        <v>622</v>
      </c>
      <c r="B494" s="46">
        <v>8800</v>
      </c>
    </row>
    <row r="495" spans="1:2" x14ac:dyDescent="0.25">
      <c r="A495" t="s">
        <v>623</v>
      </c>
      <c r="B495" s="46">
        <v>8800</v>
      </c>
    </row>
    <row r="496" spans="1:2" x14ac:dyDescent="0.25">
      <c r="A496" t="s">
        <v>624</v>
      </c>
      <c r="B496" s="46">
        <v>23248</v>
      </c>
    </row>
    <row r="497" spans="1:2" x14ac:dyDescent="0.25">
      <c r="A497" t="s">
        <v>625</v>
      </c>
      <c r="B497" s="46">
        <v>23248</v>
      </c>
    </row>
    <row r="498" spans="1:2" x14ac:dyDescent="0.25">
      <c r="A498" t="s">
        <v>626</v>
      </c>
      <c r="B498" s="46">
        <v>8800</v>
      </c>
    </row>
    <row r="499" spans="1:2" x14ac:dyDescent="0.25">
      <c r="A499" t="s">
        <v>627</v>
      </c>
      <c r="B499" s="46">
        <v>14960</v>
      </c>
    </row>
    <row r="500" spans="1:2" x14ac:dyDescent="0.25">
      <c r="A500" t="s">
        <v>628</v>
      </c>
      <c r="B500" s="46">
        <v>9550</v>
      </c>
    </row>
    <row r="501" spans="1:2" x14ac:dyDescent="0.25">
      <c r="A501" t="s">
        <v>629</v>
      </c>
      <c r="B501" s="46">
        <v>8800</v>
      </c>
    </row>
    <row r="502" spans="1:2" x14ac:dyDescent="0.25">
      <c r="A502" t="s">
        <v>630</v>
      </c>
      <c r="B502" s="46">
        <v>8800</v>
      </c>
    </row>
    <row r="503" spans="1:2" x14ac:dyDescent="0.25">
      <c r="A503" t="s">
        <v>631</v>
      </c>
      <c r="B503" s="46">
        <v>14960</v>
      </c>
    </row>
    <row r="504" spans="1:2" x14ac:dyDescent="0.25">
      <c r="A504" t="s">
        <v>632</v>
      </c>
      <c r="B504" s="46">
        <v>8800</v>
      </c>
    </row>
    <row r="505" spans="1:2" x14ac:dyDescent="0.25">
      <c r="A505" t="s">
        <v>633</v>
      </c>
      <c r="B505" s="46">
        <v>8800</v>
      </c>
    </row>
    <row r="506" spans="1:2" x14ac:dyDescent="0.25">
      <c r="A506" t="s">
        <v>634</v>
      </c>
      <c r="B506" s="46">
        <v>14960</v>
      </c>
    </row>
    <row r="507" spans="1:2" x14ac:dyDescent="0.25">
      <c r="A507" t="s">
        <v>635</v>
      </c>
      <c r="B507" s="46">
        <v>14960</v>
      </c>
    </row>
    <row r="508" spans="1:2" x14ac:dyDescent="0.25">
      <c r="A508" t="s">
        <v>636</v>
      </c>
      <c r="B508" s="46">
        <v>12475</v>
      </c>
    </row>
    <row r="509" spans="1:2" x14ac:dyDescent="0.25">
      <c r="A509" t="s">
        <v>637</v>
      </c>
      <c r="B509" s="46">
        <v>9550</v>
      </c>
    </row>
    <row r="510" spans="1:2" x14ac:dyDescent="0.25">
      <c r="A510" t="s">
        <v>638</v>
      </c>
      <c r="B510" s="46">
        <v>23248</v>
      </c>
    </row>
    <row r="511" spans="1:2" x14ac:dyDescent="0.25">
      <c r="A511" t="s">
        <v>639</v>
      </c>
      <c r="B511" s="46">
        <v>14960</v>
      </c>
    </row>
    <row r="512" spans="1:2" x14ac:dyDescent="0.25">
      <c r="A512" t="s">
        <v>640</v>
      </c>
      <c r="B512" s="46">
        <v>14960</v>
      </c>
    </row>
    <row r="513" spans="1:2" x14ac:dyDescent="0.25">
      <c r="A513" t="s">
        <v>641</v>
      </c>
      <c r="B513" s="46">
        <v>9550</v>
      </c>
    </row>
    <row r="514" spans="1:2" x14ac:dyDescent="0.25">
      <c r="A514" t="s">
        <v>642</v>
      </c>
      <c r="B514" s="46">
        <v>12475</v>
      </c>
    </row>
    <row r="515" spans="1:2" x14ac:dyDescent="0.25">
      <c r="A515" t="s">
        <v>643</v>
      </c>
      <c r="B515" s="46">
        <v>8800</v>
      </c>
    </row>
    <row r="516" spans="1:2" x14ac:dyDescent="0.25">
      <c r="A516" t="s">
        <v>644</v>
      </c>
      <c r="B516" s="46">
        <v>8800</v>
      </c>
    </row>
    <row r="517" spans="1:2" x14ac:dyDescent="0.25">
      <c r="A517" t="s">
        <v>645</v>
      </c>
      <c r="B517" s="46">
        <v>16235</v>
      </c>
    </row>
    <row r="518" spans="1:2" x14ac:dyDescent="0.25">
      <c r="A518" t="s">
        <v>646</v>
      </c>
      <c r="B518" s="46">
        <v>16235</v>
      </c>
    </row>
    <row r="519" spans="1:2" x14ac:dyDescent="0.25">
      <c r="A519" t="s">
        <v>647</v>
      </c>
      <c r="B519" s="46">
        <v>13675</v>
      </c>
    </row>
    <row r="520" spans="1:2" x14ac:dyDescent="0.25">
      <c r="A520" t="s">
        <v>648</v>
      </c>
      <c r="B520" s="46">
        <v>9550</v>
      </c>
    </row>
    <row r="521" spans="1:2" x14ac:dyDescent="0.25">
      <c r="A521" t="s">
        <v>649</v>
      </c>
      <c r="B521" s="46">
        <v>8800</v>
      </c>
    </row>
    <row r="522" spans="1:2" x14ac:dyDescent="0.25">
      <c r="A522" t="s">
        <v>650</v>
      </c>
      <c r="B522" s="46">
        <v>8800</v>
      </c>
    </row>
    <row r="523" spans="1:2" x14ac:dyDescent="0.25">
      <c r="A523" t="s">
        <v>651</v>
      </c>
      <c r="B523" s="46">
        <v>8800</v>
      </c>
    </row>
    <row r="524" spans="1:2" x14ac:dyDescent="0.25">
      <c r="A524" t="s">
        <v>652</v>
      </c>
      <c r="B524" s="46">
        <v>23248</v>
      </c>
    </row>
    <row r="525" spans="1:2" x14ac:dyDescent="0.25">
      <c r="A525" t="s">
        <v>653</v>
      </c>
      <c r="B525" s="46">
        <v>8800</v>
      </c>
    </row>
    <row r="526" spans="1:2" x14ac:dyDescent="0.25">
      <c r="A526" t="s">
        <v>654</v>
      </c>
      <c r="B526" s="46">
        <v>8800</v>
      </c>
    </row>
    <row r="527" spans="1:2" x14ac:dyDescent="0.25">
      <c r="A527" t="s">
        <v>655</v>
      </c>
      <c r="B527" s="46">
        <v>8800</v>
      </c>
    </row>
    <row r="528" spans="1:2" x14ac:dyDescent="0.25">
      <c r="A528" t="s">
        <v>656</v>
      </c>
      <c r="B528" s="46">
        <v>16235</v>
      </c>
    </row>
    <row r="529" spans="1:2" x14ac:dyDescent="0.25">
      <c r="A529" t="s">
        <v>657</v>
      </c>
      <c r="B529" s="46">
        <v>16235</v>
      </c>
    </row>
    <row r="530" spans="1:2" x14ac:dyDescent="0.25">
      <c r="A530" t="s">
        <v>658</v>
      </c>
      <c r="B530" s="46">
        <v>8800</v>
      </c>
    </row>
    <row r="531" spans="1:2" x14ac:dyDescent="0.25">
      <c r="A531" t="s">
        <v>659</v>
      </c>
      <c r="B531" s="46">
        <v>14960</v>
      </c>
    </row>
    <row r="532" spans="1:2" x14ac:dyDescent="0.25">
      <c r="A532" t="s">
        <v>660</v>
      </c>
      <c r="B532" s="46">
        <v>14960</v>
      </c>
    </row>
    <row r="533" spans="1:2" x14ac:dyDescent="0.25">
      <c r="A533" t="s">
        <v>661</v>
      </c>
      <c r="B533" s="46">
        <v>9550</v>
      </c>
    </row>
    <row r="534" spans="1:2" x14ac:dyDescent="0.25">
      <c r="A534" t="s">
        <v>662</v>
      </c>
      <c r="B534" s="46">
        <v>14960</v>
      </c>
    </row>
    <row r="535" spans="1:2" x14ac:dyDescent="0.25">
      <c r="A535" t="s">
        <v>663</v>
      </c>
      <c r="B535" s="46">
        <v>14960</v>
      </c>
    </row>
    <row r="536" spans="1:2" x14ac:dyDescent="0.25">
      <c r="A536" t="s">
        <v>664</v>
      </c>
      <c r="B536" s="46">
        <v>14960</v>
      </c>
    </row>
    <row r="537" spans="1:2" x14ac:dyDescent="0.25">
      <c r="A537" t="s">
        <v>665</v>
      </c>
      <c r="B537" s="46">
        <v>9550</v>
      </c>
    </row>
    <row r="538" spans="1:2" x14ac:dyDescent="0.25">
      <c r="A538" t="s">
        <v>666</v>
      </c>
      <c r="B538" s="46">
        <v>9550</v>
      </c>
    </row>
    <row r="539" spans="1:2" x14ac:dyDescent="0.25">
      <c r="A539" t="s">
        <v>667</v>
      </c>
      <c r="B539" s="46">
        <v>14960</v>
      </c>
    </row>
    <row r="540" spans="1:2" x14ac:dyDescent="0.25">
      <c r="A540" t="s">
        <v>668</v>
      </c>
      <c r="B540" s="46">
        <v>14960</v>
      </c>
    </row>
    <row r="541" spans="1:2" x14ac:dyDescent="0.25">
      <c r="A541" t="s">
        <v>669</v>
      </c>
      <c r="B541" s="46">
        <v>9550</v>
      </c>
    </row>
    <row r="542" spans="1:2" x14ac:dyDescent="0.25">
      <c r="A542" t="s">
        <v>670</v>
      </c>
      <c r="B542" s="46">
        <v>9550</v>
      </c>
    </row>
    <row r="543" spans="1:2" x14ac:dyDescent="0.25">
      <c r="A543" t="s">
        <v>671</v>
      </c>
      <c r="B543" s="46">
        <v>8800</v>
      </c>
    </row>
    <row r="544" spans="1:2" x14ac:dyDescent="0.25">
      <c r="A544" t="s">
        <v>672</v>
      </c>
      <c r="B544" s="46">
        <v>21208</v>
      </c>
    </row>
    <row r="545" spans="1:2" x14ac:dyDescent="0.25">
      <c r="A545" t="s">
        <v>673</v>
      </c>
      <c r="B545" s="46">
        <v>21208</v>
      </c>
    </row>
    <row r="546" spans="1:2" x14ac:dyDescent="0.25">
      <c r="A546" t="s">
        <v>674</v>
      </c>
      <c r="B546" s="46">
        <v>8800</v>
      </c>
    </row>
    <row r="547" spans="1:2" x14ac:dyDescent="0.25">
      <c r="A547" t="s">
        <v>675</v>
      </c>
      <c r="B547" s="46">
        <v>8800</v>
      </c>
    </row>
    <row r="548" spans="1:2" x14ac:dyDescent="0.25">
      <c r="A548" t="s">
        <v>676</v>
      </c>
      <c r="B548" s="46">
        <v>8800</v>
      </c>
    </row>
    <row r="549" spans="1:2" x14ac:dyDescent="0.25">
      <c r="A549" t="s">
        <v>677</v>
      </c>
      <c r="B549" s="46">
        <v>14960</v>
      </c>
    </row>
    <row r="550" spans="1:2" x14ac:dyDescent="0.25">
      <c r="A550" t="s">
        <v>678</v>
      </c>
      <c r="B550" s="46">
        <v>14960</v>
      </c>
    </row>
    <row r="551" spans="1:2" x14ac:dyDescent="0.25">
      <c r="A551" t="s">
        <v>679</v>
      </c>
      <c r="B551" s="46">
        <v>9550</v>
      </c>
    </row>
    <row r="552" spans="1:2" x14ac:dyDescent="0.25">
      <c r="A552" t="s">
        <v>680</v>
      </c>
      <c r="B552" s="46">
        <v>9550</v>
      </c>
    </row>
    <row r="553" spans="1:2" x14ac:dyDescent="0.25">
      <c r="A553" t="s">
        <v>681</v>
      </c>
      <c r="B553" s="46">
        <v>8800</v>
      </c>
    </row>
    <row r="554" spans="1:2" x14ac:dyDescent="0.25">
      <c r="A554" t="s">
        <v>682</v>
      </c>
      <c r="B554" s="46">
        <v>8800</v>
      </c>
    </row>
    <row r="555" spans="1:2" x14ac:dyDescent="0.25">
      <c r="A555" t="s">
        <v>683</v>
      </c>
      <c r="B555" s="46">
        <v>8800</v>
      </c>
    </row>
    <row r="556" spans="1:2" x14ac:dyDescent="0.25">
      <c r="A556" t="s">
        <v>684</v>
      </c>
      <c r="B556" s="46">
        <v>14960</v>
      </c>
    </row>
    <row r="557" spans="1:2" x14ac:dyDescent="0.25">
      <c r="A557" t="s">
        <v>685</v>
      </c>
      <c r="B557" s="46">
        <v>14960</v>
      </c>
    </row>
    <row r="558" spans="1:2" x14ac:dyDescent="0.25">
      <c r="A558" t="s">
        <v>686</v>
      </c>
      <c r="B558" s="46">
        <v>8800</v>
      </c>
    </row>
    <row r="559" spans="1:2" x14ac:dyDescent="0.25">
      <c r="A559" t="s">
        <v>687</v>
      </c>
      <c r="B559" s="46">
        <v>23248</v>
      </c>
    </row>
    <row r="560" spans="1:2" x14ac:dyDescent="0.25">
      <c r="A560" t="s">
        <v>688</v>
      </c>
      <c r="B560" s="46">
        <v>23248</v>
      </c>
    </row>
    <row r="561" spans="1:2" x14ac:dyDescent="0.25">
      <c r="A561" t="s">
        <v>689</v>
      </c>
      <c r="B561" s="46">
        <v>9550</v>
      </c>
    </row>
    <row r="562" spans="1:2" x14ac:dyDescent="0.25">
      <c r="A562" t="s">
        <v>690</v>
      </c>
      <c r="B562" s="46">
        <v>9550</v>
      </c>
    </row>
    <row r="563" spans="1:2" x14ac:dyDescent="0.25">
      <c r="A563" t="s">
        <v>691</v>
      </c>
      <c r="B563" s="46">
        <v>23248</v>
      </c>
    </row>
    <row r="564" spans="1:2" x14ac:dyDescent="0.25">
      <c r="A564" t="s">
        <v>692</v>
      </c>
      <c r="B564" s="46">
        <v>23248</v>
      </c>
    </row>
    <row r="565" spans="1:2" x14ac:dyDescent="0.25">
      <c r="A565" t="s">
        <v>693</v>
      </c>
      <c r="B565" s="46">
        <v>14960</v>
      </c>
    </row>
    <row r="566" spans="1:2" x14ac:dyDescent="0.25">
      <c r="A566" t="s">
        <v>694</v>
      </c>
      <c r="B566" s="46">
        <v>8800</v>
      </c>
    </row>
    <row r="567" spans="1:2" x14ac:dyDescent="0.25">
      <c r="A567" t="s">
        <v>695</v>
      </c>
      <c r="B567" s="46">
        <v>12475</v>
      </c>
    </row>
    <row r="568" spans="1:2" x14ac:dyDescent="0.25">
      <c r="A568" t="s">
        <v>696</v>
      </c>
      <c r="B568" s="46">
        <v>8800</v>
      </c>
    </row>
    <row r="569" spans="1:2" x14ac:dyDescent="0.25">
      <c r="A569" t="s">
        <v>697</v>
      </c>
      <c r="B569" s="46">
        <v>16235</v>
      </c>
    </row>
    <row r="570" spans="1:2" x14ac:dyDescent="0.25">
      <c r="A570" t="s">
        <v>698</v>
      </c>
      <c r="B570" s="46">
        <v>14960</v>
      </c>
    </row>
    <row r="571" spans="1:2" x14ac:dyDescent="0.25">
      <c r="A571" t="s">
        <v>699</v>
      </c>
      <c r="B571" s="46">
        <v>13675</v>
      </c>
    </row>
    <row r="572" spans="1:2" x14ac:dyDescent="0.25">
      <c r="A572" t="s">
        <v>700</v>
      </c>
      <c r="B572" s="46">
        <v>14960</v>
      </c>
    </row>
    <row r="573" spans="1:2" x14ac:dyDescent="0.25">
      <c r="A573" t="s">
        <v>701</v>
      </c>
      <c r="B573" s="46">
        <v>14960</v>
      </c>
    </row>
    <row r="574" spans="1:2" x14ac:dyDescent="0.25">
      <c r="A574" t="s">
        <v>702</v>
      </c>
      <c r="B574" s="46">
        <v>14960</v>
      </c>
    </row>
    <row r="575" spans="1:2" x14ac:dyDescent="0.25">
      <c r="A575" t="s">
        <v>703</v>
      </c>
      <c r="B575" s="46">
        <v>9550</v>
      </c>
    </row>
    <row r="576" spans="1:2" x14ac:dyDescent="0.25">
      <c r="A576" t="s">
        <v>704</v>
      </c>
      <c r="B576" s="46">
        <v>14960</v>
      </c>
    </row>
    <row r="577" spans="1:2" x14ac:dyDescent="0.25">
      <c r="A577" t="s">
        <v>705</v>
      </c>
      <c r="B577" s="46">
        <v>14960</v>
      </c>
    </row>
    <row r="578" spans="1:2" x14ac:dyDescent="0.25">
      <c r="A578" t="s">
        <v>706</v>
      </c>
      <c r="B578" s="46">
        <v>8800</v>
      </c>
    </row>
    <row r="579" spans="1:2" x14ac:dyDescent="0.25">
      <c r="A579" t="s">
        <v>707</v>
      </c>
      <c r="B579" s="46">
        <v>13675</v>
      </c>
    </row>
    <row r="580" spans="1:2" x14ac:dyDescent="0.25">
      <c r="A580" t="s">
        <v>708</v>
      </c>
      <c r="B580" s="46">
        <v>9550</v>
      </c>
    </row>
    <row r="581" spans="1:2" x14ac:dyDescent="0.25">
      <c r="A581" t="s">
        <v>709</v>
      </c>
      <c r="B581" s="46">
        <v>9550</v>
      </c>
    </row>
    <row r="582" spans="1:2" x14ac:dyDescent="0.25">
      <c r="A582" t="s">
        <v>710</v>
      </c>
      <c r="B582" s="46">
        <v>23248</v>
      </c>
    </row>
    <row r="583" spans="1:2" x14ac:dyDescent="0.25">
      <c r="A583" t="s">
        <v>711</v>
      </c>
      <c r="B583" s="46">
        <v>23248</v>
      </c>
    </row>
    <row r="584" spans="1:2" x14ac:dyDescent="0.25">
      <c r="A584" t="s">
        <v>712</v>
      </c>
      <c r="B584" s="46">
        <v>8800</v>
      </c>
    </row>
    <row r="585" spans="1:2" x14ac:dyDescent="0.25">
      <c r="A585" t="s">
        <v>713</v>
      </c>
      <c r="B585" s="46">
        <v>8800</v>
      </c>
    </row>
    <row r="586" spans="1:2" x14ac:dyDescent="0.25">
      <c r="A586" t="s">
        <v>714</v>
      </c>
      <c r="B586" s="46">
        <v>8800</v>
      </c>
    </row>
    <row r="587" spans="1:2" x14ac:dyDescent="0.25">
      <c r="A587" t="s">
        <v>715</v>
      </c>
      <c r="B587" s="46">
        <v>8800</v>
      </c>
    </row>
    <row r="588" spans="1:2" x14ac:dyDescent="0.25">
      <c r="A588" t="s">
        <v>716</v>
      </c>
      <c r="B588" s="46">
        <v>8800</v>
      </c>
    </row>
    <row r="589" spans="1:2" x14ac:dyDescent="0.25">
      <c r="A589" t="s">
        <v>717</v>
      </c>
      <c r="B589" s="46">
        <v>8800</v>
      </c>
    </row>
    <row r="590" spans="1:2" x14ac:dyDescent="0.25">
      <c r="A590" t="s">
        <v>718</v>
      </c>
      <c r="B590" s="46">
        <v>8800</v>
      </c>
    </row>
    <row r="591" spans="1:2" x14ac:dyDescent="0.25">
      <c r="A591" t="s">
        <v>719</v>
      </c>
      <c r="B591" s="46">
        <v>8800</v>
      </c>
    </row>
    <row r="592" spans="1:2" x14ac:dyDescent="0.25">
      <c r="A592" t="s">
        <v>720</v>
      </c>
      <c r="B592" s="46">
        <v>8800</v>
      </c>
    </row>
    <row r="593" spans="1:2" x14ac:dyDescent="0.25">
      <c r="A593" t="s">
        <v>721</v>
      </c>
      <c r="B593" s="46">
        <v>9550</v>
      </c>
    </row>
    <row r="594" spans="1:2" x14ac:dyDescent="0.25">
      <c r="A594" t="s">
        <v>722</v>
      </c>
      <c r="B594" s="46">
        <v>8800</v>
      </c>
    </row>
    <row r="595" spans="1:2" x14ac:dyDescent="0.25">
      <c r="A595" t="s">
        <v>723</v>
      </c>
      <c r="B595" s="46">
        <v>8800</v>
      </c>
    </row>
    <row r="596" spans="1:2" x14ac:dyDescent="0.25">
      <c r="A596" t="s">
        <v>724</v>
      </c>
      <c r="B596" s="46">
        <v>8800</v>
      </c>
    </row>
    <row r="597" spans="1:2" x14ac:dyDescent="0.25">
      <c r="A597" t="s">
        <v>725</v>
      </c>
      <c r="B597" s="46">
        <v>14960</v>
      </c>
    </row>
    <row r="598" spans="1:2" x14ac:dyDescent="0.25">
      <c r="A598" t="s">
        <v>726</v>
      </c>
      <c r="B598" s="46">
        <v>14960</v>
      </c>
    </row>
    <row r="599" spans="1:2" x14ac:dyDescent="0.25">
      <c r="A599" t="s">
        <v>727</v>
      </c>
      <c r="B599" s="46">
        <v>13675</v>
      </c>
    </row>
    <row r="600" spans="1:2" x14ac:dyDescent="0.25">
      <c r="A600" t="s">
        <v>728</v>
      </c>
      <c r="B600" s="46">
        <v>16235</v>
      </c>
    </row>
    <row r="601" spans="1:2" x14ac:dyDescent="0.25">
      <c r="A601" t="s">
        <v>729</v>
      </c>
      <c r="B601" s="46">
        <v>14960</v>
      </c>
    </row>
    <row r="602" spans="1:2" x14ac:dyDescent="0.25">
      <c r="A602" t="s">
        <v>730</v>
      </c>
      <c r="B602" s="46">
        <v>8800</v>
      </c>
    </row>
    <row r="603" spans="1:2" x14ac:dyDescent="0.25">
      <c r="A603" t="s">
        <v>731</v>
      </c>
      <c r="B603" s="46">
        <v>14960</v>
      </c>
    </row>
    <row r="604" spans="1:2" x14ac:dyDescent="0.25">
      <c r="A604" t="s">
        <v>732</v>
      </c>
      <c r="B604" s="46">
        <v>14960</v>
      </c>
    </row>
    <row r="605" spans="1:2" x14ac:dyDescent="0.25">
      <c r="A605" t="s">
        <v>733</v>
      </c>
      <c r="B605" s="46">
        <v>23248</v>
      </c>
    </row>
    <row r="606" spans="1:2" x14ac:dyDescent="0.25">
      <c r="A606" t="s">
        <v>734</v>
      </c>
      <c r="B606" s="46">
        <v>23248</v>
      </c>
    </row>
    <row r="607" spans="1:2" x14ac:dyDescent="0.25">
      <c r="A607" t="s">
        <v>735</v>
      </c>
      <c r="B607" s="46">
        <v>23248</v>
      </c>
    </row>
    <row r="608" spans="1:2" x14ac:dyDescent="0.25">
      <c r="A608" t="s">
        <v>736</v>
      </c>
      <c r="B608" s="46">
        <v>23248</v>
      </c>
    </row>
    <row r="609" spans="1:2" x14ac:dyDescent="0.25">
      <c r="A609" t="s">
        <v>737</v>
      </c>
      <c r="B609" s="46">
        <v>16235</v>
      </c>
    </row>
    <row r="610" spans="1:2" x14ac:dyDescent="0.25">
      <c r="A610" t="s">
        <v>738</v>
      </c>
      <c r="B610" s="46">
        <v>16235</v>
      </c>
    </row>
    <row r="611" spans="1:2" x14ac:dyDescent="0.25">
      <c r="A611" t="s">
        <v>739</v>
      </c>
      <c r="B611" s="46">
        <v>14960</v>
      </c>
    </row>
    <row r="612" spans="1:2" x14ac:dyDescent="0.25">
      <c r="A612" t="s">
        <v>740</v>
      </c>
      <c r="B612" s="46">
        <v>14960</v>
      </c>
    </row>
    <row r="613" spans="1:2" x14ac:dyDescent="0.25">
      <c r="A613" t="s">
        <v>741</v>
      </c>
      <c r="B613" s="46">
        <v>8800</v>
      </c>
    </row>
    <row r="614" spans="1:2" x14ac:dyDescent="0.25">
      <c r="A614" t="s">
        <v>742</v>
      </c>
      <c r="B614" s="46">
        <v>8800</v>
      </c>
    </row>
    <row r="615" spans="1:2" x14ac:dyDescent="0.25">
      <c r="A615" t="s">
        <v>743</v>
      </c>
      <c r="B615" s="46">
        <v>14960</v>
      </c>
    </row>
    <row r="616" spans="1:2" x14ac:dyDescent="0.25">
      <c r="A616" t="s">
        <v>744</v>
      </c>
      <c r="B616" s="46">
        <v>8800</v>
      </c>
    </row>
    <row r="617" spans="1:2" x14ac:dyDescent="0.25">
      <c r="A617" t="s">
        <v>745</v>
      </c>
      <c r="B617" s="46">
        <v>12475</v>
      </c>
    </row>
    <row r="618" spans="1:2" x14ac:dyDescent="0.25">
      <c r="A618" t="s">
        <v>746</v>
      </c>
      <c r="B618" s="46">
        <v>12475</v>
      </c>
    </row>
    <row r="619" spans="1:2" x14ac:dyDescent="0.25">
      <c r="A619" t="s">
        <v>747</v>
      </c>
      <c r="B619" s="46">
        <v>12475</v>
      </c>
    </row>
    <row r="620" spans="1:2" x14ac:dyDescent="0.25">
      <c r="A620" t="s">
        <v>748</v>
      </c>
      <c r="B620" s="46">
        <v>8800</v>
      </c>
    </row>
    <row r="621" spans="1:2" x14ac:dyDescent="0.25">
      <c r="A621" t="s">
        <v>749</v>
      </c>
      <c r="B621" s="46">
        <v>8800</v>
      </c>
    </row>
    <row r="622" spans="1:2" x14ac:dyDescent="0.25">
      <c r="A622" t="s">
        <v>750</v>
      </c>
      <c r="B622" s="46">
        <v>12475</v>
      </c>
    </row>
    <row r="623" spans="1:2" x14ac:dyDescent="0.25">
      <c r="A623" t="s">
        <v>751</v>
      </c>
      <c r="B623" s="46">
        <v>8800</v>
      </c>
    </row>
    <row r="624" spans="1:2" x14ac:dyDescent="0.25">
      <c r="A624" t="s">
        <v>752</v>
      </c>
      <c r="B624" s="46">
        <v>8800</v>
      </c>
    </row>
    <row r="625" spans="1:2" x14ac:dyDescent="0.25">
      <c r="A625" t="s">
        <v>753</v>
      </c>
      <c r="B625" s="46">
        <v>8800</v>
      </c>
    </row>
    <row r="626" spans="1:2" x14ac:dyDescent="0.25">
      <c r="A626" t="s">
        <v>754</v>
      </c>
      <c r="B626" s="46">
        <v>8800</v>
      </c>
    </row>
    <row r="627" spans="1:2" x14ac:dyDescent="0.25">
      <c r="A627" t="s">
        <v>755</v>
      </c>
      <c r="B627" s="46">
        <v>8800</v>
      </c>
    </row>
    <row r="628" spans="1:2" x14ac:dyDescent="0.25">
      <c r="A628" t="s">
        <v>756</v>
      </c>
      <c r="B628" s="46">
        <v>21208</v>
      </c>
    </row>
    <row r="629" spans="1:2" x14ac:dyDescent="0.25">
      <c r="A629" t="s">
        <v>757</v>
      </c>
      <c r="B629" s="46">
        <v>14960</v>
      </c>
    </row>
    <row r="630" spans="1:2" x14ac:dyDescent="0.25">
      <c r="A630" t="s">
        <v>758</v>
      </c>
      <c r="B630" s="46">
        <v>14960</v>
      </c>
    </row>
    <row r="631" spans="1:2" x14ac:dyDescent="0.25">
      <c r="A631" t="s">
        <v>759</v>
      </c>
      <c r="B631" s="46">
        <v>8800</v>
      </c>
    </row>
    <row r="632" spans="1:2" x14ac:dyDescent="0.25">
      <c r="A632" t="s">
        <v>760</v>
      </c>
      <c r="B632" s="46">
        <v>12475</v>
      </c>
    </row>
    <row r="633" spans="1:2" x14ac:dyDescent="0.25">
      <c r="A633" t="s">
        <v>761</v>
      </c>
      <c r="B633" s="46">
        <v>8800</v>
      </c>
    </row>
    <row r="634" spans="1:2" x14ac:dyDescent="0.25">
      <c r="A634" t="s">
        <v>762</v>
      </c>
      <c r="B634" s="46">
        <v>8800</v>
      </c>
    </row>
    <row r="635" spans="1:2" x14ac:dyDescent="0.25">
      <c r="A635" t="s">
        <v>763</v>
      </c>
      <c r="B635" s="46">
        <v>14960</v>
      </c>
    </row>
    <row r="636" spans="1:2" x14ac:dyDescent="0.25">
      <c r="A636" t="s">
        <v>764</v>
      </c>
      <c r="B636" s="46">
        <v>14960</v>
      </c>
    </row>
    <row r="637" spans="1:2" x14ac:dyDescent="0.25">
      <c r="A637" t="s">
        <v>765</v>
      </c>
      <c r="B637" s="46">
        <v>14960</v>
      </c>
    </row>
    <row r="638" spans="1:2" x14ac:dyDescent="0.25">
      <c r="A638" t="s">
        <v>766</v>
      </c>
      <c r="B638" s="46">
        <v>14960</v>
      </c>
    </row>
    <row r="639" spans="1:2" x14ac:dyDescent="0.25">
      <c r="A639" t="s">
        <v>767</v>
      </c>
      <c r="B639" s="46">
        <v>14960</v>
      </c>
    </row>
    <row r="640" spans="1:2" x14ac:dyDescent="0.25">
      <c r="A640" t="s">
        <v>768</v>
      </c>
      <c r="B640" s="46">
        <v>14960</v>
      </c>
    </row>
    <row r="641" spans="1:2" x14ac:dyDescent="0.25">
      <c r="A641" t="s">
        <v>769</v>
      </c>
      <c r="B641" s="46">
        <v>14960</v>
      </c>
    </row>
    <row r="642" spans="1:2" x14ac:dyDescent="0.25">
      <c r="A642" t="s">
        <v>770</v>
      </c>
      <c r="B642" s="46">
        <v>14960</v>
      </c>
    </row>
    <row r="643" spans="1:2" x14ac:dyDescent="0.25">
      <c r="A643" t="s">
        <v>771</v>
      </c>
      <c r="B643" s="46">
        <v>14960</v>
      </c>
    </row>
    <row r="644" spans="1:2" x14ac:dyDescent="0.25">
      <c r="A644" t="s">
        <v>772</v>
      </c>
      <c r="B644" s="46">
        <v>14960</v>
      </c>
    </row>
    <row r="645" spans="1:2" x14ac:dyDescent="0.25">
      <c r="A645" t="s">
        <v>773</v>
      </c>
      <c r="B645" s="46">
        <v>14960</v>
      </c>
    </row>
    <row r="646" spans="1:2" x14ac:dyDescent="0.25">
      <c r="A646" t="s">
        <v>774</v>
      </c>
      <c r="B646" s="46">
        <v>14960</v>
      </c>
    </row>
    <row r="647" spans="1:2" x14ac:dyDescent="0.25">
      <c r="A647" t="s">
        <v>775</v>
      </c>
      <c r="B647" s="46">
        <v>14960</v>
      </c>
    </row>
    <row r="648" spans="1:2" x14ac:dyDescent="0.25">
      <c r="A648" t="s">
        <v>776</v>
      </c>
      <c r="B648" s="46">
        <v>14960</v>
      </c>
    </row>
    <row r="649" spans="1:2" x14ac:dyDescent="0.25">
      <c r="A649" t="s">
        <v>777</v>
      </c>
      <c r="B649" s="46">
        <v>14960</v>
      </c>
    </row>
    <row r="650" spans="1:2" x14ac:dyDescent="0.25">
      <c r="A650" t="s">
        <v>778</v>
      </c>
      <c r="B650" s="46">
        <v>9550</v>
      </c>
    </row>
    <row r="651" spans="1:2" x14ac:dyDescent="0.25">
      <c r="A651" t="s">
        <v>779</v>
      </c>
      <c r="B651" s="46">
        <v>12475</v>
      </c>
    </row>
    <row r="652" spans="1:2" x14ac:dyDescent="0.25">
      <c r="A652" t="s">
        <v>780</v>
      </c>
      <c r="B652" s="46">
        <v>14960</v>
      </c>
    </row>
    <row r="653" spans="1:2" x14ac:dyDescent="0.25">
      <c r="A653" t="s">
        <v>781</v>
      </c>
      <c r="B653" s="46">
        <v>14960</v>
      </c>
    </row>
    <row r="654" spans="1:2" x14ac:dyDescent="0.25">
      <c r="A654" t="s">
        <v>782</v>
      </c>
      <c r="B654" s="46">
        <v>9550</v>
      </c>
    </row>
    <row r="655" spans="1:2" x14ac:dyDescent="0.25">
      <c r="A655" t="s">
        <v>783</v>
      </c>
      <c r="B655" s="46">
        <v>9550</v>
      </c>
    </row>
    <row r="656" spans="1:2" x14ac:dyDescent="0.25">
      <c r="A656" t="s">
        <v>784</v>
      </c>
      <c r="B656" s="46">
        <v>9550</v>
      </c>
    </row>
    <row r="657" spans="1:2" x14ac:dyDescent="0.25">
      <c r="A657" t="s">
        <v>785</v>
      </c>
      <c r="B657" s="46">
        <v>16235</v>
      </c>
    </row>
    <row r="658" spans="1:2" x14ac:dyDescent="0.25">
      <c r="A658" t="s">
        <v>786</v>
      </c>
      <c r="B658" s="46">
        <v>9550</v>
      </c>
    </row>
    <row r="659" spans="1:2" x14ac:dyDescent="0.25">
      <c r="A659" t="s">
        <v>787</v>
      </c>
      <c r="B659" s="46">
        <v>8800</v>
      </c>
    </row>
    <row r="660" spans="1:2" x14ac:dyDescent="0.25">
      <c r="A660" t="s">
        <v>788</v>
      </c>
      <c r="B660" s="46">
        <v>8800</v>
      </c>
    </row>
    <row r="661" spans="1:2" x14ac:dyDescent="0.25">
      <c r="A661" t="s">
        <v>789</v>
      </c>
      <c r="B661" s="46">
        <v>8800</v>
      </c>
    </row>
    <row r="662" spans="1:2" x14ac:dyDescent="0.25">
      <c r="A662" t="s">
        <v>790</v>
      </c>
      <c r="B662" s="46">
        <v>14960</v>
      </c>
    </row>
    <row r="663" spans="1:2" x14ac:dyDescent="0.25">
      <c r="A663" t="s">
        <v>791</v>
      </c>
      <c r="B663" s="46">
        <v>14960</v>
      </c>
    </row>
    <row r="664" spans="1:2" x14ac:dyDescent="0.25">
      <c r="A664" t="s">
        <v>792</v>
      </c>
      <c r="B664" s="46">
        <v>8800</v>
      </c>
    </row>
    <row r="665" spans="1:2" x14ac:dyDescent="0.25">
      <c r="A665" t="s">
        <v>793</v>
      </c>
      <c r="B665" s="46">
        <v>9550</v>
      </c>
    </row>
    <row r="666" spans="1:2" x14ac:dyDescent="0.25">
      <c r="A666" t="s">
        <v>794</v>
      </c>
      <c r="B666" s="46">
        <v>16235</v>
      </c>
    </row>
    <row r="667" spans="1:2" x14ac:dyDescent="0.25">
      <c r="A667" t="s">
        <v>795</v>
      </c>
      <c r="B667" s="46">
        <v>14960</v>
      </c>
    </row>
    <row r="668" spans="1:2" x14ac:dyDescent="0.25">
      <c r="A668" t="s">
        <v>796</v>
      </c>
      <c r="B668" s="46">
        <v>14960</v>
      </c>
    </row>
    <row r="669" spans="1:2" x14ac:dyDescent="0.25">
      <c r="A669" t="s">
        <v>797</v>
      </c>
      <c r="B669" s="46">
        <v>14960</v>
      </c>
    </row>
    <row r="670" spans="1:2" x14ac:dyDescent="0.25">
      <c r="A670" t="s">
        <v>798</v>
      </c>
      <c r="B670" s="46">
        <v>14960</v>
      </c>
    </row>
    <row r="671" spans="1:2" x14ac:dyDescent="0.25">
      <c r="A671" t="s">
        <v>799</v>
      </c>
      <c r="B671" s="46">
        <v>14960</v>
      </c>
    </row>
    <row r="672" spans="1:2" x14ac:dyDescent="0.25">
      <c r="A672" t="s">
        <v>800</v>
      </c>
      <c r="B672" s="46">
        <v>12320</v>
      </c>
    </row>
    <row r="673" spans="1:2" x14ac:dyDescent="0.25">
      <c r="A673" t="s">
        <v>801</v>
      </c>
      <c r="B673" s="46">
        <v>11725</v>
      </c>
    </row>
    <row r="674" spans="1:2" x14ac:dyDescent="0.25">
      <c r="A674" t="s">
        <v>802</v>
      </c>
      <c r="B674" s="46">
        <v>14960</v>
      </c>
    </row>
    <row r="675" spans="1:2" x14ac:dyDescent="0.25">
      <c r="A675" t="s">
        <v>803</v>
      </c>
      <c r="B675" s="46">
        <v>14960</v>
      </c>
    </row>
    <row r="676" spans="1:2" x14ac:dyDescent="0.25">
      <c r="A676" t="s">
        <v>804</v>
      </c>
      <c r="B676" s="46">
        <v>12320</v>
      </c>
    </row>
    <row r="677" spans="1:2" x14ac:dyDescent="0.25">
      <c r="A677" t="s">
        <v>805</v>
      </c>
      <c r="B677" s="46">
        <v>13370</v>
      </c>
    </row>
    <row r="678" spans="1:2" x14ac:dyDescent="0.25">
      <c r="A678" t="s">
        <v>806</v>
      </c>
      <c r="B678" s="46">
        <v>13370</v>
      </c>
    </row>
    <row r="679" spans="1:2" x14ac:dyDescent="0.25">
      <c r="A679" t="s">
        <v>807</v>
      </c>
      <c r="B679" s="46">
        <v>11725</v>
      </c>
    </row>
    <row r="680" spans="1:2" x14ac:dyDescent="0.25">
      <c r="A680" t="s">
        <v>808</v>
      </c>
      <c r="B680" s="46">
        <v>14960</v>
      </c>
    </row>
    <row r="681" spans="1:2" x14ac:dyDescent="0.25">
      <c r="A681" t="s">
        <v>809</v>
      </c>
      <c r="B681" s="46">
        <v>13675</v>
      </c>
    </row>
    <row r="682" spans="1:2" x14ac:dyDescent="0.25">
      <c r="A682" t="s">
        <v>810</v>
      </c>
      <c r="B682" s="46">
        <v>14960</v>
      </c>
    </row>
    <row r="683" spans="1:2" x14ac:dyDescent="0.25">
      <c r="A683" t="s">
        <v>811</v>
      </c>
      <c r="B683" s="46">
        <v>14960</v>
      </c>
    </row>
    <row r="684" spans="1:2" x14ac:dyDescent="0.25">
      <c r="A684" t="s">
        <v>812</v>
      </c>
      <c r="B684" s="46">
        <v>8800</v>
      </c>
    </row>
    <row r="685" spans="1:2" x14ac:dyDescent="0.25">
      <c r="A685" t="s">
        <v>813</v>
      </c>
      <c r="B685" s="46">
        <v>23248</v>
      </c>
    </row>
    <row r="686" spans="1:2" x14ac:dyDescent="0.25">
      <c r="A686" t="s">
        <v>814</v>
      </c>
      <c r="B686" s="46">
        <v>8800</v>
      </c>
    </row>
    <row r="687" spans="1:2" x14ac:dyDescent="0.25">
      <c r="A687" t="s">
        <v>815</v>
      </c>
      <c r="B687" s="46">
        <v>14960</v>
      </c>
    </row>
    <row r="688" spans="1:2" x14ac:dyDescent="0.25">
      <c r="A688" t="s">
        <v>816</v>
      </c>
      <c r="B688" s="46">
        <v>8800</v>
      </c>
    </row>
    <row r="689" spans="1:2" x14ac:dyDescent="0.25">
      <c r="A689" t="s">
        <v>817</v>
      </c>
      <c r="B689" s="46">
        <v>13675</v>
      </c>
    </row>
    <row r="690" spans="1:2" x14ac:dyDescent="0.25">
      <c r="A690" t="s">
        <v>818</v>
      </c>
      <c r="B690" s="46">
        <v>8800</v>
      </c>
    </row>
    <row r="691" spans="1:2" x14ac:dyDescent="0.25">
      <c r="A691" t="s">
        <v>819</v>
      </c>
      <c r="B691" s="46">
        <v>8800</v>
      </c>
    </row>
    <row r="692" spans="1:2" x14ac:dyDescent="0.25">
      <c r="A692" t="s">
        <v>820</v>
      </c>
      <c r="B692" s="46">
        <v>23248</v>
      </c>
    </row>
    <row r="693" spans="1:2" x14ac:dyDescent="0.25">
      <c r="A693" t="s">
        <v>821</v>
      </c>
      <c r="B693" s="46">
        <v>23248</v>
      </c>
    </row>
    <row r="694" spans="1:2" x14ac:dyDescent="0.25">
      <c r="A694" t="s">
        <v>822</v>
      </c>
      <c r="B694" s="46">
        <v>14960</v>
      </c>
    </row>
    <row r="695" spans="1:2" x14ac:dyDescent="0.25">
      <c r="A695" t="s">
        <v>823</v>
      </c>
      <c r="B695" s="46">
        <v>14960</v>
      </c>
    </row>
    <row r="696" spans="1:2" x14ac:dyDescent="0.25">
      <c r="A696" t="s">
        <v>824</v>
      </c>
      <c r="B696" s="46">
        <v>14960</v>
      </c>
    </row>
    <row r="697" spans="1:2" x14ac:dyDescent="0.25">
      <c r="A697" t="s">
        <v>825</v>
      </c>
      <c r="B697" s="46">
        <v>14960</v>
      </c>
    </row>
    <row r="698" spans="1:2" x14ac:dyDescent="0.25">
      <c r="A698" t="s">
        <v>826</v>
      </c>
      <c r="B698" s="46">
        <v>8800</v>
      </c>
    </row>
    <row r="699" spans="1:2" x14ac:dyDescent="0.25">
      <c r="A699" t="s">
        <v>827</v>
      </c>
      <c r="B699" s="46">
        <v>14960</v>
      </c>
    </row>
    <row r="700" spans="1:2" x14ac:dyDescent="0.25">
      <c r="A700" t="s">
        <v>828</v>
      </c>
      <c r="B700" s="46">
        <v>14960</v>
      </c>
    </row>
    <row r="701" spans="1:2" x14ac:dyDescent="0.25">
      <c r="A701" t="s">
        <v>829</v>
      </c>
      <c r="B701" s="46">
        <v>13675</v>
      </c>
    </row>
    <row r="702" spans="1:2" x14ac:dyDescent="0.25">
      <c r="A702" t="s">
        <v>830</v>
      </c>
      <c r="B702" s="46">
        <v>21208</v>
      </c>
    </row>
    <row r="703" spans="1:2" x14ac:dyDescent="0.25">
      <c r="A703" t="s">
        <v>831</v>
      </c>
      <c r="B703" s="46">
        <v>8800</v>
      </c>
    </row>
    <row r="704" spans="1:2" x14ac:dyDescent="0.25">
      <c r="A704" t="s">
        <v>832</v>
      </c>
      <c r="B704" s="46">
        <v>8800</v>
      </c>
    </row>
    <row r="705" spans="1:2" x14ac:dyDescent="0.25">
      <c r="A705" t="s">
        <v>833</v>
      </c>
      <c r="B705" s="46">
        <v>8800</v>
      </c>
    </row>
    <row r="706" spans="1:2" x14ac:dyDescent="0.25">
      <c r="A706" t="s">
        <v>834</v>
      </c>
      <c r="B706" s="46">
        <v>8800</v>
      </c>
    </row>
    <row r="707" spans="1:2" x14ac:dyDescent="0.25">
      <c r="A707" t="s">
        <v>835</v>
      </c>
      <c r="B707" s="46">
        <v>14960</v>
      </c>
    </row>
    <row r="708" spans="1:2" x14ac:dyDescent="0.25">
      <c r="A708" t="s">
        <v>836</v>
      </c>
      <c r="B708" s="46">
        <v>14960</v>
      </c>
    </row>
    <row r="709" spans="1:2" x14ac:dyDescent="0.25">
      <c r="A709" t="s">
        <v>837</v>
      </c>
      <c r="B709" s="46">
        <v>8800</v>
      </c>
    </row>
    <row r="710" spans="1:2" x14ac:dyDescent="0.25">
      <c r="A710" t="s">
        <v>838</v>
      </c>
      <c r="B710" s="46">
        <v>14960</v>
      </c>
    </row>
    <row r="711" spans="1:2" x14ac:dyDescent="0.25">
      <c r="A711" t="s">
        <v>839</v>
      </c>
      <c r="B711" s="46">
        <v>8800</v>
      </c>
    </row>
    <row r="712" spans="1:2" x14ac:dyDescent="0.25">
      <c r="A712" t="s">
        <v>840</v>
      </c>
      <c r="B712" s="46">
        <v>14960</v>
      </c>
    </row>
    <row r="713" spans="1:2" x14ac:dyDescent="0.25">
      <c r="A713" t="s">
        <v>841</v>
      </c>
      <c r="B713" s="46">
        <v>14960.000000000002</v>
      </c>
    </row>
    <row r="714" spans="1:2" x14ac:dyDescent="0.25">
      <c r="A714" t="s">
        <v>842</v>
      </c>
      <c r="B714" s="46">
        <v>14960</v>
      </c>
    </row>
    <row r="715" spans="1:2" x14ac:dyDescent="0.25">
      <c r="A715" t="s">
        <v>843</v>
      </c>
      <c r="B715" s="46">
        <v>14960</v>
      </c>
    </row>
    <row r="716" spans="1:2" x14ac:dyDescent="0.25">
      <c r="A716" t="s">
        <v>844</v>
      </c>
      <c r="B716" s="46">
        <v>14960</v>
      </c>
    </row>
    <row r="717" spans="1:2" x14ac:dyDescent="0.25">
      <c r="A717" t="s">
        <v>845</v>
      </c>
      <c r="B717" s="46">
        <v>14960</v>
      </c>
    </row>
    <row r="718" spans="1:2" x14ac:dyDescent="0.25">
      <c r="A718" t="s">
        <v>846</v>
      </c>
      <c r="B718" s="46">
        <v>9550</v>
      </c>
    </row>
    <row r="719" spans="1:2" x14ac:dyDescent="0.25">
      <c r="A719" t="s">
        <v>847</v>
      </c>
      <c r="B719" s="46">
        <v>8800</v>
      </c>
    </row>
    <row r="720" spans="1:2" x14ac:dyDescent="0.25">
      <c r="A720" t="s">
        <v>848</v>
      </c>
      <c r="B720" s="46">
        <v>8800</v>
      </c>
    </row>
    <row r="721" spans="1:2" x14ac:dyDescent="0.25">
      <c r="A721" t="s">
        <v>849</v>
      </c>
      <c r="B721" s="46">
        <v>8800</v>
      </c>
    </row>
    <row r="722" spans="1:2" x14ac:dyDescent="0.25">
      <c r="A722" t="s">
        <v>850</v>
      </c>
      <c r="B722" s="46">
        <v>9550</v>
      </c>
    </row>
    <row r="723" spans="1:2" x14ac:dyDescent="0.25">
      <c r="A723" t="s">
        <v>851</v>
      </c>
      <c r="B723" s="46">
        <v>8800</v>
      </c>
    </row>
    <row r="724" spans="1:2" x14ac:dyDescent="0.25">
      <c r="A724" t="s">
        <v>852</v>
      </c>
      <c r="B724" s="46">
        <v>8800</v>
      </c>
    </row>
    <row r="725" spans="1:2" x14ac:dyDescent="0.25">
      <c r="A725" t="s">
        <v>853</v>
      </c>
      <c r="B725" s="46">
        <v>8800</v>
      </c>
    </row>
    <row r="726" spans="1:2" x14ac:dyDescent="0.25">
      <c r="A726" t="s">
        <v>854</v>
      </c>
      <c r="B726" s="46">
        <v>12475</v>
      </c>
    </row>
    <row r="727" spans="1:2" x14ac:dyDescent="0.25">
      <c r="A727" t="s">
        <v>855</v>
      </c>
      <c r="B727" s="46">
        <v>14960</v>
      </c>
    </row>
    <row r="728" spans="1:2" x14ac:dyDescent="0.25">
      <c r="A728" t="s">
        <v>856</v>
      </c>
      <c r="B728" s="46">
        <v>14960</v>
      </c>
    </row>
    <row r="729" spans="1:2" x14ac:dyDescent="0.25">
      <c r="A729" t="s">
        <v>857</v>
      </c>
      <c r="B729" s="46">
        <v>13675</v>
      </c>
    </row>
    <row r="730" spans="1:2" x14ac:dyDescent="0.25">
      <c r="A730" t="s">
        <v>858</v>
      </c>
      <c r="B730" s="46">
        <v>23248</v>
      </c>
    </row>
    <row r="731" spans="1:2" x14ac:dyDescent="0.25">
      <c r="A731" t="s">
        <v>859</v>
      </c>
      <c r="B731" s="46">
        <v>23248</v>
      </c>
    </row>
    <row r="732" spans="1:2" x14ac:dyDescent="0.25">
      <c r="A732" t="s">
        <v>860</v>
      </c>
      <c r="B732" s="46">
        <v>14960</v>
      </c>
    </row>
    <row r="733" spans="1:2" x14ac:dyDescent="0.25">
      <c r="A733" t="s">
        <v>861</v>
      </c>
      <c r="B733" s="46">
        <v>14960</v>
      </c>
    </row>
    <row r="734" spans="1:2" x14ac:dyDescent="0.25">
      <c r="A734" t="s">
        <v>862</v>
      </c>
      <c r="B734" s="46">
        <v>14960</v>
      </c>
    </row>
    <row r="735" spans="1:2" x14ac:dyDescent="0.25">
      <c r="A735" t="s">
        <v>863</v>
      </c>
      <c r="B735" s="46">
        <v>8800</v>
      </c>
    </row>
    <row r="736" spans="1:2" x14ac:dyDescent="0.25">
      <c r="A736" t="s">
        <v>864</v>
      </c>
      <c r="B736" s="46">
        <v>8800</v>
      </c>
    </row>
    <row r="737" spans="1:2" x14ac:dyDescent="0.25">
      <c r="A737" t="s">
        <v>865</v>
      </c>
      <c r="B737" s="46">
        <v>12475</v>
      </c>
    </row>
    <row r="738" spans="1:2" x14ac:dyDescent="0.25">
      <c r="A738" t="s">
        <v>866</v>
      </c>
      <c r="B738" s="46">
        <v>14960</v>
      </c>
    </row>
    <row r="739" spans="1:2" x14ac:dyDescent="0.25">
      <c r="A739" t="s">
        <v>867</v>
      </c>
      <c r="B739" s="46">
        <v>14960</v>
      </c>
    </row>
    <row r="740" spans="1:2" x14ac:dyDescent="0.25">
      <c r="A740" t="s">
        <v>868</v>
      </c>
      <c r="B740" s="46">
        <v>8800</v>
      </c>
    </row>
    <row r="741" spans="1:2" x14ac:dyDescent="0.25">
      <c r="A741" t="s">
        <v>869</v>
      </c>
      <c r="B741" s="46">
        <v>8800</v>
      </c>
    </row>
    <row r="742" spans="1:2" x14ac:dyDescent="0.25">
      <c r="A742" t="s">
        <v>870</v>
      </c>
      <c r="B742" s="46">
        <v>14960</v>
      </c>
    </row>
    <row r="743" spans="1:2" x14ac:dyDescent="0.25">
      <c r="A743" t="s">
        <v>871</v>
      </c>
      <c r="B743" s="46">
        <v>14960</v>
      </c>
    </row>
    <row r="744" spans="1:2" x14ac:dyDescent="0.25">
      <c r="A744" t="s">
        <v>872</v>
      </c>
      <c r="B744" s="46">
        <v>8800</v>
      </c>
    </row>
    <row r="745" spans="1:2" x14ac:dyDescent="0.25">
      <c r="A745" t="s">
        <v>873</v>
      </c>
      <c r="B745" s="46">
        <v>8800</v>
      </c>
    </row>
    <row r="746" spans="1:2" x14ac:dyDescent="0.25">
      <c r="A746" t="s">
        <v>874</v>
      </c>
      <c r="B746" s="46">
        <v>8800</v>
      </c>
    </row>
    <row r="747" spans="1:2" x14ac:dyDescent="0.25">
      <c r="A747" t="s">
        <v>875</v>
      </c>
      <c r="B747" s="46">
        <v>8800</v>
      </c>
    </row>
    <row r="748" spans="1:2" x14ac:dyDescent="0.25">
      <c r="A748" t="s">
        <v>876</v>
      </c>
      <c r="B748" s="46">
        <v>8800</v>
      </c>
    </row>
    <row r="749" spans="1:2" x14ac:dyDescent="0.25">
      <c r="A749" t="s">
        <v>877</v>
      </c>
      <c r="B749" s="46">
        <v>13675</v>
      </c>
    </row>
    <row r="750" spans="1:2" x14ac:dyDescent="0.25">
      <c r="A750" t="s">
        <v>878</v>
      </c>
      <c r="B750" s="46">
        <v>13675</v>
      </c>
    </row>
    <row r="751" spans="1:2" x14ac:dyDescent="0.25">
      <c r="A751" t="s">
        <v>879</v>
      </c>
      <c r="B751" s="46">
        <v>8800</v>
      </c>
    </row>
    <row r="752" spans="1:2" x14ac:dyDescent="0.25">
      <c r="A752" t="s">
        <v>880</v>
      </c>
      <c r="B752" s="46">
        <v>9550</v>
      </c>
    </row>
    <row r="753" spans="1:2" x14ac:dyDescent="0.25">
      <c r="A753" t="s">
        <v>881</v>
      </c>
      <c r="B753" s="46">
        <v>14960</v>
      </c>
    </row>
    <row r="754" spans="1:2" x14ac:dyDescent="0.25">
      <c r="A754" t="s">
        <v>882</v>
      </c>
      <c r="B754" s="46">
        <v>14960</v>
      </c>
    </row>
    <row r="755" spans="1:2" x14ac:dyDescent="0.25">
      <c r="A755" t="s">
        <v>883</v>
      </c>
      <c r="B755" s="46">
        <v>8800</v>
      </c>
    </row>
    <row r="756" spans="1:2" x14ac:dyDescent="0.25">
      <c r="A756" t="s">
        <v>884</v>
      </c>
      <c r="B756" s="46">
        <v>8800</v>
      </c>
    </row>
    <row r="757" spans="1:2" x14ac:dyDescent="0.25">
      <c r="A757" t="s">
        <v>885</v>
      </c>
      <c r="B757" s="46">
        <v>23248</v>
      </c>
    </row>
    <row r="758" spans="1:2" x14ac:dyDescent="0.25">
      <c r="A758" t="s">
        <v>886</v>
      </c>
      <c r="B758" s="46">
        <v>8800</v>
      </c>
    </row>
    <row r="759" spans="1:2" x14ac:dyDescent="0.25">
      <c r="A759" t="s">
        <v>887</v>
      </c>
      <c r="B759" s="46">
        <v>23248</v>
      </c>
    </row>
    <row r="760" spans="1:2" x14ac:dyDescent="0.25">
      <c r="A760" t="s">
        <v>888</v>
      </c>
      <c r="B760" s="46">
        <v>14960</v>
      </c>
    </row>
    <row r="761" spans="1:2" x14ac:dyDescent="0.25">
      <c r="A761" t="s">
        <v>889</v>
      </c>
      <c r="B761" s="46">
        <v>21208</v>
      </c>
    </row>
    <row r="762" spans="1:2" x14ac:dyDescent="0.25">
      <c r="A762" t="s">
        <v>890</v>
      </c>
      <c r="B762" s="46">
        <v>14960</v>
      </c>
    </row>
    <row r="763" spans="1:2" x14ac:dyDescent="0.25">
      <c r="A763" t="s">
        <v>891</v>
      </c>
      <c r="B763" s="46">
        <v>14960</v>
      </c>
    </row>
    <row r="764" spans="1:2" x14ac:dyDescent="0.25">
      <c r="A764" t="s">
        <v>892</v>
      </c>
      <c r="B764" s="46">
        <v>14960</v>
      </c>
    </row>
    <row r="765" spans="1:2" x14ac:dyDescent="0.25">
      <c r="A765" t="s">
        <v>893</v>
      </c>
      <c r="B765" s="46">
        <v>14960</v>
      </c>
    </row>
    <row r="766" spans="1:2" x14ac:dyDescent="0.25">
      <c r="A766" t="s">
        <v>894</v>
      </c>
      <c r="B766" s="46">
        <v>14960</v>
      </c>
    </row>
    <row r="767" spans="1:2" x14ac:dyDescent="0.25">
      <c r="A767" t="s">
        <v>895</v>
      </c>
      <c r="B767" s="46">
        <v>14960</v>
      </c>
    </row>
    <row r="768" spans="1:2" x14ac:dyDescent="0.25">
      <c r="A768" t="s">
        <v>896</v>
      </c>
      <c r="B768" s="46">
        <v>11725</v>
      </c>
    </row>
    <row r="769" spans="1:2" x14ac:dyDescent="0.25">
      <c r="A769" t="s">
        <v>897</v>
      </c>
      <c r="B769" s="46">
        <v>12320</v>
      </c>
    </row>
    <row r="770" spans="1:2" x14ac:dyDescent="0.25">
      <c r="A770" t="s">
        <v>898</v>
      </c>
      <c r="B770" s="46">
        <v>11725</v>
      </c>
    </row>
    <row r="771" spans="1:2" x14ac:dyDescent="0.25">
      <c r="A771" t="s">
        <v>899</v>
      </c>
      <c r="B771" s="46">
        <v>12740</v>
      </c>
    </row>
    <row r="772" spans="1:2" x14ac:dyDescent="0.25">
      <c r="A772" t="s">
        <v>900</v>
      </c>
      <c r="B772" s="46">
        <v>11725</v>
      </c>
    </row>
    <row r="773" spans="1:2" x14ac:dyDescent="0.25">
      <c r="A773" t="s">
        <v>901</v>
      </c>
      <c r="B773" s="46">
        <v>12320</v>
      </c>
    </row>
    <row r="774" spans="1:2" x14ac:dyDescent="0.25">
      <c r="A774" t="s">
        <v>902</v>
      </c>
      <c r="B774" s="46">
        <v>12740</v>
      </c>
    </row>
    <row r="775" spans="1:2" x14ac:dyDescent="0.25">
      <c r="A775" t="s">
        <v>903</v>
      </c>
      <c r="B775" s="46">
        <v>11725</v>
      </c>
    </row>
    <row r="776" spans="1:2" x14ac:dyDescent="0.25">
      <c r="A776" t="s">
        <v>904</v>
      </c>
      <c r="B776" s="46">
        <v>12740</v>
      </c>
    </row>
    <row r="777" spans="1:2" x14ac:dyDescent="0.25">
      <c r="A777" t="s">
        <v>905</v>
      </c>
      <c r="B777" s="46">
        <v>12320</v>
      </c>
    </row>
    <row r="778" spans="1:2" x14ac:dyDescent="0.25">
      <c r="A778" t="s">
        <v>906</v>
      </c>
      <c r="B778" s="46">
        <v>8800</v>
      </c>
    </row>
    <row r="779" spans="1:2" x14ac:dyDescent="0.25">
      <c r="A779" t="s">
        <v>907</v>
      </c>
      <c r="B779" s="46">
        <v>14960</v>
      </c>
    </row>
    <row r="780" spans="1:2" x14ac:dyDescent="0.25">
      <c r="A780" t="s">
        <v>908</v>
      </c>
      <c r="B780" s="46">
        <v>8800</v>
      </c>
    </row>
    <row r="781" spans="1:2" x14ac:dyDescent="0.25">
      <c r="A781" t="s">
        <v>909</v>
      </c>
      <c r="B781" s="46">
        <v>12475</v>
      </c>
    </row>
    <row r="782" spans="1:2" x14ac:dyDescent="0.25">
      <c r="A782" t="s">
        <v>910</v>
      </c>
      <c r="B782" s="46">
        <v>14960</v>
      </c>
    </row>
    <row r="783" spans="1:2" x14ac:dyDescent="0.25">
      <c r="A783" t="s">
        <v>911</v>
      </c>
      <c r="B783" s="46">
        <v>14960</v>
      </c>
    </row>
    <row r="784" spans="1:2" x14ac:dyDescent="0.25">
      <c r="A784" t="s">
        <v>912</v>
      </c>
      <c r="B784" s="46">
        <v>13675</v>
      </c>
    </row>
    <row r="785" spans="1:2" x14ac:dyDescent="0.25">
      <c r="A785" t="s">
        <v>913</v>
      </c>
      <c r="B785" s="46">
        <v>8800</v>
      </c>
    </row>
    <row r="786" spans="1:2" x14ac:dyDescent="0.25">
      <c r="A786" t="s">
        <v>914</v>
      </c>
      <c r="B786" s="46">
        <v>14960</v>
      </c>
    </row>
    <row r="787" spans="1:2" x14ac:dyDescent="0.25">
      <c r="A787" t="s">
        <v>915</v>
      </c>
      <c r="B787" s="46">
        <v>9550</v>
      </c>
    </row>
    <row r="788" spans="1:2" x14ac:dyDescent="0.25">
      <c r="A788" t="s">
        <v>916</v>
      </c>
      <c r="B788" s="46">
        <v>8800</v>
      </c>
    </row>
    <row r="789" spans="1:2" x14ac:dyDescent="0.25">
      <c r="A789" t="s">
        <v>917</v>
      </c>
      <c r="B789" s="46">
        <v>12475</v>
      </c>
    </row>
    <row r="790" spans="1:2" x14ac:dyDescent="0.25">
      <c r="A790" t="s">
        <v>918</v>
      </c>
      <c r="B790" s="46">
        <v>13675</v>
      </c>
    </row>
    <row r="791" spans="1:2" x14ac:dyDescent="0.25">
      <c r="A791" t="s">
        <v>919</v>
      </c>
      <c r="B791" s="46">
        <v>8800</v>
      </c>
    </row>
    <row r="792" spans="1:2" x14ac:dyDescent="0.25">
      <c r="A792" t="s">
        <v>920</v>
      </c>
      <c r="B792" s="46">
        <v>9550</v>
      </c>
    </row>
    <row r="793" spans="1:2" x14ac:dyDescent="0.25">
      <c r="A793" t="s">
        <v>921</v>
      </c>
      <c r="B793" s="46">
        <v>21208</v>
      </c>
    </row>
    <row r="794" spans="1:2" x14ac:dyDescent="0.25">
      <c r="A794" t="s">
        <v>922</v>
      </c>
      <c r="B794" s="46">
        <v>21208</v>
      </c>
    </row>
    <row r="795" spans="1:2" x14ac:dyDescent="0.25">
      <c r="A795" t="s">
        <v>923</v>
      </c>
      <c r="B795" s="46">
        <v>9550</v>
      </c>
    </row>
    <row r="796" spans="1:2" x14ac:dyDescent="0.25">
      <c r="A796" t="s">
        <v>924</v>
      </c>
      <c r="B796" s="46">
        <v>9550</v>
      </c>
    </row>
    <row r="797" spans="1:2" x14ac:dyDescent="0.25">
      <c r="A797" t="s">
        <v>925</v>
      </c>
      <c r="B797" s="46">
        <v>13675</v>
      </c>
    </row>
    <row r="798" spans="1:2" x14ac:dyDescent="0.25">
      <c r="A798" t="s">
        <v>926</v>
      </c>
      <c r="B798" s="46">
        <v>12475</v>
      </c>
    </row>
    <row r="799" spans="1:2" x14ac:dyDescent="0.25">
      <c r="A799" t="s">
        <v>927</v>
      </c>
      <c r="B799" s="46">
        <v>8800</v>
      </c>
    </row>
    <row r="800" spans="1:2" x14ac:dyDescent="0.25">
      <c r="A800" t="s">
        <v>928</v>
      </c>
      <c r="B800" s="46">
        <v>9550</v>
      </c>
    </row>
    <row r="801" spans="1:2" x14ac:dyDescent="0.25">
      <c r="A801" t="s">
        <v>929</v>
      </c>
      <c r="B801" s="46">
        <v>8800</v>
      </c>
    </row>
    <row r="802" spans="1:2" x14ac:dyDescent="0.25">
      <c r="A802" t="s">
        <v>930</v>
      </c>
      <c r="B802" s="46">
        <v>8800</v>
      </c>
    </row>
    <row r="803" spans="1:2" x14ac:dyDescent="0.25">
      <c r="A803" t="s">
        <v>931</v>
      </c>
      <c r="B803" s="46">
        <v>8800</v>
      </c>
    </row>
    <row r="804" spans="1:2" x14ac:dyDescent="0.25">
      <c r="A804" t="s">
        <v>932</v>
      </c>
      <c r="B804" s="46">
        <v>9550</v>
      </c>
    </row>
    <row r="805" spans="1:2" x14ac:dyDescent="0.25">
      <c r="A805" t="s">
        <v>933</v>
      </c>
      <c r="B805" s="46">
        <v>14960</v>
      </c>
    </row>
    <row r="806" spans="1:2" x14ac:dyDescent="0.25">
      <c r="A806" t="s">
        <v>934</v>
      </c>
      <c r="B806" s="46">
        <v>8800</v>
      </c>
    </row>
    <row r="807" spans="1:2" x14ac:dyDescent="0.25">
      <c r="A807" t="s">
        <v>935</v>
      </c>
      <c r="B807" s="46">
        <v>8800</v>
      </c>
    </row>
    <row r="808" spans="1:2" x14ac:dyDescent="0.25">
      <c r="A808" t="s">
        <v>936</v>
      </c>
      <c r="B808" s="46">
        <v>14960</v>
      </c>
    </row>
    <row r="809" spans="1:2" x14ac:dyDescent="0.25">
      <c r="A809" t="s">
        <v>937</v>
      </c>
      <c r="B809" s="46">
        <v>8800</v>
      </c>
    </row>
    <row r="810" spans="1:2" x14ac:dyDescent="0.25">
      <c r="A810" t="s">
        <v>938</v>
      </c>
      <c r="B810" s="46">
        <v>9550</v>
      </c>
    </row>
    <row r="811" spans="1:2" x14ac:dyDescent="0.25">
      <c r="A811" t="s">
        <v>939</v>
      </c>
      <c r="B811" s="46">
        <v>8800</v>
      </c>
    </row>
    <row r="812" spans="1:2" x14ac:dyDescent="0.25">
      <c r="A812" t="s">
        <v>940</v>
      </c>
      <c r="B812" s="46">
        <v>8800</v>
      </c>
    </row>
    <row r="813" spans="1:2" x14ac:dyDescent="0.25">
      <c r="A813" t="s">
        <v>941</v>
      </c>
      <c r="B813" s="46">
        <v>9550</v>
      </c>
    </row>
    <row r="814" spans="1:2" x14ac:dyDescent="0.25">
      <c r="A814" t="s">
        <v>942</v>
      </c>
      <c r="B814" s="46">
        <v>9550</v>
      </c>
    </row>
    <row r="815" spans="1:2" x14ac:dyDescent="0.25">
      <c r="A815" t="s">
        <v>943</v>
      </c>
      <c r="B815" s="46">
        <v>8800</v>
      </c>
    </row>
    <row r="816" spans="1:2" x14ac:dyDescent="0.25">
      <c r="A816" t="s">
        <v>944</v>
      </c>
      <c r="B816" s="46">
        <v>12475</v>
      </c>
    </row>
    <row r="817" spans="1:2" x14ac:dyDescent="0.25">
      <c r="A817" t="s">
        <v>945</v>
      </c>
      <c r="B817" s="46">
        <v>12475</v>
      </c>
    </row>
    <row r="818" spans="1:2" x14ac:dyDescent="0.25">
      <c r="A818" t="s">
        <v>946</v>
      </c>
      <c r="B818" s="46">
        <v>14960</v>
      </c>
    </row>
    <row r="819" spans="1:2" x14ac:dyDescent="0.25">
      <c r="A819" t="s">
        <v>947</v>
      </c>
      <c r="B819" s="46">
        <v>14960</v>
      </c>
    </row>
    <row r="820" spans="1:2" x14ac:dyDescent="0.25">
      <c r="A820" t="s">
        <v>948</v>
      </c>
      <c r="B820" s="46">
        <v>16235</v>
      </c>
    </row>
    <row r="821" spans="1:2" x14ac:dyDescent="0.25">
      <c r="A821" t="s">
        <v>949</v>
      </c>
      <c r="B821" s="46">
        <v>16235</v>
      </c>
    </row>
    <row r="822" spans="1:2" x14ac:dyDescent="0.25">
      <c r="A822" t="s">
        <v>950</v>
      </c>
      <c r="B822" s="46">
        <v>16235</v>
      </c>
    </row>
    <row r="823" spans="1:2" x14ac:dyDescent="0.25">
      <c r="A823" t="s">
        <v>951</v>
      </c>
      <c r="B823" s="46">
        <v>12475</v>
      </c>
    </row>
    <row r="824" spans="1:2" x14ac:dyDescent="0.25">
      <c r="A824" t="s">
        <v>952</v>
      </c>
      <c r="B824" s="46">
        <v>14960</v>
      </c>
    </row>
    <row r="825" spans="1:2" x14ac:dyDescent="0.25">
      <c r="A825" t="s">
        <v>953</v>
      </c>
      <c r="B825" s="46">
        <v>14960</v>
      </c>
    </row>
    <row r="826" spans="1:2" x14ac:dyDescent="0.25">
      <c r="A826" t="s">
        <v>954</v>
      </c>
      <c r="B826" s="46">
        <v>14960</v>
      </c>
    </row>
    <row r="827" spans="1:2" x14ac:dyDescent="0.25">
      <c r="A827" t="s">
        <v>955</v>
      </c>
      <c r="B827" s="46">
        <v>14960</v>
      </c>
    </row>
    <row r="828" spans="1:2" x14ac:dyDescent="0.25">
      <c r="A828" t="s">
        <v>956</v>
      </c>
      <c r="B828" s="46">
        <v>14960</v>
      </c>
    </row>
    <row r="829" spans="1:2" x14ac:dyDescent="0.25">
      <c r="A829" t="s">
        <v>957</v>
      </c>
      <c r="B829" s="46">
        <v>14960</v>
      </c>
    </row>
    <row r="830" spans="1:2" x14ac:dyDescent="0.25">
      <c r="A830" t="s">
        <v>958</v>
      </c>
      <c r="B830" s="46">
        <v>16235</v>
      </c>
    </row>
    <row r="831" spans="1:2" x14ac:dyDescent="0.25">
      <c r="A831" t="s">
        <v>959</v>
      </c>
      <c r="B831" s="46">
        <v>16235</v>
      </c>
    </row>
    <row r="832" spans="1:2" x14ac:dyDescent="0.25">
      <c r="A832" t="s">
        <v>960</v>
      </c>
      <c r="B832" s="46">
        <v>14960</v>
      </c>
    </row>
    <row r="833" spans="1:2" x14ac:dyDescent="0.25">
      <c r="A833" t="s">
        <v>961</v>
      </c>
      <c r="B833" s="46">
        <v>16235</v>
      </c>
    </row>
    <row r="834" spans="1:2" x14ac:dyDescent="0.25">
      <c r="A834" t="s">
        <v>962</v>
      </c>
      <c r="B834" s="46">
        <v>16235</v>
      </c>
    </row>
    <row r="835" spans="1:2" x14ac:dyDescent="0.25">
      <c r="A835" t="s">
        <v>963</v>
      </c>
      <c r="B835" s="46">
        <v>11725</v>
      </c>
    </row>
    <row r="836" spans="1:2" x14ac:dyDescent="0.25">
      <c r="A836" t="s">
        <v>964</v>
      </c>
      <c r="B836" s="46">
        <v>11725</v>
      </c>
    </row>
    <row r="837" spans="1:2" x14ac:dyDescent="0.25">
      <c r="A837" t="s">
        <v>965</v>
      </c>
      <c r="B837" s="46">
        <v>12740</v>
      </c>
    </row>
    <row r="838" spans="1:2" x14ac:dyDescent="0.25">
      <c r="A838" t="s">
        <v>966</v>
      </c>
      <c r="B838" s="46">
        <v>9550</v>
      </c>
    </row>
    <row r="839" spans="1:2" x14ac:dyDescent="0.25">
      <c r="A839" t="s">
        <v>967</v>
      </c>
      <c r="B839" s="46">
        <v>12740</v>
      </c>
    </row>
    <row r="840" spans="1:2" x14ac:dyDescent="0.25">
      <c r="A840" t="s">
        <v>968</v>
      </c>
      <c r="B840" s="46">
        <v>11725</v>
      </c>
    </row>
    <row r="841" spans="1:2" x14ac:dyDescent="0.25">
      <c r="A841" t="s">
        <v>969</v>
      </c>
      <c r="B841" s="46">
        <v>8800</v>
      </c>
    </row>
    <row r="842" spans="1:2" x14ac:dyDescent="0.25">
      <c r="A842" t="s">
        <v>970</v>
      </c>
      <c r="B842" s="46">
        <v>12475</v>
      </c>
    </row>
    <row r="843" spans="1:2" x14ac:dyDescent="0.25">
      <c r="A843" t="s">
        <v>971</v>
      </c>
      <c r="B843" s="46">
        <v>9550</v>
      </c>
    </row>
    <row r="844" spans="1:2" x14ac:dyDescent="0.25">
      <c r="A844" t="s">
        <v>972</v>
      </c>
      <c r="B844" s="46">
        <v>8800</v>
      </c>
    </row>
    <row r="845" spans="1:2" x14ac:dyDescent="0.25">
      <c r="A845" t="s">
        <v>973</v>
      </c>
      <c r="B845" s="46">
        <v>14960</v>
      </c>
    </row>
    <row r="846" spans="1:2" x14ac:dyDescent="0.25">
      <c r="A846" t="s">
        <v>974</v>
      </c>
      <c r="B846" s="46">
        <v>8800</v>
      </c>
    </row>
    <row r="847" spans="1:2" x14ac:dyDescent="0.25">
      <c r="A847" t="s">
        <v>975</v>
      </c>
      <c r="B847" s="46">
        <v>14960</v>
      </c>
    </row>
    <row r="848" spans="1:2" x14ac:dyDescent="0.25">
      <c r="A848" t="s">
        <v>976</v>
      </c>
      <c r="B848" s="46">
        <v>14960</v>
      </c>
    </row>
    <row r="849" spans="1:2" x14ac:dyDescent="0.25">
      <c r="A849" t="s">
        <v>977</v>
      </c>
      <c r="B849" s="46">
        <v>8800</v>
      </c>
    </row>
    <row r="850" spans="1:2" x14ac:dyDescent="0.25">
      <c r="A850" t="s">
        <v>978</v>
      </c>
      <c r="B850" s="46">
        <v>13675</v>
      </c>
    </row>
    <row r="851" spans="1:2" x14ac:dyDescent="0.25">
      <c r="A851" t="s">
        <v>979</v>
      </c>
      <c r="B851" s="46">
        <v>8800</v>
      </c>
    </row>
    <row r="852" spans="1:2" x14ac:dyDescent="0.25">
      <c r="A852" t="s">
        <v>980</v>
      </c>
      <c r="B852" s="46">
        <v>8800</v>
      </c>
    </row>
    <row r="853" spans="1:2" x14ac:dyDescent="0.25">
      <c r="A853" t="s">
        <v>981</v>
      </c>
      <c r="B853" s="46">
        <v>23248</v>
      </c>
    </row>
    <row r="854" spans="1:2" x14ac:dyDescent="0.25">
      <c r="A854" t="s">
        <v>982</v>
      </c>
      <c r="B854" s="46">
        <v>14960</v>
      </c>
    </row>
    <row r="855" spans="1:2" x14ac:dyDescent="0.25">
      <c r="A855" t="s">
        <v>983</v>
      </c>
      <c r="B855" s="46">
        <v>14960</v>
      </c>
    </row>
    <row r="856" spans="1:2" x14ac:dyDescent="0.25">
      <c r="A856" t="s">
        <v>984</v>
      </c>
      <c r="B856" s="46">
        <v>14960</v>
      </c>
    </row>
    <row r="857" spans="1:2" x14ac:dyDescent="0.25">
      <c r="A857" t="s">
        <v>985</v>
      </c>
      <c r="B857" s="46">
        <v>16235</v>
      </c>
    </row>
    <row r="858" spans="1:2" x14ac:dyDescent="0.25">
      <c r="A858" t="s">
        <v>986</v>
      </c>
      <c r="B858" s="46">
        <v>16235</v>
      </c>
    </row>
    <row r="859" spans="1:2" x14ac:dyDescent="0.25">
      <c r="A859" t="s">
        <v>987</v>
      </c>
      <c r="B859" s="46">
        <v>16235</v>
      </c>
    </row>
    <row r="860" spans="1:2" x14ac:dyDescent="0.25">
      <c r="A860" t="s">
        <v>988</v>
      </c>
      <c r="B860" s="46">
        <v>16235</v>
      </c>
    </row>
    <row r="861" spans="1:2" x14ac:dyDescent="0.25">
      <c r="A861" t="s">
        <v>989</v>
      </c>
      <c r="B861" s="46">
        <v>16235</v>
      </c>
    </row>
    <row r="862" spans="1:2" x14ac:dyDescent="0.25">
      <c r="A862" t="s">
        <v>990</v>
      </c>
      <c r="B862" s="46">
        <v>16235</v>
      </c>
    </row>
    <row r="863" spans="1:2" x14ac:dyDescent="0.25">
      <c r="A863" t="s">
        <v>991</v>
      </c>
      <c r="B863" s="46">
        <v>16235</v>
      </c>
    </row>
    <row r="864" spans="1:2" x14ac:dyDescent="0.25">
      <c r="A864" t="s">
        <v>992</v>
      </c>
      <c r="B864" s="46">
        <v>13675</v>
      </c>
    </row>
    <row r="865" spans="1:2" x14ac:dyDescent="0.25">
      <c r="A865" t="s">
        <v>993</v>
      </c>
      <c r="B865" s="46">
        <v>16235</v>
      </c>
    </row>
    <row r="866" spans="1:2" x14ac:dyDescent="0.25">
      <c r="A866" t="s">
        <v>994</v>
      </c>
      <c r="B866" s="46">
        <v>16235</v>
      </c>
    </row>
    <row r="867" spans="1:2" x14ac:dyDescent="0.25">
      <c r="A867" t="s">
        <v>995</v>
      </c>
      <c r="B867" s="46">
        <v>16235</v>
      </c>
    </row>
    <row r="868" spans="1:2" x14ac:dyDescent="0.25">
      <c r="A868" t="s">
        <v>996</v>
      </c>
      <c r="B868" s="46">
        <v>16235</v>
      </c>
    </row>
    <row r="869" spans="1:2" x14ac:dyDescent="0.25">
      <c r="A869" t="s">
        <v>997</v>
      </c>
      <c r="B869" s="46">
        <v>16235</v>
      </c>
    </row>
    <row r="870" spans="1:2" x14ac:dyDescent="0.25">
      <c r="A870" t="s">
        <v>998</v>
      </c>
      <c r="B870" s="46">
        <v>16235</v>
      </c>
    </row>
    <row r="871" spans="1:2" x14ac:dyDescent="0.25">
      <c r="A871" t="s">
        <v>999</v>
      </c>
      <c r="B871" s="46">
        <v>14960</v>
      </c>
    </row>
    <row r="872" spans="1:2" x14ac:dyDescent="0.25">
      <c r="A872" t="s">
        <v>1000</v>
      </c>
      <c r="B872" s="46">
        <v>14960</v>
      </c>
    </row>
    <row r="873" spans="1:2" x14ac:dyDescent="0.25">
      <c r="A873" t="s">
        <v>1001</v>
      </c>
      <c r="B873" s="46">
        <v>23248</v>
      </c>
    </row>
    <row r="874" spans="1:2" x14ac:dyDescent="0.25">
      <c r="A874" t="s">
        <v>1002</v>
      </c>
      <c r="B874" s="46">
        <v>23248</v>
      </c>
    </row>
    <row r="875" spans="1:2" x14ac:dyDescent="0.25">
      <c r="A875" t="s">
        <v>1003</v>
      </c>
      <c r="B875" s="46">
        <v>16235</v>
      </c>
    </row>
    <row r="876" spans="1:2" x14ac:dyDescent="0.25">
      <c r="A876" t="s">
        <v>1004</v>
      </c>
      <c r="B876" s="46">
        <v>16235</v>
      </c>
    </row>
    <row r="877" spans="1:2" x14ac:dyDescent="0.25">
      <c r="A877" t="s">
        <v>1005</v>
      </c>
      <c r="B877" s="46">
        <v>13675</v>
      </c>
    </row>
    <row r="878" spans="1:2" x14ac:dyDescent="0.25">
      <c r="A878" t="s">
        <v>1006</v>
      </c>
      <c r="B878" s="46">
        <v>8800</v>
      </c>
    </row>
    <row r="879" spans="1:2" x14ac:dyDescent="0.25">
      <c r="A879" t="s">
        <v>1007</v>
      </c>
      <c r="B879" s="46">
        <v>8800</v>
      </c>
    </row>
    <row r="880" spans="1:2" x14ac:dyDescent="0.25">
      <c r="A880" t="s">
        <v>1008</v>
      </c>
      <c r="B880" s="46">
        <v>12475</v>
      </c>
    </row>
    <row r="881" spans="1:2" x14ac:dyDescent="0.25">
      <c r="A881" t="s">
        <v>1009</v>
      </c>
      <c r="B881" s="46">
        <v>9550</v>
      </c>
    </row>
    <row r="882" spans="1:2" x14ac:dyDescent="0.25">
      <c r="A882" t="s">
        <v>1010</v>
      </c>
      <c r="B882" s="46">
        <v>13675</v>
      </c>
    </row>
    <row r="883" spans="1:2" x14ac:dyDescent="0.25">
      <c r="A883" t="s">
        <v>1011</v>
      </c>
      <c r="B883" s="46">
        <v>16235</v>
      </c>
    </row>
    <row r="884" spans="1:2" x14ac:dyDescent="0.25">
      <c r="A884" t="s">
        <v>1012</v>
      </c>
      <c r="B884" s="46">
        <v>16235</v>
      </c>
    </row>
    <row r="885" spans="1:2" x14ac:dyDescent="0.25">
      <c r="A885" t="s">
        <v>1013</v>
      </c>
      <c r="B885" s="46">
        <v>9550</v>
      </c>
    </row>
    <row r="886" spans="1:2" x14ac:dyDescent="0.25">
      <c r="A886" t="s">
        <v>1014</v>
      </c>
      <c r="B886" s="46">
        <v>9550</v>
      </c>
    </row>
    <row r="887" spans="1:2" x14ac:dyDescent="0.25">
      <c r="A887" t="s">
        <v>1015</v>
      </c>
      <c r="B887" s="46">
        <v>9550</v>
      </c>
    </row>
    <row r="888" spans="1:2" x14ac:dyDescent="0.25">
      <c r="A888" t="s">
        <v>1016</v>
      </c>
      <c r="B888" s="46">
        <v>9550</v>
      </c>
    </row>
    <row r="889" spans="1:2" x14ac:dyDescent="0.25">
      <c r="A889" t="s">
        <v>1017</v>
      </c>
      <c r="B889" s="46">
        <v>9550</v>
      </c>
    </row>
    <row r="890" spans="1:2" x14ac:dyDescent="0.25">
      <c r="A890" t="s">
        <v>1018</v>
      </c>
      <c r="B890" s="46">
        <v>8800</v>
      </c>
    </row>
    <row r="891" spans="1:2" x14ac:dyDescent="0.25">
      <c r="A891" t="s">
        <v>1019</v>
      </c>
      <c r="B891" s="46">
        <v>9550</v>
      </c>
    </row>
    <row r="892" spans="1:2" x14ac:dyDescent="0.25">
      <c r="A892" t="s">
        <v>1020</v>
      </c>
      <c r="B892" s="46">
        <v>13675</v>
      </c>
    </row>
    <row r="893" spans="1:2" x14ac:dyDescent="0.25">
      <c r="A893" t="s">
        <v>1021</v>
      </c>
      <c r="B893" s="46">
        <v>8800</v>
      </c>
    </row>
    <row r="894" spans="1:2" x14ac:dyDescent="0.25">
      <c r="A894" t="s">
        <v>1022</v>
      </c>
      <c r="B894" s="46">
        <v>8800</v>
      </c>
    </row>
    <row r="895" spans="1:2" x14ac:dyDescent="0.25">
      <c r="A895" t="s">
        <v>1023</v>
      </c>
      <c r="B895" s="46">
        <v>9550</v>
      </c>
    </row>
    <row r="896" spans="1:2" x14ac:dyDescent="0.25">
      <c r="A896" t="s">
        <v>1024</v>
      </c>
      <c r="B896" s="46">
        <v>9550</v>
      </c>
    </row>
    <row r="897" spans="1:2" x14ac:dyDescent="0.25">
      <c r="A897" t="s">
        <v>1025</v>
      </c>
      <c r="B897" s="46">
        <v>9550</v>
      </c>
    </row>
    <row r="898" spans="1:2" x14ac:dyDescent="0.25">
      <c r="A898" t="s">
        <v>1026</v>
      </c>
      <c r="B898" s="46">
        <v>8800</v>
      </c>
    </row>
    <row r="899" spans="1:2" x14ac:dyDescent="0.25">
      <c r="A899" t="s">
        <v>1027</v>
      </c>
      <c r="B899" s="46">
        <v>9550</v>
      </c>
    </row>
    <row r="900" spans="1:2" x14ac:dyDescent="0.25">
      <c r="A900" t="s">
        <v>1028</v>
      </c>
      <c r="B900" s="46">
        <v>8800</v>
      </c>
    </row>
    <row r="901" spans="1:2" x14ac:dyDescent="0.25">
      <c r="A901" t="s">
        <v>1029</v>
      </c>
      <c r="B901" s="46">
        <v>9550</v>
      </c>
    </row>
    <row r="902" spans="1:2" x14ac:dyDescent="0.25">
      <c r="A902" t="s">
        <v>1030</v>
      </c>
      <c r="B902" s="46">
        <v>13675</v>
      </c>
    </row>
    <row r="903" spans="1:2" x14ac:dyDescent="0.25">
      <c r="A903" t="s">
        <v>1031</v>
      </c>
      <c r="B903" s="46">
        <v>8800</v>
      </c>
    </row>
    <row r="904" spans="1:2" x14ac:dyDescent="0.25">
      <c r="A904" t="s">
        <v>1032</v>
      </c>
      <c r="B904" s="46">
        <v>8800</v>
      </c>
    </row>
    <row r="905" spans="1:2" x14ac:dyDescent="0.25">
      <c r="A905" t="s">
        <v>1033</v>
      </c>
      <c r="B905" s="46">
        <v>8800</v>
      </c>
    </row>
    <row r="906" spans="1:2" x14ac:dyDescent="0.25">
      <c r="A906" t="s">
        <v>1034</v>
      </c>
      <c r="B906" s="46">
        <v>14960</v>
      </c>
    </row>
    <row r="907" spans="1:2" x14ac:dyDescent="0.25">
      <c r="A907" t="s">
        <v>1035</v>
      </c>
      <c r="B907" s="46">
        <v>14960</v>
      </c>
    </row>
    <row r="908" spans="1:2" x14ac:dyDescent="0.25">
      <c r="A908" t="s">
        <v>1036</v>
      </c>
      <c r="B908" s="46">
        <v>8800</v>
      </c>
    </row>
    <row r="909" spans="1:2" x14ac:dyDescent="0.25">
      <c r="A909" t="s">
        <v>1037</v>
      </c>
      <c r="B909" s="46">
        <v>16235</v>
      </c>
    </row>
    <row r="910" spans="1:2" x14ac:dyDescent="0.25">
      <c r="A910" t="s">
        <v>1038</v>
      </c>
      <c r="B910" s="46">
        <v>23248</v>
      </c>
    </row>
    <row r="911" spans="1:2" x14ac:dyDescent="0.25">
      <c r="A911" t="s">
        <v>1039</v>
      </c>
      <c r="B911" s="46">
        <v>23248</v>
      </c>
    </row>
    <row r="912" spans="1:2" x14ac:dyDescent="0.25">
      <c r="A912" t="s">
        <v>1040</v>
      </c>
      <c r="B912" s="46">
        <v>23248</v>
      </c>
    </row>
    <row r="913" spans="1:2" x14ac:dyDescent="0.25">
      <c r="A913" t="s">
        <v>1041</v>
      </c>
      <c r="B913" s="46">
        <v>23248</v>
      </c>
    </row>
    <row r="914" spans="1:2" x14ac:dyDescent="0.25">
      <c r="A914" t="s">
        <v>1042</v>
      </c>
      <c r="B914" s="46">
        <v>23248</v>
      </c>
    </row>
    <row r="915" spans="1:2" x14ac:dyDescent="0.25">
      <c r="A915" t="s">
        <v>1043</v>
      </c>
      <c r="B915" s="46">
        <v>23248</v>
      </c>
    </row>
    <row r="916" spans="1:2" x14ac:dyDescent="0.25">
      <c r="A916" t="s">
        <v>1044</v>
      </c>
      <c r="B916" s="46">
        <v>14960</v>
      </c>
    </row>
    <row r="917" spans="1:2" x14ac:dyDescent="0.25">
      <c r="A917" t="s">
        <v>1045</v>
      </c>
      <c r="B917" s="46">
        <v>14960</v>
      </c>
    </row>
    <row r="918" spans="1:2" x14ac:dyDescent="0.25">
      <c r="A918" t="s">
        <v>1046</v>
      </c>
      <c r="B918" s="46">
        <v>14960</v>
      </c>
    </row>
    <row r="919" spans="1:2" x14ac:dyDescent="0.25">
      <c r="A919" t="s">
        <v>1047</v>
      </c>
      <c r="B919" s="46">
        <v>14960</v>
      </c>
    </row>
    <row r="920" spans="1:2" x14ac:dyDescent="0.25">
      <c r="A920" t="s">
        <v>1048</v>
      </c>
      <c r="B920" s="46">
        <v>23248</v>
      </c>
    </row>
    <row r="921" spans="1:2" x14ac:dyDescent="0.25">
      <c r="A921" t="s">
        <v>1049</v>
      </c>
      <c r="B921" s="46">
        <v>14960</v>
      </c>
    </row>
    <row r="922" spans="1:2" x14ac:dyDescent="0.25">
      <c r="A922" t="s">
        <v>1050</v>
      </c>
      <c r="B922" s="46">
        <v>16235</v>
      </c>
    </row>
    <row r="923" spans="1:2" x14ac:dyDescent="0.25">
      <c r="A923" t="s">
        <v>1051</v>
      </c>
      <c r="B923" s="46">
        <v>16235</v>
      </c>
    </row>
    <row r="924" spans="1:2" x14ac:dyDescent="0.25">
      <c r="A924" t="s">
        <v>1052</v>
      </c>
      <c r="B924" s="46">
        <v>16235</v>
      </c>
    </row>
    <row r="925" spans="1:2" x14ac:dyDescent="0.25">
      <c r="A925" t="s">
        <v>1053</v>
      </c>
      <c r="B925" s="46">
        <v>16235</v>
      </c>
    </row>
    <row r="926" spans="1:2" x14ac:dyDescent="0.25">
      <c r="A926" t="s">
        <v>1054</v>
      </c>
      <c r="B926" s="46">
        <v>14960</v>
      </c>
    </row>
    <row r="927" spans="1:2" x14ac:dyDescent="0.25">
      <c r="A927" t="s">
        <v>1055</v>
      </c>
      <c r="B927" s="46">
        <v>23248</v>
      </c>
    </row>
    <row r="928" spans="1:2" x14ac:dyDescent="0.25">
      <c r="A928" t="s">
        <v>1056</v>
      </c>
      <c r="B928" s="46">
        <v>23248</v>
      </c>
    </row>
    <row r="929" spans="1:2" x14ac:dyDescent="0.25">
      <c r="A929" t="s">
        <v>1057</v>
      </c>
      <c r="B929" s="46">
        <v>23248</v>
      </c>
    </row>
    <row r="930" spans="1:2" x14ac:dyDescent="0.25">
      <c r="A930" t="s">
        <v>1058</v>
      </c>
      <c r="B930" s="46">
        <v>23248</v>
      </c>
    </row>
    <row r="931" spans="1:2" x14ac:dyDescent="0.25">
      <c r="A931" t="s">
        <v>1059</v>
      </c>
      <c r="B931" s="46">
        <v>16235</v>
      </c>
    </row>
    <row r="932" spans="1:2" x14ac:dyDescent="0.25">
      <c r="A932" t="s">
        <v>1060</v>
      </c>
      <c r="B932" s="46">
        <v>13675</v>
      </c>
    </row>
    <row r="933" spans="1:2" x14ac:dyDescent="0.25">
      <c r="A933" t="s">
        <v>1061</v>
      </c>
      <c r="B933" s="46">
        <v>9550</v>
      </c>
    </row>
    <row r="934" spans="1:2" x14ac:dyDescent="0.25">
      <c r="A934" t="s">
        <v>1062</v>
      </c>
      <c r="B934" s="46">
        <v>13675</v>
      </c>
    </row>
    <row r="935" spans="1:2" x14ac:dyDescent="0.25">
      <c r="A935" t="s">
        <v>1063</v>
      </c>
      <c r="B935" s="46">
        <v>16235</v>
      </c>
    </row>
    <row r="936" spans="1:2" x14ac:dyDescent="0.25">
      <c r="A936" t="s">
        <v>1064</v>
      </c>
      <c r="B936" s="46">
        <v>16235</v>
      </c>
    </row>
    <row r="937" spans="1:2" x14ac:dyDescent="0.25">
      <c r="A937" t="s">
        <v>1065</v>
      </c>
      <c r="B937" s="46">
        <v>16235</v>
      </c>
    </row>
    <row r="938" spans="1:2" x14ac:dyDescent="0.25">
      <c r="A938" t="s">
        <v>1066</v>
      </c>
      <c r="B938" s="46">
        <v>16235</v>
      </c>
    </row>
    <row r="939" spans="1:2" x14ac:dyDescent="0.25">
      <c r="A939" t="s">
        <v>1067</v>
      </c>
      <c r="B939" s="46">
        <v>16235</v>
      </c>
    </row>
    <row r="940" spans="1:2" x14ac:dyDescent="0.25">
      <c r="A940" t="s">
        <v>1068</v>
      </c>
      <c r="B940" s="46">
        <v>9550</v>
      </c>
    </row>
    <row r="941" spans="1:2" x14ac:dyDescent="0.25">
      <c r="A941" t="s">
        <v>1069</v>
      </c>
      <c r="B941" s="46">
        <v>9550</v>
      </c>
    </row>
    <row r="942" spans="1:2" x14ac:dyDescent="0.25">
      <c r="A942" t="s">
        <v>1070</v>
      </c>
      <c r="B942" s="46">
        <v>8800</v>
      </c>
    </row>
    <row r="943" spans="1:2" x14ac:dyDescent="0.25">
      <c r="A943" t="s">
        <v>1071</v>
      </c>
      <c r="B943" s="46">
        <v>16235</v>
      </c>
    </row>
    <row r="944" spans="1:2" x14ac:dyDescent="0.25">
      <c r="A944" t="s">
        <v>1072</v>
      </c>
      <c r="B944" s="46">
        <v>8800</v>
      </c>
    </row>
    <row r="945" spans="1:2" x14ac:dyDescent="0.25">
      <c r="A945" t="s">
        <v>1073</v>
      </c>
      <c r="B945" s="46">
        <v>16235</v>
      </c>
    </row>
    <row r="946" spans="1:2" x14ac:dyDescent="0.25">
      <c r="A946" t="s">
        <v>1074</v>
      </c>
      <c r="B946" s="46">
        <v>16235</v>
      </c>
    </row>
    <row r="947" spans="1:2" x14ac:dyDescent="0.25">
      <c r="A947" t="s">
        <v>1075</v>
      </c>
      <c r="B947" s="46">
        <v>8800</v>
      </c>
    </row>
    <row r="948" spans="1:2" x14ac:dyDescent="0.25">
      <c r="A948" t="s">
        <v>1076</v>
      </c>
      <c r="B948" s="46">
        <v>8800</v>
      </c>
    </row>
    <row r="949" spans="1:2" x14ac:dyDescent="0.25">
      <c r="A949" t="s">
        <v>1077</v>
      </c>
      <c r="B949" s="46">
        <v>14960</v>
      </c>
    </row>
    <row r="950" spans="1:2" x14ac:dyDescent="0.25">
      <c r="A950" t="s">
        <v>1078</v>
      </c>
      <c r="B950" s="46">
        <v>14960</v>
      </c>
    </row>
    <row r="951" spans="1:2" x14ac:dyDescent="0.25">
      <c r="A951" t="s">
        <v>1079</v>
      </c>
      <c r="B951" s="46">
        <v>8800</v>
      </c>
    </row>
    <row r="952" spans="1:2" x14ac:dyDescent="0.25">
      <c r="A952" t="s">
        <v>1080</v>
      </c>
      <c r="B952" s="46">
        <v>13675</v>
      </c>
    </row>
    <row r="953" spans="1:2" x14ac:dyDescent="0.25">
      <c r="A953" t="s">
        <v>1081</v>
      </c>
      <c r="B953" s="46">
        <v>23248</v>
      </c>
    </row>
    <row r="954" spans="1:2" x14ac:dyDescent="0.25">
      <c r="A954" t="s">
        <v>1082</v>
      </c>
      <c r="B954" s="46">
        <v>8800</v>
      </c>
    </row>
    <row r="955" spans="1:2" x14ac:dyDescent="0.25">
      <c r="A955" t="s">
        <v>1083</v>
      </c>
      <c r="B955" s="46">
        <v>8800</v>
      </c>
    </row>
    <row r="956" spans="1:2" x14ac:dyDescent="0.25">
      <c r="A956" t="s">
        <v>1084</v>
      </c>
      <c r="B956" s="46">
        <v>14960</v>
      </c>
    </row>
    <row r="957" spans="1:2" x14ac:dyDescent="0.25">
      <c r="A957" t="s">
        <v>1085</v>
      </c>
      <c r="B957" s="46">
        <v>14960</v>
      </c>
    </row>
    <row r="958" spans="1:2" x14ac:dyDescent="0.25">
      <c r="A958" t="s">
        <v>1086</v>
      </c>
      <c r="B958" s="46">
        <v>13675</v>
      </c>
    </row>
    <row r="959" spans="1:2" x14ac:dyDescent="0.25">
      <c r="A959" t="s">
        <v>1087</v>
      </c>
      <c r="B959" s="46">
        <v>8800</v>
      </c>
    </row>
    <row r="960" spans="1:2" x14ac:dyDescent="0.25">
      <c r="A960" t="s">
        <v>1088</v>
      </c>
      <c r="B960" s="46">
        <v>23248</v>
      </c>
    </row>
    <row r="961" spans="1:2" x14ac:dyDescent="0.25">
      <c r="A961" t="s">
        <v>1089</v>
      </c>
      <c r="B961" s="46">
        <v>23248</v>
      </c>
    </row>
    <row r="962" spans="1:2" x14ac:dyDescent="0.25">
      <c r="A962" t="s">
        <v>1090</v>
      </c>
      <c r="B962" s="46">
        <v>16235</v>
      </c>
    </row>
    <row r="963" spans="1:2" x14ac:dyDescent="0.25">
      <c r="A963" t="s">
        <v>1091</v>
      </c>
      <c r="B963" s="46">
        <v>14960</v>
      </c>
    </row>
    <row r="964" spans="1:2" x14ac:dyDescent="0.25">
      <c r="A964" t="s">
        <v>1092</v>
      </c>
      <c r="B964" s="46">
        <v>14960</v>
      </c>
    </row>
    <row r="965" spans="1:2" x14ac:dyDescent="0.25">
      <c r="A965" t="s">
        <v>1093</v>
      </c>
      <c r="B965" s="46">
        <v>16235</v>
      </c>
    </row>
    <row r="966" spans="1:2" x14ac:dyDescent="0.25">
      <c r="A966" t="s">
        <v>1094</v>
      </c>
      <c r="B966" s="46">
        <v>16235</v>
      </c>
    </row>
    <row r="967" spans="1:2" x14ac:dyDescent="0.25">
      <c r="A967" t="s">
        <v>1095</v>
      </c>
      <c r="B967" s="46">
        <v>14960</v>
      </c>
    </row>
    <row r="968" spans="1:2" x14ac:dyDescent="0.25">
      <c r="A968" t="s">
        <v>1096</v>
      </c>
      <c r="B968" s="46">
        <v>14960</v>
      </c>
    </row>
    <row r="969" spans="1:2" x14ac:dyDescent="0.25">
      <c r="A969" t="s">
        <v>1097</v>
      </c>
      <c r="B969" s="46">
        <v>14960</v>
      </c>
    </row>
    <row r="970" spans="1:2" x14ac:dyDescent="0.25">
      <c r="A970" t="s">
        <v>1098</v>
      </c>
      <c r="B970" s="46">
        <v>14960</v>
      </c>
    </row>
    <row r="971" spans="1:2" x14ac:dyDescent="0.25">
      <c r="A971" t="s">
        <v>1099</v>
      </c>
      <c r="B971" s="46">
        <v>14960</v>
      </c>
    </row>
    <row r="972" spans="1:2" x14ac:dyDescent="0.25">
      <c r="A972" t="s">
        <v>1100</v>
      </c>
      <c r="B972" s="46">
        <v>14960</v>
      </c>
    </row>
    <row r="973" spans="1:2" x14ac:dyDescent="0.25">
      <c r="A973" t="s">
        <v>1101</v>
      </c>
      <c r="B973" s="46">
        <v>23248</v>
      </c>
    </row>
    <row r="974" spans="1:2" x14ac:dyDescent="0.25">
      <c r="A974" t="s">
        <v>1102</v>
      </c>
      <c r="B974" s="46">
        <v>23248</v>
      </c>
    </row>
    <row r="975" spans="1:2" x14ac:dyDescent="0.25">
      <c r="A975" t="s">
        <v>1103</v>
      </c>
      <c r="B975" s="46">
        <v>23248</v>
      </c>
    </row>
    <row r="976" spans="1:2" x14ac:dyDescent="0.25">
      <c r="A976" t="s">
        <v>1104</v>
      </c>
      <c r="B976" s="46">
        <v>14960</v>
      </c>
    </row>
    <row r="977" spans="1:2" x14ac:dyDescent="0.25">
      <c r="A977" t="s">
        <v>1105</v>
      </c>
      <c r="B977" s="46">
        <v>14960</v>
      </c>
    </row>
    <row r="978" spans="1:2" x14ac:dyDescent="0.25">
      <c r="A978" t="s">
        <v>1106</v>
      </c>
      <c r="B978" s="46">
        <v>14960</v>
      </c>
    </row>
    <row r="979" spans="1:2" x14ac:dyDescent="0.25">
      <c r="A979" t="s">
        <v>1107</v>
      </c>
      <c r="B979" s="46">
        <v>16235</v>
      </c>
    </row>
    <row r="980" spans="1:2" x14ac:dyDescent="0.25">
      <c r="A980" t="s">
        <v>1108</v>
      </c>
      <c r="B980" s="46">
        <v>16235</v>
      </c>
    </row>
    <row r="981" spans="1:2" x14ac:dyDescent="0.25">
      <c r="A981" t="s">
        <v>1109</v>
      </c>
      <c r="B981" s="46">
        <v>8800</v>
      </c>
    </row>
    <row r="982" spans="1:2" x14ac:dyDescent="0.25">
      <c r="A982" t="s">
        <v>1110</v>
      </c>
      <c r="B982" s="46">
        <v>8800</v>
      </c>
    </row>
    <row r="983" spans="1:2" x14ac:dyDescent="0.25">
      <c r="A983" t="s">
        <v>1111</v>
      </c>
      <c r="B983" s="46">
        <v>12475</v>
      </c>
    </row>
    <row r="984" spans="1:2" x14ac:dyDescent="0.25">
      <c r="A984" t="s">
        <v>1112</v>
      </c>
      <c r="B984" s="46">
        <v>14960</v>
      </c>
    </row>
    <row r="985" spans="1:2" x14ac:dyDescent="0.25">
      <c r="A985" t="s">
        <v>1113</v>
      </c>
      <c r="B985" s="46">
        <v>14960</v>
      </c>
    </row>
    <row r="986" spans="1:2" x14ac:dyDescent="0.25">
      <c r="A986" t="s">
        <v>1114</v>
      </c>
      <c r="B986" s="46">
        <v>14960</v>
      </c>
    </row>
    <row r="987" spans="1:2" x14ac:dyDescent="0.25">
      <c r="A987" t="s">
        <v>1115</v>
      </c>
      <c r="B987" s="46">
        <v>14960</v>
      </c>
    </row>
    <row r="988" spans="1:2" x14ac:dyDescent="0.25">
      <c r="A988" t="s">
        <v>1116</v>
      </c>
      <c r="B988" s="46">
        <v>14960</v>
      </c>
    </row>
    <row r="989" spans="1:2" x14ac:dyDescent="0.25">
      <c r="A989" t="s">
        <v>1117</v>
      </c>
      <c r="B989" s="46">
        <v>14960</v>
      </c>
    </row>
    <row r="990" spans="1:2" x14ac:dyDescent="0.25">
      <c r="A990" t="s">
        <v>1118</v>
      </c>
      <c r="B990" s="46">
        <v>16235</v>
      </c>
    </row>
    <row r="991" spans="1:2" x14ac:dyDescent="0.25">
      <c r="A991" t="s">
        <v>1119</v>
      </c>
      <c r="B991" s="46">
        <v>16235</v>
      </c>
    </row>
    <row r="992" spans="1:2" x14ac:dyDescent="0.25">
      <c r="A992" t="s">
        <v>1120</v>
      </c>
      <c r="B992" s="46">
        <v>13675</v>
      </c>
    </row>
    <row r="993" spans="1:2" x14ac:dyDescent="0.25">
      <c r="A993" t="s">
        <v>1121</v>
      </c>
      <c r="B993" s="46">
        <v>8800</v>
      </c>
    </row>
    <row r="994" spans="1:2" x14ac:dyDescent="0.25">
      <c r="A994" t="s">
        <v>1122</v>
      </c>
      <c r="B994" s="46">
        <v>14960</v>
      </c>
    </row>
    <row r="995" spans="1:2" x14ac:dyDescent="0.25">
      <c r="A995" t="s">
        <v>1123</v>
      </c>
      <c r="B995" s="46">
        <v>14960</v>
      </c>
    </row>
    <row r="996" spans="1:2" x14ac:dyDescent="0.25">
      <c r="A996" t="s">
        <v>1124</v>
      </c>
      <c r="B996" s="46">
        <v>16235</v>
      </c>
    </row>
    <row r="997" spans="1:2" x14ac:dyDescent="0.25">
      <c r="A997" t="s">
        <v>1125</v>
      </c>
      <c r="B997" s="46">
        <v>14960</v>
      </c>
    </row>
    <row r="998" spans="1:2" x14ac:dyDescent="0.25">
      <c r="A998" t="s">
        <v>1126</v>
      </c>
      <c r="B998" s="46">
        <v>16235</v>
      </c>
    </row>
    <row r="999" spans="1:2" x14ac:dyDescent="0.25">
      <c r="A999" t="s">
        <v>1127</v>
      </c>
      <c r="B999" s="46">
        <v>16235</v>
      </c>
    </row>
    <row r="1000" spans="1:2" x14ac:dyDescent="0.25">
      <c r="A1000" t="s">
        <v>1128</v>
      </c>
      <c r="B1000" s="46">
        <v>16235</v>
      </c>
    </row>
    <row r="1001" spans="1:2" x14ac:dyDescent="0.25">
      <c r="A1001" t="s">
        <v>1129</v>
      </c>
      <c r="B1001" s="46">
        <v>21208</v>
      </c>
    </row>
    <row r="1002" spans="1:2" x14ac:dyDescent="0.25">
      <c r="A1002" t="s">
        <v>1130</v>
      </c>
      <c r="B1002" s="46">
        <v>21208</v>
      </c>
    </row>
    <row r="1003" spans="1:2" x14ac:dyDescent="0.25">
      <c r="A1003" t="s">
        <v>1131</v>
      </c>
      <c r="B1003" s="46">
        <v>14960</v>
      </c>
    </row>
    <row r="1004" spans="1:2" x14ac:dyDescent="0.25">
      <c r="A1004" t="s">
        <v>1132</v>
      </c>
      <c r="B1004" s="46">
        <v>14960</v>
      </c>
    </row>
    <row r="1005" spans="1:2" x14ac:dyDescent="0.25">
      <c r="A1005" t="s">
        <v>1133</v>
      </c>
      <c r="B1005" s="46">
        <v>12475</v>
      </c>
    </row>
    <row r="1006" spans="1:2" x14ac:dyDescent="0.25">
      <c r="A1006" t="s">
        <v>1134</v>
      </c>
      <c r="B1006" s="46">
        <v>9550</v>
      </c>
    </row>
    <row r="1007" spans="1:2" x14ac:dyDescent="0.25">
      <c r="A1007" t="s">
        <v>1135</v>
      </c>
      <c r="B1007" s="46">
        <v>14960</v>
      </c>
    </row>
    <row r="1008" spans="1:2" x14ac:dyDescent="0.25">
      <c r="A1008" t="s">
        <v>1136</v>
      </c>
      <c r="B1008" s="46">
        <v>14960</v>
      </c>
    </row>
    <row r="1009" spans="1:2" x14ac:dyDescent="0.25">
      <c r="A1009" t="s">
        <v>1137</v>
      </c>
      <c r="B1009" s="46">
        <v>14960</v>
      </c>
    </row>
    <row r="1010" spans="1:2" x14ac:dyDescent="0.25">
      <c r="A1010" t="s">
        <v>1138</v>
      </c>
      <c r="B1010" s="46">
        <v>14960</v>
      </c>
    </row>
    <row r="1011" spans="1:2" x14ac:dyDescent="0.25">
      <c r="A1011" t="s">
        <v>1139</v>
      </c>
      <c r="B1011" s="46">
        <v>23248</v>
      </c>
    </row>
    <row r="1012" spans="1:2" x14ac:dyDescent="0.25">
      <c r="A1012" t="s">
        <v>1140</v>
      </c>
      <c r="B1012" s="46">
        <v>23248</v>
      </c>
    </row>
    <row r="1013" spans="1:2" x14ac:dyDescent="0.25">
      <c r="A1013" t="s">
        <v>1141</v>
      </c>
      <c r="B1013" s="46">
        <v>14960</v>
      </c>
    </row>
    <row r="1014" spans="1:2" x14ac:dyDescent="0.25">
      <c r="A1014" t="s">
        <v>1142</v>
      </c>
      <c r="B1014" s="46">
        <v>16235</v>
      </c>
    </row>
    <row r="1015" spans="1:2" x14ac:dyDescent="0.25">
      <c r="A1015" t="s">
        <v>1143</v>
      </c>
      <c r="B1015" s="46">
        <v>16235</v>
      </c>
    </row>
    <row r="1016" spans="1:2" x14ac:dyDescent="0.25">
      <c r="A1016" t="s">
        <v>1144</v>
      </c>
      <c r="B1016" s="46">
        <v>16235</v>
      </c>
    </row>
    <row r="1017" spans="1:2" x14ac:dyDescent="0.25">
      <c r="A1017" t="s">
        <v>1145</v>
      </c>
      <c r="B1017" s="46">
        <v>16235</v>
      </c>
    </row>
    <row r="1018" spans="1:2" x14ac:dyDescent="0.25">
      <c r="B1018" s="46">
        <f>SUM(B2:B1017)</f>
        <v>14053879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3B92-1FB5-430C-98A7-CE5639A4E710}">
  <dimension ref="A1:H1019"/>
  <sheetViews>
    <sheetView topLeftCell="G1015" workbookViewId="0">
      <selection activeCell="H2" sqref="H2:H1017"/>
    </sheetView>
  </sheetViews>
  <sheetFormatPr defaultRowHeight="15" x14ac:dyDescent="0.25"/>
  <cols>
    <col min="1" max="1" width="39.85546875" bestFit="1" customWidth="1"/>
    <col min="2" max="4" width="14.28515625" bestFit="1" customWidth="1"/>
    <col min="5" max="5" width="13.7109375" bestFit="1" customWidth="1"/>
    <col min="6" max="6" width="92" customWidth="1"/>
    <col min="7" max="7" width="84.28515625" customWidth="1"/>
    <col min="8" max="8" width="77.28515625" customWidth="1"/>
  </cols>
  <sheetData>
    <row r="1" spans="1:8" x14ac:dyDescent="0.25">
      <c r="A1" s="48" t="s">
        <v>3670</v>
      </c>
      <c r="B1" t="s">
        <v>3671</v>
      </c>
      <c r="D1" s="49" t="s">
        <v>3672</v>
      </c>
      <c r="E1" s="50" t="s">
        <v>3673</v>
      </c>
    </row>
    <row r="2" spans="1:8" ht="114" customHeight="1" x14ac:dyDescent="0.25">
      <c r="A2" t="s">
        <v>130</v>
      </c>
      <c r="B2" s="51" t="str">
        <f>VLOOKUP(A2,policy!B:C,2,0)</f>
        <v>040000180429</v>
      </c>
      <c r="C2" s="46">
        <v>23247.5</v>
      </c>
      <c r="D2" s="46">
        <v>23247.5</v>
      </c>
      <c r="E2" s="50" t="s">
        <v>3673</v>
      </c>
      <c r="F2" s="52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53" t="str">
        <f>"('"&amp;E2&amp;"','"&amp;B2&amp;"','"&amp;D2&amp;"',(select max(to_number(i.premium_rcv_detail_code))+1
from ins_premium_det i),'"&amp;D2&amp;"','"&amp;D2&amp;"','02', '11000003','00','Request by Mr. Omair Ali 22-Oct-2024 allocation 22Oct240201');"</f>
        <v>('22Oct240201','040000180429','23247.5',(select max(to_number(i.premium_rcv_detail_code))+1
from ins_premium_det i),'23247.5','23247.5','02', '11000003','00','Request by Mr. Omair Ali 22-Oct-2024 allocation 22Oct240201');</v>
      </c>
      <c r="H2" s="54" t="str">
        <f>F2&amp;G2</f>
        <v>insert into ins_premium_det (premium_rcv_code,assorted_code, rec_amount,premium_rcv_detail_code,remaining_amt, payrec, mode_code,coinsurance_code,class_cd,it_remarks) values('22Oct240201','040000180429','23247.5',(select max(to_number(i.premium_rcv_detail_code))+1
from ins_premium_det i),'23247.5','23247.5','02', '11000003','00','Request by Mr. Omair Ali 22-Oct-2024 allocation 22Oct240201');</v>
      </c>
    </row>
    <row r="3" spans="1:8" ht="105" x14ac:dyDescent="0.25">
      <c r="A3" t="s">
        <v>131</v>
      </c>
      <c r="B3" s="51" t="str">
        <f>VLOOKUP(A3,policy!B:C,2,0)</f>
        <v>040000180430</v>
      </c>
      <c r="C3" s="46">
        <v>23247.5</v>
      </c>
      <c r="D3" s="46">
        <v>23247.5</v>
      </c>
      <c r="E3" s="50" t="s">
        <v>3673</v>
      </c>
      <c r="F3" s="52" t="str">
        <f t="shared" si="0"/>
        <v>insert into ins_premium_det (premium_rcv_code,assorted_code, rec_amount,premium_rcv_detail_code,remaining_amt, payrec, mode_code,coinsurance_code,class_cd,it_remarks) values</v>
      </c>
      <c r="G3" s="53" t="str">
        <f t="shared" ref="G3:G66" si="1">"('"&amp;E3&amp;"','"&amp;B3&amp;"','"&amp;D3&amp;"',(select max(to_number(i.premium_rcv_detail_code))+1
from ins_premium_det i),'"&amp;D3&amp;"','"&amp;D3&amp;"','02', '11000003','00','Request by Mr. Omair Ali 22-Oct-2024 allocation 22Oct240201');"</f>
        <v>('22Oct240201','040000180430','23247.5',(select max(to_number(i.premium_rcv_detail_code))+1
from ins_premium_det i),'23247.5','23247.5','02', '11000003','00','Request by Mr. Omair Ali 22-Oct-2024 allocation 22Oct240201');</v>
      </c>
      <c r="H3" s="54" t="str">
        <f t="shared" ref="H3:H66" si="2">F3&amp;G3</f>
        <v>insert into ins_premium_det (premium_rcv_code,assorted_code, rec_amount,premium_rcv_detail_code,remaining_amt, payrec, mode_code,coinsurance_code,class_cd,it_remarks) values('22Oct240201','040000180430','23247.5',(select max(to_number(i.premium_rcv_detail_code))+1
from ins_premium_det i),'23247.5','23247.5','02', '11000003','00','Request by Mr. Omair Ali 22-Oct-2024 allocation 22Oct240201');</v>
      </c>
    </row>
    <row r="4" spans="1:8" ht="105" x14ac:dyDescent="0.25">
      <c r="A4" t="s">
        <v>132</v>
      </c>
      <c r="B4" s="51" t="str">
        <f>VLOOKUP(A4,policy!B:C,2,0)</f>
        <v>040000180441</v>
      </c>
      <c r="C4" s="46">
        <v>23247.5</v>
      </c>
      <c r="D4" s="46">
        <v>23247.5</v>
      </c>
      <c r="E4" s="50" t="s">
        <v>3673</v>
      </c>
      <c r="F4" s="52" t="str">
        <f t="shared" si="0"/>
        <v>insert into ins_premium_det (premium_rcv_code,assorted_code, rec_amount,premium_rcv_detail_code,remaining_amt, payrec, mode_code,coinsurance_code,class_cd,it_remarks) values</v>
      </c>
      <c r="G4" s="53" t="str">
        <f t="shared" si="1"/>
        <v>('22Oct240201','040000180441','23247.5',(select max(to_number(i.premium_rcv_detail_code))+1
from ins_premium_det i),'23247.5','23247.5','02', '11000003','00','Request by Mr. Omair Ali 22-Oct-2024 allocation 22Oct240201');</v>
      </c>
      <c r="H4" s="54" t="str">
        <f t="shared" si="2"/>
        <v>insert into ins_premium_det (premium_rcv_code,assorted_code, rec_amount,premium_rcv_detail_code,remaining_amt, payrec, mode_code,coinsurance_code,class_cd,it_remarks) values('22Oct240201','040000180441','23247.5',(select max(to_number(i.premium_rcv_detail_code))+1
from ins_premium_det i),'23247.5','23247.5','02', '11000003','00','Request by Mr. Omair Ali 22-Oct-2024 allocation 22Oct240201');</v>
      </c>
    </row>
    <row r="5" spans="1:8" ht="105" x14ac:dyDescent="0.25">
      <c r="A5" t="s">
        <v>133</v>
      </c>
      <c r="B5" s="51" t="str">
        <f>VLOOKUP(A5,policy!B:C,2,0)</f>
        <v>040000180443</v>
      </c>
      <c r="C5" s="46">
        <v>23247.5</v>
      </c>
      <c r="D5" s="46">
        <v>23247.5</v>
      </c>
      <c r="E5" s="50" t="s">
        <v>3673</v>
      </c>
      <c r="F5" s="52" t="str">
        <f t="shared" si="0"/>
        <v>insert into ins_premium_det (premium_rcv_code,assorted_code, rec_amount,premium_rcv_detail_code,remaining_amt, payrec, mode_code,coinsurance_code,class_cd,it_remarks) values</v>
      </c>
      <c r="G5" s="53" t="str">
        <f t="shared" si="1"/>
        <v>('22Oct240201','040000180443','23247.5',(select max(to_number(i.premium_rcv_detail_code))+1
from ins_premium_det i),'23247.5','23247.5','02', '11000003','00','Request by Mr. Omair Ali 22-Oct-2024 allocation 22Oct240201');</v>
      </c>
      <c r="H5" s="54" t="str">
        <f t="shared" si="2"/>
        <v>insert into ins_premium_det (premium_rcv_code,assorted_code, rec_amount,premium_rcv_detail_code,remaining_amt, payrec, mode_code,coinsurance_code,class_cd,it_remarks) values('22Oct240201','040000180443','23247.5',(select max(to_number(i.premium_rcv_detail_code))+1
from ins_premium_det i),'23247.5','23247.5','02', '11000003','00','Request by Mr. Omair Ali 22-Oct-2024 allocation 22Oct240201');</v>
      </c>
    </row>
    <row r="6" spans="1:8" ht="105" x14ac:dyDescent="0.25">
      <c r="A6" t="s">
        <v>134</v>
      </c>
      <c r="B6" s="51" t="str">
        <f>VLOOKUP(A6,policy!B:C,2,0)</f>
        <v>040000180444</v>
      </c>
      <c r="C6" s="46">
        <v>23247.5</v>
      </c>
      <c r="D6" s="46">
        <v>23247.5</v>
      </c>
      <c r="E6" s="50" t="s">
        <v>3673</v>
      </c>
      <c r="F6" s="52" t="str">
        <f t="shared" si="0"/>
        <v>insert into ins_premium_det (premium_rcv_code,assorted_code, rec_amount,premium_rcv_detail_code,remaining_amt, payrec, mode_code,coinsurance_code,class_cd,it_remarks) values</v>
      </c>
      <c r="G6" s="53" t="str">
        <f t="shared" si="1"/>
        <v>('22Oct240201','040000180444','23247.5',(select max(to_number(i.premium_rcv_detail_code))+1
from ins_premium_det i),'23247.5','23247.5','02', '11000003','00','Request by Mr. Omair Ali 22-Oct-2024 allocation 22Oct240201');</v>
      </c>
      <c r="H6" s="54" t="str">
        <f t="shared" si="2"/>
        <v>insert into ins_premium_det (premium_rcv_code,assorted_code, rec_amount,premium_rcv_detail_code,remaining_amt, payrec, mode_code,coinsurance_code,class_cd,it_remarks) values('22Oct240201','040000180444','23247.5',(select max(to_number(i.premium_rcv_detail_code))+1
from ins_premium_det i),'23247.5','23247.5','02', '11000003','00','Request by Mr. Omair Ali 22-Oct-2024 allocation 22Oct240201');</v>
      </c>
    </row>
    <row r="7" spans="1:8" ht="105" x14ac:dyDescent="0.25">
      <c r="A7" t="s">
        <v>135</v>
      </c>
      <c r="B7" s="51" t="str">
        <f>VLOOKUP(A7,policy!B:C,2,0)</f>
        <v>040000180448</v>
      </c>
      <c r="C7" s="46">
        <v>21207.5</v>
      </c>
      <c r="D7" s="46">
        <v>21207.5</v>
      </c>
      <c r="E7" s="50" t="s">
        <v>3673</v>
      </c>
      <c r="F7" s="52" t="str">
        <f t="shared" si="0"/>
        <v>insert into ins_premium_det (premium_rcv_code,assorted_code, rec_amount,premium_rcv_detail_code,remaining_amt, payrec, mode_code,coinsurance_code,class_cd,it_remarks) values</v>
      </c>
      <c r="G7" s="53" t="str">
        <f t="shared" si="1"/>
        <v>('22Oct240201','040000180448','21207.5',(select max(to_number(i.premium_rcv_detail_code))+1
from ins_premium_det i),'21207.5','21207.5','02', '11000003','00','Request by Mr. Omair Ali 22-Oct-2024 allocation 22Oct240201');</v>
      </c>
      <c r="H7" s="54" t="str">
        <f t="shared" si="2"/>
        <v>insert into ins_premium_det (premium_rcv_code,assorted_code, rec_amount,premium_rcv_detail_code,remaining_amt, payrec, mode_code,coinsurance_code,class_cd,it_remarks) values('22Oct240201','040000180448','21207.5',(select max(to_number(i.premium_rcv_detail_code))+1
from ins_premium_det i),'21207.5','21207.5','02', '11000003','00','Request by Mr. Omair Ali 22-Oct-2024 allocation 22Oct240201');</v>
      </c>
    </row>
    <row r="8" spans="1:8" ht="105" x14ac:dyDescent="0.25">
      <c r="A8" t="s">
        <v>136</v>
      </c>
      <c r="B8" s="51" t="str">
        <f>VLOOKUP(A8,policy!B:C,2,0)</f>
        <v>040000180449</v>
      </c>
      <c r="C8" s="46">
        <v>21207.5</v>
      </c>
      <c r="D8" s="46">
        <v>21207.5</v>
      </c>
      <c r="E8" s="50" t="s">
        <v>3673</v>
      </c>
      <c r="F8" s="52" t="str">
        <f t="shared" si="0"/>
        <v>insert into ins_premium_det (premium_rcv_code,assorted_code, rec_amount,premium_rcv_detail_code,remaining_amt, payrec, mode_code,coinsurance_code,class_cd,it_remarks) values</v>
      </c>
      <c r="G8" s="53" t="str">
        <f t="shared" si="1"/>
        <v>('22Oct240201','040000180449','21207.5',(select max(to_number(i.premium_rcv_detail_code))+1
from ins_premium_det i),'21207.5','21207.5','02', '11000003','00','Request by Mr. Omair Ali 22-Oct-2024 allocation 22Oct240201');</v>
      </c>
      <c r="H8" s="54" t="str">
        <f t="shared" si="2"/>
        <v>insert into ins_premium_det (premium_rcv_code,assorted_code, rec_amount,premium_rcv_detail_code,remaining_amt, payrec, mode_code,coinsurance_code,class_cd,it_remarks) values('22Oct240201','040000180449','21207.5',(select max(to_number(i.premium_rcv_detail_code))+1
from ins_premium_det i),'21207.5','21207.5','02', '11000003','00','Request by Mr. Omair Ali 22-Oct-2024 allocation 22Oct240201');</v>
      </c>
    </row>
    <row r="9" spans="1:8" ht="105" x14ac:dyDescent="0.25">
      <c r="A9" t="s">
        <v>137</v>
      </c>
      <c r="B9" s="51" t="str">
        <f>VLOOKUP(A9,policy!B:C,2,0)</f>
        <v>040000180451</v>
      </c>
      <c r="C9" s="46">
        <v>16235.000000000002</v>
      </c>
      <c r="D9" s="46">
        <v>16235.000000000002</v>
      </c>
      <c r="E9" s="50" t="s">
        <v>3673</v>
      </c>
      <c r="F9" s="52" t="str">
        <f t="shared" si="0"/>
        <v>insert into ins_premium_det (premium_rcv_code,assorted_code, rec_amount,premium_rcv_detail_code,remaining_amt, payrec, mode_code,coinsurance_code,class_cd,it_remarks) values</v>
      </c>
      <c r="G9" s="53" t="str">
        <f t="shared" si="1"/>
        <v>('22Oct240201','040000180451','16235',(select max(to_number(i.premium_rcv_detail_code))+1
from ins_premium_det i),'16235','16235','02', '11000003','00','Request by Mr. Omair Ali 22-Oct-2024 allocation 22Oct240201');</v>
      </c>
      <c r="H9" s="54" t="str">
        <f t="shared" si="2"/>
        <v>insert into ins_premium_det (premium_rcv_code,assorted_code, rec_amount,premium_rcv_detail_code,remaining_amt, payrec, mode_code,coinsurance_code,class_cd,it_remarks) values('22Oct240201','040000180451','16235',(select max(to_number(i.premium_rcv_detail_code))+1
from ins_premium_det i),'16235','16235','02', '11000003','00','Request by Mr. Omair Ali 22-Oct-2024 allocation 22Oct240201');</v>
      </c>
    </row>
    <row r="10" spans="1:8" ht="105" x14ac:dyDescent="0.25">
      <c r="A10" t="s">
        <v>138</v>
      </c>
      <c r="B10" s="51" t="str">
        <f>VLOOKUP(A10,policy!B:C,2,0)</f>
        <v>040000180452</v>
      </c>
      <c r="C10" s="46">
        <v>16235.000000000002</v>
      </c>
      <c r="D10" s="46">
        <v>16235.000000000002</v>
      </c>
      <c r="E10" s="50" t="s">
        <v>3673</v>
      </c>
      <c r="F10" s="52" t="str">
        <f t="shared" si="0"/>
        <v>insert into ins_premium_det (premium_rcv_code,assorted_code, rec_amount,premium_rcv_detail_code,remaining_amt, payrec, mode_code,coinsurance_code,class_cd,it_remarks) values</v>
      </c>
      <c r="G10" s="53" t="str">
        <f t="shared" si="1"/>
        <v>('22Oct240201','040000180452','16235',(select max(to_number(i.premium_rcv_detail_code))+1
from ins_premium_det i),'16235','16235','02', '11000003','00','Request by Mr. Omair Ali 22-Oct-2024 allocation 22Oct240201');</v>
      </c>
      <c r="H10" s="54" t="str">
        <f t="shared" si="2"/>
        <v>insert into ins_premium_det (premium_rcv_code,assorted_code, rec_amount,premium_rcv_detail_code,remaining_amt, payrec, mode_code,coinsurance_code,class_cd,it_remarks) values('22Oct240201','040000180452','16235',(select max(to_number(i.premium_rcv_detail_code))+1
from ins_premium_det i),'16235','16235','02', '11000003','00','Request by Mr. Omair Ali 22-Oct-2024 allocation 22Oct240201');</v>
      </c>
    </row>
    <row r="11" spans="1:8" ht="105" x14ac:dyDescent="0.25">
      <c r="A11" t="s">
        <v>139</v>
      </c>
      <c r="B11" s="51" t="str">
        <f>VLOOKUP(A11,policy!B:C,2,0)</f>
        <v>040000180454</v>
      </c>
      <c r="C11" s="46">
        <v>16235.000000000002</v>
      </c>
      <c r="D11" s="46">
        <v>16235.000000000002</v>
      </c>
      <c r="E11" s="50" t="s">
        <v>3673</v>
      </c>
      <c r="F11" s="52" t="str">
        <f t="shared" si="0"/>
        <v>insert into ins_premium_det (premium_rcv_code,assorted_code, rec_amount,premium_rcv_detail_code,remaining_amt, payrec, mode_code,coinsurance_code,class_cd,it_remarks) values</v>
      </c>
      <c r="G11" s="53" t="str">
        <f t="shared" si="1"/>
        <v>('22Oct240201','040000180454','16235',(select max(to_number(i.premium_rcv_detail_code))+1
from ins_premium_det i),'16235','16235','02', '11000003','00','Request by Mr. Omair Ali 22-Oct-2024 allocation 22Oct240201');</v>
      </c>
      <c r="H11" s="54" t="str">
        <f t="shared" si="2"/>
        <v>insert into ins_premium_det (premium_rcv_code,assorted_code, rec_amount,premium_rcv_detail_code,remaining_amt, payrec, mode_code,coinsurance_code,class_cd,it_remarks) values('22Oct240201','040000180454','16235',(select max(to_number(i.premium_rcv_detail_code))+1
from ins_premium_det i),'16235','16235','02', '11000003','00','Request by Mr. Omair Ali 22-Oct-2024 allocation 22Oct240201');</v>
      </c>
    </row>
    <row r="12" spans="1:8" ht="105" x14ac:dyDescent="0.25">
      <c r="A12" t="s">
        <v>140</v>
      </c>
      <c r="B12" s="51" t="str">
        <f>VLOOKUP(A12,policy!B:C,2,0)</f>
        <v>040000180455</v>
      </c>
      <c r="C12" s="46">
        <v>16235.000000000002</v>
      </c>
      <c r="D12" s="46">
        <v>16235.000000000002</v>
      </c>
      <c r="E12" s="50" t="s">
        <v>3673</v>
      </c>
      <c r="F12" s="52" t="str">
        <f t="shared" si="0"/>
        <v>insert into ins_premium_det (premium_rcv_code,assorted_code, rec_amount,premium_rcv_detail_code,remaining_amt, payrec, mode_code,coinsurance_code,class_cd,it_remarks) values</v>
      </c>
      <c r="G12" s="53" t="str">
        <f t="shared" si="1"/>
        <v>('22Oct240201','040000180455','16235',(select max(to_number(i.premium_rcv_detail_code))+1
from ins_premium_det i),'16235','16235','02', '11000003','00','Request by Mr. Omair Ali 22-Oct-2024 allocation 22Oct240201');</v>
      </c>
      <c r="H12" s="54" t="str">
        <f t="shared" si="2"/>
        <v>insert into ins_premium_det (premium_rcv_code,assorted_code, rec_amount,premium_rcv_detail_code,remaining_amt, payrec, mode_code,coinsurance_code,class_cd,it_remarks) values('22Oct240201','040000180455','16235',(select max(to_number(i.premium_rcv_detail_code))+1
from ins_premium_det i),'16235','16235','02', '11000003','00','Request by Mr. Omair Ali 22-Oct-2024 allocation 22Oct240201');</v>
      </c>
    </row>
    <row r="13" spans="1:8" ht="105" x14ac:dyDescent="0.25">
      <c r="A13" t="s">
        <v>141</v>
      </c>
      <c r="B13" s="51" t="str">
        <f>VLOOKUP(A13,policy!B:C,2,0)</f>
        <v>040000180457</v>
      </c>
      <c r="C13" s="46">
        <v>16235.000000000002</v>
      </c>
      <c r="D13" s="46">
        <v>16235.000000000002</v>
      </c>
      <c r="E13" s="50" t="s">
        <v>3673</v>
      </c>
      <c r="F13" s="52" t="str">
        <f t="shared" si="0"/>
        <v>insert into ins_premium_det (premium_rcv_code,assorted_code, rec_amount,premium_rcv_detail_code,remaining_amt, payrec, mode_code,coinsurance_code,class_cd,it_remarks) values</v>
      </c>
      <c r="G13" s="53" t="str">
        <f t="shared" si="1"/>
        <v>('22Oct240201','040000180457','16235',(select max(to_number(i.premium_rcv_detail_code))+1
from ins_premium_det i),'16235','16235','02', '11000003','00','Request by Mr. Omair Ali 22-Oct-2024 allocation 22Oct240201');</v>
      </c>
      <c r="H13" s="54" t="str">
        <f t="shared" si="2"/>
        <v>insert into ins_premium_det (premium_rcv_code,assorted_code, rec_amount,premium_rcv_detail_code,remaining_amt, payrec, mode_code,coinsurance_code,class_cd,it_remarks) values('22Oct240201','040000180457','16235',(select max(to_number(i.premium_rcv_detail_code))+1
from ins_premium_det i),'16235','16235','02', '11000003','00','Request by Mr. Omair Ali 22-Oct-2024 allocation 22Oct240201');</v>
      </c>
    </row>
    <row r="14" spans="1:8" ht="105" x14ac:dyDescent="0.25">
      <c r="A14" t="s">
        <v>142</v>
      </c>
      <c r="B14" s="51" t="str">
        <f>VLOOKUP(A14,policy!B:C,2,0)</f>
        <v>040000180458</v>
      </c>
      <c r="C14" s="46">
        <v>16235.000000000002</v>
      </c>
      <c r="D14" s="46">
        <v>16235.000000000002</v>
      </c>
      <c r="E14" s="50" t="s">
        <v>3673</v>
      </c>
      <c r="F14" s="52" t="str">
        <f t="shared" si="0"/>
        <v>insert into ins_premium_det (premium_rcv_code,assorted_code, rec_amount,premium_rcv_detail_code,remaining_amt, payrec, mode_code,coinsurance_code,class_cd,it_remarks) values</v>
      </c>
      <c r="G14" s="53" t="str">
        <f t="shared" si="1"/>
        <v>('22Oct240201','040000180458','16235',(select max(to_number(i.premium_rcv_detail_code))+1
from ins_premium_det i),'16235','16235','02', '11000003','00','Request by Mr. Omair Ali 22-Oct-2024 allocation 22Oct240201');</v>
      </c>
      <c r="H14" s="54" t="str">
        <f t="shared" si="2"/>
        <v>insert into ins_premium_det (premium_rcv_code,assorted_code, rec_amount,premium_rcv_detail_code,remaining_amt, payrec, mode_code,coinsurance_code,class_cd,it_remarks) values('22Oct240201','040000180458','16235',(select max(to_number(i.premium_rcv_detail_code))+1
from ins_premium_det i),'16235','16235','02', '11000003','00','Request by Mr. Omair Ali 22-Oct-2024 allocation 22Oct240201');</v>
      </c>
    </row>
    <row r="15" spans="1:8" ht="105" x14ac:dyDescent="0.25">
      <c r="A15" t="s">
        <v>143</v>
      </c>
      <c r="B15" s="51" t="str">
        <f>VLOOKUP(A15,policy!B:C,2,0)</f>
        <v>040000180460</v>
      </c>
      <c r="C15" s="46">
        <v>16235.000000000002</v>
      </c>
      <c r="D15" s="46">
        <v>16235.000000000002</v>
      </c>
      <c r="E15" s="50" t="s">
        <v>3673</v>
      </c>
      <c r="F15" s="52" t="str">
        <f t="shared" si="0"/>
        <v>insert into ins_premium_det (premium_rcv_code,assorted_code, rec_amount,premium_rcv_detail_code,remaining_amt, payrec, mode_code,coinsurance_code,class_cd,it_remarks) values</v>
      </c>
      <c r="G15" s="53" t="str">
        <f t="shared" si="1"/>
        <v>('22Oct240201','040000180460','16235',(select max(to_number(i.premium_rcv_detail_code))+1
from ins_premium_det i),'16235','16235','02', '11000003','00','Request by Mr. Omair Ali 22-Oct-2024 allocation 22Oct240201');</v>
      </c>
      <c r="H15" s="54" t="str">
        <f t="shared" si="2"/>
        <v>insert into ins_premium_det (premium_rcv_code,assorted_code, rec_amount,premium_rcv_detail_code,remaining_amt, payrec, mode_code,coinsurance_code,class_cd,it_remarks) values('22Oct240201','040000180460','16235',(select max(to_number(i.premium_rcv_detail_code))+1
from ins_premium_det i),'16235','16235','02', '11000003','00','Request by Mr. Omair Ali 22-Oct-2024 allocation 22Oct240201');</v>
      </c>
    </row>
    <row r="16" spans="1:8" ht="105" x14ac:dyDescent="0.25">
      <c r="A16" t="s">
        <v>144</v>
      </c>
      <c r="B16" s="51" t="str">
        <f>VLOOKUP(A16,policy!B:C,2,0)</f>
        <v>040000180461</v>
      </c>
      <c r="C16" s="46">
        <v>16235.000000000002</v>
      </c>
      <c r="D16" s="46">
        <v>16235.000000000002</v>
      </c>
      <c r="E16" s="50" t="s">
        <v>3673</v>
      </c>
      <c r="F16" s="52" t="str">
        <f t="shared" si="0"/>
        <v>insert into ins_premium_det (premium_rcv_code,assorted_code, rec_amount,premium_rcv_detail_code,remaining_amt, payrec, mode_code,coinsurance_code,class_cd,it_remarks) values</v>
      </c>
      <c r="G16" s="53" t="str">
        <f t="shared" si="1"/>
        <v>('22Oct240201','040000180461','16235',(select max(to_number(i.premium_rcv_detail_code))+1
from ins_premium_det i),'16235','16235','02', '11000003','00','Request by Mr. Omair Ali 22-Oct-2024 allocation 22Oct240201');</v>
      </c>
      <c r="H16" s="54" t="str">
        <f t="shared" si="2"/>
        <v>insert into ins_premium_det (premium_rcv_code,assorted_code, rec_amount,premium_rcv_detail_code,remaining_amt, payrec, mode_code,coinsurance_code,class_cd,it_remarks) values('22Oct240201','040000180461','16235',(select max(to_number(i.premium_rcv_detail_code))+1
from ins_premium_det i),'16235','16235','02', '11000003','00','Request by Mr. Omair Ali 22-Oct-2024 allocation 22Oct240201');</v>
      </c>
    </row>
    <row r="17" spans="1:8" ht="105" x14ac:dyDescent="0.25">
      <c r="A17" t="s">
        <v>145</v>
      </c>
      <c r="B17" s="51" t="str">
        <f>VLOOKUP(A17,policy!B:C,2,0)</f>
        <v>040000180467</v>
      </c>
      <c r="C17" s="46">
        <v>14960.000000000002</v>
      </c>
      <c r="D17" s="46">
        <v>14960.000000000002</v>
      </c>
      <c r="E17" s="50" t="s">
        <v>3673</v>
      </c>
      <c r="F17" s="52" t="str">
        <f t="shared" si="0"/>
        <v>insert into ins_premium_det (premium_rcv_code,assorted_code, rec_amount,premium_rcv_detail_code,remaining_amt, payrec, mode_code,coinsurance_code,class_cd,it_remarks) values</v>
      </c>
      <c r="G17" s="53" t="str">
        <f t="shared" si="1"/>
        <v>('22Oct240201','040000180467','14960',(select max(to_number(i.premium_rcv_detail_code))+1
from ins_premium_det i),'14960','14960','02', '11000003','00','Request by Mr. Omair Ali 22-Oct-2024 allocation 22Oct240201');</v>
      </c>
      <c r="H17" s="54" t="str">
        <f t="shared" si="2"/>
        <v>insert into ins_premium_det (premium_rcv_code,assorted_code, rec_amount,premium_rcv_detail_code,remaining_amt, payrec, mode_code,coinsurance_code,class_cd,it_remarks) values('22Oct240201','040000180467','14960',(select max(to_number(i.premium_rcv_detail_code))+1
from ins_premium_det i),'14960','14960','02', '11000003','00','Request by Mr. Omair Ali 22-Oct-2024 allocation 22Oct240201');</v>
      </c>
    </row>
    <row r="18" spans="1:8" ht="105" x14ac:dyDescent="0.25">
      <c r="A18" t="s">
        <v>146</v>
      </c>
      <c r="B18" s="51" t="str">
        <f>VLOOKUP(A18,policy!B:C,2,0)</f>
        <v>040000180468</v>
      </c>
      <c r="C18" s="46">
        <v>16235.000000000002</v>
      </c>
      <c r="D18" s="46">
        <v>16235.000000000002</v>
      </c>
      <c r="E18" s="50" t="s">
        <v>3673</v>
      </c>
      <c r="F18" s="52" t="str">
        <f t="shared" si="0"/>
        <v>insert into ins_premium_det (premium_rcv_code,assorted_code, rec_amount,premium_rcv_detail_code,remaining_amt, payrec, mode_code,coinsurance_code,class_cd,it_remarks) values</v>
      </c>
      <c r="G18" s="53" t="str">
        <f t="shared" si="1"/>
        <v>('22Oct240201','040000180468','16235',(select max(to_number(i.premium_rcv_detail_code))+1
from ins_premium_det i),'16235','16235','02', '11000003','00','Request by Mr. Omair Ali 22-Oct-2024 allocation 22Oct240201');</v>
      </c>
      <c r="H18" s="54" t="str">
        <f t="shared" si="2"/>
        <v>insert into ins_premium_det (premium_rcv_code,assorted_code, rec_amount,premium_rcv_detail_code,remaining_amt, payrec, mode_code,coinsurance_code,class_cd,it_remarks) values('22Oct240201','040000180468','16235',(select max(to_number(i.premium_rcv_detail_code))+1
from ins_premium_det i),'16235','16235','02', '11000003','00','Request by Mr. Omair Ali 22-Oct-2024 allocation 22Oct240201');</v>
      </c>
    </row>
    <row r="19" spans="1:8" ht="105" x14ac:dyDescent="0.25">
      <c r="A19" t="s">
        <v>147</v>
      </c>
      <c r="B19" s="51" t="str">
        <f>VLOOKUP(A19,policy!B:C,2,0)</f>
        <v>040000180469</v>
      </c>
      <c r="C19" s="46">
        <v>16235.000000000002</v>
      </c>
      <c r="D19" s="46">
        <v>16235.000000000002</v>
      </c>
      <c r="E19" s="50" t="s">
        <v>3673</v>
      </c>
      <c r="F19" s="52" t="str">
        <f t="shared" si="0"/>
        <v>insert into ins_premium_det (premium_rcv_code,assorted_code, rec_amount,premium_rcv_detail_code,remaining_amt, payrec, mode_code,coinsurance_code,class_cd,it_remarks) values</v>
      </c>
      <c r="G19" s="53" t="str">
        <f t="shared" si="1"/>
        <v>('22Oct240201','040000180469','16235',(select max(to_number(i.premium_rcv_detail_code))+1
from ins_premium_det i),'16235','16235','02', '11000003','00','Request by Mr. Omair Ali 22-Oct-2024 allocation 22Oct240201');</v>
      </c>
      <c r="H19" s="54" t="str">
        <f t="shared" si="2"/>
        <v>insert into ins_premium_det (premium_rcv_code,assorted_code, rec_amount,premium_rcv_detail_code,remaining_amt, payrec, mode_code,coinsurance_code,class_cd,it_remarks) values('22Oct240201','040000180469','16235',(select max(to_number(i.premium_rcv_detail_code))+1
from ins_premium_det i),'16235','16235','02', '11000003','00','Request by Mr. Omair Ali 22-Oct-2024 allocation 22Oct240201');</v>
      </c>
    </row>
    <row r="20" spans="1:8" ht="105" x14ac:dyDescent="0.25">
      <c r="A20" t="s">
        <v>148</v>
      </c>
      <c r="B20" s="51" t="str">
        <f>VLOOKUP(A20,policy!B:C,2,0)</f>
        <v>040000180479</v>
      </c>
      <c r="C20" s="46">
        <v>16235.000000000002</v>
      </c>
      <c r="D20" s="46">
        <v>16235.000000000002</v>
      </c>
      <c r="E20" s="50" t="s">
        <v>3673</v>
      </c>
      <c r="F20" s="52" t="str">
        <f t="shared" si="0"/>
        <v>insert into ins_premium_det (premium_rcv_code,assorted_code, rec_amount,premium_rcv_detail_code,remaining_amt, payrec, mode_code,coinsurance_code,class_cd,it_remarks) values</v>
      </c>
      <c r="G20" s="53" t="str">
        <f t="shared" si="1"/>
        <v>('22Oct240201','040000180479','16235',(select max(to_number(i.premium_rcv_detail_code))+1
from ins_premium_det i),'16235','16235','02', '11000003','00','Request by Mr. Omair Ali 22-Oct-2024 allocation 22Oct240201');</v>
      </c>
      <c r="H20" s="54" t="str">
        <f t="shared" si="2"/>
        <v>insert into ins_premium_det (premium_rcv_code,assorted_code, rec_amount,premium_rcv_detail_code,remaining_amt, payrec, mode_code,coinsurance_code,class_cd,it_remarks) values('22Oct240201','040000180479','16235',(select max(to_number(i.premium_rcv_detail_code))+1
from ins_premium_det i),'16235','16235','02', '11000003','00','Request by Mr. Omair Ali 22-Oct-2024 allocation 22Oct240201');</v>
      </c>
    </row>
    <row r="21" spans="1:8" ht="105" x14ac:dyDescent="0.25">
      <c r="A21" t="s">
        <v>149</v>
      </c>
      <c r="B21" s="51" t="str">
        <f>VLOOKUP(A21,policy!B:C,2,0)</f>
        <v>040000180485</v>
      </c>
      <c r="C21" s="46">
        <v>23247.5</v>
      </c>
      <c r="D21" s="46">
        <v>23247.5</v>
      </c>
      <c r="E21" s="50" t="s">
        <v>3673</v>
      </c>
      <c r="F21" s="52" t="str">
        <f t="shared" si="0"/>
        <v>insert into ins_premium_det (premium_rcv_code,assorted_code, rec_amount,premium_rcv_detail_code,remaining_amt, payrec, mode_code,coinsurance_code,class_cd,it_remarks) values</v>
      </c>
      <c r="G21" s="53" t="str">
        <f t="shared" si="1"/>
        <v>('22Oct240201','040000180485','23247.5',(select max(to_number(i.premium_rcv_detail_code))+1
from ins_premium_det i),'23247.5','23247.5','02', '11000003','00','Request by Mr. Omair Ali 22-Oct-2024 allocation 22Oct240201');</v>
      </c>
      <c r="H21" s="54" t="str">
        <f t="shared" si="2"/>
        <v>insert into ins_premium_det (premium_rcv_code,assorted_code, rec_amount,premium_rcv_detail_code,remaining_amt, payrec, mode_code,coinsurance_code,class_cd,it_remarks) values('22Oct240201','040000180485','23247.5',(select max(to_number(i.premium_rcv_detail_code))+1
from ins_premium_det i),'23247.5','23247.5','02', '11000003','00','Request by Mr. Omair Ali 22-Oct-2024 allocation 22Oct240201');</v>
      </c>
    </row>
    <row r="22" spans="1:8" ht="105" x14ac:dyDescent="0.25">
      <c r="A22" t="s">
        <v>150</v>
      </c>
      <c r="B22" s="51" t="str">
        <f>VLOOKUP(A22,policy!B:C,2,0)</f>
        <v>040000180486</v>
      </c>
      <c r="C22" s="46">
        <v>23247.5</v>
      </c>
      <c r="D22" s="46">
        <v>23247.5</v>
      </c>
      <c r="E22" s="50" t="s">
        <v>3673</v>
      </c>
      <c r="F22" s="52" t="str">
        <f t="shared" si="0"/>
        <v>insert into ins_premium_det (premium_rcv_code,assorted_code, rec_amount,premium_rcv_detail_code,remaining_amt, payrec, mode_code,coinsurance_code,class_cd,it_remarks) values</v>
      </c>
      <c r="G22" s="53" t="str">
        <f t="shared" si="1"/>
        <v>('22Oct240201','040000180486','23247.5',(select max(to_number(i.premium_rcv_detail_code))+1
from ins_premium_det i),'23247.5','23247.5','02', '11000003','00','Request by Mr. Omair Ali 22-Oct-2024 allocation 22Oct240201');</v>
      </c>
      <c r="H22" s="54" t="str">
        <f t="shared" si="2"/>
        <v>insert into ins_premium_det (premium_rcv_code,assorted_code, rec_amount,premium_rcv_detail_code,remaining_amt, payrec, mode_code,coinsurance_code,class_cd,it_remarks) values('22Oct240201','040000180486','23247.5',(select max(to_number(i.premium_rcv_detail_code))+1
from ins_premium_det i),'23247.5','23247.5','02', '11000003','00','Request by Mr. Omair Ali 22-Oct-2024 allocation 22Oct240201');</v>
      </c>
    </row>
    <row r="23" spans="1:8" ht="105" x14ac:dyDescent="0.25">
      <c r="A23" t="s">
        <v>151</v>
      </c>
      <c r="B23" s="51" t="str">
        <f>VLOOKUP(A23,policy!B:C,2,0)</f>
        <v>040000180490</v>
      </c>
      <c r="C23" s="46">
        <v>14960.000000000002</v>
      </c>
      <c r="D23" s="46">
        <v>14960.000000000002</v>
      </c>
      <c r="E23" s="50" t="s">
        <v>3673</v>
      </c>
      <c r="F23" s="52" t="str">
        <f t="shared" si="0"/>
        <v>insert into ins_premium_det (premium_rcv_code,assorted_code, rec_amount,premium_rcv_detail_code,remaining_amt, payrec, mode_code,coinsurance_code,class_cd,it_remarks) values</v>
      </c>
      <c r="G23" s="53" t="str">
        <f t="shared" si="1"/>
        <v>('22Oct240201','040000180490','14960',(select max(to_number(i.premium_rcv_detail_code))+1
from ins_premium_det i),'14960','14960','02', '11000003','00','Request by Mr. Omair Ali 22-Oct-2024 allocation 22Oct240201');</v>
      </c>
      <c r="H23" s="54" t="str">
        <f t="shared" si="2"/>
        <v>insert into ins_premium_det (premium_rcv_code,assorted_code, rec_amount,premium_rcv_detail_code,remaining_amt, payrec, mode_code,coinsurance_code,class_cd,it_remarks) values('22Oct240201','040000180490','14960',(select max(to_number(i.premium_rcv_detail_code))+1
from ins_premium_det i),'14960','14960','02', '11000003','00','Request by Mr. Omair Ali 22-Oct-2024 allocation 22Oct240201');</v>
      </c>
    </row>
    <row r="24" spans="1:8" ht="105" x14ac:dyDescent="0.25">
      <c r="A24" t="s">
        <v>152</v>
      </c>
      <c r="B24" s="51" t="str">
        <f>VLOOKUP(A24,policy!B:C,2,0)</f>
        <v>040000180491</v>
      </c>
      <c r="C24" s="46">
        <v>14960.000000000002</v>
      </c>
      <c r="D24" s="46">
        <v>14960.000000000002</v>
      </c>
      <c r="E24" s="50" t="s">
        <v>3673</v>
      </c>
      <c r="F24" s="52" t="str">
        <f t="shared" si="0"/>
        <v>insert into ins_premium_det (premium_rcv_code,assorted_code, rec_amount,premium_rcv_detail_code,remaining_amt, payrec, mode_code,coinsurance_code,class_cd,it_remarks) values</v>
      </c>
      <c r="G24" s="53" t="str">
        <f t="shared" si="1"/>
        <v>('22Oct240201','040000180491','14960',(select max(to_number(i.premium_rcv_detail_code))+1
from ins_premium_det i),'14960','14960','02', '11000003','00','Request by Mr. Omair Ali 22-Oct-2024 allocation 22Oct240201');</v>
      </c>
      <c r="H24" s="54" t="str">
        <f t="shared" si="2"/>
        <v>insert into ins_premium_det (premium_rcv_code,assorted_code, rec_amount,premium_rcv_detail_code,remaining_amt, payrec, mode_code,coinsurance_code,class_cd,it_remarks) values('22Oct240201','040000180491','14960',(select max(to_number(i.premium_rcv_detail_code))+1
from ins_premium_det i),'14960','14960','02', '11000003','00','Request by Mr. Omair Ali 22-Oct-2024 allocation 22Oct240201');</v>
      </c>
    </row>
    <row r="25" spans="1:8" ht="105" x14ac:dyDescent="0.25">
      <c r="A25" t="s">
        <v>153</v>
      </c>
      <c r="B25" s="51" t="str">
        <f>VLOOKUP(A25,policy!B:C,2,0)</f>
        <v>040000180496</v>
      </c>
      <c r="C25" s="46">
        <v>21207.5</v>
      </c>
      <c r="D25" s="46">
        <v>21207.5</v>
      </c>
      <c r="E25" s="50" t="s">
        <v>3673</v>
      </c>
      <c r="F25" s="52" t="str">
        <f t="shared" si="0"/>
        <v>insert into ins_premium_det (premium_rcv_code,assorted_code, rec_amount,premium_rcv_detail_code,remaining_amt, payrec, mode_code,coinsurance_code,class_cd,it_remarks) values</v>
      </c>
      <c r="G25" s="53" t="str">
        <f t="shared" si="1"/>
        <v>('22Oct240201','040000180496','21207.5',(select max(to_number(i.premium_rcv_detail_code))+1
from ins_premium_det i),'21207.5','21207.5','02', '11000003','00','Request by Mr. Omair Ali 22-Oct-2024 allocation 22Oct240201');</v>
      </c>
      <c r="H25" s="54" t="str">
        <f t="shared" si="2"/>
        <v>insert into ins_premium_det (premium_rcv_code,assorted_code, rec_amount,premium_rcv_detail_code,remaining_amt, payrec, mode_code,coinsurance_code,class_cd,it_remarks) values('22Oct240201','040000180496','21207.5',(select max(to_number(i.premium_rcv_detail_code))+1
from ins_premium_det i),'21207.5','21207.5','02', '11000003','00','Request by Mr. Omair Ali 22-Oct-2024 allocation 22Oct240201');</v>
      </c>
    </row>
    <row r="26" spans="1:8" ht="105" x14ac:dyDescent="0.25">
      <c r="A26" t="s">
        <v>154</v>
      </c>
      <c r="B26" s="51" t="str">
        <f>VLOOKUP(A26,policy!B:C,2,0)</f>
        <v>040000180497</v>
      </c>
      <c r="C26" s="46">
        <v>21207.5</v>
      </c>
      <c r="D26" s="46">
        <v>21207.5</v>
      </c>
      <c r="E26" s="50" t="s">
        <v>3673</v>
      </c>
      <c r="F26" s="52" t="str">
        <f t="shared" si="0"/>
        <v>insert into ins_premium_det (premium_rcv_code,assorted_code, rec_amount,premium_rcv_detail_code,remaining_amt, payrec, mode_code,coinsurance_code,class_cd,it_remarks) values</v>
      </c>
      <c r="G26" s="53" t="str">
        <f t="shared" si="1"/>
        <v>('22Oct240201','040000180497','21207.5',(select max(to_number(i.premium_rcv_detail_code))+1
from ins_premium_det i),'21207.5','21207.5','02', '11000003','00','Request by Mr. Omair Ali 22-Oct-2024 allocation 22Oct240201');</v>
      </c>
      <c r="H26" s="54" t="str">
        <f t="shared" si="2"/>
        <v>insert into ins_premium_det (premium_rcv_code,assorted_code, rec_amount,premium_rcv_detail_code,remaining_amt, payrec, mode_code,coinsurance_code,class_cd,it_remarks) values('22Oct240201','040000180497','21207.5',(select max(to_number(i.premium_rcv_detail_code))+1
from ins_premium_det i),'21207.5','21207.5','02', '11000003','00','Request by Mr. Omair Ali 22-Oct-2024 allocation 22Oct240201');</v>
      </c>
    </row>
    <row r="27" spans="1:8" ht="105" x14ac:dyDescent="0.25">
      <c r="A27" t="s">
        <v>155</v>
      </c>
      <c r="B27" s="51" t="str">
        <f>VLOOKUP(A27,policy!B:C,2,0)</f>
        <v>040000180509</v>
      </c>
      <c r="C27" s="46">
        <v>16235.000000000002</v>
      </c>
      <c r="D27" s="46">
        <v>16235.000000000002</v>
      </c>
      <c r="E27" s="50" t="s">
        <v>3673</v>
      </c>
      <c r="F27" s="52" t="str">
        <f t="shared" si="0"/>
        <v>insert into ins_premium_det (premium_rcv_code,assorted_code, rec_amount,premium_rcv_detail_code,remaining_amt, payrec, mode_code,coinsurance_code,class_cd,it_remarks) values</v>
      </c>
      <c r="G27" s="53" t="str">
        <f t="shared" si="1"/>
        <v>('22Oct240201','040000180509','16235',(select max(to_number(i.premium_rcv_detail_code))+1
from ins_premium_det i),'16235','16235','02', '11000003','00','Request by Mr. Omair Ali 22-Oct-2024 allocation 22Oct240201');</v>
      </c>
      <c r="H27" s="54" t="str">
        <f t="shared" si="2"/>
        <v>insert into ins_premium_det (premium_rcv_code,assorted_code, rec_amount,premium_rcv_detail_code,remaining_amt, payrec, mode_code,coinsurance_code,class_cd,it_remarks) values('22Oct240201','040000180509','16235',(select max(to_number(i.premium_rcv_detail_code))+1
from ins_premium_det i),'16235','16235','02', '11000003','00','Request by Mr. Omair Ali 22-Oct-2024 allocation 22Oct240201');</v>
      </c>
    </row>
    <row r="28" spans="1:8" ht="105" x14ac:dyDescent="0.25">
      <c r="A28" t="s">
        <v>156</v>
      </c>
      <c r="B28" s="51" t="str">
        <f>VLOOKUP(A28,policy!B:C,2,0)</f>
        <v>040000180510</v>
      </c>
      <c r="C28" s="46">
        <v>16235.000000000002</v>
      </c>
      <c r="D28" s="46">
        <v>16235.000000000002</v>
      </c>
      <c r="E28" s="50" t="s">
        <v>3673</v>
      </c>
      <c r="F28" s="52" t="str">
        <f t="shared" si="0"/>
        <v>insert into ins_premium_det (premium_rcv_code,assorted_code, rec_amount,premium_rcv_detail_code,remaining_amt, payrec, mode_code,coinsurance_code,class_cd,it_remarks) values</v>
      </c>
      <c r="G28" s="53" t="str">
        <f t="shared" si="1"/>
        <v>('22Oct240201','040000180510','16235',(select max(to_number(i.premium_rcv_detail_code))+1
from ins_premium_det i),'16235','16235','02', '11000003','00','Request by Mr. Omair Ali 22-Oct-2024 allocation 22Oct240201');</v>
      </c>
      <c r="H28" s="54" t="str">
        <f t="shared" si="2"/>
        <v>insert into ins_premium_det (premium_rcv_code,assorted_code, rec_amount,premium_rcv_detail_code,remaining_amt, payrec, mode_code,coinsurance_code,class_cd,it_remarks) values('22Oct240201','040000180510','16235',(select max(to_number(i.premium_rcv_detail_code))+1
from ins_premium_det i),'16235','16235','02', '11000003','00','Request by Mr. Omair Ali 22-Oct-2024 allocation 22Oct240201');</v>
      </c>
    </row>
    <row r="29" spans="1:8" ht="105" x14ac:dyDescent="0.25">
      <c r="A29" t="s">
        <v>157</v>
      </c>
      <c r="B29" s="51" t="str">
        <f>VLOOKUP(A29,policy!B:C,2,0)</f>
        <v>040000180514</v>
      </c>
      <c r="C29" s="46">
        <v>16235.000000000002</v>
      </c>
      <c r="D29" s="46">
        <v>16235.000000000002</v>
      </c>
      <c r="E29" s="50" t="s">
        <v>3673</v>
      </c>
      <c r="F29" s="52" t="str">
        <f t="shared" si="0"/>
        <v>insert into ins_premium_det (premium_rcv_code,assorted_code, rec_amount,premium_rcv_detail_code,remaining_amt, payrec, mode_code,coinsurance_code,class_cd,it_remarks) values</v>
      </c>
      <c r="G29" s="53" t="str">
        <f t="shared" si="1"/>
        <v>('22Oct240201','040000180514','16235',(select max(to_number(i.premium_rcv_detail_code))+1
from ins_premium_det i),'16235','16235','02', '11000003','00','Request by Mr. Omair Ali 22-Oct-2024 allocation 22Oct240201');</v>
      </c>
      <c r="H29" s="54" t="str">
        <f t="shared" si="2"/>
        <v>insert into ins_premium_det (premium_rcv_code,assorted_code, rec_amount,premium_rcv_detail_code,remaining_amt, payrec, mode_code,coinsurance_code,class_cd,it_remarks) values('22Oct240201','040000180514','16235',(select max(to_number(i.premium_rcv_detail_code))+1
from ins_premium_det i),'16235','16235','02', '11000003','00','Request by Mr. Omair Ali 22-Oct-2024 allocation 22Oct240201');</v>
      </c>
    </row>
    <row r="30" spans="1:8" ht="105" x14ac:dyDescent="0.25">
      <c r="A30" t="s">
        <v>158</v>
      </c>
      <c r="B30" s="51" t="str">
        <f>VLOOKUP(A30,policy!B:C,2,0)</f>
        <v>040000180515</v>
      </c>
      <c r="C30" s="46">
        <v>16235.000000000002</v>
      </c>
      <c r="D30" s="46">
        <v>16235.000000000002</v>
      </c>
      <c r="E30" s="50" t="s">
        <v>3673</v>
      </c>
      <c r="F30" s="52" t="str">
        <f t="shared" si="0"/>
        <v>insert into ins_premium_det (premium_rcv_code,assorted_code, rec_amount,premium_rcv_detail_code,remaining_amt, payrec, mode_code,coinsurance_code,class_cd,it_remarks) values</v>
      </c>
      <c r="G30" s="53" t="str">
        <f t="shared" si="1"/>
        <v>('22Oct240201','040000180515','16235',(select max(to_number(i.premium_rcv_detail_code))+1
from ins_premium_det i),'16235','16235','02', '11000003','00','Request by Mr. Omair Ali 22-Oct-2024 allocation 22Oct240201');</v>
      </c>
      <c r="H30" s="54" t="str">
        <f t="shared" si="2"/>
        <v>insert into ins_premium_det (premium_rcv_code,assorted_code, rec_amount,premium_rcv_detail_code,remaining_amt, payrec, mode_code,coinsurance_code,class_cd,it_remarks) values('22Oct240201','040000180515','16235',(select max(to_number(i.premium_rcv_detail_code))+1
from ins_premium_det i),'16235','16235','02', '11000003','00','Request by Mr. Omair Ali 22-Oct-2024 allocation 22Oct240201');</v>
      </c>
    </row>
    <row r="31" spans="1:8" ht="105" x14ac:dyDescent="0.25">
      <c r="A31" t="s">
        <v>159</v>
      </c>
      <c r="B31" s="51" t="str">
        <f>VLOOKUP(A31,policy!B:C,2,0)</f>
        <v>040000180516</v>
      </c>
      <c r="C31" s="46">
        <v>12475</v>
      </c>
      <c r="D31" s="46">
        <v>12475</v>
      </c>
      <c r="E31" s="50" t="s">
        <v>3673</v>
      </c>
      <c r="F31" s="52" t="str">
        <f t="shared" si="0"/>
        <v>insert into ins_premium_det (premium_rcv_code,assorted_code, rec_amount,premium_rcv_detail_code,remaining_amt, payrec, mode_code,coinsurance_code,class_cd,it_remarks) values</v>
      </c>
      <c r="G31" s="53" t="str">
        <f t="shared" si="1"/>
        <v>('22Oct240201','040000180516','12475',(select max(to_number(i.premium_rcv_detail_code))+1
from ins_premium_det i),'12475','12475','02', '11000003','00','Request by Mr. Omair Ali 22-Oct-2024 allocation 22Oct240201');</v>
      </c>
      <c r="H31" s="54" t="str">
        <f t="shared" si="2"/>
        <v>insert into ins_premium_det (premium_rcv_code,assorted_code, rec_amount,premium_rcv_detail_code,remaining_amt, payrec, mode_code,coinsurance_code,class_cd,it_remarks) values('22Oct240201','040000180516','12475',(select max(to_number(i.premium_rcv_detail_code))+1
from ins_premium_det i),'12475','12475','02', '11000003','00','Request by Mr. Omair Ali 22-Oct-2024 allocation 22Oct240201');</v>
      </c>
    </row>
    <row r="32" spans="1:8" ht="105" x14ac:dyDescent="0.25">
      <c r="A32" t="s">
        <v>160</v>
      </c>
      <c r="B32" s="51" t="str">
        <f>VLOOKUP(A32,policy!B:C,2,0)</f>
        <v>040000180546</v>
      </c>
      <c r="C32" s="46">
        <v>16235.000000000002</v>
      </c>
      <c r="D32" s="46">
        <v>16235.000000000002</v>
      </c>
      <c r="E32" s="50" t="s">
        <v>3673</v>
      </c>
      <c r="F32" s="52" t="str">
        <f t="shared" si="0"/>
        <v>insert into ins_premium_det (premium_rcv_code,assorted_code, rec_amount,premium_rcv_detail_code,remaining_amt, payrec, mode_code,coinsurance_code,class_cd,it_remarks) values</v>
      </c>
      <c r="G32" s="53" t="str">
        <f t="shared" si="1"/>
        <v>('22Oct240201','040000180546','16235',(select max(to_number(i.premium_rcv_detail_code))+1
from ins_premium_det i),'16235','16235','02', '11000003','00','Request by Mr. Omair Ali 22-Oct-2024 allocation 22Oct240201');</v>
      </c>
      <c r="H32" s="54" t="str">
        <f t="shared" si="2"/>
        <v>insert into ins_premium_det (premium_rcv_code,assorted_code, rec_amount,premium_rcv_detail_code,remaining_amt, payrec, mode_code,coinsurance_code,class_cd,it_remarks) values('22Oct240201','040000180546','16235',(select max(to_number(i.premium_rcv_detail_code))+1
from ins_premium_det i),'16235','16235','02', '11000003','00','Request by Mr. Omair Ali 22-Oct-2024 allocation 22Oct240201');</v>
      </c>
    </row>
    <row r="33" spans="1:8" ht="105" x14ac:dyDescent="0.25">
      <c r="A33" t="s">
        <v>161</v>
      </c>
      <c r="B33" s="51" t="str">
        <f>VLOOKUP(A33,policy!B:C,2,0)</f>
        <v>040000180547</v>
      </c>
      <c r="C33" s="46">
        <v>16235.000000000002</v>
      </c>
      <c r="D33" s="46">
        <v>16235.000000000002</v>
      </c>
      <c r="E33" s="50" t="s">
        <v>3673</v>
      </c>
      <c r="F33" s="52" t="str">
        <f t="shared" si="0"/>
        <v>insert into ins_premium_det (premium_rcv_code,assorted_code, rec_amount,premium_rcv_detail_code,remaining_amt, payrec, mode_code,coinsurance_code,class_cd,it_remarks) values</v>
      </c>
      <c r="G33" s="53" t="str">
        <f t="shared" si="1"/>
        <v>('22Oct240201','040000180547','16235',(select max(to_number(i.premium_rcv_detail_code))+1
from ins_premium_det i),'16235','16235','02', '11000003','00','Request by Mr. Omair Ali 22-Oct-2024 allocation 22Oct240201');</v>
      </c>
      <c r="H33" s="54" t="str">
        <f t="shared" si="2"/>
        <v>insert into ins_premium_det (premium_rcv_code,assorted_code, rec_amount,premium_rcv_detail_code,remaining_amt, payrec, mode_code,coinsurance_code,class_cd,it_remarks) values('22Oct240201','040000180547','16235',(select max(to_number(i.premium_rcv_detail_code))+1
from ins_premium_det i),'16235','16235','02', '11000003','00','Request by Mr. Omair Ali 22-Oct-2024 allocation 22Oct240201');</v>
      </c>
    </row>
    <row r="34" spans="1:8" ht="105" x14ac:dyDescent="0.25">
      <c r="A34" t="s">
        <v>162</v>
      </c>
      <c r="B34" s="51" t="str">
        <f>VLOOKUP(A34,policy!B:C,2,0)</f>
        <v>040000180550</v>
      </c>
      <c r="C34" s="46">
        <v>14960.000000000002</v>
      </c>
      <c r="D34" s="46">
        <v>14960.000000000002</v>
      </c>
      <c r="E34" s="50" t="s">
        <v>3673</v>
      </c>
      <c r="F34" s="52" t="str">
        <f t="shared" si="0"/>
        <v>insert into ins_premium_det (premium_rcv_code,assorted_code, rec_amount,premium_rcv_detail_code,remaining_amt, payrec, mode_code,coinsurance_code,class_cd,it_remarks) values</v>
      </c>
      <c r="G34" s="53" t="str">
        <f t="shared" si="1"/>
        <v>('22Oct240201','040000180550','14960',(select max(to_number(i.premium_rcv_detail_code))+1
from ins_premium_det i),'14960','14960','02', '11000003','00','Request by Mr. Omair Ali 22-Oct-2024 allocation 22Oct240201');</v>
      </c>
      <c r="H34" s="54" t="str">
        <f t="shared" si="2"/>
        <v>insert into ins_premium_det (premium_rcv_code,assorted_code, rec_amount,premium_rcv_detail_code,remaining_amt, payrec, mode_code,coinsurance_code,class_cd,it_remarks) values('22Oct240201','040000180550','14960',(select max(to_number(i.premium_rcv_detail_code))+1
from ins_premium_det i),'14960','14960','02', '11000003','00','Request by Mr. Omair Ali 22-Oct-2024 allocation 22Oct240201');</v>
      </c>
    </row>
    <row r="35" spans="1:8" ht="105" x14ac:dyDescent="0.25">
      <c r="A35" t="s">
        <v>163</v>
      </c>
      <c r="B35" s="51" t="str">
        <f>VLOOKUP(A35,policy!B:C,2,0)</f>
        <v>040000180551</v>
      </c>
      <c r="C35" s="46">
        <v>8800</v>
      </c>
      <c r="D35" s="46">
        <v>8800</v>
      </c>
      <c r="E35" s="50" t="s">
        <v>3673</v>
      </c>
      <c r="F35" s="52" t="str">
        <f t="shared" si="0"/>
        <v>insert into ins_premium_det (premium_rcv_code,assorted_code, rec_amount,premium_rcv_detail_code,remaining_amt, payrec, mode_code,coinsurance_code,class_cd,it_remarks) values</v>
      </c>
      <c r="G35" s="53" t="str">
        <f t="shared" si="1"/>
        <v>('22Oct240201','040000180551','8800',(select max(to_number(i.premium_rcv_detail_code))+1
from ins_premium_det i),'8800','8800','02', '11000003','00','Request by Mr. Omair Ali 22-Oct-2024 allocation 22Oct240201');</v>
      </c>
      <c r="H35" s="54" t="str">
        <f t="shared" si="2"/>
        <v>insert into ins_premium_det (premium_rcv_code,assorted_code, rec_amount,premium_rcv_detail_code,remaining_amt, payrec, mode_code,coinsurance_code,class_cd,it_remarks) values('22Oct240201','040000180551','8800',(select max(to_number(i.premium_rcv_detail_code))+1
from ins_premium_det i),'8800','8800','02', '11000003','00','Request by Mr. Omair Ali 22-Oct-2024 allocation 22Oct240201');</v>
      </c>
    </row>
    <row r="36" spans="1:8" ht="105" x14ac:dyDescent="0.25">
      <c r="A36" t="s">
        <v>164</v>
      </c>
      <c r="B36" s="51" t="str">
        <f>VLOOKUP(A36,policy!B:C,2,0)</f>
        <v>040000180553</v>
      </c>
      <c r="C36" s="46">
        <v>20378.5</v>
      </c>
      <c r="D36" s="46">
        <v>20378.5</v>
      </c>
      <c r="E36" s="50" t="s">
        <v>3673</v>
      </c>
      <c r="F36" s="52" t="str">
        <f t="shared" si="0"/>
        <v>insert into ins_premium_det (premium_rcv_code,assorted_code, rec_amount,premium_rcv_detail_code,remaining_amt, payrec, mode_code,coinsurance_code,class_cd,it_remarks) values</v>
      </c>
      <c r="G36" s="53" t="str">
        <f t="shared" si="1"/>
        <v>('22Oct240201','040000180553','20378.5',(select max(to_number(i.premium_rcv_detail_code))+1
from ins_premium_det i),'20378.5','20378.5','02', '11000003','00','Request by Mr. Omair Ali 22-Oct-2024 allocation 22Oct240201');</v>
      </c>
      <c r="H36" s="54" t="str">
        <f t="shared" si="2"/>
        <v>insert into ins_premium_det (premium_rcv_code,assorted_code, rec_amount,premium_rcv_detail_code,remaining_amt, payrec, mode_code,coinsurance_code,class_cd,it_remarks) values('22Oct240201','040000180553','20378.5',(select max(to_number(i.premium_rcv_detail_code))+1
from ins_premium_det i),'20378.5','20378.5','02', '11000003','00','Request by Mr. Omair Ali 22-Oct-2024 allocation 22Oct240201');</v>
      </c>
    </row>
    <row r="37" spans="1:8" ht="105" x14ac:dyDescent="0.25">
      <c r="A37" t="s">
        <v>165</v>
      </c>
      <c r="B37" s="51" t="str">
        <f>VLOOKUP(A37,policy!B:C,2,0)</f>
        <v>040000180557</v>
      </c>
      <c r="C37" s="46">
        <v>14960.000000000002</v>
      </c>
      <c r="D37" s="46">
        <v>14960.000000000002</v>
      </c>
      <c r="E37" s="50" t="s">
        <v>3673</v>
      </c>
      <c r="F37" s="52" t="str">
        <f t="shared" si="0"/>
        <v>insert into ins_premium_det (premium_rcv_code,assorted_code, rec_amount,premium_rcv_detail_code,remaining_amt, payrec, mode_code,coinsurance_code,class_cd,it_remarks) values</v>
      </c>
      <c r="G37" s="53" t="str">
        <f t="shared" si="1"/>
        <v>('22Oct240201','040000180557','14960',(select max(to_number(i.premium_rcv_detail_code))+1
from ins_premium_det i),'14960','14960','02', '11000003','00','Request by Mr. Omair Ali 22-Oct-2024 allocation 22Oct240201');</v>
      </c>
      <c r="H37" s="54" t="str">
        <f t="shared" si="2"/>
        <v>insert into ins_premium_det (premium_rcv_code,assorted_code, rec_amount,premium_rcv_detail_code,remaining_amt, payrec, mode_code,coinsurance_code,class_cd,it_remarks) values('22Oct240201','040000180557','14960',(select max(to_number(i.premium_rcv_detail_code))+1
from ins_premium_det i),'14960','14960','02', '11000003','00','Request by Mr. Omair Ali 22-Oct-2024 allocation 22Oct240201');</v>
      </c>
    </row>
    <row r="38" spans="1:8" ht="105" x14ac:dyDescent="0.25">
      <c r="A38" t="s">
        <v>166</v>
      </c>
      <c r="B38" s="51" t="str">
        <f>VLOOKUP(A38,policy!B:C,2,0)</f>
        <v>040000180558</v>
      </c>
      <c r="C38" s="46">
        <v>14960.000000000002</v>
      </c>
      <c r="D38" s="46">
        <v>14960.000000000002</v>
      </c>
      <c r="E38" s="50" t="s">
        <v>3673</v>
      </c>
      <c r="F38" s="52" t="str">
        <f t="shared" si="0"/>
        <v>insert into ins_premium_det (premium_rcv_code,assorted_code, rec_amount,premium_rcv_detail_code,remaining_amt, payrec, mode_code,coinsurance_code,class_cd,it_remarks) values</v>
      </c>
      <c r="G38" s="53" t="str">
        <f t="shared" si="1"/>
        <v>('22Oct240201','040000180558','14960',(select max(to_number(i.premium_rcv_detail_code))+1
from ins_premium_det i),'14960','14960','02', '11000003','00','Request by Mr. Omair Ali 22-Oct-2024 allocation 22Oct240201');</v>
      </c>
      <c r="H38" s="54" t="str">
        <f t="shared" si="2"/>
        <v>insert into ins_premium_det (premium_rcv_code,assorted_code, rec_amount,premium_rcv_detail_code,remaining_amt, payrec, mode_code,coinsurance_code,class_cd,it_remarks) values('22Oct240201','040000180558','14960',(select max(to_number(i.premium_rcv_detail_code))+1
from ins_premium_det i),'14960','14960','02', '11000003','00','Request by Mr. Omair Ali 22-Oct-2024 allocation 22Oct240201');</v>
      </c>
    </row>
    <row r="39" spans="1:8" ht="105" x14ac:dyDescent="0.25">
      <c r="A39" t="s">
        <v>167</v>
      </c>
      <c r="B39" s="51" t="str">
        <f>VLOOKUP(A39,policy!B:C,2,0)</f>
        <v>040000180561</v>
      </c>
      <c r="C39" s="46">
        <v>16235.000000000002</v>
      </c>
      <c r="D39" s="46">
        <v>16235.000000000002</v>
      </c>
      <c r="E39" s="50" t="s">
        <v>3673</v>
      </c>
      <c r="F39" s="52" t="str">
        <f t="shared" si="0"/>
        <v>insert into ins_premium_det (premium_rcv_code,assorted_code, rec_amount,premium_rcv_detail_code,remaining_amt, payrec, mode_code,coinsurance_code,class_cd,it_remarks) values</v>
      </c>
      <c r="G39" s="53" t="str">
        <f t="shared" si="1"/>
        <v>('22Oct240201','040000180561','16235',(select max(to_number(i.premium_rcv_detail_code))+1
from ins_premium_det i),'16235','16235','02', '11000003','00','Request by Mr. Omair Ali 22-Oct-2024 allocation 22Oct240201');</v>
      </c>
      <c r="H39" s="54" t="str">
        <f t="shared" si="2"/>
        <v>insert into ins_premium_det (premium_rcv_code,assorted_code, rec_amount,premium_rcv_detail_code,remaining_amt, payrec, mode_code,coinsurance_code,class_cd,it_remarks) values('22Oct240201','040000180561','16235',(select max(to_number(i.premium_rcv_detail_code))+1
from ins_premium_det i),'16235','16235','02', '11000003','00','Request by Mr. Omair Ali 22-Oct-2024 allocation 22Oct240201');</v>
      </c>
    </row>
    <row r="40" spans="1:8" ht="105" x14ac:dyDescent="0.25">
      <c r="A40" t="s">
        <v>168</v>
      </c>
      <c r="B40" s="51" t="str">
        <f>VLOOKUP(A40,policy!B:C,2,0)</f>
        <v>040000180562</v>
      </c>
      <c r="C40" s="46">
        <v>16235.000000000002</v>
      </c>
      <c r="D40" s="46">
        <v>16235.000000000002</v>
      </c>
      <c r="E40" s="50" t="s">
        <v>3673</v>
      </c>
      <c r="F40" s="52" t="str">
        <f t="shared" si="0"/>
        <v>insert into ins_premium_det (premium_rcv_code,assorted_code, rec_amount,premium_rcv_detail_code,remaining_amt, payrec, mode_code,coinsurance_code,class_cd,it_remarks) values</v>
      </c>
      <c r="G40" s="53" t="str">
        <f t="shared" si="1"/>
        <v>('22Oct240201','040000180562','16235',(select max(to_number(i.premium_rcv_detail_code))+1
from ins_premium_det i),'16235','16235','02', '11000003','00','Request by Mr. Omair Ali 22-Oct-2024 allocation 22Oct240201');</v>
      </c>
      <c r="H40" s="54" t="str">
        <f t="shared" si="2"/>
        <v>insert into ins_premium_det (premium_rcv_code,assorted_code, rec_amount,premium_rcv_detail_code,remaining_amt, payrec, mode_code,coinsurance_code,class_cd,it_remarks) values('22Oct240201','040000180562','16235',(select max(to_number(i.premium_rcv_detail_code))+1
from ins_premium_det i),'16235','16235','02', '11000003','00','Request by Mr. Omair Ali 22-Oct-2024 allocation 22Oct240201');</v>
      </c>
    </row>
    <row r="41" spans="1:8" ht="105" x14ac:dyDescent="0.25">
      <c r="A41" t="s">
        <v>169</v>
      </c>
      <c r="B41" s="51" t="str">
        <f>VLOOKUP(A41,policy!B:C,2,0)</f>
        <v>040000180567</v>
      </c>
      <c r="C41" s="46">
        <v>9550</v>
      </c>
      <c r="D41" s="46">
        <v>9550</v>
      </c>
      <c r="E41" s="50" t="s">
        <v>3673</v>
      </c>
      <c r="F41" s="52" t="str">
        <f t="shared" si="0"/>
        <v>insert into ins_premium_det (premium_rcv_code,assorted_code, rec_amount,premium_rcv_detail_code,remaining_amt, payrec, mode_code,coinsurance_code,class_cd,it_remarks) values</v>
      </c>
      <c r="G41" s="53" t="str">
        <f t="shared" si="1"/>
        <v>('22Oct240201','040000180567','9550',(select max(to_number(i.premium_rcv_detail_code))+1
from ins_premium_det i),'9550','9550','02', '11000003','00','Request by Mr. Omair Ali 22-Oct-2024 allocation 22Oct240201');</v>
      </c>
      <c r="H41" s="54" t="str">
        <f t="shared" si="2"/>
        <v>insert into ins_premium_det (premium_rcv_code,assorted_code, rec_amount,premium_rcv_detail_code,remaining_amt, payrec, mode_code,coinsurance_code,class_cd,it_remarks) values('22Oct240201','040000180567','9550',(select max(to_number(i.premium_rcv_detail_code))+1
from ins_premium_det i),'9550','9550','02', '11000003','00','Request by Mr. Omair Ali 22-Oct-2024 allocation 22Oct240201');</v>
      </c>
    </row>
    <row r="42" spans="1:8" ht="105" x14ac:dyDescent="0.25">
      <c r="A42" t="s">
        <v>170</v>
      </c>
      <c r="B42" s="51" t="str">
        <f>VLOOKUP(A42,policy!B:C,2,0)</f>
        <v>040000180568</v>
      </c>
      <c r="C42" s="46">
        <v>14960.000000000002</v>
      </c>
      <c r="D42" s="46">
        <v>14960.000000000002</v>
      </c>
      <c r="E42" s="50" t="s">
        <v>3673</v>
      </c>
      <c r="F42" s="52" t="str">
        <f t="shared" si="0"/>
        <v>insert into ins_premium_det (premium_rcv_code,assorted_code, rec_amount,premium_rcv_detail_code,remaining_amt, payrec, mode_code,coinsurance_code,class_cd,it_remarks) values</v>
      </c>
      <c r="G42" s="53" t="str">
        <f t="shared" si="1"/>
        <v>('22Oct240201','040000180568','14960',(select max(to_number(i.premium_rcv_detail_code))+1
from ins_premium_det i),'14960','14960','02', '11000003','00','Request by Mr. Omair Ali 22-Oct-2024 allocation 22Oct240201');</v>
      </c>
      <c r="H42" s="54" t="str">
        <f t="shared" si="2"/>
        <v>insert into ins_premium_det (premium_rcv_code,assorted_code, rec_amount,premium_rcv_detail_code,remaining_amt, payrec, mode_code,coinsurance_code,class_cd,it_remarks) values('22Oct240201','040000180568','14960',(select max(to_number(i.premium_rcv_detail_code))+1
from ins_premium_det i),'14960','14960','02', '11000003','00','Request by Mr. Omair Ali 22-Oct-2024 allocation 22Oct240201');</v>
      </c>
    </row>
    <row r="43" spans="1:8" ht="105" x14ac:dyDescent="0.25">
      <c r="A43" t="s">
        <v>171</v>
      </c>
      <c r="B43" s="51" t="str">
        <f>VLOOKUP(A43,policy!B:C,2,0)</f>
        <v>040000180569</v>
      </c>
      <c r="C43" s="46">
        <v>14960.000000000002</v>
      </c>
      <c r="D43" s="46">
        <v>14960.000000000002</v>
      </c>
      <c r="E43" s="50" t="s">
        <v>3673</v>
      </c>
      <c r="F43" s="52" t="str">
        <f t="shared" si="0"/>
        <v>insert into ins_premium_det (premium_rcv_code,assorted_code, rec_amount,premium_rcv_detail_code,remaining_amt, payrec, mode_code,coinsurance_code,class_cd,it_remarks) values</v>
      </c>
      <c r="G43" s="53" t="str">
        <f t="shared" si="1"/>
        <v>('22Oct240201','040000180569','14960',(select max(to_number(i.premium_rcv_detail_code))+1
from ins_premium_det i),'14960','14960','02', '11000003','00','Request by Mr. Omair Ali 22-Oct-2024 allocation 22Oct240201');</v>
      </c>
      <c r="H43" s="54" t="str">
        <f t="shared" si="2"/>
        <v>insert into ins_premium_det (premium_rcv_code,assorted_code, rec_amount,premium_rcv_detail_code,remaining_amt, payrec, mode_code,coinsurance_code,class_cd,it_remarks) values('22Oct240201','040000180569','14960',(select max(to_number(i.premium_rcv_detail_code))+1
from ins_premium_det i),'14960','14960','02', '11000003','00','Request by Mr. Omair Ali 22-Oct-2024 allocation 22Oct240201');</v>
      </c>
    </row>
    <row r="44" spans="1:8" ht="105" x14ac:dyDescent="0.25">
      <c r="A44" t="s">
        <v>172</v>
      </c>
      <c r="B44" s="51" t="str">
        <f>VLOOKUP(A44,policy!B:C,2,0)</f>
        <v>040000180571</v>
      </c>
      <c r="C44" s="46">
        <v>23247.5</v>
      </c>
      <c r="D44" s="46">
        <v>23247.5</v>
      </c>
      <c r="E44" s="50" t="s">
        <v>3673</v>
      </c>
      <c r="F44" s="52" t="str">
        <f t="shared" si="0"/>
        <v>insert into ins_premium_det (premium_rcv_code,assorted_code, rec_amount,premium_rcv_detail_code,remaining_amt, payrec, mode_code,coinsurance_code,class_cd,it_remarks) values</v>
      </c>
      <c r="G44" s="53" t="str">
        <f t="shared" si="1"/>
        <v>('22Oct240201','040000180571','23247.5',(select max(to_number(i.premium_rcv_detail_code))+1
from ins_premium_det i),'23247.5','23247.5','02', '11000003','00','Request by Mr. Omair Ali 22-Oct-2024 allocation 22Oct240201');</v>
      </c>
      <c r="H44" s="54" t="str">
        <f t="shared" si="2"/>
        <v>insert into ins_premium_det (premium_rcv_code,assorted_code, rec_amount,premium_rcv_detail_code,remaining_amt, payrec, mode_code,coinsurance_code,class_cd,it_remarks) values('22Oct240201','040000180571','23247.5',(select max(to_number(i.premium_rcv_detail_code))+1
from ins_premium_det i),'23247.5','23247.5','02', '11000003','00','Request by Mr. Omair Ali 22-Oct-2024 allocation 22Oct240201');</v>
      </c>
    </row>
    <row r="45" spans="1:8" ht="105" x14ac:dyDescent="0.25">
      <c r="A45" t="s">
        <v>173</v>
      </c>
      <c r="B45" s="51" t="str">
        <f>VLOOKUP(A45,policy!B:C,2,0)</f>
        <v>040000180572</v>
      </c>
      <c r="C45" s="46">
        <v>23247.5</v>
      </c>
      <c r="D45" s="46">
        <v>23247.5</v>
      </c>
      <c r="E45" s="50" t="s">
        <v>3673</v>
      </c>
      <c r="F45" s="52" t="str">
        <f t="shared" si="0"/>
        <v>insert into ins_premium_det (premium_rcv_code,assorted_code, rec_amount,premium_rcv_detail_code,remaining_amt, payrec, mode_code,coinsurance_code,class_cd,it_remarks) values</v>
      </c>
      <c r="G45" s="53" t="str">
        <f t="shared" si="1"/>
        <v>('22Oct240201','040000180572','23247.5',(select max(to_number(i.premium_rcv_detail_code))+1
from ins_premium_det i),'23247.5','23247.5','02', '11000003','00','Request by Mr. Omair Ali 22-Oct-2024 allocation 22Oct240201');</v>
      </c>
      <c r="H45" s="54" t="str">
        <f t="shared" si="2"/>
        <v>insert into ins_premium_det (premium_rcv_code,assorted_code, rec_amount,premium_rcv_detail_code,remaining_amt, payrec, mode_code,coinsurance_code,class_cd,it_remarks) values('22Oct240201','040000180572','23247.5',(select max(to_number(i.premium_rcv_detail_code))+1
from ins_premium_det i),'23247.5','23247.5','02', '11000003','00','Request by Mr. Omair Ali 22-Oct-2024 allocation 22Oct240201');</v>
      </c>
    </row>
    <row r="46" spans="1:8" ht="105" x14ac:dyDescent="0.25">
      <c r="A46" t="s">
        <v>174</v>
      </c>
      <c r="B46" s="51" t="str">
        <f>VLOOKUP(A46,policy!B:C,2,0)</f>
        <v>040000180583</v>
      </c>
      <c r="C46" s="46">
        <v>16235.000000000002</v>
      </c>
      <c r="D46" s="46">
        <v>16235.000000000002</v>
      </c>
      <c r="E46" s="50" t="s">
        <v>3673</v>
      </c>
      <c r="F46" s="52" t="str">
        <f t="shared" si="0"/>
        <v>insert into ins_premium_det (premium_rcv_code,assorted_code, rec_amount,premium_rcv_detail_code,remaining_amt, payrec, mode_code,coinsurance_code,class_cd,it_remarks) values</v>
      </c>
      <c r="G46" s="53" t="str">
        <f t="shared" si="1"/>
        <v>('22Oct240201','040000180583','16235',(select max(to_number(i.premium_rcv_detail_code))+1
from ins_premium_det i),'16235','16235','02', '11000003','00','Request by Mr. Omair Ali 22-Oct-2024 allocation 22Oct240201');</v>
      </c>
      <c r="H46" s="54" t="str">
        <f t="shared" si="2"/>
        <v>insert into ins_premium_det (premium_rcv_code,assorted_code, rec_amount,premium_rcv_detail_code,remaining_amt, payrec, mode_code,coinsurance_code,class_cd,it_remarks) values('22Oct240201','040000180583','16235',(select max(to_number(i.premium_rcv_detail_code))+1
from ins_premium_det i),'16235','16235','02', '11000003','00','Request by Mr. Omair Ali 22-Oct-2024 allocation 22Oct240201');</v>
      </c>
    </row>
    <row r="47" spans="1:8" ht="105" x14ac:dyDescent="0.25">
      <c r="A47" t="s">
        <v>175</v>
      </c>
      <c r="B47" s="51" t="str">
        <f>VLOOKUP(A47,policy!B:C,2,0)</f>
        <v>040000180589</v>
      </c>
      <c r="C47" s="46">
        <v>16235.000000000002</v>
      </c>
      <c r="D47" s="46">
        <v>16235.000000000002</v>
      </c>
      <c r="E47" s="50" t="s">
        <v>3673</v>
      </c>
      <c r="F47" s="52" t="str">
        <f t="shared" si="0"/>
        <v>insert into ins_premium_det (premium_rcv_code,assorted_code, rec_amount,premium_rcv_detail_code,remaining_amt, payrec, mode_code,coinsurance_code,class_cd,it_remarks) values</v>
      </c>
      <c r="G47" s="53" t="str">
        <f t="shared" si="1"/>
        <v>('22Oct240201','040000180589','16235',(select max(to_number(i.premium_rcv_detail_code))+1
from ins_premium_det i),'16235','16235','02', '11000003','00','Request by Mr. Omair Ali 22-Oct-2024 allocation 22Oct240201');</v>
      </c>
      <c r="H47" s="54" t="str">
        <f t="shared" si="2"/>
        <v>insert into ins_premium_det (premium_rcv_code,assorted_code, rec_amount,premium_rcv_detail_code,remaining_amt, payrec, mode_code,coinsurance_code,class_cd,it_remarks) values('22Oct240201','040000180589','16235',(select max(to_number(i.premium_rcv_detail_code))+1
from ins_premium_det i),'16235','16235','02', '11000003','00','Request by Mr. Omair Ali 22-Oct-2024 allocation 22Oct240201');</v>
      </c>
    </row>
    <row r="48" spans="1:8" ht="105" x14ac:dyDescent="0.25">
      <c r="A48" t="s">
        <v>176</v>
      </c>
      <c r="B48" s="51" t="str">
        <f>VLOOKUP(A48,policy!B:C,2,0)</f>
        <v>040000180591</v>
      </c>
      <c r="C48" s="46">
        <v>16235.000000000002</v>
      </c>
      <c r="D48" s="46">
        <v>16235.000000000002</v>
      </c>
      <c r="E48" s="50" t="s">
        <v>3673</v>
      </c>
      <c r="F48" s="52" t="str">
        <f t="shared" si="0"/>
        <v>insert into ins_premium_det (premium_rcv_code,assorted_code, rec_amount,premium_rcv_detail_code,remaining_amt, payrec, mode_code,coinsurance_code,class_cd,it_remarks) values</v>
      </c>
      <c r="G48" s="53" t="str">
        <f t="shared" si="1"/>
        <v>('22Oct240201','040000180591','16235',(select max(to_number(i.premium_rcv_detail_code))+1
from ins_premium_det i),'16235','16235','02', '11000003','00','Request by Mr. Omair Ali 22-Oct-2024 allocation 22Oct240201');</v>
      </c>
      <c r="H48" s="54" t="str">
        <f t="shared" si="2"/>
        <v>insert into ins_premium_det (premium_rcv_code,assorted_code, rec_amount,premium_rcv_detail_code,remaining_amt, payrec, mode_code,coinsurance_code,class_cd,it_remarks) values('22Oct240201','040000180591','16235',(select max(to_number(i.premium_rcv_detail_code))+1
from ins_premium_det i),'16235','16235','02', '11000003','00','Request by Mr. Omair Ali 22-Oct-2024 allocation 22Oct240201');</v>
      </c>
    </row>
    <row r="49" spans="1:8" ht="105" x14ac:dyDescent="0.25">
      <c r="A49" t="s">
        <v>177</v>
      </c>
      <c r="B49" s="51" t="str">
        <f>VLOOKUP(A49,policy!B:C,2,0)</f>
        <v>040000180595</v>
      </c>
      <c r="C49" s="46">
        <v>14960.000000000002</v>
      </c>
      <c r="D49" s="46">
        <v>14960.000000000002</v>
      </c>
      <c r="E49" s="50" t="s">
        <v>3673</v>
      </c>
      <c r="F49" s="52" t="str">
        <f t="shared" si="0"/>
        <v>insert into ins_premium_det (premium_rcv_code,assorted_code, rec_amount,premium_rcv_detail_code,remaining_amt, payrec, mode_code,coinsurance_code,class_cd,it_remarks) values</v>
      </c>
      <c r="G49" s="53" t="str">
        <f t="shared" si="1"/>
        <v>('22Oct240201','040000180595','14960',(select max(to_number(i.premium_rcv_detail_code))+1
from ins_premium_det i),'14960','14960','02', '11000003','00','Request by Mr. Omair Ali 22-Oct-2024 allocation 22Oct240201');</v>
      </c>
      <c r="H49" s="54" t="str">
        <f t="shared" si="2"/>
        <v>insert into ins_premium_det (premium_rcv_code,assorted_code, rec_amount,premium_rcv_detail_code,remaining_amt, payrec, mode_code,coinsurance_code,class_cd,it_remarks) values('22Oct240201','040000180595','14960',(select max(to_number(i.premium_rcv_detail_code))+1
from ins_premium_det i),'14960','14960','02', '11000003','00','Request by Mr. Omair Ali 22-Oct-2024 allocation 22Oct240201');</v>
      </c>
    </row>
    <row r="50" spans="1:8" ht="105" x14ac:dyDescent="0.25">
      <c r="A50" t="s">
        <v>178</v>
      </c>
      <c r="B50" s="51" t="str">
        <f>VLOOKUP(A50,policy!B:C,2,0)</f>
        <v>040000180596</v>
      </c>
      <c r="C50" s="46">
        <v>14960.000000000002</v>
      </c>
      <c r="D50" s="46">
        <v>14960.000000000002</v>
      </c>
      <c r="E50" s="50" t="s">
        <v>3673</v>
      </c>
      <c r="F50" s="52" t="str">
        <f t="shared" si="0"/>
        <v>insert into ins_premium_det (premium_rcv_code,assorted_code, rec_amount,premium_rcv_detail_code,remaining_amt, payrec, mode_code,coinsurance_code,class_cd,it_remarks) values</v>
      </c>
      <c r="G50" s="53" t="str">
        <f t="shared" si="1"/>
        <v>('22Oct240201','040000180596','14960',(select max(to_number(i.premium_rcv_detail_code))+1
from ins_premium_det i),'14960','14960','02', '11000003','00','Request by Mr. Omair Ali 22-Oct-2024 allocation 22Oct240201');</v>
      </c>
      <c r="H50" s="54" t="str">
        <f t="shared" si="2"/>
        <v>insert into ins_premium_det (premium_rcv_code,assorted_code, rec_amount,premium_rcv_detail_code,remaining_amt, payrec, mode_code,coinsurance_code,class_cd,it_remarks) values('22Oct240201','040000180596','14960',(select max(to_number(i.premium_rcv_detail_code))+1
from ins_premium_det i),'14960','14960','02', '11000003','00','Request by Mr. Omair Ali 22-Oct-2024 allocation 22Oct240201');</v>
      </c>
    </row>
    <row r="51" spans="1:8" ht="105" x14ac:dyDescent="0.25">
      <c r="A51" t="s">
        <v>179</v>
      </c>
      <c r="B51" s="51" t="str">
        <f>VLOOKUP(A51,policy!B:C,2,0)</f>
        <v>040000180609</v>
      </c>
      <c r="C51" s="46">
        <v>23247.5</v>
      </c>
      <c r="D51" s="46">
        <v>23247.5</v>
      </c>
      <c r="E51" s="50" t="s">
        <v>3673</v>
      </c>
      <c r="F51" s="52" t="str">
        <f t="shared" si="0"/>
        <v>insert into ins_premium_det (premium_rcv_code,assorted_code, rec_amount,premium_rcv_detail_code,remaining_amt, payrec, mode_code,coinsurance_code,class_cd,it_remarks) values</v>
      </c>
      <c r="G51" s="53" t="str">
        <f t="shared" si="1"/>
        <v>('22Oct240201','040000180609','23247.5',(select max(to_number(i.premium_rcv_detail_code))+1
from ins_premium_det i),'23247.5','23247.5','02', '11000003','00','Request by Mr. Omair Ali 22-Oct-2024 allocation 22Oct240201');</v>
      </c>
      <c r="H51" s="54" t="str">
        <f t="shared" si="2"/>
        <v>insert into ins_premium_det (premium_rcv_code,assorted_code, rec_amount,premium_rcv_detail_code,remaining_amt, payrec, mode_code,coinsurance_code,class_cd,it_remarks) values('22Oct240201','040000180609','23247.5',(select max(to_number(i.premium_rcv_detail_code))+1
from ins_premium_det i),'23247.5','23247.5','02', '11000003','00','Request by Mr. Omair Ali 22-Oct-2024 allocation 22Oct240201');</v>
      </c>
    </row>
    <row r="52" spans="1:8" ht="105" x14ac:dyDescent="0.25">
      <c r="A52" t="s">
        <v>180</v>
      </c>
      <c r="B52" s="51" t="str">
        <f>VLOOKUP(A52,policy!B:C,2,0)</f>
        <v>040000180610</v>
      </c>
      <c r="C52" s="46">
        <v>23247.5</v>
      </c>
      <c r="D52" s="46">
        <v>23247.5</v>
      </c>
      <c r="E52" s="50" t="s">
        <v>3673</v>
      </c>
      <c r="F52" s="52" t="str">
        <f t="shared" si="0"/>
        <v>insert into ins_premium_det (premium_rcv_code,assorted_code, rec_amount,premium_rcv_detail_code,remaining_amt, payrec, mode_code,coinsurance_code,class_cd,it_remarks) values</v>
      </c>
      <c r="G52" s="53" t="str">
        <f t="shared" si="1"/>
        <v>('22Oct240201','040000180610','23247.5',(select max(to_number(i.premium_rcv_detail_code))+1
from ins_premium_det i),'23247.5','23247.5','02', '11000003','00','Request by Mr. Omair Ali 22-Oct-2024 allocation 22Oct240201');</v>
      </c>
      <c r="H52" s="54" t="str">
        <f t="shared" si="2"/>
        <v>insert into ins_premium_det (premium_rcv_code,assorted_code, rec_amount,premium_rcv_detail_code,remaining_amt, payrec, mode_code,coinsurance_code,class_cd,it_remarks) values('22Oct240201','040000180610','23247.5',(select max(to_number(i.premium_rcv_detail_code))+1
from ins_premium_det i),'23247.5','23247.5','02', '11000003','00','Request by Mr. Omair Ali 22-Oct-2024 allocation 22Oct240201');</v>
      </c>
    </row>
    <row r="53" spans="1:8" ht="105" x14ac:dyDescent="0.25">
      <c r="A53" t="s">
        <v>181</v>
      </c>
      <c r="B53" s="51" t="str">
        <f>VLOOKUP(A53,policy!B:C,2,0)</f>
        <v>040000180615</v>
      </c>
      <c r="C53" s="46">
        <v>13675</v>
      </c>
      <c r="D53" s="46">
        <v>13675</v>
      </c>
      <c r="E53" s="50" t="s">
        <v>3673</v>
      </c>
      <c r="F53" s="52" t="str">
        <f t="shared" si="0"/>
        <v>insert into ins_premium_det (premium_rcv_code,assorted_code, rec_amount,premium_rcv_detail_code,remaining_amt, payrec, mode_code,coinsurance_code,class_cd,it_remarks) values</v>
      </c>
      <c r="G53" s="53" t="str">
        <f t="shared" si="1"/>
        <v>('22Oct240201','040000180615','13675',(select max(to_number(i.premium_rcv_detail_code))+1
from ins_premium_det i),'13675','13675','02', '11000003','00','Request by Mr. Omair Ali 22-Oct-2024 allocation 22Oct240201');</v>
      </c>
      <c r="H53" s="54" t="str">
        <f t="shared" si="2"/>
        <v>insert into ins_premium_det (premium_rcv_code,assorted_code, rec_amount,premium_rcv_detail_code,remaining_amt, payrec, mode_code,coinsurance_code,class_cd,it_remarks) values('22Oct240201','040000180615','13675',(select max(to_number(i.premium_rcv_detail_code))+1
from ins_premium_det i),'13675','13675','02', '11000003','00','Request by Mr. Omair Ali 22-Oct-2024 allocation 22Oct240201');</v>
      </c>
    </row>
    <row r="54" spans="1:8" ht="105" x14ac:dyDescent="0.25">
      <c r="A54" t="s">
        <v>182</v>
      </c>
      <c r="B54" s="51" t="str">
        <f>VLOOKUP(A54,policy!B:C,2,0)</f>
        <v>040000180616</v>
      </c>
      <c r="C54" s="46">
        <v>23247.5</v>
      </c>
      <c r="D54" s="46">
        <v>23247.5</v>
      </c>
      <c r="E54" s="50" t="s">
        <v>3673</v>
      </c>
      <c r="F54" s="52" t="str">
        <f t="shared" si="0"/>
        <v>insert into ins_premium_det (premium_rcv_code,assorted_code, rec_amount,premium_rcv_detail_code,remaining_amt, payrec, mode_code,coinsurance_code,class_cd,it_remarks) values</v>
      </c>
      <c r="G54" s="53" t="str">
        <f t="shared" si="1"/>
        <v>('22Oct240201','040000180616','23247.5',(select max(to_number(i.premium_rcv_detail_code))+1
from ins_premium_det i),'23247.5','23247.5','02', '11000003','00','Request by Mr. Omair Ali 22-Oct-2024 allocation 22Oct240201');</v>
      </c>
      <c r="H54" s="54" t="str">
        <f t="shared" si="2"/>
        <v>insert into ins_premium_det (premium_rcv_code,assorted_code, rec_amount,premium_rcv_detail_code,remaining_amt, payrec, mode_code,coinsurance_code,class_cd,it_remarks) values('22Oct240201','040000180616','23247.5',(select max(to_number(i.premium_rcv_detail_code))+1
from ins_premium_det i),'23247.5','23247.5','02', '11000003','00','Request by Mr. Omair Ali 22-Oct-2024 allocation 22Oct240201');</v>
      </c>
    </row>
    <row r="55" spans="1:8" ht="105" x14ac:dyDescent="0.25">
      <c r="A55" t="s">
        <v>183</v>
      </c>
      <c r="B55" s="51" t="str">
        <f>VLOOKUP(A55,policy!B:C,2,0)</f>
        <v>040000180617</v>
      </c>
      <c r="C55" s="46">
        <v>23247.5</v>
      </c>
      <c r="D55" s="46">
        <v>23247.5</v>
      </c>
      <c r="E55" s="50" t="s">
        <v>3673</v>
      </c>
      <c r="F55" s="52" t="str">
        <f t="shared" si="0"/>
        <v>insert into ins_premium_det (premium_rcv_code,assorted_code, rec_amount,premium_rcv_detail_code,remaining_amt, payrec, mode_code,coinsurance_code,class_cd,it_remarks) values</v>
      </c>
      <c r="G55" s="53" t="str">
        <f t="shared" si="1"/>
        <v>('22Oct240201','040000180617','23247.5',(select max(to_number(i.premium_rcv_detail_code))+1
from ins_premium_det i),'23247.5','23247.5','02', '11000003','00','Request by Mr. Omair Ali 22-Oct-2024 allocation 22Oct240201');</v>
      </c>
      <c r="H55" s="54" t="str">
        <f t="shared" si="2"/>
        <v>insert into ins_premium_det (premium_rcv_code,assorted_code, rec_amount,premium_rcv_detail_code,remaining_amt, payrec, mode_code,coinsurance_code,class_cd,it_remarks) values('22Oct240201','040000180617','23247.5',(select max(to_number(i.premium_rcv_detail_code))+1
from ins_premium_det i),'23247.5','23247.5','02', '11000003','00','Request by Mr. Omair Ali 22-Oct-2024 allocation 22Oct240201');</v>
      </c>
    </row>
    <row r="56" spans="1:8" ht="105" x14ac:dyDescent="0.25">
      <c r="A56" t="s">
        <v>184</v>
      </c>
      <c r="B56" s="51" t="str">
        <f>VLOOKUP(A56,policy!B:C,2,0)</f>
        <v>040000180618</v>
      </c>
      <c r="C56" s="46">
        <v>23247.5</v>
      </c>
      <c r="D56" s="46">
        <v>23247.5</v>
      </c>
      <c r="E56" s="50" t="s">
        <v>3673</v>
      </c>
      <c r="F56" s="52" t="str">
        <f t="shared" si="0"/>
        <v>insert into ins_premium_det (premium_rcv_code,assorted_code, rec_amount,premium_rcv_detail_code,remaining_amt, payrec, mode_code,coinsurance_code,class_cd,it_remarks) values</v>
      </c>
      <c r="G56" s="53" t="str">
        <f t="shared" si="1"/>
        <v>('22Oct240201','040000180618','23247.5',(select max(to_number(i.premium_rcv_detail_code))+1
from ins_premium_det i),'23247.5','23247.5','02', '11000003','00','Request by Mr. Omair Ali 22-Oct-2024 allocation 22Oct240201');</v>
      </c>
      <c r="H56" s="54" t="str">
        <f t="shared" si="2"/>
        <v>insert into ins_premium_det (premium_rcv_code,assorted_code, rec_amount,premium_rcv_detail_code,remaining_amt, payrec, mode_code,coinsurance_code,class_cd,it_remarks) values('22Oct240201','040000180618','23247.5',(select max(to_number(i.premium_rcv_detail_code))+1
from ins_premium_det i),'23247.5','23247.5','02', '11000003','00','Request by Mr. Omair Ali 22-Oct-2024 allocation 22Oct240201');</v>
      </c>
    </row>
    <row r="57" spans="1:8" ht="105" x14ac:dyDescent="0.25">
      <c r="A57" t="s">
        <v>185</v>
      </c>
      <c r="B57" s="51" t="str">
        <f>VLOOKUP(A57,policy!B:C,2,0)</f>
        <v>040000180619</v>
      </c>
      <c r="C57" s="46">
        <v>23247.5</v>
      </c>
      <c r="D57" s="46">
        <v>23247.5</v>
      </c>
      <c r="E57" s="50" t="s">
        <v>3673</v>
      </c>
      <c r="F57" s="52" t="str">
        <f t="shared" si="0"/>
        <v>insert into ins_premium_det (premium_rcv_code,assorted_code, rec_amount,premium_rcv_detail_code,remaining_amt, payrec, mode_code,coinsurance_code,class_cd,it_remarks) values</v>
      </c>
      <c r="G57" s="53" t="str">
        <f t="shared" si="1"/>
        <v>('22Oct240201','040000180619','23247.5',(select max(to_number(i.premium_rcv_detail_code))+1
from ins_premium_det i),'23247.5','23247.5','02', '11000003','00','Request by Mr. Omair Ali 22-Oct-2024 allocation 22Oct240201');</v>
      </c>
      <c r="H57" s="54" t="str">
        <f t="shared" si="2"/>
        <v>insert into ins_premium_det (premium_rcv_code,assorted_code, rec_amount,premium_rcv_detail_code,remaining_amt, payrec, mode_code,coinsurance_code,class_cd,it_remarks) values('22Oct240201','040000180619','23247.5',(select max(to_number(i.premium_rcv_detail_code))+1
from ins_premium_det i),'23247.5','23247.5','02', '11000003','00','Request by Mr. Omair Ali 22-Oct-2024 allocation 22Oct240201');</v>
      </c>
    </row>
    <row r="58" spans="1:8" ht="105" x14ac:dyDescent="0.25">
      <c r="A58" t="s">
        <v>186</v>
      </c>
      <c r="B58" s="51" t="str">
        <f>VLOOKUP(A58,policy!B:C,2,0)</f>
        <v>040000180620</v>
      </c>
      <c r="C58" s="46">
        <v>14960.000000000002</v>
      </c>
      <c r="D58" s="46">
        <v>14960.000000000002</v>
      </c>
      <c r="E58" s="50" t="s">
        <v>3673</v>
      </c>
      <c r="F58" s="52" t="str">
        <f t="shared" si="0"/>
        <v>insert into ins_premium_det (premium_rcv_code,assorted_code, rec_amount,premium_rcv_detail_code,remaining_amt, payrec, mode_code,coinsurance_code,class_cd,it_remarks) values</v>
      </c>
      <c r="G58" s="53" t="str">
        <f t="shared" si="1"/>
        <v>('22Oct240201','040000180620','14960',(select max(to_number(i.premium_rcv_detail_code))+1
from ins_premium_det i),'14960','14960','02', '11000003','00','Request by Mr. Omair Ali 22-Oct-2024 allocation 22Oct240201');</v>
      </c>
      <c r="H58" s="54" t="str">
        <f t="shared" si="2"/>
        <v>insert into ins_premium_det (premium_rcv_code,assorted_code, rec_amount,premium_rcv_detail_code,remaining_amt, payrec, mode_code,coinsurance_code,class_cd,it_remarks) values('22Oct240201','040000180620','14960',(select max(to_number(i.premium_rcv_detail_code))+1
from ins_premium_det i),'14960','14960','02', '11000003','00','Request by Mr. Omair Ali 22-Oct-2024 allocation 22Oct240201');</v>
      </c>
    </row>
    <row r="59" spans="1:8" ht="105" x14ac:dyDescent="0.25">
      <c r="A59" t="s">
        <v>187</v>
      </c>
      <c r="B59" s="51" t="str">
        <f>VLOOKUP(A59,policy!B:C,2,0)</f>
        <v>040000180621</v>
      </c>
      <c r="C59" s="46">
        <v>14960.000000000002</v>
      </c>
      <c r="D59" s="46">
        <v>14960.000000000002</v>
      </c>
      <c r="E59" s="50" t="s">
        <v>3673</v>
      </c>
      <c r="F59" s="52" t="str">
        <f t="shared" si="0"/>
        <v>insert into ins_premium_det (premium_rcv_code,assorted_code, rec_amount,premium_rcv_detail_code,remaining_amt, payrec, mode_code,coinsurance_code,class_cd,it_remarks) values</v>
      </c>
      <c r="G59" s="53" t="str">
        <f t="shared" si="1"/>
        <v>('22Oct240201','040000180621','14960',(select max(to_number(i.premium_rcv_detail_code))+1
from ins_premium_det i),'14960','14960','02', '11000003','00','Request by Mr. Omair Ali 22-Oct-2024 allocation 22Oct240201');</v>
      </c>
      <c r="H59" s="54" t="str">
        <f t="shared" si="2"/>
        <v>insert into ins_premium_det (premium_rcv_code,assorted_code, rec_amount,premium_rcv_detail_code,remaining_amt, payrec, mode_code,coinsurance_code,class_cd,it_remarks) values('22Oct240201','040000180621','14960',(select max(to_number(i.premium_rcv_detail_code))+1
from ins_premium_det i),'14960','14960','02', '11000003','00','Request by Mr. Omair Ali 22-Oct-2024 allocation 22Oct240201');</v>
      </c>
    </row>
    <row r="60" spans="1:8" ht="105" x14ac:dyDescent="0.25">
      <c r="A60" t="s">
        <v>188</v>
      </c>
      <c r="B60" s="51" t="str">
        <f>VLOOKUP(A60,policy!B:C,2,0)</f>
        <v>040000180622</v>
      </c>
      <c r="C60" s="46">
        <v>14960.000000000002</v>
      </c>
      <c r="D60" s="46">
        <v>14960.000000000002</v>
      </c>
      <c r="E60" s="50" t="s">
        <v>3673</v>
      </c>
      <c r="F60" s="52" t="str">
        <f t="shared" si="0"/>
        <v>insert into ins_premium_det (premium_rcv_code,assorted_code, rec_amount,premium_rcv_detail_code,remaining_amt, payrec, mode_code,coinsurance_code,class_cd,it_remarks) values</v>
      </c>
      <c r="G60" s="53" t="str">
        <f t="shared" si="1"/>
        <v>('22Oct240201','040000180622','14960',(select max(to_number(i.premium_rcv_detail_code))+1
from ins_premium_det i),'14960','14960','02', '11000003','00','Request by Mr. Omair Ali 22-Oct-2024 allocation 22Oct240201');</v>
      </c>
      <c r="H60" s="54" t="str">
        <f t="shared" si="2"/>
        <v>insert into ins_premium_det (premium_rcv_code,assorted_code, rec_amount,premium_rcv_detail_code,remaining_amt, payrec, mode_code,coinsurance_code,class_cd,it_remarks) values('22Oct240201','040000180622','14960',(select max(to_number(i.premium_rcv_detail_code))+1
from ins_premium_det i),'14960','14960','02', '11000003','00','Request by Mr. Omair Ali 22-Oct-2024 allocation 22Oct240201');</v>
      </c>
    </row>
    <row r="61" spans="1:8" ht="105" x14ac:dyDescent="0.25">
      <c r="A61" t="s">
        <v>189</v>
      </c>
      <c r="B61" s="51" t="str">
        <f>VLOOKUP(A61,policy!B:C,2,0)</f>
        <v>040000180623</v>
      </c>
      <c r="C61" s="46">
        <v>14960.000000000002</v>
      </c>
      <c r="D61" s="46">
        <v>14960.000000000002</v>
      </c>
      <c r="E61" s="50" t="s">
        <v>3673</v>
      </c>
      <c r="F61" s="52" t="str">
        <f t="shared" si="0"/>
        <v>insert into ins_premium_det (premium_rcv_code,assorted_code, rec_amount,premium_rcv_detail_code,remaining_amt, payrec, mode_code,coinsurance_code,class_cd,it_remarks) values</v>
      </c>
      <c r="G61" s="53" t="str">
        <f t="shared" si="1"/>
        <v>('22Oct240201','040000180623','14960',(select max(to_number(i.premium_rcv_detail_code))+1
from ins_premium_det i),'14960','14960','02', '11000003','00','Request by Mr. Omair Ali 22-Oct-2024 allocation 22Oct240201');</v>
      </c>
      <c r="H61" s="54" t="str">
        <f t="shared" si="2"/>
        <v>insert into ins_premium_det (premium_rcv_code,assorted_code, rec_amount,premium_rcv_detail_code,remaining_amt, payrec, mode_code,coinsurance_code,class_cd,it_remarks) values('22Oct240201','040000180623','14960',(select max(to_number(i.premium_rcv_detail_code))+1
from ins_premium_det i),'14960','14960','02', '11000003','00','Request by Mr. Omair Ali 22-Oct-2024 allocation 22Oct240201');</v>
      </c>
    </row>
    <row r="62" spans="1:8" ht="105" x14ac:dyDescent="0.25">
      <c r="A62" t="s">
        <v>190</v>
      </c>
      <c r="B62" s="51" t="str">
        <f>VLOOKUP(A62,policy!B:C,2,0)</f>
        <v>040000180624</v>
      </c>
      <c r="C62" s="46">
        <v>14960.000000000002</v>
      </c>
      <c r="D62" s="46">
        <v>14960.000000000002</v>
      </c>
      <c r="E62" s="50" t="s">
        <v>3673</v>
      </c>
      <c r="F62" s="52" t="str">
        <f t="shared" si="0"/>
        <v>insert into ins_premium_det (premium_rcv_code,assorted_code, rec_amount,premium_rcv_detail_code,remaining_amt, payrec, mode_code,coinsurance_code,class_cd,it_remarks) values</v>
      </c>
      <c r="G62" s="53" t="str">
        <f t="shared" si="1"/>
        <v>('22Oct240201','040000180624','14960',(select max(to_number(i.premium_rcv_detail_code))+1
from ins_premium_det i),'14960','14960','02', '11000003','00','Request by Mr. Omair Ali 22-Oct-2024 allocation 22Oct240201');</v>
      </c>
      <c r="H62" s="54" t="str">
        <f t="shared" si="2"/>
        <v>insert into ins_premium_det (premium_rcv_code,assorted_code, rec_amount,premium_rcv_detail_code,remaining_amt, payrec, mode_code,coinsurance_code,class_cd,it_remarks) values('22Oct240201','040000180624','14960',(select max(to_number(i.premium_rcv_detail_code))+1
from ins_premium_det i),'14960','14960','02', '11000003','00','Request by Mr. Omair Ali 22-Oct-2024 allocation 22Oct240201');</v>
      </c>
    </row>
    <row r="63" spans="1:8" ht="105" x14ac:dyDescent="0.25">
      <c r="A63" t="s">
        <v>191</v>
      </c>
      <c r="B63" s="51" t="str">
        <f>VLOOKUP(A63,policy!B:C,2,0)</f>
        <v>040000180625</v>
      </c>
      <c r="C63" s="46">
        <v>14960.000000000002</v>
      </c>
      <c r="D63" s="46">
        <v>14960.000000000002</v>
      </c>
      <c r="E63" s="50" t="s">
        <v>3673</v>
      </c>
      <c r="F63" s="52" t="str">
        <f t="shared" si="0"/>
        <v>insert into ins_premium_det (premium_rcv_code,assorted_code, rec_amount,premium_rcv_detail_code,remaining_amt, payrec, mode_code,coinsurance_code,class_cd,it_remarks) values</v>
      </c>
      <c r="G63" s="53" t="str">
        <f t="shared" si="1"/>
        <v>('22Oct240201','040000180625','14960',(select max(to_number(i.premium_rcv_detail_code))+1
from ins_premium_det i),'14960','14960','02', '11000003','00','Request by Mr. Omair Ali 22-Oct-2024 allocation 22Oct240201');</v>
      </c>
      <c r="H63" s="54" t="str">
        <f t="shared" si="2"/>
        <v>insert into ins_premium_det (premium_rcv_code,assorted_code, rec_amount,premium_rcv_detail_code,remaining_amt, payrec, mode_code,coinsurance_code,class_cd,it_remarks) values('22Oct240201','040000180625','14960',(select max(to_number(i.premium_rcv_detail_code))+1
from ins_premium_det i),'14960','14960','02', '11000003','00','Request by Mr. Omair Ali 22-Oct-2024 allocation 22Oct240201');</v>
      </c>
    </row>
    <row r="64" spans="1:8" ht="105" x14ac:dyDescent="0.25">
      <c r="A64" t="s">
        <v>192</v>
      </c>
      <c r="B64" s="51" t="str">
        <f>VLOOKUP(A64,policy!B:C,2,0)</f>
        <v>040000180626</v>
      </c>
      <c r="C64" s="46">
        <v>23247.5</v>
      </c>
      <c r="D64" s="46">
        <v>23247.5</v>
      </c>
      <c r="E64" s="50" t="s">
        <v>3673</v>
      </c>
      <c r="F64" s="52" t="str">
        <f t="shared" si="0"/>
        <v>insert into ins_premium_det (premium_rcv_code,assorted_code, rec_amount,premium_rcv_detail_code,remaining_amt, payrec, mode_code,coinsurance_code,class_cd,it_remarks) values</v>
      </c>
      <c r="G64" s="53" t="str">
        <f t="shared" si="1"/>
        <v>('22Oct240201','040000180626','23247.5',(select max(to_number(i.premium_rcv_detail_code))+1
from ins_premium_det i),'23247.5','23247.5','02', '11000003','00','Request by Mr. Omair Ali 22-Oct-2024 allocation 22Oct240201');</v>
      </c>
      <c r="H64" s="54" t="str">
        <f t="shared" si="2"/>
        <v>insert into ins_premium_det (premium_rcv_code,assorted_code, rec_amount,premium_rcv_detail_code,remaining_amt, payrec, mode_code,coinsurance_code,class_cd,it_remarks) values('22Oct240201','040000180626','23247.5',(select max(to_number(i.premium_rcv_detail_code))+1
from ins_premium_det i),'23247.5','23247.5','02', '11000003','00','Request by Mr. Omair Ali 22-Oct-2024 allocation 22Oct240201');</v>
      </c>
    </row>
    <row r="65" spans="1:8" ht="105" x14ac:dyDescent="0.25">
      <c r="A65" t="s">
        <v>193</v>
      </c>
      <c r="B65" s="51" t="str">
        <f>VLOOKUP(A65,policy!B:C,2,0)</f>
        <v>040000180627</v>
      </c>
      <c r="C65" s="46">
        <v>23247.5</v>
      </c>
      <c r="D65" s="46">
        <v>23247.5</v>
      </c>
      <c r="E65" s="50" t="s">
        <v>3673</v>
      </c>
      <c r="F65" s="52" t="str">
        <f t="shared" si="0"/>
        <v>insert into ins_premium_det (premium_rcv_code,assorted_code, rec_amount,premium_rcv_detail_code,remaining_amt, payrec, mode_code,coinsurance_code,class_cd,it_remarks) values</v>
      </c>
      <c r="G65" s="53" t="str">
        <f t="shared" si="1"/>
        <v>('22Oct240201','040000180627','23247.5',(select max(to_number(i.premium_rcv_detail_code))+1
from ins_premium_det i),'23247.5','23247.5','02', '11000003','00','Request by Mr. Omair Ali 22-Oct-2024 allocation 22Oct240201');</v>
      </c>
      <c r="H65" s="54" t="str">
        <f t="shared" si="2"/>
        <v>insert into ins_premium_det (premium_rcv_code,assorted_code, rec_amount,premium_rcv_detail_code,remaining_amt, payrec, mode_code,coinsurance_code,class_cd,it_remarks) values('22Oct240201','040000180627','23247.5',(select max(to_number(i.premium_rcv_detail_code))+1
from ins_premium_det i),'23247.5','23247.5','02', '11000003','00','Request by Mr. Omair Ali 22-Oct-2024 allocation 22Oct240201');</v>
      </c>
    </row>
    <row r="66" spans="1:8" ht="105" x14ac:dyDescent="0.25">
      <c r="A66" t="s">
        <v>194</v>
      </c>
      <c r="B66" s="51" t="str">
        <f>VLOOKUP(A66,policy!B:C,2,0)</f>
        <v>040000180630</v>
      </c>
      <c r="C66" s="46">
        <v>8800</v>
      </c>
      <c r="D66" s="46">
        <v>8800</v>
      </c>
      <c r="E66" s="50" t="s">
        <v>3673</v>
      </c>
      <c r="F66" s="52" t="str">
        <f t="shared" ref="F66:F129" si="3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53" t="str">
        <f t="shared" si="1"/>
        <v>('22Oct240201','040000180630','8800',(select max(to_number(i.premium_rcv_detail_code))+1
from ins_premium_det i),'8800','8800','02', '11000003','00','Request by Mr. Omair Ali 22-Oct-2024 allocation 22Oct240201');</v>
      </c>
      <c r="H66" s="54" t="str">
        <f t="shared" si="2"/>
        <v>insert into ins_premium_det (premium_rcv_code,assorted_code, rec_amount,premium_rcv_detail_code,remaining_amt, payrec, mode_code,coinsurance_code,class_cd,it_remarks) values('22Oct240201','040000180630','8800',(select max(to_number(i.premium_rcv_detail_code))+1
from ins_premium_det i),'8800','8800','02', '11000003','00','Request by Mr. Omair Ali 22-Oct-2024 allocation 22Oct240201');</v>
      </c>
    </row>
    <row r="67" spans="1:8" ht="105" x14ac:dyDescent="0.25">
      <c r="A67" t="s">
        <v>195</v>
      </c>
      <c r="B67" s="51" t="str">
        <f>VLOOKUP(A67,policy!B:C,2,0)</f>
        <v>040000180631</v>
      </c>
      <c r="C67" s="46">
        <v>16235.000000000002</v>
      </c>
      <c r="D67" s="46">
        <v>16235.000000000002</v>
      </c>
      <c r="E67" s="50" t="s">
        <v>3673</v>
      </c>
      <c r="F67" s="52" t="str">
        <f t="shared" si="3"/>
        <v>insert into ins_premium_det (premium_rcv_code,assorted_code, rec_amount,premium_rcv_detail_code,remaining_amt, payrec, mode_code,coinsurance_code,class_cd,it_remarks) values</v>
      </c>
      <c r="G67" s="53" t="str">
        <f t="shared" ref="G67:G130" si="4">"('"&amp;E67&amp;"','"&amp;B67&amp;"','"&amp;D67&amp;"',(select max(to_number(i.premium_rcv_detail_code))+1
from ins_premium_det i),'"&amp;D67&amp;"','"&amp;D67&amp;"','02', '11000003','00','Request by Mr. Omair Ali 22-Oct-2024 allocation 22Oct240201');"</f>
        <v>('22Oct240201','040000180631','16235',(select max(to_number(i.premium_rcv_detail_code))+1
from ins_premium_det i),'16235','16235','02', '11000003','00','Request by Mr. Omair Ali 22-Oct-2024 allocation 22Oct240201');</v>
      </c>
      <c r="H67" s="54" t="str">
        <f t="shared" ref="H67:H130" si="5">F67&amp;G67</f>
        <v>insert into ins_premium_det (premium_rcv_code,assorted_code, rec_amount,premium_rcv_detail_code,remaining_amt, payrec, mode_code,coinsurance_code,class_cd,it_remarks) values('22Oct240201','040000180631','16235',(select max(to_number(i.premium_rcv_detail_code))+1
from ins_premium_det i),'16235','16235','02', '11000003','00','Request by Mr. Omair Ali 22-Oct-2024 allocation 22Oct240201');</v>
      </c>
    </row>
    <row r="68" spans="1:8" ht="105" x14ac:dyDescent="0.25">
      <c r="A68" t="s">
        <v>196</v>
      </c>
      <c r="B68" s="51" t="str">
        <f>VLOOKUP(A68,policy!B:C,2,0)</f>
        <v>040000180632</v>
      </c>
      <c r="C68" s="46">
        <v>23247.5</v>
      </c>
      <c r="D68" s="46">
        <v>23247.5</v>
      </c>
      <c r="E68" s="50" t="s">
        <v>3673</v>
      </c>
      <c r="F68" s="52" t="str">
        <f t="shared" si="3"/>
        <v>insert into ins_premium_det (premium_rcv_code,assorted_code, rec_amount,premium_rcv_detail_code,remaining_amt, payrec, mode_code,coinsurance_code,class_cd,it_remarks) values</v>
      </c>
      <c r="G68" s="53" t="str">
        <f t="shared" si="4"/>
        <v>('22Oct240201','040000180632','23247.5',(select max(to_number(i.premium_rcv_detail_code))+1
from ins_premium_det i),'23247.5','23247.5','02', '11000003','00','Request by Mr. Omair Ali 22-Oct-2024 allocation 22Oct240201');</v>
      </c>
      <c r="H68" s="54" t="str">
        <f t="shared" si="5"/>
        <v>insert into ins_premium_det (premium_rcv_code,assorted_code, rec_amount,premium_rcv_detail_code,remaining_amt, payrec, mode_code,coinsurance_code,class_cd,it_remarks) values('22Oct240201','040000180632','23247.5',(select max(to_number(i.premium_rcv_detail_code))+1
from ins_premium_det i),'23247.5','23247.5','02', '11000003','00','Request by Mr. Omair Ali 22-Oct-2024 allocation 22Oct240201');</v>
      </c>
    </row>
    <row r="69" spans="1:8" ht="105" x14ac:dyDescent="0.25">
      <c r="A69" t="s">
        <v>197</v>
      </c>
      <c r="B69" s="51" t="str">
        <f>VLOOKUP(A69,policy!B:C,2,0)</f>
        <v>040000180633</v>
      </c>
      <c r="C69" s="46">
        <v>14960.000000000002</v>
      </c>
      <c r="D69" s="46">
        <v>14960.000000000002</v>
      </c>
      <c r="E69" s="50" t="s">
        <v>3673</v>
      </c>
      <c r="F69" s="52" t="str">
        <f t="shared" si="3"/>
        <v>insert into ins_premium_det (premium_rcv_code,assorted_code, rec_amount,premium_rcv_detail_code,remaining_amt, payrec, mode_code,coinsurance_code,class_cd,it_remarks) values</v>
      </c>
      <c r="G69" s="53" t="str">
        <f t="shared" si="4"/>
        <v>('22Oct240201','040000180633','14960',(select max(to_number(i.premium_rcv_detail_code))+1
from ins_premium_det i),'14960','14960','02', '11000003','00','Request by Mr. Omair Ali 22-Oct-2024 allocation 22Oct240201');</v>
      </c>
      <c r="H69" s="54" t="str">
        <f t="shared" si="5"/>
        <v>insert into ins_premium_det (premium_rcv_code,assorted_code, rec_amount,premium_rcv_detail_code,remaining_amt, payrec, mode_code,coinsurance_code,class_cd,it_remarks) values('22Oct240201','040000180633','14960',(select max(to_number(i.premium_rcv_detail_code))+1
from ins_premium_det i),'14960','14960','02', '11000003','00','Request by Mr. Omair Ali 22-Oct-2024 allocation 22Oct240201');</v>
      </c>
    </row>
    <row r="70" spans="1:8" ht="105" x14ac:dyDescent="0.25">
      <c r="A70" t="s">
        <v>198</v>
      </c>
      <c r="B70" s="51" t="str">
        <f>VLOOKUP(A70,policy!B:C,2,0)</f>
        <v>040000180634</v>
      </c>
      <c r="C70" s="46">
        <v>14960.000000000002</v>
      </c>
      <c r="D70" s="46">
        <v>14960.000000000002</v>
      </c>
      <c r="E70" s="50" t="s">
        <v>3673</v>
      </c>
      <c r="F70" s="52" t="str">
        <f t="shared" si="3"/>
        <v>insert into ins_premium_det (premium_rcv_code,assorted_code, rec_amount,premium_rcv_detail_code,remaining_amt, payrec, mode_code,coinsurance_code,class_cd,it_remarks) values</v>
      </c>
      <c r="G70" s="53" t="str">
        <f t="shared" si="4"/>
        <v>('22Oct240201','040000180634','14960',(select max(to_number(i.premium_rcv_detail_code))+1
from ins_premium_det i),'14960','14960','02', '11000003','00','Request by Mr. Omair Ali 22-Oct-2024 allocation 22Oct240201');</v>
      </c>
      <c r="H70" s="54" t="str">
        <f t="shared" si="5"/>
        <v>insert into ins_premium_det (premium_rcv_code,assorted_code, rec_amount,premium_rcv_detail_code,remaining_amt, payrec, mode_code,coinsurance_code,class_cd,it_remarks) values('22Oct240201','040000180634','14960',(select max(to_number(i.premium_rcv_detail_code))+1
from ins_premium_det i),'14960','14960','02', '11000003','00','Request by Mr. Omair Ali 22-Oct-2024 allocation 22Oct240201');</v>
      </c>
    </row>
    <row r="71" spans="1:8" ht="105" x14ac:dyDescent="0.25">
      <c r="A71" t="s">
        <v>199</v>
      </c>
      <c r="B71" s="51" t="str">
        <f>VLOOKUP(A71,policy!B:C,2,0)</f>
        <v>040000180635</v>
      </c>
      <c r="C71" s="46">
        <v>8800</v>
      </c>
      <c r="D71" s="46">
        <v>8800</v>
      </c>
      <c r="E71" s="50" t="s">
        <v>3673</v>
      </c>
      <c r="F71" s="52" t="str">
        <f t="shared" si="3"/>
        <v>insert into ins_premium_det (premium_rcv_code,assorted_code, rec_amount,premium_rcv_detail_code,remaining_amt, payrec, mode_code,coinsurance_code,class_cd,it_remarks) values</v>
      </c>
      <c r="G71" s="53" t="str">
        <f t="shared" si="4"/>
        <v>('22Oct240201','040000180635','8800',(select max(to_number(i.premium_rcv_detail_code))+1
from ins_premium_det i),'8800','8800','02', '11000003','00','Request by Mr. Omair Ali 22-Oct-2024 allocation 22Oct240201');</v>
      </c>
      <c r="H71" s="54" t="str">
        <f t="shared" si="5"/>
        <v>insert into ins_premium_det (premium_rcv_code,assorted_code, rec_amount,premium_rcv_detail_code,remaining_amt, payrec, mode_code,coinsurance_code,class_cd,it_remarks) values('22Oct240201','040000180635','8800',(select max(to_number(i.premium_rcv_detail_code))+1
from ins_premium_det i),'8800','8800','02', '11000003','00','Request by Mr. Omair Ali 22-Oct-2024 allocation 22Oct240201');</v>
      </c>
    </row>
    <row r="72" spans="1:8" ht="105" x14ac:dyDescent="0.25">
      <c r="A72" t="s">
        <v>200</v>
      </c>
      <c r="B72" s="51" t="str">
        <f>VLOOKUP(A72,policy!B:C,2,0)</f>
        <v>040000180638</v>
      </c>
      <c r="C72" s="46">
        <v>13675</v>
      </c>
      <c r="D72" s="46">
        <v>13675</v>
      </c>
      <c r="E72" s="50" t="s">
        <v>3673</v>
      </c>
      <c r="F72" s="52" t="str">
        <f t="shared" si="3"/>
        <v>insert into ins_premium_det (premium_rcv_code,assorted_code, rec_amount,premium_rcv_detail_code,remaining_amt, payrec, mode_code,coinsurance_code,class_cd,it_remarks) values</v>
      </c>
      <c r="G72" s="53" t="str">
        <f t="shared" si="4"/>
        <v>('22Oct240201','040000180638','13675',(select max(to_number(i.premium_rcv_detail_code))+1
from ins_premium_det i),'13675','13675','02', '11000003','00','Request by Mr. Omair Ali 22-Oct-2024 allocation 22Oct240201');</v>
      </c>
      <c r="H72" s="54" t="str">
        <f t="shared" si="5"/>
        <v>insert into ins_premium_det (premium_rcv_code,assorted_code, rec_amount,premium_rcv_detail_code,remaining_amt, payrec, mode_code,coinsurance_code,class_cd,it_remarks) values('22Oct240201','040000180638','13675',(select max(to_number(i.premium_rcv_detail_code))+1
from ins_premium_det i),'13675','13675','02', '11000003','00','Request by Mr. Omair Ali 22-Oct-2024 allocation 22Oct240201');</v>
      </c>
    </row>
    <row r="73" spans="1:8" ht="105" x14ac:dyDescent="0.25">
      <c r="A73" t="s">
        <v>201</v>
      </c>
      <c r="B73" s="51" t="str">
        <f>VLOOKUP(A73,policy!B:C,2,0)</f>
        <v>040000180639</v>
      </c>
      <c r="C73" s="46">
        <v>14960.000000000002</v>
      </c>
      <c r="D73" s="46">
        <v>14960.000000000002</v>
      </c>
      <c r="E73" s="50" t="s">
        <v>3673</v>
      </c>
      <c r="F73" s="52" t="str">
        <f t="shared" si="3"/>
        <v>insert into ins_premium_det (premium_rcv_code,assorted_code, rec_amount,premium_rcv_detail_code,remaining_amt, payrec, mode_code,coinsurance_code,class_cd,it_remarks) values</v>
      </c>
      <c r="G73" s="53" t="str">
        <f t="shared" si="4"/>
        <v>('22Oct240201','040000180639','14960',(select max(to_number(i.premium_rcv_detail_code))+1
from ins_premium_det i),'14960','14960','02', '11000003','00','Request by Mr. Omair Ali 22-Oct-2024 allocation 22Oct240201');</v>
      </c>
      <c r="H73" s="54" t="str">
        <f t="shared" si="5"/>
        <v>insert into ins_premium_det (premium_rcv_code,assorted_code, rec_amount,premium_rcv_detail_code,remaining_amt, payrec, mode_code,coinsurance_code,class_cd,it_remarks) values('22Oct240201','040000180639','14960',(select max(to_number(i.premium_rcv_detail_code))+1
from ins_premium_det i),'14960','14960','02', '11000003','00','Request by Mr. Omair Ali 22-Oct-2024 allocation 22Oct240201');</v>
      </c>
    </row>
    <row r="74" spans="1:8" ht="105" x14ac:dyDescent="0.25">
      <c r="A74" t="s">
        <v>202</v>
      </c>
      <c r="B74" s="51" t="str">
        <f>VLOOKUP(A74,policy!B:C,2,0)</f>
        <v>040000180640</v>
      </c>
      <c r="C74" s="46">
        <v>23247.5</v>
      </c>
      <c r="D74" s="46">
        <v>23247.5</v>
      </c>
      <c r="E74" s="50" t="s">
        <v>3673</v>
      </c>
      <c r="F74" s="52" t="str">
        <f t="shared" si="3"/>
        <v>insert into ins_premium_det (premium_rcv_code,assorted_code, rec_amount,premium_rcv_detail_code,remaining_amt, payrec, mode_code,coinsurance_code,class_cd,it_remarks) values</v>
      </c>
      <c r="G74" s="53" t="str">
        <f t="shared" si="4"/>
        <v>('22Oct240201','040000180640','23247.5',(select max(to_number(i.premium_rcv_detail_code))+1
from ins_premium_det i),'23247.5','23247.5','02', '11000003','00','Request by Mr. Omair Ali 22-Oct-2024 allocation 22Oct240201');</v>
      </c>
      <c r="H74" s="54" t="str">
        <f t="shared" si="5"/>
        <v>insert into ins_premium_det (premium_rcv_code,assorted_code, rec_amount,premium_rcv_detail_code,remaining_amt, payrec, mode_code,coinsurance_code,class_cd,it_remarks) values('22Oct240201','040000180640','23247.5',(select max(to_number(i.premium_rcv_detail_code))+1
from ins_premium_det i),'23247.5','23247.5','02', '11000003','00','Request by Mr. Omair Ali 22-Oct-2024 allocation 22Oct240201');</v>
      </c>
    </row>
    <row r="75" spans="1:8" ht="105" x14ac:dyDescent="0.25">
      <c r="A75" t="s">
        <v>203</v>
      </c>
      <c r="B75" s="51" t="str">
        <f>VLOOKUP(A75,policy!B:C,2,0)</f>
        <v>040000180641</v>
      </c>
      <c r="C75" s="46">
        <v>23247.5</v>
      </c>
      <c r="D75" s="46">
        <v>23247.5</v>
      </c>
      <c r="E75" s="50" t="s">
        <v>3673</v>
      </c>
      <c r="F75" s="52" t="str">
        <f t="shared" si="3"/>
        <v>insert into ins_premium_det (premium_rcv_code,assorted_code, rec_amount,premium_rcv_detail_code,remaining_amt, payrec, mode_code,coinsurance_code,class_cd,it_remarks) values</v>
      </c>
      <c r="G75" s="53" t="str">
        <f t="shared" si="4"/>
        <v>('22Oct240201','040000180641','23247.5',(select max(to_number(i.premium_rcv_detail_code))+1
from ins_premium_det i),'23247.5','23247.5','02', '11000003','00','Request by Mr. Omair Ali 22-Oct-2024 allocation 22Oct240201');</v>
      </c>
      <c r="H75" s="54" t="str">
        <f t="shared" si="5"/>
        <v>insert into ins_premium_det (premium_rcv_code,assorted_code, rec_amount,premium_rcv_detail_code,remaining_amt, payrec, mode_code,coinsurance_code,class_cd,it_remarks) values('22Oct240201','040000180641','23247.5',(select max(to_number(i.premium_rcv_detail_code))+1
from ins_premium_det i),'23247.5','23247.5','02', '11000003','00','Request by Mr. Omair Ali 22-Oct-2024 allocation 22Oct240201');</v>
      </c>
    </row>
    <row r="76" spans="1:8" ht="105" x14ac:dyDescent="0.25">
      <c r="A76" t="s">
        <v>204</v>
      </c>
      <c r="B76" s="51" t="str">
        <f>VLOOKUP(A76,policy!B:C,2,0)</f>
        <v>040000180643</v>
      </c>
      <c r="C76" s="46">
        <v>14960.000000000002</v>
      </c>
      <c r="D76" s="46">
        <v>14960.000000000002</v>
      </c>
      <c r="E76" s="50" t="s">
        <v>3673</v>
      </c>
      <c r="F76" s="52" t="str">
        <f t="shared" si="3"/>
        <v>insert into ins_premium_det (premium_rcv_code,assorted_code, rec_amount,premium_rcv_detail_code,remaining_amt, payrec, mode_code,coinsurance_code,class_cd,it_remarks) values</v>
      </c>
      <c r="G76" s="53" t="str">
        <f t="shared" si="4"/>
        <v>('22Oct240201','040000180643','14960',(select max(to_number(i.premium_rcv_detail_code))+1
from ins_premium_det i),'14960','14960','02', '11000003','00','Request by Mr. Omair Ali 22-Oct-2024 allocation 22Oct240201');</v>
      </c>
      <c r="H76" s="54" t="str">
        <f t="shared" si="5"/>
        <v>insert into ins_premium_det (premium_rcv_code,assorted_code, rec_amount,premium_rcv_detail_code,remaining_amt, payrec, mode_code,coinsurance_code,class_cd,it_remarks) values('22Oct240201','040000180643','14960',(select max(to_number(i.premium_rcv_detail_code))+1
from ins_premium_det i),'14960','14960','02', '11000003','00','Request by Mr. Omair Ali 22-Oct-2024 allocation 22Oct240201');</v>
      </c>
    </row>
    <row r="77" spans="1:8" ht="105" x14ac:dyDescent="0.25">
      <c r="A77" t="s">
        <v>205</v>
      </c>
      <c r="B77" s="51" t="str">
        <f>VLOOKUP(A77,policy!B:C,2,0)</f>
        <v>040000180644</v>
      </c>
      <c r="C77" s="46">
        <v>16235.000000000002</v>
      </c>
      <c r="D77" s="46">
        <v>16235.000000000002</v>
      </c>
      <c r="E77" s="50" t="s">
        <v>3673</v>
      </c>
      <c r="F77" s="52" t="str">
        <f t="shared" si="3"/>
        <v>insert into ins_premium_det (premium_rcv_code,assorted_code, rec_amount,premium_rcv_detail_code,remaining_amt, payrec, mode_code,coinsurance_code,class_cd,it_remarks) values</v>
      </c>
      <c r="G77" s="53" t="str">
        <f t="shared" si="4"/>
        <v>('22Oct240201','040000180644','16235',(select max(to_number(i.premium_rcv_detail_code))+1
from ins_premium_det i),'16235','16235','02', '11000003','00','Request by Mr. Omair Ali 22-Oct-2024 allocation 22Oct240201');</v>
      </c>
      <c r="H77" s="54" t="str">
        <f t="shared" si="5"/>
        <v>insert into ins_premium_det (premium_rcv_code,assorted_code, rec_amount,premium_rcv_detail_code,remaining_amt, payrec, mode_code,coinsurance_code,class_cd,it_remarks) values('22Oct240201','040000180644','16235',(select max(to_number(i.premium_rcv_detail_code))+1
from ins_premium_det i),'16235','16235','02', '11000003','00','Request by Mr. Omair Ali 22-Oct-2024 allocation 22Oct240201');</v>
      </c>
    </row>
    <row r="78" spans="1:8" ht="105" x14ac:dyDescent="0.25">
      <c r="A78" t="s">
        <v>206</v>
      </c>
      <c r="B78" s="51" t="str">
        <f>VLOOKUP(A78,policy!B:C,2,0)</f>
        <v>040000180645</v>
      </c>
      <c r="C78" s="46">
        <v>23247.5</v>
      </c>
      <c r="D78" s="46">
        <v>23247.5</v>
      </c>
      <c r="E78" s="50" t="s">
        <v>3673</v>
      </c>
      <c r="F78" s="52" t="str">
        <f t="shared" si="3"/>
        <v>insert into ins_premium_det (premium_rcv_code,assorted_code, rec_amount,premium_rcv_detail_code,remaining_amt, payrec, mode_code,coinsurance_code,class_cd,it_remarks) values</v>
      </c>
      <c r="G78" s="53" t="str">
        <f t="shared" si="4"/>
        <v>('22Oct240201','040000180645','23247.5',(select max(to_number(i.premium_rcv_detail_code))+1
from ins_premium_det i),'23247.5','23247.5','02', '11000003','00','Request by Mr. Omair Ali 22-Oct-2024 allocation 22Oct240201');</v>
      </c>
      <c r="H78" s="54" t="str">
        <f t="shared" si="5"/>
        <v>insert into ins_premium_det (premium_rcv_code,assorted_code, rec_amount,premium_rcv_detail_code,remaining_amt, payrec, mode_code,coinsurance_code,class_cd,it_remarks) values('22Oct240201','040000180645','23247.5',(select max(to_number(i.premium_rcv_detail_code))+1
from ins_premium_det i),'23247.5','23247.5','02', '11000003','00','Request by Mr. Omair Ali 22-Oct-2024 allocation 22Oct240201');</v>
      </c>
    </row>
    <row r="79" spans="1:8" ht="105" x14ac:dyDescent="0.25">
      <c r="A79" t="s">
        <v>207</v>
      </c>
      <c r="B79" s="51" t="str">
        <f>VLOOKUP(A79,policy!B:C,2,0)</f>
        <v>040000180646</v>
      </c>
      <c r="C79" s="46">
        <v>23247.5</v>
      </c>
      <c r="D79" s="46">
        <v>23247.5</v>
      </c>
      <c r="E79" s="50" t="s">
        <v>3673</v>
      </c>
      <c r="F79" s="52" t="str">
        <f t="shared" si="3"/>
        <v>insert into ins_premium_det (premium_rcv_code,assorted_code, rec_amount,premium_rcv_detail_code,remaining_amt, payrec, mode_code,coinsurance_code,class_cd,it_remarks) values</v>
      </c>
      <c r="G79" s="53" t="str">
        <f t="shared" si="4"/>
        <v>('22Oct240201','040000180646','23247.5',(select max(to_number(i.premium_rcv_detail_code))+1
from ins_premium_det i),'23247.5','23247.5','02', '11000003','00','Request by Mr. Omair Ali 22-Oct-2024 allocation 22Oct240201');</v>
      </c>
      <c r="H79" s="54" t="str">
        <f t="shared" si="5"/>
        <v>insert into ins_premium_det (premium_rcv_code,assorted_code, rec_amount,premium_rcv_detail_code,remaining_amt, payrec, mode_code,coinsurance_code,class_cd,it_remarks) values('22Oct240201','040000180646','23247.5',(select max(to_number(i.premium_rcv_detail_code))+1
from ins_premium_det i),'23247.5','23247.5','02', '11000003','00','Request by Mr. Omair Ali 22-Oct-2024 allocation 22Oct240201');</v>
      </c>
    </row>
    <row r="80" spans="1:8" ht="105" x14ac:dyDescent="0.25">
      <c r="A80" t="s">
        <v>208</v>
      </c>
      <c r="B80" s="51" t="str">
        <f>VLOOKUP(A80,policy!B:C,2,0)</f>
        <v>040000180647</v>
      </c>
      <c r="C80" s="46">
        <v>16235.000000000002</v>
      </c>
      <c r="D80" s="46">
        <v>16235.000000000002</v>
      </c>
      <c r="E80" s="50" t="s">
        <v>3673</v>
      </c>
      <c r="F80" s="52" t="str">
        <f t="shared" si="3"/>
        <v>insert into ins_premium_det (premium_rcv_code,assorted_code, rec_amount,premium_rcv_detail_code,remaining_amt, payrec, mode_code,coinsurance_code,class_cd,it_remarks) values</v>
      </c>
      <c r="G80" s="53" t="str">
        <f t="shared" si="4"/>
        <v>('22Oct240201','040000180647','16235',(select max(to_number(i.premium_rcv_detail_code))+1
from ins_premium_det i),'16235','16235','02', '11000003','00','Request by Mr. Omair Ali 22-Oct-2024 allocation 22Oct240201');</v>
      </c>
      <c r="H80" s="54" t="str">
        <f t="shared" si="5"/>
        <v>insert into ins_premium_det (premium_rcv_code,assorted_code, rec_amount,premium_rcv_detail_code,remaining_amt, payrec, mode_code,coinsurance_code,class_cd,it_remarks) values('22Oct240201','040000180647','16235',(select max(to_number(i.premium_rcv_detail_code))+1
from ins_premium_det i),'16235','16235','02', '11000003','00','Request by Mr. Omair Ali 22-Oct-2024 allocation 22Oct240201');</v>
      </c>
    </row>
    <row r="81" spans="1:8" ht="105" x14ac:dyDescent="0.25">
      <c r="A81" t="s">
        <v>209</v>
      </c>
      <c r="B81" s="51" t="str">
        <f>VLOOKUP(A81,policy!B:C,2,0)</f>
        <v>040000180648</v>
      </c>
      <c r="C81" s="46">
        <v>14960.000000000002</v>
      </c>
      <c r="D81" s="46">
        <v>14960.000000000002</v>
      </c>
      <c r="E81" s="50" t="s">
        <v>3673</v>
      </c>
      <c r="F81" s="52" t="str">
        <f t="shared" si="3"/>
        <v>insert into ins_premium_det (premium_rcv_code,assorted_code, rec_amount,premium_rcv_detail_code,remaining_amt, payrec, mode_code,coinsurance_code,class_cd,it_remarks) values</v>
      </c>
      <c r="G81" s="53" t="str">
        <f t="shared" si="4"/>
        <v>('22Oct240201','040000180648','14960',(select max(to_number(i.premium_rcv_detail_code))+1
from ins_premium_det i),'14960','14960','02', '11000003','00','Request by Mr. Omair Ali 22-Oct-2024 allocation 22Oct240201');</v>
      </c>
      <c r="H81" s="54" t="str">
        <f t="shared" si="5"/>
        <v>insert into ins_premium_det (premium_rcv_code,assorted_code, rec_amount,premium_rcv_detail_code,remaining_amt, payrec, mode_code,coinsurance_code,class_cd,it_remarks) values('22Oct240201','040000180648','14960',(select max(to_number(i.premium_rcv_detail_code))+1
from ins_premium_det i),'14960','14960','02', '11000003','00','Request by Mr. Omair Ali 22-Oct-2024 allocation 22Oct240201');</v>
      </c>
    </row>
    <row r="82" spans="1:8" ht="105" x14ac:dyDescent="0.25">
      <c r="A82" t="s">
        <v>210</v>
      </c>
      <c r="B82" s="51" t="str">
        <f>VLOOKUP(A82,policy!B:C,2,0)</f>
        <v>040000180649</v>
      </c>
      <c r="C82" s="46">
        <v>14960.000000000002</v>
      </c>
      <c r="D82" s="46">
        <v>14960.000000000002</v>
      </c>
      <c r="E82" s="50" t="s">
        <v>3673</v>
      </c>
      <c r="F82" s="52" t="str">
        <f t="shared" si="3"/>
        <v>insert into ins_premium_det (premium_rcv_code,assorted_code, rec_amount,premium_rcv_detail_code,remaining_amt, payrec, mode_code,coinsurance_code,class_cd,it_remarks) values</v>
      </c>
      <c r="G82" s="53" t="str">
        <f t="shared" si="4"/>
        <v>('22Oct240201','040000180649','14960',(select max(to_number(i.premium_rcv_detail_code))+1
from ins_premium_det i),'14960','14960','02', '11000003','00','Request by Mr. Omair Ali 22-Oct-2024 allocation 22Oct240201');</v>
      </c>
      <c r="H82" s="54" t="str">
        <f t="shared" si="5"/>
        <v>insert into ins_premium_det (premium_rcv_code,assorted_code, rec_amount,premium_rcv_detail_code,remaining_amt, payrec, mode_code,coinsurance_code,class_cd,it_remarks) values('22Oct240201','040000180649','14960',(select max(to_number(i.premium_rcv_detail_code))+1
from ins_premium_det i),'14960','14960','02', '11000003','00','Request by Mr. Omair Ali 22-Oct-2024 allocation 22Oct240201');</v>
      </c>
    </row>
    <row r="83" spans="1:8" ht="105" x14ac:dyDescent="0.25">
      <c r="A83" t="s">
        <v>211</v>
      </c>
      <c r="B83" s="51" t="str">
        <f>VLOOKUP(A83,policy!B:C,2,0)</f>
        <v>040000180650</v>
      </c>
      <c r="C83" s="46">
        <v>16235.000000000002</v>
      </c>
      <c r="D83" s="46">
        <v>16235.000000000002</v>
      </c>
      <c r="E83" s="50" t="s">
        <v>3673</v>
      </c>
      <c r="F83" s="52" t="str">
        <f t="shared" si="3"/>
        <v>insert into ins_premium_det (premium_rcv_code,assorted_code, rec_amount,premium_rcv_detail_code,remaining_amt, payrec, mode_code,coinsurance_code,class_cd,it_remarks) values</v>
      </c>
      <c r="G83" s="53" t="str">
        <f t="shared" si="4"/>
        <v>('22Oct240201','040000180650','16235',(select max(to_number(i.premium_rcv_detail_code))+1
from ins_premium_det i),'16235','16235','02', '11000003','00','Request by Mr. Omair Ali 22-Oct-2024 allocation 22Oct240201');</v>
      </c>
      <c r="H83" s="54" t="str">
        <f t="shared" si="5"/>
        <v>insert into ins_premium_det (premium_rcv_code,assorted_code, rec_amount,premium_rcv_detail_code,remaining_amt, payrec, mode_code,coinsurance_code,class_cd,it_remarks) values('22Oct240201','040000180650','16235',(select max(to_number(i.premium_rcv_detail_code))+1
from ins_premium_det i),'16235','16235','02', '11000003','00','Request by Mr. Omair Ali 22-Oct-2024 allocation 22Oct240201');</v>
      </c>
    </row>
    <row r="84" spans="1:8" ht="105" x14ac:dyDescent="0.25">
      <c r="A84" t="s">
        <v>212</v>
      </c>
      <c r="B84" s="51" t="str">
        <f>VLOOKUP(A84,policy!B:C,2,0)</f>
        <v>040000180651</v>
      </c>
      <c r="C84" s="46">
        <v>16235.000000000002</v>
      </c>
      <c r="D84" s="46">
        <v>16235.000000000002</v>
      </c>
      <c r="E84" s="50" t="s">
        <v>3673</v>
      </c>
      <c r="F84" s="52" t="str">
        <f t="shared" si="3"/>
        <v>insert into ins_premium_det (premium_rcv_code,assorted_code, rec_amount,premium_rcv_detail_code,remaining_amt, payrec, mode_code,coinsurance_code,class_cd,it_remarks) values</v>
      </c>
      <c r="G84" s="53" t="str">
        <f t="shared" si="4"/>
        <v>('22Oct240201','040000180651','16235',(select max(to_number(i.premium_rcv_detail_code))+1
from ins_premium_det i),'16235','16235','02', '11000003','00','Request by Mr. Omair Ali 22-Oct-2024 allocation 22Oct240201');</v>
      </c>
      <c r="H84" s="54" t="str">
        <f t="shared" si="5"/>
        <v>insert into ins_premium_det (premium_rcv_code,assorted_code, rec_amount,premium_rcv_detail_code,remaining_amt, payrec, mode_code,coinsurance_code,class_cd,it_remarks) values('22Oct240201','040000180651','16235',(select max(to_number(i.premium_rcv_detail_code))+1
from ins_premium_det i),'16235','16235','02', '11000003','00','Request by Mr. Omair Ali 22-Oct-2024 allocation 22Oct240201');</v>
      </c>
    </row>
    <row r="85" spans="1:8" ht="105" x14ac:dyDescent="0.25">
      <c r="A85" t="s">
        <v>213</v>
      </c>
      <c r="B85" s="51" t="str">
        <f>VLOOKUP(A85,policy!B:C,2,0)</f>
        <v>040000180652</v>
      </c>
      <c r="C85" s="46">
        <v>16235.000000000002</v>
      </c>
      <c r="D85" s="46">
        <v>16235.000000000002</v>
      </c>
      <c r="E85" s="50" t="s">
        <v>3673</v>
      </c>
      <c r="F85" s="52" t="str">
        <f t="shared" si="3"/>
        <v>insert into ins_premium_det (premium_rcv_code,assorted_code, rec_amount,premium_rcv_detail_code,remaining_amt, payrec, mode_code,coinsurance_code,class_cd,it_remarks) values</v>
      </c>
      <c r="G85" s="53" t="str">
        <f t="shared" si="4"/>
        <v>('22Oct240201','040000180652','16235',(select max(to_number(i.premium_rcv_detail_code))+1
from ins_premium_det i),'16235','16235','02', '11000003','00','Request by Mr. Omair Ali 22-Oct-2024 allocation 22Oct240201');</v>
      </c>
      <c r="H85" s="54" t="str">
        <f t="shared" si="5"/>
        <v>insert into ins_premium_det (premium_rcv_code,assorted_code, rec_amount,premium_rcv_detail_code,remaining_amt, payrec, mode_code,coinsurance_code,class_cd,it_remarks) values('22Oct240201','040000180652','16235',(select max(to_number(i.premium_rcv_detail_code))+1
from ins_premium_det i),'16235','16235','02', '11000003','00','Request by Mr. Omair Ali 22-Oct-2024 allocation 22Oct240201');</v>
      </c>
    </row>
    <row r="86" spans="1:8" ht="105" x14ac:dyDescent="0.25">
      <c r="A86" t="s">
        <v>214</v>
      </c>
      <c r="B86" s="51" t="str">
        <f>VLOOKUP(A86,policy!B:C,2,0)</f>
        <v>040000180653</v>
      </c>
      <c r="C86" s="46">
        <v>16235.000000000002</v>
      </c>
      <c r="D86" s="46">
        <v>16235.000000000002</v>
      </c>
      <c r="E86" s="50" t="s">
        <v>3673</v>
      </c>
      <c r="F86" s="52" t="str">
        <f t="shared" si="3"/>
        <v>insert into ins_premium_det (premium_rcv_code,assorted_code, rec_amount,premium_rcv_detail_code,remaining_amt, payrec, mode_code,coinsurance_code,class_cd,it_remarks) values</v>
      </c>
      <c r="G86" s="53" t="str">
        <f t="shared" si="4"/>
        <v>('22Oct240201','040000180653','16235',(select max(to_number(i.premium_rcv_detail_code))+1
from ins_premium_det i),'16235','16235','02', '11000003','00','Request by Mr. Omair Ali 22-Oct-2024 allocation 22Oct240201');</v>
      </c>
      <c r="H86" s="54" t="str">
        <f t="shared" si="5"/>
        <v>insert into ins_premium_det (premium_rcv_code,assorted_code, rec_amount,premium_rcv_detail_code,remaining_amt, payrec, mode_code,coinsurance_code,class_cd,it_remarks) values('22Oct240201','040000180653','16235',(select max(to_number(i.premium_rcv_detail_code))+1
from ins_premium_det i),'16235','16235','02', '11000003','00','Request by Mr. Omair Ali 22-Oct-2024 allocation 22Oct240201');</v>
      </c>
    </row>
    <row r="87" spans="1:8" ht="105" x14ac:dyDescent="0.25">
      <c r="A87" t="s">
        <v>215</v>
      </c>
      <c r="B87" s="51" t="str">
        <f>VLOOKUP(A87,policy!B:C,2,0)</f>
        <v>040000180655</v>
      </c>
      <c r="C87" s="46">
        <v>16235.000000000002</v>
      </c>
      <c r="D87" s="46">
        <v>16235.000000000002</v>
      </c>
      <c r="E87" s="50" t="s">
        <v>3673</v>
      </c>
      <c r="F87" s="52" t="str">
        <f t="shared" si="3"/>
        <v>insert into ins_premium_det (premium_rcv_code,assorted_code, rec_amount,premium_rcv_detail_code,remaining_amt, payrec, mode_code,coinsurance_code,class_cd,it_remarks) values</v>
      </c>
      <c r="G87" s="53" t="str">
        <f t="shared" si="4"/>
        <v>('22Oct240201','040000180655','16235',(select max(to_number(i.premium_rcv_detail_code))+1
from ins_premium_det i),'16235','16235','02', '11000003','00','Request by Mr. Omair Ali 22-Oct-2024 allocation 22Oct240201');</v>
      </c>
      <c r="H87" s="54" t="str">
        <f t="shared" si="5"/>
        <v>insert into ins_premium_det (premium_rcv_code,assorted_code, rec_amount,premium_rcv_detail_code,remaining_amt, payrec, mode_code,coinsurance_code,class_cd,it_remarks) values('22Oct240201','040000180655','16235',(select max(to_number(i.premium_rcv_detail_code))+1
from ins_premium_det i),'16235','16235','02', '11000003','00','Request by Mr. Omair Ali 22-Oct-2024 allocation 22Oct240201');</v>
      </c>
    </row>
    <row r="88" spans="1:8" ht="105" x14ac:dyDescent="0.25">
      <c r="A88" t="s">
        <v>216</v>
      </c>
      <c r="B88" s="51" t="str">
        <f>VLOOKUP(A88,policy!B:C,2,0)</f>
        <v>040000180656</v>
      </c>
      <c r="C88" s="46">
        <v>8800</v>
      </c>
      <c r="D88" s="46">
        <v>8800</v>
      </c>
      <c r="E88" s="50" t="s">
        <v>3673</v>
      </c>
      <c r="F88" s="52" t="str">
        <f t="shared" si="3"/>
        <v>insert into ins_premium_det (premium_rcv_code,assorted_code, rec_amount,premium_rcv_detail_code,remaining_amt, payrec, mode_code,coinsurance_code,class_cd,it_remarks) values</v>
      </c>
      <c r="G88" s="53" t="str">
        <f t="shared" si="4"/>
        <v>('22Oct240201','040000180656','8800',(select max(to_number(i.premium_rcv_detail_code))+1
from ins_premium_det i),'8800','8800','02', '11000003','00','Request by Mr. Omair Ali 22-Oct-2024 allocation 22Oct240201');</v>
      </c>
      <c r="H88" s="54" t="str">
        <f t="shared" si="5"/>
        <v>insert into ins_premium_det (premium_rcv_code,assorted_code, rec_amount,premium_rcv_detail_code,remaining_amt, payrec, mode_code,coinsurance_code,class_cd,it_remarks) values('22Oct240201','040000180656','8800',(select max(to_number(i.premium_rcv_detail_code))+1
from ins_premium_det i),'8800','8800','02', '11000003','00','Request by Mr. Omair Ali 22-Oct-2024 allocation 22Oct240201');</v>
      </c>
    </row>
    <row r="89" spans="1:8" ht="105" x14ac:dyDescent="0.25">
      <c r="A89" t="s">
        <v>217</v>
      </c>
      <c r="B89" s="51" t="str">
        <f>VLOOKUP(A89,policy!B:C,2,0)</f>
        <v>040000180657</v>
      </c>
      <c r="C89" s="46">
        <v>16235.000000000002</v>
      </c>
      <c r="D89" s="46">
        <v>16235.000000000002</v>
      </c>
      <c r="E89" s="50" t="s">
        <v>3673</v>
      </c>
      <c r="F89" s="52" t="str">
        <f t="shared" si="3"/>
        <v>insert into ins_premium_det (premium_rcv_code,assorted_code, rec_amount,premium_rcv_detail_code,remaining_amt, payrec, mode_code,coinsurance_code,class_cd,it_remarks) values</v>
      </c>
      <c r="G89" s="53" t="str">
        <f t="shared" si="4"/>
        <v>('22Oct240201','040000180657','16235',(select max(to_number(i.premium_rcv_detail_code))+1
from ins_premium_det i),'16235','16235','02', '11000003','00','Request by Mr. Omair Ali 22-Oct-2024 allocation 22Oct240201');</v>
      </c>
      <c r="H89" s="54" t="str">
        <f t="shared" si="5"/>
        <v>insert into ins_premium_det (premium_rcv_code,assorted_code, rec_amount,premium_rcv_detail_code,remaining_amt, payrec, mode_code,coinsurance_code,class_cd,it_remarks) values('22Oct240201','040000180657','16235',(select max(to_number(i.premium_rcv_detail_code))+1
from ins_premium_det i),'16235','16235','02', '11000003','00','Request by Mr. Omair Ali 22-Oct-2024 allocation 22Oct240201');</v>
      </c>
    </row>
    <row r="90" spans="1:8" ht="105" x14ac:dyDescent="0.25">
      <c r="A90" t="s">
        <v>218</v>
      </c>
      <c r="B90" s="51" t="str">
        <f>VLOOKUP(A90,policy!B:C,2,0)</f>
        <v>040000180658</v>
      </c>
      <c r="C90" s="46">
        <v>16235.000000000002</v>
      </c>
      <c r="D90" s="46">
        <v>16235.000000000002</v>
      </c>
      <c r="E90" s="50" t="s">
        <v>3673</v>
      </c>
      <c r="F90" s="52" t="str">
        <f t="shared" si="3"/>
        <v>insert into ins_premium_det (premium_rcv_code,assorted_code, rec_amount,premium_rcv_detail_code,remaining_amt, payrec, mode_code,coinsurance_code,class_cd,it_remarks) values</v>
      </c>
      <c r="G90" s="53" t="str">
        <f t="shared" si="4"/>
        <v>('22Oct240201','040000180658','16235',(select max(to_number(i.premium_rcv_detail_code))+1
from ins_premium_det i),'16235','16235','02', '11000003','00','Request by Mr. Omair Ali 22-Oct-2024 allocation 22Oct240201');</v>
      </c>
      <c r="H90" s="54" t="str">
        <f t="shared" si="5"/>
        <v>insert into ins_premium_det (premium_rcv_code,assorted_code, rec_amount,premium_rcv_detail_code,remaining_amt, payrec, mode_code,coinsurance_code,class_cd,it_remarks) values('22Oct240201','040000180658','16235',(select max(to_number(i.premium_rcv_detail_code))+1
from ins_premium_det i),'16235','16235','02', '11000003','00','Request by Mr. Omair Ali 22-Oct-2024 allocation 22Oct240201');</v>
      </c>
    </row>
    <row r="91" spans="1:8" ht="105" x14ac:dyDescent="0.25">
      <c r="A91" t="s">
        <v>219</v>
      </c>
      <c r="B91" s="51" t="str">
        <f>VLOOKUP(A91,policy!B:C,2,0)</f>
        <v>040000180659</v>
      </c>
      <c r="C91" s="46">
        <v>9550</v>
      </c>
      <c r="D91" s="46">
        <v>9550</v>
      </c>
      <c r="E91" s="50" t="s">
        <v>3673</v>
      </c>
      <c r="F91" s="52" t="str">
        <f t="shared" si="3"/>
        <v>insert into ins_premium_det (premium_rcv_code,assorted_code, rec_amount,premium_rcv_detail_code,remaining_amt, payrec, mode_code,coinsurance_code,class_cd,it_remarks) values</v>
      </c>
      <c r="G91" s="53" t="str">
        <f t="shared" si="4"/>
        <v>('22Oct240201','040000180659','9550',(select max(to_number(i.premium_rcv_detail_code))+1
from ins_premium_det i),'9550','9550','02', '11000003','00','Request by Mr. Omair Ali 22-Oct-2024 allocation 22Oct240201');</v>
      </c>
      <c r="H91" s="54" t="str">
        <f t="shared" si="5"/>
        <v>insert into ins_premium_det (premium_rcv_code,assorted_code, rec_amount,premium_rcv_detail_code,remaining_amt, payrec, mode_code,coinsurance_code,class_cd,it_remarks) values('22Oct240201','040000180659','9550',(select max(to_number(i.premium_rcv_detail_code))+1
from ins_premium_det i),'9550','9550','02', '11000003','00','Request by Mr. Omair Ali 22-Oct-2024 allocation 22Oct240201');</v>
      </c>
    </row>
    <row r="92" spans="1:8" ht="105" x14ac:dyDescent="0.25">
      <c r="A92" t="s">
        <v>220</v>
      </c>
      <c r="B92" s="51" t="str">
        <f>VLOOKUP(A92,policy!B:C,2,0)</f>
        <v>040000180660</v>
      </c>
      <c r="C92" s="46">
        <v>9550</v>
      </c>
      <c r="D92" s="46">
        <v>9550</v>
      </c>
      <c r="E92" s="50" t="s">
        <v>3673</v>
      </c>
      <c r="F92" s="52" t="str">
        <f t="shared" si="3"/>
        <v>insert into ins_premium_det (premium_rcv_code,assorted_code, rec_amount,premium_rcv_detail_code,remaining_amt, payrec, mode_code,coinsurance_code,class_cd,it_remarks) values</v>
      </c>
      <c r="G92" s="53" t="str">
        <f t="shared" si="4"/>
        <v>('22Oct240201','040000180660','9550',(select max(to_number(i.premium_rcv_detail_code))+1
from ins_premium_det i),'9550','9550','02', '11000003','00','Request by Mr. Omair Ali 22-Oct-2024 allocation 22Oct240201');</v>
      </c>
      <c r="H92" s="54" t="str">
        <f t="shared" si="5"/>
        <v>insert into ins_premium_det (premium_rcv_code,assorted_code, rec_amount,premium_rcv_detail_code,remaining_amt, payrec, mode_code,coinsurance_code,class_cd,it_remarks) values('22Oct240201','040000180660','9550',(select max(to_number(i.premium_rcv_detail_code))+1
from ins_premium_det i),'9550','9550','02', '11000003','00','Request by Mr. Omair Ali 22-Oct-2024 allocation 22Oct240201');</v>
      </c>
    </row>
    <row r="93" spans="1:8" ht="105" x14ac:dyDescent="0.25">
      <c r="A93" t="s">
        <v>221</v>
      </c>
      <c r="B93" s="51" t="str">
        <f>VLOOKUP(A93,policy!B:C,2,0)</f>
        <v>040000180661</v>
      </c>
      <c r="C93" s="46">
        <v>9550</v>
      </c>
      <c r="D93" s="46">
        <v>9550</v>
      </c>
      <c r="E93" s="50" t="s">
        <v>3673</v>
      </c>
      <c r="F93" s="52" t="str">
        <f t="shared" si="3"/>
        <v>insert into ins_premium_det (premium_rcv_code,assorted_code, rec_amount,premium_rcv_detail_code,remaining_amt, payrec, mode_code,coinsurance_code,class_cd,it_remarks) values</v>
      </c>
      <c r="G93" s="53" t="str">
        <f t="shared" si="4"/>
        <v>('22Oct240201','040000180661','9550',(select max(to_number(i.premium_rcv_detail_code))+1
from ins_premium_det i),'9550','9550','02', '11000003','00','Request by Mr. Omair Ali 22-Oct-2024 allocation 22Oct240201');</v>
      </c>
      <c r="H93" s="54" t="str">
        <f t="shared" si="5"/>
        <v>insert into ins_premium_det (premium_rcv_code,assorted_code, rec_amount,premium_rcv_detail_code,remaining_amt, payrec, mode_code,coinsurance_code,class_cd,it_remarks) values('22Oct240201','040000180661','9550',(select max(to_number(i.premium_rcv_detail_code))+1
from ins_premium_det i),'9550','9550','02', '11000003','00','Request by Mr. Omair Ali 22-Oct-2024 allocation 22Oct240201');</v>
      </c>
    </row>
    <row r="94" spans="1:8" ht="105" x14ac:dyDescent="0.25">
      <c r="A94" t="s">
        <v>222</v>
      </c>
      <c r="B94" s="51" t="str">
        <f>VLOOKUP(A94,policy!B:C,2,0)</f>
        <v>040000180662</v>
      </c>
      <c r="C94" s="46">
        <v>13675</v>
      </c>
      <c r="D94" s="46">
        <v>13675</v>
      </c>
      <c r="E94" s="50" t="s">
        <v>3673</v>
      </c>
      <c r="F94" s="52" t="str">
        <f t="shared" si="3"/>
        <v>insert into ins_premium_det (premium_rcv_code,assorted_code, rec_amount,premium_rcv_detail_code,remaining_amt, payrec, mode_code,coinsurance_code,class_cd,it_remarks) values</v>
      </c>
      <c r="G94" s="53" t="str">
        <f t="shared" si="4"/>
        <v>('22Oct240201','040000180662','13675',(select max(to_number(i.premium_rcv_detail_code))+1
from ins_premium_det i),'13675','13675','02', '11000003','00','Request by Mr. Omair Ali 22-Oct-2024 allocation 22Oct240201');</v>
      </c>
      <c r="H94" s="54" t="str">
        <f t="shared" si="5"/>
        <v>insert into ins_premium_det (premium_rcv_code,assorted_code, rec_amount,premium_rcv_detail_code,remaining_amt, payrec, mode_code,coinsurance_code,class_cd,it_remarks) values('22Oct240201','040000180662','13675',(select max(to_number(i.premium_rcv_detail_code))+1
from ins_premium_det i),'13675','13675','02', '11000003','00','Request by Mr. Omair Ali 22-Oct-2024 allocation 22Oct240201');</v>
      </c>
    </row>
    <row r="95" spans="1:8" ht="105" x14ac:dyDescent="0.25">
      <c r="A95" t="s">
        <v>223</v>
      </c>
      <c r="B95" s="51" t="str">
        <f>VLOOKUP(A95,policy!B:C,2,0)</f>
        <v>040000180663</v>
      </c>
      <c r="C95" s="46">
        <v>12475</v>
      </c>
      <c r="D95" s="46">
        <v>12475</v>
      </c>
      <c r="E95" s="50" t="s">
        <v>3673</v>
      </c>
      <c r="F95" s="52" t="str">
        <f t="shared" si="3"/>
        <v>insert into ins_premium_det (premium_rcv_code,assorted_code, rec_amount,premium_rcv_detail_code,remaining_amt, payrec, mode_code,coinsurance_code,class_cd,it_remarks) values</v>
      </c>
      <c r="G95" s="53" t="str">
        <f t="shared" si="4"/>
        <v>('22Oct240201','040000180663','12475',(select max(to_number(i.premium_rcv_detail_code))+1
from ins_premium_det i),'12475','12475','02', '11000003','00','Request by Mr. Omair Ali 22-Oct-2024 allocation 22Oct240201');</v>
      </c>
      <c r="H95" s="54" t="str">
        <f t="shared" si="5"/>
        <v>insert into ins_premium_det (premium_rcv_code,assorted_code, rec_amount,premium_rcv_detail_code,remaining_amt, payrec, mode_code,coinsurance_code,class_cd,it_remarks) values('22Oct240201','040000180663','12475',(select max(to_number(i.premium_rcv_detail_code))+1
from ins_premium_det i),'12475','12475','02', '11000003','00','Request by Mr. Omair Ali 22-Oct-2024 allocation 22Oct240201');</v>
      </c>
    </row>
    <row r="96" spans="1:8" ht="105" x14ac:dyDescent="0.25">
      <c r="A96" t="s">
        <v>224</v>
      </c>
      <c r="B96" s="51" t="str">
        <f>VLOOKUP(A96,policy!B:C,2,0)</f>
        <v>040000180664</v>
      </c>
      <c r="C96" s="46">
        <v>9550</v>
      </c>
      <c r="D96" s="46">
        <v>9550</v>
      </c>
      <c r="E96" s="50" t="s">
        <v>3673</v>
      </c>
      <c r="F96" s="52" t="str">
        <f t="shared" si="3"/>
        <v>insert into ins_premium_det (premium_rcv_code,assorted_code, rec_amount,premium_rcv_detail_code,remaining_amt, payrec, mode_code,coinsurance_code,class_cd,it_remarks) values</v>
      </c>
      <c r="G96" s="53" t="str">
        <f t="shared" si="4"/>
        <v>('22Oct240201','040000180664','9550',(select max(to_number(i.premium_rcv_detail_code))+1
from ins_premium_det i),'9550','9550','02', '11000003','00','Request by Mr. Omair Ali 22-Oct-2024 allocation 22Oct240201');</v>
      </c>
      <c r="H96" s="54" t="str">
        <f t="shared" si="5"/>
        <v>insert into ins_premium_det (premium_rcv_code,assorted_code, rec_amount,premium_rcv_detail_code,remaining_amt, payrec, mode_code,coinsurance_code,class_cd,it_remarks) values('22Oct240201','040000180664','9550',(select max(to_number(i.premium_rcv_detail_code))+1
from ins_premium_det i),'9550','9550','02', '11000003','00','Request by Mr. Omair Ali 22-Oct-2024 allocation 22Oct240201');</v>
      </c>
    </row>
    <row r="97" spans="1:8" ht="105" x14ac:dyDescent="0.25">
      <c r="A97" t="s">
        <v>225</v>
      </c>
      <c r="B97" s="51" t="str">
        <f>VLOOKUP(A97,policy!B:C,2,0)</f>
        <v>040000180715</v>
      </c>
      <c r="C97" s="46">
        <v>14960.000000000002</v>
      </c>
      <c r="D97" s="46">
        <v>14960.000000000002</v>
      </c>
      <c r="E97" s="50" t="s">
        <v>3673</v>
      </c>
      <c r="F97" s="52" t="str">
        <f t="shared" si="3"/>
        <v>insert into ins_premium_det (premium_rcv_code,assorted_code, rec_amount,premium_rcv_detail_code,remaining_amt, payrec, mode_code,coinsurance_code,class_cd,it_remarks) values</v>
      </c>
      <c r="G97" s="53" t="str">
        <f t="shared" si="4"/>
        <v>('22Oct240201','040000180715','14960',(select max(to_number(i.premium_rcv_detail_code))+1
from ins_premium_det i),'14960','14960','02', '11000003','00','Request by Mr. Omair Ali 22-Oct-2024 allocation 22Oct240201');</v>
      </c>
      <c r="H97" s="54" t="str">
        <f t="shared" si="5"/>
        <v>insert into ins_premium_det (premium_rcv_code,assorted_code, rec_amount,premium_rcv_detail_code,remaining_amt, payrec, mode_code,coinsurance_code,class_cd,it_remarks) values('22Oct240201','040000180715','14960',(select max(to_number(i.premium_rcv_detail_code))+1
from ins_premium_det i),'14960','14960','02', '11000003','00','Request by Mr. Omair Ali 22-Oct-2024 allocation 22Oct240201');</v>
      </c>
    </row>
    <row r="98" spans="1:8" ht="105" x14ac:dyDescent="0.25">
      <c r="A98" t="s">
        <v>226</v>
      </c>
      <c r="B98" s="51" t="str">
        <f>VLOOKUP(A98,policy!B:C,2,0)</f>
        <v>040000180716</v>
      </c>
      <c r="C98" s="46">
        <v>14960.000000000002</v>
      </c>
      <c r="D98" s="46">
        <v>14960.000000000002</v>
      </c>
      <c r="E98" s="50" t="s">
        <v>3673</v>
      </c>
      <c r="F98" s="52" t="str">
        <f t="shared" si="3"/>
        <v>insert into ins_premium_det (premium_rcv_code,assorted_code, rec_amount,premium_rcv_detail_code,remaining_amt, payrec, mode_code,coinsurance_code,class_cd,it_remarks) values</v>
      </c>
      <c r="G98" s="53" t="str">
        <f t="shared" si="4"/>
        <v>('22Oct240201','040000180716','14960',(select max(to_number(i.premium_rcv_detail_code))+1
from ins_premium_det i),'14960','14960','02', '11000003','00','Request by Mr. Omair Ali 22-Oct-2024 allocation 22Oct240201');</v>
      </c>
      <c r="H98" s="54" t="str">
        <f t="shared" si="5"/>
        <v>insert into ins_premium_det (premium_rcv_code,assorted_code, rec_amount,premium_rcv_detail_code,remaining_amt, payrec, mode_code,coinsurance_code,class_cd,it_remarks) values('22Oct240201','040000180716','14960',(select max(to_number(i.premium_rcv_detail_code))+1
from ins_premium_det i),'14960','14960','02', '11000003','00','Request by Mr. Omair Ali 22-Oct-2024 allocation 22Oct240201');</v>
      </c>
    </row>
    <row r="99" spans="1:8" ht="105" x14ac:dyDescent="0.25">
      <c r="A99" t="s">
        <v>227</v>
      </c>
      <c r="B99" s="51" t="str">
        <f>VLOOKUP(A99,policy!B:C,2,0)</f>
        <v>040000180717</v>
      </c>
      <c r="C99" s="46">
        <v>14960.000000000002</v>
      </c>
      <c r="D99" s="46">
        <v>14960.000000000002</v>
      </c>
      <c r="E99" s="50" t="s">
        <v>3673</v>
      </c>
      <c r="F99" s="52" t="str">
        <f t="shared" si="3"/>
        <v>insert into ins_premium_det (premium_rcv_code,assorted_code, rec_amount,premium_rcv_detail_code,remaining_amt, payrec, mode_code,coinsurance_code,class_cd,it_remarks) values</v>
      </c>
      <c r="G99" s="53" t="str">
        <f t="shared" si="4"/>
        <v>('22Oct240201','040000180717','14960',(select max(to_number(i.premium_rcv_detail_code))+1
from ins_premium_det i),'14960','14960','02', '11000003','00','Request by Mr. Omair Ali 22-Oct-2024 allocation 22Oct240201');</v>
      </c>
      <c r="H99" s="54" t="str">
        <f t="shared" si="5"/>
        <v>insert into ins_premium_det (premium_rcv_code,assorted_code, rec_amount,premium_rcv_detail_code,remaining_amt, payrec, mode_code,coinsurance_code,class_cd,it_remarks) values('22Oct240201','040000180717','14960',(select max(to_number(i.premium_rcv_detail_code))+1
from ins_premium_det i),'14960','14960','02', '11000003','00','Request by Mr. Omair Ali 22-Oct-2024 allocation 22Oct240201');</v>
      </c>
    </row>
    <row r="100" spans="1:8" ht="105" x14ac:dyDescent="0.25">
      <c r="A100" t="s">
        <v>228</v>
      </c>
      <c r="B100" s="51" t="str">
        <f>VLOOKUP(A100,policy!B:C,2,0)</f>
        <v>040000180718</v>
      </c>
      <c r="C100" s="46">
        <v>8800</v>
      </c>
      <c r="D100" s="46">
        <v>8800</v>
      </c>
      <c r="E100" s="50" t="s">
        <v>3673</v>
      </c>
      <c r="F100" s="52" t="str">
        <f t="shared" si="3"/>
        <v>insert into ins_premium_det (premium_rcv_code,assorted_code, rec_amount,premium_rcv_detail_code,remaining_amt, payrec, mode_code,coinsurance_code,class_cd,it_remarks) values</v>
      </c>
      <c r="G100" s="53" t="str">
        <f t="shared" si="4"/>
        <v>('22Oct240201','040000180718','8800',(select max(to_number(i.premium_rcv_detail_code))+1
from ins_premium_det i),'8800','8800','02', '11000003','00','Request by Mr. Omair Ali 22-Oct-2024 allocation 22Oct240201');</v>
      </c>
      <c r="H100" s="54" t="str">
        <f t="shared" si="5"/>
        <v>insert into ins_premium_det (premium_rcv_code,assorted_code, rec_amount,premium_rcv_detail_code,remaining_amt, payrec, mode_code,coinsurance_code,class_cd,it_remarks) values('22Oct240201','040000180718','8800',(select max(to_number(i.premium_rcv_detail_code))+1
from ins_premium_det i),'8800','8800','02', '11000003','00','Request by Mr. Omair Ali 22-Oct-2024 allocation 22Oct240201');</v>
      </c>
    </row>
    <row r="101" spans="1:8" ht="105" x14ac:dyDescent="0.25">
      <c r="A101" t="s">
        <v>229</v>
      </c>
      <c r="B101" s="51" t="str">
        <f>VLOOKUP(A101,policy!B:C,2,0)</f>
        <v>040000180719</v>
      </c>
      <c r="C101" s="46">
        <v>14960.000000000002</v>
      </c>
      <c r="D101" s="46">
        <v>14960.000000000002</v>
      </c>
      <c r="E101" s="50" t="s">
        <v>3673</v>
      </c>
      <c r="F101" s="52" t="str">
        <f t="shared" si="3"/>
        <v>insert into ins_premium_det (premium_rcv_code,assorted_code, rec_amount,premium_rcv_detail_code,remaining_amt, payrec, mode_code,coinsurance_code,class_cd,it_remarks) values</v>
      </c>
      <c r="G101" s="53" t="str">
        <f t="shared" si="4"/>
        <v>('22Oct240201','040000180719','14960',(select max(to_number(i.premium_rcv_detail_code))+1
from ins_premium_det i),'14960','14960','02', '11000003','00','Request by Mr. Omair Ali 22-Oct-2024 allocation 22Oct240201');</v>
      </c>
      <c r="H101" s="54" t="str">
        <f t="shared" si="5"/>
        <v>insert into ins_premium_det (premium_rcv_code,assorted_code, rec_amount,premium_rcv_detail_code,remaining_amt, payrec, mode_code,coinsurance_code,class_cd,it_remarks) values('22Oct240201','040000180719','14960',(select max(to_number(i.premium_rcv_detail_code))+1
from ins_premium_det i),'14960','14960','02', '11000003','00','Request by Mr. Omair Ali 22-Oct-2024 allocation 22Oct240201');</v>
      </c>
    </row>
    <row r="102" spans="1:8" ht="105" x14ac:dyDescent="0.25">
      <c r="A102" t="s">
        <v>230</v>
      </c>
      <c r="B102" s="51" t="str">
        <f>VLOOKUP(A102,policy!B:C,2,0)</f>
        <v>040000180723</v>
      </c>
      <c r="C102" s="46">
        <v>14960.000000000002</v>
      </c>
      <c r="D102" s="46">
        <v>14960.000000000002</v>
      </c>
      <c r="E102" s="50" t="s">
        <v>3673</v>
      </c>
      <c r="F102" s="52" t="str">
        <f t="shared" si="3"/>
        <v>insert into ins_premium_det (premium_rcv_code,assorted_code, rec_amount,premium_rcv_detail_code,remaining_amt, payrec, mode_code,coinsurance_code,class_cd,it_remarks) values</v>
      </c>
      <c r="G102" s="53" t="str">
        <f t="shared" si="4"/>
        <v>('22Oct240201','040000180723','14960',(select max(to_number(i.premium_rcv_detail_code))+1
from ins_premium_det i),'14960','14960','02', '11000003','00','Request by Mr. Omair Ali 22-Oct-2024 allocation 22Oct240201');</v>
      </c>
      <c r="H102" s="54" t="str">
        <f t="shared" si="5"/>
        <v>insert into ins_premium_det (premium_rcv_code,assorted_code, rec_amount,premium_rcv_detail_code,remaining_amt, payrec, mode_code,coinsurance_code,class_cd,it_remarks) values('22Oct240201','040000180723','14960',(select max(to_number(i.premium_rcv_detail_code))+1
from ins_premium_det i),'14960','14960','02', '11000003','00','Request by Mr. Omair Ali 22-Oct-2024 allocation 22Oct240201');</v>
      </c>
    </row>
    <row r="103" spans="1:8" ht="105" x14ac:dyDescent="0.25">
      <c r="A103" t="s">
        <v>231</v>
      </c>
      <c r="B103" s="51" t="str">
        <f>VLOOKUP(A103,policy!B:C,2,0)</f>
        <v>040000180724</v>
      </c>
      <c r="C103" s="46">
        <v>14960.000000000002</v>
      </c>
      <c r="D103" s="46">
        <v>14960.000000000002</v>
      </c>
      <c r="E103" s="50" t="s">
        <v>3673</v>
      </c>
      <c r="F103" s="52" t="str">
        <f t="shared" si="3"/>
        <v>insert into ins_premium_det (premium_rcv_code,assorted_code, rec_amount,premium_rcv_detail_code,remaining_amt, payrec, mode_code,coinsurance_code,class_cd,it_remarks) values</v>
      </c>
      <c r="G103" s="53" t="str">
        <f t="shared" si="4"/>
        <v>('22Oct240201','040000180724','14960',(select max(to_number(i.premium_rcv_detail_code))+1
from ins_premium_det i),'14960','14960','02', '11000003','00','Request by Mr. Omair Ali 22-Oct-2024 allocation 22Oct240201');</v>
      </c>
      <c r="H103" s="54" t="str">
        <f t="shared" si="5"/>
        <v>insert into ins_premium_det (premium_rcv_code,assorted_code, rec_amount,premium_rcv_detail_code,remaining_amt, payrec, mode_code,coinsurance_code,class_cd,it_remarks) values('22Oct240201','040000180724','14960',(select max(to_number(i.premium_rcv_detail_code))+1
from ins_premium_det i),'14960','14960','02', '11000003','00','Request by Mr. Omair Ali 22-Oct-2024 allocation 22Oct240201');</v>
      </c>
    </row>
    <row r="104" spans="1:8" ht="105" x14ac:dyDescent="0.25">
      <c r="A104" t="s">
        <v>232</v>
      </c>
      <c r="B104" s="51" t="str">
        <f>VLOOKUP(A104,policy!B:C,2,0)</f>
        <v>040000180727</v>
      </c>
      <c r="C104" s="46">
        <v>8800</v>
      </c>
      <c r="D104" s="46">
        <v>8800</v>
      </c>
      <c r="E104" s="50" t="s">
        <v>3673</v>
      </c>
      <c r="F104" s="52" t="str">
        <f t="shared" si="3"/>
        <v>insert into ins_premium_det (premium_rcv_code,assorted_code, rec_amount,premium_rcv_detail_code,remaining_amt, payrec, mode_code,coinsurance_code,class_cd,it_remarks) values</v>
      </c>
      <c r="G104" s="53" t="str">
        <f t="shared" si="4"/>
        <v>('22Oct240201','040000180727','8800',(select max(to_number(i.premium_rcv_detail_code))+1
from ins_premium_det i),'8800','8800','02', '11000003','00','Request by Mr. Omair Ali 22-Oct-2024 allocation 22Oct240201');</v>
      </c>
      <c r="H104" s="54" t="str">
        <f t="shared" si="5"/>
        <v>insert into ins_premium_det (premium_rcv_code,assorted_code, rec_amount,premium_rcv_detail_code,remaining_amt, payrec, mode_code,coinsurance_code,class_cd,it_remarks) values('22Oct240201','040000180727','8800',(select max(to_number(i.premium_rcv_detail_code))+1
from ins_premium_det i),'8800','8800','02', '11000003','00','Request by Mr. Omair Ali 22-Oct-2024 allocation 22Oct240201');</v>
      </c>
    </row>
    <row r="105" spans="1:8" ht="105" x14ac:dyDescent="0.25">
      <c r="A105" t="s">
        <v>233</v>
      </c>
      <c r="B105" s="51" t="str">
        <f>VLOOKUP(A105,policy!B:C,2,0)</f>
        <v>040000180730</v>
      </c>
      <c r="C105" s="46">
        <v>8800</v>
      </c>
      <c r="D105" s="46">
        <v>8800</v>
      </c>
      <c r="E105" s="50" t="s">
        <v>3673</v>
      </c>
      <c r="F105" s="52" t="str">
        <f t="shared" si="3"/>
        <v>insert into ins_premium_det (premium_rcv_code,assorted_code, rec_amount,premium_rcv_detail_code,remaining_amt, payrec, mode_code,coinsurance_code,class_cd,it_remarks) values</v>
      </c>
      <c r="G105" s="53" t="str">
        <f t="shared" si="4"/>
        <v>('22Oct240201','040000180730','8800',(select max(to_number(i.premium_rcv_detail_code))+1
from ins_premium_det i),'8800','8800','02', '11000003','00','Request by Mr. Omair Ali 22-Oct-2024 allocation 22Oct240201');</v>
      </c>
      <c r="H105" s="54" t="str">
        <f t="shared" si="5"/>
        <v>insert into ins_premium_det (premium_rcv_code,assorted_code, rec_amount,premium_rcv_detail_code,remaining_amt, payrec, mode_code,coinsurance_code,class_cd,it_remarks) values('22Oct240201','040000180730','8800',(select max(to_number(i.premium_rcv_detail_code))+1
from ins_premium_det i),'8800','8800','02', '11000003','00','Request by Mr. Omair Ali 22-Oct-2024 allocation 22Oct240201');</v>
      </c>
    </row>
    <row r="106" spans="1:8" ht="105" x14ac:dyDescent="0.25">
      <c r="A106" t="s">
        <v>234</v>
      </c>
      <c r="B106" s="51" t="str">
        <f>VLOOKUP(A106,policy!B:C,2,0)</f>
        <v>040000180746</v>
      </c>
      <c r="C106" s="46">
        <v>13675</v>
      </c>
      <c r="D106" s="46">
        <v>13675</v>
      </c>
      <c r="E106" s="50" t="s">
        <v>3673</v>
      </c>
      <c r="F106" s="52" t="str">
        <f t="shared" si="3"/>
        <v>insert into ins_premium_det (premium_rcv_code,assorted_code, rec_amount,premium_rcv_detail_code,remaining_amt, payrec, mode_code,coinsurance_code,class_cd,it_remarks) values</v>
      </c>
      <c r="G106" s="53" t="str">
        <f t="shared" si="4"/>
        <v>('22Oct240201','040000180746','13675',(select max(to_number(i.premium_rcv_detail_code))+1
from ins_premium_det i),'13675','13675','02', '11000003','00','Request by Mr. Omair Ali 22-Oct-2024 allocation 22Oct240201');</v>
      </c>
      <c r="H106" s="54" t="str">
        <f t="shared" si="5"/>
        <v>insert into ins_premium_det (premium_rcv_code,assorted_code, rec_amount,premium_rcv_detail_code,remaining_amt, payrec, mode_code,coinsurance_code,class_cd,it_remarks) values('22Oct240201','040000180746','13675',(select max(to_number(i.premium_rcv_detail_code))+1
from ins_premium_det i),'13675','13675','02', '11000003','00','Request by Mr. Omair Ali 22-Oct-2024 allocation 22Oct240201');</v>
      </c>
    </row>
    <row r="107" spans="1:8" ht="105" x14ac:dyDescent="0.25">
      <c r="A107" t="s">
        <v>235</v>
      </c>
      <c r="B107" s="51" t="str">
        <f>VLOOKUP(A107,policy!B:C,2,0)</f>
        <v>040000180751</v>
      </c>
      <c r="C107" s="46">
        <v>12475</v>
      </c>
      <c r="D107" s="46">
        <v>12475</v>
      </c>
      <c r="E107" s="50" t="s">
        <v>3673</v>
      </c>
      <c r="F107" s="52" t="str">
        <f t="shared" si="3"/>
        <v>insert into ins_premium_det (premium_rcv_code,assorted_code, rec_amount,premium_rcv_detail_code,remaining_amt, payrec, mode_code,coinsurance_code,class_cd,it_remarks) values</v>
      </c>
      <c r="G107" s="53" t="str">
        <f t="shared" si="4"/>
        <v>('22Oct240201','040000180751','12475',(select max(to_number(i.premium_rcv_detail_code))+1
from ins_premium_det i),'12475','12475','02', '11000003','00','Request by Mr. Omair Ali 22-Oct-2024 allocation 22Oct240201');</v>
      </c>
      <c r="H107" s="54" t="str">
        <f t="shared" si="5"/>
        <v>insert into ins_premium_det (premium_rcv_code,assorted_code, rec_amount,premium_rcv_detail_code,remaining_amt, payrec, mode_code,coinsurance_code,class_cd,it_remarks) values('22Oct240201','040000180751','12475',(select max(to_number(i.premium_rcv_detail_code))+1
from ins_premium_det i),'12475','12475','02', '11000003','00','Request by Mr. Omair Ali 22-Oct-2024 allocation 22Oct240201');</v>
      </c>
    </row>
    <row r="108" spans="1:8" ht="105" x14ac:dyDescent="0.25">
      <c r="A108" t="s">
        <v>236</v>
      </c>
      <c r="B108" s="51" t="str">
        <f>VLOOKUP(A108,policy!B:C,2,0)</f>
        <v>040000180753</v>
      </c>
      <c r="C108" s="46">
        <v>9550</v>
      </c>
      <c r="D108" s="46">
        <v>9550</v>
      </c>
      <c r="E108" s="50" t="s">
        <v>3673</v>
      </c>
      <c r="F108" s="52" t="str">
        <f t="shared" si="3"/>
        <v>insert into ins_premium_det (premium_rcv_code,assorted_code, rec_amount,premium_rcv_detail_code,remaining_amt, payrec, mode_code,coinsurance_code,class_cd,it_remarks) values</v>
      </c>
      <c r="G108" s="53" t="str">
        <f t="shared" si="4"/>
        <v>('22Oct240201','040000180753','9550',(select max(to_number(i.premium_rcv_detail_code))+1
from ins_premium_det i),'9550','9550','02', '11000003','00','Request by Mr. Omair Ali 22-Oct-2024 allocation 22Oct240201');</v>
      </c>
      <c r="H108" s="54" t="str">
        <f t="shared" si="5"/>
        <v>insert into ins_premium_det (premium_rcv_code,assorted_code, rec_amount,premium_rcv_detail_code,remaining_amt, payrec, mode_code,coinsurance_code,class_cd,it_remarks) values('22Oct240201','040000180753','9550',(select max(to_number(i.premium_rcv_detail_code))+1
from ins_premium_det i),'9550','9550','02', '11000003','00','Request by Mr. Omair Ali 22-Oct-2024 allocation 22Oct240201');</v>
      </c>
    </row>
    <row r="109" spans="1:8" ht="105" x14ac:dyDescent="0.25">
      <c r="A109" t="s">
        <v>237</v>
      </c>
      <c r="B109" s="51" t="str">
        <f>VLOOKUP(A109,policy!B:C,2,0)</f>
        <v>040000180755</v>
      </c>
      <c r="C109" s="46">
        <v>8800</v>
      </c>
      <c r="D109" s="46">
        <v>8800</v>
      </c>
      <c r="E109" s="50" t="s">
        <v>3673</v>
      </c>
      <c r="F109" s="52" t="str">
        <f t="shared" si="3"/>
        <v>insert into ins_premium_det (premium_rcv_code,assorted_code, rec_amount,premium_rcv_detail_code,remaining_amt, payrec, mode_code,coinsurance_code,class_cd,it_remarks) values</v>
      </c>
      <c r="G109" s="53" t="str">
        <f t="shared" si="4"/>
        <v>('22Oct240201','040000180755','8800',(select max(to_number(i.premium_rcv_detail_code))+1
from ins_premium_det i),'8800','8800','02', '11000003','00','Request by Mr. Omair Ali 22-Oct-2024 allocation 22Oct240201');</v>
      </c>
      <c r="H109" s="54" t="str">
        <f t="shared" si="5"/>
        <v>insert into ins_premium_det (premium_rcv_code,assorted_code, rec_amount,premium_rcv_detail_code,remaining_amt, payrec, mode_code,coinsurance_code,class_cd,it_remarks) values('22Oct240201','040000180755','8800',(select max(to_number(i.premium_rcv_detail_code))+1
from ins_premium_det i),'8800','8800','02', '11000003','00','Request by Mr. Omair Ali 22-Oct-2024 allocation 22Oct240201');</v>
      </c>
    </row>
    <row r="110" spans="1:8" ht="105" x14ac:dyDescent="0.25">
      <c r="A110" t="s">
        <v>238</v>
      </c>
      <c r="B110" s="51" t="str">
        <f>VLOOKUP(A110,policy!B:C,2,0)</f>
        <v>040000180757</v>
      </c>
      <c r="C110" s="46">
        <v>8800</v>
      </c>
      <c r="D110" s="46">
        <v>8800</v>
      </c>
      <c r="E110" s="50" t="s">
        <v>3673</v>
      </c>
      <c r="F110" s="52" t="str">
        <f t="shared" si="3"/>
        <v>insert into ins_premium_det (premium_rcv_code,assorted_code, rec_amount,premium_rcv_detail_code,remaining_amt, payrec, mode_code,coinsurance_code,class_cd,it_remarks) values</v>
      </c>
      <c r="G110" s="53" t="str">
        <f t="shared" si="4"/>
        <v>('22Oct240201','040000180757','8800',(select max(to_number(i.premium_rcv_detail_code))+1
from ins_premium_det i),'8800','8800','02', '11000003','00','Request by Mr. Omair Ali 22-Oct-2024 allocation 22Oct240201');</v>
      </c>
      <c r="H110" s="54" t="str">
        <f t="shared" si="5"/>
        <v>insert into ins_premium_det (premium_rcv_code,assorted_code, rec_amount,premium_rcv_detail_code,remaining_amt, payrec, mode_code,coinsurance_code,class_cd,it_remarks) values('22Oct240201','040000180757','8800',(select max(to_number(i.premium_rcv_detail_code))+1
from ins_premium_det i),'8800','8800','02', '11000003','00','Request by Mr. Omair Ali 22-Oct-2024 allocation 22Oct240201');</v>
      </c>
    </row>
    <row r="111" spans="1:8" ht="105" x14ac:dyDescent="0.25">
      <c r="A111" t="s">
        <v>239</v>
      </c>
      <c r="B111" s="51" t="str">
        <f>VLOOKUP(A111,policy!B:C,2,0)</f>
        <v>040000180758</v>
      </c>
      <c r="C111" s="46">
        <v>9550</v>
      </c>
      <c r="D111" s="46">
        <v>9550</v>
      </c>
      <c r="E111" s="50" t="s">
        <v>3673</v>
      </c>
      <c r="F111" s="52" t="str">
        <f t="shared" si="3"/>
        <v>insert into ins_premium_det (premium_rcv_code,assorted_code, rec_amount,premium_rcv_detail_code,remaining_amt, payrec, mode_code,coinsurance_code,class_cd,it_remarks) values</v>
      </c>
      <c r="G111" s="53" t="str">
        <f t="shared" si="4"/>
        <v>('22Oct240201','040000180758','9550',(select max(to_number(i.premium_rcv_detail_code))+1
from ins_premium_det i),'9550','9550','02', '11000003','00','Request by Mr. Omair Ali 22-Oct-2024 allocation 22Oct240201');</v>
      </c>
      <c r="H111" s="54" t="str">
        <f t="shared" si="5"/>
        <v>insert into ins_premium_det (premium_rcv_code,assorted_code, rec_amount,premium_rcv_detail_code,remaining_amt, payrec, mode_code,coinsurance_code,class_cd,it_remarks) values('22Oct240201','040000180758','9550',(select max(to_number(i.premium_rcv_detail_code))+1
from ins_premium_det i),'9550','9550','02', '11000003','00','Request by Mr. Omair Ali 22-Oct-2024 allocation 22Oct240201');</v>
      </c>
    </row>
    <row r="112" spans="1:8" ht="105" x14ac:dyDescent="0.25">
      <c r="A112" t="s">
        <v>240</v>
      </c>
      <c r="B112" s="51" t="str">
        <f>VLOOKUP(A112,policy!B:C,2,0)</f>
        <v>040000180760</v>
      </c>
      <c r="C112" s="46">
        <v>13675</v>
      </c>
      <c r="D112" s="46">
        <v>13675</v>
      </c>
      <c r="E112" s="50" t="s">
        <v>3673</v>
      </c>
      <c r="F112" s="52" t="str">
        <f t="shared" si="3"/>
        <v>insert into ins_premium_det (premium_rcv_code,assorted_code, rec_amount,premium_rcv_detail_code,remaining_amt, payrec, mode_code,coinsurance_code,class_cd,it_remarks) values</v>
      </c>
      <c r="G112" s="53" t="str">
        <f t="shared" si="4"/>
        <v>('22Oct240201','040000180760','13675',(select max(to_number(i.premium_rcv_detail_code))+1
from ins_premium_det i),'13675','13675','02', '11000003','00','Request by Mr. Omair Ali 22-Oct-2024 allocation 22Oct240201');</v>
      </c>
      <c r="H112" s="54" t="str">
        <f t="shared" si="5"/>
        <v>insert into ins_premium_det (premium_rcv_code,assorted_code, rec_amount,premium_rcv_detail_code,remaining_amt, payrec, mode_code,coinsurance_code,class_cd,it_remarks) values('22Oct240201','040000180760','13675',(select max(to_number(i.premium_rcv_detail_code))+1
from ins_premium_det i),'13675','13675','02', '11000003','00','Request by Mr. Omair Ali 22-Oct-2024 allocation 22Oct240201');</v>
      </c>
    </row>
    <row r="113" spans="1:8" ht="105" x14ac:dyDescent="0.25">
      <c r="A113" t="s">
        <v>241</v>
      </c>
      <c r="B113" s="51" t="str">
        <f>VLOOKUP(A113,policy!B:C,2,0)</f>
        <v>040000180762</v>
      </c>
      <c r="C113" s="46">
        <v>9550</v>
      </c>
      <c r="D113" s="46">
        <v>9550</v>
      </c>
      <c r="E113" s="50" t="s">
        <v>3673</v>
      </c>
      <c r="F113" s="52" t="str">
        <f t="shared" si="3"/>
        <v>insert into ins_premium_det (premium_rcv_code,assorted_code, rec_amount,premium_rcv_detail_code,remaining_amt, payrec, mode_code,coinsurance_code,class_cd,it_remarks) values</v>
      </c>
      <c r="G113" s="53" t="str">
        <f t="shared" si="4"/>
        <v>('22Oct240201','040000180762','9550',(select max(to_number(i.premium_rcv_detail_code))+1
from ins_premium_det i),'9550','9550','02', '11000003','00','Request by Mr. Omair Ali 22-Oct-2024 allocation 22Oct240201');</v>
      </c>
      <c r="H113" s="54" t="str">
        <f t="shared" si="5"/>
        <v>insert into ins_premium_det (premium_rcv_code,assorted_code, rec_amount,premium_rcv_detail_code,remaining_amt, payrec, mode_code,coinsurance_code,class_cd,it_remarks) values('22Oct240201','040000180762','9550',(select max(to_number(i.premium_rcv_detail_code))+1
from ins_premium_det i),'9550','9550','02', '11000003','00','Request by Mr. Omair Ali 22-Oct-2024 allocation 22Oct240201');</v>
      </c>
    </row>
    <row r="114" spans="1:8" ht="105" x14ac:dyDescent="0.25">
      <c r="A114" t="s">
        <v>242</v>
      </c>
      <c r="B114" s="51" t="str">
        <f>VLOOKUP(A114,policy!B:C,2,0)</f>
        <v>040000180763</v>
      </c>
      <c r="C114" s="46">
        <v>14960.000000000002</v>
      </c>
      <c r="D114" s="46">
        <v>14960.000000000002</v>
      </c>
      <c r="E114" s="50" t="s">
        <v>3673</v>
      </c>
      <c r="F114" s="52" t="str">
        <f t="shared" si="3"/>
        <v>insert into ins_premium_det (premium_rcv_code,assorted_code, rec_amount,premium_rcv_detail_code,remaining_amt, payrec, mode_code,coinsurance_code,class_cd,it_remarks) values</v>
      </c>
      <c r="G114" s="53" t="str">
        <f t="shared" si="4"/>
        <v>('22Oct240201','040000180763','14960',(select max(to_number(i.premium_rcv_detail_code))+1
from ins_premium_det i),'14960','14960','02', '11000003','00','Request by Mr. Omair Ali 22-Oct-2024 allocation 22Oct240201');</v>
      </c>
      <c r="H114" s="54" t="str">
        <f t="shared" si="5"/>
        <v>insert into ins_premium_det (premium_rcv_code,assorted_code, rec_amount,premium_rcv_detail_code,remaining_amt, payrec, mode_code,coinsurance_code,class_cd,it_remarks) values('22Oct240201','040000180763','14960',(select max(to_number(i.premium_rcv_detail_code))+1
from ins_premium_det i),'14960','14960','02', '11000003','00','Request by Mr. Omair Ali 22-Oct-2024 allocation 22Oct240201');</v>
      </c>
    </row>
    <row r="115" spans="1:8" ht="105" x14ac:dyDescent="0.25">
      <c r="A115" t="s">
        <v>243</v>
      </c>
      <c r="B115" s="51" t="str">
        <f>VLOOKUP(A115,policy!B:C,2,0)</f>
        <v>040000180766</v>
      </c>
      <c r="C115" s="46">
        <v>13675</v>
      </c>
      <c r="D115" s="46">
        <v>13675</v>
      </c>
      <c r="E115" s="50" t="s">
        <v>3673</v>
      </c>
      <c r="F115" s="52" t="str">
        <f t="shared" si="3"/>
        <v>insert into ins_premium_det (premium_rcv_code,assorted_code, rec_amount,premium_rcv_detail_code,remaining_amt, payrec, mode_code,coinsurance_code,class_cd,it_remarks) values</v>
      </c>
      <c r="G115" s="53" t="str">
        <f t="shared" si="4"/>
        <v>('22Oct240201','040000180766','13675',(select max(to_number(i.premium_rcv_detail_code))+1
from ins_premium_det i),'13675','13675','02', '11000003','00','Request by Mr. Omair Ali 22-Oct-2024 allocation 22Oct240201');</v>
      </c>
      <c r="H115" s="54" t="str">
        <f t="shared" si="5"/>
        <v>insert into ins_premium_det (premium_rcv_code,assorted_code, rec_amount,premium_rcv_detail_code,remaining_amt, payrec, mode_code,coinsurance_code,class_cd,it_remarks) values('22Oct240201','040000180766','13675',(select max(to_number(i.premium_rcv_detail_code))+1
from ins_premium_det i),'13675','13675','02', '11000003','00','Request by Mr. Omair Ali 22-Oct-2024 allocation 22Oct240201');</v>
      </c>
    </row>
    <row r="116" spans="1:8" ht="105" x14ac:dyDescent="0.25">
      <c r="A116" t="s">
        <v>244</v>
      </c>
      <c r="B116" s="51" t="str">
        <f>VLOOKUP(A116,policy!B:C,2,0)</f>
        <v>040000180769</v>
      </c>
      <c r="C116" s="46">
        <v>9550</v>
      </c>
      <c r="D116" s="46">
        <v>9550</v>
      </c>
      <c r="E116" s="50" t="s">
        <v>3673</v>
      </c>
      <c r="F116" s="52" t="str">
        <f t="shared" si="3"/>
        <v>insert into ins_premium_det (premium_rcv_code,assorted_code, rec_amount,premium_rcv_detail_code,remaining_amt, payrec, mode_code,coinsurance_code,class_cd,it_remarks) values</v>
      </c>
      <c r="G116" s="53" t="str">
        <f t="shared" si="4"/>
        <v>('22Oct240201','040000180769','9550',(select max(to_number(i.premium_rcv_detail_code))+1
from ins_premium_det i),'9550','9550','02', '11000003','00','Request by Mr. Omair Ali 22-Oct-2024 allocation 22Oct240201');</v>
      </c>
      <c r="H116" s="54" t="str">
        <f t="shared" si="5"/>
        <v>insert into ins_premium_det (premium_rcv_code,assorted_code, rec_amount,premium_rcv_detail_code,remaining_amt, payrec, mode_code,coinsurance_code,class_cd,it_remarks) values('22Oct240201','040000180769','9550',(select max(to_number(i.premium_rcv_detail_code))+1
from ins_premium_det i),'9550','9550','02', '11000003','00','Request by Mr. Omair Ali 22-Oct-2024 allocation 22Oct240201');</v>
      </c>
    </row>
    <row r="117" spans="1:8" ht="105" x14ac:dyDescent="0.25">
      <c r="A117" t="s">
        <v>245</v>
      </c>
      <c r="B117" s="51" t="str">
        <f>VLOOKUP(A117,policy!B:C,2,0)</f>
        <v>040000180772</v>
      </c>
      <c r="C117" s="46">
        <v>9550</v>
      </c>
      <c r="D117" s="46">
        <v>9550</v>
      </c>
      <c r="E117" s="50" t="s">
        <v>3673</v>
      </c>
      <c r="F117" s="52" t="str">
        <f t="shared" si="3"/>
        <v>insert into ins_premium_det (premium_rcv_code,assorted_code, rec_amount,premium_rcv_detail_code,remaining_amt, payrec, mode_code,coinsurance_code,class_cd,it_remarks) values</v>
      </c>
      <c r="G117" s="53" t="str">
        <f t="shared" si="4"/>
        <v>('22Oct240201','040000180772','9550',(select max(to_number(i.premium_rcv_detail_code))+1
from ins_premium_det i),'9550','9550','02', '11000003','00','Request by Mr. Omair Ali 22-Oct-2024 allocation 22Oct240201');</v>
      </c>
      <c r="H117" s="54" t="str">
        <f t="shared" si="5"/>
        <v>insert into ins_premium_det (premium_rcv_code,assorted_code, rec_amount,premium_rcv_detail_code,remaining_amt, payrec, mode_code,coinsurance_code,class_cd,it_remarks) values('22Oct240201','040000180772','9550',(select max(to_number(i.premium_rcv_detail_code))+1
from ins_premium_det i),'9550','9550','02', '11000003','00','Request by Mr. Omair Ali 22-Oct-2024 allocation 22Oct240201');</v>
      </c>
    </row>
    <row r="118" spans="1:8" ht="105" x14ac:dyDescent="0.25">
      <c r="A118" t="s">
        <v>246</v>
      </c>
      <c r="B118" s="51" t="str">
        <f>VLOOKUP(A118,policy!B:C,2,0)</f>
        <v>040000180777</v>
      </c>
      <c r="C118" s="46">
        <v>16235.000000000002</v>
      </c>
      <c r="D118" s="46">
        <v>16235.000000000002</v>
      </c>
      <c r="E118" s="50" t="s">
        <v>3673</v>
      </c>
      <c r="F118" s="52" t="str">
        <f t="shared" si="3"/>
        <v>insert into ins_premium_det (premium_rcv_code,assorted_code, rec_amount,premium_rcv_detail_code,remaining_amt, payrec, mode_code,coinsurance_code,class_cd,it_remarks) values</v>
      </c>
      <c r="G118" s="53" t="str">
        <f t="shared" si="4"/>
        <v>('22Oct240201','040000180777','16235',(select max(to_number(i.premium_rcv_detail_code))+1
from ins_premium_det i),'16235','16235','02', '11000003','00','Request by Mr. Omair Ali 22-Oct-2024 allocation 22Oct240201');</v>
      </c>
      <c r="H118" s="54" t="str">
        <f t="shared" si="5"/>
        <v>insert into ins_premium_det (premium_rcv_code,assorted_code, rec_amount,premium_rcv_detail_code,remaining_amt, payrec, mode_code,coinsurance_code,class_cd,it_remarks) values('22Oct240201','040000180777','16235',(select max(to_number(i.premium_rcv_detail_code))+1
from ins_premium_det i),'16235','16235','02', '11000003','00','Request by Mr. Omair Ali 22-Oct-2024 allocation 22Oct240201');</v>
      </c>
    </row>
    <row r="119" spans="1:8" ht="105" x14ac:dyDescent="0.25">
      <c r="A119" t="s">
        <v>247</v>
      </c>
      <c r="B119" s="51" t="str">
        <f>VLOOKUP(A119,policy!B:C,2,0)</f>
        <v>040000180782</v>
      </c>
      <c r="C119" s="46">
        <v>14960.000000000002</v>
      </c>
      <c r="D119" s="46">
        <v>14960.000000000002</v>
      </c>
      <c r="E119" s="50" t="s">
        <v>3673</v>
      </c>
      <c r="F119" s="52" t="str">
        <f t="shared" si="3"/>
        <v>insert into ins_premium_det (premium_rcv_code,assorted_code, rec_amount,premium_rcv_detail_code,remaining_amt, payrec, mode_code,coinsurance_code,class_cd,it_remarks) values</v>
      </c>
      <c r="G119" s="53" t="str">
        <f t="shared" si="4"/>
        <v>('22Oct240201','040000180782','14960',(select max(to_number(i.premium_rcv_detail_code))+1
from ins_premium_det i),'14960','14960','02', '11000003','00','Request by Mr. Omair Ali 22-Oct-2024 allocation 22Oct240201');</v>
      </c>
      <c r="H119" s="54" t="str">
        <f t="shared" si="5"/>
        <v>insert into ins_premium_det (premium_rcv_code,assorted_code, rec_amount,premium_rcv_detail_code,remaining_amt, payrec, mode_code,coinsurance_code,class_cd,it_remarks) values('22Oct240201','040000180782','14960',(select max(to_number(i.premium_rcv_detail_code))+1
from ins_premium_det i),'14960','14960','02', '11000003','00','Request by Mr. Omair Ali 22-Oct-2024 allocation 22Oct240201');</v>
      </c>
    </row>
    <row r="120" spans="1:8" ht="105" x14ac:dyDescent="0.25">
      <c r="A120" t="s">
        <v>248</v>
      </c>
      <c r="B120" s="51" t="str">
        <f>VLOOKUP(A120,policy!B:C,2,0)</f>
        <v>040000180785</v>
      </c>
      <c r="C120" s="46">
        <v>8800</v>
      </c>
      <c r="D120" s="46">
        <v>8800</v>
      </c>
      <c r="E120" s="50" t="s">
        <v>3673</v>
      </c>
      <c r="F120" s="52" t="str">
        <f t="shared" si="3"/>
        <v>insert into ins_premium_det (premium_rcv_code,assorted_code, rec_amount,premium_rcv_detail_code,remaining_amt, payrec, mode_code,coinsurance_code,class_cd,it_remarks) values</v>
      </c>
      <c r="G120" s="53" t="str">
        <f t="shared" si="4"/>
        <v>('22Oct240201','040000180785','8800',(select max(to_number(i.premium_rcv_detail_code))+1
from ins_premium_det i),'8800','8800','02', '11000003','00','Request by Mr. Omair Ali 22-Oct-2024 allocation 22Oct240201');</v>
      </c>
      <c r="H120" s="54" t="str">
        <f t="shared" si="5"/>
        <v>insert into ins_premium_det (premium_rcv_code,assorted_code, rec_amount,premium_rcv_detail_code,remaining_amt, payrec, mode_code,coinsurance_code,class_cd,it_remarks) values('22Oct240201','040000180785','8800',(select max(to_number(i.premium_rcv_detail_code))+1
from ins_premium_det i),'8800','8800','02', '11000003','00','Request by Mr. Omair Ali 22-Oct-2024 allocation 22Oct240201');</v>
      </c>
    </row>
    <row r="121" spans="1:8" ht="105" x14ac:dyDescent="0.25">
      <c r="A121" t="s">
        <v>249</v>
      </c>
      <c r="B121" s="51" t="str">
        <f>VLOOKUP(A121,policy!B:C,2,0)</f>
        <v>040000180790</v>
      </c>
      <c r="C121" s="46">
        <v>16235.000000000002</v>
      </c>
      <c r="D121" s="46">
        <v>16235.000000000002</v>
      </c>
      <c r="E121" s="50" t="s">
        <v>3673</v>
      </c>
      <c r="F121" s="52" t="str">
        <f t="shared" si="3"/>
        <v>insert into ins_premium_det (premium_rcv_code,assorted_code, rec_amount,premium_rcv_detail_code,remaining_amt, payrec, mode_code,coinsurance_code,class_cd,it_remarks) values</v>
      </c>
      <c r="G121" s="53" t="str">
        <f t="shared" si="4"/>
        <v>('22Oct240201','040000180790','16235',(select max(to_number(i.premium_rcv_detail_code))+1
from ins_premium_det i),'16235','16235','02', '11000003','00','Request by Mr. Omair Ali 22-Oct-2024 allocation 22Oct240201');</v>
      </c>
      <c r="H121" s="54" t="str">
        <f t="shared" si="5"/>
        <v>insert into ins_premium_det (premium_rcv_code,assorted_code, rec_amount,premium_rcv_detail_code,remaining_amt, payrec, mode_code,coinsurance_code,class_cd,it_remarks) values('22Oct240201','040000180790','16235',(select max(to_number(i.premium_rcv_detail_code))+1
from ins_premium_det i),'16235','16235','02', '11000003','00','Request by Mr. Omair Ali 22-Oct-2024 allocation 22Oct240201');</v>
      </c>
    </row>
    <row r="122" spans="1:8" ht="105" x14ac:dyDescent="0.25">
      <c r="A122" t="s">
        <v>250</v>
      </c>
      <c r="B122" s="51" t="str">
        <f>VLOOKUP(A122,policy!B:C,2,0)</f>
        <v>040000180791</v>
      </c>
      <c r="C122" s="46">
        <v>16235.000000000002</v>
      </c>
      <c r="D122" s="46">
        <v>16235.000000000002</v>
      </c>
      <c r="E122" s="50" t="s">
        <v>3673</v>
      </c>
      <c r="F122" s="52" t="str">
        <f t="shared" si="3"/>
        <v>insert into ins_premium_det (premium_rcv_code,assorted_code, rec_amount,premium_rcv_detail_code,remaining_amt, payrec, mode_code,coinsurance_code,class_cd,it_remarks) values</v>
      </c>
      <c r="G122" s="53" t="str">
        <f t="shared" si="4"/>
        <v>('22Oct240201','040000180791','16235',(select max(to_number(i.premium_rcv_detail_code))+1
from ins_premium_det i),'16235','16235','02', '11000003','00','Request by Mr. Omair Ali 22-Oct-2024 allocation 22Oct240201');</v>
      </c>
      <c r="H122" s="54" t="str">
        <f t="shared" si="5"/>
        <v>insert into ins_premium_det (premium_rcv_code,assorted_code, rec_amount,premium_rcv_detail_code,remaining_amt, payrec, mode_code,coinsurance_code,class_cd,it_remarks) values('22Oct240201','040000180791','16235',(select max(to_number(i.premium_rcv_detail_code))+1
from ins_premium_det i),'16235','16235','02', '11000003','00','Request by Mr. Omair Ali 22-Oct-2024 allocation 22Oct240201');</v>
      </c>
    </row>
    <row r="123" spans="1:8" ht="105" x14ac:dyDescent="0.25">
      <c r="A123" t="s">
        <v>251</v>
      </c>
      <c r="B123" s="51" t="str">
        <f>VLOOKUP(A123,policy!B:C,2,0)</f>
        <v>040000180792</v>
      </c>
      <c r="C123" s="46">
        <v>16235.000000000002</v>
      </c>
      <c r="D123" s="46">
        <v>16235.000000000002</v>
      </c>
      <c r="E123" s="50" t="s">
        <v>3673</v>
      </c>
      <c r="F123" s="52" t="str">
        <f t="shared" si="3"/>
        <v>insert into ins_premium_det (premium_rcv_code,assorted_code, rec_amount,premium_rcv_detail_code,remaining_amt, payrec, mode_code,coinsurance_code,class_cd,it_remarks) values</v>
      </c>
      <c r="G123" s="53" t="str">
        <f t="shared" si="4"/>
        <v>('22Oct240201','040000180792','16235',(select max(to_number(i.premium_rcv_detail_code))+1
from ins_premium_det i),'16235','16235','02', '11000003','00','Request by Mr. Omair Ali 22-Oct-2024 allocation 22Oct240201');</v>
      </c>
      <c r="H123" s="54" t="str">
        <f t="shared" si="5"/>
        <v>insert into ins_premium_det (premium_rcv_code,assorted_code, rec_amount,premium_rcv_detail_code,remaining_amt, payrec, mode_code,coinsurance_code,class_cd,it_remarks) values('22Oct240201','040000180792','16235',(select max(to_number(i.premium_rcv_detail_code))+1
from ins_premium_det i),'16235','16235','02', '11000003','00','Request by Mr. Omair Ali 22-Oct-2024 allocation 22Oct240201');</v>
      </c>
    </row>
    <row r="124" spans="1:8" ht="105" x14ac:dyDescent="0.25">
      <c r="A124" t="s">
        <v>252</v>
      </c>
      <c r="B124" s="51" t="str">
        <f>VLOOKUP(A124,policy!B:C,2,0)</f>
        <v>040000180793</v>
      </c>
      <c r="C124" s="46">
        <v>16235.000000000002</v>
      </c>
      <c r="D124" s="46">
        <v>16235.000000000002</v>
      </c>
      <c r="E124" s="50" t="s">
        <v>3673</v>
      </c>
      <c r="F124" s="52" t="str">
        <f t="shared" si="3"/>
        <v>insert into ins_premium_det (premium_rcv_code,assorted_code, rec_amount,premium_rcv_detail_code,remaining_amt, payrec, mode_code,coinsurance_code,class_cd,it_remarks) values</v>
      </c>
      <c r="G124" s="53" t="str">
        <f t="shared" si="4"/>
        <v>('22Oct240201','040000180793','16235',(select max(to_number(i.premium_rcv_detail_code))+1
from ins_premium_det i),'16235','16235','02', '11000003','00','Request by Mr. Omair Ali 22-Oct-2024 allocation 22Oct240201');</v>
      </c>
      <c r="H124" s="54" t="str">
        <f t="shared" si="5"/>
        <v>insert into ins_premium_det (premium_rcv_code,assorted_code, rec_amount,premium_rcv_detail_code,remaining_amt, payrec, mode_code,coinsurance_code,class_cd,it_remarks) values('22Oct240201','040000180793','16235',(select max(to_number(i.premium_rcv_detail_code))+1
from ins_premium_det i),'16235','16235','02', '11000003','00','Request by Mr. Omair Ali 22-Oct-2024 allocation 22Oct240201');</v>
      </c>
    </row>
    <row r="125" spans="1:8" ht="105" x14ac:dyDescent="0.25">
      <c r="A125" t="s">
        <v>253</v>
      </c>
      <c r="B125" s="51" t="str">
        <f>VLOOKUP(A125,policy!B:C,2,0)</f>
        <v>040000180794</v>
      </c>
      <c r="C125" s="46">
        <v>14960.000000000002</v>
      </c>
      <c r="D125" s="46">
        <v>14960.000000000002</v>
      </c>
      <c r="E125" s="50" t="s">
        <v>3673</v>
      </c>
      <c r="F125" s="52" t="str">
        <f t="shared" si="3"/>
        <v>insert into ins_premium_det (premium_rcv_code,assorted_code, rec_amount,premium_rcv_detail_code,remaining_amt, payrec, mode_code,coinsurance_code,class_cd,it_remarks) values</v>
      </c>
      <c r="G125" s="53" t="str">
        <f t="shared" si="4"/>
        <v>('22Oct240201','040000180794','14960',(select max(to_number(i.premium_rcv_detail_code))+1
from ins_premium_det i),'14960','14960','02', '11000003','00','Request by Mr. Omair Ali 22-Oct-2024 allocation 22Oct240201');</v>
      </c>
      <c r="H125" s="54" t="str">
        <f t="shared" si="5"/>
        <v>insert into ins_premium_det (premium_rcv_code,assorted_code, rec_amount,premium_rcv_detail_code,remaining_amt, payrec, mode_code,coinsurance_code,class_cd,it_remarks) values('22Oct240201','040000180794','14960',(select max(to_number(i.premium_rcv_detail_code))+1
from ins_premium_det i),'14960','14960','02', '11000003','00','Request by Mr. Omair Ali 22-Oct-2024 allocation 22Oct240201');</v>
      </c>
    </row>
    <row r="126" spans="1:8" ht="105" x14ac:dyDescent="0.25">
      <c r="A126" t="s">
        <v>254</v>
      </c>
      <c r="B126" s="51" t="str">
        <f>VLOOKUP(A126,policy!B:C,2,0)</f>
        <v>040000180795</v>
      </c>
      <c r="C126" s="46">
        <v>14960.000000000002</v>
      </c>
      <c r="D126" s="46">
        <v>14960.000000000002</v>
      </c>
      <c r="E126" s="50" t="s">
        <v>3673</v>
      </c>
      <c r="F126" s="52" t="str">
        <f t="shared" si="3"/>
        <v>insert into ins_premium_det (premium_rcv_code,assorted_code, rec_amount,premium_rcv_detail_code,remaining_amt, payrec, mode_code,coinsurance_code,class_cd,it_remarks) values</v>
      </c>
      <c r="G126" s="53" t="str">
        <f t="shared" si="4"/>
        <v>('22Oct240201','040000180795','14960',(select max(to_number(i.premium_rcv_detail_code))+1
from ins_premium_det i),'14960','14960','02', '11000003','00','Request by Mr. Omair Ali 22-Oct-2024 allocation 22Oct240201');</v>
      </c>
      <c r="H126" s="54" t="str">
        <f t="shared" si="5"/>
        <v>insert into ins_premium_det (premium_rcv_code,assorted_code, rec_amount,premium_rcv_detail_code,remaining_amt, payrec, mode_code,coinsurance_code,class_cd,it_remarks) values('22Oct240201','040000180795','14960',(select max(to_number(i.premium_rcv_detail_code))+1
from ins_premium_det i),'14960','14960','02', '11000003','00','Request by Mr. Omair Ali 22-Oct-2024 allocation 22Oct240201');</v>
      </c>
    </row>
    <row r="127" spans="1:8" ht="105" x14ac:dyDescent="0.25">
      <c r="A127" t="s">
        <v>255</v>
      </c>
      <c r="B127" s="51" t="str">
        <f>VLOOKUP(A127,policy!B:C,2,0)</f>
        <v>040000180796</v>
      </c>
      <c r="C127" s="46">
        <v>16235.000000000002</v>
      </c>
      <c r="D127" s="46">
        <v>16235.000000000002</v>
      </c>
      <c r="E127" s="50" t="s">
        <v>3673</v>
      </c>
      <c r="F127" s="52" t="str">
        <f t="shared" si="3"/>
        <v>insert into ins_premium_det (premium_rcv_code,assorted_code, rec_amount,premium_rcv_detail_code,remaining_amt, payrec, mode_code,coinsurance_code,class_cd,it_remarks) values</v>
      </c>
      <c r="G127" s="53" t="str">
        <f t="shared" si="4"/>
        <v>('22Oct240201','040000180796','16235',(select max(to_number(i.premium_rcv_detail_code))+1
from ins_premium_det i),'16235','16235','02', '11000003','00','Request by Mr. Omair Ali 22-Oct-2024 allocation 22Oct240201');</v>
      </c>
      <c r="H127" s="54" t="str">
        <f t="shared" si="5"/>
        <v>insert into ins_premium_det (premium_rcv_code,assorted_code, rec_amount,premium_rcv_detail_code,remaining_amt, payrec, mode_code,coinsurance_code,class_cd,it_remarks) values('22Oct240201','040000180796','16235',(select max(to_number(i.premium_rcv_detail_code))+1
from ins_premium_det i),'16235','16235','02', '11000003','00','Request by Mr. Omair Ali 22-Oct-2024 allocation 22Oct240201');</v>
      </c>
    </row>
    <row r="128" spans="1:8" ht="105" x14ac:dyDescent="0.25">
      <c r="A128" t="s">
        <v>256</v>
      </c>
      <c r="B128" s="51" t="str">
        <f>VLOOKUP(A128,policy!B:C,2,0)</f>
        <v>040000180797</v>
      </c>
      <c r="C128" s="46">
        <v>16235.000000000002</v>
      </c>
      <c r="D128" s="46">
        <v>16235.000000000002</v>
      </c>
      <c r="E128" s="50" t="s">
        <v>3673</v>
      </c>
      <c r="F128" s="52" t="str">
        <f t="shared" si="3"/>
        <v>insert into ins_premium_det (premium_rcv_code,assorted_code, rec_amount,premium_rcv_detail_code,remaining_amt, payrec, mode_code,coinsurance_code,class_cd,it_remarks) values</v>
      </c>
      <c r="G128" s="53" t="str">
        <f t="shared" si="4"/>
        <v>('22Oct240201','040000180797','16235',(select max(to_number(i.premium_rcv_detail_code))+1
from ins_premium_det i),'16235','16235','02', '11000003','00','Request by Mr. Omair Ali 22-Oct-2024 allocation 22Oct240201');</v>
      </c>
      <c r="H128" s="54" t="str">
        <f t="shared" si="5"/>
        <v>insert into ins_premium_det (premium_rcv_code,assorted_code, rec_amount,premium_rcv_detail_code,remaining_amt, payrec, mode_code,coinsurance_code,class_cd,it_remarks) values('22Oct240201','040000180797','16235',(select max(to_number(i.premium_rcv_detail_code))+1
from ins_premium_det i),'16235','16235','02', '11000003','00','Request by Mr. Omair Ali 22-Oct-2024 allocation 22Oct240201');</v>
      </c>
    </row>
    <row r="129" spans="1:8" ht="105" x14ac:dyDescent="0.25">
      <c r="A129" t="s">
        <v>257</v>
      </c>
      <c r="B129" s="51" t="str">
        <f>VLOOKUP(A129,policy!B:C,2,0)</f>
        <v>040000180798</v>
      </c>
      <c r="C129" s="46">
        <v>16235.000000000002</v>
      </c>
      <c r="D129" s="46">
        <v>16235.000000000002</v>
      </c>
      <c r="E129" s="50" t="s">
        <v>3673</v>
      </c>
      <c r="F129" s="52" t="str">
        <f t="shared" si="3"/>
        <v>insert into ins_premium_det (premium_rcv_code,assorted_code, rec_amount,premium_rcv_detail_code,remaining_amt, payrec, mode_code,coinsurance_code,class_cd,it_remarks) values</v>
      </c>
      <c r="G129" s="53" t="str">
        <f t="shared" si="4"/>
        <v>('22Oct240201','040000180798','16235',(select max(to_number(i.premium_rcv_detail_code))+1
from ins_premium_det i),'16235','16235','02', '11000003','00','Request by Mr. Omair Ali 22-Oct-2024 allocation 22Oct240201');</v>
      </c>
      <c r="H129" s="54" t="str">
        <f t="shared" si="5"/>
        <v>insert into ins_premium_det (premium_rcv_code,assorted_code, rec_amount,premium_rcv_detail_code,remaining_amt, payrec, mode_code,coinsurance_code,class_cd,it_remarks) values('22Oct240201','040000180798','16235',(select max(to_number(i.premium_rcv_detail_code))+1
from ins_premium_det i),'16235','16235','02', '11000003','00','Request by Mr. Omair Ali 22-Oct-2024 allocation 22Oct240201');</v>
      </c>
    </row>
    <row r="130" spans="1:8" ht="105" x14ac:dyDescent="0.25">
      <c r="A130" t="s">
        <v>258</v>
      </c>
      <c r="B130" s="51" t="str">
        <f>VLOOKUP(A130,policy!B:C,2,0)</f>
        <v>040000180800</v>
      </c>
      <c r="C130" s="46">
        <v>23247.5</v>
      </c>
      <c r="D130" s="46">
        <v>23247.5</v>
      </c>
      <c r="E130" s="50" t="s">
        <v>3673</v>
      </c>
      <c r="F130" s="52" t="str">
        <f t="shared" ref="F130:F193" si="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53" t="str">
        <f t="shared" si="4"/>
        <v>('22Oct240201','040000180800','23247.5',(select max(to_number(i.premium_rcv_detail_code))+1
from ins_premium_det i),'23247.5','23247.5','02', '11000003','00','Request by Mr. Omair Ali 22-Oct-2024 allocation 22Oct240201');</v>
      </c>
      <c r="H130" s="54" t="str">
        <f t="shared" si="5"/>
        <v>insert into ins_premium_det (premium_rcv_code,assorted_code, rec_amount,premium_rcv_detail_code,remaining_amt, payrec, mode_code,coinsurance_code,class_cd,it_remarks) values('22Oct240201','040000180800','23247.5',(select max(to_number(i.premium_rcv_detail_code))+1
from ins_premium_det i),'23247.5','23247.5','02', '11000003','00','Request by Mr. Omair Ali 22-Oct-2024 allocation 22Oct240201');</v>
      </c>
    </row>
    <row r="131" spans="1:8" ht="105" x14ac:dyDescent="0.25">
      <c r="A131" t="s">
        <v>259</v>
      </c>
      <c r="B131" s="51" t="str">
        <f>VLOOKUP(A131,policy!B:C,2,0)</f>
        <v>040000180801</v>
      </c>
      <c r="C131" s="46">
        <v>14960.000000000002</v>
      </c>
      <c r="D131" s="46">
        <v>14960.000000000002</v>
      </c>
      <c r="E131" s="50" t="s">
        <v>3673</v>
      </c>
      <c r="F131" s="52" t="str">
        <f t="shared" si="6"/>
        <v>insert into ins_premium_det (premium_rcv_code,assorted_code, rec_amount,premium_rcv_detail_code,remaining_amt, payrec, mode_code,coinsurance_code,class_cd,it_remarks) values</v>
      </c>
      <c r="G131" s="53" t="str">
        <f t="shared" ref="G131:G194" si="7">"('"&amp;E131&amp;"','"&amp;B131&amp;"','"&amp;D131&amp;"',(select max(to_number(i.premium_rcv_detail_code))+1
from ins_premium_det i),'"&amp;D131&amp;"','"&amp;D131&amp;"','02', '11000003','00','Request by Mr. Omair Ali 22-Oct-2024 allocation 22Oct240201');"</f>
        <v>('22Oct240201','040000180801','14960',(select max(to_number(i.premium_rcv_detail_code))+1
from ins_premium_det i),'14960','14960','02', '11000003','00','Request by Mr. Omair Ali 22-Oct-2024 allocation 22Oct240201');</v>
      </c>
      <c r="H131" s="54" t="str">
        <f t="shared" ref="H131:H194" si="8">F131&amp;G131</f>
        <v>insert into ins_premium_det (premium_rcv_code,assorted_code, rec_amount,premium_rcv_detail_code,remaining_amt, payrec, mode_code,coinsurance_code,class_cd,it_remarks) values('22Oct240201','040000180801','14960',(select max(to_number(i.premium_rcv_detail_code))+1
from ins_premium_det i),'14960','14960','02', '11000003','00','Request by Mr. Omair Ali 22-Oct-2024 allocation 22Oct240201');</v>
      </c>
    </row>
    <row r="132" spans="1:8" ht="105" x14ac:dyDescent="0.25">
      <c r="A132" t="s">
        <v>260</v>
      </c>
      <c r="B132" s="51" t="str">
        <f>VLOOKUP(A132,policy!B:C,2,0)</f>
        <v>040000180802</v>
      </c>
      <c r="C132" s="46">
        <v>14960.000000000002</v>
      </c>
      <c r="D132" s="46">
        <v>14960.000000000002</v>
      </c>
      <c r="E132" s="50" t="s">
        <v>3673</v>
      </c>
      <c r="F132" s="52" t="str">
        <f t="shared" si="6"/>
        <v>insert into ins_premium_det (premium_rcv_code,assorted_code, rec_amount,premium_rcv_detail_code,remaining_amt, payrec, mode_code,coinsurance_code,class_cd,it_remarks) values</v>
      </c>
      <c r="G132" s="53" t="str">
        <f t="shared" si="7"/>
        <v>('22Oct240201','040000180802','14960',(select max(to_number(i.premium_rcv_detail_code))+1
from ins_premium_det i),'14960','14960','02', '11000003','00','Request by Mr. Omair Ali 22-Oct-2024 allocation 22Oct240201');</v>
      </c>
      <c r="H132" s="54" t="str">
        <f t="shared" si="8"/>
        <v>insert into ins_premium_det (premium_rcv_code,assorted_code, rec_amount,premium_rcv_detail_code,remaining_amt, payrec, mode_code,coinsurance_code,class_cd,it_remarks) values('22Oct240201','040000180802','14960',(select max(to_number(i.premium_rcv_detail_code))+1
from ins_premium_det i),'14960','14960','02', '11000003','00','Request by Mr. Omair Ali 22-Oct-2024 allocation 22Oct240201');</v>
      </c>
    </row>
    <row r="133" spans="1:8" ht="105" x14ac:dyDescent="0.25">
      <c r="A133" t="s">
        <v>261</v>
      </c>
      <c r="B133" s="51" t="str">
        <f>VLOOKUP(A133,policy!B:C,2,0)</f>
        <v>040000180803</v>
      </c>
      <c r="C133" s="46">
        <v>23247.5</v>
      </c>
      <c r="D133" s="46">
        <v>23247.5</v>
      </c>
      <c r="E133" s="50" t="s">
        <v>3673</v>
      </c>
      <c r="F133" s="52" t="str">
        <f t="shared" si="6"/>
        <v>insert into ins_premium_det (premium_rcv_code,assorted_code, rec_amount,premium_rcv_detail_code,remaining_amt, payrec, mode_code,coinsurance_code,class_cd,it_remarks) values</v>
      </c>
      <c r="G133" s="53" t="str">
        <f t="shared" si="7"/>
        <v>('22Oct240201','040000180803','23247.5',(select max(to_number(i.premium_rcv_detail_code))+1
from ins_premium_det i),'23247.5','23247.5','02', '11000003','00','Request by Mr. Omair Ali 22-Oct-2024 allocation 22Oct240201');</v>
      </c>
      <c r="H133" s="54" t="str">
        <f t="shared" si="8"/>
        <v>insert into ins_premium_det (premium_rcv_code,assorted_code, rec_amount,premium_rcv_detail_code,remaining_amt, payrec, mode_code,coinsurance_code,class_cd,it_remarks) values('22Oct240201','040000180803','23247.5',(select max(to_number(i.premium_rcv_detail_code))+1
from ins_premium_det i),'23247.5','23247.5','02', '11000003','00','Request by Mr. Omair Ali 22-Oct-2024 allocation 22Oct240201');</v>
      </c>
    </row>
    <row r="134" spans="1:8" ht="105" x14ac:dyDescent="0.25">
      <c r="A134" t="s">
        <v>262</v>
      </c>
      <c r="B134" s="51" t="str">
        <f>VLOOKUP(A134,policy!B:C,2,0)</f>
        <v>040000180804</v>
      </c>
      <c r="C134" s="46">
        <v>14960.000000000002</v>
      </c>
      <c r="D134" s="46">
        <v>14960.000000000002</v>
      </c>
      <c r="E134" s="50" t="s">
        <v>3673</v>
      </c>
      <c r="F134" s="52" t="str">
        <f t="shared" si="6"/>
        <v>insert into ins_premium_det (premium_rcv_code,assorted_code, rec_amount,premium_rcv_detail_code,remaining_amt, payrec, mode_code,coinsurance_code,class_cd,it_remarks) values</v>
      </c>
      <c r="G134" s="53" t="str">
        <f t="shared" si="7"/>
        <v>('22Oct240201','040000180804','14960',(select max(to_number(i.premium_rcv_detail_code))+1
from ins_premium_det i),'14960','14960','02', '11000003','00','Request by Mr. Omair Ali 22-Oct-2024 allocation 22Oct240201');</v>
      </c>
      <c r="H134" s="54" t="str">
        <f t="shared" si="8"/>
        <v>insert into ins_premium_det (premium_rcv_code,assorted_code, rec_amount,premium_rcv_detail_code,remaining_amt, payrec, mode_code,coinsurance_code,class_cd,it_remarks) values('22Oct240201','040000180804','14960',(select max(to_number(i.premium_rcv_detail_code))+1
from ins_premium_det i),'14960','14960','02', '11000003','00','Request by Mr. Omair Ali 22-Oct-2024 allocation 22Oct240201');</v>
      </c>
    </row>
    <row r="135" spans="1:8" ht="105" x14ac:dyDescent="0.25">
      <c r="A135" t="s">
        <v>263</v>
      </c>
      <c r="B135" s="51" t="str">
        <f>VLOOKUP(A135,policy!B:C,2,0)</f>
        <v>040000180805</v>
      </c>
      <c r="C135" s="46">
        <v>16235.000000000002</v>
      </c>
      <c r="D135" s="46">
        <v>16235.000000000002</v>
      </c>
      <c r="E135" s="50" t="s">
        <v>3673</v>
      </c>
      <c r="F135" s="52" t="str">
        <f t="shared" si="6"/>
        <v>insert into ins_premium_det (premium_rcv_code,assorted_code, rec_amount,premium_rcv_detail_code,remaining_amt, payrec, mode_code,coinsurance_code,class_cd,it_remarks) values</v>
      </c>
      <c r="G135" s="53" t="str">
        <f t="shared" si="7"/>
        <v>('22Oct240201','040000180805','16235',(select max(to_number(i.premium_rcv_detail_code))+1
from ins_premium_det i),'16235','16235','02', '11000003','00','Request by Mr. Omair Ali 22-Oct-2024 allocation 22Oct240201');</v>
      </c>
      <c r="H135" s="54" t="str">
        <f t="shared" si="8"/>
        <v>insert into ins_premium_det (premium_rcv_code,assorted_code, rec_amount,premium_rcv_detail_code,remaining_amt, payrec, mode_code,coinsurance_code,class_cd,it_remarks) values('22Oct240201','040000180805','16235',(select max(to_number(i.premium_rcv_detail_code))+1
from ins_premium_det i),'16235','16235','02', '11000003','00','Request by Mr. Omair Ali 22-Oct-2024 allocation 22Oct240201');</v>
      </c>
    </row>
    <row r="136" spans="1:8" ht="105" x14ac:dyDescent="0.25">
      <c r="A136" t="s">
        <v>264</v>
      </c>
      <c r="B136" s="51" t="str">
        <f>VLOOKUP(A136,policy!B:C,2,0)</f>
        <v>040000180806</v>
      </c>
      <c r="C136" s="46">
        <v>16235.000000000002</v>
      </c>
      <c r="D136" s="46">
        <v>16235.000000000002</v>
      </c>
      <c r="E136" s="50" t="s">
        <v>3673</v>
      </c>
      <c r="F136" s="52" t="str">
        <f t="shared" si="6"/>
        <v>insert into ins_premium_det (premium_rcv_code,assorted_code, rec_amount,premium_rcv_detail_code,remaining_amt, payrec, mode_code,coinsurance_code,class_cd,it_remarks) values</v>
      </c>
      <c r="G136" s="53" t="str">
        <f t="shared" si="7"/>
        <v>('22Oct240201','040000180806','16235',(select max(to_number(i.premium_rcv_detail_code))+1
from ins_premium_det i),'16235','16235','02', '11000003','00','Request by Mr. Omair Ali 22-Oct-2024 allocation 22Oct240201');</v>
      </c>
      <c r="H136" s="54" t="str">
        <f t="shared" si="8"/>
        <v>insert into ins_premium_det (premium_rcv_code,assorted_code, rec_amount,premium_rcv_detail_code,remaining_amt, payrec, mode_code,coinsurance_code,class_cd,it_remarks) values('22Oct240201','040000180806','16235',(select max(to_number(i.premium_rcv_detail_code))+1
from ins_premium_det i),'16235','16235','02', '11000003','00','Request by Mr. Omair Ali 22-Oct-2024 allocation 22Oct240201');</v>
      </c>
    </row>
    <row r="137" spans="1:8" ht="105" x14ac:dyDescent="0.25">
      <c r="A137" t="s">
        <v>265</v>
      </c>
      <c r="B137" s="51" t="str">
        <f>VLOOKUP(A137,policy!B:C,2,0)</f>
        <v>040000180807</v>
      </c>
      <c r="C137" s="46">
        <v>16235.000000000002</v>
      </c>
      <c r="D137" s="46">
        <v>16235.000000000002</v>
      </c>
      <c r="E137" s="50" t="s">
        <v>3673</v>
      </c>
      <c r="F137" s="52" t="str">
        <f t="shared" si="6"/>
        <v>insert into ins_premium_det (premium_rcv_code,assorted_code, rec_amount,premium_rcv_detail_code,remaining_amt, payrec, mode_code,coinsurance_code,class_cd,it_remarks) values</v>
      </c>
      <c r="G137" s="53" t="str">
        <f t="shared" si="7"/>
        <v>('22Oct240201','040000180807','16235',(select max(to_number(i.premium_rcv_detail_code))+1
from ins_premium_det i),'16235','16235','02', '11000003','00','Request by Mr. Omair Ali 22-Oct-2024 allocation 22Oct240201');</v>
      </c>
      <c r="H137" s="54" t="str">
        <f t="shared" si="8"/>
        <v>insert into ins_premium_det (premium_rcv_code,assorted_code, rec_amount,premium_rcv_detail_code,remaining_amt, payrec, mode_code,coinsurance_code,class_cd,it_remarks) values('22Oct240201','040000180807','16235',(select max(to_number(i.premium_rcv_detail_code))+1
from ins_premium_det i),'16235','16235','02', '11000003','00','Request by Mr. Omair Ali 22-Oct-2024 allocation 22Oct240201');</v>
      </c>
    </row>
    <row r="138" spans="1:8" ht="105" x14ac:dyDescent="0.25">
      <c r="A138" t="s">
        <v>266</v>
      </c>
      <c r="B138" s="51" t="str">
        <f>VLOOKUP(A138,policy!B:C,2,0)</f>
        <v>040000180808</v>
      </c>
      <c r="C138" s="46">
        <v>14960.000000000002</v>
      </c>
      <c r="D138" s="46">
        <v>14960.000000000002</v>
      </c>
      <c r="E138" s="50" t="s">
        <v>3673</v>
      </c>
      <c r="F138" s="52" t="str">
        <f t="shared" si="6"/>
        <v>insert into ins_premium_det (premium_rcv_code,assorted_code, rec_amount,premium_rcv_detail_code,remaining_amt, payrec, mode_code,coinsurance_code,class_cd,it_remarks) values</v>
      </c>
      <c r="G138" s="53" t="str">
        <f t="shared" si="7"/>
        <v>('22Oct240201','040000180808','14960',(select max(to_number(i.premium_rcv_detail_code))+1
from ins_premium_det i),'14960','14960','02', '11000003','00','Request by Mr. Omair Ali 22-Oct-2024 allocation 22Oct240201');</v>
      </c>
      <c r="H138" s="54" t="str">
        <f t="shared" si="8"/>
        <v>insert into ins_premium_det (premium_rcv_code,assorted_code, rec_amount,premium_rcv_detail_code,remaining_amt, payrec, mode_code,coinsurance_code,class_cd,it_remarks) values('22Oct240201','040000180808','14960',(select max(to_number(i.premium_rcv_detail_code))+1
from ins_premium_det i),'14960','14960','02', '11000003','00','Request by Mr. Omair Ali 22-Oct-2024 allocation 22Oct240201');</v>
      </c>
    </row>
    <row r="139" spans="1:8" ht="105" x14ac:dyDescent="0.25">
      <c r="A139" t="s">
        <v>267</v>
      </c>
      <c r="B139" s="51" t="str">
        <f>VLOOKUP(A139,policy!B:C,2,0)</f>
        <v>040000180809</v>
      </c>
      <c r="C139" s="46">
        <v>14960.000000000002</v>
      </c>
      <c r="D139" s="46">
        <v>14960.000000000002</v>
      </c>
      <c r="E139" s="50" t="s">
        <v>3673</v>
      </c>
      <c r="F139" s="52" t="str">
        <f t="shared" si="6"/>
        <v>insert into ins_premium_det (premium_rcv_code,assorted_code, rec_amount,premium_rcv_detail_code,remaining_amt, payrec, mode_code,coinsurance_code,class_cd,it_remarks) values</v>
      </c>
      <c r="G139" s="53" t="str">
        <f t="shared" si="7"/>
        <v>('22Oct240201','040000180809','14960',(select max(to_number(i.premium_rcv_detail_code))+1
from ins_premium_det i),'14960','14960','02', '11000003','00','Request by Mr. Omair Ali 22-Oct-2024 allocation 22Oct240201');</v>
      </c>
      <c r="H139" s="54" t="str">
        <f t="shared" si="8"/>
        <v>insert into ins_premium_det (premium_rcv_code,assorted_code, rec_amount,premium_rcv_detail_code,remaining_amt, payrec, mode_code,coinsurance_code,class_cd,it_remarks) values('22Oct240201','040000180809','14960',(select max(to_number(i.premium_rcv_detail_code))+1
from ins_premium_det i),'14960','14960','02', '11000003','00','Request by Mr. Omair Ali 22-Oct-2024 allocation 22Oct240201');</v>
      </c>
    </row>
    <row r="140" spans="1:8" ht="105" x14ac:dyDescent="0.25">
      <c r="A140" t="s">
        <v>268</v>
      </c>
      <c r="B140" s="51" t="str">
        <f>VLOOKUP(A140,policy!B:C,2,0)</f>
        <v>040000180810</v>
      </c>
      <c r="C140" s="46">
        <v>14960.000000000002</v>
      </c>
      <c r="D140" s="46">
        <v>14960.000000000002</v>
      </c>
      <c r="E140" s="50" t="s">
        <v>3673</v>
      </c>
      <c r="F140" s="52" t="str">
        <f t="shared" si="6"/>
        <v>insert into ins_premium_det (premium_rcv_code,assorted_code, rec_amount,premium_rcv_detail_code,remaining_amt, payrec, mode_code,coinsurance_code,class_cd,it_remarks) values</v>
      </c>
      <c r="G140" s="53" t="str">
        <f t="shared" si="7"/>
        <v>('22Oct240201','040000180810','14960',(select max(to_number(i.premium_rcv_detail_code))+1
from ins_premium_det i),'14960','14960','02', '11000003','00','Request by Mr. Omair Ali 22-Oct-2024 allocation 22Oct240201');</v>
      </c>
      <c r="H140" s="54" t="str">
        <f t="shared" si="8"/>
        <v>insert into ins_premium_det (premium_rcv_code,assorted_code, rec_amount,premium_rcv_detail_code,remaining_amt, payrec, mode_code,coinsurance_code,class_cd,it_remarks) values('22Oct240201','040000180810','14960',(select max(to_number(i.premium_rcv_detail_code))+1
from ins_premium_det i),'14960','14960','02', '11000003','00','Request by Mr. Omair Ali 22-Oct-2024 allocation 22Oct240201');</v>
      </c>
    </row>
    <row r="141" spans="1:8" ht="105" x14ac:dyDescent="0.25">
      <c r="A141" t="s">
        <v>269</v>
      </c>
      <c r="B141" s="51" t="str">
        <f>VLOOKUP(A141,policy!B:C,2,0)</f>
        <v>040000180811</v>
      </c>
      <c r="C141" s="46">
        <v>14960.000000000002</v>
      </c>
      <c r="D141" s="46">
        <v>14960.000000000002</v>
      </c>
      <c r="E141" s="50" t="s">
        <v>3673</v>
      </c>
      <c r="F141" s="52" t="str">
        <f t="shared" si="6"/>
        <v>insert into ins_premium_det (premium_rcv_code,assorted_code, rec_amount,premium_rcv_detail_code,remaining_amt, payrec, mode_code,coinsurance_code,class_cd,it_remarks) values</v>
      </c>
      <c r="G141" s="53" t="str">
        <f t="shared" si="7"/>
        <v>('22Oct240201','040000180811','14960',(select max(to_number(i.premium_rcv_detail_code))+1
from ins_premium_det i),'14960','14960','02', '11000003','00','Request by Mr. Omair Ali 22-Oct-2024 allocation 22Oct240201');</v>
      </c>
      <c r="H141" s="54" t="str">
        <f t="shared" si="8"/>
        <v>insert into ins_premium_det (premium_rcv_code,assorted_code, rec_amount,premium_rcv_detail_code,remaining_amt, payrec, mode_code,coinsurance_code,class_cd,it_remarks) values('22Oct240201','040000180811','14960',(select max(to_number(i.premium_rcv_detail_code))+1
from ins_premium_det i),'14960','14960','02', '11000003','00','Request by Mr. Omair Ali 22-Oct-2024 allocation 22Oct240201');</v>
      </c>
    </row>
    <row r="142" spans="1:8" ht="105" x14ac:dyDescent="0.25">
      <c r="A142" t="s">
        <v>270</v>
      </c>
      <c r="B142" s="51" t="str">
        <f>VLOOKUP(A142,policy!B:C,2,0)</f>
        <v>040000180812</v>
      </c>
      <c r="C142" s="46">
        <v>14960.000000000002</v>
      </c>
      <c r="D142" s="46">
        <v>14960.000000000002</v>
      </c>
      <c r="E142" s="50" t="s">
        <v>3673</v>
      </c>
      <c r="F142" s="52" t="str">
        <f t="shared" si="6"/>
        <v>insert into ins_premium_det (premium_rcv_code,assorted_code, rec_amount,premium_rcv_detail_code,remaining_amt, payrec, mode_code,coinsurance_code,class_cd,it_remarks) values</v>
      </c>
      <c r="G142" s="53" t="str">
        <f t="shared" si="7"/>
        <v>('22Oct240201','040000180812','14960',(select max(to_number(i.premium_rcv_detail_code))+1
from ins_premium_det i),'14960','14960','02', '11000003','00','Request by Mr. Omair Ali 22-Oct-2024 allocation 22Oct240201');</v>
      </c>
      <c r="H142" s="54" t="str">
        <f t="shared" si="8"/>
        <v>insert into ins_premium_det (premium_rcv_code,assorted_code, rec_amount,premium_rcv_detail_code,remaining_amt, payrec, mode_code,coinsurance_code,class_cd,it_remarks) values('22Oct240201','040000180812','14960',(select max(to_number(i.premium_rcv_detail_code))+1
from ins_premium_det i),'14960','14960','02', '11000003','00','Request by Mr. Omair Ali 22-Oct-2024 allocation 22Oct240201');</v>
      </c>
    </row>
    <row r="143" spans="1:8" ht="105" x14ac:dyDescent="0.25">
      <c r="A143" t="s">
        <v>271</v>
      </c>
      <c r="B143" s="51" t="str">
        <f>VLOOKUP(A143,policy!B:C,2,0)</f>
        <v>040000180813</v>
      </c>
      <c r="C143" s="46">
        <v>14960.000000000002</v>
      </c>
      <c r="D143" s="46">
        <v>14960.000000000002</v>
      </c>
      <c r="E143" s="50" t="s">
        <v>3673</v>
      </c>
      <c r="F143" s="52" t="str">
        <f t="shared" si="6"/>
        <v>insert into ins_premium_det (premium_rcv_code,assorted_code, rec_amount,premium_rcv_detail_code,remaining_amt, payrec, mode_code,coinsurance_code,class_cd,it_remarks) values</v>
      </c>
      <c r="G143" s="53" t="str">
        <f t="shared" si="7"/>
        <v>('22Oct240201','040000180813','14960',(select max(to_number(i.premium_rcv_detail_code))+1
from ins_premium_det i),'14960','14960','02', '11000003','00','Request by Mr. Omair Ali 22-Oct-2024 allocation 22Oct240201');</v>
      </c>
      <c r="H143" s="54" t="str">
        <f t="shared" si="8"/>
        <v>insert into ins_premium_det (premium_rcv_code,assorted_code, rec_amount,premium_rcv_detail_code,remaining_amt, payrec, mode_code,coinsurance_code,class_cd,it_remarks) values('22Oct240201','040000180813','14960',(select max(to_number(i.premium_rcv_detail_code))+1
from ins_premium_det i),'14960','14960','02', '11000003','00','Request by Mr. Omair Ali 22-Oct-2024 allocation 22Oct240201');</v>
      </c>
    </row>
    <row r="144" spans="1:8" ht="105" x14ac:dyDescent="0.25">
      <c r="A144" t="s">
        <v>272</v>
      </c>
      <c r="B144" s="51" t="str">
        <f>VLOOKUP(A144,policy!B:C,2,0)</f>
        <v>040000180814</v>
      </c>
      <c r="C144" s="46">
        <v>14960.000000000002</v>
      </c>
      <c r="D144" s="46">
        <v>14960.000000000002</v>
      </c>
      <c r="E144" s="50" t="s">
        <v>3673</v>
      </c>
      <c r="F144" s="52" t="str">
        <f t="shared" si="6"/>
        <v>insert into ins_premium_det (premium_rcv_code,assorted_code, rec_amount,premium_rcv_detail_code,remaining_amt, payrec, mode_code,coinsurance_code,class_cd,it_remarks) values</v>
      </c>
      <c r="G144" s="53" t="str">
        <f t="shared" si="7"/>
        <v>('22Oct240201','040000180814','14960',(select max(to_number(i.premium_rcv_detail_code))+1
from ins_premium_det i),'14960','14960','02', '11000003','00','Request by Mr. Omair Ali 22-Oct-2024 allocation 22Oct240201');</v>
      </c>
      <c r="H144" s="54" t="str">
        <f t="shared" si="8"/>
        <v>insert into ins_premium_det (premium_rcv_code,assorted_code, rec_amount,premium_rcv_detail_code,remaining_amt, payrec, mode_code,coinsurance_code,class_cd,it_remarks) values('22Oct240201','040000180814','14960',(select max(to_number(i.premium_rcv_detail_code))+1
from ins_premium_det i),'14960','14960','02', '11000003','00','Request by Mr. Omair Ali 22-Oct-2024 allocation 22Oct240201');</v>
      </c>
    </row>
    <row r="145" spans="1:8" ht="105" x14ac:dyDescent="0.25">
      <c r="A145" t="s">
        <v>273</v>
      </c>
      <c r="B145" s="51" t="str">
        <f>VLOOKUP(A145,policy!B:C,2,0)</f>
        <v>040000180815</v>
      </c>
      <c r="C145" s="46">
        <v>14960.000000000002</v>
      </c>
      <c r="D145" s="46">
        <v>14960.000000000002</v>
      </c>
      <c r="E145" s="50" t="s">
        <v>3673</v>
      </c>
      <c r="F145" s="52" t="str">
        <f t="shared" si="6"/>
        <v>insert into ins_premium_det (premium_rcv_code,assorted_code, rec_amount,premium_rcv_detail_code,remaining_amt, payrec, mode_code,coinsurance_code,class_cd,it_remarks) values</v>
      </c>
      <c r="G145" s="53" t="str">
        <f t="shared" si="7"/>
        <v>('22Oct240201','040000180815','14960',(select max(to_number(i.premium_rcv_detail_code))+1
from ins_premium_det i),'14960','14960','02', '11000003','00','Request by Mr. Omair Ali 22-Oct-2024 allocation 22Oct240201');</v>
      </c>
      <c r="H145" s="54" t="str">
        <f t="shared" si="8"/>
        <v>insert into ins_premium_det (premium_rcv_code,assorted_code, rec_amount,premium_rcv_detail_code,remaining_amt, payrec, mode_code,coinsurance_code,class_cd,it_remarks) values('22Oct240201','040000180815','14960',(select max(to_number(i.premium_rcv_detail_code))+1
from ins_premium_det i),'14960','14960','02', '11000003','00','Request by Mr. Omair Ali 22-Oct-2024 allocation 22Oct240201');</v>
      </c>
    </row>
    <row r="146" spans="1:8" ht="105" x14ac:dyDescent="0.25">
      <c r="A146" t="s">
        <v>274</v>
      </c>
      <c r="B146" s="51" t="str">
        <f>VLOOKUP(A146,policy!B:C,2,0)</f>
        <v>040000180816</v>
      </c>
      <c r="C146" s="46">
        <v>14960.000000000002</v>
      </c>
      <c r="D146" s="46">
        <v>14960.000000000002</v>
      </c>
      <c r="E146" s="50" t="s">
        <v>3673</v>
      </c>
      <c r="F146" s="52" t="str">
        <f t="shared" si="6"/>
        <v>insert into ins_premium_det (premium_rcv_code,assorted_code, rec_amount,premium_rcv_detail_code,remaining_amt, payrec, mode_code,coinsurance_code,class_cd,it_remarks) values</v>
      </c>
      <c r="G146" s="53" t="str">
        <f t="shared" si="7"/>
        <v>('22Oct240201','040000180816','14960',(select max(to_number(i.premium_rcv_detail_code))+1
from ins_premium_det i),'14960','14960','02', '11000003','00','Request by Mr. Omair Ali 22-Oct-2024 allocation 22Oct240201');</v>
      </c>
      <c r="H146" s="54" t="str">
        <f t="shared" si="8"/>
        <v>insert into ins_premium_det (premium_rcv_code,assorted_code, rec_amount,premium_rcv_detail_code,remaining_amt, payrec, mode_code,coinsurance_code,class_cd,it_remarks) values('22Oct240201','040000180816','14960',(select max(to_number(i.premium_rcv_detail_code))+1
from ins_premium_det i),'14960','14960','02', '11000003','00','Request by Mr. Omair Ali 22-Oct-2024 allocation 22Oct240201');</v>
      </c>
    </row>
    <row r="147" spans="1:8" ht="105" x14ac:dyDescent="0.25">
      <c r="A147" t="s">
        <v>275</v>
      </c>
      <c r="B147" s="51" t="str">
        <f>VLOOKUP(A147,policy!B:C,2,0)</f>
        <v>040000180817</v>
      </c>
      <c r="C147" s="46">
        <v>14960.000000000002</v>
      </c>
      <c r="D147" s="46">
        <v>14960.000000000002</v>
      </c>
      <c r="E147" s="50" t="s">
        <v>3673</v>
      </c>
      <c r="F147" s="52" t="str">
        <f t="shared" si="6"/>
        <v>insert into ins_premium_det (premium_rcv_code,assorted_code, rec_amount,premium_rcv_detail_code,remaining_amt, payrec, mode_code,coinsurance_code,class_cd,it_remarks) values</v>
      </c>
      <c r="G147" s="53" t="str">
        <f t="shared" si="7"/>
        <v>('22Oct240201','040000180817','14960',(select max(to_number(i.premium_rcv_detail_code))+1
from ins_premium_det i),'14960','14960','02', '11000003','00','Request by Mr. Omair Ali 22-Oct-2024 allocation 22Oct240201');</v>
      </c>
      <c r="H147" s="54" t="str">
        <f t="shared" si="8"/>
        <v>insert into ins_premium_det (premium_rcv_code,assorted_code, rec_amount,premium_rcv_detail_code,remaining_amt, payrec, mode_code,coinsurance_code,class_cd,it_remarks) values('22Oct240201','040000180817','14960',(select max(to_number(i.premium_rcv_detail_code))+1
from ins_premium_det i),'14960','14960','02', '11000003','00','Request by Mr. Omair Ali 22-Oct-2024 allocation 22Oct240201');</v>
      </c>
    </row>
    <row r="148" spans="1:8" ht="105" x14ac:dyDescent="0.25">
      <c r="A148" t="s">
        <v>276</v>
      </c>
      <c r="B148" s="51" t="str">
        <f>VLOOKUP(A148,policy!B:C,2,0)</f>
        <v>040000180818</v>
      </c>
      <c r="C148" s="46">
        <v>14960.000000000002</v>
      </c>
      <c r="D148" s="46">
        <v>14960.000000000002</v>
      </c>
      <c r="E148" s="50" t="s">
        <v>3673</v>
      </c>
      <c r="F148" s="52" t="str">
        <f t="shared" si="6"/>
        <v>insert into ins_premium_det (premium_rcv_code,assorted_code, rec_amount,premium_rcv_detail_code,remaining_amt, payrec, mode_code,coinsurance_code,class_cd,it_remarks) values</v>
      </c>
      <c r="G148" s="53" t="str">
        <f t="shared" si="7"/>
        <v>('22Oct240201','040000180818','14960',(select max(to_number(i.premium_rcv_detail_code))+1
from ins_premium_det i),'14960','14960','02', '11000003','00','Request by Mr. Omair Ali 22-Oct-2024 allocation 22Oct240201');</v>
      </c>
      <c r="H148" s="54" t="str">
        <f t="shared" si="8"/>
        <v>insert into ins_premium_det (premium_rcv_code,assorted_code, rec_amount,premium_rcv_detail_code,remaining_amt, payrec, mode_code,coinsurance_code,class_cd,it_remarks) values('22Oct240201','040000180818','14960',(select max(to_number(i.premium_rcv_detail_code))+1
from ins_premium_det i),'14960','14960','02', '11000003','00','Request by Mr. Omair Ali 22-Oct-2024 allocation 22Oct240201');</v>
      </c>
    </row>
    <row r="149" spans="1:8" ht="105" x14ac:dyDescent="0.25">
      <c r="A149" t="s">
        <v>277</v>
      </c>
      <c r="B149" s="51" t="str">
        <f>VLOOKUP(A149,policy!B:C,2,0)</f>
        <v>040000180819</v>
      </c>
      <c r="C149" s="46">
        <v>14960.000000000002</v>
      </c>
      <c r="D149" s="46">
        <v>14960.000000000002</v>
      </c>
      <c r="E149" s="50" t="s">
        <v>3673</v>
      </c>
      <c r="F149" s="52" t="str">
        <f t="shared" si="6"/>
        <v>insert into ins_premium_det (premium_rcv_code,assorted_code, rec_amount,premium_rcv_detail_code,remaining_amt, payrec, mode_code,coinsurance_code,class_cd,it_remarks) values</v>
      </c>
      <c r="G149" s="53" t="str">
        <f t="shared" si="7"/>
        <v>('22Oct240201','040000180819','14960',(select max(to_number(i.premium_rcv_detail_code))+1
from ins_premium_det i),'14960','14960','02', '11000003','00','Request by Mr. Omair Ali 22-Oct-2024 allocation 22Oct240201');</v>
      </c>
      <c r="H149" s="54" t="str">
        <f t="shared" si="8"/>
        <v>insert into ins_premium_det (premium_rcv_code,assorted_code, rec_amount,premium_rcv_detail_code,remaining_amt, payrec, mode_code,coinsurance_code,class_cd,it_remarks) values('22Oct240201','040000180819','14960',(select max(to_number(i.premium_rcv_detail_code))+1
from ins_premium_det i),'14960','14960','02', '11000003','00','Request by Mr. Omair Ali 22-Oct-2024 allocation 22Oct240201');</v>
      </c>
    </row>
    <row r="150" spans="1:8" ht="105" x14ac:dyDescent="0.25">
      <c r="A150" t="s">
        <v>278</v>
      </c>
      <c r="B150" s="51" t="str">
        <f>VLOOKUP(A150,policy!B:C,2,0)</f>
        <v>040000180820</v>
      </c>
      <c r="C150" s="46">
        <v>16235.000000000002</v>
      </c>
      <c r="D150" s="46">
        <v>16235.000000000002</v>
      </c>
      <c r="E150" s="50" t="s">
        <v>3673</v>
      </c>
      <c r="F150" s="52" t="str">
        <f t="shared" si="6"/>
        <v>insert into ins_premium_det (premium_rcv_code,assorted_code, rec_amount,premium_rcv_detail_code,remaining_amt, payrec, mode_code,coinsurance_code,class_cd,it_remarks) values</v>
      </c>
      <c r="G150" s="53" t="str">
        <f t="shared" si="7"/>
        <v>('22Oct240201','040000180820','16235',(select max(to_number(i.premium_rcv_detail_code))+1
from ins_premium_det i),'16235','16235','02', '11000003','00','Request by Mr. Omair Ali 22-Oct-2024 allocation 22Oct240201');</v>
      </c>
      <c r="H150" s="54" t="str">
        <f t="shared" si="8"/>
        <v>insert into ins_premium_det (premium_rcv_code,assorted_code, rec_amount,premium_rcv_detail_code,remaining_amt, payrec, mode_code,coinsurance_code,class_cd,it_remarks) values('22Oct240201','040000180820','16235',(select max(to_number(i.premium_rcv_detail_code))+1
from ins_premium_det i),'16235','16235','02', '11000003','00','Request by Mr. Omair Ali 22-Oct-2024 allocation 22Oct240201');</v>
      </c>
    </row>
    <row r="151" spans="1:8" ht="105" x14ac:dyDescent="0.25">
      <c r="A151" t="s">
        <v>279</v>
      </c>
      <c r="B151" s="51" t="str">
        <f>VLOOKUP(A151,policy!B:C,2,0)</f>
        <v>040000180821</v>
      </c>
      <c r="C151" s="46">
        <v>16235.000000000002</v>
      </c>
      <c r="D151" s="46">
        <v>16235.000000000002</v>
      </c>
      <c r="E151" s="50" t="s">
        <v>3673</v>
      </c>
      <c r="F151" s="52" t="str">
        <f t="shared" si="6"/>
        <v>insert into ins_premium_det (premium_rcv_code,assorted_code, rec_amount,premium_rcv_detail_code,remaining_amt, payrec, mode_code,coinsurance_code,class_cd,it_remarks) values</v>
      </c>
      <c r="G151" s="53" t="str">
        <f t="shared" si="7"/>
        <v>('22Oct240201','040000180821','16235',(select max(to_number(i.premium_rcv_detail_code))+1
from ins_premium_det i),'16235','16235','02', '11000003','00','Request by Mr. Omair Ali 22-Oct-2024 allocation 22Oct240201');</v>
      </c>
      <c r="H151" s="54" t="str">
        <f t="shared" si="8"/>
        <v>insert into ins_premium_det (premium_rcv_code,assorted_code, rec_amount,premium_rcv_detail_code,remaining_amt, payrec, mode_code,coinsurance_code,class_cd,it_remarks) values('22Oct240201','040000180821','16235',(select max(to_number(i.premium_rcv_detail_code))+1
from ins_premium_det i),'16235','16235','02', '11000003','00','Request by Mr. Omair Ali 22-Oct-2024 allocation 22Oct240201');</v>
      </c>
    </row>
    <row r="152" spans="1:8" ht="105" x14ac:dyDescent="0.25">
      <c r="A152" t="s">
        <v>280</v>
      </c>
      <c r="B152" s="51" t="str">
        <f>VLOOKUP(A152,policy!B:C,2,0)</f>
        <v>040000180822</v>
      </c>
      <c r="C152" s="46">
        <v>16235.000000000002</v>
      </c>
      <c r="D152" s="46">
        <v>16235.000000000002</v>
      </c>
      <c r="E152" s="50" t="s">
        <v>3673</v>
      </c>
      <c r="F152" s="52" t="str">
        <f t="shared" si="6"/>
        <v>insert into ins_premium_det (premium_rcv_code,assorted_code, rec_amount,premium_rcv_detail_code,remaining_amt, payrec, mode_code,coinsurance_code,class_cd,it_remarks) values</v>
      </c>
      <c r="G152" s="53" t="str">
        <f t="shared" si="7"/>
        <v>('22Oct240201','040000180822','16235',(select max(to_number(i.premium_rcv_detail_code))+1
from ins_premium_det i),'16235','16235','02', '11000003','00','Request by Mr. Omair Ali 22-Oct-2024 allocation 22Oct240201');</v>
      </c>
      <c r="H152" s="54" t="str">
        <f t="shared" si="8"/>
        <v>insert into ins_premium_det (premium_rcv_code,assorted_code, rec_amount,premium_rcv_detail_code,remaining_amt, payrec, mode_code,coinsurance_code,class_cd,it_remarks) values('22Oct240201','040000180822','16235',(select max(to_number(i.premium_rcv_detail_code))+1
from ins_premium_det i),'16235','16235','02', '11000003','00','Request by Mr. Omair Ali 22-Oct-2024 allocation 22Oct240201');</v>
      </c>
    </row>
    <row r="153" spans="1:8" ht="105" x14ac:dyDescent="0.25">
      <c r="A153" t="s">
        <v>281</v>
      </c>
      <c r="B153" s="51" t="str">
        <f>VLOOKUP(A153,policy!B:C,2,0)</f>
        <v>040000180823</v>
      </c>
      <c r="C153" s="46">
        <v>16235.000000000002</v>
      </c>
      <c r="D153" s="46">
        <v>16235.000000000002</v>
      </c>
      <c r="E153" s="50" t="s">
        <v>3673</v>
      </c>
      <c r="F153" s="52" t="str">
        <f t="shared" si="6"/>
        <v>insert into ins_premium_det (premium_rcv_code,assorted_code, rec_amount,premium_rcv_detail_code,remaining_amt, payrec, mode_code,coinsurance_code,class_cd,it_remarks) values</v>
      </c>
      <c r="G153" s="53" t="str">
        <f t="shared" si="7"/>
        <v>('22Oct240201','040000180823','16235',(select max(to_number(i.premium_rcv_detail_code))+1
from ins_premium_det i),'16235','16235','02', '11000003','00','Request by Mr. Omair Ali 22-Oct-2024 allocation 22Oct240201');</v>
      </c>
      <c r="H153" s="54" t="str">
        <f t="shared" si="8"/>
        <v>insert into ins_premium_det (premium_rcv_code,assorted_code, rec_amount,premium_rcv_detail_code,remaining_amt, payrec, mode_code,coinsurance_code,class_cd,it_remarks) values('22Oct240201','040000180823','16235',(select max(to_number(i.premium_rcv_detail_code))+1
from ins_premium_det i),'16235','16235','02', '11000003','00','Request by Mr. Omair Ali 22-Oct-2024 allocation 22Oct240201');</v>
      </c>
    </row>
    <row r="154" spans="1:8" ht="105" x14ac:dyDescent="0.25">
      <c r="A154" t="s">
        <v>282</v>
      </c>
      <c r="B154" s="51" t="str">
        <f>VLOOKUP(A154,policy!B:C,2,0)</f>
        <v>040000180824</v>
      </c>
      <c r="C154" s="46">
        <v>16235.000000000002</v>
      </c>
      <c r="D154" s="46">
        <v>16235.000000000002</v>
      </c>
      <c r="E154" s="50" t="s">
        <v>3673</v>
      </c>
      <c r="F154" s="52" t="str">
        <f t="shared" si="6"/>
        <v>insert into ins_premium_det (premium_rcv_code,assorted_code, rec_amount,premium_rcv_detail_code,remaining_amt, payrec, mode_code,coinsurance_code,class_cd,it_remarks) values</v>
      </c>
      <c r="G154" s="53" t="str">
        <f t="shared" si="7"/>
        <v>('22Oct240201','040000180824','16235',(select max(to_number(i.premium_rcv_detail_code))+1
from ins_premium_det i),'16235','16235','02', '11000003','00','Request by Mr. Omair Ali 22-Oct-2024 allocation 22Oct240201');</v>
      </c>
      <c r="H154" s="54" t="str">
        <f t="shared" si="8"/>
        <v>insert into ins_premium_det (premium_rcv_code,assorted_code, rec_amount,premium_rcv_detail_code,remaining_amt, payrec, mode_code,coinsurance_code,class_cd,it_remarks) values('22Oct240201','040000180824','16235',(select max(to_number(i.premium_rcv_detail_code))+1
from ins_premium_det i),'16235','16235','02', '11000003','00','Request by Mr. Omair Ali 22-Oct-2024 allocation 22Oct240201');</v>
      </c>
    </row>
    <row r="155" spans="1:8" ht="105" x14ac:dyDescent="0.25">
      <c r="A155" t="s">
        <v>283</v>
      </c>
      <c r="B155" s="51" t="str">
        <f>VLOOKUP(A155,policy!B:C,2,0)</f>
        <v>040000180825</v>
      </c>
      <c r="C155" s="46">
        <v>16235.000000000002</v>
      </c>
      <c r="D155" s="46">
        <v>16235.000000000002</v>
      </c>
      <c r="E155" s="50" t="s">
        <v>3673</v>
      </c>
      <c r="F155" s="52" t="str">
        <f t="shared" si="6"/>
        <v>insert into ins_premium_det (premium_rcv_code,assorted_code, rec_amount,premium_rcv_detail_code,remaining_amt, payrec, mode_code,coinsurance_code,class_cd,it_remarks) values</v>
      </c>
      <c r="G155" s="53" t="str">
        <f t="shared" si="7"/>
        <v>('22Oct240201','040000180825','16235',(select max(to_number(i.premium_rcv_detail_code))+1
from ins_premium_det i),'16235','16235','02', '11000003','00','Request by Mr. Omair Ali 22-Oct-2024 allocation 22Oct240201');</v>
      </c>
      <c r="H155" s="54" t="str">
        <f t="shared" si="8"/>
        <v>insert into ins_premium_det (premium_rcv_code,assorted_code, rec_amount,premium_rcv_detail_code,remaining_amt, payrec, mode_code,coinsurance_code,class_cd,it_remarks) values('22Oct240201','040000180825','16235',(select max(to_number(i.premium_rcv_detail_code))+1
from ins_premium_det i),'16235','16235','02', '11000003','00','Request by Mr. Omair Ali 22-Oct-2024 allocation 22Oct240201');</v>
      </c>
    </row>
    <row r="156" spans="1:8" ht="105" x14ac:dyDescent="0.25">
      <c r="A156" t="s">
        <v>284</v>
      </c>
      <c r="B156" s="51" t="str">
        <f>VLOOKUP(A156,policy!B:C,2,0)</f>
        <v>040000180842</v>
      </c>
      <c r="C156" s="46">
        <v>8800</v>
      </c>
      <c r="D156" s="46">
        <v>8800</v>
      </c>
      <c r="E156" s="50" t="s">
        <v>3673</v>
      </c>
      <c r="F156" s="52" t="str">
        <f t="shared" si="6"/>
        <v>insert into ins_premium_det (premium_rcv_code,assorted_code, rec_amount,premium_rcv_detail_code,remaining_amt, payrec, mode_code,coinsurance_code,class_cd,it_remarks) values</v>
      </c>
      <c r="G156" s="53" t="str">
        <f t="shared" si="7"/>
        <v>('22Oct240201','040000180842','8800',(select max(to_number(i.premium_rcv_detail_code))+1
from ins_premium_det i),'8800','8800','02', '11000003','00','Request by Mr. Omair Ali 22-Oct-2024 allocation 22Oct240201');</v>
      </c>
      <c r="H156" s="54" t="str">
        <f t="shared" si="8"/>
        <v>insert into ins_premium_det (premium_rcv_code,assorted_code, rec_amount,premium_rcv_detail_code,remaining_amt, payrec, mode_code,coinsurance_code,class_cd,it_remarks) values('22Oct240201','040000180842','8800',(select max(to_number(i.premium_rcv_detail_code))+1
from ins_premium_det i),'8800','8800','02', '11000003','00','Request by Mr. Omair Ali 22-Oct-2024 allocation 22Oct240201');</v>
      </c>
    </row>
    <row r="157" spans="1:8" ht="105" x14ac:dyDescent="0.25">
      <c r="A157" t="s">
        <v>285</v>
      </c>
      <c r="B157" s="51" t="str">
        <f>VLOOKUP(A157,policy!B:C,2,0)</f>
        <v>040000180853</v>
      </c>
      <c r="C157" s="46">
        <v>8800</v>
      </c>
      <c r="D157" s="46">
        <v>8800</v>
      </c>
      <c r="E157" s="50" t="s">
        <v>3673</v>
      </c>
      <c r="F157" s="52" t="str">
        <f t="shared" si="6"/>
        <v>insert into ins_premium_det (premium_rcv_code,assorted_code, rec_amount,premium_rcv_detail_code,remaining_amt, payrec, mode_code,coinsurance_code,class_cd,it_remarks) values</v>
      </c>
      <c r="G157" s="53" t="str">
        <f t="shared" si="7"/>
        <v>('22Oct240201','040000180853','8800',(select max(to_number(i.premium_rcv_detail_code))+1
from ins_premium_det i),'8800','8800','02', '11000003','00','Request by Mr. Omair Ali 22-Oct-2024 allocation 22Oct240201');</v>
      </c>
      <c r="H157" s="54" t="str">
        <f t="shared" si="8"/>
        <v>insert into ins_premium_det (premium_rcv_code,assorted_code, rec_amount,premium_rcv_detail_code,remaining_amt, payrec, mode_code,coinsurance_code,class_cd,it_remarks) values('22Oct240201','040000180853','8800',(select max(to_number(i.premium_rcv_detail_code))+1
from ins_premium_det i),'8800','8800','02', '11000003','00','Request by Mr. Omair Ali 22-Oct-2024 allocation 22Oct240201');</v>
      </c>
    </row>
    <row r="158" spans="1:8" ht="105" x14ac:dyDescent="0.25">
      <c r="A158" t="s">
        <v>286</v>
      </c>
      <c r="B158" s="51" t="str">
        <f>VLOOKUP(A158,policy!B:C,2,0)</f>
        <v>040000180858</v>
      </c>
      <c r="C158" s="46">
        <v>8800</v>
      </c>
      <c r="D158" s="46">
        <v>8800</v>
      </c>
      <c r="E158" s="50" t="s">
        <v>3673</v>
      </c>
      <c r="F158" s="52" t="str">
        <f t="shared" si="6"/>
        <v>insert into ins_premium_det (premium_rcv_code,assorted_code, rec_amount,premium_rcv_detail_code,remaining_amt, payrec, mode_code,coinsurance_code,class_cd,it_remarks) values</v>
      </c>
      <c r="G158" s="53" t="str">
        <f t="shared" si="7"/>
        <v>('22Oct240201','040000180858','8800',(select max(to_number(i.premium_rcv_detail_code))+1
from ins_premium_det i),'8800','8800','02', '11000003','00','Request by Mr. Omair Ali 22-Oct-2024 allocation 22Oct240201');</v>
      </c>
      <c r="H158" s="54" t="str">
        <f t="shared" si="8"/>
        <v>insert into ins_premium_det (premium_rcv_code,assorted_code, rec_amount,premium_rcv_detail_code,remaining_amt, payrec, mode_code,coinsurance_code,class_cd,it_remarks) values('22Oct240201','040000180858','8800',(select max(to_number(i.premium_rcv_detail_code))+1
from ins_premium_det i),'8800','8800','02', '11000003','00','Request by Mr. Omair Ali 22-Oct-2024 allocation 22Oct240201');</v>
      </c>
    </row>
    <row r="159" spans="1:8" ht="105" x14ac:dyDescent="0.25">
      <c r="A159" t="s">
        <v>287</v>
      </c>
      <c r="B159" s="51" t="str">
        <f>VLOOKUP(A159,policy!B:C,2,0)</f>
        <v>040000180860</v>
      </c>
      <c r="C159" s="46">
        <v>8800</v>
      </c>
      <c r="D159" s="46">
        <v>8800</v>
      </c>
      <c r="E159" s="50" t="s">
        <v>3673</v>
      </c>
      <c r="F159" s="52" t="str">
        <f t="shared" si="6"/>
        <v>insert into ins_premium_det (premium_rcv_code,assorted_code, rec_amount,premium_rcv_detail_code,remaining_amt, payrec, mode_code,coinsurance_code,class_cd,it_remarks) values</v>
      </c>
      <c r="G159" s="53" t="str">
        <f t="shared" si="7"/>
        <v>('22Oct240201','040000180860','8800',(select max(to_number(i.premium_rcv_detail_code))+1
from ins_premium_det i),'8800','8800','02', '11000003','00','Request by Mr. Omair Ali 22-Oct-2024 allocation 22Oct240201');</v>
      </c>
      <c r="H159" s="54" t="str">
        <f t="shared" si="8"/>
        <v>insert into ins_premium_det (premium_rcv_code,assorted_code, rec_amount,premium_rcv_detail_code,remaining_amt, payrec, mode_code,coinsurance_code,class_cd,it_remarks) values('22Oct240201','040000180860','8800',(select max(to_number(i.premium_rcv_detail_code))+1
from ins_premium_det i),'8800','8800','02', '11000003','00','Request by Mr. Omair Ali 22-Oct-2024 allocation 22Oct240201');</v>
      </c>
    </row>
    <row r="160" spans="1:8" ht="105" x14ac:dyDescent="0.25">
      <c r="A160" t="s">
        <v>288</v>
      </c>
      <c r="B160" s="51" t="str">
        <f>VLOOKUP(A160,policy!B:C,2,0)</f>
        <v>040000180861</v>
      </c>
      <c r="C160" s="46">
        <v>8800</v>
      </c>
      <c r="D160" s="46">
        <v>8800</v>
      </c>
      <c r="E160" s="50" t="s">
        <v>3673</v>
      </c>
      <c r="F160" s="52" t="str">
        <f t="shared" si="6"/>
        <v>insert into ins_premium_det (premium_rcv_code,assorted_code, rec_amount,premium_rcv_detail_code,remaining_amt, payrec, mode_code,coinsurance_code,class_cd,it_remarks) values</v>
      </c>
      <c r="G160" s="53" t="str">
        <f t="shared" si="7"/>
        <v>('22Oct240201','040000180861','8800',(select max(to_number(i.premium_rcv_detail_code))+1
from ins_premium_det i),'8800','8800','02', '11000003','00','Request by Mr. Omair Ali 22-Oct-2024 allocation 22Oct240201');</v>
      </c>
      <c r="H160" s="54" t="str">
        <f t="shared" si="8"/>
        <v>insert into ins_premium_det (premium_rcv_code,assorted_code, rec_amount,premium_rcv_detail_code,remaining_amt, payrec, mode_code,coinsurance_code,class_cd,it_remarks) values('22Oct240201','040000180861','8800',(select max(to_number(i.premium_rcv_detail_code))+1
from ins_premium_det i),'8800','8800','02', '11000003','00','Request by Mr. Omair Ali 22-Oct-2024 allocation 22Oct240201');</v>
      </c>
    </row>
    <row r="161" spans="1:8" ht="105" x14ac:dyDescent="0.25">
      <c r="A161" t="s">
        <v>289</v>
      </c>
      <c r="B161" s="51" t="str">
        <f>VLOOKUP(A161,policy!B:C,2,0)</f>
        <v>040000180864</v>
      </c>
      <c r="C161" s="46">
        <v>9550</v>
      </c>
      <c r="D161" s="46">
        <v>9550</v>
      </c>
      <c r="E161" s="50" t="s">
        <v>3673</v>
      </c>
      <c r="F161" s="52" t="str">
        <f t="shared" si="6"/>
        <v>insert into ins_premium_det (premium_rcv_code,assorted_code, rec_amount,premium_rcv_detail_code,remaining_amt, payrec, mode_code,coinsurance_code,class_cd,it_remarks) values</v>
      </c>
      <c r="G161" s="53" t="str">
        <f t="shared" si="7"/>
        <v>('22Oct240201','040000180864','9550',(select max(to_number(i.premium_rcv_detail_code))+1
from ins_premium_det i),'9550','9550','02', '11000003','00','Request by Mr. Omair Ali 22-Oct-2024 allocation 22Oct240201');</v>
      </c>
      <c r="H161" s="54" t="str">
        <f t="shared" si="8"/>
        <v>insert into ins_premium_det (premium_rcv_code,assorted_code, rec_amount,premium_rcv_detail_code,remaining_amt, payrec, mode_code,coinsurance_code,class_cd,it_remarks) values('22Oct240201','040000180864','9550',(select max(to_number(i.premium_rcv_detail_code))+1
from ins_premium_det i),'9550','9550','02', '11000003','00','Request by Mr. Omair Ali 22-Oct-2024 allocation 22Oct240201');</v>
      </c>
    </row>
    <row r="162" spans="1:8" ht="105" x14ac:dyDescent="0.25">
      <c r="A162" t="s">
        <v>290</v>
      </c>
      <c r="B162" s="51" t="str">
        <f>VLOOKUP(A162,policy!B:C,2,0)</f>
        <v>040000180867</v>
      </c>
      <c r="C162" s="46">
        <v>9550</v>
      </c>
      <c r="D162" s="46">
        <v>9550</v>
      </c>
      <c r="E162" s="50" t="s">
        <v>3673</v>
      </c>
      <c r="F162" s="52" t="str">
        <f t="shared" si="6"/>
        <v>insert into ins_premium_det (premium_rcv_code,assorted_code, rec_amount,premium_rcv_detail_code,remaining_amt, payrec, mode_code,coinsurance_code,class_cd,it_remarks) values</v>
      </c>
      <c r="G162" s="53" t="str">
        <f t="shared" si="7"/>
        <v>('22Oct240201','040000180867','9550',(select max(to_number(i.premium_rcv_detail_code))+1
from ins_premium_det i),'9550','9550','02', '11000003','00','Request by Mr. Omair Ali 22-Oct-2024 allocation 22Oct240201');</v>
      </c>
      <c r="H162" s="54" t="str">
        <f t="shared" si="8"/>
        <v>insert into ins_premium_det (premium_rcv_code,assorted_code, rec_amount,premium_rcv_detail_code,remaining_amt, payrec, mode_code,coinsurance_code,class_cd,it_remarks) values('22Oct240201','040000180867','9550',(select max(to_number(i.premium_rcv_detail_code))+1
from ins_premium_det i),'9550','9550','02', '11000003','00','Request by Mr. Omair Ali 22-Oct-2024 allocation 22Oct240201');</v>
      </c>
    </row>
    <row r="163" spans="1:8" ht="105" x14ac:dyDescent="0.25">
      <c r="A163" t="s">
        <v>291</v>
      </c>
      <c r="B163" s="51" t="str">
        <f>VLOOKUP(A163,policy!B:C,2,0)</f>
        <v>040000180870</v>
      </c>
      <c r="C163" s="46">
        <v>9550</v>
      </c>
      <c r="D163" s="46">
        <v>9550</v>
      </c>
      <c r="E163" s="50" t="s">
        <v>3673</v>
      </c>
      <c r="F163" s="52" t="str">
        <f t="shared" si="6"/>
        <v>insert into ins_premium_det (premium_rcv_code,assorted_code, rec_amount,premium_rcv_detail_code,remaining_amt, payrec, mode_code,coinsurance_code,class_cd,it_remarks) values</v>
      </c>
      <c r="G163" s="53" t="str">
        <f t="shared" si="7"/>
        <v>('22Oct240201','040000180870','9550',(select max(to_number(i.premium_rcv_detail_code))+1
from ins_premium_det i),'9550','9550','02', '11000003','00','Request by Mr. Omair Ali 22-Oct-2024 allocation 22Oct240201');</v>
      </c>
      <c r="H163" s="54" t="str">
        <f t="shared" si="8"/>
        <v>insert into ins_premium_det (premium_rcv_code,assorted_code, rec_amount,premium_rcv_detail_code,remaining_amt, payrec, mode_code,coinsurance_code,class_cd,it_remarks) values('22Oct240201','040000180870','9550',(select max(to_number(i.premium_rcv_detail_code))+1
from ins_premium_det i),'9550','9550','02', '11000003','00','Request by Mr. Omair Ali 22-Oct-2024 allocation 22Oct240201');</v>
      </c>
    </row>
    <row r="164" spans="1:8" ht="105" x14ac:dyDescent="0.25">
      <c r="A164" t="s">
        <v>292</v>
      </c>
      <c r="B164" s="51" t="str">
        <f>VLOOKUP(A164,policy!B:C,2,0)</f>
        <v>040000180871</v>
      </c>
      <c r="C164" s="46">
        <v>8800</v>
      </c>
      <c r="D164" s="46">
        <v>8800</v>
      </c>
      <c r="E164" s="50" t="s">
        <v>3673</v>
      </c>
      <c r="F164" s="52" t="str">
        <f t="shared" si="6"/>
        <v>insert into ins_premium_det (premium_rcv_code,assorted_code, rec_amount,premium_rcv_detail_code,remaining_amt, payrec, mode_code,coinsurance_code,class_cd,it_remarks) values</v>
      </c>
      <c r="G164" s="53" t="str">
        <f t="shared" si="7"/>
        <v>('22Oct240201','040000180871','8800',(select max(to_number(i.premium_rcv_detail_code))+1
from ins_premium_det i),'8800','8800','02', '11000003','00','Request by Mr. Omair Ali 22-Oct-2024 allocation 22Oct240201');</v>
      </c>
      <c r="H164" s="54" t="str">
        <f t="shared" si="8"/>
        <v>insert into ins_premium_det (premium_rcv_code,assorted_code, rec_amount,premium_rcv_detail_code,remaining_amt, payrec, mode_code,coinsurance_code,class_cd,it_remarks) values('22Oct240201','040000180871','8800',(select max(to_number(i.premium_rcv_detail_code))+1
from ins_premium_det i),'8800','8800','02', '11000003','00','Request by Mr. Omair Ali 22-Oct-2024 allocation 22Oct240201');</v>
      </c>
    </row>
    <row r="165" spans="1:8" ht="105" x14ac:dyDescent="0.25">
      <c r="A165" t="s">
        <v>293</v>
      </c>
      <c r="B165" s="51" t="str">
        <f>VLOOKUP(A165,policy!B:C,2,0)</f>
        <v>040000180872</v>
      </c>
      <c r="C165" s="46">
        <v>8800</v>
      </c>
      <c r="D165" s="46">
        <v>8800</v>
      </c>
      <c r="E165" s="50" t="s">
        <v>3673</v>
      </c>
      <c r="F165" s="52" t="str">
        <f t="shared" si="6"/>
        <v>insert into ins_premium_det (premium_rcv_code,assorted_code, rec_amount,premium_rcv_detail_code,remaining_amt, payrec, mode_code,coinsurance_code,class_cd,it_remarks) values</v>
      </c>
      <c r="G165" s="53" t="str">
        <f t="shared" si="7"/>
        <v>('22Oct240201','040000180872','8800',(select max(to_number(i.premium_rcv_detail_code))+1
from ins_premium_det i),'8800','8800','02', '11000003','00','Request by Mr. Omair Ali 22-Oct-2024 allocation 22Oct240201');</v>
      </c>
      <c r="H165" s="54" t="str">
        <f t="shared" si="8"/>
        <v>insert into ins_premium_det (premium_rcv_code,assorted_code, rec_amount,premium_rcv_detail_code,remaining_amt, payrec, mode_code,coinsurance_code,class_cd,it_remarks) values('22Oct240201','040000180872','8800',(select max(to_number(i.premium_rcv_detail_code))+1
from ins_premium_det i),'8800','8800','02', '11000003','00','Request by Mr. Omair Ali 22-Oct-2024 allocation 22Oct240201');</v>
      </c>
    </row>
    <row r="166" spans="1:8" ht="105" x14ac:dyDescent="0.25">
      <c r="A166" t="s">
        <v>294</v>
      </c>
      <c r="B166" s="51" t="str">
        <f>VLOOKUP(A166,policy!B:C,2,0)</f>
        <v>040000180873</v>
      </c>
      <c r="C166" s="46">
        <v>9550</v>
      </c>
      <c r="D166" s="46">
        <v>9550</v>
      </c>
      <c r="E166" s="50" t="s">
        <v>3673</v>
      </c>
      <c r="F166" s="52" t="str">
        <f t="shared" si="6"/>
        <v>insert into ins_premium_det (premium_rcv_code,assorted_code, rec_amount,premium_rcv_detail_code,remaining_amt, payrec, mode_code,coinsurance_code,class_cd,it_remarks) values</v>
      </c>
      <c r="G166" s="53" t="str">
        <f t="shared" si="7"/>
        <v>('22Oct240201','040000180873','9550',(select max(to_number(i.premium_rcv_detail_code))+1
from ins_premium_det i),'9550','9550','02', '11000003','00','Request by Mr. Omair Ali 22-Oct-2024 allocation 22Oct240201');</v>
      </c>
      <c r="H166" s="54" t="str">
        <f t="shared" si="8"/>
        <v>insert into ins_premium_det (premium_rcv_code,assorted_code, rec_amount,premium_rcv_detail_code,remaining_amt, payrec, mode_code,coinsurance_code,class_cd,it_remarks) values('22Oct240201','040000180873','9550',(select max(to_number(i.premium_rcv_detail_code))+1
from ins_premium_det i),'9550','9550','02', '11000003','00','Request by Mr. Omair Ali 22-Oct-2024 allocation 22Oct240201');</v>
      </c>
    </row>
    <row r="167" spans="1:8" ht="105" x14ac:dyDescent="0.25">
      <c r="A167" t="s">
        <v>295</v>
      </c>
      <c r="B167" s="51" t="str">
        <f>VLOOKUP(A167,policy!B:C,2,0)</f>
        <v>040000180875</v>
      </c>
      <c r="C167" s="46">
        <v>8800</v>
      </c>
      <c r="D167" s="46">
        <v>8800</v>
      </c>
      <c r="E167" s="50" t="s">
        <v>3673</v>
      </c>
      <c r="F167" s="52" t="str">
        <f t="shared" si="6"/>
        <v>insert into ins_premium_det (premium_rcv_code,assorted_code, rec_amount,premium_rcv_detail_code,remaining_amt, payrec, mode_code,coinsurance_code,class_cd,it_remarks) values</v>
      </c>
      <c r="G167" s="53" t="str">
        <f t="shared" si="7"/>
        <v>('22Oct240201','040000180875','8800',(select max(to_number(i.premium_rcv_detail_code))+1
from ins_premium_det i),'8800','8800','02', '11000003','00','Request by Mr. Omair Ali 22-Oct-2024 allocation 22Oct240201');</v>
      </c>
      <c r="H167" s="54" t="str">
        <f t="shared" si="8"/>
        <v>insert into ins_premium_det (premium_rcv_code,assorted_code, rec_amount,premium_rcv_detail_code,remaining_amt, payrec, mode_code,coinsurance_code,class_cd,it_remarks) values('22Oct240201','040000180875','8800',(select max(to_number(i.premium_rcv_detail_code))+1
from ins_premium_det i),'8800','8800','02', '11000003','00','Request by Mr. Omair Ali 22-Oct-2024 allocation 22Oct240201');</v>
      </c>
    </row>
    <row r="168" spans="1:8" ht="105" x14ac:dyDescent="0.25">
      <c r="A168" t="s">
        <v>296</v>
      </c>
      <c r="B168" s="51" t="str">
        <f>VLOOKUP(A168,policy!B:C,2,0)</f>
        <v>040000180876</v>
      </c>
      <c r="C168" s="46">
        <v>9550</v>
      </c>
      <c r="D168" s="46">
        <v>9550</v>
      </c>
      <c r="E168" s="50" t="s">
        <v>3673</v>
      </c>
      <c r="F168" s="52" t="str">
        <f t="shared" si="6"/>
        <v>insert into ins_premium_det (premium_rcv_code,assorted_code, rec_amount,premium_rcv_detail_code,remaining_amt, payrec, mode_code,coinsurance_code,class_cd,it_remarks) values</v>
      </c>
      <c r="G168" s="53" t="str">
        <f t="shared" si="7"/>
        <v>('22Oct240201','040000180876','9550',(select max(to_number(i.premium_rcv_detail_code))+1
from ins_premium_det i),'9550','9550','02', '11000003','00','Request by Mr. Omair Ali 22-Oct-2024 allocation 22Oct240201');</v>
      </c>
      <c r="H168" s="54" t="str">
        <f t="shared" si="8"/>
        <v>insert into ins_premium_det (premium_rcv_code,assorted_code, rec_amount,premium_rcv_detail_code,remaining_amt, payrec, mode_code,coinsurance_code,class_cd,it_remarks) values('22Oct240201','040000180876','9550',(select max(to_number(i.premium_rcv_detail_code))+1
from ins_premium_det i),'9550','9550','02', '11000003','00','Request by Mr. Omair Ali 22-Oct-2024 allocation 22Oct240201');</v>
      </c>
    </row>
    <row r="169" spans="1:8" ht="105" x14ac:dyDescent="0.25">
      <c r="A169" t="s">
        <v>297</v>
      </c>
      <c r="B169" s="51" t="str">
        <f>VLOOKUP(A169,policy!B:C,2,0)</f>
        <v>040000180877</v>
      </c>
      <c r="C169" s="46">
        <v>9550</v>
      </c>
      <c r="D169" s="46">
        <v>9550</v>
      </c>
      <c r="E169" s="50" t="s">
        <v>3673</v>
      </c>
      <c r="F169" s="52" t="str">
        <f t="shared" si="6"/>
        <v>insert into ins_premium_det (premium_rcv_code,assorted_code, rec_amount,premium_rcv_detail_code,remaining_amt, payrec, mode_code,coinsurance_code,class_cd,it_remarks) values</v>
      </c>
      <c r="G169" s="53" t="str">
        <f t="shared" si="7"/>
        <v>('22Oct240201','040000180877','9550',(select max(to_number(i.premium_rcv_detail_code))+1
from ins_premium_det i),'9550','9550','02', '11000003','00','Request by Mr. Omair Ali 22-Oct-2024 allocation 22Oct240201');</v>
      </c>
      <c r="H169" s="54" t="str">
        <f t="shared" si="8"/>
        <v>insert into ins_premium_det (premium_rcv_code,assorted_code, rec_amount,premium_rcv_detail_code,remaining_amt, payrec, mode_code,coinsurance_code,class_cd,it_remarks) values('22Oct240201','040000180877','9550',(select max(to_number(i.premium_rcv_detail_code))+1
from ins_premium_det i),'9550','9550','02', '11000003','00','Request by Mr. Omair Ali 22-Oct-2024 allocation 22Oct240201');</v>
      </c>
    </row>
    <row r="170" spans="1:8" ht="105" x14ac:dyDescent="0.25">
      <c r="A170" t="s">
        <v>298</v>
      </c>
      <c r="B170" s="51" t="str">
        <f>VLOOKUP(A170,policy!B:C,2,0)</f>
        <v>040000180878</v>
      </c>
      <c r="C170" s="46">
        <v>9550</v>
      </c>
      <c r="D170" s="46">
        <v>9550</v>
      </c>
      <c r="E170" s="50" t="s">
        <v>3673</v>
      </c>
      <c r="F170" s="52" t="str">
        <f t="shared" si="6"/>
        <v>insert into ins_premium_det (premium_rcv_code,assorted_code, rec_amount,premium_rcv_detail_code,remaining_amt, payrec, mode_code,coinsurance_code,class_cd,it_remarks) values</v>
      </c>
      <c r="G170" s="53" t="str">
        <f t="shared" si="7"/>
        <v>('22Oct240201','040000180878','9550',(select max(to_number(i.premium_rcv_detail_code))+1
from ins_premium_det i),'9550','9550','02', '11000003','00','Request by Mr. Omair Ali 22-Oct-2024 allocation 22Oct240201');</v>
      </c>
      <c r="H170" s="54" t="str">
        <f t="shared" si="8"/>
        <v>insert into ins_premium_det (premium_rcv_code,assorted_code, rec_amount,premium_rcv_detail_code,remaining_amt, payrec, mode_code,coinsurance_code,class_cd,it_remarks) values('22Oct240201','040000180878','9550',(select max(to_number(i.premium_rcv_detail_code))+1
from ins_premium_det i),'9550','9550','02', '11000003','00','Request by Mr. Omair Ali 22-Oct-2024 allocation 22Oct240201');</v>
      </c>
    </row>
    <row r="171" spans="1:8" ht="105" x14ac:dyDescent="0.25">
      <c r="A171" t="s">
        <v>299</v>
      </c>
      <c r="B171" s="51" t="str">
        <f>VLOOKUP(A171,policy!B:C,2,0)</f>
        <v>040000180880</v>
      </c>
      <c r="C171" s="46">
        <v>9550</v>
      </c>
      <c r="D171" s="46">
        <v>9550</v>
      </c>
      <c r="E171" s="50" t="s">
        <v>3673</v>
      </c>
      <c r="F171" s="52" t="str">
        <f t="shared" si="6"/>
        <v>insert into ins_premium_det (premium_rcv_code,assorted_code, rec_amount,premium_rcv_detail_code,remaining_amt, payrec, mode_code,coinsurance_code,class_cd,it_remarks) values</v>
      </c>
      <c r="G171" s="53" t="str">
        <f t="shared" si="7"/>
        <v>('22Oct240201','040000180880','9550',(select max(to_number(i.premium_rcv_detail_code))+1
from ins_premium_det i),'9550','9550','02', '11000003','00','Request by Mr. Omair Ali 22-Oct-2024 allocation 22Oct240201');</v>
      </c>
      <c r="H171" s="54" t="str">
        <f t="shared" si="8"/>
        <v>insert into ins_premium_det (premium_rcv_code,assorted_code, rec_amount,premium_rcv_detail_code,remaining_amt, payrec, mode_code,coinsurance_code,class_cd,it_remarks) values('22Oct240201','040000180880','9550',(select max(to_number(i.premium_rcv_detail_code))+1
from ins_premium_det i),'9550','9550','02', '11000003','00','Request by Mr. Omair Ali 22-Oct-2024 allocation 22Oct240201');</v>
      </c>
    </row>
    <row r="172" spans="1:8" ht="105" x14ac:dyDescent="0.25">
      <c r="A172" t="s">
        <v>300</v>
      </c>
      <c r="B172" s="51" t="str">
        <f>VLOOKUP(A172,policy!B:C,2,0)</f>
        <v>040000180881</v>
      </c>
      <c r="C172" s="46">
        <v>9550</v>
      </c>
      <c r="D172" s="46">
        <v>9550</v>
      </c>
      <c r="E172" s="50" t="s">
        <v>3673</v>
      </c>
      <c r="F172" s="52" t="str">
        <f t="shared" si="6"/>
        <v>insert into ins_premium_det (premium_rcv_code,assorted_code, rec_amount,premium_rcv_detail_code,remaining_amt, payrec, mode_code,coinsurance_code,class_cd,it_remarks) values</v>
      </c>
      <c r="G172" s="53" t="str">
        <f t="shared" si="7"/>
        <v>('22Oct240201','040000180881','9550',(select max(to_number(i.premium_rcv_detail_code))+1
from ins_premium_det i),'9550','9550','02', '11000003','00','Request by Mr. Omair Ali 22-Oct-2024 allocation 22Oct240201');</v>
      </c>
      <c r="H172" s="54" t="str">
        <f t="shared" si="8"/>
        <v>insert into ins_premium_det (premium_rcv_code,assorted_code, rec_amount,premium_rcv_detail_code,remaining_amt, payrec, mode_code,coinsurance_code,class_cd,it_remarks) values('22Oct240201','040000180881','9550',(select max(to_number(i.premium_rcv_detail_code))+1
from ins_premium_det i),'9550','9550','02', '11000003','00','Request by Mr. Omair Ali 22-Oct-2024 allocation 22Oct240201');</v>
      </c>
    </row>
    <row r="173" spans="1:8" ht="105" x14ac:dyDescent="0.25">
      <c r="A173" t="s">
        <v>301</v>
      </c>
      <c r="B173" s="51" t="str">
        <f>VLOOKUP(A173,policy!B:C,2,0)</f>
        <v>040000180883</v>
      </c>
      <c r="C173" s="46">
        <v>8800</v>
      </c>
      <c r="D173" s="46">
        <v>8800</v>
      </c>
      <c r="E173" s="50" t="s">
        <v>3673</v>
      </c>
      <c r="F173" s="52" t="str">
        <f t="shared" si="6"/>
        <v>insert into ins_premium_det (premium_rcv_code,assorted_code, rec_amount,premium_rcv_detail_code,remaining_amt, payrec, mode_code,coinsurance_code,class_cd,it_remarks) values</v>
      </c>
      <c r="G173" s="53" t="str">
        <f t="shared" si="7"/>
        <v>('22Oct240201','040000180883','8800',(select max(to_number(i.premium_rcv_detail_code))+1
from ins_premium_det i),'8800','8800','02', '11000003','00','Request by Mr. Omair Ali 22-Oct-2024 allocation 22Oct240201');</v>
      </c>
      <c r="H173" s="54" t="str">
        <f t="shared" si="8"/>
        <v>insert into ins_premium_det (premium_rcv_code,assorted_code, rec_amount,premium_rcv_detail_code,remaining_amt, payrec, mode_code,coinsurance_code,class_cd,it_remarks) values('22Oct240201','040000180883','8800',(select max(to_number(i.premium_rcv_detail_code))+1
from ins_premium_det i),'8800','8800','02', '11000003','00','Request by Mr. Omair Ali 22-Oct-2024 allocation 22Oct240201');</v>
      </c>
    </row>
    <row r="174" spans="1:8" ht="105" x14ac:dyDescent="0.25">
      <c r="A174" t="s">
        <v>302</v>
      </c>
      <c r="B174" s="51" t="str">
        <f>VLOOKUP(A174,policy!B:C,2,0)</f>
        <v>040000180885</v>
      </c>
      <c r="C174" s="46">
        <v>8800</v>
      </c>
      <c r="D174" s="46">
        <v>8800</v>
      </c>
      <c r="E174" s="50" t="s">
        <v>3673</v>
      </c>
      <c r="F174" s="52" t="str">
        <f t="shared" si="6"/>
        <v>insert into ins_premium_det (premium_rcv_code,assorted_code, rec_amount,premium_rcv_detail_code,remaining_amt, payrec, mode_code,coinsurance_code,class_cd,it_remarks) values</v>
      </c>
      <c r="G174" s="53" t="str">
        <f t="shared" si="7"/>
        <v>('22Oct240201','040000180885','8800',(select max(to_number(i.premium_rcv_detail_code))+1
from ins_premium_det i),'8800','8800','02', '11000003','00','Request by Mr. Omair Ali 22-Oct-2024 allocation 22Oct240201');</v>
      </c>
      <c r="H174" s="54" t="str">
        <f t="shared" si="8"/>
        <v>insert into ins_premium_det (premium_rcv_code,assorted_code, rec_amount,premium_rcv_detail_code,remaining_amt, payrec, mode_code,coinsurance_code,class_cd,it_remarks) values('22Oct240201','040000180885','8800',(select max(to_number(i.premium_rcv_detail_code))+1
from ins_premium_det i),'8800','8800','02', '11000003','00','Request by Mr. Omair Ali 22-Oct-2024 allocation 22Oct240201');</v>
      </c>
    </row>
    <row r="175" spans="1:8" ht="105" x14ac:dyDescent="0.25">
      <c r="A175" t="s">
        <v>303</v>
      </c>
      <c r="B175" s="51" t="str">
        <f>VLOOKUP(A175,policy!B:C,2,0)</f>
        <v>040000180886</v>
      </c>
      <c r="C175" s="46">
        <v>8800</v>
      </c>
      <c r="D175" s="46">
        <v>8800</v>
      </c>
      <c r="E175" s="50" t="s">
        <v>3673</v>
      </c>
      <c r="F175" s="52" t="str">
        <f t="shared" si="6"/>
        <v>insert into ins_premium_det (premium_rcv_code,assorted_code, rec_amount,premium_rcv_detail_code,remaining_amt, payrec, mode_code,coinsurance_code,class_cd,it_remarks) values</v>
      </c>
      <c r="G175" s="53" t="str">
        <f t="shared" si="7"/>
        <v>('22Oct240201','040000180886','8800',(select max(to_number(i.premium_rcv_detail_code))+1
from ins_premium_det i),'8800','8800','02', '11000003','00','Request by Mr. Omair Ali 22-Oct-2024 allocation 22Oct240201');</v>
      </c>
      <c r="H175" s="54" t="str">
        <f t="shared" si="8"/>
        <v>insert into ins_premium_det (premium_rcv_code,assorted_code, rec_amount,premium_rcv_detail_code,remaining_amt, payrec, mode_code,coinsurance_code,class_cd,it_remarks) values('22Oct240201','040000180886','8800',(select max(to_number(i.premium_rcv_detail_code))+1
from ins_premium_det i),'8800','8800','02', '11000003','00','Request by Mr. Omair Ali 22-Oct-2024 allocation 22Oct240201');</v>
      </c>
    </row>
    <row r="176" spans="1:8" ht="105" x14ac:dyDescent="0.25">
      <c r="A176" t="s">
        <v>304</v>
      </c>
      <c r="B176" s="51" t="str">
        <f>VLOOKUP(A176,policy!B:C,2,0)</f>
        <v>040000180888</v>
      </c>
      <c r="C176" s="46">
        <v>8800</v>
      </c>
      <c r="D176" s="46">
        <v>8800</v>
      </c>
      <c r="E176" s="50" t="s">
        <v>3673</v>
      </c>
      <c r="F176" s="52" t="str">
        <f t="shared" si="6"/>
        <v>insert into ins_premium_det (premium_rcv_code,assorted_code, rec_amount,premium_rcv_detail_code,remaining_amt, payrec, mode_code,coinsurance_code,class_cd,it_remarks) values</v>
      </c>
      <c r="G176" s="53" t="str">
        <f t="shared" si="7"/>
        <v>('22Oct240201','040000180888','8800',(select max(to_number(i.premium_rcv_detail_code))+1
from ins_premium_det i),'8800','8800','02', '11000003','00','Request by Mr. Omair Ali 22-Oct-2024 allocation 22Oct240201');</v>
      </c>
      <c r="H176" s="54" t="str">
        <f t="shared" si="8"/>
        <v>insert into ins_premium_det (premium_rcv_code,assorted_code, rec_amount,premium_rcv_detail_code,remaining_amt, payrec, mode_code,coinsurance_code,class_cd,it_remarks) values('22Oct240201','040000180888','8800',(select max(to_number(i.premium_rcv_detail_code))+1
from ins_premium_det i),'8800','8800','02', '11000003','00','Request by Mr. Omair Ali 22-Oct-2024 allocation 22Oct240201');</v>
      </c>
    </row>
    <row r="177" spans="1:8" ht="105" x14ac:dyDescent="0.25">
      <c r="A177" t="s">
        <v>305</v>
      </c>
      <c r="B177" s="51" t="str">
        <f>VLOOKUP(A177,policy!B:C,2,0)</f>
        <v>040000180889</v>
      </c>
      <c r="C177" s="46">
        <v>8800</v>
      </c>
      <c r="D177" s="46">
        <v>8800</v>
      </c>
      <c r="E177" s="50" t="s">
        <v>3673</v>
      </c>
      <c r="F177" s="52" t="str">
        <f t="shared" si="6"/>
        <v>insert into ins_premium_det (premium_rcv_code,assorted_code, rec_amount,premium_rcv_detail_code,remaining_amt, payrec, mode_code,coinsurance_code,class_cd,it_remarks) values</v>
      </c>
      <c r="G177" s="53" t="str">
        <f t="shared" si="7"/>
        <v>('22Oct240201','040000180889','8800',(select max(to_number(i.premium_rcv_detail_code))+1
from ins_premium_det i),'8800','8800','02', '11000003','00','Request by Mr. Omair Ali 22-Oct-2024 allocation 22Oct240201');</v>
      </c>
      <c r="H177" s="54" t="str">
        <f t="shared" si="8"/>
        <v>insert into ins_premium_det (premium_rcv_code,assorted_code, rec_amount,premium_rcv_detail_code,remaining_amt, payrec, mode_code,coinsurance_code,class_cd,it_remarks) values('22Oct240201','040000180889','8800',(select max(to_number(i.premium_rcv_detail_code))+1
from ins_premium_det i),'8800','8800','02', '11000003','00','Request by Mr. Omair Ali 22-Oct-2024 allocation 22Oct240201');</v>
      </c>
    </row>
    <row r="178" spans="1:8" ht="105" x14ac:dyDescent="0.25">
      <c r="A178" t="s">
        <v>306</v>
      </c>
      <c r="B178" s="51" t="str">
        <f>VLOOKUP(A178,policy!B:C,2,0)</f>
        <v>040000180895</v>
      </c>
      <c r="C178" s="46">
        <v>9550</v>
      </c>
      <c r="D178" s="46">
        <v>9550</v>
      </c>
      <c r="E178" s="50" t="s">
        <v>3673</v>
      </c>
      <c r="F178" s="52" t="str">
        <f t="shared" si="6"/>
        <v>insert into ins_premium_det (premium_rcv_code,assorted_code, rec_amount,premium_rcv_detail_code,remaining_amt, payrec, mode_code,coinsurance_code,class_cd,it_remarks) values</v>
      </c>
      <c r="G178" s="53" t="str">
        <f t="shared" si="7"/>
        <v>('22Oct240201','040000180895','9550',(select max(to_number(i.premium_rcv_detail_code))+1
from ins_premium_det i),'9550','9550','02', '11000003','00','Request by Mr. Omair Ali 22-Oct-2024 allocation 22Oct240201');</v>
      </c>
      <c r="H178" s="54" t="str">
        <f t="shared" si="8"/>
        <v>insert into ins_premium_det (premium_rcv_code,assorted_code, rec_amount,premium_rcv_detail_code,remaining_amt, payrec, mode_code,coinsurance_code,class_cd,it_remarks) values('22Oct240201','040000180895','9550',(select max(to_number(i.premium_rcv_detail_code))+1
from ins_premium_det i),'9550','9550','02', '11000003','00','Request by Mr. Omair Ali 22-Oct-2024 allocation 22Oct240201');</v>
      </c>
    </row>
    <row r="179" spans="1:8" ht="105" x14ac:dyDescent="0.25">
      <c r="A179" t="s">
        <v>307</v>
      </c>
      <c r="B179" s="51" t="str">
        <f>VLOOKUP(A179,policy!B:C,2,0)</f>
        <v>040000180898</v>
      </c>
      <c r="C179" s="46">
        <v>16235.000000000002</v>
      </c>
      <c r="D179" s="46">
        <v>16235.000000000002</v>
      </c>
      <c r="E179" s="50" t="s">
        <v>3673</v>
      </c>
      <c r="F179" s="52" t="str">
        <f t="shared" si="6"/>
        <v>insert into ins_premium_det (premium_rcv_code,assorted_code, rec_amount,premium_rcv_detail_code,remaining_amt, payrec, mode_code,coinsurance_code,class_cd,it_remarks) values</v>
      </c>
      <c r="G179" s="53" t="str">
        <f t="shared" si="7"/>
        <v>('22Oct240201','040000180898','16235',(select max(to_number(i.premium_rcv_detail_code))+1
from ins_premium_det i),'16235','16235','02', '11000003','00','Request by Mr. Omair Ali 22-Oct-2024 allocation 22Oct240201');</v>
      </c>
      <c r="H179" s="54" t="str">
        <f t="shared" si="8"/>
        <v>insert into ins_premium_det (premium_rcv_code,assorted_code, rec_amount,premium_rcv_detail_code,remaining_amt, payrec, mode_code,coinsurance_code,class_cd,it_remarks) values('22Oct240201','040000180898','16235',(select max(to_number(i.premium_rcv_detail_code))+1
from ins_premium_det i),'16235','16235','02', '11000003','00','Request by Mr. Omair Ali 22-Oct-2024 allocation 22Oct240201');</v>
      </c>
    </row>
    <row r="180" spans="1:8" ht="105" x14ac:dyDescent="0.25">
      <c r="A180" t="s">
        <v>308</v>
      </c>
      <c r="B180" s="51" t="str">
        <f>VLOOKUP(A180,policy!B:C,2,0)</f>
        <v>040000180904</v>
      </c>
      <c r="C180" s="46">
        <v>8800</v>
      </c>
      <c r="D180" s="46">
        <v>8800</v>
      </c>
      <c r="E180" s="50" t="s">
        <v>3673</v>
      </c>
      <c r="F180" s="52" t="str">
        <f t="shared" si="6"/>
        <v>insert into ins_premium_det (premium_rcv_code,assorted_code, rec_amount,premium_rcv_detail_code,remaining_amt, payrec, mode_code,coinsurance_code,class_cd,it_remarks) values</v>
      </c>
      <c r="G180" s="53" t="str">
        <f t="shared" si="7"/>
        <v>('22Oct240201','040000180904','8800',(select max(to_number(i.premium_rcv_detail_code))+1
from ins_premium_det i),'8800','8800','02', '11000003','00','Request by Mr. Omair Ali 22-Oct-2024 allocation 22Oct240201');</v>
      </c>
      <c r="H180" s="54" t="str">
        <f t="shared" si="8"/>
        <v>insert into ins_premium_det (premium_rcv_code,assorted_code, rec_amount,premium_rcv_detail_code,remaining_amt, payrec, mode_code,coinsurance_code,class_cd,it_remarks) values('22Oct240201','040000180904','8800',(select max(to_number(i.premium_rcv_detail_code))+1
from ins_premium_det i),'8800','8800','02', '11000003','00','Request by Mr. Omair Ali 22-Oct-2024 allocation 22Oct240201');</v>
      </c>
    </row>
    <row r="181" spans="1:8" ht="105" x14ac:dyDescent="0.25">
      <c r="A181" t="s">
        <v>309</v>
      </c>
      <c r="B181" s="51" t="str">
        <f>VLOOKUP(A181,policy!B:C,2,0)</f>
        <v>040000180913</v>
      </c>
      <c r="C181" s="46">
        <v>16235</v>
      </c>
      <c r="D181" s="46">
        <v>16235</v>
      </c>
      <c r="E181" s="50" t="s">
        <v>3673</v>
      </c>
      <c r="F181" s="52" t="str">
        <f t="shared" si="6"/>
        <v>insert into ins_premium_det (premium_rcv_code,assorted_code, rec_amount,premium_rcv_detail_code,remaining_amt, payrec, mode_code,coinsurance_code,class_cd,it_remarks) values</v>
      </c>
      <c r="G181" s="53" t="str">
        <f t="shared" si="7"/>
        <v>('22Oct240201','040000180913','16235',(select max(to_number(i.premium_rcv_detail_code))+1
from ins_premium_det i),'16235','16235','02', '11000003','00','Request by Mr. Omair Ali 22-Oct-2024 allocation 22Oct240201');</v>
      </c>
      <c r="H181" s="54" t="str">
        <f t="shared" si="8"/>
        <v>insert into ins_premium_det (premium_rcv_code,assorted_code, rec_amount,premium_rcv_detail_code,remaining_amt, payrec, mode_code,coinsurance_code,class_cd,it_remarks) values('22Oct240201','040000180913','16235',(select max(to_number(i.premium_rcv_detail_code))+1
from ins_premium_det i),'16235','16235','02', '11000003','00','Request by Mr. Omair Ali 22-Oct-2024 allocation 22Oct240201');</v>
      </c>
    </row>
    <row r="182" spans="1:8" ht="105" x14ac:dyDescent="0.25">
      <c r="A182" t="s">
        <v>310</v>
      </c>
      <c r="B182" s="51" t="str">
        <f>VLOOKUP(A182,policy!B:C,2,0)</f>
        <v>040000180914</v>
      </c>
      <c r="C182" s="46">
        <v>16235</v>
      </c>
      <c r="D182" s="46">
        <v>16235</v>
      </c>
      <c r="E182" s="50" t="s">
        <v>3673</v>
      </c>
      <c r="F182" s="52" t="str">
        <f t="shared" si="6"/>
        <v>insert into ins_premium_det (premium_rcv_code,assorted_code, rec_amount,premium_rcv_detail_code,remaining_amt, payrec, mode_code,coinsurance_code,class_cd,it_remarks) values</v>
      </c>
      <c r="G182" s="53" t="str">
        <f t="shared" si="7"/>
        <v>('22Oct240201','040000180914','16235',(select max(to_number(i.premium_rcv_detail_code))+1
from ins_premium_det i),'16235','16235','02', '11000003','00','Request by Mr. Omair Ali 22-Oct-2024 allocation 22Oct240201');</v>
      </c>
      <c r="H182" s="54" t="str">
        <f t="shared" si="8"/>
        <v>insert into ins_premium_det (premium_rcv_code,assorted_code, rec_amount,premium_rcv_detail_code,remaining_amt, payrec, mode_code,coinsurance_code,class_cd,it_remarks) values('22Oct240201','040000180914','16235',(select max(to_number(i.premium_rcv_detail_code))+1
from ins_premium_det i),'16235','16235','02', '11000003','00','Request by Mr. Omair Ali 22-Oct-2024 allocation 22Oct240201');</v>
      </c>
    </row>
    <row r="183" spans="1:8" ht="105" x14ac:dyDescent="0.25">
      <c r="A183" t="s">
        <v>311</v>
      </c>
      <c r="B183" s="51" t="str">
        <f>VLOOKUP(A183,policy!B:C,2,0)</f>
        <v>040000180915</v>
      </c>
      <c r="C183" s="46">
        <v>13675</v>
      </c>
      <c r="D183" s="46">
        <v>13675</v>
      </c>
      <c r="E183" s="50" t="s">
        <v>3673</v>
      </c>
      <c r="F183" s="52" t="str">
        <f t="shared" si="6"/>
        <v>insert into ins_premium_det (premium_rcv_code,assorted_code, rec_amount,premium_rcv_detail_code,remaining_amt, payrec, mode_code,coinsurance_code,class_cd,it_remarks) values</v>
      </c>
      <c r="G183" s="53" t="str">
        <f t="shared" si="7"/>
        <v>('22Oct240201','040000180915','13675',(select max(to_number(i.premium_rcv_detail_code))+1
from ins_premium_det i),'13675','13675','02', '11000003','00','Request by Mr. Omair Ali 22-Oct-2024 allocation 22Oct240201');</v>
      </c>
      <c r="H183" s="54" t="str">
        <f t="shared" si="8"/>
        <v>insert into ins_premium_det (premium_rcv_code,assorted_code, rec_amount,premium_rcv_detail_code,remaining_amt, payrec, mode_code,coinsurance_code,class_cd,it_remarks) values('22Oct240201','040000180915','13675',(select max(to_number(i.premium_rcv_detail_code))+1
from ins_premium_det i),'13675','13675','02', '11000003','00','Request by Mr. Omair Ali 22-Oct-2024 allocation 22Oct240201');</v>
      </c>
    </row>
    <row r="184" spans="1:8" ht="105" x14ac:dyDescent="0.25">
      <c r="A184" t="s">
        <v>312</v>
      </c>
      <c r="B184" s="51" t="str">
        <f>VLOOKUP(A184,policy!B:C,2,0)</f>
        <v>040000180916</v>
      </c>
      <c r="C184" s="46">
        <v>8800</v>
      </c>
      <c r="D184" s="46">
        <v>8800</v>
      </c>
      <c r="E184" s="50" t="s">
        <v>3673</v>
      </c>
      <c r="F184" s="52" t="str">
        <f t="shared" si="6"/>
        <v>insert into ins_premium_det (premium_rcv_code,assorted_code, rec_amount,premium_rcv_detail_code,remaining_amt, payrec, mode_code,coinsurance_code,class_cd,it_remarks) values</v>
      </c>
      <c r="G184" s="53" t="str">
        <f t="shared" si="7"/>
        <v>('22Oct240201','040000180916','8800',(select max(to_number(i.premium_rcv_detail_code))+1
from ins_premium_det i),'8800','8800','02', '11000003','00','Request by Mr. Omair Ali 22-Oct-2024 allocation 22Oct240201');</v>
      </c>
      <c r="H184" s="54" t="str">
        <f t="shared" si="8"/>
        <v>insert into ins_premium_det (premium_rcv_code,assorted_code, rec_amount,premium_rcv_detail_code,remaining_amt, payrec, mode_code,coinsurance_code,class_cd,it_remarks) values('22Oct240201','040000180916','8800',(select max(to_number(i.premium_rcv_detail_code))+1
from ins_premium_det i),'8800','8800','02', '11000003','00','Request by Mr. Omair Ali 22-Oct-2024 allocation 22Oct240201');</v>
      </c>
    </row>
    <row r="185" spans="1:8" ht="105" x14ac:dyDescent="0.25">
      <c r="A185" t="s">
        <v>313</v>
      </c>
      <c r="B185" s="51" t="str">
        <f>VLOOKUP(A185,policy!B:C,2,0)</f>
        <v>040000180924</v>
      </c>
      <c r="C185" s="46">
        <v>16235</v>
      </c>
      <c r="D185" s="46">
        <v>16235</v>
      </c>
      <c r="E185" s="50" t="s">
        <v>3673</v>
      </c>
      <c r="F185" s="52" t="str">
        <f t="shared" si="6"/>
        <v>insert into ins_premium_det (premium_rcv_code,assorted_code, rec_amount,premium_rcv_detail_code,remaining_amt, payrec, mode_code,coinsurance_code,class_cd,it_remarks) values</v>
      </c>
      <c r="G185" s="53" t="str">
        <f t="shared" si="7"/>
        <v>('22Oct240201','040000180924','16235',(select max(to_number(i.premium_rcv_detail_code))+1
from ins_premium_det i),'16235','16235','02', '11000003','00','Request by Mr. Omair Ali 22-Oct-2024 allocation 22Oct240201');</v>
      </c>
      <c r="H185" s="54" t="str">
        <f t="shared" si="8"/>
        <v>insert into ins_premium_det (premium_rcv_code,assorted_code, rec_amount,premium_rcv_detail_code,remaining_amt, payrec, mode_code,coinsurance_code,class_cd,it_remarks) values('22Oct240201','040000180924','16235',(select max(to_number(i.premium_rcv_detail_code))+1
from ins_premium_det i),'16235','16235','02', '11000003','00','Request by Mr. Omair Ali 22-Oct-2024 allocation 22Oct240201');</v>
      </c>
    </row>
    <row r="186" spans="1:8" ht="105" x14ac:dyDescent="0.25">
      <c r="A186" t="s">
        <v>314</v>
      </c>
      <c r="B186" s="51" t="str">
        <f>VLOOKUP(A186,policy!B:C,2,0)</f>
        <v>040000180925</v>
      </c>
      <c r="C186" s="46">
        <v>16235</v>
      </c>
      <c r="D186" s="46">
        <v>16235</v>
      </c>
      <c r="E186" s="50" t="s">
        <v>3673</v>
      </c>
      <c r="F186" s="52" t="str">
        <f t="shared" si="6"/>
        <v>insert into ins_premium_det (premium_rcv_code,assorted_code, rec_amount,premium_rcv_detail_code,remaining_amt, payrec, mode_code,coinsurance_code,class_cd,it_remarks) values</v>
      </c>
      <c r="G186" s="53" t="str">
        <f t="shared" si="7"/>
        <v>('22Oct240201','040000180925','16235',(select max(to_number(i.premium_rcv_detail_code))+1
from ins_premium_det i),'16235','16235','02', '11000003','00','Request by Mr. Omair Ali 22-Oct-2024 allocation 22Oct240201');</v>
      </c>
      <c r="H186" s="54" t="str">
        <f t="shared" si="8"/>
        <v>insert into ins_premium_det (premium_rcv_code,assorted_code, rec_amount,premium_rcv_detail_code,remaining_amt, payrec, mode_code,coinsurance_code,class_cd,it_remarks) values('22Oct240201','040000180925','16235',(select max(to_number(i.premium_rcv_detail_code))+1
from ins_premium_det i),'16235','16235','02', '11000003','00','Request by Mr. Omair Ali 22-Oct-2024 allocation 22Oct240201');</v>
      </c>
    </row>
    <row r="187" spans="1:8" ht="105" x14ac:dyDescent="0.25">
      <c r="A187" t="s">
        <v>315</v>
      </c>
      <c r="B187" s="51" t="str">
        <f>VLOOKUP(A187,policy!B:C,2,0)</f>
        <v>040000180926</v>
      </c>
      <c r="C187" s="46">
        <v>23248</v>
      </c>
      <c r="D187" s="46">
        <v>23248</v>
      </c>
      <c r="E187" s="50" t="s">
        <v>3673</v>
      </c>
      <c r="F187" s="52" t="str">
        <f t="shared" si="6"/>
        <v>insert into ins_premium_det (premium_rcv_code,assorted_code, rec_amount,premium_rcv_detail_code,remaining_amt, payrec, mode_code,coinsurance_code,class_cd,it_remarks) values</v>
      </c>
      <c r="G187" s="53" t="str">
        <f t="shared" si="7"/>
        <v>('22Oct240201','040000180926','23248',(select max(to_number(i.premium_rcv_detail_code))+1
from ins_premium_det i),'23248','23248','02', '11000003','00','Request by Mr. Omair Ali 22-Oct-2024 allocation 22Oct240201');</v>
      </c>
      <c r="H187" s="54" t="str">
        <f t="shared" si="8"/>
        <v>insert into ins_premium_det (premium_rcv_code,assorted_code, rec_amount,premium_rcv_detail_code,remaining_amt, payrec, mode_code,coinsurance_code,class_cd,it_remarks) values('22Oct240201','040000180926','23248',(select max(to_number(i.premium_rcv_detail_code))+1
from ins_premium_det i),'23248','23248','02', '11000003','00','Request by Mr. Omair Ali 22-Oct-2024 allocation 22Oct240201');</v>
      </c>
    </row>
    <row r="188" spans="1:8" ht="105" x14ac:dyDescent="0.25">
      <c r="A188" t="s">
        <v>316</v>
      </c>
      <c r="B188" s="51" t="str">
        <f>VLOOKUP(A188,policy!B:C,2,0)</f>
        <v>040000180927</v>
      </c>
      <c r="C188" s="46">
        <v>21208</v>
      </c>
      <c r="D188" s="46">
        <v>21208</v>
      </c>
      <c r="E188" s="50" t="s">
        <v>3673</v>
      </c>
      <c r="F188" s="52" t="str">
        <f t="shared" si="6"/>
        <v>insert into ins_premium_det (premium_rcv_code,assorted_code, rec_amount,premium_rcv_detail_code,remaining_amt, payrec, mode_code,coinsurance_code,class_cd,it_remarks) values</v>
      </c>
      <c r="G188" s="53" t="str">
        <f t="shared" si="7"/>
        <v>('22Oct240201','040000180927','21208',(select max(to_number(i.premium_rcv_detail_code))+1
from ins_premium_det i),'21208','21208','02', '11000003','00','Request by Mr. Omair Ali 22-Oct-2024 allocation 22Oct240201');</v>
      </c>
      <c r="H188" s="54" t="str">
        <f t="shared" si="8"/>
        <v>insert into ins_premium_det (premium_rcv_code,assorted_code, rec_amount,premium_rcv_detail_code,remaining_amt, payrec, mode_code,coinsurance_code,class_cd,it_remarks) values('22Oct240201','040000180927','21208',(select max(to_number(i.premium_rcv_detail_code))+1
from ins_premium_det i),'21208','21208','02', '11000003','00','Request by Mr. Omair Ali 22-Oct-2024 allocation 22Oct240201');</v>
      </c>
    </row>
    <row r="189" spans="1:8" ht="105" x14ac:dyDescent="0.25">
      <c r="A189" t="s">
        <v>317</v>
      </c>
      <c r="B189" s="51" t="str">
        <f>VLOOKUP(A189,policy!B:C,2,0)</f>
        <v>040000180952</v>
      </c>
      <c r="C189" s="46">
        <v>14960</v>
      </c>
      <c r="D189" s="46">
        <v>14960</v>
      </c>
      <c r="E189" s="50" t="s">
        <v>3673</v>
      </c>
      <c r="F189" s="52" t="str">
        <f t="shared" si="6"/>
        <v>insert into ins_premium_det (premium_rcv_code,assorted_code, rec_amount,premium_rcv_detail_code,remaining_amt, payrec, mode_code,coinsurance_code,class_cd,it_remarks) values</v>
      </c>
      <c r="G189" s="53" t="str">
        <f t="shared" si="7"/>
        <v>('22Oct240201','040000180952','14960',(select max(to_number(i.premium_rcv_detail_code))+1
from ins_premium_det i),'14960','14960','02', '11000003','00','Request by Mr. Omair Ali 22-Oct-2024 allocation 22Oct240201');</v>
      </c>
      <c r="H189" s="54" t="str">
        <f t="shared" si="8"/>
        <v>insert into ins_premium_det (premium_rcv_code,assorted_code, rec_amount,premium_rcv_detail_code,remaining_amt, payrec, mode_code,coinsurance_code,class_cd,it_remarks) values('22Oct240201','040000180952','14960',(select max(to_number(i.premium_rcv_detail_code))+1
from ins_premium_det i),'14960','14960','02', '11000003','00','Request by Mr. Omair Ali 22-Oct-2024 allocation 22Oct240201');</v>
      </c>
    </row>
    <row r="190" spans="1:8" ht="105" x14ac:dyDescent="0.25">
      <c r="A190" t="s">
        <v>318</v>
      </c>
      <c r="B190" s="51" t="str">
        <f>VLOOKUP(A190,policy!B:C,2,0)</f>
        <v>040000180955</v>
      </c>
      <c r="C190" s="46">
        <v>8800</v>
      </c>
      <c r="D190" s="46">
        <v>8800</v>
      </c>
      <c r="E190" s="50" t="s">
        <v>3673</v>
      </c>
      <c r="F190" s="52" t="str">
        <f t="shared" si="6"/>
        <v>insert into ins_premium_det (premium_rcv_code,assorted_code, rec_amount,premium_rcv_detail_code,remaining_amt, payrec, mode_code,coinsurance_code,class_cd,it_remarks) values</v>
      </c>
      <c r="G190" s="53" t="str">
        <f t="shared" si="7"/>
        <v>('22Oct240201','040000180955','8800',(select max(to_number(i.premium_rcv_detail_code))+1
from ins_premium_det i),'8800','8800','02', '11000003','00','Request by Mr. Omair Ali 22-Oct-2024 allocation 22Oct240201');</v>
      </c>
      <c r="H190" s="54" t="str">
        <f t="shared" si="8"/>
        <v>insert into ins_premium_det (premium_rcv_code,assorted_code, rec_amount,premium_rcv_detail_code,remaining_amt, payrec, mode_code,coinsurance_code,class_cd,it_remarks) values('22Oct240201','040000180955','8800',(select max(to_number(i.premium_rcv_detail_code))+1
from ins_premium_det i),'8800','8800','02', '11000003','00','Request by Mr. Omair Ali 22-Oct-2024 allocation 22Oct240201');</v>
      </c>
    </row>
    <row r="191" spans="1:8" ht="105" x14ac:dyDescent="0.25">
      <c r="A191" t="s">
        <v>319</v>
      </c>
      <c r="B191" s="51" t="str">
        <f>VLOOKUP(A191,policy!B:C,2,0)</f>
        <v>040000180957</v>
      </c>
      <c r="C191" s="46">
        <v>12475</v>
      </c>
      <c r="D191" s="46">
        <v>12475</v>
      </c>
      <c r="E191" s="50" t="s">
        <v>3673</v>
      </c>
      <c r="F191" s="52" t="str">
        <f t="shared" si="6"/>
        <v>insert into ins_premium_det (premium_rcv_code,assorted_code, rec_amount,premium_rcv_detail_code,remaining_amt, payrec, mode_code,coinsurance_code,class_cd,it_remarks) values</v>
      </c>
      <c r="G191" s="53" t="str">
        <f t="shared" si="7"/>
        <v>('22Oct240201','040000180957','12475',(select max(to_number(i.premium_rcv_detail_code))+1
from ins_premium_det i),'12475','12475','02', '11000003','00','Request by Mr. Omair Ali 22-Oct-2024 allocation 22Oct240201');</v>
      </c>
      <c r="H191" s="54" t="str">
        <f t="shared" si="8"/>
        <v>insert into ins_premium_det (premium_rcv_code,assorted_code, rec_amount,premium_rcv_detail_code,remaining_amt, payrec, mode_code,coinsurance_code,class_cd,it_remarks) values('22Oct240201','040000180957','12475',(select max(to_number(i.premium_rcv_detail_code))+1
from ins_premium_det i),'12475','12475','02', '11000003','00','Request by Mr. Omair Ali 22-Oct-2024 allocation 22Oct240201');</v>
      </c>
    </row>
    <row r="192" spans="1:8" ht="105" x14ac:dyDescent="0.25">
      <c r="A192" t="s">
        <v>320</v>
      </c>
      <c r="B192" s="51" t="str">
        <f>VLOOKUP(A192,policy!B:C,2,0)</f>
        <v>040000180959</v>
      </c>
      <c r="C192" s="46">
        <v>8800</v>
      </c>
      <c r="D192" s="46">
        <v>8800</v>
      </c>
      <c r="E192" s="50" t="s">
        <v>3673</v>
      </c>
      <c r="F192" s="52" t="str">
        <f t="shared" si="6"/>
        <v>insert into ins_premium_det (premium_rcv_code,assorted_code, rec_amount,premium_rcv_detail_code,remaining_amt, payrec, mode_code,coinsurance_code,class_cd,it_remarks) values</v>
      </c>
      <c r="G192" s="53" t="str">
        <f t="shared" si="7"/>
        <v>('22Oct240201','040000180959','8800',(select max(to_number(i.premium_rcv_detail_code))+1
from ins_premium_det i),'8800','8800','02', '11000003','00','Request by Mr. Omair Ali 22-Oct-2024 allocation 22Oct240201');</v>
      </c>
      <c r="H192" s="54" t="str">
        <f t="shared" si="8"/>
        <v>insert into ins_premium_det (premium_rcv_code,assorted_code, rec_amount,premium_rcv_detail_code,remaining_amt, payrec, mode_code,coinsurance_code,class_cd,it_remarks) values('22Oct240201','040000180959','8800',(select max(to_number(i.premium_rcv_detail_code))+1
from ins_premium_det i),'8800','8800','02', '11000003','00','Request by Mr. Omair Ali 22-Oct-2024 allocation 22Oct240201');</v>
      </c>
    </row>
    <row r="193" spans="1:8" ht="105" x14ac:dyDescent="0.25">
      <c r="A193" t="s">
        <v>321</v>
      </c>
      <c r="B193" s="51" t="str">
        <f>VLOOKUP(A193,policy!B:C,2,0)</f>
        <v>040000180961</v>
      </c>
      <c r="C193" s="46">
        <v>23248</v>
      </c>
      <c r="D193" s="46">
        <v>23248</v>
      </c>
      <c r="E193" s="50" t="s">
        <v>3673</v>
      </c>
      <c r="F193" s="52" t="str">
        <f t="shared" si="6"/>
        <v>insert into ins_premium_det (premium_rcv_code,assorted_code, rec_amount,premium_rcv_detail_code,remaining_amt, payrec, mode_code,coinsurance_code,class_cd,it_remarks) values</v>
      </c>
      <c r="G193" s="53" t="str">
        <f t="shared" si="7"/>
        <v>('22Oct240201','040000180961','23248',(select max(to_number(i.premium_rcv_detail_code))+1
from ins_premium_det i),'23248','23248','02', '11000003','00','Request by Mr. Omair Ali 22-Oct-2024 allocation 22Oct240201');</v>
      </c>
      <c r="H193" s="54" t="str">
        <f t="shared" si="8"/>
        <v>insert into ins_premium_det (premium_rcv_code,assorted_code, rec_amount,premium_rcv_detail_code,remaining_amt, payrec, mode_code,coinsurance_code,class_cd,it_remarks) values('22Oct240201','040000180961','23248',(select max(to_number(i.premium_rcv_detail_code))+1
from ins_premium_det i),'23248','23248','02', '11000003','00','Request by Mr. Omair Ali 22-Oct-2024 allocation 22Oct240201');</v>
      </c>
    </row>
    <row r="194" spans="1:8" ht="105" x14ac:dyDescent="0.25">
      <c r="A194" t="s">
        <v>322</v>
      </c>
      <c r="B194" s="51" t="str">
        <f>VLOOKUP(A194,policy!B:C,2,0)</f>
        <v>040000180962</v>
      </c>
      <c r="C194" s="46">
        <v>23248</v>
      </c>
      <c r="D194" s="46">
        <v>23248</v>
      </c>
      <c r="E194" s="50" t="s">
        <v>3673</v>
      </c>
      <c r="F194" s="52" t="str">
        <f t="shared" ref="F194:F257" si="9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53" t="str">
        <f t="shared" si="7"/>
        <v>('22Oct240201','040000180962','23248',(select max(to_number(i.premium_rcv_detail_code))+1
from ins_premium_det i),'23248','23248','02', '11000003','00','Request by Mr. Omair Ali 22-Oct-2024 allocation 22Oct240201');</v>
      </c>
      <c r="H194" s="54" t="str">
        <f t="shared" si="8"/>
        <v>insert into ins_premium_det (premium_rcv_code,assorted_code, rec_amount,premium_rcv_detail_code,remaining_amt, payrec, mode_code,coinsurance_code,class_cd,it_remarks) values('22Oct240201','040000180962','23248',(select max(to_number(i.premium_rcv_detail_code))+1
from ins_premium_det i),'23248','23248','02', '11000003','00','Request by Mr. Omair Ali 22-Oct-2024 allocation 22Oct240201');</v>
      </c>
    </row>
    <row r="195" spans="1:8" ht="105" x14ac:dyDescent="0.25">
      <c r="A195" t="s">
        <v>323</v>
      </c>
      <c r="B195" s="51" t="str">
        <f>VLOOKUP(A195,policy!B:C,2,0)</f>
        <v>040000180967</v>
      </c>
      <c r="C195" s="46">
        <v>14960</v>
      </c>
      <c r="D195" s="46">
        <v>14960</v>
      </c>
      <c r="E195" s="50" t="s">
        <v>3673</v>
      </c>
      <c r="F195" s="52" t="str">
        <f t="shared" si="9"/>
        <v>insert into ins_premium_det (premium_rcv_code,assorted_code, rec_amount,premium_rcv_detail_code,remaining_amt, payrec, mode_code,coinsurance_code,class_cd,it_remarks) values</v>
      </c>
      <c r="G195" s="53" t="str">
        <f t="shared" ref="G195:G258" si="10">"('"&amp;E195&amp;"','"&amp;B195&amp;"','"&amp;D195&amp;"',(select max(to_number(i.premium_rcv_detail_code))+1
from ins_premium_det i),'"&amp;D195&amp;"','"&amp;D195&amp;"','02', '11000003','00','Request by Mr. Omair Ali 22-Oct-2024 allocation 22Oct240201');"</f>
        <v>('22Oct240201','040000180967','14960',(select max(to_number(i.premium_rcv_detail_code))+1
from ins_premium_det i),'14960','14960','02', '11000003','00','Request by Mr. Omair Ali 22-Oct-2024 allocation 22Oct240201');</v>
      </c>
      <c r="H195" s="54" t="str">
        <f t="shared" ref="H195:H258" si="11">F195&amp;G195</f>
        <v>insert into ins_premium_det (premium_rcv_code,assorted_code, rec_amount,premium_rcv_detail_code,remaining_amt, payrec, mode_code,coinsurance_code,class_cd,it_remarks) values('22Oct240201','040000180967','14960',(select max(to_number(i.premium_rcv_detail_code))+1
from ins_premium_det i),'14960','14960','02', '11000003','00','Request by Mr. Omair Ali 22-Oct-2024 allocation 22Oct240201');</v>
      </c>
    </row>
    <row r="196" spans="1:8" ht="105" x14ac:dyDescent="0.25">
      <c r="A196" t="s">
        <v>324</v>
      </c>
      <c r="B196" s="51" t="str">
        <f>VLOOKUP(A196,policy!B:C,2,0)</f>
        <v>040000180968</v>
      </c>
      <c r="C196" s="46">
        <v>14960</v>
      </c>
      <c r="D196" s="46">
        <v>14960</v>
      </c>
      <c r="E196" s="50" t="s">
        <v>3673</v>
      </c>
      <c r="F196" s="52" t="str">
        <f t="shared" si="9"/>
        <v>insert into ins_premium_det (premium_rcv_code,assorted_code, rec_amount,premium_rcv_detail_code,remaining_amt, payrec, mode_code,coinsurance_code,class_cd,it_remarks) values</v>
      </c>
      <c r="G196" s="53" t="str">
        <f t="shared" si="10"/>
        <v>('22Oct240201','040000180968','14960',(select max(to_number(i.premium_rcv_detail_code))+1
from ins_premium_det i),'14960','14960','02', '11000003','00','Request by Mr. Omair Ali 22-Oct-2024 allocation 22Oct240201');</v>
      </c>
      <c r="H196" s="54" t="str">
        <f t="shared" si="11"/>
        <v>insert into ins_premium_det (premium_rcv_code,assorted_code, rec_amount,premium_rcv_detail_code,remaining_amt, payrec, mode_code,coinsurance_code,class_cd,it_remarks) values('22Oct240201','040000180968','14960',(select max(to_number(i.premium_rcv_detail_code))+1
from ins_premium_det i),'14960','14960','02', '11000003','00','Request by Mr. Omair Ali 22-Oct-2024 allocation 22Oct240201');</v>
      </c>
    </row>
    <row r="197" spans="1:8" ht="105" x14ac:dyDescent="0.25">
      <c r="A197" t="s">
        <v>325</v>
      </c>
      <c r="B197" s="51" t="str">
        <f>VLOOKUP(A197,policy!B:C,2,0)</f>
        <v>040000180969</v>
      </c>
      <c r="C197" s="46">
        <v>14960</v>
      </c>
      <c r="D197" s="46">
        <v>14960</v>
      </c>
      <c r="E197" s="50" t="s">
        <v>3673</v>
      </c>
      <c r="F197" s="52" t="str">
        <f t="shared" si="9"/>
        <v>insert into ins_premium_det (premium_rcv_code,assorted_code, rec_amount,premium_rcv_detail_code,remaining_amt, payrec, mode_code,coinsurance_code,class_cd,it_remarks) values</v>
      </c>
      <c r="G197" s="53" t="str">
        <f t="shared" si="10"/>
        <v>('22Oct240201','040000180969','14960',(select max(to_number(i.premium_rcv_detail_code))+1
from ins_premium_det i),'14960','14960','02', '11000003','00','Request by Mr. Omair Ali 22-Oct-2024 allocation 22Oct240201');</v>
      </c>
      <c r="H197" s="54" t="str">
        <f t="shared" si="11"/>
        <v>insert into ins_premium_det (premium_rcv_code,assorted_code, rec_amount,premium_rcv_detail_code,remaining_amt, payrec, mode_code,coinsurance_code,class_cd,it_remarks) values('22Oct240201','040000180969','14960',(select max(to_number(i.premium_rcv_detail_code))+1
from ins_premium_det i),'14960','14960','02', '11000003','00','Request by Mr. Omair Ali 22-Oct-2024 allocation 22Oct240201');</v>
      </c>
    </row>
    <row r="198" spans="1:8" ht="105" x14ac:dyDescent="0.25">
      <c r="A198" t="s">
        <v>326</v>
      </c>
      <c r="B198" s="51" t="str">
        <f>VLOOKUP(A198,policy!B:C,2,0)</f>
        <v>040000180970</v>
      </c>
      <c r="C198" s="46">
        <v>8800</v>
      </c>
      <c r="D198" s="46">
        <v>8800</v>
      </c>
      <c r="E198" s="50" t="s">
        <v>3673</v>
      </c>
      <c r="F198" s="52" t="str">
        <f t="shared" si="9"/>
        <v>insert into ins_premium_det (premium_rcv_code,assorted_code, rec_amount,premium_rcv_detail_code,remaining_amt, payrec, mode_code,coinsurance_code,class_cd,it_remarks) values</v>
      </c>
      <c r="G198" s="53" t="str">
        <f t="shared" si="10"/>
        <v>('22Oct240201','040000180970','8800',(select max(to_number(i.premium_rcv_detail_code))+1
from ins_premium_det i),'8800','8800','02', '11000003','00','Request by Mr. Omair Ali 22-Oct-2024 allocation 22Oct240201');</v>
      </c>
      <c r="H198" s="54" t="str">
        <f t="shared" si="11"/>
        <v>insert into ins_premium_det (premium_rcv_code,assorted_code, rec_amount,premium_rcv_detail_code,remaining_amt, payrec, mode_code,coinsurance_code,class_cd,it_remarks) values('22Oct240201','040000180970','8800',(select max(to_number(i.premium_rcv_detail_code))+1
from ins_premium_det i),'8800','8800','02', '11000003','00','Request by Mr. Omair Ali 22-Oct-2024 allocation 22Oct240201');</v>
      </c>
    </row>
    <row r="199" spans="1:8" ht="105" x14ac:dyDescent="0.25">
      <c r="A199" t="s">
        <v>327</v>
      </c>
      <c r="B199" s="51" t="str">
        <f>VLOOKUP(A199,policy!B:C,2,0)</f>
        <v>040000180971</v>
      </c>
      <c r="C199" s="46">
        <v>8800</v>
      </c>
      <c r="D199" s="46">
        <v>8800</v>
      </c>
      <c r="E199" s="50" t="s">
        <v>3673</v>
      </c>
      <c r="F199" s="52" t="str">
        <f t="shared" si="9"/>
        <v>insert into ins_premium_det (premium_rcv_code,assorted_code, rec_amount,premium_rcv_detail_code,remaining_amt, payrec, mode_code,coinsurance_code,class_cd,it_remarks) values</v>
      </c>
      <c r="G199" s="53" t="str">
        <f t="shared" si="10"/>
        <v>('22Oct240201','040000180971','8800',(select max(to_number(i.premium_rcv_detail_code))+1
from ins_premium_det i),'8800','8800','02', '11000003','00','Request by Mr. Omair Ali 22-Oct-2024 allocation 22Oct240201');</v>
      </c>
      <c r="H199" s="54" t="str">
        <f t="shared" si="11"/>
        <v>insert into ins_premium_det (premium_rcv_code,assorted_code, rec_amount,premium_rcv_detail_code,remaining_amt, payrec, mode_code,coinsurance_code,class_cd,it_remarks) values('22Oct240201','040000180971','8800',(select max(to_number(i.premium_rcv_detail_code))+1
from ins_premium_det i),'8800','8800','02', '11000003','00','Request by Mr. Omair Ali 22-Oct-2024 allocation 22Oct240201');</v>
      </c>
    </row>
    <row r="200" spans="1:8" ht="105" x14ac:dyDescent="0.25">
      <c r="A200" t="s">
        <v>328</v>
      </c>
      <c r="B200" s="51" t="str">
        <f>VLOOKUP(A200,policy!B:C,2,0)</f>
        <v>040000180973</v>
      </c>
      <c r="C200" s="46">
        <v>16235</v>
      </c>
      <c r="D200" s="46">
        <v>16235</v>
      </c>
      <c r="E200" s="50" t="s">
        <v>3673</v>
      </c>
      <c r="F200" s="52" t="str">
        <f t="shared" si="9"/>
        <v>insert into ins_premium_det (premium_rcv_code,assorted_code, rec_amount,premium_rcv_detail_code,remaining_amt, payrec, mode_code,coinsurance_code,class_cd,it_remarks) values</v>
      </c>
      <c r="G200" s="53" t="str">
        <f t="shared" si="10"/>
        <v>('22Oct240201','040000180973','16235',(select max(to_number(i.premium_rcv_detail_code))+1
from ins_premium_det i),'16235','16235','02', '11000003','00','Request by Mr. Omair Ali 22-Oct-2024 allocation 22Oct240201');</v>
      </c>
      <c r="H200" s="54" t="str">
        <f t="shared" si="11"/>
        <v>insert into ins_premium_det (premium_rcv_code,assorted_code, rec_amount,premium_rcv_detail_code,remaining_amt, payrec, mode_code,coinsurance_code,class_cd,it_remarks) values('22Oct240201','040000180973','16235',(select max(to_number(i.premium_rcv_detail_code))+1
from ins_premium_det i),'16235','16235','02', '11000003','00','Request by Mr. Omair Ali 22-Oct-2024 allocation 22Oct240201');</v>
      </c>
    </row>
    <row r="201" spans="1:8" ht="105" x14ac:dyDescent="0.25">
      <c r="A201" t="s">
        <v>329</v>
      </c>
      <c r="B201" s="51" t="str">
        <f>VLOOKUP(A201,policy!B:C,2,0)</f>
        <v>040000180974</v>
      </c>
      <c r="C201" s="46">
        <v>16235</v>
      </c>
      <c r="D201" s="46">
        <v>16235</v>
      </c>
      <c r="E201" s="50" t="s">
        <v>3673</v>
      </c>
      <c r="F201" s="52" t="str">
        <f t="shared" si="9"/>
        <v>insert into ins_premium_det (premium_rcv_code,assorted_code, rec_amount,premium_rcv_detail_code,remaining_amt, payrec, mode_code,coinsurance_code,class_cd,it_remarks) values</v>
      </c>
      <c r="G201" s="53" t="str">
        <f t="shared" si="10"/>
        <v>('22Oct240201','040000180974','16235',(select max(to_number(i.premium_rcv_detail_code))+1
from ins_premium_det i),'16235','16235','02', '11000003','00','Request by Mr. Omair Ali 22-Oct-2024 allocation 22Oct240201');</v>
      </c>
      <c r="H201" s="54" t="str">
        <f t="shared" si="11"/>
        <v>insert into ins_premium_det (premium_rcv_code,assorted_code, rec_amount,premium_rcv_detail_code,remaining_amt, payrec, mode_code,coinsurance_code,class_cd,it_remarks) values('22Oct240201','040000180974','16235',(select max(to_number(i.premium_rcv_detail_code))+1
from ins_premium_det i),'16235','16235','02', '11000003','00','Request by Mr. Omair Ali 22-Oct-2024 allocation 22Oct240201');</v>
      </c>
    </row>
    <row r="202" spans="1:8" ht="105" x14ac:dyDescent="0.25">
      <c r="A202" t="s">
        <v>330</v>
      </c>
      <c r="B202" s="51" t="str">
        <f>VLOOKUP(A202,policy!B:C,2,0)</f>
        <v>040000180989</v>
      </c>
      <c r="C202" s="46">
        <v>14960</v>
      </c>
      <c r="D202" s="46">
        <v>14960</v>
      </c>
      <c r="E202" s="50" t="s">
        <v>3673</v>
      </c>
      <c r="F202" s="52" t="str">
        <f t="shared" si="9"/>
        <v>insert into ins_premium_det (premium_rcv_code,assorted_code, rec_amount,premium_rcv_detail_code,remaining_amt, payrec, mode_code,coinsurance_code,class_cd,it_remarks) values</v>
      </c>
      <c r="G202" s="53" t="str">
        <f t="shared" si="10"/>
        <v>('22Oct240201','040000180989','14960',(select max(to_number(i.premium_rcv_detail_code))+1
from ins_premium_det i),'14960','14960','02', '11000003','00','Request by Mr. Omair Ali 22-Oct-2024 allocation 22Oct240201');</v>
      </c>
      <c r="H202" s="54" t="str">
        <f t="shared" si="11"/>
        <v>insert into ins_premium_det (premium_rcv_code,assorted_code, rec_amount,premium_rcv_detail_code,remaining_amt, payrec, mode_code,coinsurance_code,class_cd,it_remarks) values('22Oct240201','040000180989','14960',(select max(to_number(i.premium_rcv_detail_code))+1
from ins_premium_det i),'14960','14960','02', '11000003','00','Request by Mr. Omair Ali 22-Oct-2024 allocation 22Oct240201');</v>
      </c>
    </row>
    <row r="203" spans="1:8" ht="105" x14ac:dyDescent="0.25">
      <c r="A203" t="s">
        <v>331</v>
      </c>
      <c r="B203" s="51" t="str">
        <f>VLOOKUP(A203,policy!B:C,2,0)</f>
        <v>040000180991</v>
      </c>
      <c r="C203" s="46">
        <v>8800</v>
      </c>
      <c r="D203" s="46">
        <v>8800</v>
      </c>
      <c r="E203" s="50" t="s">
        <v>3673</v>
      </c>
      <c r="F203" s="52" t="str">
        <f t="shared" si="9"/>
        <v>insert into ins_premium_det (premium_rcv_code,assorted_code, rec_amount,premium_rcv_detail_code,remaining_amt, payrec, mode_code,coinsurance_code,class_cd,it_remarks) values</v>
      </c>
      <c r="G203" s="53" t="str">
        <f t="shared" si="10"/>
        <v>('22Oct240201','040000180991','8800',(select max(to_number(i.premium_rcv_detail_code))+1
from ins_premium_det i),'8800','8800','02', '11000003','00','Request by Mr. Omair Ali 22-Oct-2024 allocation 22Oct240201');</v>
      </c>
      <c r="H203" s="54" t="str">
        <f t="shared" si="11"/>
        <v>insert into ins_premium_det (premium_rcv_code,assorted_code, rec_amount,premium_rcv_detail_code,remaining_amt, payrec, mode_code,coinsurance_code,class_cd,it_remarks) values('22Oct240201','040000180991','8800',(select max(to_number(i.premium_rcv_detail_code))+1
from ins_premium_det i),'8800','8800','02', '11000003','00','Request by Mr. Omair Ali 22-Oct-2024 allocation 22Oct240201');</v>
      </c>
    </row>
    <row r="204" spans="1:8" ht="105" x14ac:dyDescent="0.25">
      <c r="A204" t="s">
        <v>332</v>
      </c>
      <c r="B204" s="51" t="str">
        <f>VLOOKUP(A204,policy!B:C,2,0)</f>
        <v>040000180997</v>
      </c>
      <c r="C204" s="46">
        <v>13675</v>
      </c>
      <c r="D204" s="46">
        <v>13675</v>
      </c>
      <c r="E204" s="50" t="s">
        <v>3673</v>
      </c>
      <c r="F204" s="52" t="str">
        <f t="shared" si="9"/>
        <v>insert into ins_premium_det (premium_rcv_code,assorted_code, rec_amount,premium_rcv_detail_code,remaining_amt, payrec, mode_code,coinsurance_code,class_cd,it_remarks) values</v>
      </c>
      <c r="G204" s="53" t="str">
        <f t="shared" si="10"/>
        <v>('22Oct240201','040000180997','13675',(select max(to_number(i.premium_rcv_detail_code))+1
from ins_premium_det i),'13675','13675','02', '11000003','00','Request by Mr. Omair Ali 22-Oct-2024 allocation 22Oct240201');</v>
      </c>
      <c r="H204" s="54" t="str">
        <f t="shared" si="11"/>
        <v>insert into ins_premium_det (premium_rcv_code,assorted_code, rec_amount,premium_rcv_detail_code,remaining_amt, payrec, mode_code,coinsurance_code,class_cd,it_remarks) values('22Oct240201','040000180997','13675',(select max(to_number(i.premium_rcv_detail_code))+1
from ins_premium_det i),'13675','13675','02', '11000003','00','Request by Mr. Omair Ali 22-Oct-2024 allocation 22Oct240201');</v>
      </c>
    </row>
    <row r="205" spans="1:8" ht="105" x14ac:dyDescent="0.25">
      <c r="A205" t="s">
        <v>333</v>
      </c>
      <c r="B205" s="51" t="str">
        <f>VLOOKUP(A205,policy!B:C,2,0)</f>
        <v>040000180998</v>
      </c>
      <c r="C205" s="46">
        <v>14960</v>
      </c>
      <c r="D205" s="46">
        <v>14960</v>
      </c>
      <c r="E205" s="50" t="s">
        <v>3673</v>
      </c>
      <c r="F205" s="52" t="str">
        <f t="shared" si="9"/>
        <v>insert into ins_premium_det (premium_rcv_code,assorted_code, rec_amount,premium_rcv_detail_code,remaining_amt, payrec, mode_code,coinsurance_code,class_cd,it_remarks) values</v>
      </c>
      <c r="G205" s="53" t="str">
        <f t="shared" si="10"/>
        <v>('22Oct240201','040000180998','14960',(select max(to_number(i.premium_rcv_detail_code))+1
from ins_premium_det i),'14960','14960','02', '11000003','00','Request by Mr. Omair Ali 22-Oct-2024 allocation 22Oct240201');</v>
      </c>
      <c r="H205" s="54" t="str">
        <f t="shared" si="11"/>
        <v>insert into ins_premium_det (premium_rcv_code,assorted_code, rec_amount,premium_rcv_detail_code,remaining_amt, payrec, mode_code,coinsurance_code,class_cd,it_remarks) values('22Oct240201','040000180998','14960',(select max(to_number(i.premium_rcv_detail_code))+1
from ins_premium_det i),'14960','14960','02', '11000003','00','Request by Mr. Omair Ali 22-Oct-2024 allocation 22Oct240201');</v>
      </c>
    </row>
    <row r="206" spans="1:8" ht="105" x14ac:dyDescent="0.25">
      <c r="A206" t="s">
        <v>334</v>
      </c>
      <c r="B206" s="51" t="str">
        <f>VLOOKUP(A206,policy!B:C,2,0)</f>
        <v>040000180999</v>
      </c>
      <c r="C206" s="46">
        <v>8800</v>
      </c>
      <c r="D206" s="46">
        <v>8800</v>
      </c>
      <c r="E206" s="50" t="s">
        <v>3673</v>
      </c>
      <c r="F206" s="52" t="str">
        <f t="shared" si="9"/>
        <v>insert into ins_premium_det (premium_rcv_code,assorted_code, rec_amount,premium_rcv_detail_code,remaining_amt, payrec, mode_code,coinsurance_code,class_cd,it_remarks) values</v>
      </c>
      <c r="G206" s="53" t="str">
        <f t="shared" si="10"/>
        <v>('22Oct240201','040000180999','8800',(select max(to_number(i.premium_rcv_detail_code))+1
from ins_premium_det i),'8800','8800','02', '11000003','00','Request by Mr. Omair Ali 22-Oct-2024 allocation 22Oct240201');</v>
      </c>
      <c r="H206" s="54" t="str">
        <f t="shared" si="11"/>
        <v>insert into ins_premium_det (premium_rcv_code,assorted_code, rec_amount,premium_rcv_detail_code,remaining_amt, payrec, mode_code,coinsurance_code,class_cd,it_remarks) values('22Oct240201','040000180999','8800',(select max(to_number(i.premium_rcv_detail_code))+1
from ins_premium_det i),'8800','8800','02', '11000003','00','Request by Mr. Omair Ali 22-Oct-2024 allocation 22Oct240201');</v>
      </c>
    </row>
    <row r="207" spans="1:8" ht="105" x14ac:dyDescent="0.25">
      <c r="A207" t="s">
        <v>335</v>
      </c>
      <c r="B207" s="51" t="str">
        <f>VLOOKUP(A207,policy!B:C,2,0)</f>
        <v>040000181002</v>
      </c>
      <c r="C207" s="46">
        <v>8800</v>
      </c>
      <c r="D207" s="46">
        <v>8800</v>
      </c>
      <c r="E207" s="50" t="s">
        <v>3673</v>
      </c>
      <c r="F207" s="52" t="str">
        <f t="shared" si="9"/>
        <v>insert into ins_premium_det (premium_rcv_code,assorted_code, rec_amount,premium_rcv_detail_code,remaining_amt, payrec, mode_code,coinsurance_code,class_cd,it_remarks) values</v>
      </c>
      <c r="G207" s="53" t="str">
        <f t="shared" si="10"/>
        <v>('22Oct240201','040000181002','8800',(select max(to_number(i.premium_rcv_detail_code))+1
from ins_premium_det i),'8800','8800','02', '11000003','00','Request by Mr. Omair Ali 22-Oct-2024 allocation 22Oct240201');</v>
      </c>
      <c r="H207" s="54" t="str">
        <f t="shared" si="11"/>
        <v>insert into ins_premium_det (premium_rcv_code,assorted_code, rec_amount,premium_rcv_detail_code,remaining_amt, payrec, mode_code,coinsurance_code,class_cd,it_remarks) values('22Oct240201','040000181002','8800',(select max(to_number(i.premium_rcv_detail_code))+1
from ins_premium_det i),'8800','8800','02', '11000003','00','Request by Mr. Omair Ali 22-Oct-2024 allocation 22Oct240201');</v>
      </c>
    </row>
    <row r="208" spans="1:8" ht="105" x14ac:dyDescent="0.25">
      <c r="A208" t="s">
        <v>336</v>
      </c>
      <c r="B208" s="51" t="str">
        <f>VLOOKUP(A208,policy!B:C,2,0)</f>
        <v>040000181006</v>
      </c>
      <c r="C208" s="46">
        <v>12475</v>
      </c>
      <c r="D208" s="46">
        <v>12475</v>
      </c>
      <c r="E208" s="50" t="s">
        <v>3673</v>
      </c>
      <c r="F208" s="52" t="str">
        <f t="shared" si="9"/>
        <v>insert into ins_premium_det (premium_rcv_code,assorted_code, rec_amount,premium_rcv_detail_code,remaining_amt, payrec, mode_code,coinsurance_code,class_cd,it_remarks) values</v>
      </c>
      <c r="G208" s="53" t="str">
        <f t="shared" si="10"/>
        <v>('22Oct240201','040000181006','12475',(select max(to_number(i.premium_rcv_detail_code))+1
from ins_premium_det i),'12475','12475','02', '11000003','00','Request by Mr. Omair Ali 22-Oct-2024 allocation 22Oct240201');</v>
      </c>
      <c r="H208" s="54" t="str">
        <f t="shared" si="11"/>
        <v>insert into ins_premium_det (premium_rcv_code,assorted_code, rec_amount,premium_rcv_detail_code,remaining_amt, payrec, mode_code,coinsurance_code,class_cd,it_remarks) values('22Oct240201','040000181006','12475',(select max(to_number(i.premium_rcv_detail_code))+1
from ins_premium_det i),'12475','12475','02', '11000003','00','Request by Mr. Omair Ali 22-Oct-2024 allocation 22Oct240201');</v>
      </c>
    </row>
    <row r="209" spans="1:8" ht="105" x14ac:dyDescent="0.25">
      <c r="A209" t="s">
        <v>337</v>
      </c>
      <c r="B209" s="51" t="str">
        <f>VLOOKUP(A209,policy!B:C,2,0)</f>
        <v>040000181014</v>
      </c>
      <c r="C209" s="46">
        <v>14960</v>
      </c>
      <c r="D209" s="46">
        <v>14960</v>
      </c>
      <c r="E209" s="50" t="s">
        <v>3673</v>
      </c>
      <c r="F209" s="52" t="str">
        <f t="shared" si="9"/>
        <v>insert into ins_premium_det (premium_rcv_code,assorted_code, rec_amount,premium_rcv_detail_code,remaining_amt, payrec, mode_code,coinsurance_code,class_cd,it_remarks) values</v>
      </c>
      <c r="G209" s="53" t="str">
        <f t="shared" si="10"/>
        <v>('22Oct240201','040000181014','14960',(select max(to_number(i.premium_rcv_detail_code))+1
from ins_premium_det i),'14960','14960','02', '11000003','00','Request by Mr. Omair Ali 22-Oct-2024 allocation 22Oct240201');</v>
      </c>
      <c r="H209" s="54" t="str">
        <f t="shared" si="11"/>
        <v>insert into ins_premium_det (premium_rcv_code,assorted_code, rec_amount,premium_rcv_detail_code,remaining_amt, payrec, mode_code,coinsurance_code,class_cd,it_remarks) values('22Oct240201','040000181014','14960',(select max(to_number(i.premium_rcv_detail_code))+1
from ins_premium_det i),'14960','14960','02', '11000003','00','Request by Mr. Omair Ali 22-Oct-2024 allocation 22Oct240201');</v>
      </c>
    </row>
    <row r="210" spans="1:8" ht="105" x14ac:dyDescent="0.25">
      <c r="A210" t="s">
        <v>338</v>
      </c>
      <c r="B210" s="51" t="str">
        <f>VLOOKUP(A210,policy!B:C,2,0)</f>
        <v>040000181015</v>
      </c>
      <c r="C210" s="46">
        <v>14960</v>
      </c>
      <c r="D210" s="46">
        <v>14960</v>
      </c>
      <c r="E210" s="50" t="s">
        <v>3673</v>
      </c>
      <c r="F210" s="52" t="str">
        <f t="shared" si="9"/>
        <v>insert into ins_premium_det (premium_rcv_code,assorted_code, rec_amount,premium_rcv_detail_code,remaining_amt, payrec, mode_code,coinsurance_code,class_cd,it_remarks) values</v>
      </c>
      <c r="G210" s="53" t="str">
        <f t="shared" si="10"/>
        <v>('22Oct240201','040000181015','14960',(select max(to_number(i.premium_rcv_detail_code))+1
from ins_premium_det i),'14960','14960','02', '11000003','00','Request by Mr. Omair Ali 22-Oct-2024 allocation 22Oct240201');</v>
      </c>
      <c r="H210" s="54" t="str">
        <f t="shared" si="11"/>
        <v>insert into ins_premium_det (premium_rcv_code,assorted_code, rec_amount,premium_rcv_detail_code,remaining_amt, payrec, mode_code,coinsurance_code,class_cd,it_remarks) values('22Oct240201','040000181015','14960',(select max(to_number(i.premium_rcv_detail_code))+1
from ins_premium_det i),'14960','14960','02', '11000003','00','Request by Mr. Omair Ali 22-Oct-2024 allocation 22Oct240201');</v>
      </c>
    </row>
    <row r="211" spans="1:8" ht="105" x14ac:dyDescent="0.25">
      <c r="A211" t="s">
        <v>339</v>
      </c>
      <c r="B211" s="51" t="str">
        <f>VLOOKUP(A211,policy!B:C,2,0)</f>
        <v>040000181028</v>
      </c>
      <c r="C211" s="46">
        <v>12475</v>
      </c>
      <c r="D211" s="46">
        <v>12475</v>
      </c>
      <c r="E211" s="50" t="s">
        <v>3673</v>
      </c>
      <c r="F211" s="52" t="str">
        <f t="shared" si="9"/>
        <v>insert into ins_premium_det (premium_rcv_code,assorted_code, rec_amount,premium_rcv_detail_code,remaining_amt, payrec, mode_code,coinsurance_code,class_cd,it_remarks) values</v>
      </c>
      <c r="G211" s="53" t="str">
        <f t="shared" si="10"/>
        <v>('22Oct240201','040000181028','12475',(select max(to_number(i.premium_rcv_detail_code))+1
from ins_premium_det i),'12475','12475','02', '11000003','00','Request by Mr. Omair Ali 22-Oct-2024 allocation 22Oct240201');</v>
      </c>
      <c r="H211" s="54" t="str">
        <f t="shared" si="11"/>
        <v>insert into ins_premium_det (premium_rcv_code,assorted_code, rec_amount,premium_rcv_detail_code,remaining_amt, payrec, mode_code,coinsurance_code,class_cd,it_remarks) values('22Oct240201','040000181028','12475',(select max(to_number(i.premium_rcv_detail_code))+1
from ins_premium_det i),'12475','12475','02', '11000003','00','Request by Mr. Omair Ali 22-Oct-2024 allocation 22Oct240201');</v>
      </c>
    </row>
    <row r="212" spans="1:8" ht="105" x14ac:dyDescent="0.25">
      <c r="A212" t="s">
        <v>340</v>
      </c>
      <c r="B212" s="51" t="str">
        <f>VLOOKUP(A212,policy!B:C,2,0)</f>
        <v>040000181029</v>
      </c>
      <c r="C212" s="46">
        <v>8800</v>
      </c>
      <c r="D212" s="46">
        <v>8800</v>
      </c>
      <c r="E212" s="50" t="s">
        <v>3673</v>
      </c>
      <c r="F212" s="52" t="str">
        <f t="shared" si="9"/>
        <v>insert into ins_premium_det (premium_rcv_code,assorted_code, rec_amount,premium_rcv_detail_code,remaining_amt, payrec, mode_code,coinsurance_code,class_cd,it_remarks) values</v>
      </c>
      <c r="G212" s="53" t="str">
        <f t="shared" si="10"/>
        <v>('22Oct240201','040000181029','8800',(select max(to_number(i.premium_rcv_detail_code))+1
from ins_premium_det i),'8800','8800','02', '11000003','00','Request by Mr. Omair Ali 22-Oct-2024 allocation 22Oct240201');</v>
      </c>
      <c r="H212" s="54" t="str">
        <f t="shared" si="11"/>
        <v>insert into ins_premium_det (premium_rcv_code,assorted_code, rec_amount,premium_rcv_detail_code,remaining_amt, payrec, mode_code,coinsurance_code,class_cd,it_remarks) values('22Oct240201','040000181029','8800',(select max(to_number(i.premium_rcv_detail_code))+1
from ins_premium_det i),'8800','8800','02', '11000003','00','Request by Mr. Omair Ali 22-Oct-2024 allocation 22Oct240201');</v>
      </c>
    </row>
    <row r="213" spans="1:8" ht="105" x14ac:dyDescent="0.25">
      <c r="A213" t="s">
        <v>341</v>
      </c>
      <c r="B213" s="51" t="str">
        <f>VLOOKUP(A213,policy!B:C,2,0)</f>
        <v>040000181030</v>
      </c>
      <c r="C213" s="46">
        <v>8800</v>
      </c>
      <c r="D213" s="46">
        <v>8800</v>
      </c>
      <c r="E213" s="50" t="s">
        <v>3673</v>
      </c>
      <c r="F213" s="52" t="str">
        <f t="shared" si="9"/>
        <v>insert into ins_premium_det (premium_rcv_code,assorted_code, rec_amount,premium_rcv_detail_code,remaining_amt, payrec, mode_code,coinsurance_code,class_cd,it_remarks) values</v>
      </c>
      <c r="G213" s="53" t="str">
        <f t="shared" si="10"/>
        <v>('22Oct240201','040000181030','8800',(select max(to_number(i.premium_rcv_detail_code))+1
from ins_premium_det i),'8800','8800','02', '11000003','00','Request by Mr. Omair Ali 22-Oct-2024 allocation 22Oct240201');</v>
      </c>
      <c r="H213" s="54" t="str">
        <f t="shared" si="11"/>
        <v>insert into ins_premium_det (premium_rcv_code,assorted_code, rec_amount,premium_rcv_detail_code,remaining_amt, payrec, mode_code,coinsurance_code,class_cd,it_remarks) values('22Oct240201','040000181030','8800',(select max(to_number(i.premium_rcv_detail_code))+1
from ins_premium_det i),'8800','8800','02', '11000003','00','Request by Mr. Omair Ali 22-Oct-2024 allocation 22Oct240201');</v>
      </c>
    </row>
    <row r="214" spans="1:8" ht="105" x14ac:dyDescent="0.25">
      <c r="A214" t="s">
        <v>342</v>
      </c>
      <c r="B214" s="51" t="str">
        <f>VLOOKUP(A214,policy!B:C,2,0)</f>
        <v>040000181031</v>
      </c>
      <c r="C214" s="46">
        <v>8800</v>
      </c>
      <c r="D214" s="46">
        <v>8800</v>
      </c>
      <c r="E214" s="50" t="s">
        <v>3673</v>
      </c>
      <c r="F214" s="52" t="str">
        <f t="shared" si="9"/>
        <v>insert into ins_premium_det (premium_rcv_code,assorted_code, rec_amount,premium_rcv_detail_code,remaining_amt, payrec, mode_code,coinsurance_code,class_cd,it_remarks) values</v>
      </c>
      <c r="G214" s="53" t="str">
        <f t="shared" si="10"/>
        <v>('22Oct240201','040000181031','8800',(select max(to_number(i.premium_rcv_detail_code))+1
from ins_premium_det i),'8800','8800','02', '11000003','00','Request by Mr. Omair Ali 22-Oct-2024 allocation 22Oct240201');</v>
      </c>
      <c r="H214" s="54" t="str">
        <f t="shared" si="11"/>
        <v>insert into ins_premium_det (premium_rcv_code,assorted_code, rec_amount,premium_rcv_detail_code,remaining_amt, payrec, mode_code,coinsurance_code,class_cd,it_remarks) values('22Oct240201','040000181031','8800',(select max(to_number(i.premium_rcv_detail_code))+1
from ins_premium_det i),'8800','8800','02', '11000003','00','Request by Mr. Omair Ali 22-Oct-2024 allocation 22Oct240201');</v>
      </c>
    </row>
    <row r="215" spans="1:8" ht="105" x14ac:dyDescent="0.25">
      <c r="A215" t="s">
        <v>343</v>
      </c>
      <c r="B215" s="51" t="str">
        <f>VLOOKUP(A215,policy!B:C,2,0)</f>
        <v>040000181032</v>
      </c>
      <c r="C215" s="46">
        <v>13675</v>
      </c>
      <c r="D215" s="46">
        <v>13675</v>
      </c>
      <c r="E215" s="50" t="s">
        <v>3673</v>
      </c>
      <c r="F215" s="52" t="str">
        <f t="shared" si="9"/>
        <v>insert into ins_premium_det (premium_rcv_code,assorted_code, rec_amount,premium_rcv_detail_code,remaining_amt, payrec, mode_code,coinsurance_code,class_cd,it_remarks) values</v>
      </c>
      <c r="G215" s="53" t="str">
        <f t="shared" si="10"/>
        <v>('22Oct240201','040000181032','13675',(select max(to_number(i.premium_rcv_detail_code))+1
from ins_premium_det i),'13675','13675','02', '11000003','00','Request by Mr. Omair Ali 22-Oct-2024 allocation 22Oct240201');</v>
      </c>
      <c r="H215" s="54" t="str">
        <f t="shared" si="11"/>
        <v>insert into ins_premium_det (premium_rcv_code,assorted_code, rec_amount,premium_rcv_detail_code,remaining_amt, payrec, mode_code,coinsurance_code,class_cd,it_remarks) values('22Oct240201','040000181032','13675',(select max(to_number(i.premium_rcv_detail_code))+1
from ins_premium_det i),'13675','13675','02', '11000003','00','Request by Mr. Omair Ali 22-Oct-2024 allocation 22Oct240201');</v>
      </c>
    </row>
    <row r="216" spans="1:8" ht="105" x14ac:dyDescent="0.25">
      <c r="A216" t="s">
        <v>344</v>
      </c>
      <c r="B216" s="51" t="str">
        <f>VLOOKUP(A216,policy!B:C,2,0)</f>
        <v>040000181048</v>
      </c>
      <c r="C216" s="46">
        <v>14960</v>
      </c>
      <c r="D216" s="46">
        <v>14960</v>
      </c>
      <c r="E216" s="50" t="s">
        <v>3673</v>
      </c>
      <c r="F216" s="52" t="str">
        <f t="shared" si="9"/>
        <v>insert into ins_premium_det (premium_rcv_code,assorted_code, rec_amount,premium_rcv_detail_code,remaining_amt, payrec, mode_code,coinsurance_code,class_cd,it_remarks) values</v>
      </c>
      <c r="G216" s="53" t="str">
        <f t="shared" si="10"/>
        <v>('22Oct240201','040000181048','14960',(select max(to_number(i.premium_rcv_detail_code))+1
from ins_premium_det i),'14960','14960','02', '11000003','00','Request by Mr. Omair Ali 22-Oct-2024 allocation 22Oct240201');</v>
      </c>
      <c r="H216" s="54" t="str">
        <f t="shared" si="11"/>
        <v>insert into ins_premium_det (premium_rcv_code,assorted_code, rec_amount,premium_rcv_detail_code,remaining_amt, payrec, mode_code,coinsurance_code,class_cd,it_remarks) values('22Oct240201','040000181048','14960',(select max(to_number(i.premium_rcv_detail_code))+1
from ins_premium_det i),'14960','14960','02', '11000003','00','Request by Mr. Omair Ali 22-Oct-2024 allocation 22Oct240201');</v>
      </c>
    </row>
    <row r="217" spans="1:8" ht="105" x14ac:dyDescent="0.25">
      <c r="A217" t="s">
        <v>345</v>
      </c>
      <c r="B217" s="51" t="str">
        <f>VLOOKUP(A217,policy!B:C,2,0)</f>
        <v>040000181049</v>
      </c>
      <c r="C217" s="46">
        <v>8800</v>
      </c>
      <c r="D217" s="46">
        <v>8800</v>
      </c>
      <c r="E217" s="50" t="s">
        <v>3673</v>
      </c>
      <c r="F217" s="52" t="str">
        <f t="shared" si="9"/>
        <v>insert into ins_premium_det (premium_rcv_code,assorted_code, rec_amount,premium_rcv_detail_code,remaining_amt, payrec, mode_code,coinsurance_code,class_cd,it_remarks) values</v>
      </c>
      <c r="G217" s="53" t="str">
        <f t="shared" si="10"/>
        <v>('22Oct240201','040000181049','8800',(select max(to_number(i.premium_rcv_detail_code))+1
from ins_premium_det i),'8800','8800','02', '11000003','00','Request by Mr. Omair Ali 22-Oct-2024 allocation 22Oct240201');</v>
      </c>
      <c r="H217" s="54" t="str">
        <f t="shared" si="11"/>
        <v>insert into ins_premium_det (premium_rcv_code,assorted_code, rec_amount,premium_rcv_detail_code,remaining_amt, payrec, mode_code,coinsurance_code,class_cd,it_remarks) values('22Oct240201','040000181049','8800',(select max(to_number(i.premium_rcv_detail_code))+1
from ins_premium_det i),'8800','8800','02', '11000003','00','Request by Mr. Omair Ali 22-Oct-2024 allocation 22Oct240201');</v>
      </c>
    </row>
    <row r="218" spans="1:8" ht="105" x14ac:dyDescent="0.25">
      <c r="A218" t="s">
        <v>346</v>
      </c>
      <c r="B218" s="51" t="str">
        <f>VLOOKUP(A218,policy!B:C,2,0)</f>
        <v>040000181050</v>
      </c>
      <c r="C218" s="46">
        <v>14960</v>
      </c>
      <c r="D218" s="46">
        <v>14960</v>
      </c>
      <c r="E218" s="50" t="s">
        <v>3673</v>
      </c>
      <c r="F218" s="52" t="str">
        <f t="shared" si="9"/>
        <v>insert into ins_premium_det (premium_rcv_code,assorted_code, rec_amount,premium_rcv_detail_code,remaining_amt, payrec, mode_code,coinsurance_code,class_cd,it_remarks) values</v>
      </c>
      <c r="G218" s="53" t="str">
        <f t="shared" si="10"/>
        <v>('22Oct240201','040000181050','14960',(select max(to_number(i.premium_rcv_detail_code))+1
from ins_premium_det i),'14960','14960','02', '11000003','00','Request by Mr. Omair Ali 22-Oct-2024 allocation 22Oct240201');</v>
      </c>
      <c r="H218" s="54" t="str">
        <f t="shared" si="11"/>
        <v>insert into ins_premium_det (premium_rcv_code,assorted_code, rec_amount,premium_rcv_detail_code,remaining_amt, payrec, mode_code,coinsurance_code,class_cd,it_remarks) values('22Oct240201','040000181050','14960',(select max(to_number(i.premium_rcv_detail_code))+1
from ins_premium_det i),'14960','14960','02', '11000003','00','Request by Mr. Omair Ali 22-Oct-2024 allocation 22Oct240201');</v>
      </c>
    </row>
    <row r="219" spans="1:8" ht="105" x14ac:dyDescent="0.25">
      <c r="A219" t="s">
        <v>347</v>
      </c>
      <c r="B219" s="51" t="str">
        <f>VLOOKUP(A219,policy!B:C,2,0)</f>
        <v>040000181055</v>
      </c>
      <c r="C219" s="46">
        <v>23248</v>
      </c>
      <c r="D219" s="46">
        <v>23248</v>
      </c>
      <c r="E219" s="50" t="s">
        <v>3673</v>
      </c>
      <c r="F219" s="52" t="str">
        <f t="shared" si="9"/>
        <v>insert into ins_premium_det (premium_rcv_code,assorted_code, rec_amount,premium_rcv_detail_code,remaining_amt, payrec, mode_code,coinsurance_code,class_cd,it_remarks) values</v>
      </c>
      <c r="G219" s="53" t="str">
        <f t="shared" si="10"/>
        <v>('22Oct240201','040000181055','23248',(select max(to_number(i.premium_rcv_detail_code))+1
from ins_premium_det i),'23248','23248','02', '11000003','00','Request by Mr. Omair Ali 22-Oct-2024 allocation 22Oct240201');</v>
      </c>
      <c r="H219" s="54" t="str">
        <f t="shared" si="11"/>
        <v>insert into ins_premium_det (premium_rcv_code,assorted_code, rec_amount,premium_rcv_detail_code,remaining_amt, payrec, mode_code,coinsurance_code,class_cd,it_remarks) values('22Oct240201','040000181055','23248',(select max(to_number(i.premium_rcv_detail_code))+1
from ins_premium_det i),'23248','23248','02', '11000003','00','Request by Mr. Omair Ali 22-Oct-2024 allocation 22Oct240201');</v>
      </c>
    </row>
    <row r="220" spans="1:8" ht="105" x14ac:dyDescent="0.25">
      <c r="A220" t="s">
        <v>348</v>
      </c>
      <c r="B220" s="51" t="str">
        <f>VLOOKUP(A220,policy!B:C,2,0)</f>
        <v>040000181058</v>
      </c>
      <c r="C220" s="46">
        <v>14960</v>
      </c>
      <c r="D220" s="46">
        <v>14960</v>
      </c>
      <c r="E220" s="50" t="s">
        <v>3673</v>
      </c>
      <c r="F220" s="52" t="str">
        <f t="shared" si="9"/>
        <v>insert into ins_premium_det (premium_rcv_code,assorted_code, rec_amount,premium_rcv_detail_code,remaining_amt, payrec, mode_code,coinsurance_code,class_cd,it_remarks) values</v>
      </c>
      <c r="G220" s="53" t="str">
        <f t="shared" si="10"/>
        <v>('22Oct240201','040000181058','14960',(select max(to_number(i.premium_rcv_detail_code))+1
from ins_premium_det i),'14960','14960','02', '11000003','00','Request by Mr. Omair Ali 22-Oct-2024 allocation 22Oct240201');</v>
      </c>
      <c r="H220" s="54" t="str">
        <f t="shared" si="11"/>
        <v>insert into ins_premium_det (premium_rcv_code,assorted_code, rec_amount,premium_rcv_detail_code,remaining_amt, payrec, mode_code,coinsurance_code,class_cd,it_remarks) values('22Oct240201','040000181058','14960',(select max(to_number(i.premium_rcv_detail_code))+1
from ins_premium_det i),'14960','14960','02', '11000003','00','Request by Mr. Omair Ali 22-Oct-2024 allocation 22Oct240201');</v>
      </c>
    </row>
    <row r="221" spans="1:8" ht="105" x14ac:dyDescent="0.25">
      <c r="A221" t="s">
        <v>349</v>
      </c>
      <c r="B221" s="51" t="str">
        <f>VLOOKUP(A221,policy!B:C,2,0)</f>
        <v>040000181059</v>
      </c>
      <c r="C221" s="46">
        <v>14960</v>
      </c>
      <c r="D221" s="46">
        <v>14960</v>
      </c>
      <c r="E221" s="50" t="s">
        <v>3673</v>
      </c>
      <c r="F221" s="52" t="str">
        <f t="shared" si="9"/>
        <v>insert into ins_premium_det (premium_rcv_code,assorted_code, rec_amount,premium_rcv_detail_code,remaining_amt, payrec, mode_code,coinsurance_code,class_cd,it_remarks) values</v>
      </c>
      <c r="G221" s="53" t="str">
        <f t="shared" si="10"/>
        <v>('22Oct240201','040000181059','14960',(select max(to_number(i.premium_rcv_detail_code))+1
from ins_premium_det i),'14960','14960','02', '11000003','00','Request by Mr. Omair Ali 22-Oct-2024 allocation 22Oct240201');</v>
      </c>
      <c r="H221" s="54" t="str">
        <f t="shared" si="11"/>
        <v>insert into ins_premium_det (premium_rcv_code,assorted_code, rec_amount,premium_rcv_detail_code,remaining_amt, payrec, mode_code,coinsurance_code,class_cd,it_remarks) values('22Oct240201','040000181059','14960',(select max(to_number(i.premium_rcv_detail_code))+1
from ins_premium_det i),'14960','14960','02', '11000003','00','Request by Mr. Omair Ali 22-Oct-2024 allocation 22Oct240201');</v>
      </c>
    </row>
    <row r="222" spans="1:8" ht="105" x14ac:dyDescent="0.25">
      <c r="A222" t="s">
        <v>350</v>
      </c>
      <c r="B222" s="51" t="str">
        <f>VLOOKUP(A222,policy!B:C,2,0)</f>
        <v>040000181062</v>
      </c>
      <c r="C222" s="46">
        <v>14960</v>
      </c>
      <c r="D222" s="46">
        <v>14960</v>
      </c>
      <c r="E222" s="50" t="s">
        <v>3673</v>
      </c>
      <c r="F222" s="52" t="str">
        <f t="shared" si="9"/>
        <v>insert into ins_premium_det (premium_rcv_code,assorted_code, rec_amount,premium_rcv_detail_code,remaining_amt, payrec, mode_code,coinsurance_code,class_cd,it_remarks) values</v>
      </c>
      <c r="G222" s="53" t="str">
        <f t="shared" si="10"/>
        <v>('22Oct240201','040000181062','14960',(select max(to_number(i.premium_rcv_detail_code))+1
from ins_premium_det i),'14960','14960','02', '11000003','00','Request by Mr. Omair Ali 22-Oct-2024 allocation 22Oct240201');</v>
      </c>
      <c r="H222" s="54" t="str">
        <f t="shared" si="11"/>
        <v>insert into ins_premium_det (premium_rcv_code,assorted_code, rec_amount,premium_rcv_detail_code,remaining_amt, payrec, mode_code,coinsurance_code,class_cd,it_remarks) values('22Oct240201','040000181062','14960',(select max(to_number(i.premium_rcv_detail_code))+1
from ins_premium_det i),'14960','14960','02', '11000003','00','Request by Mr. Omair Ali 22-Oct-2024 allocation 22Oct240201');</v>
      </c>
    </row>
    <row r="223" spans="1:8" ht="105" x14ac:dyDescent="0.25">
      <c r="A223" t="s">
        <v>351</v>
      </c>
      <c r="B223" s="51" t="str">
        <f>VLOOKUP(A223,policy!B:C,2,0)</f>
        <v>040000181063</v>
      </c>
      <c r="C223" s="46">
        <v>14960</v>
      </c>
      <c r="D223" s="46">
        <v>14960</v>
      </c>
      <c r="E223" s="50" t="s">
        <v>3673</v>
      </c>
      <c r="F223" s="52" t="str">
        <f t="shared" si="9"/>
        <v>insert into ins_premium_det (premium_rcv_code,assorted_code, rec_amount,premium_rcv_detail_code,remaining_amt, payrec, mode_code,coinsurance_code,class_cd,it_remarks) values</v>
      </c>
      <c r="G223" s="53" t="str">
        <f t="shared" si="10"/>
        <v>('22Oct240201','040000181063','14960',(select max(to_number(i.premium_rcv_detail_code))+1
from ins_premium_det i),'14960','14960','02', '11000003','00','Request by Mr. Omair Ali 22-Oct-2024 allocation 22Oct240201');</v>
      </c>
      <c r="H223" s="54" t="str">
        <f t="shared" si="11"/>
        <v>insert into ins_premium_det (premium_rcv_code,assorted_code, rec_amount,premium_rcv_detail_code,remaining_amt, payrec, mode_code,coinsurance_code,class_cd,it_remarks) values('22Oct240201','040000181063','14960',(select max(to_number(i.premium_rcv_detail_code))+1
from ins_premium_det i),'14960','14960','02', '11000003','00','Request by Mr. Omair Ali 22-Oct-2024 allocation 22Oct240201');</v>
      </c>
    </row>
    <row r="224" spans="1:8" ht="105" x14ac:dyDescent="0.25">
      <c r="A224" t="s">
        <v>352</v>
      </c>
      <c r="B224" s="51" t="str">
        <f>VLOOKUP(A224,policy!B:C,2,0)</f>
        <v>040000181065</v>
      </c>
      <c r="C224" s="46">
        <v>9550</v>
      </c>
      <c r="D224" s="46">
        <v>9550</v>
      </c>
      <c r="E224" s="50" t="s">
        <v>3673</v>
      </c>
      <c r="F224" s="52" t="str">
        <f t="shared" si="9"/>
        <v>insert into ins_premium_det (premium_rcv_code,assorted_code, rec_amount,premium_rcv_detail_code,remaining_amt, payrec, mode_code,coinsurance_code,class_cd,it_remarks) values</v>
      </c>
      <c r="G224" s="53" t="str">
        <f t="shared" si="10"/>
        <v>('22Oct240201','040000181065','9550',(select max(to_number(i.premium_rcv_detail_code))+1
from ins_premium_det i),'9550','9550','02', '11000003','00','Request by Mr. Omair Ali 22-Oct-2024 allocation 22Oct240201');</v>
      </c>
      <c r="H224" s="54" t="str">
        <f t="shared" si="11"/>
        <v>insert into ins_premium_det (premium_rcv_code,assorted_code, rec_amount,premium_rcv_detail_code,remaining_amt, payrec, mode_code,coinsurance_code,class_cd,it_remarks) values('22Oct240201','040000181065','9550',(select max(to_number(i.premium_rcv_detail_code))+1
from ins_premium_det i),'9550','9550','02', '11000003','00','Request by Mr. Omair Ali 22-Oct-2024 allocation 22Oct240201');</v>
      </c>
    </row>
    <row r="225" spans="1:8" ht="105" x14ac:dyDescent="0.25">
      <c r="A225" t="s">
        <v>353</v>
      </c>
      <c r="B225" s="51" t="str">
        <f>VLOOKUP(A225,policy!B:C,2,0)</f>
        <v>040000181069</v>
      </c>
      <c r="C225" s="46">
        <v>8800</v>
      </c>
      <c r="D225" s="46">
        <v>8800</v>
      </c>
      <c r="E225" s="50" t="s">
        <v>3673</v>
      </c>
      <c r="F225" s="52" t="str">
        <f t="shared" si="9"/>
        <v>insert into ins_premium_det (premium_rcv_code,assorted_code, rec_amount,premium_rcv_detail_code,remaining_amt, payrec, mode_code,coinsurance_code,class_cd,it_remarks) values</v>
      </c>
      <c r="G225" s="53" t="str">
        <f t="shared" si="10"/>
        <v>('22Oct240201','040000181069','8800',(select max(to_number(i.premium_rcv_detail_code))+1
from ins_premium_det i),'8800','8800','02', '11000003','00','Request by Mr. Omair Ali 22-Oct-2024 allocation 22Oct240201');</v>
      </c>
      <c r="H225" s="54" t="str">
        <f t="shared" si="11"/>
        <v>insert into ins_premium_det (premium_rcv_code,assorted_code, rec_amount,premium_rcv_detail_code,remaining_amt, payrec, mode_code,coinsurance_code,class_cd,it_remarks) values('22Oct240201','040000181069','8800',(select max(to_number(i.premium_rcv_detail_code))+1
from ins_premium_det i),'8800','8800','02', '11000003','00','Request by Mr. Omair Ali 22-Oct-2024 allocation 22Oct240201');</v>
      </c>
    </row>
    <row r="226" spans="1:8" ht="105" x14ac:dyDescent="0.25">
      <c r="A226" t="s">
        <v>354</v>
      </c>
      <c r="B226" s="51" t="str">
        <f>VLOOKUP(A226,policy!B:C,2,0)</f>
        <v>040000181075</v>
      </c>
      <c r="C226" s="46">
        <v>12475</v>
      </c>
      <c r="D226" s="46">
        <v>12475</v>
      </c>
      <c r="E226" s="50" t="s">
        <v>3673</v>
      </c>
      <c r="F226" s="52" t="str">
        <f t="shared" si="9"/>
        <v>insert into ins_premium_det (premium_rcv_code,assorted_code, rec_amount,premium_rcv_detail_code,remaining_amt, payrec, mode_code,coinsurance_code,class_cd,it_remarks) values</v>
      </c>
      <c r="G226" s="53" t="str">
        <f t="shared" si="10"/>
        <v>('22Oct240201','040000181075','12475',(select max(to_number(i.premium_rcv_detail_code))+1
from ins_premium_det i),'12475','12475','02', '11000003','00','Request by Mr. Omair Ali 22-Oct-2024 allocation 22Oct240201');</v>
      </c>
      <c r="H226" s="54" t="str">
        <f t="shared" si="11"/>
        <v>insert into ins_premium_det (premium_rcv_code,assorted_code, rec_amount,premium_rcv_detail_code,remaining_amt, payrec, mode_code,coinsurance_code,class_cd,it_remarks) values('22Oct240201','040000181075','12475',(select max(to_number(i.premium_rcv_detail_code))+1
from ins_premium_det i),'12475','12475','02', '11000003','00','Request by Mr. Omair Ali 22-Oct-2024 allocation 22Oct240201');</v>
      </c>
    </row>
    <row r="227" spans="1:8" ht="105" x14ac:dyDescent="0.25">
      <c r="A227" t="s">
        <v>355</v>
      </c>
      <c r="B227" s="51" t="str">
        <f>VLOOKUP(A227,policy!B:C,2,0)</f>
        <v>040000181076</v>
      </c>
      <c r="C227" s="46">
        <v>8800</v>
      </c>
      <c r="D227" s="46">
        <v>8800</v>
      </c>
      <c r="E227" s="50" t="s">
        <v>3673</v>
      </c>
      <c r="F227" s="52" t="str">
        <f t="shared" si="9"/>
        <v>insert into ins_premium_det (premium_rcv_code,assorted_code, rec_amount,premium_rcv_detail_code,remaining_amt, payrec, mode_code,coinsurance_code,class_cd,it_remarks) values</v>
      </c>
      <c r="G227" s="53" t="str">
        <f t="shared" si="10"/>
        <v>('22Oct240201','040000181076','8800',(select max(to_number(i.premium_rcv_detail_code))+1
from ins_premium_det i),'8800','8800','02', '11000003','00','Request by Mr. Omair Ali 22-Oct-2024 allocation 22Oct240201');</v>
      </c>
      <c r="H227" s="54" t="str">
        <f t="shared" si="11"/>
        <v>insert into ins_premium_det (premium_rcv_code,assorted_code, rec_amount,premium_rcv_detail_code,remaining_amt, payrec, mode_code,coinsurance_code,class_cd,it_remarks) values('22Oct240201','040000181076','8800',(select max(to_number(i.premium_rcv_detail_code))+1
from ins_premium_det i),'8800','8800','02', '11000003','00','Request by Mr. Omair Ali 22-Oct-2024 allocation 22Oct240201');</v>
      </c>
    </row>
    <row r="228" spans="1:8" ht="105" x14ac:dyDescent="0.25">
      <c r="A228" t="s">
        <v>356</v>
      </c>
      <c r="B228" s="51" t="str">
        <f>VLOOKUP(A228,policy!B:C,2,0)</f>
        <v>040000181077</v>
      </c>
      <c r="C228" s="46">
        <v>14960</v>
      </c>
      <c r="D228" s="46">
        <v>14960</v>
      </c>
      <c r="E228" s="50" t="s">
        <v>3673</v>
      </c>
      <c r="F228" s="52" t="str">
        <f t="shared" si="9"/>
        <v>insert into ins_premium_det (premium_rcv_code,assorted_code, rec_amount,premium_rcv_detail_code,remaining_amt, payrec, mode_code,coinsurance_code,class_cd,it_remarks) values</v>
      </c>
      <c r="G228" s="53" t="str">
        <f t="shared" si="10"/>
        <v>('22Oct240201','040000181077','14960',(select max(to_number(i.premium_rcv_detail_code))+1
from ins_premium_det i),'14960','14960','02', '11000003','00','Request by Mr. Omair Ali 22-Oct-2024 allocation 22Oct240201');</v>
      </c>
      <c r="H228" s="54" t="str">
        <f t="shared" si="11"/>
        <v>insert into ins_premium_det (premium_rcv_code,assorted_code, rec_amount,premium_rcv_detail_code,remaining_amt, payrec, mode_code,coinsurance_code,class_cd,it_remarks) values('22Oct240201','040000181077','14960',(select max(to_number(i.premium_rcv_detail_code))+1
from ins_premium_det i),'14960','14960','02', '11000003','00','Request by Mr. Omair Ali 22-Oct-2024 allocation 22Oct240201');</v>
      </c>
    </row>
    <row r="229" spans="1:8" ht="105" x14ac:dyDescent="0.25">
      <c r="A229" t="s">
        <v>357</v>
      </c>
      <c r="B229" s="51" t="str">
        <f>VLOOKUP(A229,policy!B:C,2,0)</f>
        <v>040000181078</v>
      </c>
      <c r="C229" s="46">
        <v>14960</v>
      </c>
      <c r="D229" s="46">
        <v>14960</v>
      </c>
      <c r="E229" s="50" t="s">
        <v>3673</v>
      </c>
      <c r="F229" s="52" t="str">
        <f t="shared" si="9"/>
        <v>insert into ins_premium_det (premium_rcv_code,assorted_code, rec_amount,premium_rcv_detail_code,remaining_amt, payrec, mode_code,coinsurance_code,class_cd,it_remarks) values</v>
      </c>
      <c r="G229" s="53" t="str">
        <f t="shared" si="10"/>
        <v>('22Oct240201','040000181078','14960',(select max(to_number(i.premium_rcv_detail_code))+1
from ins_premium_det i),'14960','14960','02', '11000003','00','Request by Mr. Omair Ali 22-Oct-2024 allocation 22Oct240201');</v>
      </c>
      <c r="H229" s="54" t="str">
        <f t="shared" si="11"/>
        <v>insert into ins_premium_det (premium_rcv_code,assorted_code, rec_amount,premium_rcv_detail_code,remaining_amt, payrec, mode_code,coinsurance_code,class_cd,it_remarks) values('22Oct240201','040000181078','14960',(select max(to_number(i.premium_rcv_detail_code))+1
from ins_premium_det i),'14960','14960','02', '11000003','00','Request by Mr. Omair Ali 22-Oct-2024 allocation 22Oct240201');</v>
      </c>
    </row>
    <row r="230" spans="1:8" ht="105" x14ac:dyDescent="0.25">
      <c r="A230" t="s">
        <v>358</v>
      </c>
      <c r="B230" s="51" t="str">
        <f>VLOOKUP(A230,policy!B:C,2,0)</f>
        <v>040000181079</v>
      </c>
      <c r="C230" s="46">
        <v>8800</v>
      </c>
      <c r="D230" s="46">
        <v>8800</v>
      </c>
      <c r="E230" s="50" t="s">
        <v>3673</v>
      </c>
      <c r="F230" s="52" t="str">
        <f t="shared" si="9"/>
        <v>insert into ins_premium_det (premium_rcv_code,assorted_code, rec_amount,premium_rcv_detail_code,remaining_amt, payrec, mode_code,coinsurance_code,class_cd,it_remarks) values</v>
      </c>
      <c r="G230" s="53" t="str">
        <f t="shared" si="10"/>
        <v>('22Oct240201','040000181079','8800',(select max(to_number(i.premium_rcv_detail_code))+1
from ins_premium_det i),'8800','8800','02', '11000003','00','Request by Mr. Omair Ali 22-Oct-2024 allocation 22Oct240201');</v>
      </c>
      <c r="H230" s="54" t="str">
        <f t="shared" si="11"/>
        <v>insert into ins_premium_det (premium_rcv_code,assorted_code, rec_amount,premium_rcv_detail_code,remaining_amt, payrec, mode_code,coinsurance_code,class_cd,it_remarks) values('22Oct240201','040000181079','8800',(select max(to_number(i.premium_rcv_detail_code))+1
from ins_premium_det i),'8800','8800','02', '11000003','00','Request by Mr. Omair Ali 22-Oct-2024 allocation 22Oct240201');</v>
      </c>
    </row>
    <row r="231" spans="1:8" ht="105" x14ac:dyDescent="0.25">
      <c r="A231" t="s">
        <v>359</v>
      </c>
      <c r="B231" s="51" t="str">
        <f>VLOOKUP(A231,policy!B:C,2,0)</f>
        <v>040000181080</v>
      </c>
      <c r="C231" s="46">
        <v>14960</v>
      </c>
      <c r="D231" s="46">
        <v>14960</v>
      </c>
      <c r="E231" s="50" t="s">
        <v>3673</v>
      </c>
      <c r="F231" s="52" t="str">
        <f t="shared" si="9"/>
        <v>insert into ins_premium_det (premium_rcv_code,assorted_code, rec_amount,premium_rcv_detail_code,remaining_amt, payrec, mode_code,coinsurance_code,class_cd,it_remarks) values</v>
      </c>
      <c r="G231" s="53" t="str">
        <f t="shared" si="10"/>
        <v>('22Oct240201','040000181080','14960',(select max(to_number(i.premium_rcv_detail_code))+1
from ins_premium_det i),'14960','14960','02', '11000003','00','Request by Mr. Omair Ali 22-Oct-2024 allocation 22Oct240201');</v>
      </c>
      <c r="H231" s="54" t="str">
        <f t="shared" si="11"/>
        <v>insert into ins_premium_det (premium_rcv_code,assorted_code, rec_amount,premium_rcv_detail_code,remaining_amt, payrec, mode_code,coinsurance_code,class_cd,it_remarks) values('22Oct240201','040000181080','14960',(select max(to_number(i.premium_rcv_detail_code))+1
from ins_premium_det i),'14960','14960','02', '11000003','00','Request by Mr. Omair Ali 22-Oct-2024 allocation 22Oct240201');</v>
      </c>
    </row>
    <row r="232" spans="1:8" ht="105" x14ac:dyDescent="0.25">
      <c r="A232" t="s">
        <v>360</v>
      </c>
      <c r="B232" s="51" t="str">
        <f>VLOOKUP(A232,policy!B:C,2,0)</f>
        <v>040000181081</v>
      </c>
      <c r="C232" s="46">
        <v>14960</v>
      </c>
      <c r="D232" s="46">
        <v>14960</v>
      </c>
      <c r="E232" s="50" t="s">
        <v>3673</v>
      </c>
      <c r="F232" s="52" t="str">
        <f t="shared" si="9"/>
        <v>insert into ins_premium_det (premium_rcv_code,assorted_code, rec_amount,premium_rcv_detail_code,remaining_amt, payrec, mode_code,coinsurance_code,class_cd,it_remarks) values</v>
      </c>
      <c r="G232" s="53" t="str">
        <f t="shared" si="10"/>
        <v>('22Oct240201','040000181081','14960',(select max(to_number(i.premium_rcv_detail_code))+1
from ins_premium_det i),'14960','14960','02', '11000003','00','Request by Mr. Omair Ali 22-Oct-2024 allocation 22Oct240201');</v>
      </c>
      <c r="H232" s="54" t="str">
        <f t="shared" si="11"/>
        <v>insert into ins_premium_det (premium_rcv_code,assorted_code, rec_amount,premium_rcv_detail_code,remaining_amt, payrec, mode_code,coinsurance_code,class_cd,it_remarks) values('22Oct240201','040000181081','14960',(select max(to_number(i.premium_rcv_detail_code))+1
from ins_premium_det i),'14960','14960','02', '11000003','00','Request by Mr. Omair Ali 22-Oct-2024 allocation 22Oct240201');</v>
      </c>
    </row>
    <row r="233" spans="1:8" ht="105" x14ac:dyDescent="0.25">
      <c r="A233" t="s">
        <v>361</v>
      </c>
      <c r="B233" s="51" t="str">
        <f>VLOOKUP(A233,policy!B:C,2,0)</f>
        <v>040000181082</v>
      </c>
      <c r="C233" s="46">
        <v>13675</v>
      </c>
      <c r="D233" s="46">
        <v>13675</v>
      </c>
      <c r="E233" s="50" t="s">
        <v>3673</v>
      </c>
      <c r="F233" s="52" t="str">
        <f t="shared" si="9"/>
        <v>insert into ins_premium_det (premium_rcv_code,assorted_code, rec_amount,premium_rcv_detail_code,remaining_amt, payrec, mode_code,coinsurance_code,class_cd,it_remarks) values</v>
      </c>
      <c r="G233" s="53" t="str">
        <f t="shared" si="10"/>
        <v>('22Oct240201','040000181082','13675',(select max(to_number(i.premium_rcv_detail_code))+1
from ins_premium_det i),'13675','13675','02', '11000003','00','Request by Mr. Omair Ali 22-Oct-2024 allocation 22Oct240201');</v>
      </c>
      <c r="H233" s="54" t="str">
        <f t="shared" si="11"/>
        <v>insert into ins_premium_det (premium_rcv_code,assorted_code, rec_amount,premium_rcv_detail_code,remaining_amt, payrec, mode_code,coinsurance_code,class_cd,it_remarks) values('22Oct240201','040000181082','13675',(select max(to_number(i.premium_rcv_detail_code))+1
from ins_premium_det i),'13675','13675','02', '11000003','00','Request by Mr. Omair Ali 22-Oct-2024 allocation 22Oct240201');</v>
      </c>
    </row>
    <row r="234" spans="1:8" ht="105" x14ac:dyDescent="0.25">
      <c r="A234" t="s">
        <v>362</v>
      </c>
      <c r="B234" s="51" t="str">
        <f>VLOOKUP(A234,policy!B:C,2,0)</f>
        <v>040000181083</v>
      </c>
      <c r="C234" s="46">
        <v>9550</v>
      </c>
      <c r="D234" s="46">
        <v>9550</v>
      </c>
      <c r="E234" s="50" t="s">
        <v>3673</v>
      </c>
      <c r="F234" s="52" t="str">
        <f t="shared" si="9"/>
        <v>insert into ins_premium_det (premium_rcv_code,assorted_code, rec_amount,premium_rcv_detail_code,remaining_amt, payrec, mode_code,coinsurance_code,class_cd,it_remarks) values</v>
      </c>
      <c r="G234" s="53" t="str">
        <f t="shared" si="10"/>
        <v>('22Oct240201','040000181083','9550',(select max(to_number(i.premium_rcv_detail_code))+1
from ins_premium_det i),'9550','9550','02', '11000003','00','Request by Mr. Omair Ali 22-Oct-2024 allocation 22Oct240201');</v>
      </c>
      <c r="H234" s="54" t="str">
        <f t="shared" si="11"/>
        <v>insert into ins_premium_det (premium_rcv_code,assorted_code, rec_amount,premium_rcv_detail_code,remaining_amt, payrec, mode_code,coinsurance_code,class_cd,it_remarks) values('22Oct240201','040000181083','9550',(select max(to_number(i.premium_rcv_detail_code))+1
from ins_premium_det i),'9550','9550','02', '11000003','00','Request by Mr. Omair Ali 22-Oct-2024 allocation 22Oct240201');</v>
      </c>
    </row>
    <row r="235" spans="1:8" ht="105" x14ac:dyDescent="0.25">
      <c r="A235" t="s">
        <v>363</v>
      </c>
      <c r="B235" s="51" t="str">
        <f>VLOOKUP(A235,policy!B:C,2,0)</f>
        <v>040000181086</v>
      </c>
      <c r="C235" s="46">
        <v>12475</v>
      </c>
      <c r="D235" s="46">
        <v>12475</v>
      </c>
      <c r="E235" s="50" t="s">
        <v>3673</v>
      </c>
      <c r="F235" s="52" t="str">
        <f t="shared" si="9"/>
        <v>insert into ins_premium_det (premium_rcv_code,assorted_code, rec_amount,premium_rcv_detail_code,remaining_amt, payrec, mode_code,coinsurance_code,class_cd,it_remarks) values</v>
      </c>
      <c r="G235" s="53" t="str">
        <f t="shared" si="10"/>
        <v>('22Oct240201','040000181086','12475',(select max(to_number(i.premium_rcv_detail_code))+1
from ins_premium_det i),'12475','12475','02', '11000003','00','Request by Mr. Omair Ali 22-Oct-2024 allocation 22Oct240201');</v>
      </c>
      <c r="H235" s="54" t="str">
        <f t="shared" si="11"/>
        <v>insert into ins_premium_det (premium_rcv_code,assorted_code, rec_amount,premium_rcv_detail_code,remaining_amt, payrec, mode_code,coinsurance_code,class_cd,it_remarks) values('22Oct240201','040000181086','12475',(select max(to_number(i.premium_rcv_detail_code))+1
from ins_premium_det i),'12475','12475','02', '11000003','00','Request by Mr. Omair Ali 22-Oct-2024 allocation 22Oct240201');</v>
      </c>
    </row>
    <row r="236" spans="1:8" ht="105" x14ac:dyDescent="0.25">
      <c r="A236" t="s">
        <v>364</v>
      </c>
      <c r="B236" s="51" t="str">
        <f>VLOOKUP(A236,policy!B:C,2,0)</f>
        <v>040000181088</v>
      </c>
      <c r="C236" s="46">
        <v>23247.5</v>
      </c>
      <c r="D236" s="46">
        <v>23247.5</v>
      </c>
      <c r="E236" s="50" t="s">
        <v>3673</v>
      </c>
      <c r="F236" s="52" t="str">
        <f t="shared" si="9"/>
        <v>insert into ins_premium_det (premium_rcv_code,assorted_code, rec_amount,premium_rcv_detail_code,remaining_amt, payrec, mode_code,coinsurance_code,class_cd,it_remarks) values</v>
      </c>
      <c r="G236" s="53" t="str">
        <f t="shared" si="10"/>
        <v>('22Oct240201','040000181088','23247.5',(select max(to_number(i.premium_rcv_detail_code))+1
from ins_premium_det i),'23247.5','23247.5','02', '11000003','00','Request by Mr. Omair Ali 22-Oct-2024 allocation 22Oct240201');</v>
      </c>
      <c r="H236" s="54" t="str">
        <f t="shared" si="11"/>
        <v>insert into ins_premium_det (premium_rcv_code,assorted_code, rec_amount,premium_rcv_detail_code,remaining_amt, payrec, mode_code,coinsurance_code,class_cd,it_remarks) values('22Oct240201','040000181088','23247.5',(select max(to_number(i.premium_rcv_detail_code))+1
from ins_premium_det i),'23247.5','23247.5','02', '11000003','00','Request by Mr. Omair Ali 22-Oct-2024 allocation 22Oct240201');</v>
      </c>
    </row>
    <row r="237" spans="1:8" ht="105" x14ac:dyDescent="0.25">
      <c r="A237" t="s">
        <v>365</v>
      </c>
      <c r="B237" s="51" t="str">
        <f>VLOOKUP(A237,policy!B:C,2,0)</f>
        <v>040000181089</v>
      </c>
      <c r="C237" s="46">
        <v>8800</v>
      </c>
      <c r="D237" s="46">
        <v>8800</v>
      </c>
      <c r="E237" s="50" t="s">
        <v>3673</v>
      </c>
      <c r="F237" s="52" t="str">
        <f t="shared" si="9"/>
        <v>insert into ins_premium_det (premium_rcv_code,assorted_code, rec_amount,premium_rcv_detail_code,remaining_amt, payrec, mode_code,coinsurance_code,class_cd,it_remarks) values</v>
      </c>
      <c r="G237" s="53" t="str">
        <f t="shared" si="10"/>
        <v>('22Oct240201','040000181089','8800',(select max(to_number(i.premium_rcv_detail_code))+1
from ins_premium_det i),'8800','8800','02', '11000003','00','Request by Mr. Omair Ali 22-Oct-2024 allocation 22Oct240201');</v>
      </c>
      <c r="H237" s="54" t="str">
        <f t="shared" si="11"/>
        <v>insert into ins_premium_det (premium_rcv_code,assorted_code, rec_amount,premium_rcv_detail_code,remaining_amt, payrec, mode_code,coinsurance_code,class_cd,it_remarks) values('22Oct240201','040000181089','8800',(select max(to_number(i.premium_rcv_detail_code))+1
from ins_premium_det i),'8800','8800','02', '11000003','00','Request by Mr. Omair Ali 22-Oct-2024 allocation 22Oct240201');</v>
      </c>
    </row>
    <row r="238" spans="1:8" ht="105" x14ac:dyDescent="0.25">
      <c r="A238" t="s">
        <v>366</v>
      </c>
      <c r="B238" s="51" t="str">
        <f>VLOOKUP(A238,policy!B:C,2,0)</f>
        <v>040000181098</v>
      </c>
      <c r="C238" s="46">
        <v>12475</v>
      </c>
      <c r="D238" s="46">
        <v>12475</v>
      </c>
      <c r="E238" s="50" t="s">
        <v>3673</v>
      </c>
      <c r="F238" s="52" t="str">
        <f t="shared" si="9"/>
        <v>insert into ins_premium_det (premium_rcv_code,assorted_code, rec_amount,premium_rcv_detail_code,remaining_amt, payrec, mode_code,coinsurance_code,class_cd,it_remarks) values</v>
      </c>
      <c r="G238" s="53" t="str">
        <f t="shared" si="10"/>
        <v>('22Oct240201','040000181098','12475',(select max(to_number(i.premium_rcv_detail_code))+1
from ins_premium_det i),'12475','12475','02', '11000003','00','Request by Mr. Omair Ali 22-Oct-2024 allocation 22Oct240201');</v>
      </c>
      <c r="H238" s="54" t="str">
        <f t="shared" si="11"/>
        <v>insert into ins_premium_det (premium_rcv_code,assorted_code, rec_amount,premium_rcv_detail_code,remaining_amt, payrec, mode_code,coinsurance_code,class_cd,it_remarks) values('22Oct240201','040000181098','12475',(select max(to_number(i.premium_rcv_detail_code))+1
from ins_premium_det i),'12475','12475','02', '11000003','00','Request by Mr. Omair Ali 22-Oct-2024 allocation 22Oct240201');</v>
      </c>
    </row>
    <row r="239" spans="1:8" ht="105" x14ac:dyDescent="0.25">
      <c r="A239" t="s">
        <v>367</v>
      </c>
      <c r="B239" s="51" t="str">
        <f>VLOOKUP(A239,policy!B:C,2,0)</f>
        <v>040000181109</v>
      </c>
      <c r="C239" s="46">
        <v>9550</v>
      </c>
      <c r="D239" s="46">
        <v>9550</v>
      </c>
      <c r="E239" s="50" t="s">
        <v>3673</v>
      </c>
      <c r="F239" s="52" t="str">
        <f t="shared" si="9"/>
        <v>insert into ins_premium_det (premium_rcv_code,assorted_code, rec_amount,premium_rcv_detail_code,remaining_amt, payrec, mode_code,coinsurance_code,class_cd,it_remarks) values</v>
      </c>
      <c r="G239" s="53" t="str">
        <f t="shared" si="10"/>
        <v>('22Oct240201','040000181109','9550',(select max(to_number(i.premium_rcv_detail_code))+1
from ins_premium_det i),'9550','9550','02', '11000003','00','Request by Mr. Omair Ali 22-Oct-2024 allocation 22Oct240201');</v>
      </c>
      <c r="H239" s="54" t="str">
        <f t="shared" si="11"/>
        <v>insert into ins_premium_det (premium_rcv_code,assorted_code, rec_amount,premium_rcv_detail_code,remaining_amt, payrec, mode_code,coinsurance_code,class_cd,it_remarks) values('22Oct240201','040000181109','9550',(select max(to_number(i.premium_rcv_detail_code))+1
from ins_premium_det i),'9550','9550','02', '11000003','00','Request by Mr. Omair Ali 22-Oct-2024 allocation 22Oct240201');</v>
      </c>
    </row>
    <row r="240" spans="1:8" ht="105" x14ac:dyDescent="0.25">
      <c r="A240" t="s">
        <v>368</v>
      </c>
      <c r="B240" s="51" t="str">
        <f>VLOOKUP(A240,policy!B:C,2,0)</f>
        <v>040000181112</v>
      </c>
      <c r="C240" s="46">
        <v>8800</v>
      </c>
      <c r="D240" s="46">
        <v>8800</v>
      </c>
      <c r="E240" s="50" t="s">
        <v>3673</v>
      </c>
      <c r="F240" s="52" t="str">
        <f t="shared" si="9"/>
        <v>insert into ins_premium_det (premium_rcv_code,assorted_code, rec_amount,premium_rcv_detail_code,remaining_amt, payrec, mode_code,coinsurance_code,class_cd,it_remarks) values</v>
      </c>
      <c r="G240" s="53" t="str">
        <f t="shared" si="10"/>
        <v>('22Oct240201','040000181112','8800',(select max(to_number(i.premium_rcv_detail_code))+1
from ins_premium_det i),'8800','8800','02', '11000003','00','Request by Mr. Omair Ali 22-Oct-2024 allocation 22Oct240201');</v>
      </c>
      <c r="H240" s="54" t="str">
        <f t="shared" si="11"/>
        <v>insert into ins_premium_det (premium_rcv_code,assorted_code, rec_amount,premium_rcv_detail_code,remaining_amt, payrec, mode_code,coinsurance_code,class_cd,it_remarks) values('22Oct240201','040000181112','8800',(select max(to_number(i.premium_rcv_detail_code))+1
from ins_premium_det i),'8800','8800','02', '11000003','00','Request by Mr. Omair Ali 22-Oct-2024 allocation 22Oct240201');</v>
      </c>
    </row>
    <row r="241" spans="1:8" ht="105" x14ac:dyDescent="0.25">
      <c r="A241" t="s">
        <v>369</v>
      </c>
      <c r="B241" s="51" t="str">
        <f>VLOOKUP(A241,policy!B:C,2,0)</f>
        <v>040000181115</v>
      </c>
      <c r="C241" s="46">
        <v>9550</v>
      </c>
      <c r="D241" s="46">
        <v>9550</v>
      </c>
      <c r="E241" s="50" t="s">
        <v>3673</v>
      </c>
      <c r="F241" s="52" t="str">
        <f t="shared" si="9"/>
        <v>insert into ins_premium_det (premium_rcv_code,assorted_code, rec_amount,premium_rcv_detail_code,remaining_amt, payrec, mode_code,coinsurance_code,class_cd,it_remarks) values</v>
      </c>
      <c r="G241" s="53" t="str">
        <f t="shared" si="10"/>
        <v>('22Oct240201','040000181115','9550',(select max(to_number(i.premium_rcv_detail_code))+1
from ins_premium_det i),'9550','9550','02', '11000003','00','Request by Mr. Omair Ali 22-Oct-2024 allocation 22Oct240201');</v>
      </c>
      <c r="H241" s="54" t="str">
        <f t="shared" si="11"/>
        <v>insert into ins_premium_det (premium_rcv_code,assorted_code, rec_amount,premium_rcv_detail_code,remaining_amt, payrec, mode_code,coinsurance_code,class_cd,it_remarks) values('22Oct240201','040000181115','9550',(select max(to_number(i.premium_rcv_detail_code))+1
from ins_premium_det i),'9550','9550','02', '11000003','00','Request by Mr. Omair Ali 22-Oct-2024 allocation 22Oct240201');</v>
      </c>
    </row>
    <row r="242" spans="1:8" ht="105" x14ac:dyDescent="0.25">
      <c r="A242" t="s">
        <v>370</v>
      </c>
      <c r="B242" s="51" t="str">
        <f>VLOOKUP(A242,policy!B:C,2,0)</f>
        <v>040000181116</v>
      </c>
      <c r="C242" s="46">
        <v>12475</v>
      </c>
      <c r="D242" s="46">
        <v>12475</v>
      </c>
      <c r="E242" s="50" t="s">
        <v>3673</v>
      </c>
      <c r="F242" s="52" t="str">
        <f t="shared" si="9"/>
        <v>insert into ins_premium_det (premium_rcv_code,assorted_code, rec_amount,premium_rcv_detail_code,remaining_amt, payrec, mode_code,coinsurance_code,class_cd,it_remarks) values</v>
      </c>
      <c r="G242" s="53" t="str">
        <f t="shared" si="10"/>
        <v>('22Oct240201','040000181116','12475',(select max(to_number(i.premium_rcv_detail_code))+1
from ins_premium_det i),'12475','12475','02', '11000003','00','Request by Mr. Omair Ali 22-Oct-2024 allocation 22Oct240201');</v>
      </c>
      <c r="H242" s="54" t="str">
        <f t="shared" si="11"/>
        <v>insert into ins_premium_det (premium_rcv_code,assorted_code, rec_amount,premium_rcv_detail_code,remaining_amt, payrec, mode_code,coinsurance_code,class_cd,it_remarks) values('22Oct240201','040000181116','12475',(select max(to_number(i.premium_rcv_detail_code))+1
from ins_premium_det i),'12475','12475','02', '11000003','00','Request by Mr. Omair Ali 22-Oct-2024 allocation 22Oct240201');</v>
      </c>
    </row>
    <row r="243" spans="1:8" ht="105" x14ac:dyDescent="0.25">
      <c r="A243" t="s">
        <v>371</v>
      </c>
      <c r="B243" s="51" t="str">
        <f>VLOOKUP(A243,policy!B:C,2,0)</f>
        <v>040000181118</v>
      </c>
      <c r="C243" s="46">
        <v>14960</v>
      </c>
      <c r="D243" s="46">
        <v>14960</v>
      </c>
      <c r="E243" s="50" t="s">
        <v>3673</v>
      </c>
      <c r="F243" s="52" t="str">
        <f t="shared" si="9"/>
        <v>insert into ins_premium_det (premium_rcv_code,assorted_code, rec_amount,premium_rcv_detail_code,remaining_amt, payrec, mode_code,coinsurance_code,class_cd,it_remarks) values</v>
      </c>
      <c r="G243" s="53" t="str">
        <f t="shared" si="10"/>
        <v>('22Oct240201','040000181118','14960',(select max(to_number(i.premium_rcv_detail_code))+1
from ins_premium_det i),'14960','14960','02', '11000003','00','Request by Mr. Omair Ali 22-Oct-2024 allocation 22Oct240201');</v>
      </c>
      <c r="H243" s="54" t="str">
        <f t="shared" si="11"/>
        <v>insert into ins_premium_det (premium_rcv_code,assorted_code, rec_amount,premium_rcv_detail_code,remaining_amt, payrec, mode_code,coinsurance_code,class_cd,it_remarks) values('22Oct240201','040000181118','14960',(select max(to_number(i.premium_rcv_detail_code))+1
from ins_premium_det i),'14960','14960','02', '11000003','00','Request by Mr. Omair Ali 22-Oct-2024 allocation 22Oct240201');</v>
      </c>
    </row>
    <row r="244" spans="1:8" ht="105" x14ac:dyDescent="0.25">
      <c r="A244" t="s">
        <v>372</v>
      </c>
      <c r="B244" s="51" t="str">
        <f>VLOOKUP(A244,policy!B:C,2,0)</f>
        <v>040000181119</v>
      </c>
      <c r="C244" s="46">
        <v>14960</v>
      </c>
      <c r="D244" s="46">
        <v>14960</v>
      </c>
      <c r="E244" s="50" t="s">
        <v>3673</v>
      </c>
      <c r="F244" s="52" t="str">
        <f t="shared" si="9"/>
        <v>insert into ins_premium_det (premium_rcv_code,assorted_code, rec_amount,premium_rcv_detail_code,remaining_amt, payrec, mode_code,coinsurance_code,class_cd,it_remarks) values</v>
      </c>
      <c r="G244" s="53" t="str">
        <f t="shared" si="10"/>
        <v>('22Oct240201','040000181119','14960',(select max(to_number(i.premium_rcv_detail_code))+1
from ins_premium_det i),'14960','14960','02', '11000003','00','Request by Mr. Omair Ali 22-Oct-2024 allocation 22Oct240201');</v>
      </c>
      <c r="H244" s="54" t="str">
        <f t="shared" si="11"/>
        <v>insert into ins_premium_det (premium_rcv_code,assorted_code, rec_amount,premium_rcv_detail_code,remaining_amt, payrec, mode_code,coinsurance_code,class_cd,it_remarks) values('22Oct240201','040000181119','14960',(select max(to_number(i.premium_rcv_detail_code))+1
from ins_premium_det i),'14960','14960','02', '11000003','00','Request by Mr. Omair Ali 22-Oct-2024 allocation 22Oct240201');</v>
      </c>
    </row>
    <row r="245" spans="1:8" ht="105" x14ac:dyDescent="0.25">
      <c r="A245" t="s">
        <v>373</v>
      </c>
      <c r="B245" s="51" t="str">
        <f>VLOOKUP(A245,policy!B:C,2,0)</f>
        <v>040000181120</v>
      </c>
      <c r="C245" s="46">
        <v>9550</v>
      </c>
      <c r="D245" s="46">
        <v>9550</v>
      </c>
      <c r="E245" s="50" t="s">
        <v>3673</v>
      </c>
      <c r="F245" s="52" t="str">
        <f t="shared" si="9"/>
        <v>insert into ins_premium_det (premium_rcv_code,assorted_code, rec_amount,premium_rcv_detail_code,remaining_amt, payrec, mode_code,coinsurance_code,class_cd,it_remarks) values</v>
      </c>
      <c r="G245" s="53" t="str">
        <f t="shared" si="10"/>
        <v>('22Oct240201','040000181120','9550',(select max(to_number(i.premium_rcv_detail_code))+1
from ins_premium_det i),'9550','9550','02', '11000003','00','Request by Mr. Omair Ali 22-Oct-2024 allocation 22Oct240201');</v>
      </c>
      <c r="H245" s="54" t="str">
        <f t="shared" si="11"/>
        <v>insert into ins_premium_det (premium_rcv_code,assorted_code, rec_amount,premium_rcv_detail_code,remaining_amt, payrec, mode_code,coinsurance_code,class_cd,it_remarks) values('22Oct240201','040000181120','9550',(select max(to_number(i.premium_rcv_detail_code))+1
from ins_premium_det i),'9550','9550','02', '11000003','00','Request by Mr. Omair Ali 22-Oct-2024 allocation 22Oct240201');</v>
      </c>
    </row>
    <row r="246" spans="1:8" ht="105" x14ac:dyDescent="0.25">
      <c r="A246" t="s">
        <v>374</v>
      </c>
      <c r="B246" s="51" t="str">
        <f>VLOOKUP(A246,policy!B:C,2,0)</f>
        <v>040000181121</v>
      </c>
      <c r="C246" s="46">
        <v>13675</v>
      </c>
      <c r="D246" s="46">
        <v>13675</v>
      </c>
      <c r="E246" s="50" t="s">
        <v>3673</v>
      </c>
      <c r="F246" s="52" t="str">
        <f t="shared" si="9"/>
        <v>insert into ins_premium_det (premium_rcv_code,assorted_code, rec_amount,premium_rcv_detail_code,remaining_amt, payrec, mode_code,coinsurance_code,class_cd,it_remarks) values</v>
      </c>
      <c r="G246" s="53" t="str">
        <f t="shared" si="10"/>
        <v>('22Oct240201','040000181121','13675',(select max(to_number(i.premium_rcv_detail_code))+1
from ins_premium_det i),'13675','13675','02', '11000003','00','Request by Mr. Omair Ali 22-Oct-2024 allocation 22Oct240201');</v>
      </c>
      <c r="H246" s="54" t="str">
        <f t="shared" si="11"/>
        <v>insert into ins_premium_det (premium_rcv_code,assorted_code, rec_amount,premium_rcv_detail_code,remaining_amt, payrec, mode_code,coinsurance_code,class_cd,it_remarks) values('22Oct240201','040000181121','13675',(select max(to_number(i.premium_rcv_detail_code))+1
from ins_premium_det i),'13675','13675','02', '11000003','00','Request by Mr. Omair Ali 22-Oct-2024 allocation 22Oct240201');</v>
      </c>
    </row>
    <row r="247" spans="1:8" ht="105" x14ac:dyDescent="0.25">
      <c r="A247" t="s">
        <v>375</v>
      </c>
      <c r="B247" s="51" t="str">
        <f>VLOOKUP(A247,policy!B:C,2,0)</f>
        <v>040000181122</v>
      </c>
      <c r="C247" s="46">
        <v>13675</v>
      </c>
      <c r="D247" s="46">
        <v>13675</v>
      </c>
      <c r="E247" s="50" t="s">
        <v>3673</v>
      </c>
      <c r="F247" s="52" t="str">
        <f t="shared" si="9"/>
        <v>insert into ins_premium_det (premium_rcv_code,assorted_code, rec_amount,premium_rcv_detail_code,remaining_amt, payrec, mode_code,coinsurance_code,class_cd,it_remarks) values</v>
      </c>
      <c r="G247" s="53" t="str">
        <f t="shared" si="10"/>
        <v>('22Oct240201','040000181122','13675',(select max(to_number(i.premium_rcv_detail_code))+1
from ins_premium_det i),'13675','13675','02', '11000003','00','Request by Mr. Omair Ali 22-Oct-2024 allocation 22Oct240201');</v>
      </c>
      <c r="H247" s="54" t="str">
        <f t="shared" si="11"/>
        <v>insert into ins_premium_det (premium_rcv_code,assorted_code, rec_amount,premium_rcv_detail_code,remaining_amt, payrec, mode_code,coinsurance_code,class_cd,it_remarks) values('22Oct240201','040000181122','13675',(select max(to_number(i.premium_rcv_detail_code))+1
from ins_premium_det i),'13675','13675','02', '11000003','00','Request by Mr. Omair Ali 22-Oct-2024 allocation 22Oct240201');</v>
      </c>
    </row>
    <row r="248" spans="1:8" ht="105" x14ac:dyDescent="0.25">
      <c r="A248" t="s">
        <v>376</v>
      </c>
      <c r="B248" s="51" t="str">
        <f>VLOOKUP(A248,policy!B:C,2,0)</f>
        <v>040000181125</v>
      </c>
      <c r="C248" s="46">
        <v>8800</v>
      </c>
      <c r="D248" s="46">
        <v>8800</v>
      </c>
      <c r="E248" s="50" t="s">
        <v>3673</v>
      </c>
      <c r="F248" s="52" t="str">
        <f t="shared" si="9"/>
        <v>insert into ins_premium_det (premium_rcv_code,assorted_code, rec_amount,premium_rcv_detail_code,remaining_amt, payrec, mode_code,coinsurance_code,class_cd,it_remarks) values</v>
      </c>
      <c r="G248" s="53" t="str">
        <f t="shared" si="10"/>
        <v>('22Oct240201','040000181125','8800',(select max(to_number(i.premium_rcv_detail_code))+1
from ins_premium_det i),'8800','8800','02', '11000003','00','Request by Mr. Omair Ali 22-Oct-2024 allocation 22Oct240201');</v>
      </c>
      <c r="H248" s="54" t="str">
        <f t="shared" si="11"/>
        <v>insert into ins_premium_det (premium_rcv_code,assorted_code, rec_amount,premium_rcv_detail_code,remaining_amt, payrec, mode_code,coinsurance_code,class_cd,it_remarks) values('22Oct240201','040000181125','8800',(select max(to_number(i.premium_rcv_detail_code))+1
from ins_premium_det i),'8800','8800','02', '11000003','00','Request by Mr. Omair Ali 22-Oct-2024 allocation 22Oct240201');</v>
      </c>
    </row>
    <row r="249" spans="1:8" ht="105" x14ac:dyDescent="0.25">
      <c r="A249" t="s">
        <v>377</v>
      </c>
      <c r="B249" s="51" t="str">
        <f>VLOOKUP(A249,policy!B:C,2,0)</f>
        <v>040000181127</v>
      </c>
      <c r="C249" s="46">
        <v>9550</v>
      </c>
      <c r="D249" s="46">
        <v>9550</v>
      </c>
      <c r="E249" s="50" t="s">
        <v>3673</v>
      </c>
      <c r="F249" s="52" t="str">
        <f t="shared" si="9"/>
        <v>insert into ins_premium_det (premium_rcv_code,assorted_code, rec_amount,premium_rcv_detail_code,remaining_amt, payrec, mode_code,coinsurance_code,class_cd,it_remarks) values</v>
      </c>
      <c r="G249" s="53" t="str">
        <f t="shared" si="10"/>
        <v>('22Oct240201','040000181127','9550',(select max(to_number(i.premium_rcv_detail_code))+1
from ins_premium_det i),'9550','9550','02', '11000003','00','Request by Mr. Omair Ali 22-Oct-2024 allocation 22Oct240201');</v>
      </c>
      <c r="H249" s="54" t="str">
        <f t="shared" si="11"/>
        <v>insert into ins_premium_det (premium_rcv_code,assorted_code, rec_amount,premium_rcv_detail_code,remaining_amt, payrec, mode_code,coinsurance_code,class_cd,it_remarks) values('22Oct240201','040000181127','9550',(select max(to_number(i.premium_rcv_detail_code))+1
from ins_premium_det i),'9550','9550','02', '11000003','00','Request by Mr. Omair Ali 22-Oct-2024 allocation 22Oct240201');</v>
      </c>
    </row>
    <row r="250" spans="1:8" ht="105" x14ac:dyDescent="0.25">
      <c r="A250" t="s">
        <v>378</v>
      </c>
      <c r="B250" s="51" t="str">
        <f>VLOOKUP(A250,policy!B:C,2,0)</f>
        <v>040000181128</v>
      </c>
      <c r="C250" s="46">
        <v>13675</v>
      </c>
      <c r="D250" s="46">
        <v>13675</v>
      </c>
      <c r="E250" s="50" t="s">
        <v>3673</v>
      </c>
      <c r="F250" s="52" t="str">
        <f t="shared" si="9"/>
        <v>insert into ins_premium_det (premium_rcv_code,assorted_code, rec_amount,premium_rcv_detail_code,remaining_amt, payrec, mode_code,coinsurance_code,class_cd,it_remarks) values</v>
      </c>
      <c r="G250" s="53" t="str">
        <f t="shared" si="10"/>
        <v>('22Oct240201','040000181128','13675',(select max(to_number(i.premium_rcv_detail_code))+1
from ins_premium_det i),'13675','13675','02', '11000003','00','Request by Mr. Omair Ali 22-Oct-2024 allocation 22Oct240201');</v>
      </c>
      <c r="H250" s="54" t="str">
        <f t="shared" si="11"/>
        <v>insert into ins_premium_det (premium_rcv_code,assorted_code, rec_amount,premium_rcv_detail_code,remaining_amt, payrec, mode_code,coinsurance_code,class_cd,it_remarks) values('22Oct240201','040000181128','13675',(select max(to_number(i.premium_rcv_detail_code))+1
from ins_premium_det i),'13675','13675','02', '11000003','00','Request by Mr. Omair Ali 22-Oct-2024 allocation 22Oct240201');</v>
      </c>
    </row>
    <row r="251" spans="1:8" ht="105" x14ac:dyDescent="0.25">
      <c r="A251" t="s">
        <v>379</v>
      </c>
      <c r="B251" s="51" t="str">
        <f>VLOOKUP(A251,policy!B:C,2,0)</f>
        <v>040000181129</v>
      </c>
      <c r="C251" s="46">
        <v>13675</v>
      </c>
      <c r="D251" s="46">
        <v>13675</v>
      </c>
      <c r="E251" s="50" t="s">
        <v>3673</v>
      </c>
      <c r="F251" s="52" t="str">
        <f t="shared" si="9"/>
        <v>insert into ins_premium_det (premium_rcv_code,assorted_code, rec_amount,premium_rcv_detail_code,remaining_amt, payrec, mode_code,coinsurance_code,class_cd,it_remarks) values</v>
      </c>
      <c r="G251" s="53" t="str">
        <f t="shared" si="10"/>
        <v>('22Oct240201','040000181129','13675',(select max(to_number(i.premium_rcv_detail_code))+1
from ins_premium_det i),'13675','13675','02', '11000003','00','Request by Mr. Omair Ali 22-Oct-2024 allocation 22Oct240201');</v>
      </c>
      <c r="H251" s="54" t="str">
        <f t="shared" si="11"/>
        <v>insert into ins_premium_det (premium_rcv_code,assorted_code, rec_amount,premium_rcv_detail_code,remaining_amt, payrec, mode_code,coinsurance_code,class_cd,it_remarks) values('22Oct240201','040000181129','13675',(select max(to_number(i.premium_rcv_detail_code))+1
from ins_premium_det i),'13675','13675','02', '11000003','00','Request by Mr. Omair Ali 22-Oct-2024 allocation 22Oct240201');</v>
      </c>
    </row>
    <row r="252" spans="1:8" ht="105" x14ac:dyDescent="0.25">
      <c r="A252" t="s">
        <v>380</v>
      </c>
      <c r="B252" s="51" t="str">
        <f>VLOOKUP(A252,policy!B:C,2,0)</f>
        <v>040000181131</v>
      </c>
      <c r="C252" s="46">
        <v>8800</v>
      </c>
      <c r="D252" s="46">
        <v>8800</v>
      </c>
      <c r="E252" s="50" t="s">
        <v>3673</v>
      </c>
      <c r="F252" s="52" t="str">
        <f t="shared" si="9"/>
        <v>insert into ins_premium_det (premium_rcv_code,assorted_code, rec_amount,premium_rcv_detail_code,remaining_amt, payrec, mode_code,coinsurance_code,class_cd,it_remarks) values</v>
      </c>
      <c r="G252" s="53" t="str">
        <f t="shared" si="10"/>
        <v>('22Oct240201','040000181131','8800',(select max(to_number(i.premium_rcv_detail_code))+1
from ins_premium_det i),'8800','8800','02', '11000003','00','Request by Mr. Omair Ali 22-Oct-2024 allocation 22Oct240201');</v>
      </c>
      <c r="H252" s="54" t="str">
        <f t="shared" si="11"/>
        <v>insert into ins_premium_det (premium_rcv_code,assorted_code, rec_amount,premium_rcv_detail_code,remaining_amt, payrec, mode_code,coinsurance_code,class_cd,it_remarks) values('22Oct240201','040000181131','8800',(select max(to_number(i.premium_rcv_detail_code))+1
from ins_premium_det i),'8800','8800','02', '11000003','00','Request by Mr. Omair Ali 22-Oct-2024 allocation 22Oct240201');</v>
      </c>
    </row>
    <row r="253" spans="1:8" ht="105" x14ac:dyDescent="0.25">
      <c r="A253" t="s">
        <v>381</v>
      </c>
      <c r="B253" s="51" t="str">
        <f>VLOOKUP(A253,policy!B:C,2,0)</f>
        <v>040000181133</v>
      </c>
      <c r="C253" s="46">
        <v>8800</v>
      </c>
      <c r="D253" s="46">
        <v>8800</v>
      </c>
      <c r="E253" s="50" t="s">
        <v>3673</v>
      </c>
      <c r="F253" s="52" t="str">
        <f t="shared" si="9"/>
        <v>insert into ins_premium_det (premium_rcv_code,assorted_code, rec_amount,premium_rcv_detail_code,remaining_amt, payrec, mode_code,coinsurance_code,class_cd,it_remarks) values</v>
      </c>
      <c r="G253" s="53" t="str">
        <f t="shared" si="10"/>
        <v>('22Oct240201','040000181133','8800',(select max(to_number(i.premium_rcv_detail_code))+1
from ins_premium_det i),'8800','8800','02', '11000003','00','Request by Mr. Omair Ali 22-Oct-2024 allocation 22Oct240201');</v>
      </c>
      <c r="H253" s="54" t="str">
        <f t="shared" si="11"/>
        <v>insert into ins_premium_det (premium_rcv_code,assorted_code, rec_amount,premium_rcv_detail_code,remaining_amt, payrec, mode_code,coinsurance_code,class_cd,it_remarks) values('22Oct240201','040000181133','8800',(select max(to_number(i.premium_rcv_detail_code))+1
from ins_premium_det i),'8800','8800','02', '11000003','00','Request by Mr. Omair Ali 22-Oct-2024 allocation 22Oct240201');</v>
      </c>
    </row>
    <row r="254" spans="1:8" ht="105" x14ac:dyDescent="0.25">
      <c r="A254" t="s">
        <v>382</v>
      </c>
      <c r="B254" s="51" t="str">
        <f>VLOOKUP(A254,policy!B:C,2,0)</f>
        <v>040000181135</v>
      </c>
      <c r="C254" s="46">
        <v>8800</v>
      </c>
      <c r="D254" s="46">
        <v>8800</v>
      </c>
      <c r="E254" s="50" t="s">
        <v>3673</v>
      </c>
      <c r="F254" s="52" t="str">
        <f t="shared" si="9"/>
        <v>insert into ins_premium_det (premium_rcv_code,assorted_code, rec_amount,premium_rcv_detail_code,remaining_amt, payrec, mode_code,coinsurance_code,class_cd,it_remarks) values</v>
      </c>
      <c r="G254" s="53" t="str">
        <f t="shared" si="10"/>
        <v>('22Oct240201','040000181135','8800',(select max(to_number(i.premium_rcv_detail_code))+1
from ins_premium_det i),'8800','8800','02', '11000003','00','Request by Mr. Omair Ali 22-Oct-2024 allocation 22Oct240201');</v>
      </c>
      <c r="H254" s="54" t="str">
        <f t="shared" si="11"/>
        <v>insert into ins_premium_det (premium_rcv_code,assorted_code, rec_amount,premium_rcv_detail_code,remaining_amt, payrec, mode_code,coinsurance_code,class_cd,it_remarks) values('22Oct240201','040000181135','8800',(select max(to_number(i.premium_rcv_detail_code))+1
from ins_premium_det i),'8800','8800','02', '11000003','00','Request by Mr. Omair Ali 22-Oct-2024 allocation 22Oct240201');</v>
      </c>
    </row>
    <row r="255" spans="1:8" ht="105" x14ac:dyDescent="0.25">
      <c r="A255" t="s">
        <v>383</v>
      </c>
      <c r="B255" s="51" t="str">
        <f>VLOOKUP(A255,policy!B:C,2,0)</f>
        <v>040000181136</v>
      </c>
      <c r="C255" s="46">
        <v>16235</v>
      </c>
      <c r="D255" s="46">
        <v>16235</v>
      </c>
      <c r="E255" s="50" t="s">
        <v>3673</v>
      </c>
      <c r="F255" s="52" t="str">
        <f t="shared" si="9"/>
        <v>insert into ins_premium_det (premium_rcv_code,assorted_code, rec_amount,premium_rcv_detail_code,remaining_amt, payrec, mode_code,coinsurance_code,class_cd,it_remarks) values</v>
      </c>
      <c r="G255" s="53" t="str">
        <f t="shared" si="10"/>
        <v>('22Oct240201','040000181136','16235',(select max(to_number(i.premium_rcv_detail_code))+1
from ins_premium_det i),'16235','16235','02', '11000003','00','Request by Mr. Omair Ali 22-Oct-2024 allocation 22Oct240201');</v>
      </c>
      <c r="H255" s="54" t="str">
        <f t="shared" si="11"/>
        <v>insert into ins_premium_det (premium_rcv_code,assorted_code, rec_amount,premium_rcv_detail_code,remaining_amt, payrec, mode_code,coinsurance_code,class_cd,it_remarks) values('22Oct240201','040000181136','16235',(select max(to_number(i.premium_rcv_detail_code))+1
from ins_premium_det i),'16235','16235','02', '11000003','00','Request by Mr. Omair Ali 22-Oct-2024 allocation 22Oct240201');</v>
      </c>
    </row>
    <row r="256" spans="1:8" ht="105" x14ac:dyDescent="0.25">
      <c r="A256" t="s">
        <v>384</v>
      </c>
      <c r="B256" s="51" t="str">
        <f>VLOOKUP(A256,policy!B:C,2,0)</f>
        <v>040000181137</v>
      </c>
      <c r="C256" s="46">
        <v>16235</v>
      </c>
      <c r="D256" s="46">
        <v>16235</v>
      </c>
      <c r="E256" s="50" t="s">
        <v>3673</v>
      </c>
      <c r="F256" s="52" t="str">
        <f t="shared" si="9"/>
        <v>insert into ins_premium_det (premium_rcv_code,assorted_code, rec_amount,premium_rcv_detail_code,remaining_amt, payrec, mode_code,coinsurance_code,class_cd,it_remarks) values</v>
      </c>
      <c r="G256" s="53" t="str">
        <f t="shared" si="10"/>
        <v>('22Oct240201','040000181137','16235',(select max(to_number(i.premium_rcv_detail_code))+1
from ins_premium_det i),'16235','16235','02', '11000003','00','Request by Mr. Omair Ali 22-Oct-2024 allocation 22Oct240201');</v>
      </c>
      <c r="H256" s="54" t="str">
        <f t="shared" si="11"/>
        <v>insert into ins_premium_det (premium_rcv_code,assorted_code, rec_amount,premium_rcv_detail_code,remaining_amt, payrec, mode_code,coinsurance_code,class_cd,it_remarks) values('22Oct240201','040000181137','16235',(select max(to_number(i.premium_rcv_detail_code))+1
from ins_premium_det i),'16235','16235','02', '11000003','00','Request by Mr. Omair Ali 22-Oct-2024 allocation 22Oct240201');</v>
      </c>
    </row>
    <row r="257" spans="1:8" ht="105" x14ac:dyDescent="0.25">
      <c r="A257" t="s">
        <v>385</v>
      </c>
      <c r="B257" s="51" t="str">
        <f>VLOOKUP(A257,policy!B:C,2,0)</f>
        <v>040000181138</v>
      </c>
      <c r="C257" s="46">
        <v>12475</v>
      </c>
      <c r="D257" s="46">
        <v>12475</v>
      </c>
      <c r="E257" s="50" t="s">
        <v>3673</v>
      </c>
      <c r="F257" s="52" t="str">
        <f t="shared" si="9"/>
        <v>insert into ins_premium_det (premium_rcv_code,assorted_code, rec_amount,premium_rcv_detail_code,remaining_amt, payrec, mode_code,coinsurance_code,class_cd,it_remarks) values</v>
      </c>
      <c r="G257" s="53" t="str">
        <f t="shared" si="10"/>
        <v>('22Oct240201','040000181138','12475',(select max(to_number(i.premium_rcv_detail_code))+1
from ins_premium_det i),'12475','12475','02', '11000003','00','Request by Mr. Omair Ali 22-Oct-2024 allocation 22Oct240201');</v>
      </c>
      <c r="H257" s="54" t="str">
        <f t="shared" si="11"/>
        <v>insert into ins_premium_det (premium_rcv_code,assorted_code, rec_amount,premium_rcv_detail_code,remaining_amt, payrec, mode_code,coinsurance_code,class_cd,it_remarks) values('22Oct240201','040000181138','12475',(select max(to_number(i.premium_rcv_detail_code))+1
from ins_premium_det i),'12475','12475','02', '11000003','00','Request by Mr. Omair Ali 22-Oct-2024 allocation 22Oct240201');</v>
      </c>
    </row>
    <row r="258" spans="1:8" ht="105" x14ac:dyDescent="0.25">
      <c r="A258" t="s">
        <v>386</v>
      </c>
      <c r="B258" s="51" t="str">
        <f>VLOOKUP(A258,policy!B:C,2,0)</f>
        <v>040000181140</v>
      </c>
      <c r="C258" s="46">
        <v>13675</v>
      </c>
      <c r="D258" s="46">
        <v>13675</v>
      </c>
      <c r="E258" s="50" t="s">
        <v>3673</v>
      </c>
      <c r="F258" s="52" t="str">
        <f t="shared" ref="F258:F321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53" t="str">
        <f t="shared" si="10"/>
        <v>('22Oct240201','040000181140','13675',(select max(to_number(i.premium_rcv_detail_code))+1
from ins_premium_det i),'13675','13675','02', '11000003','00','Request by Mr. Omair Ali 22-Oct-2024 allocation 22Oct240201');</v>
      </c>
      <c r="H258" s="54" t="str">
        <f t="shared" si="11"/>
        <v>insert into ins_premium_det (premium_rcv_code,assorted_code, rec_amount,premium_rcv_detail_code,remaining_amt, payrec, mode_code,coinsurance_code,class_cd,it_remarks) values('22Oct240201','040000181140','13675',(select max(to_number(i.premium_rcv_detail_code))+1
from ins_premium_det i),'13675','13675','02', '11000003','00','Request by Mr. Omair Ali 22-Oct-2024 allocation 22Oct240201');</v>
      </c>
    </row>
    <row r="259" spans="1:8" ht="105" x14ac:dyDescent="0.25">
      <c r="A259" t="s">
        <v>387</v>
      </c>
      <c r="B259" s="51" t="str">
        <f>VLOOKUP(A259,policy!B:C,2,0)</f>
        <v>040000181141</v>
      </c>
      <c r="C259" s="46">
        <v>9550</v>
      </c>
      <c r="D259" s="46">
        <v>9550</v>
      </c>
      <c r="E259" s="50" t="s">
        <v>3673</v>
      </c>
      <c r="F259" s="52" t="str">
        <f t="shared" si="12"/>
        <v>insert into ins_premium_det (premium_rcv_code,assorted_code, rec_amount,premium_rcv_detail_code,remaining_amt, payrec, mode_code,coinsurance_code,class_cd,it_remarks) values</v>
      </c>
      <c r="G259" s="53" t="str">
        <f t="shared" ref="G259:G322" si="13">"('"&amp;E259&amp;"','"&amp;B259&amp;"','"&amp;D259&amp;"',(select max(to_number(i.premium_rcv_detail_code))+1
from ins_premium_det i),'"&amp;D259&amp;"','"&amp;D259&amp;"','02', '11000003','00','Request by Mr. Omair Ali 22-Oct-2024 allocation 22Oct240201');"</f>
        <v>('22Oct240201','040000181141','9550',(select max(to_number(i.premium_rcv_detail_code))+1
from ins_premium_det i),'9550','9550','02', '11000003','00','Request by Mr. Omair Ali 22-Oct-2024 allocation 22Oct240201');</v>
      </c>
      <c r="H259" s="54" t="str">
        <f t="shared" ref="H259:H322" si="14">F259&amp;G259</f>
        <v>insert into ins_premium_det (premium_rcv_code,assorted_code, rec_amount,premium_rcv_detail_code,remaining_amt, payrec, mode_code,coinsurance_code,class_cd,it_remarks) values('22Oct240201','040000181141','9550',(select max(to_number(i.premium_rcv_detail_code))+1
from ins_premium_det i),'9550','9550','02', '11000003','00','Request by Mr. Omair Ali 22-Oct-2024 allocation 22Oct240201');</v>
      </c>
    </row>
    <row r="260" spans="1:8" ht="105" x14ac:dyDescent="0.25">
      <c r="A260" t="s">
        <v>388</v>
      </c>
      <c r="B260" s="51" t="str">
        <f>VLOOKUP(A260,policy!B:C,2,0)</f>
        <v>040000181142</v>
      </c>
      <c r="C260" s="46">
        <v>23248</v>
      </c>
      <c r="D260" s="46">
        <v>23248</v>
      </c>
      <c r="E260" s="50" t="s">
        <v>3673</v>
      </c>
      <c r="F260" s="52" t="str">
        <f t="shared" si="12"/>
        <v>insert into ins_premium_det (premium_rcv_code,assorted_code, rec_amount,premium_rcv_detail_code,remaining_amt, payrec, mode_code,coinsurance_code,class_cd,it_remarks) values</v>
      </c>
      <c r="G260" s="53" t="str">
        <f t="shared" si="13"/>
        <v>('22Oct240201','040000181142','23248',(select max(to_number(i.premium_rcv_detail_code))+1
from ins_premium_det i),'23248','23248','02', '11000003','00','Request by Mr. Omair Ali 22-Oct-2024 allocation 22Oct240201');</v>
      </c>
      <c r="H260" s="54" t="str">
        <f t="shared" si="14"/>
        <v>insert into ins_premium_det (premium_rcv_code,assorted_code, rec_amount,premium_rcv_detail_code,remaining_amt, payrec, mode_code,coinsurance_code,class_cd,it_remarks) values('22Oct240201','040000181142','23248',(select max(to_number(i.premium_rcv_detail_code))+1
from ins_premium_det i),'23248','23248','02', '11000003','00','Request by Mr. Omair Ali 22-Oct-2024 allocation 22Oct240201');</v>
      </c>
    </row>
    <row r="261" spans="1:8" ht="105" x14ac:dyDescent="0.25">
      <c r="A261" t="s">
        <v>389</v>
      </c>
      <c r="B261" s="51" t="str">
        <f>VLOOKUP(A261,policy!B:C,2,0)</f>
        <v>040000181173</v>
      </c>
      <c r="C261" s="46">
        <v>23248</v>
      </c>
      <c r="D261" s="46">
        <v>23248</v>
      </c>
      <c r="E261" s="50" t="s">
        <v>3673</v>
      </c>
      <c r="F261" s="52" t="str">
        <f t="shared" si="12"/>
        <v>insert into ins_premium_det (premium_rcv_code,assorted_code, rec_amount,premium_rcv_detail_code,remaining_amt, payrec, mode_code,coinsurance_code,class_cd,it_remarks) values</v>
      </c>
      <c r="G261" s="53" t="str">
        <f t="shared" si="13"/>
        <v>('22Oct240201','040000181173','23248',(select max(to_number(i.premium_rcv_detail_code))+1
from ins_premium_det i),'23248','23248','02', '11000003','00','Request by Mr. Omair Ali 22-Oct-2024 allocation 22Oct240201');</v>
      </c>
      <c r="H261" s="54" t="str">
        <f t="shared" si="14"/>
        <v>insert into ins_premium_det (premium_rcv_code,assorted_code, rec_amount,premium_rcv_detail_code,remaining_amt, payrec, mode_code,coinsurance_code,class_cd,it_remarks) values('22Oct240201','040000181173','23248',(select max(to_number(i.premium_rcv_detail_code))+1
from ins_premium_det i),'23248','23248','02', '11000003','00','Request by Mr. Omair Ali 22-Oct-2024 allocation 22Oct240201');</v>
      </c>
    </row>
    <row r="262" spans="1:8" ht="105" x14ac:dyDescent="0.25">
      <c r="A262" t="s">
        <v>390</v>
      </c>
      <c r="B262" s="51" t="str">
        <f>VLOOKUP(A262,policy!B:C,2,0)</f>
        <v>040000181175</v>
      </c>
      <c r="C262" s="46">
        <v>23248</v>
      </c>
      <c r="D262" s="46">
        <v>23248</v>
      </c>
      <c r="E262" s="50" t="s">
        <v>3673</v>
      </c>
      <c r="F262" s="52" t="str">
        <f t="shared" si="12"/>
        <v>insert into ins_premium_det (premium_rcv_code,assorted_code, rec_amount,premium_rcv_detail_code,remaining_amt, payrec, mode_code,coinsurance_code,class_cd,it_remarks) values</v>
      </c>
      <c r="G262" s="53" t="str">
        <f t="shared" si="13"/>
        <v>('22Oct240201','040000181175','23248',(select max(to_number(i.premium_rcv_detail_code))+1
from ins_premium_det i),'23248','23248','02', '11000003','00','Request by Mr. Omair Ali 22-Oct-2024 allocation 22Oct240201');</v>
      </c>
      <c r="H262" s="54" t="str">
        <f t="shared" si="14"/>
        <v>insert into ins_premium_det (premium_rcv_code,assorted_code, rec_amount,premium_rcv_detail_code,remaining_amt, payrec, mode_code,coinsurance_code,class_cd,it_remarks) values('22Oct240201','040000181175','23248',(select max(to_number(i.premium_rcv_detail_code))+1
from ins_premium_det i),'23248','23248','02', '11000003','00','Request by Mr. Omair Ali 22-Oct-2024 allocation 22Oct240201');</v>
      </c>
    </row>
    <row r="263" spans="1:8" ht="105" x14ac:dyDescent="0.25">
      <c r="A263" t="s">
        <v>391</v>
      </c>
      <c r="B263" s="51" t="str">
        <f>VLOOKUP(A263,policy!B:C,2,0)</f>
        <v>040000181178</v>
      </c>
      <c r="C263" s="46">
        <v>14960</v>
      </c>
      <c r="D263" s="46">
        <v>14960</v>
      </c>
      <c r="E263" s="50" t="s">
        <v>3673</v>
      </c>
      <c r="F263" s="52" t="str">
        <f t="shared" si="12"/>
        <v>insert into ins_premium_det (premium_rcv_code,assorted_code, rec_amount,premium_rcv_detail_code,remaining_amt, payrec, mode_code,coinsurance_code,class_cd,it_remarks) values</v>
      </c>
      <c r="G263" s="53" t="str">
        <f t="shared" si="13"/>
        <v>('22Oct240201','040000181178','14960',(select max(to_number(i.premium_rcv_detail_code))+1
from ins_premium_det i),'14960','14960','02', '11000003','00','Request by Mr. Omair Ali 22-Oct-2024 allocation 22Oct240201');</v>
      </c>
      <c r="H263" s="54" t="str">
        <f t="shared" si="14"/>
        <v>insert into ins_premium_det (premium_rcv_code,assorted_code, rec_amount,premium_rcv_detail_code,remaining_amt, payrec, mode_code,coinsurance_code,class_cd,it_remarks) values('22Oct240201','040000181178','14960',(select max(to_number(i.premium_rcv_detail_code))+1
from ins_premium_det i),'14960','14960','02', '11000003','00','Request by Mr. Omair Ali 22-Oct-2024 allocation 22Oct240201');</v>
      </c>
    </row>
    <row r="264" spans="1:8" ht="105" x14ac:dyDescent="0.25">
      <c r="A264" t="s">
        <v>392</v>
      </c>
      <c r="B264" s="51" t="str">
        <f>VLOOKUP(A264,policy!B:C,2,0)</f>
        <v>040000181179</v>
      </c>
      <c r="C264" s="46">
        <v>14960</v>
      </c>
      <c r="D264" s="46">
        <v>14960</v>
      </c>
      <c r="E264" s="50" t="s">
        <v>3673</v>
      </c>
      <c r="F264" s="52" t="str">
        <f t="shared" si="12"/>
        <v>insert into ins_premium_det (premium_rcv_code,assorted_code, rec_amount,premium_rcv_detail_code,remaining_amt, payrec, mode_code,coinsurance_code,class_cd,it_remarks) values</v>
      </c>
      <c r="G264" s="53" t="str">
        <f t="shared" si="13"/>
        <v>('22Oct240201','040000181179','14960',(select max(to_number(i.premium_rcv_detail_code))+1
from ins_premium_det i),'14960','14960','02', '11000003','00','Request by Mr. Omair Ali 22-Oct-2024 allocation 22Oct240201');</v>
      </c>
      <c r="H264" s="54" t="str">
        <f t="shared" si="14"/>
        <v>insert into ins_premium_det (premium_rcv_code,assorted_code, rec_amount,premium_rcv_detail_code,remaining_amt, payrec, mode_code,coinsurance_code,class_cd,it_remarks) values('22Oct240201','040000181179','14960',(select max(to_number(i.premium_rcv_detail_code))+1
from ins_premium_det i),'14960','14960','02', '11000003','00','Request by Mr. Omair Ali 22-Oct-2024 allocation 22Oct240201');</v>
      </c>
    </row>
    <row r="265" spans="1:8" ht="105" x14ac:dyDescent="0.25">
      <c r="A265" t="s">
        <v>393</v>
      </c>
      <c r="B265" s="51" t="str">
        <f>VLOOKUP(A265,policy!B:C,2,0)</f>
        <v>040000181180</v>
      </c>
      <c r="C265" s="46">
        <v>8800</v>
      </c>
      <c r="D265" s="46">
        <v>8800</v>
      </c>
      <c r="E265" s="50" t="s">
        <v>3673</v>
      </c>
      <c r="F265" s="52" t="str">
        <f t="shared" si="12"/>
        <v>insert into ins_premium_det (premium_rcv_code,assorted_code, rec_amount,premium_rcv_detail_code,remaining_amt, payrec, mode_code,coinsurance_code,class_cd,it_remarks) values</v>
      </c>
      <c r="G265" s="53" t="str">
        <f t="shared" si="13"/>
        <v>('22Oct240201','040000181180','8800',(select max(to_number(i.premium_rcv_detail_code))+1
from ins_premium_det i),'8800','8800','02', '11000003','00','Request by Mr. Omair Ali 22-Oct-2024 allocation 22Oct240201');</v>
      </c>
      <c r="H265" s="54" t="str">
        <f t="shared" si="14"/>
        <v>insert into ins_premium_det (premium_rcv_code,assorted_code, rec_amount,premium_rcv_detail_code,remaining_amt, payrec, mode_code,coinsurance_code,class_cd,it_remarks) values('22Oct240201','040000181180','8800',(select max(to_number(i.premium_rcv_detail_code))+1
from ins_premium_det i),'8800','8800','02', '11000003','00','Request by Mr. Omair Ali 22-Oct-2024 allocation 22Oct240201');</v>
      </c>
    </row>
    <row r="266" spans="1:8" ht="105" x14ac:dyDescent="0.25">
      <c r="A266" t="s">
        <v>394</v>
      </c>
      <c r="B266" s="51" t="str">
        <f>VLOOKUP(A266,policy!B:C,2,0)</f>
        <v>040000181181</v>
      </c>
      <c r="C266" s="46">
        <v>13675</v>
      </c>
      <c r="D266" s="46">
        <v>13675</v>
      </c>
      <c r="E266" s="50" t="s">
        <v>3673</v>
      </c>
      <c r="F266" s="52" t="str">
        <f t="shared" si="12"/>
        <v>insert into ins_premium_det (premium_rcv_code,assorted_code, rec_amount,premium_rcv_detail_code,remaining_amt, payrec, mode_code,coinsurance_code,class_cd,it_remarks) values</v>
      </c>
      <c r="G266" s="53" t="str">
        <f t="shared" si="13"/>
        <v>('22Oct240201','040000181181','13675',(select max(to_number(i.premium_rcv_detail_code))+1
from ins_premium_det i),'13675','13675','02', '11000003','00','Request by Mr. Omair Ali 22-Oct-2024 allocation 22Oct240201');</v>
      </c>
      <c r="H266" s="54" t="str">
        <f t="shared" si="14"/>
        <v>insert into ins_premium_det (premium_rcv_code,assorted_code, rec_amount,premium_rcv_detail_code,remaining_amt, payrec, mode_code,coinsurance_code,class_cd,it_remarks) values('22Oct240201','040000181181','13675',(select max(to_number(i.premium_rcv_detail_code))+1
from ins_premium_det i),'13675','13675','02', '11000003','00','Request by Mr. Omair Ali 22-Oct-2024 allocation 22Oct240201');</v>
      </c>
    </row>
    <row r="267" spans="1:8" ht="105" x14ac:dyDescent="0.25">
      <c r="A267" t="s">
        <v>395</v>
      </c>
      <c r="B267" s="51" t="str">
        <f>VLOOKUP(A267,policy!B:C,2,0)</f>
        <v>040000181184</v>
      </c>
      <c r="C267" s="46">
        <v>9550</v>
      </c>
      <c r="D267" s="46">
        <v>9550</v>
      </c>
      <c r="E267" s="50" t="s">
        <v>3673</v>
      </c>
      <c r="F267" s="52" t="str">
        <f t="shared" si="12"/>
        <v>insert into ins_premium_det (premium_rcv_code,assorted_code, rec_amount,premium_rcv_detail_code,remaining_amt, payrec, mode_code,coinsurance_code,class_cd,it_remarks) values</v>
      </c>
      <c r="G267" s="53" t="str">
        <f t="shared" si="13"/>
        <v>('22Oct240201','040000181184','9550',(select max(to_number(i.premium_rcv_detail_code))+1
from ins_premium_det i),'9550','9550','02', '11000003','00','Request by Mr. Omair Ali 22-Oct-2024 allocation 22Oct240201');</v>
      </c>
      <c r="H267" s="54" t="str">
        <f t="shared" si="14"/>
        <v>insert into ins_premium_det (premium_rcv_code,assorted_code, rec_amount,premium_rcv_detail_code,remaining_amt, payrec, mode_code,coinsurance_code,class_cd,it_remarks) values('22Oct240201','040000181184','9550',(select max(to_number(i.premium_rcv_detail_code))+1
from ins_premium_det i),'9550','9550','02', '11000003','00','Request by Mr. Omair Ali 22-Oct-2024 allocation 22Oct240201');</v>
      </c>
    </row>
    <row r="268" spans="1:8" ht="105" x14ac:dyDescent="0.25">
      <c r="A268" t="s">
        <v>396</v>
      </c>
      <c r="B268" s="51" t="str">
        <f>VLOOKUP(A268,policy!B:C,2,0)</f>
        <v>040000181185</v>
      </c>
      <c r="C268" s="46">
        <v>23248</v>
      </c>
      <c r="D268" s="46">
        <v>23248</v>
      </c>
      <c r="E268" s="50" t="s">
        <v>3673</v>
      </c>
      <c r="F268" s="52" t="str">
        <f t="shared" si="12"/>
        <v>insert into ins_premium_det (premium_rcv_code,assorted_code, rec_amount,premium_rcv_detail_code,remaining_amt, payrec, mode_code,coinsurance_code,class_cd,it_remarks) values</v>
      </c>
      <c r="G268" s="53" t="str">
        <f t="shared" si="13"/>
        <v>('22Oct240201','040000181185','23248',(select max(to_number(i.premium_rcv_detail_code))+1
from ins_premium_det i),'23248','23248','02', '11000003','00','Request by Mr. Omair Ali 22-Oct-2024 allocation 22Oct240201');</v>
      </c>
      <c r="H268" s="54" t="str">
        <f t="shared" si="14"/>
        <v>insert into ins_premium_det (premium_rcv_code,assorted_code, rec_amount,premium_rcv_detail_code,remaining_amt, payrec, mode_code,coinsurance_code,class_cd,it_remarks) values('22Oct240201','040000181185','23248',(select max(to_number(i.premium_rcv_detail_code))+1
from ins_premium_det i),'23248','23248','02', '11000003','00','Request by Mr. Omair Ali 22-Oct-2024 allocation 22Oct240201');</v>
      </c>
    </row>
    <row r="269" spans="1:8" ht="105" x14ac:dyDescent="0.25">
      <c r="A269" t="s">
        <v>397</v>
      </c>
      <c r="B269" s="51" t="str">
        <f>VLOOKUP(A269,policy!B:C,2,0)</f>
        <v>040000181186</v>
      </c>
      <c r="C269" s="46">
        <v>23248</v>
      </c>
      <c r="D269" s="46">
        <v>23248</v>
      </c>
      <c r="E269" s="50" t="s">
        <v>3673</v>
      </c>
      <c r="F269" s="52" t="str">
        <f t="shared" si="12"/>
        <v>insert into ins_premium_det (premium_rcv_code,assorted_code, rec_amount,premium_rcv_detail_code,remaining_amt, payrec, mode_code,coinsurance_code,class_cd,it_remarks) values</v>
      </c>
      <c r="G269" s="53" t="str">
        <f t="shared" si="13"/>
        <v>('22Oct240201','040000181186','23248',(select max(to_number(i.premium_rcv_detail_code))+1
from ins_premium_det i),'23248','23248','02', '11000003','00','Request by Mr. Omair Ali 22-Oct-2024 allocation 22Oct240201');</v>
      </c>
      <c r="H269" s="54" t="str">
        <f t="shared" si="14"/>
        <v>insert into ins_premium_det (premium_rcv_code,assorted_code, rec_amount,premium_rcv_detail_code,remaining_amt, payrec, mode_code,coinsurance_code,class_cd,it_remarks) values('22Oct240201','040000181186','23248',(select max(to_number(i.premium_rcv_detail_code))+1
from ins_premium_det i),'23248','23248','02', '11000003','00','Request by Mr. Omair Ali 22-Oct-2024 allocation 22Oct240201');</v>
      </c>
    </row>
    <row r="270" spans="1:8" ht="105" x14ac:dyDescent="0.25">
      <c r="A270" t="s">
        <v>398</v>
      </c>
      <c r="B270" s="51" t="str">
        <f>VLOOKUP(A270,policy!B:C,2,0)</f>
        <v>040000181187</v>
      </c>
      <c r="C270" s="46">
        <v>8800</v>
      </c>
      <c r="D270" s="46">
        <v>8800</v>
      </c>
      <c r="E270" s="50" t="s">
        <v>3673</v>
      </c>
      <c r="F270" s="52" t="str">
        <f t="shared" si="12"/>
        <v>insert into ins_premium_det (premium_rcv_code,assorted_code, rec_amount,premium_rcv_detail_code,remaining_amt, payrec, mode_code,coinsurance_code,class_cd,it_remarks) values</v>
      </c>
      <c r="G270" s="53" t="str">
        <f t="shared" si="13"/>
        <v>('22Oct240201','040000181187','8800',(select max(to_number(i.premium_rcv_detail_code))+1
from ins_premium_det i),'8800','8800','02', '11000003','00','Request by Mr. Omair Ali 22-Oct-2024 allocation 22Oct240201');</v>
      </c>
      <c r="H270" s="54" t="str">
        <f t="shared" si="14"/>
        <v>insert into ins_premium_det (premium_rcv_code,assorted_code, rec_amount,premium_rcv_detail_code,remaining_amt, payrec, mode_code,coinsurance_code,class_cd,it_remarks) values('22Oct240201','040000181187','8800',(select max(to_number(i.premium_rcv_detail_code))+1
from ins_premium_det i),'8800','8800','02', '11000003','00','Request by Mr. Omair Ali 22-Oct-2024 allocation 22Oct240201');</v>
      </c>
    </row>
    <row r="271" spans="1:8" ht="105" x14ac:dyDescent="0.25">
      <c r="A271" t="s">
        <v>399</v>
      </c>
      <c r="B271" s="51" t="str">
        <f>VLOOKUP(A271,policy!B:C,2,0)</f>
        <v>040000181188</v>
      </c>
      <c r="C271" s="46">
        <v>8800</v>
      </c>
      <c r="D271" s="46">
        <v>8800</v>
      </c>
      <c r="E271" s="50" t="s">
        <v>3673</v>
      </c>
      <c r="F271" s="52" t="str">
        <f t="shared" si="12"/>
        <v>insert into ins_premium_det (premium_rcv_code,assorted_code, rec_amount,premium_rcv_detail_code,remaining_amt, payrec, mode_code,coinsurance_code,class_cd,it_remarks) values</v>
      </c>
      <c r="G271" s="53" t="str">
        <f t="shared" si="13"/>
        <v>('22Oct240201','040000181188','8800',(select max(to_number(i.premium_rcv_detail_code))+1
from ins_premium_det i),'8800','8800','02', '11000003','00','Request by Mr. Omair Ali 22-Oct-2024 allocation 22Oct240201');</v>
      </c>
      <c r="H271" s="54" t="str">
        <f t="shared" si="14"/>
        <v>insert into ins_premium_det (premium_rcv_code,assorted_code, rec_amount,premium_rcv_detail_code,remaining_amt, payrec, mode_code,coinsurance_code,class_cd,it_remarks) values('22Oct240201','040000181188','8800',(select max(to_number(i.premium_rcv_detail_code))+1
from ins_premium_det i),'8800','8800','02', '11000003','00','Request by Mr. Omair Ali 22-Oct-2024 allocation 22Oct240201');</v>
      </c>
    </row>
    <row r="272" spans="1:8" ht="105" x14ac:dyDescent="0.25">
      <c r="A272" t="s">
        <v>400</v>
      </c>
      <c r="B272" s="51" t="str">
        <f>VLOOKUP(A272,policy!B:C,2,0)</f>
        <v>040000181189</v>
      </c>
      <c r="C272" s="46">
        <v>8800</v>
      </c>
      <c r="D272" s="46">
        <v>8800</v>
      </c>
      <c r="E272" s="50" t="s">
        <v>3673</v>
      </c>
      <c r="F272" s="52" t="str">
        <f t="shared" si="12"/>
        <v>insert into ins_premium_det (premium_rcv_code,assorted_code, rec_amount,premium_rcv_detail_code,remaining_amt, payrec, mode_code,coinsurance_code,class_cd,it_remarks) values</v>
      </c>
      <c r="G272" s="53" t="str">
        <f t="shared" si="13"/>
        <v>('22Oct240201','040000181189','8800',(select max(to_number(i.premium_rcv_detail_code))+1
from ins_premium_det i),'8800','8800','02', '11000003','00','Request by Mr. Omair Ali 22-Oct-2024 allocation 22Oct240201');</v>
      </c>
      <c r="H272" s="54" t="str">
        <f t="shared" si="14"/>
        <v>insert into ins_premium_det (premium_rcv_code,assorted_code, rec_amount,premium_rcv_detail_code,remaining_amt, payrec, mode_code,coinsurance_code,class_cd,it_remarks) values('22Oct240201','040000181189','8800',(select max(to_number(i.premium_rcv_detail_code))+1
from ins_premium_det i),'8800','8800','02', '11000003','00','Request by Mr. Omair Ali 22-Oct-2024 allocation 22Oct240201');</v>
      </c>
    </row>
    <row r="273" spans="1:8" ht="105" x14ac:dyDescent="0.25">
      <c r="A273" t="s">
        <v>401</v>
      </c>
      <c r="B273" s="51" t="str">
        <f>VLOOKUP(A273,policy!B:C,2,0)</f>
        <v>040000181190</v>
      </c>
      <c r="C273" s="46">
        <v>8800</v>
      </c>
      <c r="D273" s="46">
        <v>8800</v>
      </c>
      <c r="E273" s="50" t="s">
        <v>3673</v>
      </c>
      <c r="F273" s="52" t="str">
        <f t="shared" si="12"/>
        <v>insert into ins_premium_det (premium_rcv_code,assorted_code, rec_amount,premium_rcv_detail_code,remaining_amt, payrec, mode_code,coinsurance_code,class_cd,it_remarks) values</v>
      </c>
      <c r="G273" s="53" t="str">
        <f t="shared" si="13"/>
        <v>('22Oct240201','040000181190','8800',(select max(to_number(i.premium_rcv_detail_code))+1
from ins_premium_det i),'8800','8800','02', '11000003','00','Request by Mr. Omair Ali 22-Oct-2024 allocation 22Oct240201');</v>
      </c>
      <c r="H273" s="54" t="str">
        <f t="shared" si="14"/>
        <v>insert into ins_premium_det (premium_rcv_code,assorted_code, rec_amount,premium_rcv_detail_code,remaining_amt, payrec, mode_code,coinsurance_code,class_cd,it_remarks) values('22Oct240201','040000181190','8800',(select max(to_number(i.premium_rcv_detail_code))+1
from ins_premium_det i),'8800','8800','02', '11000003','00','Request by Mr. Omair Ali 22-Oct-2024 allocation 22Oct240201');</v>
      </c>
    </row>
    <row r="274" spans="1:8" ht="105" x14ac:dyDescent="0.25">
      <c r="A274" t="s">
        <v>402</v>
      </c>
      <c r="B274" s="51" t="str">
        <f>VLOOKUP(A274,policy!B:C,2,0)</f>
        <v>040000181191</v>
      </c>
      <c r="C274" s="46">
        <v>8800</v>
      </c>
      <c r="D274" s="46">
        <v>8800</v>
      </c>
      <c r="E274" s="50" t="s">
        <v>3673</v>
      </c>
      <c r="F274" s="52" t="str">
        <f t="shared" si="12"/>
        <v>insert into ins_premium_det (premium_rcv_code,assorted_code, rec_amount,premium_rcv_detail_code,remaining_amt, payrec, mode_code,coinsurance_code,class_cd,it_remarks) values</v>
      </c>
      <c r="G274" s="53" t="str">
        <f t="shared" si="13"/>
        <v>('22Oct240201','040000181191','8800',(select max(to_number(i.premium_rcv_detail_code))+1
from ins_premium_det i),'8800','8800','02', '11000003','00','Request by Mr. Omair Ali 22-Oct-2024 allocation 22Oct240201');</v>
      </c>
      <c r="H274" s="54" t="str">
        <f t="shared" si="14"/>
        <v>insert into ins_premium_det (premium_rcv_code,assorted_code, rec_amount,premium_rcv_detail_code,remaining_amt, payrec, mode_code,coinsurance_code,class_cd,it_remarks) values('22Oct240201','040000181191','8800',(select max(to_number(i.premium_rcv_detail_code))+1
from ins_premium_det i),'8800','8800','02', '11000003','00','Request by Mr. Omair Ali 22-Oct-2024 allocation 22Oct240201');</v>
      </c>
    </row>
    <row r="275" spans="1:8" ht="105" x14ac:dyDescent="0.25">
      <c r="A275" t="s">
        <v>403</v>
      </c>
      <c r="B275" s="51" t="str">
        <f>VLOOKUP(A275,policy!B:C,2,0)</f>
        <v>040000181192</v>
      </c>
      <c r="C275" s="46">
        <v>8800</v>
      </c>
      <c r="D275" s="46">
        <v>8800</v>
      </c>
      <c r="E275" s="50" t="s">
        <v>3673</v>
      </c>
      <c r="F275" s="52" t="str">
        <f t="shared" si="12"/>
        <v>insert into ins_premium_det (premium_rcv_code,assorted_code, rec_amount,premium_rcv_detail_code,remaining_amt, payrec, mode_code,coinsurance_code,class_cd,it_remarks) values</v>
      </c>
      <c r="G275" s="53" t="str">
        <f t="shared" si="13"/>
        <v>('22Oct240201','040000181192','8800',(select max(to_number(i.premium_rcv_detail_code))+1
from ins_premium_det i),'8800','8800','02', '11000003','00','Request by Mr. Omair Ali 22-Oct-2024 allocation 22Oct240201');</v>
      </c>
      <c r="H275" s="54" t="str">
        <f t="shared" si="14"/>
        <v>insert into ins_premium_det (premium_rcv_code,assorted_code, rec_amount,premium_rcv_detail_code,remaining_amt, payrec, mode_code,coinsurance_code,class_cd,it_remarks) values('22Oct240201','040000181192','8800',(select max(to_number(i.premium_rcv_detail_code))+1
from ins_premium_det i),'8800','8800','02', '11000003','00','Request by Mr. Omair Ali 22-Oct-2024 allocation 22Oct240201');</v>
      </c>
    </row>
    <row r="276" spans="1:8" ht="105" x14ac:dyDescent="0.25">
      <c r="A276" t="s">
        <v>404</v>
      </c>
      <c r="B276" s="51" t="str">
        <f>VLOOKUP(A276,policy!B:C,2,0)</f>
        <v>040000181193</v>
      </c>
      <c r="C276" s="46">
        <v>8800</v>
      </c>
      <c r="D276" s="46">
        <v>8800</v>
      </c>
      <c r="E276" s="50" t="s">
        <v>3673</v>
      </c>
      <c r="F276" s="52" t="str">
        <f t="shared" si="12"/>
        <v>insert into ins_premium_det (premium_rcv_code,assorted_code, rec_amount,premium_rcv_detail_code,remaining_amt, payrec, mode_code,coinsurance_code,class_cd,it_remarks) values</v>
      </c>
      <c r="G276" s="53" t="str">
        <f t="shared" si="13"/>
        <v>('22Oct240201','040000181193','8800',(select max(to_number(i.premium_rcv_detail_code))+1
from ins_premium_det i),'8800','8800','02', '11000003','00','Request by Mr. Omair Ali 22-Oct-2024 allocation 22Oct240201');</v>
      </c>
      <c r="H276" s="54" t="str">
        <f t="shared" si="14"/>
        <v>insert into ins_premium_det (premium_rcv_code,assorted_code, rec_amount,premium_rcv_detail_code,remaining_amt, payrec, mode_code,coinsurance_code,class_cd,it_remarks) values('22Oct240201','040000181193','8800',(select max(to_number(i.premium_rcv_detail_code))+1
from ins_premium_det i),'8800','8800','02', '11000003','00','Request by Mr. Omair Ali 22-Oct-2024 allocation 22Oct240201');</v>
      </c>
    </row>
    <row r="277" spans="1:8" ht="105" x14ac:dyDescent="0.25">
      <c r="A277" t="s">
        <v>405</v>
      </c>
      <c r="B277" s="51" t="str">
        <f>VLOOKUP(A277,policy!B:C,2,0)</f>
        <v>040000181194</v>
      </c>
      <c r="C277" s="46">
        <v>23248</v>
      </c>
      <c r="D277" s="46">
        <v>23248</v>
      </c>
      <c r="E277" s="50" t="s">
        <v>3673</v>
      </c>
      <c r="F277" s="52" t="str">
        <f t="shared" si="12"/>
        <v>insert into ins_premium_det (premium_rcv_code,assorted_code, rec_amount,premium_rcv_detail_code,remaining_amt, payrec, mode_code,coinsurance_code,class_cd,it_remarks) values</v>
      </c>
      <c r="G277" s="53" t="str">
        <f t="shared" si="13"/>
        <v>('22Oct240201','040000181194','23248',(select max(to_number(i.premium_rcv_detail_code))+1
from ins_premium_det i),'23248','23248','02', '11000003','00','Request by Mr. Omair Ali 22-Oct-2024 allocation 22Oct240201');</v>
      </c>
      <c r="H277" s="54" t="str">
        <f t="shared" si="14"/>
        <v>insert into ins_premium_det (premium_rcv_code,assorted_code, rec_amount,premium_rcv_detail_code,remaining_amt, payrec, mode_code,coinsurance_code,class_cd,it_remarks) values('22Oct240201','040000181194','23248',(select max(to_number(i.premium_rcv_detail_code))+1
from ins_premium_det i),'23248','23248','02', '11000003','00','Request by Mr. Omair Ali 22-Oct-2024 allocation 22Oct240201');</v>
      </c>
    </row>
    <row r="278" spans="1:8" ht="105" x14ac:dyDescent="0.25">
      <c r="A278" t="s">
        <v>406</v>
      </c>
      <c r="B278" s="51" t="str">
        <f>VLOOKUP(A278,policy!B:C,2,0)</f>
        <v>040000181195</v>
      </c>
      <c r="C278" s="46">
        <v>23248</v>
      </c>
      <c r="D278" s="46">
        <v>23248</v>
      </c>
      <c r="E278" s="50" t="s">
        <v>3673</v>
      </c>
      <c r="F278" s="52" t="str">
        <f t="shared" si="12"/>
        <v>insert into ins_premium_det (premium_rcv_code,assorted_code, rec_amount,premium_rcv_detail_code,remaining_amt, payrec, mode_code,coinsurance_code,class_cd,it_remarks) values</v>
      </c>
      <c r="G278" s="53" t="str">
        <f t="shared" si="13"/>
        <v>('22Oct240201','040000181195','23248',(select max(to_number(i.premium_rcv_detail_code))+1
from ins_premium_det i),'23248','23248','02', '11000003','00','Request by Mr. Omair Ali 22-Oct-2024 allocation 22Oct240201');</v>
      </c>
      <c r="H278" s="54" t="str">
        <f t="shared" si="14"/>
        <v>insert into ins_premium_det (premium_rcv_code,assorted_code, rec_amount,premium_rcv_detail_code,remaining_amt, payrec, mode_code,coinsurance_code,class_cd,it_remarks) values('22Oct240201','040000181195','23248',(select max(to_number(i.premium_rcv_detail_code))+1
from ins_premium_det i),'23248','23248','02', '11000003','00','Request by Mr. Omair Ali 22-Oct-2024 allocation 22Oct240201');</v>
      </c>
    </row>
    <row r="279" spans="1:8" ht="105" x14ac:dyDescent="0.25">
      <c r="A279" t="s">
        <v>407</v>
      </c>
      <c r="B279" s="51" t="str">
        <f>VLOOKUP(A279,policy!B:C,2,0)</f>
        <v>040000181197</v>
      </c>
      <c r="C279" s="46">
        <v>12475</v>
      </c>
      <c r="D279" s="46">
        <v>12475</v>
      </c>
      <c r="E279" s="50" t="s">
        <v>3673</v>
      </c>
      <c r="F279" s="52" t="str">
        <f t="shared" si="12"/>
        <v>insert into ins_premium_det (premium_rcv_code,assorted_code, rec_amount,premium_rcv_detail_code,remaining_amt, payrec, mode_code,coinsurance_code,class_cd,it_remarks) values</v>
      </c>
      <c r="G279" s="53" t="str">
        <f t="shared" si="13"/>
        <v>('22Oct240201','040000181197','12475',(select max(to_number(i.premium_rcv_detail_code))+1
from ins_premium_det i),'12475','12475','02', '11000003','00','Request by Mr. Omair Ali 22-Oct-2024 allocation 22Oct240201');</v>
      </c>
      <c r="H279" s="54" t="str">
        <f t="shared" si="14"/>
        <v>insert into ins_premium_det (premium_rcv_code,assorted_code, rec_amount,premium_rcv_detail_code,remaining_amt, payrec, mode_code,coinsurance_code,class_cd,it_remarks) values('22Oct240201','040000181197','12475',(select max(to_number(i.premium_rcv_detail_code))+1
from ins_premium_det i),'12475','12475','02', '11000003','00','Request by Mr. Omair Ali 22-Oct-2024 allocation 22Oct240201');</v>
      </c>
    </row>
    <row r="280" spans="1:8" ht="105" x14ac:dyDescent="0.25">
      <c r="A280" t="s">
        <v>408</v>
      </c>
      <c r="B280" s="51" t="str">
        <f>VLOOKUP(A280,policy!B:C,2,0)</f>
        <v>040000181206</v>
      </c>
      <c r="C280" s="46">
        <v>14960</v>
      </c>
      <c r="D280" s="46">
        <v>14960</v>
      </c>
      <c r="E280" s="50" t="s">
        <v>3673</v>
      </c>
      <c r="F280" s="52" t="str">
        <f t="shared" si="12"/>
        <v>insert into ins_premium_det (premium_rcv_code,assorted_code, rec_amount,premium_rcv_detail_code,remaining_amt, payrec, mode_code,coinsurance_code,class_cd,it_remarks) values</v>
      </c>
      <c r="G280" s="53" t="str">
        <f t="shared" si="13"/>
        <v>('22Oct240201','040000181206','14960',(select max(to_number(i.premium_rcv_detail_code))+1
from ins_premium_det i),'14960','14960','02', '11000003','00','Request by Mr. Omair Ali 22-Oct-2024 allocation 22Oct240201');</v>
      </c>
      <c r="H280" s="54" t="str">
        <f t="shared" si="14"/>
        <v>insert into ins_premium_det (premium_rcv_code,assorted_code, rec_amount,premium_rcv_detail_code,remaining_amt, payrec, mode_code,coinsurance_code,class_cd,it_remarks) values('22Oct240201','040000181206','14960',(select max(to_number(i.premium_rcv_detail_code))+1
from ins_premium_det i),'14960','14960','02', '11000003','00','Request by Mr. Omair Ali 22-Oct-2024 allocation 22Oct240201');</v>
      </c>
    </row>
    <row r="281" spans="1:8" ht="105" x14ac:dyDescent="0.25">
      <c r="A281" t="s">
        <v>409</v>
      </c>
      <c r="B281" s="51" t="str">
        <f>VLOOKUP(A281,policy!B:C,2,0)</f>
        <v>040000181207</v>
      </c>
      <c r="C281" s="46">
        <v>14960</v>
      </c>
      <c r="D281" s="46">
        <v>14960</v>
      </c>
      <c r="E281" s="50" t="s">
        <v>3673</v>
      </c>
      <c r="F281" s="52" t="str">
        <f t="shared" si="12"/>
        <v>insert into ins_premium_det (premium_rcv_code,assorted_code, rec_amount,premium_rcv_detail_code,remaining_amt, payrec, mode_code,coinsurance_code,class_cd,it_remarks) values</v>
      </c>
      <c r="G281" s="53" t="str">
        <f t="shared" si="13"/>
        <v>('22Oct240201','040000181207','14960',(select max(to_number(i.premium_rcv_detail_code))+1
from ins_premium_det i),'14960','14960','02', '11000003','00','Request by Mr. Omair Ali 22-Oct-2024 allocation 22Oct240201');</v>
      </c>
      <c r="H281" s="54" t="str">
        <f t="shared" si="14"/>
        <v>insert into ins_premium_det (premium_rcv_code,assorted_code, rec_amount,premium_rcv_detail_code,remaining_amt, payrec, mode_code,coinsurance_code,class_cd,it_remarks) values('22Oct240201','040000181207','14960',(select max(to_number(i.premium_rcv_detail_code))+1
from ins_premium_det i),'14960','14960','02', '11000003','00','Request by Mr. Omair Ali 22-Oct-2024 allocation 22Oct240201');</v>
      </c>
    </row>
    <row r="282" spans="1:8" ht="105" x14ac:dyDescent="0.25">
      <c r="A282" t="s">
        <v>410</v>
      </c>
      <c r="B282" s="51" t="str">
        <f>VLOOKUP(A282,policy!B:C,2,0)</f>
        <v>040000181209</v>
      </c>
      <c r="C282" s="46">
        <v>16235</v>
      </c>
      <c r="D282" s="46">
        <v>16235</v>
      </c>
      <c r="E282" s="50" t="s">
        <v>3673</v>
      </c>
      <c r="F282" s="52" t="str">
        <f t="shared" si="12"/>
        <v>insert into ins_premium_det (premium_rcv_code,assorted_code, rec_amount,premium_rcv_detail_code,remaining_amt, payrec, mode_code,coinsurance_code,class_cd,it_remarks) values</v>
      </c>
      <c r="G282" s="53" t="str">
        <f t="shared" si="13"/>
        <v>('22Oct240201','040000181209','16235',(select max(to_number(i.premium_rcv_detail_code))+1
from ins_premium_det i),'16235','16235','02', '11000003','00','Request by Mr. Omair Ali 22-Oct-2024 allocation 22Oct240201');</v>
      </c>
      <c r="H282" s="54" t="str">
        <f t="shared" si="14"/>
        <v>insert into ins_premium_det (premium_rcv_code,assorted_code, rec_amount,premium_rcv_detail_code,remaining_amt, payrec, mode_code,coinsurance_code,class_cd,it_remarks) values('22Oct240201','040000181209','16235',(select max(to_number(i.premium_rcv_detail_code))+1
from ins_premium_det i),'16235','16235','02', '11000003','00','Request by Mr. Omair Ali 22-Oct-2024 allocation 22Oct240201');</v>
      </c>
    </row>
    <row r="283" spans="1:8" ht="105" x14ac:dyDescent="0.25">
      <c r="A283" t="s">
        <v>411</v>
      </c>
      <c r="B283" s="51" t="str">
        <f>VLOOKUP(A283,policy!B:C,2,0)</f>
        <v>040000181210</v>
      </c>
      <c r="C283" s="46">
        <v>16235</v>
      </c>
      <c r="D283" s="46">
        <v>16235</v>
      </c>
      <c r="E283" s="50" t="s">
        <v>3673</v>
      </c>
      <c r="F283" s="52" t="str">
        <f t="shared" si="12"/>
        <v>insert into ins_premium_det (premium_rcv_code,assorted_code, rec_amount,premium_rcv_detail_code,remaining_amt, payrec, mode_code,coinsurance_code,class_cd,it_remarks) values</v>
      </c>
      <c r="G283" s="53" t="str">
        <f t="shared" si="13"/>
        <v>('22Oct240201','040000181210','16235',(select max(to_number(i.premium_rcv_detail_code))+1
from ins_premium_det i),'16235','16235','02', '11000003','00','Request by Mr. Omair Ali 22-Oct-2024 allocation 22Oct240201');</v>
      </c>
      <c r="H283" s="54" t="str">
        <f t="shared" si="14"/>
        <v>insert into ins_premium_det (premium_rcv_code,assorted_code, rec_amount,premium_rcv_detail_code,remaining_amt, payrec, mode_code,coinsurance_code,class_cd,it_remarks) values('22Oct240201','040000181210','16235',(select max(to_number(i.premium_rcv_detail_code))+1
from ins_premium_det i),'16235','16235','02', '11000003','00','Request by Mr. Omair Ali 22-Oct-2024 allocation 22Oct240201');</v>
      </c>
    </row>
    <row r="284" spans="1:8" ht="105" x14ac:dyDescent="0.25">
      <c r="A284" t="s">
        <v>412</v>
      </c>
      <c r="B284" s="51" t="str">
        <f>VLOOKUP(A284,policy!B:C,2,0)</f>
        <v>040000181214</v>
      </c>
      <c r="C284" s="46">
        <v>14960</v>
      </c>
      <c r="D284" s="46">
        <v>14960</v>
      </c>
      <c r="E284" s="50" t="s">
        <v>3673</v>
      </c>
      <c r="F284" s="52" t="str">
        <f t="shared" si="12"/>
        <v>insert into ins_premium_det (premium_rcv_code,assorted_code, rec_amount,premium_rcv_detail_code,remaining_amt, payrec, mode_code,coinsurance_code,class_cd,it_remarks) values</v>
      </c>
      <c r="G284" s="53" t="str">
        <f t="shared" si="13"/>
        <v>('22Oct240201','040000181214','14960',(select max(to_number(i.premium_rcv_detail_code))+1
from ins_premium_det i),'14960','14960','02', '11000003','00','Request by Mr. Omair Ali 22-Oct-2024 allocation 22Oct240201');</v>
      </c>
      <c r="H284" s="54" t="str">
        <f t="shared" si="14"/>
        <v>insert into ins_premium_det (premium_rcv_code,assorted_code, rec_amount,premium_rcv_detail_code,remaining_amt, payrec, mode_code,coinsurance_code,class_cd,it_remarks) values('22Oct240201','040000181214','14960',(select max(to_number(i.premium_rcv_detail_code))+1
from ins_premium_det i),'14960','14960','02', '11000003','00','Request by Mr. Omair Ali 22-Oct-2024 allocation 22Oct240201');</v>
      </c>
    </row>
    <row r="285" spans="1:8" ht="105" x14ac:dyDescent="0.25">
      <c r="A285" t="s">
        <v>413</v>
      </c>
      <c r="B285" s="51" t="str">
        <f>VLOOKUP(A285,policy!B:C,2,0)</f>
        <v>040000181215</v>
      </c>
      <c r="C285" s="46">
        <v>14960</v>
      </c>
      <c r="D285" s="46">
        <v>14960</v>
      </c>
      <c r="E285" s="50" t="s">
        <v>3673</v>
      </c>
      <c r="F285" s="52" t="str">
        <f t="shared" si="12"/>
        <v>insert into ins_premium_det (premium_rcv_code,assorted_code, rec_amount,premium_rcv_detail_code,remaining_amt, payrec, mode_code,coinsurance_code,class_cd,it_remarks) values</v>
      </c>
      <c r="G285" s="53" t="str">
        <f t="shared" si="13"/>
        <v>('22Oct240201','040000181215','14960',(select max(to_number(i.premium_rcv_detail_code))+1
from ins_premium_det i),'14960','14960','02', '11000003','00','Request by Mr. Omair Ali 22-Oct-2024 allocation 22Oct240201');</v>
      </c>
      <c r="H285" s="54" t="str">
        <f t="shared" si="14"/>
        <v>insert into ins_premium_det (premium_rcv_code,assorted_code, rec_amount,premium_rcv_detail_code,remaining_amt, payrec, mode_code,coinsurance_code,class_cd,it_remarks) values('22Oct240201','040000181215','14960',(select max(to_number(i.premium_rcv_detail_code))+1
from ins_premium_det i),'14960','14960','02', '11000003','00','Request by Mr. Omair Ali 22-Oct-2024 allocation 22Oct240201');</v>
      </c>
    </row>
    <row r="286" spans="1:8" ht="105" x14ac:dyDescent="0.25">
      <c r="A286" t="s">
        <v>414</v>
      </c>
      <c r="B286" s="51" t="str">
        <f>VLOOKUP(A286,policy!B:C,2,0)</f>
        <v>040000181217</v>
      </c>
      <c r="C286" s="46">
        <v>14960</v>
      </c>
      <c r="D286" s="46">
        <v>14960</v>
      </c>
      <c r="E286" s="50" t="s">
        <v>3673</v>
      </c>
      <c r="F286" s="52" t="str">
        <f t="shared" si="12"/>
        <v>insert into ins_premium_det (premium_rcv_code,assorted_code, rec_amount,premium_rcv_detail_code,remaining_amt, payrec, mode_code,coinsurance_code,class_cd,it_remarks) values</v>
      </c>
      <c r="G286" s="53" t="str">
        <f t="shared" si="13"/>
        <v>('22Oct240201','040000181217','14960',(select max(to_number(i.premium_rcv_detail_code))+1
from ins_premium_det i),'14960','14960','02', '11000003','00','Request by Mr. Omair Ali 22-Oct-2024 allocation 22Oct240201');</v>
      </c>
      <c r="H286" s="54" t="str">
        <f t="shared" si="14"/>
        <v>insert into ins_premium_det (premium_rcv_code,assorted_code, rec_amount,premium_rcv_detail_code,remaining_amt, payrec, mode_code,coinsurance_code,class_cd,it_remarks) values('22Oct240201','040000181217','14960',(select max(to_number(i.premium_rcv_detail_code))+1
from ins_premium_det i),'14960','14960','02', '11000003','00','Request by Mr. Omair Ali 22-Oct-2024 allocation 22Oct240201');</v>
      </c>
    </row>
    <row r="287" spans="1:8" ht="105" x14ac:dyDescent="0.25">
      <c r="A287" t="s">
        <v>415</v>
      </c>
      <c r="B287" s="51" t="str">
        <f>VLOOKUP(A287,policy!B:C,2,0)</f>
        <v>040000181218</v>
      </c>
      <c r="C287" s="46">
        <v>14960</v>
      </c>
      <c r="D287" s="46">
        <v>14960</v>
      </c>
      <c r="E287" s="50" t="s">
        <v>3673</v>
      </c>
      <c r="F287" s="52" t="str">
        <f t="shared" si="12"/>
        <v>insert into ins_premium_det (premium_rcv_code,assorted_code, rec_amount,premium_rcv_detail_code,remaining_amt, payrec, mode_code,coinsurance_code,class_cd,it_remarks) values</v>
      </c>
      <c r="G287" s="53" t="str">
        <f t="shared" si="13"/>
        <v>('22Oct240201','040000181218','14960',(select max(to_number(i.premium_rcv_detail_code))+1
from ins_premium_det i),'14960','14960','02', '11000003','00','Request by Mr. Omair Ali 22-Oct-2024 allocation 22Oct240201');</v>
      </c>
      <c r="H287" s="54" t="str">
        <f t="shared" si="14"/>
        <v>insert into ins_premium_det (premium_rcv_code,assorted_code, rec_amount,premium_rcv_detail_code,remaining_amt, payrec, mode_code,coinsurance_code,class_cd,it_remarks) values('22Oct240201','040000181218','14960',(select max(to_number(i.premium_rcv_detail_code))+1
from ins_premium_det i),'14960','14960','02', '11000003','00','Request by Mr. Omair Ali 22-Oct-2024 allocation 22Oct240201');</v>
      </c>
    </row>
    <row r="288" spans="1:8" ht="105" x14ac:dyDescent="0.25">
      <c r="A288" t="s">
        <v>416</v>
      </c>
      <c r="B288" s="51" t="str">
        <f>VLOOKUP(A288,policy!B:C,2,0)</f>
        <v>040000181221</v>
      </c>
      <c r="C288" s="46">
        <v>13675</v>
      </c>
      <c r="D288" s="46">
        <v>13675</v>
      </c>
      <c r="E288" s="50" t="s">
        <v>3673</v>
      </c>
      <c r="F288" s="52" t="str">
        <f t="shared" si="12"/>
        <v>insert into ins_premium_det (premium_rcv_code,assorted_code, rec_amount,premium_rcv_detail_code,remaining_amt, payrec, mode_code,coinsurance_code,class_cd,it_remarks) values</v>
      </c>
      <c r="G288" s="53" t="str">
        <f t="shared" si="13"/>
        <v>('22Oct240201','040000181221','13675',(select max(to_number(i.premium_rcv_detail_code))+1
from ins_premium_det i),'13675','13675','02', '11000003','00','Request by Mr. Omair Ali 22-Oct-2024 allocation 22Oct240201');</v>
      </c>
      <c r="H288" s="54" t="str">
        <f t="shared" si="14"/>
        <v>insert into ins_premium_det (premium_rcv_code,assorted_code, rec_amount,premium_rcv_detail_code,remaining_amt, payrec, mode_code,coinsurance_code,class_cd,it_remarks) values('22Oct240201','040000181221','13675',(select max(to_number(i.premium_rcv_detail_code))+1
from ins_premium_det i),'13675','13675','02', '11000003','00','Request by Mr. Omair Ali 22-Oct-2024 allocation 22Oct240201');</v>
      </c>
    </row>
    <row r="289" spans="1:8" ht="105" x14ac:dyDescent="0.25">
      <c r="A289" t="s">
        <v>417</v>
      </c>
      <c r="B289" s="51" t="str">
        <f>VLOOKUP(A289,policy!B:C,2,0)</f>
        <v>040000181222</v>
      </c>
      <c r="C289" s="46">
        <v>14960</v>
      </c>
      <c r="D289" s="46">
        <v>14960</v>
      </c>
      <c r="E289" s="50" t="s">
        <v>3673</v>
      </c>
      <c r="F289" s="52" t="str">
        <f t="shared" si="12"/>
        <v>insert into ins_premium_det (premium_rcv_code,assorted_code, rec_amount,premium_rcv_detail_code,remaining_amt, payrec, mode_code,coinsurance_code,class_cd,it_remarks) values</v>
      </c>
      <c r="G289" s="53" t="str">
        <f t="shared" si="13"/>
        <v>('22Oct240201','040000181222','14960',(select max(to_number(i.premium_rcv_detail_code))+1
from ins_premium_det i),'14960','14960','02', '11000003','00','Request by Mr. Omair Ali 22-Oct-2024 allocation 22Oct240201');</v>
      </c>
      <c r="H289" s="54" t="str">
        <f t="shared" si="14"/>
        <v>insert into ins_premium_det (premium_rcv_code,assorted_code, rec_amount,premium_rcv_detail_code,remaining_amt, payrec, mode_code,coinsurance_code,class_cd,it_remarks) values('22Oct240201','040000181222','14960',(select max(to_number(i.premium_rcv_detail_code))+1
from ins_premium_det i),'14960','14960','02', '11000003','00','Request by Mr. Omair Ali 22-Oct-2024 allocation 22Oct240201');</v>
      </c>
    </row>
    <row r="290" spans="1:8" ht="105" x14ac:dyDescent="0.25">
      <c r="A290" t="s">
        <v>418</v>
      </c>
      <c r="B290" s="51" t="str">
        <f>VLOOKUP(A290,policy!B:C,2,0)</f>
        <v>040000181223</v>
      </c>
      <c r="C290" s="46">
        <v>14960</v>
      </c>
      <c r="D290" s="46">
        <v>14960</v>
      </c>
      <c r="E290" s="50" t="s">
        <v>3673</v>
      </c>
      <c r="F290" s="52" t="str">
        <f t="shared" si="12"/>
        <v>insert into ins_premium_det (premium_rcv_code,assorted_code, rec_amount,premium_rcv_detail_code,remaining_amt, payrec, mode_code,coinsurance_code,class_cd,it_remarks) values</v>
      </c>
      <c r="G290" s="53" t="str">
        <f t="shared" si="13"/>
        <v>('22Oct240201','040000181223','14960',(select max(to_number(i.premium_rcv_detail_code))+1
from ins_premium_det i),'14960','14960','02', '11000003','00','Request by Mr. Omair Ali 22-Oct-2024 allocation 22Oct240201');</v>
      </c>
      <c r="H290" s="54" t="str">
        <f t="shared" si="14"/>
        <v>insert into ins_premium_det (premium_rcv_code,assorted_code, rec_amount,premium_rcv_detail_code,remaining_amt, payrec, mode_code,coinsurance_code,class_cd,it_remarks) values('22Oct240201','040000181223','14960',(select max(to_number(i.premium_rcv_detail_code))+1
from ins_premium_det i),'14960','14960','02', '11000003','00','Request by Mr. Omair Ali 22-Oct-2024 allocation 22Oct240201');</v>
      </c>
    </row>
    <row r="291" spans="1:8" ht="105" x14ac:dyDescent="0.25">
      <c r="A291" t="s">
        <v>419</v>
      </c>
      <c r="B291" s="51" t="str">
        <f>VLOOKUP(A291,policy!B:C,2,0)</f>
        <v>040000181227</v>
      </c>
      <c r="C291" s="46">
        <v>14960</v>
      </c>
      <c r="D291" s="46">
        <v>14960</v>
      </c>
      <c r="E291" s="50" t="s">
        <v>3673</v>
      </c>
      <c r="F291" s="52" t="str">
        <f t="shared" si="12"/>
        <v>insert into ins_premium_det (premium_rcv_code,assorted_code, rec_amount,premium_rcv_detail_code,remaining_amt, payrec, mode_code,coinsurance_code,class_cd,it_remarks) values</v>
      </c>
      <c r="G291" s="53" t="str">
        <f t="shared" si="13"/>
        <v>('22Oct240201','040000181227','14960',(select max(to_number(i.premium_rcv_detail_code))+1
from ins_premium_det i),'14960','14960','02', '11000003','00','Request by Mr. Omair Ali 22-Oct-2024 allocation 22Oct240201');</v>
      </c>
      <c r="H291" s="54" t="str">
        <f t="shared" si="14"/>
        <v>insert into ins_premium_det (premium_rcv_code,assorted_code, rec_amount,premium_rcv_detail_code,remaining_amt, payrec, mode_code,coinsurance_code,class_cd,it_remarks) values('22Oct240201','040000181227','14960',(select max(to_number(i.premium_rcv_detail_code))+1
from ins_premium_det i),'14960','14960','02', '11000003','00','Request by Mr. Omair Ali 22-Oct-2024 allocation 22Oct240201');</v>
      </c>
    </row>
    <row r="292" spans="1:8" ht="105" x14ac:dyDescent="0.25">
      <c r="A292" t="s">
        <v>420</v>
      </c>
      <c r="B292" s="51" t="str">
        <f>VLOOKUP(A292,policy!B:C,2,0)</f>
        <v>040000181228</v>
      </c>
      <c r="C292" s="46">
        <v>14960</v>
      </c>
      <c r="D292" s="46">
        <v>14960</v>
      </c>
      <c r="E292" s="50" t="s">
        <v>3673</v>
      </c>
      <c r="F292" s="52" t="str">
        <f t="shared" si="12"/>
        <v>insert into ins_premium_det (premium_rcv_code,assorted_code, rec_amount,premium_rcv_detail_code,remaining_amt, payrec, mode_code,coinsurance_code,class_cd,it_remarks) values</v>
      </c>
      <c r="G292" s="53" t="str">
        <f t="shared" si="13"/>
        <v>('22Oct240201','040000181228','14960',(select max(to_number(i.premium_rcv_detail_code))+1
from ins_premium_det i),'14960','14960','02', '11000003','00','Request by Mr. Omair Ali 22-Oct-2024 allocation 22Oct240201');</v>
      </c>
      <c r="H292" s="54" t="str">
        <f t="shared" si="14"/>
        <v>insert into ins_premium_det (premium_rcv_code,assorted_code, rec_amount,premium_rcv_detail_code,remaining_amt, payrec, mode_code,coinsurance_code,class_cd,it_remarks) values('22Oct240201','040000181228','14960',(select max(to_number(i.premium_rcv_detail_code))+1
from ins_premium_det i),'14960','14960','02', '11000003','00','Request by Mr. Omair Ali 22-Oct-2024 allocation 22Oct240201');</v>
      </c>
    </row>
    <row r="293" spans="1:8" ht="105" x14ac:dyDescent="0.25">
      <c r="A293" t="s">
        <v>421</v>
      </c>
      <c r="B293" s="51" t="str">
        <f>VLOOKUP(A293,policy!B:C,2,0)</f>
        <v>040000181231</v>
      </c>
      <c r="C293" s="46">
        <v>14960</v>
      </c>
      <c r="D293" s="46">
        <v>14960</v>
      </c>
      <c r="E293" s="50" t="s">
        <v>3673</v>
      </c>
      <c r="F293" s="52" t="str">
        <f t="shared" si="12"/>
        <v>insert into ins_premium_det (premium_rcv_code,assorted_code, rec_amount,premium_rcv_detail_code,remaining_amt, payrec, mode_code,coinsurance_code,class_cd,it_remarks) values</v>
      </c>
      <c r="G293" s="53" t="str">
        <f t="shared" si="13"/>
        <v>('22Oct240201','040000181231','14960',(select max(to_number(i.premium_rcv_detail_code))+1
from ins_premium_det i),'14960','14960','02', '11000003','00','Request by Mr. Omair Ali 22-Oct-2024 allocation 22Oct240201');</v>
      </c>
      <c r="H293" s="54" t="str">
        <f t="shared" si="14"/>
        <v>insert into ins_premium_det (premium_rcv_code,assorted_code, rec_amount,premium_rcv_detail_code,remaining_amt, payrec, mode_code,coinsurance_code,class_cd,it_remarks) values('22Oct240201','040000181231','14960',(select max(to_number(i.premium_rcv_detail_code))+1
from ins_premium_det i),'14960','14960','02', '11000003','00','Request by Mr. Omair Ali 22-Oct-2024 allocation 22Oct240201');</v>
      </c>
    </row>
    <row r="294" spans="1:8" ht="105" x14ac:dyDescent="0.25">
      <c r="A294" t="s">
        <v>422</v>
      </c>
      <c r="B294" s="51" t="str">
        <f>VLOOKUP(A294,policy!B:C,2,0)</f>
        <v>040000181234</v>
      </c>
      <c r="C294" s="46">
        <v>9550</v>
      </c>
      <c r="D294" s="46">
        <v>9550</v>
      </c>
      <c r="E294" s="50" t="s">
        <v>3673</v>
      </c>
      <c r="F294" s="52" t="str">
        <f t="shared" si="12"/>
        <v>insert into ins_premium_det (premium_rcv_code,assorted_code, rec_amount,premium_rcv_detail_code,remaining_amt, payrec, mode_code,coinsurance_code,class_cd,it_remarks) values</v>
      </c>
      <c r="G294" s="53" t="str">
        <f t="shared" si="13"/>
        <v>('22Oct240201','040000181234','9550',(select max(to_number(i.premium_rcv_detail_code))+1
from ins_premium_det i),'9550','9550','02', '11000003','00','Request by Mr. Omair Ali 22-Oct-2024 allocation 22Oct240201');</v>
      </c>
      <c r="H294" s="54" t="str">
        <f t="shared" si="14"/>
        <v>insert into ins_premium_det (premium_rcv_code,assorted_code, rec_amount,premium_rcv_detail_code,remaining_amt, payrec, mode_code,coinsurance_code,class_cd,it_remarks) values('22Oct240201','040000181234','9550',(select max(to_number(i.premium_rcv_detail_code))+1
from ins_premium_det i),'9550','9550','02', '11000003','00','Request by Mr. Omair Ali 22-Oct-2024 allocation 22Oct240201');</v>
      </c>
    </row>
    <row r="295" spans="1:8" ht="105" x14ac:dyDescent="0.25">
      <c r="A295" t="s">
        <v>423</v>
      </c>
      <c r="B295" s="51" t="str">
        <f>VLOOKUP(A295,policy!B:C,2,0)</f>
        <v>040000181235</v>
      </c>
      <c r="C295" s="46">
        <v>9550</v>
      </c>
      <c r="D295" s="46">
        <v>9550</v>
      </c>
      <c r="E295" s="50" t="s">
        <v>3673</v>
      </c>
      <c r="F295" s="52" t="str">
        <f t="shared" si="12"/>
        <v>insert into ins_premium_det (premium_rcv_code,assorted_code, rec_amount,premium_rcv_detail_code,remaining_amt, payrec, mode_code,coinsurance_code,class_cd,it_remarks) values</v>
      </c>
      <c r="G295" s="53" t="str">
        <f t="shared" si="13"/>
        <v>('22Oct240201','040000181235','9550',(select max(to_number(i.premium_rcv_detail_code))+1
from ins_premium_det i),'9550','9550','02', '11000003','00','Request by Mr. Omair Ali 22-Oct-2024 allocation 22Oct240201');</v>
      </c>
      <c r="H295" s="54" t="str">
        <f t="shared" si="14"/>
        <v>insert into ins_premium_det (premium_rcv_code,assorted_code, rec_amount,premium_rcv_detail_code,remaining_amt, payrec, mode_code,coinsurance_code,class_cd,it_remarks) values('22Oct240201','040000181235','9550',(select max(to_number(i.premium_rcv_detail_code))+1
from ins_premium_det i),'9550','9550','02', '11000003','00','Request by Mr. Omair Ali 22-Oct-2024 allocation 22Oct240201');</v>
      </c>
    </row>
    <row r="296" spans="1:8" ht="105" x14ac:dyDescent="0.25">
      <c r="A296" t="s">
        <v>424</v>
      </c>
      <c r="B296" s="51" t="str">
        <f>VLOOKUP(A296,policy!B:C,2,0)</f>
        <v>040000181240</v>
      </c>
      <c r="C296" s="46">
        <v>9550</v>
      </c>
      <c r="D296" s="46">
        <v>9550</v>
      </c>
      <c r="E296" s="50" t="s">
        <v>3673</v>
      </c>
      <c r="F296" s="52" t="str">
        <f t="shared" si="12"/>
        <v>insert into ins_premium_det (premium_rcv_code,assorted_code, rec_amount,premium_rcv_detail_code,remaining_amt, payrec, mode_code,coinsurance_code,class_cd,it_remarks) values</v>
      </c>
      <c r="G296" s="53" t="str">
        <f t="shared" si="13"/>
        <v>('22Oct240201','040000181240','9550',(select max(to_number(i.premium_rcv_detail_code))+1
from ins_premium_det i),'9550','9550','02', '11000003','00','Request by Mr. Omair Ali 22-Oct-2024 allocation 22Oct240201');</v>
      </c>
      <c r="H296" s="54" t="str">
        <f t="shared" si="14"/>
        <v>insert into ins_premium_det (premium_rcv_code,assorted_code, rec_amount,premium_rcv_detail_code,remaining_amt, payrec, mode_code,coinsurance_code,class_cd,it_remarks) values('22Oct240201','040000181240','9550',(select max(to_number(i.premium_rcv_detail_code))+1
from ins_premium_det i),'9550','9550','02', '11000003','00','Request by Mr. Omair Ali 22-Oct-2024 allocation 22Oct240201');</v>
      </c>
    </row>
    <row r="297" spans="1:8" ht="105" x14ac:dyDescent="0.25">
      <c r="A297" t="s">
        <v>425</v>
      </c>
      <c r="B297" s="51" t="str">
        <f>VLOOKUP(A297,policy!B:C,2,0)</f>
        <v>040000181241</v>
      </c>
      <c r="C297" s="46">
        <v>8800</v>
      </c>
      <c r="D297" s="46">
        <v>8800</v>
      </c>
      <c r="E297" s="50" t="s">
        <v>3673</v>
      </c>
      <c r="F297" s="52" t="str">
        <f t="shared" si="12"/>
        <v>insert into ins_premium_det (premium_rcv_code,assorted_code, rec_amount,premium_rcv_detail_code,remaining_amt, payrec, mode_code,coinsurance_code,class_cd,it_remarks) values</v>
      </c>
      <c r="G297" s="53" t="str">
        <f t="shared" si="13"/>
        <v>('22Oct240201','040000181241','8800',(select max(to_number(i.premium_rcv_detail_code))+1
from ins_premium_det i),'8800','8800','02', '11000003','00','Request by Mr. Omair Ali 22-Oct-2024 allocation 22Oct240201');</v>
      </c>
      <c r="H297" s="54" t="str">
        <f t="shared" si="14"/>
        <v>insert into ins_premium_det (premium_rcv_code,assorted_code, rec_amount,premium_rcv_detail_code,remaining_amt, payrec, mode_code,coinsurance_code,class_cd,it_remarks) values('22Oct240201','040000181241','8800',(select max(to_number(i.premium_rcv_detail_code))+1
from ins_premium_det i),'8800','8800','02', '11000003','00','Request by Mr. Omair Ali 22-Oct-2024 allocation 22Oct240201');</v>
      </c>
    </row>
    <row r="298" spans="1:8" ht="105" x14ac:dyDescent="0.25">
      <c r="A298" t="s">
        <v>426</v>
      </c>
      <c r="B298" s="51" t="str">
        <f>VLOOKUP(A298,policy!B:C,2,0)</f>
        <v>040000181242</v>
      </c>
      <c r="C298" s="46">
        <v>8800</v>
      </c>
      <c r="D298" s="46">
        <v>8800</v>
      </c>
      <c r="E298" s="50" t="s">
        <v>3673</v>
      </c>
      <c r="F298" s="52" t="str">
        <f t="shared" si="12"/>
        <v>insert into ins_premium_det (premium_rcv_code,assorted_code, rec_amount,premium_rcv_detail_code,remaining_amt, payrec, mode_code,coinsurance_code,class_cd,it_remarks) values</v>
      </c>
      <c r="G298" s="53" t="str">
        <f t="shared" si="13"/>
        <v>('22Oct240201','040000181242','8800',(select max(to_number(i.premium_rcv_detail_code))+1
from ins_premium_det i),'8800','8800','02', '11000003','00','Request by Mr. Omair Ali 22-Oct-2024 allocation 22Oct240201');</v>
      </c>
      <c r="H298" s="54" t="str">
        <f t="shared" si="14"/>
        <v>insert into ins_premium_det (premium_rcv_code,assorted_code, rec_amount,premium_rcv_detail_code,remaining_amt, payrec, mode_code,coinsurance_code,class_cd,it_remarks) values('22Oct240201','040000181242','8800',(select max(to_number(i.premium_rcv_detail_code))+1
from ins_premium_det i),'8800','8800','02', '11000003','00','Request by Mr. Omair Ali 22-Oct-2024 allocation 22Oct240201');</v>
      </c>
    </row>
    <row r="299" spans="1:8" ht="105" x14ac:dyDescent="0.25">
      <c r="A299" t="s">
        <v>427</v>
      </c>
      <c r="B299" s="51" t="str">
        <f>VLOOKUP(A299,policy!B:C,2,0)</f>
        <v>040000181245</v>
      </c>
      <c r="C299" s="46">
        <v>22355</v>
      </c>
      <c r="D299" s="46">
        <v>22355</v>
      </c>
      <c r="E299" s="50" t="s">
        <v>3673</v>
      </c>
      <c r="F299" s="52" t="str">
        <f t="shared" si="12"/>
        <v>insert into ins_premium_det (premium_rcv_code,assorted_code, rec_amount,premium_rcv_detail_code,remaining_amt, payrec, mode_code,coinsurance_code,class_cd,it_remarks) values</v>
      </c>
      <c r="G299" s="53" t="str">
        <f t="shared" si="13"/>
        <v>('22Oct240201','040000181245','22355',(select max(to_number(i.premium_rcv_detail_code))+1
from ins_premium_det i),'22355','22355','02', '11000003','00','Request by Mr. Omair Ali 22-Oct-2024 allocation 22Oct240201');</v>
      </c>
      <c r="H299" s="54" t="str">
        <f t="shared" si="14"/>
        <v>insert into ins_premium_det (premium_rcv_code,assorted_code, rec_amount,premium_rcv_detail_code,remaining_amt, payrec, mode_code,coinsurance_code,class_cd,it_remarks) values('22Oct240201','040000181245','22355',(select max(to_number(i.premium_rcv_detail_code))+1
from ins_premium_det i),'22355','22355','02', '11000003','00','Request by Mr. Omair Ali 22-Oct-2024 allocation 22Oct240201');</v>
      </c>
    </row>
    <row r="300" spans="1:8" ht="105" x14ac:dyDescent="0.25">
      <c r="A300" t="s">
        <v>428</v>
      </c>
      <c r="B300" s="51" t="str">
        <f>VLOOKUP(A300,policy!B:C,2,0)</f>
        <v>040000181246</v>
      </c>
      <c r="C300" s="46">
        <v>8800</v>
      </c>
      <c r="D300" s="46">
        <v>8800</v>
      </c>
      <c r="E300" s="50" t="s">
        <v>3673</v>
      </c>
      <c r="F300" s="52" t="str">
        <f t="shared" si="12"/>
        <v>insert into ins_premium_det (premium_rcv_code,assorted_code, rec_amount,premium_rcv_detail_code,remaining_amt, payrec, mode_code,coinsurance_code,class_cd,it_remarks) values</v>
      </c>
      <c r="G300" s="53" t="str">
        <f t="shared" si="13"/>
        <v>('22Oct240201','040000181246','8800',(select max(to_number(i.premium_rcv_detail_code))+1
from ins_premium_det i),'8800','8800','02', '11000003','00','Request by Mr. Omair Ali 22-Oct-2024 allocation 22Oct240201');</v>
      </c>
      <c r="H300" s="54" t="str">
        <f t="shared" si="14"/>
        <v>insert into ins_premium_det (premium_rcv_code,assorted_code, rec_amount,premium_rcv_detail_code,remaining_amt, payrec, mode_code,coinsurance_code,class_cd,it_remarks) values('22Oct240201','040000181246','8800',(select max(to_number(i.premium_rcv_detail_code))+1
from ins_premium_det i),'8800','8800','02', '11000003','00','Request by Mr. Omair Ali 22-Oct-2024 allocation 22Oct240201');</v>
      </c>
    </row>
    <row r="301" spans="1:8" ht="105" x14ac:dyDescent="0.25">
      <c r="A301" t="s">
        <v>429</v>
      </c>
      <c r="B301" s="51" t="str">
        <f>VLOOKUP(A301,policy!B:C,2,0)</f>
        <v>040000181247</v>
      </c>
      <c r="C301" s="46">
        <v>9550</v>
      </c>
      <c r="D301" s="46">
        <v>9550</v>
      </c>
      <c r="E301" s="50" t="s">
        <v>3673</v>
      </c>
      <c r="F301" s="52" t="str">
        <f t="shared" si="12"/>
        <v>insert into ins_premium_det (premium_rcv_code,assorted_code, rec_amount,premium_rcv_detail_code,remaining_amt, payrec, mode_code,coinsurance_code,class_cd,it_remarks) values</v>
      </c>
      <c r="G301" s="53" t="str">
        <f t="shared" si="13"/>
        <v>('22Oct240201','040000181247','9550',(select max(to_number(i.premium_rcv_detail_code))+1
from ins_premium_det i),'9550','9550','02', '11000003','00','Request by Mr. Omair Ali 22-Oct-2024 allocation 22Oct240201');</v>
      </c>
      <c r="H301" s="54" t="str">
        <f t="shared" si="14"/>
        <v>insert into ins_premium_det (premium_rcv_code,assorted_code, rec_amount,premium_rcv_detail_code,remaining_amt, payrec, mode_code,coinsurance_code,class_cd,it_remarks) values('22Oct240201','040000181247','9550',(select max(to_number(i.premium_rcv_detail_code))+1
from ins_premium_det i),'9550','9550','02', '11000003','00','Request by Mr. Omair Ali 22-Oct-2024 allocation 22Oct240201');</v>
      </c>
    </row>
    <row r="302" spans="1:8" ht="105" x14ac:dyDescent="0.25">
      <c r="A302" t="s">
        <v>430</v>
      </c>
      <c r="B302" s="51" t="str">
        <f>VLOOKUP(A302,policy!B:C,2,0)</f>
        <v>040000181248</v>
      </c>
      <c r="C302" s="46">
        <v>13675</v>
      </c>
      <c r="D302" s="46">
        <v>13675</v>
      </c>
      <c r="E302" s="50" t="s">
        <v>3673</v>
      </c>
      <c r="F302" s="52" t="str">
        <f t="shared" si="12"/>
        <v>insert into ins_premium_det (premium_rcv_code,assorted_code, rec_amount,premium_rcv_detail_code,remaining_amt, payrec, mode_code,coinsurance_code,class_cd,it_remarks) values</v>
      </c>
      <c r="G302" s="53" t="str">
        <f t="shared" si="13"/>
        <v>('22Oct240201','040000181248','13675',(select max(to_number(i.premium_rcv_detail_code))+1
from ins_premium_det i),'13675','13675','02', '11000003','00','Request by Mr. Omair Ali 22-Oct-2024 allocation 22Oct240201');</v>
      </c>
      <c r="H302" s="54" t="str">
        <f t="shared" si="14"/>
        <v>insert into ins_premium_det (premium_rcv_code,assorted_code, rec_amount,premium_rcv_detail_code,remaining_amt, payrec, mode_code,coinsurance_code,class_cd,it_remarks) values('22Oct240201','040000181248','13675',(select max(to_number(i.premium_rcv_detail_code))+1
from ins_premium_det i),'13675','13675','02', '11000003','00','Request by Mr. Omair Ali 22-Oct-2024 allocation 22Oct240201');</v>
      </c>
    </row>
    <row r="303" spans="1:8" ht="105" x14ac:dyDescent="0.25">
      <c r="A303" t="s">
        <v>431</v>
      </c>
      <c r="B303" s="51" t="str">
        <f>VLOOKUP(A303,policy!B:C,2,0)</f>
        <v>040000181249</v>
      </c>
      <c r="C303" s="46">
        <v>8800</v>
      </c>
      <c r="D303" s="46">
        <v>8800</v>
      </c>
      <c r="E303" s="50" t="s">
        <v>3673</v>
      </c>
      <c r="F303" s="52" t="str">
        <f t="shared" si="12"/>
        <v>insert into ins_premium_det (premium_rcv_code,assorted_code, rec_amount,premium_rcv_detail_code,remaining_amt, payrec, mode_code,coinsurance_code,class_cd,it_remarks) values</v>
      </c>
      <c r="G303" s="53" t="str">
        <f t="shared" si="13"/>
        <v>('22Oct240201','040000181249','8800',(select max(to_number(i.premium_rcv_detail_code))+1
from ins_premium_det i),'8800','8800','02', '11000003','00','Request by Mr. Omair Ali 22-Oct-2024 allocation 22Oct240201');</v>
      </c>
      <c r="H303" s="54" t="str">
        <f t="shared" si="14"/>
        <v>insert into ins_premium_det (premium_rcv_code,assorted_code, rec_amount,premium_rcv_detail_code,remaining_amt, payrec, mode_code,coinsurance_code,class_cd,it_remarks) values('22Oct240201','040000181249','8800',(select max(to_number(i.premium_rcv_detail_code))+1
from ins_premium_det i),'8800','8800','02', '11000003','00','Request by Mr. Omair Ali 22-Oct-2024 allocation 22Oct240201');</v>
      </c>
    </row>
    <row r="304" spans="1:8" ht="105" x14ac:dyDescent="0.25">
      <c r="A304" t="s">
        <v>432</v>
      </c>
      <c r="B304" s="51" t="str">
        <f>VLOOKUP(A304,policy!B:C,2,0)</f>
        <v>040000181250</v>
      </c>
      <c r="C304" s="46">
        <v>8800</v>
      </c>
      <c r="D304" s="46">
        <v>8800</v>
      </c>
      <c r="E304" s="50" t="s">
        <v>3673</v>
      </c>
      <c r="F304" s="52" t="str">
        <f t="shared" si="12"/>
        <v>insert into ins_premium_det (premium_rcv_code,assorted_code, rec_amount,premium_rcv_detail_code,remaining_amt, payrec, mode_code,coinsurance_code,class_cd,it_remarks) values</v>
      </c>
      <c r="G304" s="53" t="str">
        <f t="shared" si="13"/>
        <v>('22Oct240201','040000181250','8800',(select max(to_number(i.premium_rcv_detail_code))+1
from ins_premium_det i),'8800','8800','02', '11000003','00','Request by Mr. Omair Ali 22-Oct-2024 allocation 22Oct240201');</v>
      </c>
      <c r="H304" s="54" t="str">
        <f t="shared" si="14"/>
        <v>insert into ins_premium_det (premium_rcv_code,assorted_code, rec_amount,premium_rcv_detail_code,remaining_amt, payrec, mode_code,coinsurance_code,class_cd,it_remarks) values('22Oct240201','040000181250','8800',(select max(to_number(i.premium_rcv_detail_code))+1
from ins_premium_det i),'8800','8800','02', '11000003','00','Request by Mr. Omair Ali 22-Oct-2024 allocation 22Oct240201');</v>
      </c>
    </row>
    <row r="305" spans="1:8" ht="105" x14ac:dyDescent="0.25">
      <c r="A305" t="s">
        <v>433</v>
      </c>
      <c r="B305" s="51" t="str">
        <f>VLOOKUP(A305,policy!B:C,2,0)</f>
        <v>040000181251</v>
      </c>
      <c r="C305" s="46">
        <v>8800</v>
      </c>
      <c r="D305" s="46">
        <v>8800</v>
      </c>
      <c r="E305" s="50" t="s">
        <v>3673</v>
      </c>
      <c r="F305" s="52" t="str">
        <f t="shared" si="12"/>
        <v>insert into ins_premium_det (premium_rcv_code,assorted_code, rec_amount,premium_rcv_detail_code,remaining_amt, payrec, mode_code,coinsurance_code,class_cd,it_remarks) values</v>
      </c>
      <c r="G305" s="53" t="str">
        <f t="shared" si="13"/>
        <v>('22Oct240201','040000181251','8800',(select max(to_number(i.premium_rcv_detail_code))+1
from ins_premium_det i),'8800','8800','02', '11000003','00','Request by Mr. Omair Ali 22-Oct-2024 allocation 22Oct240201');</v>
      </c>
      <c r="H305" s="54" t="str">
        <f t="shared" si="14"/>
        <v>insert into ins_premium_det (premium_rcv_code,assorted_code, rec_amount,premium_rcv_detail_code,remaining_amt, payrec, mode_code,coinsurance_code,class_cd,it_remarks) values('22Oct240201','040000181251','8800',(select max(to_number(i.premium_rcv_detail_code))+1
from ins_premium_det i),'8800','8800','02', '11000003','00','Request by Mr. Omair Ali 22-Oct-2024 allocation 22Oct240201');</v>
      </c>
    </row>
    <row r="306" spans="1:8" ht="105" x14ac:dyDescent="0.25">
      <c r="A306" t="s">
        <v>434</v>
      </c>
      <c r="B306" s="51" t="str">
        <f>VLOOKUP(A306,policy!B:C,2,0)</f>
        <v>040000181253</v>
      </c>
      <c r="C306" s="46">
        <v>8800</v>
      </c>
      <c r="D306" s="46">
        <v>8800</v>
      </c>
      <c r="E306" s="50" t="s">
        <v>3673</v>
      </c>
      <c r="F306" s="52" t="str">
        <f t="shared" si="12"/>
        <v>insert into ins_premium_det (premium_rcv_code,assorted_code, rec_amount,premium_rcv_detail_code,remaining_amt, payrec, mode_code,coinsurance_code,class_cd,it_remarks) values</v>
      </c>
      <c r="G306" s="53" t="str">
        <f t="shared" si="13"/>
        <v>('22Oct240201','040000181253','8800',(select max(to_number(i.premium_rcv_detail_code))+1
from ins_premium_det i),'8800','8800','02', '11000003','00','Request by Mr. Omair Ali 22-Oct-2024 allocation 22Oct240201');</v>
      </c>
      <c r="H306" s="54" t="str">
        <f t="shared" si="14"/>
        <v>insert into ins_premium_det (premium_rcv_code,assorted_code, rec_amount,premium_rcv_detail_code,remaining_amt, payrec, mode_code,coinsurance_code,class_cd,it_remarks) values('22Oct240201','040000181253','8800',(select max(to_number(i.premium_rcv_detail_code))+1
from ins_premium_det i),'8800','8800','02', '11000003','00','Request by Mr. Omair Ali 22-Oct-2024 allocation 22Oct240201');</v>
      </c>
    </row>
    <row r="307" spans="1:8" ht="105" x14ac:dyDescent="0.25">
      <c r="A307" t="s">
        <v>435</v>
      </c>
      <c r="B307" s="51" t="str">
        <f>VLOOKUP(A307,policy!B:C,2,0)</f>
        <v>040000181254</v>
      </c>
      <c r="C307" s="46">
        <v>13675</v>
      </c>
      <c r="D307" s="46">
        <v>13675</v>
      </c>
      <c r="E307" s="50" t="s">
        <v>3673</v>
      </c>
      <c r="F307" s="52" t="str">
        <f t="shared" si="12"/>
        <v>insert into ins_premium_det (premium_rcv_code,assorted_code, rec_amount,premium_rcv_detail_code,remaining_amt, payrec, mode_code,coinsurance_code,class_cd,it_remarks) values</v>
      </c>
      <c r="G307" s="53" t="str">
        <f t="shared" si="13"/>
        <v>('22Oct240201','040000181254','13675',(select max(to_number(i.premium_rcv_detail_code))+1
from ins_premium_det i),'13675','13675','02', '11000003','00','Request by Mr. Omair Ali 22-Oct-2024 allocation 22Oct240201');</v>
      </c>
      <c r="H307" s="54" t="str">
        <f t="shared" si="14"/>
        <v>insert into ins_premium_det (premium_rcv_code,assorted_code, rec_amount,premium_rcv_detail_code,remaining_amt, payrec, mode_code,coinsurance_code,class_cd,it_remarks) values('22Oct240201','040000181254','13675',(select max(to_number(i.premium_rcv_detail_code))+1
from ins_premium_det i),'13675','13675','02', '11000003','00','Request by Mr. Omair Ali 22-Oct-2024 allocation 22Oct240201');</v>
      </c>
    </row>
    <row r="308" spans="1:8" ht="105" x14ac:dyDescent="0.25">
      <c r="A308" t="s">
        <v>436</v>
      </c>
      <c r="B308" s="51" t="str">
        <f>VLOOKUP(A308,policy!B:C,2,0)</f>
        <v>040000181255</v>
      </c>
      <c r="C308" s="46">
        <v>8800</v>
      </c>
      <c r="D308" s="46">
        <v>8800</v>
      </c>
      <c r="E308" s="50" t="s">
        <v>3673</v>
      </c>
      <c r="F308" s="52" t="str">
        <f t="shared" si="12"/>
        <v>insert into ins_premium_det (premium_rcv_code,assorted_code, rec_amount,premium_rcv_detail_code,remaining_amt, payrec, mode_code,coinsurance_code,class_cd,it_remarks) values</v>
      </c>
      <c r="G308" s="53" t="str">
        <f t="shared" si="13"/>
        <v>('22Oct240201','040000181255','8800',(select max(to_number(i.premium_rcv_detail_code))+1
from ins_premium_det i),'8800','8800','02', '11000003','00','Request by Mr. Omair Ali 22-Oct-2024 allocation 22Oct240201');</v>
      </c>
      <c r="H308" s="54" t="str">
        <f t="shared" si="14"/>
        <v>insert into ins_premium_det (premium_rcv_code,assorted_code, rec_amount,premium_rcv_detail_code,remaining_amt, payrec, mode_code,coinsurance_code,class_cd,it_remarks) values('22Oct240201','040000181255','8800',(select max(to_number(i.premium_rcv_detail_code))+1
from ins_premium_det i),'8800','8800','02', '11000003','00','Request by Mr. Omair Ali 22-Oct-2024 allocation 22Oct240201');</v>
      </c>
    </row>
    <row r="309" spans="1:8" ht="105" x14ac:dyDescent="0.25">
      <c r="A309" t="s">
        <v>437</v>
      </c>
      <c r="B309" s="51" t="str">
        <f>VLOOKUP(A309,policy!B:C,2,0)</f>
        <v>040000181256</v>
      </c>
      <c r="C309" s="46">
        <v>14365</v>
      </c>
      <c r="D309" s="46">
        <v>14365</v>
      </c>
      <c r="E309" s="50" t="s">
        <v>3673</v>
      </c>
      <c r="F309" s="52" t="str">
        <f t="shared" si="12"/>
        <v>insert into ins_premium_det (premium_rcv_code,assorted_code, rec_amount,premium_rcv_detail_code,remaining_amt, payrec, mode_code,coinsurance_code,class_cd,it_remarks) values</v>
      </c>
      <c r="G309" s="53" t="str">
        <f t="shared" si="13"/>
        <v>('22Oct240201','040000181256','14365',(select max(to_number(i.premium_rcv_detail_code))+1
from ins_premium_det i),'14365','14365','02', '11000003','00','Request by Mr. Omair Ali 22-Oct-2024 allocation 22Oct240201');</v>
      </c>
      <c r="H309" s="54" t="str">
        <f t="shared" si="14"/>
        <v>insert into ins_premium_det (premium_rcv_code,assorted_code, rec_amount,premium_rcv_detail_code,remaining_amt, payrec, mode_code,coinsurance_code,class_cd,it_remarks) values('22Oct240201','040000181256','14365',(select max(to_number(i.premium_rcv_detail_code))+1
from ins_premium_det i),'14365','14365','02', '11000003','00','Request by Mr. Omair Ali 22-Oct-2024 allocation 22Oct240201');</v>
      </c>
    </row>
    <row r="310" spans="1:8" ht="105" x14ac:dyDescent="0.25">
      <c r="A310" t="s">
        <v>438</v>
      </c>
      <c r="B310" s="51" t="str">
        <f>VLOOKUP(A310,policy!B:C,2,0)</f>
        <v>040000181257</v>
      </c>
      <c r="C310" s="46">
        <v>8800</v>
      </c>
      <c r="D310" s="46">
        <v>8800</v>
      </c>
      <c r="E310" s="50" t="s">
        <v>3673</v>
      </c>
      <c r="F310" s="52" t="str">
        <f t="shared" si="12"/>
        <v>insert into ins_premium_det (premium_rcv_code,assorted_code, rec_amount,premium_rcv_detail_code,remaining_amt, payrec, mode_code,coinsurance_code,class_cd,it_remarks) values</v>
      </c>
      <c r="G310" s="53" t="str">
        <f t="shared" si="13"/>
        <v>('22Oct240201','040000181257','8800',(select max(to_number(i.premium_rcv_detail_code))+1
from ins_premium_det i),'8800','8800','02', '11000003','00','Request by Mr. Omair Ali 22-Oct-2024 allocation 22Oct240201');</v>
      </c>
      <c r="H310" s="54" t="str">
        <f t="shared" si="14"/>
        <v>insert into ins_premium_det (premium_rcv_code,assorted_code, rec_amount,premium_rcv_detail_code,remaining_amt, payrec, mode_code,coinsurance_code,class_cd,it_remarks) values('22Oct240201','040000181257','8800',(select max(to_number(i.premium_rcv_detail_code))+1
from ins_premium_det i),'8800','8800','02', '11000003','00','Request by Mr. Omair Ali 22-Oct-2024 allocation 22Oct240201');</v>
      </c>
    </row>
    <row r="311" spans="1:8" ht="105" x14ac:dyDescent="0.25">
      <c r="A311" t="s">
        <v>439</v>
      </c>
      <c r="B311" s="51" t="str">
        <f>VLOOKUP(A311,policy!B:C,2,0)</f>
        <v>040000181258</v>
      </c>
      <c r="C311" s="46">
        <v>8800</v>
      </c>
      <c r="D311" s="46">
        <v>8800</v>
      </c>
      <c r="E311" s="50" t="s">
        <v>3673</v>
      </c>
      <c r="F311" s="52" t="str">
        <f t="shared" si="12"/>
        <v>insert into ins_premium_det (premium_rcv_code,assorted_code, rec_amount,premium_rcv_detail_code,remaining_amt, payrec, mode_code,coinsurance_code,class_cd,it_remarks) values</v>
      </c>
      <c r="G311" s="53" t="str">
        <f t="shared" si="13"/>
        <v>('22Oct240201','040000181258','8800',(select max(to_number(i.premium_rcv_detail_code))+1
from ins_premium_det i),'8800','8800','02', '11000003','00','Request by Mr. Omair Ali 22-Oct-2024 allocation 22Oct240201');</v>
      </c>
      <c r="H311" s="54" t="str">
        <f t="shared" si="14"/>
        <v>insert into ins_premium_det (premium_rcv_code,assorted_code, rec_amount,premium_rcv_detail_code,remaining_amt, payrec, mode_code,coinsurance_code,class_cd,it_remarks) values('22Oct240201','040000181258','8800',(select max(to_number(i.premium_rcv_detail_code))+1
from ins_premium_det i),'8800','8800','02', '11000003','00','Request by Mr. Omair Ali 22-Oct-2024 allocation 22Oct240201');</v>
      </c>
    </row>
    <row r="312" spans="1:8" ht="105" x14ac:dyDescent="0.25">
      <c r="A312" t="s">
        <v>440</v>
      </c>
      <c r="B312" s="51" t="str">
        <f>VLOOKUP(A312,policy!B:C,2,0)</f>
        <v>040000181266</v>
      </c>
      <c r="C312" s="46">
        <v>12475</v>
      </c>
      <c r="D312" s="46">
        <v>12475</v>
      </c>
      <c r="E312" s="50" t="s">
        <v>3673</v>
      </c>
      <c r="F312" s="52" t="str">
        <f t="shared" si="12"/>
        <v>insert into ins_premium_det (premium_rcv_code,assorted_code, rec_amount,premium_rcv_detail_code,remaining_amt, payrec, mode_code,coinsurance_code,class_cd,it_remarks) values</v>
      </c>
      <c r="G312" s="53" t="str">
        <f t="shared" si="13"/>
        <v>('22Oct240201','040000181266','12475',(select max(to_number(i.premium_rcv_detail_code))+1
from ins_premium_det i),'12475','12475','02', '11000003','00','Request by Mr. Omair Ali 22-Oct-2024 allocation 22Oct240201');</v>
      </c>
      <c r="H312" s="54" t="str">
        <f t="shared" si="14"/>
        <v>insert into ins_premium_det (premium_rcv_code,assorted_code, rec_amount,premium_rcv_detail_code,remaining_amt, payrec, mode_code,coinsurance_code,class_cd,it_remarks) values('22Oct240201','040000181266','12475',(select max(to_number(i.premium_rcv_detail_code))+1
from ins_premium_det i),'12475','12475','02', '11000003','00','Request by Mr. Omair Ali 22-Oct-2024 allocation 22Oct240201');</v>
      </c>
    </row>
    <row r="313" spans="1:8" ht="105" x14ac:dyDescent="0.25">
      <c r="A313" t="s">
        <v>441</v>
      </c>
      <c r="B313" s="51" t="str">
        <f>VLOOKUP(A313,policy!B:C,2,0)</f>
        <v>040000181267</v>
      </c>
      <c r="C313" s="46">
        <v>8800</v>
      </c>
      <c r="D313" s="46">
        <v>8800</v>
      </c>
      <c r="E313" s="50" t="s">
        <v>3673</v>
      </c>
      <c r="F313" s="52" t="str">
        <f t="shared" si="12"/>
        <v>insert into ins_premium_det (premium_rcv_code,assorted_code, rec_amount,premium_rcv_detail_code,remaining_amt, payrec, mode_code,coinsurance_code,class_cd,it_remarks) values</v>
      </c>
      <c r="G313" s="53" t="str">
        <f t="shared" si="13"/>
        <v>('22Oct240201','040000181267','8800',(select max(to_number(i.premium_rcv_detail_code))+1
from ins_premium_det i),'8800','8800','02', '11000003','00','Request by Mr. Omair Ali 22-Oct-2024 allocation 22Oct240201');</v>
      </c>
      <c r="H313" s="54" t="str">
        <f t="shared" si="14"/>
        <v>insert into ins_premium_det (premium_rcv_code,assorted_code, rec_amount,premium_rcv_detail_code,remaining_amt, payrec, mode_code,coinsurance_code,class_cd,it_remarks) values('22Oct240201','040000181267','8800',(select max(to_number(i.premium_rcv_detail_code))+1
from ins_premium_det i),'8800','8800','02', '11000003','00','Request by Mr. Omair Ali 22-Oct-2024 allocation 22Oct240201');</v>
      </c>
    </row>
    <row r="314" spans="1:8" ht="105" x14ac:dyDescent="0.25">
      <c r="A314" t="s">
        <v>442</v>
      </c>
      <c r="B314" s="51" t="str">
        <f>VLOOKUP(A314,policy!B:C,2,0)</f>
        <v>040000181268</v>
      </c>
      <c r="C314" s="46">
        <v>8800</v>
      </c>
      <c r="D314" s="46">
        <v>8800</v>
      </c>
      <c r="E314" s="50" t="s">
        <v>3673</v>
      </c>
      <c r="F314" s="52" t="str">
        <f t="shared" si="12"/>
        <v>insert into ins_premium_det (premium_rcv_code,assorted_code, rec_amount,premium_rcv_detail_code,remaining_amt, payrec, mode_code,coinsurance_code,class_cd,it_remarks) values</v>
      </c>
      <c r="G314" s="53" t="str">
        <f t="shared" si="13"/>
        <v>('22Oct240201','040000181268','8800',(select max(to_number(i.premium_rcv_detail_code))+1
from ins_premium_det i),'8800','8800','02', '11000003','00','Request by Mr. Omair Ali 22-Oct-2024 allocation 22Oct240201');</v>
      </c>
      <c r="H314" s="54" t="str">
        <f t="shared" si="14"/>
        <v>insert into ins_premium_det (premium_rcv_code,assorted_code, rec_amount,premium_rcv_detail_code,remaining_amt, payrec, mode_code,coinsurance_code,class_cd,it_remarks) values('22Oct240201','040000181268','8800',(select max(to_number(i.premium_rcv_detail_code))+1
from ins_premium_det i),'8800','8800','02', '11000003','00','Request by Mr. Omair Ali 22-Oct-2024 allocation 22Oct240201');</v>
      </c>
    </row>
    <row r="315" spans="1:8" ht="105" x14ac:dyDescent="0.25">
      <c r="A315" t="s">
        <v>443</v>
      </c>
      <c r="B315" s="51" t="str">
        <f>VLOOKUP(A315,policy!B:C,2,0)</f>
        <v>040000181269</v>
      </c>
      <c r="C315" s="46">
        <v>16235</v>
      </c>
      <c r="D315" s="46">
        <v>16235</v>
      </c>
      <c r="E315" s="50" t="s">
        <v>3673</v>
      </c>
      <c r="F315" s="52" t="str">
        <f t="shared" si="12"/>
        <v>insert into ins_premium_det (premium_rcv_code,assorted_code, rec_amount,premium_rcv_detail_code,remaining_amt, payrec, mode_code,coinsurance_code,class_cd,it_remarks) values</v>
      </c>
      <c r="G315" s="53" t="str">
        <f t="shared" si="13"/>
        <v>('22Oct240201','040000181269','16235',(select max(to_number(i.premium_rcv_detail_code))+1
from ins_premium_det i),'16235','16235','02', '11000003','00','Request by Mr. Omair Ali 22-Oct-2024 allocation 22Oct240201');</v>
      </c>
      <c r="H315" s="54" t="str">
        <f t="shared" si="14"/>
        <v>insert into ins_premium_det (premium_rcv_code,assorted_code, rec_amount,premium_rcv_detail_code,remaining_amt, payrec, mode_code,coinsurance_code,class_cd,it_remarks) values('22Oct240201','040000181269','16235',(select max(to_number(i.premium_rcv_detail_code))+1
from ins_premium_det i),'16235','16235','02', '11000003','00','Request by Mr. Omair Ali 22-Oct-2024 allocation 22Oct240201');</v>
      </c>
    </row>
    <row r="316" spans="1:8" ht="105" x14ac:dyDescent="0.25">
      <c r="A316" t="s">
        <v>444</v>
      </c>
      <c r="B316" s="51" t="str">
        <f>VLOOKUP(A316,policy!B:C,2,0)</f>
        <v>040000181270</v>
      </c>
      <c r="C316" s="46">
        <v>16235</v>
      </c>
      <c r="D316" s="46">
        <v>16235</v>
      </c>
      <c r="E316" s="50" t="s">
        <v>3673</v>
      </c>
      <c r="F316" s="52" t="str">
        <f t="shared" si="12"/>
        <v>insert into ins_premium_det (premium_rcv_code,assorted_code, rec_amount,premium_rcv_detail_code,remaining_amt, payrec, mode_code,coinsurance_code,class_cd,it_remarks) values</v>
      </c>
      <c r="G316" s="53" t="str">
        <f t="shared" si="13"/>
        <v>('22Oct240201','040000181270','16235',(select max(to_number(i.premium_rcv_detail_code))+1
from ins_premium_det i),'16235','16235','02', '11000003','00','Request by Mr. Omair Ali 22-Oct-2024 allocation 22Oct240201');</v>
      </c>
      <c r="H316" s="54" t="str">
        <f t="shared" si="14"/>
        <v>insert into ins_premium_det (premium_rcv_code,assorted_code, rec_amount,premium_rcv_detail_code,remaining_amt, payrec, mode_code,coinsurance_code,class_cd,it_remarks) values('22Oct240201','040000181270','16235',(select max(to_number(i.premium_rcv_detail_code))+1
from ins_premium_det i),'16235','16235','02', '11000003','00','Request by Mr. Omair Ali 22-Oct-2024 allocation 22Oct240201');</v>
      </c>
    </row>
    <row r="317" spans="1:8" ht="105" x14ac:dyDescent="0.25">
      <c r="A317" t="s">
        <v>445</v>
      </c>
      <c r="B317" s="51" t="str">
        <f>VLOOKUP(A317,policy!B:C,2,0)</f>
        <v>040000181271</v>
      </c>
      <c r="C317" s="46">
        <v>9550</v>
      </c>
      <c r="D317" s="46">
        <v>9550</v>
      </c>
      <c r="E317" s="50" t="s">
        <v>3673</v>
      </c>
      <c r="F317" s="52" t="str">
        <f t="shared" si="12"/>
        <v>insert into ins_premium_det (premium_rcv_code,assorted_code, rec_amount,premium_rcv_detail_code,remaining_amt, payrec, mode_code,coinsurance_code,class_cd,it_remarks) values</v>
      </c>
      <c r="G317" s="53" t="str">
        <f t="shared" si="13"/>
        <v>('22Oct240201','040000181271','9550',(select max(to_number(i.premium_rcv_detail_code))+1
from ins_premium_det i),'9550','9550','02', '11000003','00','Request by Mr. Omair Ali 22-Oct-2024 allocation 22Oct240201');</v>
      </c>
      <c r="H317" s="54" t="str">
        <f t="shared" si="14"/>
        <v>insert into ins_premium_det (premium_rcv_code,assorted_code, rec_amount,premium_rcv_detail_code,remaining_amt, payrec, mode_code,coinsurance_code,class_cd,it_remarks) values('22Oct240201','040000181271','9550',(select max(to_number(i.premium_rcv_detail_code))+1
from ins_premium_det i),'9550','9550','02', '11000003','00','Request by Mr. Omair Ali 22-Oct-2024 allocation 22Oct240201');</v>
      </c>
    </row>
    <row r="318" spans="1:8" ht="105" x14ac:dyDescent="0.25">
      <c r="A318" t="s">
        <v>446</v>
      </c>
      <c r="B318" s="51" t="str">
        <f>VLOOKUP(A318,policy!B:C,2,0)</f>
        <v>040000181272</v>
      </c>
      <c r="C318" s="46">
        <v>13675</v>
      </c>
      <c r="D318" s="46">
        <v>13675</v>
      </c>
      <c r="E318" s="50" t="s">
        <v>3673</v>
      </c>
      <c r="F318" s="52" t="str">
        <f t="shared" si="12"/>
        <v>insert into ins_premium_det (premium_rcv_code,assorted_code, rec_amount,premium_rcv_detail_code,remaining_amt, payrec, mode_code,coinsurance_code,class_cd,it_remarks) values</v>
      </c>
      <c r="G318" s="53" t="str">
        <f t="shared" si="13"/>
        <v>('22Oct240201','040000181272','13675',(select max(to_number(i.premium_rcv_detail_code))+1
from ins_premium_det i),'13675','13675','02', '11000003','00','Request by Mr. Omair Ali 22-Oct-2024 allocation 22Oct240201');</v>
      </c>
      <c r="H318" s="54" t="str">
        <f t="shared" si="14"/>
        <v>insert into ins_premium_det (premium_rcv_code,assorted_code, rec_amount,premium_rcv_detail_code,remaining_amt, payrec, mode_code,coinsurance_code,class_cd,it_remarks) values('22Oct240201','040000181272','13675',(select max(to_number(i.premium_rcv_detail_code))+1
from ins_premium_det i),'13675','13675','02', '11000003','00','Request by Mr. Omair Ali 22-Oct-2024 allocation 22Oct240201');</v>
      </c>
    </row>
    <row r="319" spans="1:8" ht="105" x14ac:dyDescent="0.25">
      <c r="A319" t="s">
        <v>447</v>
      </c>
      <c r="B319" s="51" t="str">
        <f>VLOOKUP(A319,policy!B:C,2,0)</f>
        <v>040000181274</v>
      </c>
      <c r="C319" s="46">
        <v>8800</v>
      </c>
      <c r="D319" s="46">
        <v>8800</v>
      </c>
      <c r="E319" s="50" t="s">
        <v>3673</v>
      </c>
      <c r="F319" s="52" t="str">
        <f t="shared" si="12"/>
        <v>insert into ins_premium_det (premium_rcv_code,assorted_code, rec_amount,premium_rcv_detail_code,remaining_amt, payrec, mode_code,coinsurance_code,class_cd,it_remarks) values</v>
      </c>
      <c r="G319" s="53" t="str">
        <f t="shared" si="13"/>
        <v>('22Oct240201','040000181274','8800',(select max(to_number(i.premium_rcv_detail_code))+1
from ins_premium_det i),'8800','8800','02', '11000003','00','Request by Mr. Omair Ali 22-Oct-2024 allocation 22Oct240201');</v>
      </c>
      <c r="H319" s="54" t="str">
        <f t="shared" si="14"/>
        <v>insert into ins_premium_det (premium_rcv_code,assorted_code, rec_amount,premium_rcv_detail_code,remaining_amt, payrec, mode_code,coinsurance_code,class_cd,it_remarks) values('22Oct240201','040000181274','8800',(select max(to_number(i.premium_rcv_detail_code))+1
from ins_premium_det i),'8800','8800','02', '11000003','00','Request by Mr. Omair Ali 22-Oct-2024 allocation 22Oct240201');</v>
      </c>
    </row>
    <row r="320" spans="1:8" ht="105" x14ac:dyDescent="0.25">
      <c r="A320" t="s">
        <v>448</v>
      </c>
      <c r="B320" s="51" t="str">
        <f>VLOOKUP(A320,policy!B:C,2,0)</f>
        <v>040000181276</v>
      </c>
      <c r="C320" s="46">
        <v>14960</v>
      </c>
      <c r="D320" s="46">
        <v>14960</v>
      </c>
      <c r="E320" s="50" t="s">
        <v>3673</v>
      </c>
      <c r="F320" s="52" t="str">
        <f t="shared" si="12"/>
        <v>insert into ins_premium_det (premium_rcv_code,assorted_code, rec_amount,premium_rcv_detail_code,remaining_amt, payrec, mode_code,coinsurance_code,class_cd,it_remarks) values</v>
      </c>
      <c r="G320" s="53" t="str">
        <f t="shared" si="13"/>
        <v>('22Oct240201','040000181276','14960',(select max(to_number(i.premium_rcv_detail_code))+1
from ins_premium_det i),'14960','14960','02', '11000003','00','Request by Mr. Omair Ali 22-Oct-2024 allocation 22Oct240201');</v>
      </c>
      <c r="H320" s="54" t="str">
        <f t="shared" si="14"/>
        <v>insert into ins_premium_det (premium_rcv_code,assorted_code, rec_amount,premium_rcv_detail_code,remaining_amt, payrec, mode_code,coinsurance_code,class_cd,it_remarks) values('22Oct240201','040000181276','14960',(select max(to_number(i.premium_rcv_detail_code))+1
from ins_premium_det i),'14960','14960','02', '11000003','00','Request by Mr. Omair Ali 22-Oct-2024 allocation 22Oct240201');</v>
      </c>
    </row>
    <row r="321" spans="1:8" ht="105" x14ac:dyDescent="0.25">
      <c r="A321" t="s">
        <v>449</v>
      </c>
      <c r="B321" s="51" t="str">
        <f>VLOOKUP(A321,policy!B:C,2,0)</f>
        <v>040000181277</v>
      </c>
      <c r="C321" s="46">
        <v>14960</v>
      </c>
      <c r="D321" s="46">
        <v>14960</v>
      </c>
      <c r="E321" s="50" t="s">
        <v>3673</v>
      </c>
      <c r="F321" s="52" t="str">
        <f t="shared" si="12"/>
        <v>insert into ins_premium_det (premium_rcv_code,assorted_code, rec_amount,premium_rcv_detail_code,remaining_amt, payrec, mode_code,coinsurance_code,class_cd,it_remarks) values</v>
      </c>
      <c r="G321" s="53" t="str">
        <f t="shared" si="13"/>
        <v>('22Oct240201','040000181277','14960',(select max(to_number(i.premium_rcv_detail_code))+1
from ins_premium_det i),'14960','14960','02', '11000003','00','Request by Mr. Omair Ali 22-Oct-2024 allocation 22Oct240201');</v>
      </c>
      <c r="H321" s="54" t="str">
        <f t="shared" si="14"/>
        <v>insert into ins_premium_det (premium_rcv_code,assorted_code, rec_amount,premium_rcv_detail_code,remaining_amt, payrec, mode_code,coinsurance_code,class_cd,it_remarks) values('22Oct240201','040000181277','14960',(select max(to_number(i.premium_rcv_detail_code))+1
from ins_premium_det i),'14960','14960','02', '11000003','00','Request by Mr. Omair Ali 22-Oct-2024 allocation 22Oct240201');</v>
      </c>
    </row>
    <row r="322" spans="1:8" ht="105" x14ac:dyDescent="0.25">
      <c r="A322" t="s">
        <v>450</v>
      </c>
      <c r="B322" s="51" t="str">
        <f>VLOOKUP(A322,policy!B:C,2,0)</f>
        <v>040000181278</v>
      </c>
      <c r="C322" s="46">
        <v>16235</v>
      </c>
      <c r="D322" s="46">
        <v>16235</v>
      </c>
      <c r="E322" s="50" t="s">
        <v>3673</v>
      </c>
      <c r="F322" s="52" t="str">
        <f t="shared" ref="F322:F385" si="15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22" s="53" t="str">
        <f t="shared" si="13"/>
        <v>('22Oct240201','040000181278','16235',(select max(to_number(i.premium_rcv_detail_code))+1
from ins_premium_det i),'16235','16235','02', '11000003','00','Request by Mr. Omair Ali 22-Oct-2024 allocation 22Oct240201');</v>
      </c>
      <c r="H322" s="54" t="str">
        <f t="shared" si="14"/>
        <v>insert into ins_premium_det (premium_rcv_code,assorted_code, rec_amount,premium_rcv_detail_code,remaining_amt, payrec, mode_code,coinsurance_code,class_cd,it_remarks) values('22Oct240201','040000181278','16235',(select max(to_number(i.premium_rcv_detail_code))+1
from ins_premium_det i),'16235','16235','02', '11000003','00','Request by Mr. Omair Ali 22-Oct-2024 allocation 22Oct240201');</v>
      </c>
    </row>
    <row r="323" spans="1:8" ht="105" x14ac:dyDescent="0.25">
      <c r="A323" t="s">
        <v>451</v>
      </c>
      <c r="B323" s="51" t="str">
        <f>VLOOKUP(A323,policy!B:C,2,0)</f>
        <v>040000181279</v>
      </c>
      <c r="C323" s="46">
        <v>16235</v>
      </c>
      <c r="D323" s="46">
        <v>16235</v>
      </c>
      <c r="E323" s="50" t="s">
        <v>3673</v>
      </c>
      <c r="F323" s="52" t="str">
        <f t="shared" si="15"/>
        <v>insert into ins_premium_det (premium_rcv_code,assorted_code, rec_amount,premium_rcv_detail_code,remaining_amt, payrec, mode_code,coinsurance_code,class_cd,it_remarks) values</v>
      </c>
      <c r="G323" s="53" t="str">
        <f t="shared" ref="G323:G386" si="16">"('"&amp;E323&amp;"','"&amp;B323&amp;"','"&amp;D323&amp;"',(select max(to_number(i.premium_rcv_detail_code))+1
from ins_premium_det i),'"&amp;D323&amp;"','"&amp;D323&amp;"','02', '11000003','00','Request by Mr. Omair Ali 22-Oct-2024 allocation 22Oct240201');"</f>
        <v>('22Oct240201','040000181279','16235',(select max(to_number(i.premium_rcv_detail_code))+1
from ins_premium_det i),'16235','16235','02', '11000003','00','Request by Mr. Omair Ali 22-Oct-2024 allocation 22Oct240201');</v>
      </c>
      <c r="H323" s="54" t="str">
        <f t="shared" ref="H323:H386" si="17">F323&amp;G323</f>
        <v>insert into ins_premium_det (premium_rcv_code,assorted_code, rec_amount,premium_rcv_detail_code,remaining_amt, payrec, mode_code,coinsurance_code,class_cd,it_remarks) values('22Oct240201','040000181279','16235',(select max(to_number(i.premium_rcv_detail_code))+1
from ins_premium_det i),'16235','16235','02', '11000003','00','Request by Mr. Omair Ali 22-Oct-2024 allocation 22Oct240201');</v>
      </c>
    </row>
    <row r="324" spans="1:8" ht="105" x14ac:dyDescent="0.25">
      <c r="A324" t="s">
        <v>452</v>
      </c>
      <c r="B324" s="51" t="str">
        <f>VLOOKUP(A324,policy!B:C,2,0)</f>
        <v>040000181281</v>
      </c>
      <c r="C324" s="46">
        <v>12475</v>
      </c>
      <c r="D324" s="46">
        <v>12475</v>
      </c>
      <c r="E324" s="50" t="s">
        <v>3673</v>
      </c>
      <c r="F324" s="52" t="str">
        <f t="shared" si="15"/>
        <v>insert into ins_premium_det (premium_rcv_code,assorted_code, rec_amount,premium_rcv_detail_code,remaining_amt, payrec, mode_code,coinsurance_code,class_cd,it_remarks) values</v>
      </c>
      <c r="G324" s="53" t="str">
        <f t="shared" si="16"/>
        <v>('22Oct240201','040000181281','12475',(select max(to_number(i.premium_rcv_detail_code))+1
from ins_premium_det i),'12475','12475','02', '11000003','00','Request by Mr. Omair Ali 22-Oct-2024 allocation 22Oct240201');</v>
      </c>
      <c r="H324" s="54" t="str">
        <f t="shared" si="17"/>
        <v>insert into ins_premium_det (premium_rcv_code,assorted_code, rec_amount,premium_rcv_detail_code,remaining_amt, payrec, mode_code,coinsurance_code,class_cd,it_remarks) values('22Oct240201','040000181281','12475',(select max(to_number(i.premium_rcv_detail_code))+1
from ins_premium_det i),'12475','12475','02', '11000003','00','Request by Mr. Omair Ali 22-Oct-2024 allocation 22Oct240201');</v>
      </c>
    </row>
    <row r="325" spans="1:8" ht="105" x14ac:dyDescent="0.25">
      <c r="A325" t="s">
        <v>453</v>
      </c>
      <c r="B325" s="51" t="str">
        <f>VLOOKUP(A325,policy!B:C,2,0)</f>
        <v>040000181283</v>
      </c>
      <c r="C325" s="46">
        <v>9550</v>
      </c>
      <c r="D325" s="46">
        <v>9550</v>
      </c>
      <c r="E325" s="50" t="s">
        <v>3673</v>
      </c>
      <c r="F325" s="52" t="str">
        <f t="shared" si="15"/>
        <v>insert into ins_premium_det (premium_rcv_code,assorted_code, rec_amount,premium_rcv_detail_code,remaining_amt, payrec, mode_code,coinsurance_code,class_cd,it_remarks) values</v>
      </c>
      <c r="G325" s="53" t="str">
        <f t="shared" si="16"/>
        <v>('22Oct240201','040000181283','9550',(select max(to_number(i.premium_rcv_detail_code))+1
from ins_premium_det i),'9550','9550','02', '11000003','00','Request by Mr. Omair Ali 22-Oct-2024 allocation 22Oct240201');</v>
      </c>
      <c r="H325" s="54" t="str">
        <f t="shared" si="17"/>
        <v>insert into ins_premium_det (premium_rcv_code,assorted_code, rec_amount,premium_rcv_detail_code,remaining_amt, payrec, mode_code,coinsurance_code,class_cd,it_remarks) values('22Oct240201','040000181283','9550',(select max(to_number(i.premium_rcv_detail_code))+1
from ins_premium_det i),'9550','9550','02', '11000003','00','Request by Mr. Omair Ali 22-Oct-2024 allocation 22Oct240201');</v>
      </c>
    </row>
    <row r="326" spans="1:8" ht="105" x14ac:dyDescent="0.25">
      <c r="A326" t="s">
        <v>454</v>
      </c>
      <c r="B326" s="51" t="str">
        <f>VLOOKUP(A326,policy!B:C,2,0)</f>
        <v>040000181284</v>
      </c>
      <c r="C326" s="46">
        <v>23248</v>
      </c>
      <c r="D326" s="46">
        <v>23248</v>
      </c>
      <c r="E326" s="50" t="s">
        <v>3673</v>
      </c>
      <c r="F326" s="52" t="str">
        <f t="shared" si="15"/>
        <v>insert into ins_premium_det (premium_rcv_code,assorted_code, rec_amount,premium_rcv_detail_code,remaining_amt, payrec, mode_code,coinsurance_code,class_cd,it_remarks) values</v>
      </c>
      <c r="G326" s="53" t="str">
        <f t="shared" si="16"/>
        <v>('22Oct240201','040000181284','23248',(select max(to_number(i.premium_rcv_detail_code))+1
from ins_premium_det i),'23248','23248','02', '11000003','00','Request by Mr. Omair Ali 22-Oct-2024 allocation 22Oct240201');</v>
      </c>
      <c r="H326" s="54" t="str">
        <f t="shared" si="17"/>
        <v>insert into ins_premium_det (premium_rcv_code,assorted_code, rec_amount,premium_rcv_detail_code,remaining_amt, payrec, mode_code,coinsurance_code,class_cd,it_remarks) values('22Oct240201','040000181284','23248',(select max(to_number(i.premium_rcv_detail_code))+1
from ins_premium_det i),'23248','23248','02', '11000003','00','Request by Mr. Omair Ali 22-Oct-2024 allocation 22Oct240201');</v>
      </c>
    </row>
    <row r="327" spans="1:8" ht="105" x14ac:dyDescent="0.25">
      <c r="A327" t="s">
        <v>455</v>
      </c>
      <c r="B327" s="51" t="str">
        <f>VLOOKUP(A327,policy!B:C,2,0)</f>
        <v>040000181285</v>
      </c>
      <c r="C327" s="46">
        <v>8800</v>
      </c>
      <c r="D327" s="46">
        <v>8800</v>
      </c>
      <c r="E327" s="50" t="s">
        <v>3673</v>
      </c>
      <c r="F327" s="52" t="str">
        <f t="shared" si="15"/>
        <v>insert into ins_premium_det (premium_rcv_code,assorted_code, rec_amount,premium_rcv_detail_code,remaining_amt, payrec, mode_code,coinsurance_code,class_cd,it_remarks) values</v>
      </c>
      <c r="G327" s="53" t="str">
        <f t="shared" si="16"/>
        <v>('22Oct240201','040000181285','8800',(select max(to_number(i.premium_rcv_detail_code))+1
from ins_premium_det i),'8800','8800','02', '11000003','00','Request by Mr. Omair Ali 22-Oct-2024 allocation 22Oct240201');</v>
      </c>
      <c r="H327" s="54" t="str">
        <f t="shared" si="17"/>
        <v>insert into ins_premium_det (premium_rcv_code,assorted_code, rec_amount,premium_rcv_detail_code,remaining_amt, payrec, mode_code,coinsurance_code,class_cd,it_remarks) values('22Oct240201','040000181285','8800',(select max(to_number(i.premium_rcv_detail_code))+1
from ins_premium_det i),'8800','8800','02', '11000003','00','Request by Mr. Omair Ali 22-Oct-2024 allocation 22Oct240201');</v>
      </c>
    </row>
    <row r="328" spans="1:8" ht="105" x14ac:dyDescent="0.25">
      <c r="A328" t="s">
        <v>456</v>
      </c>
      <c r="B328" s="51" t="str">
        <f>VLOOKUP(A328,policy!B:C,2,0)</f>
        <v>040000181286</v>
      </c>
      <c r="C328" s="46">
        <v>14960</v>
      </c>
      <c r="D328" s="46">
        <v>14960</v>
      </c>
      <c r="E328" s="50" t="s">
        <v>3673</v>
      </c>
      <c r="F328" s="52" t="str">
        <f t="shared" si="15"/>
        <v>insert into ins_premium_det (premium_rcv_code,assorted_code, rec_amount,premium_rcv_detail_code,remaining_amt, payrec, mode_code,coinsurance_code,class_cd,it_remarks) values</v>
      </c>
      <c r="G328" s="53" t="str">
        <f t="shared" si="16"/>
        <v>('22Oct240201','040000181286','14960',(select max(to_number(i.premium_rcv_detail_code))+1
from ins_premium_det i),'14960','14960','02', '11000003','00','Request by Mr. Omair Ali 22-Oct-2024 allocation 22Oct240201');</v>
      </c>
      <c r="H328" s="54" t="str">
        <f t="shared" si="17"/>
        <v>insert into ins_premium_det (premium_rcv_code,assorted_code, rec_amount,premium_rcv_detail_code,remaining_amt, payrec, mode_code,coinsurance_code,class_cd,it_remarks) values('22Oct240201','040000181286','14960',(select max(to_number(i.premium_rcv_detail_code))+1
from ins_premium_det i),'14960','14960','02', '11000003','00','Request by Mr. Omair Ali 22-Oct-2024 allocation 22Oct240201');</v>
      </c>
    </row>
    <row r="329" spans="1:8" ht="105" x14ac:dyDescent="0.25">
      <c r="A329" t="s">
        <v>457</v>
      </c>
      <c r="B329" s="51" t="str">
        <f>VLOOKUP(A329,policy!B:C,2,0)</f>
        <v>040000181287</v>
      </c>
      <c r="C329" s="46">
        <v>14960</v>
      </c>
      <c r="D329" s="46">
        <v>14960</v>
      </c>
      <c r="E329" s="50" t="s">
        <v>3673</v>
      </c>
      <c r="F329" s="52" t="str">
        <f t="shared" si="15"/>
        <v>insert into ins_premium_det (premium_rcv_code,assorted_code, rec_amount,premium_rcv_detail_code,remaining_amt, payrec, mode_code,coinsurance_code,class_cd,it_remarks) values</v>
      </c>
      <c r="G329" s="53" t="str">
        <f t="shared" si="16"/>
        <v>('22Oct240201','040000181287','14960',(select max(to_number(i.premium_rcv_detail_code))+1
from ins_premium_det i),'14960','14960','02', '11000003','00','Request by Mr. Omair Ali 22-Oct-2024 allocation 22Oct240201');</v>
      </c>
      <c r="H329" s="54" t="str">
        <f t="shared" si="17"/>
        <v>insert into ins_premium_det (premium_rcv_code,assorted_code, rec_amount,premium_rcv_detail_code,remaining_amt, payrec, mode_code,coinsurance_code,class_cd,it_remarks) values('22Oct240201','040000181287','14960',(select max(to_number(i.premium_rcv_detail_code))+1
from ins_premium_det i),'14960','14960','02', '11000003','00','Request by Mr. Omair Ali 22-Oct-2024 allocation 22Oct240201');</v>
      </c>
    </row>
    <row r="330" spans="1:8" ht="105" x14ac:dyDescent="0.25">
      <c r="A330" t="s">
        <v>458</v>
      </c>
      <c r="B330" s="51" t="str">
        <f>VLOOKUP(A330,policy!B:C,2,0)</f>
        <v>040000181288</v>
      </c>
      <c r="C330" s="46">
        <v>8800</v>
      </c>
      <c r="D330" s="46">
        <v>8800</v>
      </c>
      <c r="E330" s="50" t="s">
        <v>3673</v>
      </c>
      <c r="F330" s="52" t="str">
        <f t="shared" si="15"/>
        <v>insert into ins_premium_det (premium_rcv_code,assorted_code, rec_amount,premium_rcv_detail_code,remaining_amt, payrec, mode_code,coinsurance_code,class_cd,it_remarks) values</v>
      </c>
      <c r="G330" s="53" t="str">
        <f t="shared" si="16"/>
        <v>('22Oct240201','040000181288','8800',(select max(to_number(i.premium_rcv_detail_code))+1
from ins_premium_det i),'8800','8800','02', '11000003','00','Request by Mr. Omair Ali 22-Oct-2024 allocation 22Oct240201');</v>
      </c>
      <c r="H330" s="54" t="str">
        <f t="shared" si="17"/>
        <v>insert into ins_premium_det (premium_rcv_code,assorted_code, rec_amount,premium_rcv_detail_code,remaining_amt, payrec, mode_code,coinsurance_code,class_cd,it_remarks) values('22Oct240201','040000181288','8800',(select max(to_number(i.premium_rcv_detail_code))+1
from ins_premium_det i),'8800','8800','02', '11000003','00','Request by Mr. Omair Ali 22-Oct-2024 allocation 22Oct240201');</v>
      </c>
    </row>
    <row r="331" spans="1:8" ht="105" x14ac:dyDescent="0.25">
      <c r="A331" t="s">
        <v>459</v>
      </c>
      <c r="B331" s="51" t="str">
        <f>VLOOKUP(A331,policy!B:C,2,0)</f>
        <v>040000181291</v>
      </c>
      <c r="C331" s="46">
        <v>14960</v>
      </c>
      <c r="D331" s="46">
        <v>14960</v>
      </c>
      <c r="E331" s="50" t="s">
        <v>3673</v>
      </c>
      <c r="F331" s="52" t="str">
        <f t="shared" si="15"/>
        <v>insert into ins_premium_det (premium_rcv_code,assorted_code, rec_amount,premium_rcv_detail_code,remaining_amt, payrec, mode_code,coinsurance_code,class_cd,it_remarks) values</v>
      </c>
      <c r="G331" s="53" t="str">
        <f t="shared" si="16"/>
        <v>('22Oct240201','040000181291','14960',(select max(to_number(i.premium_rcv_detail_code))+1
from ins_premium_det i),'14960','14960','02', '11000003','00','Request by Mr. Omair Ali 22-Oct-2024 allocation 22Oct240201');</v>
      </c>
      <c r="H331" s="54" t="str">
        <f t="shared" si="17"/>
        <v>insert into ins_premium_det (premium_rcv_code,assorted_code, rec_amount,premium_rcv_detail_code,remaining_amt, payrec, mode_code,coinsurance_code,class_cd,it_remarks) values('22Oct240201','040000181291','14960',(select max(to_number(i.premium_rcv_detail_code))+1
from ins_premium_det i),'14960','14960','02', '11000003','00','Request by Mr. Omair Ali 22-Oct-2024 allocation 22Oct240201');</v>
      </c>
    </row>
    <row r="332" spans="1:8" ht="105" x14ac:dyDescent="0.25">
      <c r="A332" t="s">
        <v>460</v>
      </c>
      <c r="B332" s="51" t="str">
        <f>VLOOKUP(A332,policy!B:C,2,0)</f>
        <v>040000181292</v>
      </c>
      <c r="C332" s="46">
        <v>14960</v>
      </c>
      <c r="D332" s="46">
        <v>14960</v>
      </c>
      <c r="E332" s="50" t="s">
        <v>3673</v>
      </c>
      <c r="F332" s="52" t="str">
        <f t="shared" si="15"/>
        <v>insert into ins_premium_det (premium_rcv_code,assorted_code, rec_amount,premium_rcv_detail_code,remaining_amt, payrec, mode_code,coinsurance_code,class_cd,it_remarks) values</v>
      </c>
      <c r="G332" s="53" t="str">
        <f t="shared" si="16"/>
        <v>('22Oct240201','040000181292','14960',(select max(to_number(i.premium_rcv_detail_code))+1
from ins_premium_det i),'14960','14960','02', '11000003','00','Request by Mr. Omair Ali 22-Oct-2024 allocation 22Oct240201');</v>
      </c>
      <c r="H332" s="54" t="str">
        <f t="shared" si="17"/>
        <v>insert into ins_premium_det (premium_rcv_code,assorted_code, rec_amount,premium_rcv_detail_code,remaining_amt, payrec, mode_code,coinsurance_code,class_cd,it_remarks) values('22Oct240201','040000181292','14960',(select max(to_number(i.premium_rcv_detail_code))+1
from ins_premium_det i),'14960','14960','02', '11000003','00','Request by Mr. Omair Ali 22-Oct-2024 allocation 22Oct240201');</v>
      </c>
    </row>
    <row r="333" spans="1:8" ht="105" x14ac:dyDescent="0.25">
      <c r="A333" t="s">
        <v>461</v>
      </c>
      <c r="B333" s="51" t="str">
        <f>VLOOKUP(A333,policy!B:C,2,0)</f>
        <v>040000181293</v>
      </c>
      <c r="C333" s="46">
        <v>14960</v>
      </c>
      <c r="D333" s="46">
        <v>14960</v>
      </c>
      <c r="E333" s="50" t="s">
        <v>3673</v>
      </c>
      <c r="F333" s="52" t="str">
        <f t="shared" si="15"/>
        <v>insert into ins_premium_det (premium_rcv_code,assorted_code, rec_amount,premium_rcv_detail_code,remaining_amt, payrec, mode_code,coinsurance_code,class_cd,it_remarks) values</v>
      </c>
      <c r="G333" s="53" t="str">
        <f t="shared" si="16"/>
        <v>('22Oct240201','040000181293','14960',(select max(to_number(i.premium_rcv_detail_code))+1
from ins_premium_det i),'14960','14960','02', '11000003','00','Request by Mr. Omair Ali 22-Oct-2024 allocation 22Oct240201');</v>
      </c>
      <c r="H333" s="54" t="str">
        <f t="shared" si="17"/>
        <v>insert into ins_premium_det (premium_rcv_code,assorted_code, rec_amount,premium_rcv_detail_code,remaining_amt, payrec, mode_code,coinsurance_code,class_cd,it_remarks) values('22Oct240201','040000181293','14960',(select max(to_number(i.premium_rcv_detail_code))+1
from ins_premium_det i),'14960','14960','02', '11000003','00','Request by Mr. Omair Ali 22-Oct-2024 allocation 22Oct240201');</v>
      </c>
    </row>
    <row r="334" spans="1:8" ht="105" x14ac:dyDescent="0.25">
      <c r="A334" t="s">
        <v>462</v>
      </c>
      <c r="B334" s="51" t="str">
        <f>VLOOKUP(A334,policy!B:C,2,0)</f>
        <v>040000181294</v>
      </c>
      <c r="C334" s="46">
        <v>14960</v>
      </c>
      <c r="D334" s="46">
        <v>14960</v>
      </c>
      <c r="E334" s="50" t="s">
        <v>3673</v>
      </c>
      <c r="F334" s="52" t="str">
        <f t="shared" si="15"/>
        <v>insert into ins_premium_det (premium_rcv_code,assorted_code, rec_amount,premium_rcv_detail_code,remaining_amt, payrec, mode_code,coinsurance_code,class_cd,it_remarks) values</v>
      </c>
      <c r="G334" s="53" t="str">
        <f t="shared" si="16"/>
        <v>('22Oct240201','040000181294','14960',(select max(to_number(i.premium_rcv_detail_code))+1
from ins_premium_det i),'14960','14960','02', '11000003','00','Request by Mr. Omair Ali 22-Oct-2024 allocation 22Oct240201');</v>
      </c>
      <c r="H334" s="54" t="str">
        <f t="shared" si="17"/>
        <v>insert into ins_premium_det (premium_rcv_code,assorted_code, rec_amount,premium_rcv_detail_code,remaining_amt, payrec, mode_code,coinsurance_code,class_cd,it_remarks) values('22Oct240201','040000181294','14960',(select max(to_number(i.premium_rcv_detail_code))+1
from ins_premium_det i),'14960','14960','02', '11000003','00','Request by Mr. Omair Ali 22-Oct-2024 allocation 22Oct240201');</v>
      </c>
    </row>
    <row r="335" spans="1:8" ht="105" x14ac:dyDescent="0.25">
      <c r="A335" t="s">
        <v>463</v>
      </c>
      <c r="B335" s="51" t="str">
        <f>VLOOKUP(A335,policy!B:C,2,0)</f>
        <v>040000181295</v>
      </c>
      <c r="C335" s="46">
        <v>14960</v>
      </c>
      <c r="D335" s="46">
        <v>14960</v>
      </c>
      <c r="E335" s="50" t="s">
        <v>3673</v>
      </c>
      <c r="F335" s="52" t="str">
        <f t="shared" si="15"/>
        <v>insert into ins_premium_det (premium_rcv_code,assorted_code, rec_amount,premium_rcv_detail_code,remaining_amt, payrec, mode_code,coinsurance_code,class_cd,it_remarks) values</v>
      </c>
      <c r="G335" s="53" t="str">
        <f t="shared" si="16"/>
        <v>('22Oct240201','040000181295','14960',(select max(to_number(i.premium_rcv_detail_code))+1
from ins_premium_det i),'14960','14960','02', '11000003','00','Request by Mr. Omair Ali 22-Oct-2024 allocation 22Oct240201');</v>
      </c>
      <c r="H335" s="54" t="str">
        <f t="shared" si="17"/>
        <v>insert into ins_premium_det (premium_rcv_code,assorted_code, rec_amount,premium_rcv_detail_code,remaining_amt, payrec, mode_code,coinsurance_code,class_cd,it_remarks) values('22Oct240201','040000181295','14960',(select max(to_number(i.premium_rcv_detail_code))+1
from ins_premium_det i),'14960','14960','02', '11000003','00','Request by Mr. Omair Ali 22-Oct-2024 allocation 22Oct240201');</v>
      </c>
    </row>
    <row r="336" spans="1:8" ht="105" x14ac:dyDescent="0.25">
      <c r="A336" t="s">
        <v>464</v>
      </c>
      <c r="B336" s="51" t="str">
        <f>VLOOKUP(A336,policy!B:C,2,0)</f>
        <v>040000181296</v>
      </c>
      <c r="C336" s="46">
        <v>14960</v>
      </c>
      <c r="D336" s="46">
        <v>14960</v>
      </c>
      <c r="E336" s="50" t="s">
        <v>3673</v>
      </c>
      <c r="F336" s="52" t="str">
        <f t="shared" si="15"/>
        <v>insert into ins_premium_det (premium_rcv_code,assorted_code, rec_amount,premium_rcv_detail_code,remaining_amt, payrec, mode_code,coinsurance_code,class_cd,it_remarks) values</v>
      </c>
      <c r="G336" s="53" t="str">
        <f t="shared" si="16"/>
        <v>('22Oct240201','040000181296','14960',(select max(to_number(i.premium_rcv_detail_code))+1
from ins_premium_det i),'14960','14960','02', '11000003','00','Request by Mr. Omair Ali 22-Oct-2024 allocation 22Oct240201');</v>
      </c>
      <c r="H336" s="54" t="str">
        <f t="shared" si="17"/>
        <v>insert into ins_premium_det (premium_rcv_code,assorted_code, rec_amount,premium_rcv_detail_code,remaining_amt, payrec, mode_code,coinsurance_code,class_cd,it_remarks) values('22Oct240201','040000181296','14960',(select max(to_number(i.premium_rcv_detail_code))+1
from ins_premium_det i),'14960','14960','02', '11000003','00','Request by Mr. Omair Ali 22-Oct-2024 allocation 22Oct240201');</v>
      </c>
    </row>
    <row r="337" spans="1:8" ht="105" x14ac:dyDescent="0.25">
      <c r="A337" t="s">
        <v>465</v>
      </c>
      <c r="B337" s="51" t="str">
        <f>VLOOKUP(A337,policy!B:C,2,0)</f>
        <v>040000181297</v>
      </c>
      <c r="C337" s="46">
        <v>14960</v>
      </c>
      <c r="D337" s="46">
        <v>14960</v>
      </c>
      <c r="E337" s="50" t="s">
        <v>3673</v>
      </c>
      <c r="F337" s="52" t="str">
        <f t="shared" si="15"/>
        <v>insert into ins_premium_det (premium_rcv_code,assorted_code, rec_amount,premium_rcv_detail_code,remaining_amt, payrec, mode_code,coinsurance_code,class_cd,it_remarks) values</v>
      </c>
      <c r="G337" s="53" t="str">
        <f t="shared" si="16"/>
        <v>('22Oct240201','040000181297','14960',(select max(to_number(i.premium_rcv_detail_code))+1
from ins_premium_det i),'14960','14960','02', '11000003','00','Request by Mr. Omair Ali 22-Oct-2024 allocation 22Oct240201');</v>
      </c>
      <c r="H337" s="54" t="str">
        <f t="shared" si="17"/>
        <v>insert into ins_premium_det (premium_rcv_code,assorted_code, rec_amount,premium_rcv_detail_code,remaining_amt, payrec, mode_code,coinsurance_code,class_cd,it_remarks) values('22Oct240201','040000181297','14960',(select max(to_number(i.premium_rcv_detail_code))+1
from ins_premium_det i),'14960','14960','02', '11000003','00','Request by Mr. Omair Ali 22-Oct-2024 allocation 22Oct240201');</v>
      </c>
    </row>
    <row r="338" spans="1:8" ht="105" x14ac:dyDescent="0.25">
      <c r="A338" t="s">
        <v>466</v>
      </c>
      <c r="B338" s="51" t="str">
        <f>VLOOKUP(A338,policy!B:C,2,0)</f>
        <v>040000181298</v>
      </c>
      <c r="C338" s="46">
        <v>16235</v>
      </c>
      <c r="D338" s="46">
        <v>16235</v>
      </c>
      <c r="E338" s="50" t="s">
        <v>3673</v>
      </c>
      <c r="F338" s="52" t="str">
        <f t="shared" si="15"/>
        <v>insert into ins_premium_det (premium_rcv_code,assorted_code, rec_amount,premium_rcv_detail_code,remaining_amt, payrec, mode_code,coinsurance_code,class_cd,it_remarks) values</v>
      </c>
      <c r="G338" s="53" t="str">
        <f t="shared" si="16"/>
        <v>('22Oct240201','040000181298','16235',(select max(to_number(i.premium_rcv_detail_code))+1
from ins_premium_det i),'16235','16235','02', '11000003','00','Request by Mr. Omair Ali 22-Oct-2024 allocation 22Oct240201');</v>
      </c>
      <c r="H338" s="54" t="str">
        <f t="shared" si="17"/>
        <v>insert into ins_premium_det (premium_rcv_code,assorted_code, rec_amount,premium_rcv_detail_code,remaining_amt, payrec, mode_code,coinsurance_code,class_cd,it_remarks) values('22Oct240201','040000181298','16235',(select max(to_number(i.premium_rcv_detail_code))+1
from ins_premium_det i),'16235','16235','02', '11000003','00','Request by Mr. Omair Ali 22-Oct-2024 allocation 22Oct240201');</v>
      </c>
    </row>
    <row r="339" spans="1:8" ht="105" x14ac:dyDescent="0.25">
      <c r="A339" t="s">
        <v>467</v>
      </c>
      <c r="B339" s="51" t="str">
        <f>VLOOKUP(A339,policy!B:C,2,0)</f>
        <v>040000181299</v>
      </c>
      <c r="C339" s="46">
        <v>16235</v>
      </c>
      <c r="D339" s="46">
        <v>16235</v>
      </c>
      <c r="E339" s="50" t="s">
        <v>3673</v>
      </c>
      <c r="F339" s="52" t="str">
        <f t="shared" si="15"/>
        <v>insert into ins_premium_det (premium_rcv_code,assorted_code, rec_amount,premium_rcv_detail_code,remaining_amt, payrec, mode_code,coinsurance_code,class_cd,it_remarks) values</v>
      </c>
      <c r="G339" s="53" t="str">
        <f t="shared" si="16"/>
        <v>('22Oct240201','040000181299','16235',(select max(to_number(i.premium_rcv_detail_code))+1
from ins_premium_det i),'16235','16235','02', '11000003','00','Request by Mr. Omair Ali 22-Oct-2024 allocation 22Oct240201');</v>
      </c>
      <c r="H339" s="54" t="str">
        <f t="shared" si="17"/>
        <v>insert into ins_premium_det (premium_rcv_code,assorted_code, rec_amount,premium_rcv_detail_code,remaining_amt, payrec, mode_code,coinsurance_code,class_cd,it_remarks) values('22Oct240201','040000181299','16235',(select max(to_number(i.premium_rcv_detail_code))+1
from ins_premium_det i),'16235','16235','02', '11000003','00','Request by Mr. Omair Ali 22-Oct-2024 allocation 22Oct240201');</v>
      </c>
    </row>
    <row r="340" spans="1:8" ht="105" x14ac:dyDescent="0.25">
      <c r="A340" t="s">
        <v>468</v>
      </c>
      <c r="B340" s="51" t="str">
        <f>VLOOKUP(A340,policy!B:C,2,0)</f>
        <v>040000181300</v>
      </c>
      <c r="C340" s="46">
        <v>8800</v>
      </c>
      <c r="D340" s="46">
        <v>8800</v>
      </c>
      <c r="E340" s="50" t="s">
        <v>3673</v>
      </c>
      <c r="F340" s="52" t="str">
        <f t="shared" si="15"/>
        <v>insert into ins_premium_det (premium_rcv_code,assorted_code, rec_amount,premium_rcv_detail_code,remaining_amt, payrec, mode_code,coinsurance_code,class_cd,it_remarks) values</v>
      </c>
      <c r="G340" s="53" t="str">
        <f t="shared" si="16"/>
        <v>('22Oct240201','040000181300','8800',(select max(to_number(i.premium_rcv_detail_code))+1
from ins_premium_det i),'8800','8800','02', '11000003','00','Request by Mr. Omair Ali 22-Oct-2024 allocation 22Oct240201');</v>
      </c>
      <c r="H340" s="54" t="str">
        <f t="shared" si="17"/>
        <v>insert into ins_premium_det (premium_rcv_code,assorted_code, rec_amount,premium_rcv_detail_code,remaining_amt, payrec, mode_code,coinsurance_code,class_cd,it_remarks) values('22Oct240201','040000181300','8800',(select max(to_number(i.premium_rcv_detail_code))+1
from ins_premium_det i),'8800','8800','02', '11000003','00','Request by Mr. Omair Ali 22-Oct-2024 allocation 22Oct240201');</v>
      </c>
    </row>
    <row r="341" spans="1:8" ht="105" x14ac:dyDescent="0.25">
      <c r="A341" t="s">
        <v>469</v>
      </c>
      <c r="B341" s="51" t="str">
        <f>VLOOKUP(A341,policy!B:C,2,0)</f>
        <v>040000181301</v>
      </c>
      <c r="C341" s="46">
        <v>8800</v>
      </c>
      <c r="D341" s="46">
        <v>8800</v>
      </c>
      <c r="E341" s="50" t="s">
        <v>3673</v>
      </c>
      <c r="F341" s="52" t="str">
        <f t="shared" si="15"/>
        <v>insert into ins_premium_det (premium_rcv_code,assorted_code, rec_amount,premium_rcv_detail_code,remaining_amt, payrec, mode_code,coinsurance_code,class_cd,it_remarks) values</v>
      </c>
      <c r="G341" s="53" t="str">
        <f t="shared" si="16"/>
        <v>('22Oct240201','040000181301','8800',(select max(to_number(i.premium_rcv_detail_code))+1
from ins_premium_det i),'8800','8800','02', '11000003','00','Request by Mr. Omair Ali 22-Oct-2024 allocation 22Oct240201');</v>
      </c>
      <c r="H341" s="54" t="str">
        <f t="shared" si="17"/>
        <v>insert into ins_premium_det (premium_rcv_code,assorted_code, rec_amount,premium_rcv_detail_code,remaining_amt, payrec, mode_code,coinsurance_code,class_cd,it_remarks) values('22Oct240201','040000181301','8800',(select max(to_number(i.premium_rcv_detail_code))+1
from ins_premium_det i),'8800','8800','02', '11000003','00','Request by Mr. Omair Ali 22-Oct-2024 allocation 22Oct240201');</v>
      </c>
    </row>
    <row r="342" spans="1:8" ht="105" x14ac:dyDescent="0.25">
      <c r="A342" t="s">
        <v>470</v>
      </c>
      <c r="B342" s="51" t="str">
        <f>VLOOKUP(A342,policy!B:C,2,0)</f>
        <v>040000181302</v>
      </c>
      <c r="C342" s="46">
        <v>16235</v>
      </c>
      <c r="D342" s="46">
        <v>16235</v>
      </c>
      <c r="E342" s="50" t="s">
        <v>3673</v>
      </c>
      <c r="F342" s="52" t="str">
        <f t="shared" si="15"/>
        <v>insert into ins_premium_det (premium_rcv_code,assorted_code, rec_amount,premium_rcv_detail_code,remaining_amt, payrec, mode_code,coinsurance_code,class_cd,it_remarks) values</v>
      </c>
      <c r="G342" s="53" t="str">
        <f t="shared" si="16"/>
        <v>('22Oct240201','040000181302','16235',(select max(to_number(i.premium_rcv_detail_code))+1
from ins_premium_det i),'16235','16235','02', '11000003','00','Request by Mr. Omair Ali 22-Oct-2024 allocation 22Oct240201');</v>
      </c>
      <c r="H342" s="54" t="str">
        <f t="shared" si="17"/>
        <v>insert into ins_premium_det (premium_rcv_code,assorted_code, rec_amount,premium_rcv_detail_code,remaining_amt, payrec, mode_code,coinsurance_code,class_cd,it_remarks) values('22Oct240201','040000181302','16235',(select max(to_number(i.premium_rcv_detail_code))+1
from ins_premium_det i),'16235','16235','02', '11000003','00','Request by Mr. Omair Ali 22-Oct-2024 allocation 22Oct240201');</v>
      </c>
    </row>
    <row r="343" spans="1:8" ht="105" x14ac:dyDescent="0.25">
      <c r="A343" t="s">
        <v>471</v>
      </c>
      <c r="B343" s="51" t="str">
        <f>VLOOKUP(A343,policy!B:C,2,0)</f>
        <v>040000181303</v>
      </c>
      <c r="C343" s="46">
        <v>14960</v>
      </c>
      <c r="D343" s="46">
        <v>14960</v>
      </c>
      <c r="E343" s="50" t="s">
        <v>3673</v>
      </c>
      <c r="F343" s="52" t="str">
        <f t="shared" si="15"/>
        <v>insert into ins_premium_det (premium_rcv_code,assorted_code, rec_amount,premium_rcv_detail_code,remaining_amt, payrec, mode_code,coinsurance_code,class_cd,it_remarks) values</v>
      </c>
      <c r="G343" s="53" t="str">
        <f t="shared" si="16"/>
        <v>('22Oct240201','040000181303','14960',(select max(to_number(i.premium_rcv_detail_code))+1
from ins_premium_det i),'14960','14960','02', '11000003','00','Request by Mr. Omair Ali 22-Oct-2024 allocation 22Oct240201');</v>
      </c>
      <c r="H343" s="54" t="str">
        <f t="shared" si="17"/>
        <v>insert into ins_premium_det (premium_rcv_code,assorted_code, rec_amount,premium_rcv_detail_code,remaining_amt, payrec, mode_code,coinsurance_code,class_cd,it_remarks) values('22Oct240201','040000181303','14960',(select max(to_number(i.premium_rcv_detail_code))+1
from ins_premium_det i),'14960','14960','02', '11000003','00','Request by Mr. Omair Ali 22-Oct-2024 allocation 22Oct240201');</v>
      </c>
    </row>
    <row r="344" spans="1:8" ht="105" x14ac:dyDescent="0.25">
      <c r="A344" t="s">
        <v>472</v>
      </c>
      <c r="B344" s="51" t="str">
        <f>VLOOKUP(A344,policy!B:C,2,0)</f>
        <v>040000181304</v>
      </c>
      <c r="C344" s="46">
        <v>14960</v>
      </c>
      <c r="D344" s="46">
        <v>14960</v>
      </c>
      <c r="E344" s="50" t="s">
        <v>3673</v>
      </c>
      <c r="F344" s="52" t="str">
        <f t="shared" si="15"/>
        <v>insert into ins_premium_det (premium_rcv_code,assorted_code, rec_amount,premium_rcv_detail_code,remaining_amt, payrec, mode_code,coinsurance_code,class_cd,it_remarks) values</v>
      </c>
      <c r="G344" s="53" t="str">
        <f t="shared" si="16"/>
        <v>('22Oct240201','040000181304','14960',(select max(to_number(i.premium_rcv_detail_code))+1
from ins_premium_det i),'14960','14960','02', '11000003','00','Request by Mr. Omair Ali 22-Oct-2024 allocation 22Oct240201');</v>
      </c>
      <c r="H344" s="54" t="str">
        <f t="shared" si="17"/>
        <v>insert into ins_premium_det (premium_rcv_code,assorted_code, rec_amount,premium_rcv_detail_code,remaining_amt, payrec, mode_code,coinsurance_code,class_cd,it_remarks) values('22Oct240201','040000181304','14960',(select max(to_number(i.premium_rcv_detail_code))+1
from ins_premium_det i),'14960','14960','02', '11000003','00','Request by Mr. Omair Ali 22-Oct-2024 allocation 22Oct240201');</v>
      </c>
    </row>
    <row r="345" spans="1:8" ht="105" x14ac:dyDescent="0.25">
      <c r="A345" t="s">
        <v>473</v>
      </c>
      <c r="B345" s="51" t="str">
        <f>VLOOKUP(A345,policy!B:C,2,0)</f>
        <v>040000181305</v>
      </c>
      <c r="C345" s="46">
        <v>8800</v>
      </c>
      <c r="D345" s="46">
        <v>8800</v>
      </c>
      <c r="E345" s="50" t="s">
        <v>3673</v>
      </c>
      <c r="F345" s="52" t="str">
        <f t="shared" si="15"/>
        <v>insert into ins_premium_det (premium_rcv_code,assorted_code, rec_amount,premium_rcv_detail_code,remaining_amt, payrec, mode_code,coinsurance_code,class_cd,it_remarks) values</v>
      </c>
      <c r="G345" s="53" t="str">
        <f t="shared" si="16"/>
        <v>('22Oct240201','040000181305','8800',(select max(to_number(i.premium_rcv_detail_code))+1
from ins_premium_det i),'8800','8800','02', '11000003','00','Request by Mr. Omair Ali 22-Oct-2024 allocation 22Oct240201');</v>
      </c>
      <c r="H345" s="54" t="str">
        <f t="shared" si="17"/>
        <v>insert into ins_premium_det (premium_rcv_code,assorted_code, rec_amount,premium_rcv_detail_code,remaining_amt, payrec, mode_code,coinsurance_code,class_cd,it_remarks) values('22Oct240201','040000181305','8800',(select max(to_number(i.premium_rcv_detail_code))+1
from ins_premium_det i),'8800','8800','02', '11000003','00','Request by Mr. Omair Ali 22-Oct-2024 allocation 22Oct240201');</v>
      </c>
    </row>
    <row r="346" spans="1:8" ht="105" x14ac:dyDescent="0.25">
      <c r="A346" t="s">
        <v>474</v>
      </c>
      <c r="B346" s="51" t="str">
        <f>VLOOKUP(A346,policy!B:C,2,0)</f>
        <v>040000181307</v>
      </c>
      <c r="C346" s="46">
        <v>9550</v>
      </c>
      <c r="D346" s="46">
        <v>9550</v>
      </c>
      <c r="E346" s="50" t="s">
        <v>3673</v>
      </c>
      <c r="F346" s="52" t="str">
        <f t="shared" si="15"/>
        <v>insert into ins_premium_det (premium_rcv_code,assorted_code, rec_amount,premium_rcv_detail_code,remaining_amt, payrec, mode_code,coinsurance_code,class_cd,it_remarks) values</v>
      </c>
      <c r="G346" s="53" t="str">
        <f t="shared" si="16"/>
        <v>('22Oct240201','040000181307','9550',(select max(to_number(i.premium_rcv_detail_code))+1
from ins_premium_det i),'9550','9550','02', '11000003','00','Request by Mr. Omair Ali 22-Oct-2024 allocation 22Oct240201');</v>
      </c>
      <c r="H346" s="54" t="str">
        <f t="shared" si="17"/>
        <v>insert into ins_premium_det (premium_rcv_code,assorted_code, rec_amount,premium_rcv_detail_code,remaining_amt, payrec, mode_code,coinsurance_code,class_cd,it_remarks) values('22Oct240201','040000181307','9550',(select max(to_number(i.premium_rcv_detail_code))+1
from ins_premium_det i),'9550','9550','02', '11000003','00','Request by Mr. Omair Ali 22-Oct-2024 allocation 22Oct240201');</v>
      </c>
    </row>
    <row r="347" spans="1:8" ht="105" x14ac:dyDescent="0.25">
      <c r="A347" t="s">
        <v>475</v>
      </c>
      <c r="B347" s="51" t="str">
        <f>VLOOKUP(A347,policy!B:C,2,0)</f>
        <v>040000181308</v>
      </c>
      <c r="C347" s="46">
        <v>9550</v>
      </c>
      <c r="D347" s="46">
        <v>9550</v>
      </c>
      <c r="E347" s="50" t="s">
        <v>3673</v>
      </c>
      <c r="F347" s="52" t="str">
        <f t="shared" si="15"/>
        <v>insert into ins_premium_det (premium_rcv_code,assorted_code, rec_amount,premium_rcv_detail_code,remaining_amt, payrec, mode_code,coinsurance_code,class_cd,it_remarks) values</v>
      </c>
      <c r="G347" s="53" t="str">
        <f t="shared" si="16"/>
        <v>('22Oct240201','040000181308','9550',(select max(to_number(i.premium_rcv_detail_code))+1
from ins_premium_det i),'9550','9550','02', '11000003','00','Request by Mr. Omair Ali 22-Oct-2024 allocation 22Oct240201');</v>
      </c>
      <c r="H347" s="54" t="str">
        <f t="shared" si="17"/>
        <v>insert into ins_premium_det (premium_rcv_code,assorted_code, rec_amount,premium_rcv_detail_code,remaining_amt, payrec, mode_code,coinsurance_code,class_cd,it_remarks) values('22Oct240201','040000181308','9550',(select max(to_number(i.premium_rcv_detail_code))+1
from ins_premium_det i),'9550','9550','02', '11000003','00','Request by Mr. Omair Ali 22-Oct-2024 allocation 22Oct240201');</v>
      </c>
    </row>
    <row r="348" spans="1:8" ht="105" x14ac:dyDescent="0.25">
      <c r="A348" t="s">
        <v>476</v>
      </c>
      <c r="B348" s="51" t="str">
        <f>VLOOKUP(A348,policy!B:C,2,0)</f>
        <v>040000181309</v>
      </c>
      <c r="C348" s="46">
        <v>8800</v>
      </c>
      <c r="D348" s="46">
        <v>8800</v>
      </c>
      <c r="E348" s="50" t="s">
        <v>3673</v>
      </c>
      <c r="F348" s="52" t="str">
        <f t="shared" si="15"/>
        <v>insert into ins_premium_det (premium_rcv_code,assorted_code, rec_amount,premium_rcv_detail_code,remaining_amt, payrec, mode_code,coinsurance_code,class_cd,it_remarks) values</v>
      </c>
      <c r="G348" s="53" t="str">
        <f t="shared" si="16"/>
        <v>('22Oct240201','040000181309','8800',(select max(to_number(i.premium_rcv_detail_code))+1
from ins_premium_det i),'8800','8800','02', '11000003','00','Request by Mr. Omair Ali 22-Oct-2024 allocation 22Oct240201');</v>
      </c>
      <c r="H348" s="54" t="str">
        <f t="shared" si="17"/>
        <v>insert into ins_premium_det (premium_rcv_code,assorted_code, rec_amount,premium_rcv_detail_code,remaining_amt, payrec, mode_code,coinsurance_code,class_cd,it_remarks) values('22Oct240201','040000181309','8800',(select max(to_number(i.premium_rcv_detail_code))+1
from ins_premium_det i),'8800','8800','02', '11000003','00','Request by Mr. Omair Ali 22-Oct-2024 allocation 22Oct240201');</v>
      </c>
    </row>
    <row r="349" spans="1:8" ht="105" x14ac:dyDescent="0.25">
      <c r="A349" t="s">
        <v>477</v>
      </c>
      <c r="B349" s="51" t="str">
        <f>VLOOKUP(A349,policy!B:C,2,0)</f>
        <v>040000181310</v>
      </c>
      <c r="C349" s="46">
        <v>9550</v>
      </c>
      <c r="D349" s="46">
        <v>9550</v>
      </c>
      <c r="E349" s="50" t="s">
        <v>3673</v>
      </c>
      <c r="F349" s="52" t="str">
        <f t="shared" si="15"/>
        <v>insert into ins_premium_det (premium_rcv_code,assorted_code, rec_amount,premium_rcv_detail_code,remaining_amt, payrec, mode_code,coinsurance_code,class_cd,it_remarks) values</v>
      </c>
      <c r="G349" s="53" t="str">
        <f t="shared" si="16"/>
        <v>('22Oct240201','040000181310','9550',(select max(to_number(i.premium_rcv_detail_code))+1
from ins_premium_det i),'9550','9550','02', '11000003','00','Request by Mr. Omair Ali 22-Oct-2024 allocation 22Oct240201');</v>
      </c>
      <c r="H349" s="54" t="str">
        <f t="shared" si="17"/>
        <v>insert into ins_premium_det (premium_rcv_code,assorted_code, rec_amount,premium_rcv_detail_code,remaining_amt, payrec, mode_code,coinsurance_code,class_cd,it_remarks) values('22Oct240201','040000181310','9550',(select max(to_number(i.premium_rcv_detail_code))+1
from ins_premium_det i),'9550','9550','02', '11000003','00','Request by Mr. Omair Ali 22-Oct-2024 allocation 22Oct240201');</v>
      </c>
    </row>
    <row r="350" spans="1:8" ht="105" x14ac:dyDescent="0.25">
      <c r="A350" t="s">
        <v>478</v>
      </c>
      <c r="B350" s="51" t="str">
        <f>VLOOKUP(A350,policy!B:C,2,0)</f>
        <v>040000181312</v>
      </c>
      <c r="C350" s="46">
        <v>13675</v>
      </c>
      <c r="D350" s="46">
        <v>13675</v>
      </c>
      <c r="E350" s="50" t="s">
        <v>3673</v>
      </c>
      <c r="F350" s="52" t="str">
        <f t="shared" si="15"/>
        <v>insert into ins_premium_det (premium_rcv_code,assorted_code, rec_amount,premium_rcv_detail_code,remaining_amt, payrec, mode_code,coinsurance_code,class_cd,it_remarks) values</v>
      </c>
      <c r="G350" s="53" t="str">
        <f t="shared" si="16"/>
        <v>('22Oct240201','040000181312','13675',(select max(to_number(i.premium_rcv_detail_code))+1
from ins_premium_det i),'13675','13675','02', '11000003','00','Request by Mr. Omair Ali 22-Oct-2024 allocation 22Oct240201');</v>
      </c>
      <c r="H350" s="54" t="str">
        <f t="shared" si="17"/>
        <v>insert into ins_premium_det (premium_rcv_code,assorted_code, rec_amount,premium_rcv_detail_code,remaining_amt, payrec, mode_code,coinsurance_code,class_cd,it_remarks) values('22Oct240201','040000181312','13675',(select max(to_number(i.premium_rcv_detail_code))+1
from ins_premium_det i),'13675','13675','02', '11000003','00','Request by Mr. Omair Ali 22-Oct-2024 allocation 22Oct240201');</v>
      </c>
    </row>
    <row r="351" spans="1:8" ht="105" x14ac:dyDescent="0.25">
      <c r="A351" t="s">
        <v>479</v>
      </c>
      <c r="B351" s="51" t="str">
        <f>VLOOKUP(A351,policy!B:C,2,0)</f>
        <v>040000181314</v>
      </c>
      <c r="C351" s="46">
        <v>12475</v>
      </c>
      <c r="D351" s="46">
        <v>12475</v>
      </c>
      <c r="E351" s="50" t="s">
        <v>3673</v>
      </c>
      <c r="F351" s="52" t="str">
        <f t="shared" si="15"/>
        <v>insert into ins_premium_det (premium_rcv_code,assorted_code, rec_amount,premium_rcv_detail_code,remaining_amt, payrec, mode_code,coinsurance_code,class_cd,it_remarks) values</v>
      </c>
      <c r="G351" s="53" t="str">
        <f t="shared" si="16"/>
        <v>('22Oct240201','040000181314','12475',(select max(to_number(i.premium_rcv_detail_code))+1
from ins_premium_det i),'12475','12475','02', '11000003','00','Request by Mr. Omair Ali 22-Oct-2024 allocation 22Oct240201');</v>
      </c>
      <c r="H351" s="54" t="str">
        <f t="shared" si="17"/>
        <v>insert into ins_premium_det (premium_rcv_code,assorted_code, rec_amount,premium_rcv_detail_code,remaining_amt, payrec, mode_code,coinsurance_code,class_cd,it_remarks) values('22Oct240201','040000181314','12475',(select max(to_number(i.premium_rcv_detail_code))+1
from ins_premium_det i),'12475','12475','02', '11000003','00','Request by Mr. Omair Ali 22-Oct-2024 allocation 22Oct240201');</v>
      </c>
    </row>
    <row r="352" spans="1:8" ht="105" x14ac:dyDescent="0.25">
      <c r="A352" t="s">
        <v>480</v>
      </c>
      <c r="B352" s="51" t="str">
        <f>VLOOKUP(A352,policy!B:C,2,0)</f>
        <v>040000181347</v>
      </c>
      <c r="C352" s="46">
        <v>14960</v>
      </c>
      <c r="D352" s="46">
        <v>14960</v>
      </c>
      <c r="E352" s="50" t="s">
        <v>3673</v>
      </c>
      <c r="F352" s="52" t="str">
        <f t="shared" si="15"/>
        <v>insert into ins_premium_det (premium_rcv_code,assorted_code, rec_amount,premium_rcv_detail_code,remaining_amt, payrec, mode_code,coinsurance_code,class_cd,it_remarks) values</v>
      </c>
      <c r="G352" s="53" t="str">
        <f t="shared" si="16"/>
        <v>('22Oct240201','040000181347','14960',(select max(to_number(i.premium_rcv_detail_code))+1
from ins_premium_det i),'14960','14960','02', '11000003','00','Request by Mr. Omair Ali 22-Oct-2024 allocation 22Oct240201');</v>
      </c>
      <c r="H352" s="54" t="str">
        <f t="shared" si="17"/>
        <v>insert into ins_premium_det (premium_rcv_code,assorted_code, rec_amount,premium_rcv_detail_code,remaining_amt, payrec, mode_code,coinsurance_code,class_cd,it_remarks) values('22Oct240201','040000181347','14960',(select max(to_number(i.premium_rcv_detail_code))+1
from ins_premium_det i),'14960','14960','02', '11000003','00','Request by Mr. Omair Ali 22-Oct-2024 allocation 22Oct240201');</v>
      </c>
    </row>
    <row r="353" spans="1:8" ht="105" x14ac:dyDescent="0.25">
      <c r="A353" t="s">
        <v>481</v>
      </c>
      <c r="B353" s="51" t="str">
        <f>VLOOKUP(A353,policy!B:C,2,0)</f>
        <v>040000181348</v>
      </c>
      <c r="C353" s="46">
        <v>14960</v>
      </c>
      <c r="D353" s="46">
        <v>14960</v>
      </c>
      <c r="E353" s="50" t="s">
        <v>3673</v>
      </c>
      <c r="F353" s="52" t="str">
        <f t="shared" si="15"/>
        <v>insert into ins_premium_det (premium_rcv_code,assorted_code, rec_amount,premium_rcv_detail_code,remaining_amt, payrec, mode_code,coinsurance_code,class_cd,it_remarks) values</v>
      </c>
      <c r="G353" s="53" t="str">
        <f t="shared" si="16"/>
        <v>('22Oct240201','040000181348','14960',(select max(to_number(i.premium_rcv_detail_code))+1
from ins_premium_det i),'14960','14960','02', '11000003','00','Request by Mr. Omair Ali 22-Oct-2024 allocation 22Oct240201');</v>
      </c>
      <c r="H353" s="54" t="str">
        <f t="shared" si="17"/>
        <v>insert into ins_premium_det (premium_rcv_code,assorted_code, rec_amount,premium_rcv_detail_code,remaining_amt, payrec, mode_code,coinsurance_code,class_cd,it_remarks) values('22Oct240201','040000181348','14960',(select max(to_number(i.premium_rcv_detail_code))+1
from ins_premium_det i),'14960','14960','02', '11000003','00','Request by Mr. Omair Ali 22-Oct-2024 allocation 22Oct240201');</v>
      </c>
    </row>
    <row r="354" spans="1:8" ht="105" x14ac:dyDescent="0.25">
      <c r="A354" t="s">
        <v>482</v>
      </c>
      <c r="B354" s="51" t="str">
        <f>VLOOKUP(A354,policy!B:C,2,0)</f>
        <v>040000181356</v>
      </c>
      <c r="C354" s="46">
        <v>16235</v>
      </c>
      <c r="D354" s="46">
        <v>16235</v>
      </c>
      <c r="E354" s="50" t="s">
        <v>3673</v>
      </c>
      <c r="F354" s="52" t="str">
        <f t="shared" si="15"/>
        <v>insert into ins_premium_det (premium_rcv_code,assorted_code, rec_amount,premium_rcv_detail_code,remaining_amt, payrec, mode_code,coinsurance_code,class_cd,it_remarks) values</v>
      </c>
      <c r="G354" s="53" t="str">
        <f t="shared" si="16"/>
        <v>('22Oct240201','040000181356','16235',(select max(to_number(i.premium_rcv_detail_code))+1
from ins_premium_det i),'16235','16235','02', '11000003','00','Request by Mr. Omair Ali 22-Oct-2024 allocation 22Oct240201');</v>
      </c>
      <c r="H354" s="54" t="str">
        <f t="shared" si="17"/>
        <v>insert into ins_premium_det (premium_rcv_code,assorted_code, rec_amount,premium_rcv_detail_code,remaining_amt, payrec, mode_code,coinsurance_code,class_cd,it_remarks) values('22Oct240201','040000181356','16235',(select max(to_number(i.premium_rcv_detail_code))+1
from ins_premium_det i),'16235','16235','02', '11000003','00','Request by Mr. Omair Ali 22-Oct-2024 allocation 22Oct240201');</v>
      </c>
    </row>
    <row r="355" spans="1:8" ht="105" x14ac:dyDescent="0.25">
      <c r="A355" t="s">
        <v>483</v>
      </c>
      <c r="B355" s="51" t="str">
        <f>VLOOKUP(A355,policy!B:C,2,0)</f>
        <v>040000181357</v>
      </c>
      <c r="C355" s="46">
        <v>16235</v>
      </c>
      <c r="D355" s="46">
        <v>16235</v>
      </c>
      <c r="E355" s="50" t="s">
        <v>3673</v>
      </c>
      <c r="F355" s="52" t="str">
        <f t="shared" si="15"/>
        <v>insert into ins_premium_det (premium_rcv_code,assorted_code, rec_amount,premium_rcv_detail_code,remaining_amt, payrec, mode_code,coinsurance_code,class_cd,it_remarks) values</v>
      </c>
      <c r="G355" s="53" t="str">
        <f t="shared" si="16"/>
        <v>('22Oct240201','040000181357','16235',(select max(to_number(i.premium_rcv_detail_code))+1
from ins_premium_det i),'16235','16235','02', '11000003','00','Request by Mr. Omair Ali 22-Oct-2024 allocation 22Oct240201');</v>
      </c>
      <c r="H355" s="54" t="str">
        <f t="shared" si="17"/>
        <v>insert into ins_premium_det (premium_rcv_code,assorted_code, rec_amount,premium_rcv_detail_code,remaining_amt, payrec, mode_code,coinsurance_code,class_cd,it_remarks) values('22Oct240201','040000181357','16235',(select max(to_number(i.premium_rcv_detail_code))+1
from ins_premium_det i),'16235','16235','02', '11000003','00','Request by Mr. Omair Ali 22-Oct-2024 allocation 22Oct240201');</v>
      </c>
    </row>
    <row r="356" spans="1:8" ht="105" x14ac:dyDescent="0.25">
      <c r="A356" t="s">
        <v>484</v>
      </c>
      <c r="B356" s="51" t="str">
        <f>VLOOKUP(A356,policy!B:C,2,0)</f>
        <v>040000181359</v>
      </c>
      <c r="C356" s="46">
        <v>9550</v>
      </c>
      <c r="D356" s="46">
        <v>9550</v>
      </c>
      <c r="E356" s="50" t="s">
        <v>3673</v>
      </c>
      <c r="F356" s="52" t="str">
        <f t="shared" si="15"/>
        <v>insert into ins_premium_det (premium_rcv_code,assorted_code, rec_amount,premium_rcv_detail_code,remaining_amt, payrec, mode_code,coinsurance_code,class_cd,it_remarks) values</v>
      </c>
      <c r="G356" s="53" t="str">
        <f t="shared" si="16"/>
        <v>('22Oct240201','040000181359','9550',(select max(to_number(i.premium_rcv_detail_code))+1
from ins_premium_det i),'9550','9550','02', '11000003','00','Request by Mr. Omair Ali 22-Oct-2024 allocation 22Oct240201');</v>
      </c>
      <c r="H356" s="54" t="str">
        <f t="shared" si="17"/>
        <v>insert into ins_premium_det (premium_rcv_code,assorted_code, rec_amount,premium_rcv_detail_code,remaining_amt, payrec, mode_code,coinsurance_code,class_cd,it_remarks) values('22Oct240201','040000181359','9550',(select max(to_number(i.premium_rcv_detail_code))+1
from ins_premium_det i),'9550','9550','02', '11000003','00','Request by Mr. Omair Ali 22-Oct-2024 allocation 22Oct240201');</v>
      </c>
    </row>
    <row r="357" spans="1:8" ht="105" x14ac:dyDescent="0.25">
      <c r="A357" t="s">
        <v>485</v>
      </c>
      <c r="B357" s="51" t="str">
        <f>VLOOKUP(A357,policy!B:C,2,0)</f>
        <v>040000181360</v>
      </c>
      <c r="C357" s="46">
        <v>14960</v>
      </c>
      <c r="D357" s="46">
        <v>14960</v>
      </c>
      <c r="E357" s="50" t="s">
        <v>3673</v>
      </c>
      <c r="F357" s="52" t="str">
        <f t="shared" si="15"/>
        <v>insert into ins_premium_det (premium_rcv_code,assorted_code, rec_amount,premium_rcv_detail_code,remaining_amt, payrec, mode_code,coinsurance_code,class_cd,it_remarks) values</v>
      </c>
      <c r="G357" s="53" t="str">
        <f t="shared" si="16"/>
        <v>('22Oct240201','040000181360','14960',(select max(to_number(i.premium_rcv_detail_code))+1
from ins_premium_det i),'14960','14960','02', '11000003','00','Request by Mr. Omair Ali 22-Oct-2024 allocation 22Oct240201');</v>
      </c>
      <c r="H357" s="54" t="str">
        <f t="shared" si="17"/>
        <v>insert into ins_premium_det (premium_rcv_code,assorted_code, rec_amount,premium_rcv_detail_code,remaining_amt, payrec, mode_code,coinsurance_code,class_cd,it_remarks) values('22Oct240201','040000181360','14960',(select max(to_number(i.premium_rcv_detail_code))+1
from ins_premium_det i),'14960','14960','02', '11000003','00','Request by Mr. Omair Ali 22-Oct-2024 allocation 22Oct240201');</v>
      </c>
    </row>
    <row r="358" spans="1:8" ht="105" x14ac:dyDescent="0.25">
      <c r="A358" t="s">
        <v>486</v>
      </c>
      <c r="B358" s="51" t="str">
        <f>VLOOKUP(A358,policy!B:C,2,0)</f>
        <v>040000181361</v>
      </c>
      <c r="C358" s="46">
        <v>14960</v>
      </c>
      <c r="D358" s="46">
        <v>14960</v>
      </c>
      <c r="E358" s="50" t="s">
        <v>3673</v>
      </c>
      <c r="F358" s="52" t="str">
        <f t="shared" si="15"/>
        <v>insert into ins_premium_det (premium_rcv_code,assorted_code, rec_amount,premium_rcv_detail_code,remaining_amt, payrec, mode_code,coinsurance_code,class_cd,it_remarks) values</v>
      </c>
      <c r="G358" s="53" t="str">
        <f t="shared" si="16"/>
        <v>('22Oct240201','040000181361','14960',(select max(to_number(i.premium_rcv_detail_code))+1
from ins_premium_det i),'14960','14960','02', '11000003','00','Request by Mr. Omair Ali 22-Oct-2024 allocation 22Oct240201');</v>
      </c>
      <c r="H358" s="54" t="str">
        <f t="shared" si="17"/>
        <v>insert into ins_premium_det (premium_rcv_code,assorted_code, rec_amount,premium_rcv_detail_code,remaining_amt, payrec, mode_code,coinsurance_code,class_cd,it_remarks) values('22Oct240201','040000181361','14960',(select max(to_number(i.premium_rcv_detail_code))+1
from ins_premium_det i),'14960','14960','02', '11000003','00','Request by Mr. Omair Ali 22-Oct-2024 allocation 22Oct240201');</v>
      </c>
    </row>
    <row r="359" spans="1:8" ht="105" x14ac:dyDescent="0.25">
      <c r="A359" t="s">
        <v>487</v>
      </c>
      <c r="B359" s="51" t="str">
        <f>VLOOKUP(A359,policy!B:C,2,0)</f>
        <v>040000181362</v>
      </c>
      <c r="C359" s="46">
        <v>14960</v>
      </c>
      <c r="D359" s="46">
        <v>14960</v>
      </c>
      <c r="E359" s="50" t="s">
        <v>3673</v>
      </c>
      <c r="F359" s="52" t="str">
        <f t="shared" si="15"/>
        <v>insert into ins_premium_det (premium_rcv_code,assorted_code, rec_amount,premium_rcv_detail_code,remaining_amt, payrec, mode_code,coinsurance_code,class_cd,it_remarks) values</v>
      </c>
      <c r="G359" s="53" t="str">
        <f t="shared" si="16"/>
        <v>('22Oct240201','040000181362','14960',(select max(to_number(i.premium_rcv_detail_code))+1
from ins_premium_det i),'14960','14960','02', '11000003','00','Request by Mr. Omair Ali 22-Oct-2024 allocation 22Oct240201');</v>
      </c>
      <c r="H359" s="54" t="str">
        <f t="shared" si="17"/>
        <v>insert into ins_premium_det (premium_rcv_code,assorted_code, rec_amount,premium_rcv_detail_code,remaining_amt, payrec, mode_code,coinsurance_code,class_cd,it_remarks) values('22Oct240201','040000181362','14960',(select max(to_number(i.premium_rcv_detail_code))+1
from ins_premium_det i),'14960','14960','02', '11000003','00','Request by Mr. Omair Ali 22-Oct-2024 allocation 22Oct240201');</v>
      </c>
    </row>
    <row r="360" spans="1:8" ht="105" x14ac:dyDescent="0.25">
      <c r="A360" t="s">
        <v>488</v>
      </c>
      <c r="B360" s="51" t="str">
        <f>VLOOKUP(A360,policy!B:C,2,0)</f>
        <v>040000181363</v>
      </c>
      <c r="C360" s="46">
        <v>23248</v>
      </c>
      <c r="D360" s="46">
        <v>23248</v>
      </c>
      <c r="E360" s="50" t="s">
        <v>3673</v>
      </c>
      <c r="F360" s="52" t="str">
        <f t="shared" si="15"/>
        <v>insert into ins_premium_det (premium_rcv_code,assorted_code, rec_amount,premium_rcv_detail_code,remaining_amt, payrec, mode_code,coinsurance_code,class_cd,it_remarks) values</v>
      </c>
      <c r="G360" s="53" t="str">
        <f t="shared" si="16"/>
        <v>('22Oct240201','040000181363','23248',(select max(to_number(i.premium_rcv_detail_code))+1
from ins_premium_det i),'23248','23248','02', '11000003','00','Request by Mr. Omair Ali 22-Oct-2024 allocation 22Oct240201');</v>
      </c>
      <c r="H360" s="54" t="str">
        <f t="shared" si="17"/>
        <v>insert into ins_premium_det (premium_rcv_code,assorted_code, rec_amount,premium_rcv_detail_code,remaining_amt, payrec, mode_code,coinsurance_code,class_cd,it_remarks) values('22Oct240201','040000181363','23248',(select max(to_number(i.premium_rcv_detail_code))+1
from ins_premium_det i),'23248','23248','02', '11000003','00','Request by Mr. Omair Ali 22-Oct-2024 allocation 22Oct240201');</v>
      </c>
    </row>
    <row r="361" spans="1:8" ht="105" x14ac:dyDescent="0.25">
      <c r="A361" t="s">
        <v>489</v>
      </c>
      <c r="B361" s="51" t="str">
        <f>VLOOKUP(A361,policy!B:C,2,0)</f>
        <v>040000181364</v>
      </c>
      <c r="C361" s="46">
        <v>23248</v>
      </c>
      <c r="D361" s="46">
        <v>23248</v>
      </c>
      <c r="E361" s="50" t="s">
        <v>3673</v>
      </c>
      <c r="F361" s="52" t="str">
        <f t="shared" si="15"/>
        <v>insert into ins_premium_det (premium_rcv_code,assorted_code, rec_amount,premium_rcv_detail_code,remaining_amt, payrec, mode_code,coinsurance_code,class_cd,it_remarks) values</v>
      </c>
      <c r="G361" s="53" t="str">
        <f t="shared" si="16"/>
        <v>('22Oct240201','040000181364','23248',(select max(to_number(i.premium_rcv_detail_code))+1
from ins_premium_det i),'23248','23248','02', '11000003','00','Request by Mr. Omair Ali 22-Oct-2024 allocation 22Oct240201');</v>
      </c>
      <c r="H361" s="54" t="str">
        <f t="shared" si="17"/>
        <v>insert into ins_premium_det (premium_rcv_code,assorted_code, rec_amount,premium_rcv_detail_code,remaining_amt, payrec, mode_code,coinsurance_code,class_cd,it_remarks) values('22Oct240201','040000181364','23248',(select max(to_number(i.premium_rcv_detail_code))+1
from ins_premium_det i),'23248','23248','02', '11000003','00','Request by Mr. Omair Ali 22-Oct-2024 allocation 22Oct240201');</v>
      </c>
    </row>
    <row r="362" spans="1:8" ht="105" x14ac:dyDescent="0.25">
      <c r="A362" t="s">
        <v>490</v>
      </c>
      <c r="B362" s="51" t="str">
        <f>VLOOKUP(A362,policy!B:C,2,0)</f>
        <v>040000181366</v>
      </c>
      <c r="C362" s="46">
        <v>9550</v>
      </c>
      <c r="D362" s="46">
        <v>9550</v>
      </c>
      <c r="E362" s="50" t="s">
        <v>3673</v>
      </c>
      <c r="F362" s="52" t="str">
        <f t="shared" si="15"/>
        <v>insert into ins_premium_det (premium_rcv_code,assorted_code, rec_amount,premium_rcv_detail_code,remaining_amt, payrec, mode_code,coinsurance_code,class_cd,it_remarks) values</v>
      </c>
      <c r="G362" s="53" t="str">
        <f t="shared" si="16"/>
        <v>('22Oct240201','040000181366','9550',(select max(to_number(i.premium_rcv_detail_code))+1
from ins_premium_det i),'9550','9550','02', '11000003','00','Request by Mr. Omair Ali 22-Oct-2024 allocation 22Oct240201');</v>
      </c>
      <c r="H362" s="54" t="str">
        <f t="shared" si="17"/>
        <v>insert into ins_premium_det (premium_rcv_code,assorted_code, rec_amount,premium_rcv_detail_code,remaining_amt, payrec, mode_code,coinsurance_code,class_cd,it_remarks) values('22Oct240201','040000181366','9550',(select max(to_number(i.premium_rcv_detail_code))+1
from ins_premium_det i),'9550','9550','02', '11000003','00','Request by Mr. Omair Ali 22-Oct-2024 allocation 22Oct240201');</v>
      </c>
    </row>
    <row r="363" spans="1:8" ht="105" x14ac:dyDescent="0.25">
      <c r="A363" t="s">
        <v>491</v>
      </c>
      <c r="B363" s="51" t="str">
        <f>VLOOKUP(A363,policy!B:C,2,0)</f>
        <v>040000181368</v>
      </c>
      <c r="C363" s="46">
        <v>8800</v>
      </c>
      <c r="D363" s="46">
        <v>8800</v>
      </c>
      <c r="E363" s="50" t="s">
        <v>3673</v>
      </c>
      <c r="F363" s="52" t="str">
        <f t="shared" si="15"/>
        <v>insert into ins_premium_det (premium_rcv_code,assorted_code, rec_amount,premium_rcv_detail_code,remaining_amt, payrec, mode_code,coinsurance_code,class_cd,it_remarks) values</v>
      </c>
      <c r="G363" s="53" t="str">
        <f t="shared" si="16"/>
        <v>('22Oct240201','040000181368','8800',(select max(to_number(i.premium_rcv_detail_code))+1
from ins_premium_det i),'8800','8800','02', '11000003','00','Request by Mr. Omair Ali 22-Oct-2024 allocation 22Oct240201');</v>
      </c>
      <c r="H363" s="54" t="str">
        <f t="shared" si="17"/>
        <v>insert into ins_premium_det (premium_rcv_code,assorted_code, rec_amount,premium_rcv_detail_code,remaining_amt, payrec, mode_code,coinsurance_code,class_cd,it_remarks) values('22Oct240201','040000181368','8800',(select max(to_number(i.premium_rcv_detail_code))+1
from ins_premium_det i),'8800','8800','02', '11000003','00','Request by Mr. Omair Ali 22-Oct-2024 allocation 22Oct240201');</v>
      </c>
    </row>
    <row r="364" spans="1:8" ht="105" x14ac:dyDescent="0.25">
      <c r="A364" t="s">
        <v>492</v>
      </c>
      <c r="B364" s="51" t="str">
        <f>VLOOKUP(A364,policy!B:C,2,0)</f>
        <v>040000181371</v>
      </c>
      <c r="C364" s="46">
        <v>8800</v>
      </c>
      <c r="D364" s="46">
        <v>8800</v>
      </c>
      <c r="E364" s="50" t="s">
        <v>3673</v>
      </c>
      <c r="F364" s="52" t="str">
        <f t="shared" si="15"/>
        <v>insert into ins_premium_det (premium_rcv_code,assorted_code, rec_amount,premium_rcv_detail_code,remaining_amt, payrec, mode_code,coinsurance_code,class_cd,it_remarks) values</v>
      </c>
      <c r="G364" s="53" t="str">
        <f t="shared" si="16"/>
        <v>('22Oct240201','040000181371','8800',(select max(to_number(i.premium_rcv_detail_code))+1
from ins_premium_det i),'8800','8800','02', '11000003','00','Request by Mr. Omair Ali 22-Oct-2024 allocation 22Oct240201');</v>
      </c>
      <c r="H364" s="54" t="str">
        <f t="shared" si="17"/>
        <v>insert into ins_premium_det (premium_rcv_code,assorted_code, rec_amount,premium_rcv_detail_code,remaining_amt, payrec, mode_code,coinsurance_code,class_cd,it_remarks) values('22Oct240201','040000181371','8800',(select max(to_number(i.premium_rcv_detail_code))+1
from ins_premium_det i),'8800','8800','02', '11000003','00','Request by Mr. Omair Ali 22-Oct-2024 allocation 22Oct240201');</v>
      </c>
    </row>
    <row r="365" spans="1:8" ht="105" x14ac:dyDescent="0.25">
      <c r="A365" t="s">
        <v>493</v>
      </c>
      <c r="B365" s="51" t="str">
        <f>VLOOKUP(A365,policy!B:C,2,0)</f>
        <v>040000181374</v>
      </c>
      <c r="C365" s="46">
        <v>12475</v>
      </c>
      <c r="D365" s="46">
        <v>12475</v>
      </c>
      <c r="E365" s="50" t="s">
        <v>3673</v>
      </c>
      <c r="F365" s="52" t="str">
        <f t="shared" si="15"/>
        <v>insert into ins_premium_det (premium_rcv_code,assorted_code, rec_amount,premium_rcv_detail_code,remaining_amt, payrec, mode_code,coinsurance_code,class_cd,it_remarks) values</v>
      </c>
      <c r="G365" s="53" t="str">
        <f t="shared" si="16"/>
        <v>('22Oct240201','040000181374','12475',(select max(to_number(i.premium_rcv_detail_code))+1
from ins_premium_det i),'12475','12475','02', '11000003','00','Request by Mr. Omair Ali 22-Oct-2024 allocation 22Oct240201');</v>
      </c>
      <c r="H365" s="54" t="str">
        <f t="shared" si="17"/>
        <v>insert into ins_premium_det (premium_rcv_code,assorted_code, rec_amount,premium_rcv_detail_code,remaining_amt, payrec, mode_code,coinsurance_code,class_cd,it_remarks) values('22Oct240201','040000181374','12475',(select max(to_number(i.premium_rcv_detail_code))+1
from ins_premium_det i),'12475','12475','02', '11000003','00','Request by Mr. Omair Ali 22-Oct-2024 allocation 22Oct240201');</v>
      </c>
    </row>
    <row r="366" spans="1:8" ht="105" x14ac:dyDescent="0.25">
      <c r="A366" t="s">
        <v>494</v>
      </c>
      <c r="B366" s="51" t="str">
        <f>VLOOKUP(A366,policy!B:C,2,0)</f>
        <v>040000181375</v>
      </c>
      <c r="C366" s="46">
        <v>8800</v>
      </c>
      <c r="D366" s="46">
        <v>8800</v>
      </c>
      <c r="E366" s="50" t="s">
        <v>3673</v>
      </c>
      <c r="F366" s="52" t="str">
        <f t="shared" si="15"/>
        <v>insert into ins_premium_det (premium_rcv_code,assorted_code, rec_amount,premium_rcv_detail_code,remaining_amt, payrec, mode_code,coinsurance_code,class_cd,it_remarks) values</v>
      </c>
      <c r="G366" s="53" t="str">
        <f t="shared" si="16"/>
        <v>('22Oct240201','040000181375','8800',(select max(to_number(i.premium_rcv_detail_code))+1
from ins_premium_det i),'8800','8800','02', '11000003','00','Request by Mr. Omair Ali 22-Oct-2024 allocation 22Oct240201');</v>
      </c>
      <c r="H366" s="54" t="str">
        <f t="shared" si="17"/>
        <v>insert into ins_premium_det (premium_rcv_code,assorted_code, rec_amount,premium_rcv_detail_code,remaining_amt, payrec, mode_code,coinsurance_code,class_cd,it_remarks) values('22Oct240201','040000181375','8800',(select max(to_number(i.premium_rcv_detail_code))+1
from ins_premium_det i),'8800','8800','02', '11000003','00','Request by Mr. Omair Ali 22-Oct-2024 allocation 22Oct240201');</v>
      </c>
    </row>
    <row r="367" spans="1:8" ht="105" x14ac:dyDescent="0.25">
      <c r="A367" t="s">
        <v>495</v>
      </c>
      <c r="B367" s="51" t="str">
        <f>VLOOKUP(A367,policy!B:C,2,0)</f>
        <v>040000181378</v>
      </c>
      <c r="C367" s="46">
        <v>14960</v>
      </c>
      <c r="D367" s="46">
        <v>14960</v>
      </c>
      <c r="E367" s="50" t="s">
        <v>3673</v>
      </c>
      <c r="F367" s="52" t="str">
        <f t="shared" si="15"/>
        <v>insert into ins_premium_det (premium_rcv_code,assorted_code, rec_amount,premium_rcv_detail_code,remaining_amt, payrec, mode_code,coinsurance_code,class_cd,it_remarks) values</v>
      </c>
      <c r="G367" s="53" t="str">
        <f t="shared" si="16"/>
        <v>('22Oct240201','040000181378','14960',(select max(to_number(i.premium_rcv_detail_code))+1
from ins_premium_det i),'14960','14960','02', '11000003','00','Request by Mr. Omair Ali 22-Oct-2024 allocation 22Oct240201');</v>
      </c>
      <c r="H367" s="54" t="str">
        <f t="shared" si="17"/>
        <v>insert into ins_premium_det (premium_rcv_code,assorted_code, rec_amount,premium_rcv_detail_code,remaining_amt, payrec, mode_code,coinsurance_code,class_cd,it_remarks) values('22Oct240201','040000181378','14960',(select max(to_number(i.premium_rcv_detail_code))+1
from ins_premium_det i),'14960','14960','02', '11000003','00','Request by Mr. Omair Ali 22-Oct-2024 allocation 22Oct240201');</v>
      </c>
    </row>
    <row r="368" spans="1:8" ht="105" x14ac:dyDescent="0.25">
      <c r="A368" t="s">
        <v>496</v>
      </c>
      <c r="B368" s="51" t="str">
        <f>VLOOKUP(A368,policy!B:C,2,0)</f>
        <v>040000181379</v>
      </c>
      <c r="C368" s="46">
        <v>14960</v>
      </c>
      <c r="D368" s="46">
        <v>14960</v>
      </c>
      <c r="E368" s="50" t="s">
        <v>3673</v>
      </c>
      <c r="F368" s="52" t="str">
        <f t="shared" si="15"/>
        <v>insert into ins_premium_det (premium_rcv_code,assorted_code, rec_amount,premium_rcv_detail_code,remaining_amt, payrec, mode_code,coinsurance_code,class_cd,it_remarks) values</v>
      </c>
      <c r="G368" s="53" t="str">
        <f t="shared" si="16"/>
        <v>('22Oct240201','040000181379','14960',(select max(to_number(i.premium_rcv_detail_code))+1
from ins_premium_det i),'14960','14960','02', '11000003','00','Request by Mr. Omair Ali 22-Oct-2024 allocation 22Oct240201');</v>
      </c>
      <c r="H368" s="54" t="str">
        <f t="shared" si="17"/>
        <v>insert into ins_premium_det (premium_rcv_code,assorted_code, rec_amount,premium_rcv_detail_code,remaining_amt, payrec, mode_code,coinsurance_code,class_cd,it_remarks) values('22Oct240201','040000181379','14960',(select max(to_number(i.premium_rcv_detail_code))+1
from ins_premium_det i),'14960','14960','02', '11000003','00','Request by Mr. Omair Ali 22-Oct-2024 allocation 22Oct240201');</v>
      </c>
    </row>
    <row r="369" spans="1:8" ht="105" x14ac:dyDescent="0.25">
      <c r="A369" t="s">
        <v>497</v>
      </c>
      <c r="B369" s="51" t="str">
        <f>VLOOKUP(A369,policy!B:C,2,0)</f>
        <v>040000181380</v>
      </c>
      <c r="C369" s="46">
        <v>14960</v>
      </c>
      <c r="D369" s="46">
        <v>14960</v>
      </c>
      <c r="E369" s="50" t="s">
        <v>3673</v>
      </c>
      <c r="F369" s="52" t="str">
        <f t="shared" si="15"/>
        <v>insert into ins_premium_det (premium_rcv_code,assorted_code, rec_amount,premium_rcv_detail_code,remaining_amt, payrec, mode_code,coinsurance_code,class_cd,it_remarks) values</v>
      </c>
      <c r="G369" s="53" t="str">
        <f t="shared" si="16"/>
        <v>('22Oct240201','040000181380','14960',(select max(to_number(i.premium_rcv_detail_code))+1
from ins_premium_det i),'14960','14960','02', '11000003','00','Request by Mr. Omair Ali 22-Oct-2024 allocation 22Oct240201');</v>
      </c>
      <c r="H369" s="54" t="str">
        <f t="shared" si="17"/>
        <v>insert into ins_premium_det (premium_rcv_code,assorted_code, rec_amount,premium_rcv_detail_code,remaining_amt, payrec, mode_code,coinsurance_code,class_cd,it_remarks) values('22Oct240201','040000181380','14960',(select max(to_number(i.premium_rcv_detail_code))+1
from ins_premium_det i),'14960','14960','02', '11000003','00','Request by Mr. Omair Ali 22-Oct-2024 allocation 22Oct240201');</v>
      </c>
    </row>
    <row r="370" spans="1:8" ht="105" x14ac:dyDescent="0.25">
      <c r="A370" t="s">
        <v>498</v>
      </c>
      <c r="B370" s="51" t="str">
        <f>VLOOKUP(A370,policy!B:C,2,0)</f>
        <v>040000181384</v>
      </c>
      <c r="C370" s="46">
        <v>14960</v>
      </c>
      <c r="D370" s="46">
        <v>14960</v>
      </c>
      <c r="E370" s="50" t="s">
        <v>3673</v>
      </c>
      <c r="F370" s="52" t="str">
        <f t="shared" si="15"/>
        <v>insert into ins_premium_det (premium_rcv_code,assorted_code, rec_amount,premium_rcv_detail_code,remaining_amt, payrec, mode_code,coinsurance_code,class_cd,it_remarks) values</v>
      </c>
      <c r="G370" s="53" t="str">
        <f t="shared" si="16"/>
        <v>('22Oct240201','040000181384','14960',(select max(to_number(i.premium_rcv_detail_code))+1
from ins_premium_det i),'14960','14960','02', '11000003','00','Request by Mr. Omair Ali 22-Oct-2024 allocation 22Oct240201');</v>
      </c>
      <c r="H370" s="54" t="str">
        <f t="shared" si="17"/>
        <v>insert into ins_premium_det (premium_rcv_code,assorted_code, rec_amount,premium_rcv_detail_code,remaining_amt, payrec, mode_code,coinsurance_code,class_cd,it_remarks) values('22Oct240201','040000181384','14960',(select max(to_number(i.premium_rcv_detail_code))+1
from ins_premium_det i),'14960','14960','02', '11000003','00','Request by Mr. Omair Ali 22-Oct-2024 allocation 22Oct240201');</v>
      </c>
    </row>
    <row r="371" spans="1:8" ht="105" x14ac:dyDescent="0.25">
      <c r="A371" t="s">
        <v>499</v>
      </c>
      <c r="B371" s="51" t="str">
        <f>VLOOKUP(A371,policy!B:C,2,0)</f>
        <v>040000181385</v>
      </c>
      <c r="C371" s="46">
        <v>14960</v>
      </c>
      <c r="D371" s="46">
        <v>14960</v>
      </c>
      <c r="E371" s="50" t="s">
        <v>3673</v>
      </c>
      <c r="F371" s="52" t="str">
        <f t="shared" si="15"/>
        <v>insert into ins_premium_det (premium_rcv_code,assorted_code, rec_amount,premium_rcv_detail_code,remaining_amt, payrec, mode_code,coinsurance_code,class_cd,it_remarks) values</v>
      </c>
      <c r="G371" s="53" t="str">
        <f t="shared" si="16"/>
        <v>('22Oct240201','040000181385','14960',(select max(to_number(i.premium_rcv_detail_code))+1
from ins_premium_det i),'14960','14960','02', '11000003','00','Request by Mr. Omair Ali 22-Oct-2024 allocation 22Oct240201');</v>
      </c>
      <c r="H371" s="54" t="str">
        <f t="shared" si="17"/>
        <v>insert into ins_premium_det (premium_rcv_code,assorted_code, rec_amount,premium_rcv_detail_code,remaining_amt, payrec, mode_code,coinsurance_code,class_cd,it_remarks) values('22Oct240201','040000181385','14960',(select max(to_number(i.premium_rcv_detail_code))+1
from ins_premium_det i),'14960','14960','02', '11000003','00','Request by Mr. Omair Ali 22-Oct-2024 allocation 22Oct240201');</v>
      </c>
    </row>
    <row r="372" spans="1:8" ht="105" x14ac:dyDescent="0.25">
      <c r="A372" t="s">
        <v>500</v>
      </c>
      <c r="B372" s="51" t="str">
        <f>VLOOKUP(A372,policy!B:C,2,0)</f>
        <v>040000181395</v>
      </c>
      <c r="C372" s="46">
        <v>16235</v>
      </c>
      <c r="D372" s="46">
        <v>16235</v>
      </c>
      <c r="E372" s="50" t="s">
        <v>3673</v>
      </c>
      <c r="F372" s="52" t="str">
        <f t="shared" si="15"/>
        <v>insert into ins_premium_det (premium_rcv_code,assorted_code, rec_amount,premium_rcv_detail_code,remaining_amt, payrec, mode_code,coinsurance_code,class_cd,it_remarks) values</v>
      </c>
      <c r="G372" s="53" t="str">
        <f t="shared" si="16"/>
        <v>('22Oct240201','040000181395','16235',(select max(to_number(i.premium_rcv_detail_code))+1
from ins_premium_det i),'16235','16235','02', '11000003','00','Request by Mr. Omair Ali 22-Oct-2024 allocation 22Oct240201');</v>
      </c>
      <c r="H372" s="54" t="str">
        <f t="shared" si="17"/>
        <v>insert into ins_premium_det (premium_rcv_code,assorted_code, rec_amount,premium_rcv_detail_code,remaining_amt, payrec, mode_code,coinsurance_code,class_cd,it_remarks) values('22Oct240201','040000181395','16235',(select max(to_number(i.premium_rcv_detail_code))+1
from ins_premium_det i),'16235','16235','02', '11000003','00','Request by Mr. Omair Ali 22-Oct-2024 allocation 22Oct240201');</v>
      </c>
    </row>
    <row r="373" spans="1:8" ht="105" x14ac:dyDescent="0.25">
      <c r="A373" t="s">
        <v>501</v>
      </c>
      <c r="B373" s="51" t="str">
        <f>VLOOKUP(A373,policy!B:C,2,0)</f>
        <v>040000181396</v>
      </c>
      <c r="C373" s="46">
        <v>16235</v>
      </c>
      <c r="D373" s="46">
        <v>16235</v>
      </c>
      <c r="E373" s="50" t="s">
        <v>3673</v>
      </c>
      <c r="F373" s="52" t="str">
        <f t="shared" si="15"/>
        <v>insert into ins_premium_det (premium_rcv_code,assorted_code, rec_amount,premium_rcv_detail_code,remaining_amt, payrec, mode_code,coinsurance_code,class_cd,it_remarks) values</v>
      </c>
      <c r="G373" s="53" t="str">
        <f t="shared" si="16"/>
        <v>('22Oct240201','040000181396','16235',(select max(to_number(i.premium_rcv_detail_code))+1
from ins_premium_det i),'16235','16235','02', '11000003','00','Request by Mr. Omair Ali 22-Oct-2024 allocation 22Oct240201');</v>
      </c>
      <c r="H373" s="54" t="str">
        <f t="shared" si="17"/>
        <v>insert into ins_premium_det (premium_rcv_code,assorted_code, rec_amount,premium_rcv_detail_code,remaining_amt, payrec, mode_code,coinsurance_code,class_cd,it_remarks) values('22Oct240201','040000181396','16235',(select max(to_number(i.premium_rcv_detail_code))+1
from ins_premium_det i),'16235','16235','02', '11000003','00','Request by Mr. Omair Ali 22-Oct-2024 allocation 22Oct240201');</v>
      </c>
    </row>
    <row r="374" spans="1:8" ht="105" x14ac:dyDescent="0.25">
      <c r="A374" t="s">
        <v>502</v>
      </c>
      <c r="B374" s="51" t="str">
        <f>VLOOKUP(A374,policy!B:C,2,0)</f>
        <v>040000181399</v>
      </c>
      <c r="C374" s="46">
        <v>14960</v>
      </c>
      <c r="D374" s="46">
        <v>14960</v>
      </c>
      <c r="E374" s="50" t="s">
        <v>3673</v>
      </c>
      <c r="F374" s="52" t="str">
        <f t="shared" si="15"/>
        <v>insert into ins_premium_det (premium_rcv_code,assorted_code, rec_amount,premium_rcv_detail_code,remaining_amt, payrec, mode_code,coinsurance_code,class_cd,it_remarks) values</v>
      </c>
      <c r="G374" s="53" t="str">
        <f t="shared" si="16"/>
        <v>('22Oct240201','040000181399','14960',(select max(to_number(i.premium_rcv_detail_code))+1
from ins_premium_det i),'14960','14960','02', '11000003','00','Request by Mr. Omair Ali 22-Oct-2024 allocation 22Oct240201');</v>
      </c>
      <c r="H374" s="54" t="str">
        <f t="shared" si="17"/>
        <v>insert into ins_premium_det (premium_rcv_code,assorted_code, rec_amount,premium_rcv_detail_code,remaining_amt, payrec, mode_code,coinsurance_code,class_cd,it_remarks) values('22Oct240201','040000181399','14960',(select max(to_number(i.premium_rcv_detail_code))+1
from ins_premium_det i),'14960','14960','02', '11000003','00','Request by Mr. Omair Ali 22-Oct-2024 allocation 22Oct240201');</v>
      </c>
    </row>
    <row r="375" spans="1:8" ht="105" x14ac:dyDescent="0.25">
      <c r="A375" t="s">
        <v>503</v>
      </c>
      <c r="B375" s="51" t="str">
        <f>VLOOKUP(A375,policy!B:C,2,0)</f>
        <v>040000181400</v>
      </c>
      <c r="C375" s="46">
        <v>14960</v>
      </c>
      <c r="D375" s="46">
        <v>14960</v>
      </c>
      <c r="E375" s="50" t="s">
        <v>3673</v>
      </c>
      <c r="F375" s="52" t="str">
        <f t="shared" si="15"/>
        <v>insert into ins_premium_det (premium_rcv_code,assorted_code, rec_amount,premium_rcv_detail_code,remaining_amt, payrec, mode_code,coinsurance_code,class_cd,it_remarks) values</v>
      </c>
      <c r="G375" s="53" t="str">
        <f t="shared" si="16"/>
        <v>('22Oct240201','040000181400','14960',(select max(to_number(i.premium_rcv_detail_code))+1
from ins_premium_det i),'14960','14960','02', '11000003','00','Request by Mr. Omair Ali 22-Oct-2024 allocation 22Oct240201');</v>
      </c>
      <c r="H375" s="54" t="str">
        <f t="shared" si="17"/>
        <v>insert into ins_premium_det (premium_rcv_code,assorted_code, rec_amount,premium_rcv_detail_code,remaining_amt, payrec, mode_code,coinsurance_code,class_cd,it_remarks) values('22Oct240201','040000181400','14960',(select max(to_number(i.premium_rcv_detail_code))+1
from ins_premium_det i),'14960','14960','02', '11000003','00','Request by Mr. Omair Ali 22-Oct-2024 allocation 22Oct240201');</v>
      </c>
    </row>
    <row r="376" spans="1:8" ht="105" x14ac:dyDescent="0.25">
      <c r="A376" t="s">
        <v>504</v>
      </c>
      <c r="B376" s="51" t="str">
        <f>VLOOKUP(A376,policy!B:C,2,0)</f>
        <v>040000181419</v>
      </c>
      <c r="C376" s="46">
        <v>23248</v>
      </c>
      <c r="D376" s="46">
        <v>23248</v>
      </c>
      <c r="E376" s="50" t="s">
        <v>3673</v>
      </c>
      <c r="F376" s="52" t="str">
        <f t="shared" si="15"/>
        <v>insert into ins_premium_det (premium_rcv_code,assorted_code, rec_amount,premium_rcv_detail_code,remaining_amt, payrec, mode_code,coinsurance_code,class_cd,it_remarks) values</v>
      </c>
      <c r="G376" s="53" t="str">
        <f t="shared" si="16"/>
        <v>('22Oct240201','040000181419','23248',(select max(to_number(i.premium_rcv_detail_code))+1
from ins_premium_det i),'23248','23248','02', '11000003','00','Request by Mr. Omair Ali 22-Oct-2024 allocation 22Oct240201');</v>
      </c>
      <c r="H376" s="54" t="str">
        <f t="shared" si="17"/>
        <v>insert into ins_premium_det (premium_rcv_code,assorted_code, rec_amount,premium_rcv_detail_code,remaining_amt, payrec, mode_code,coinsurance_code,class_cd,it_remarks) values('22Oct240201','040000181419','23248',(select max(to_number(i.premium_rcv_detail_code))+1
from ins_premium_det i),'23248','23248','02', '11000003','00','Request by Mr. Omair Ali 22-Oct-2024 allocation 22Oct240201');</v>
      </c>
    </row>
    <row r="377" spans="1:8" ht="105" x14ac:dyDescent="0.25">
      <c r="A377" t="s">
        <v>505</v>
      </c>
      <c r="B377" s="51" t="str">
        <f>VLOOKUP(A377,policy!B:C,2,0)</f>
        <v>040000181426</v>
      </c>
      <c r="C377" s="46">
        <v>21208</v>
      </c>
      <c r="D377" s="46">
        <v>21208</v>
      </c>
      <c r="E377" s="50" t="s">
        <v>3673</v>
      </c>
      <c r="F377" s="52" t="str">
        <f t="shared" si="15"/>
        <v>insert into ins_premium_det (premium_rcv_code,assorted_code, rec_amount,premium_rcv_detail_code,remaining_amt, payrec, mode_code,coinsurance_code,class_cd,it_remarks) values</v>
      </c>
      <c r="G377" s="53" t="str">
        <f t="shared" si="16"/>
        <v>('22Oct240201','040000181426','21208',(select max(to_number(i.premium_rcv_detail_code))+1
from ins_premium_det i),'21208','21208','02', '11000003','00','Request by Mr. Omair Ali 22-Oct-2024 allocation 22Oct240201');</v>
      </c>
      <c r="H377" s="54" t="str">
        <f t="shared" si="17"/>
        <v>insert into ins_premium_det (premium_rcv_code,assorted_code, rec_amount,premium_rcv_detail_code,remaining_amt, payrec, mode_code,coinsurance_code,class_cd,it_remarks) values('22Oct240201','040000181426','21208',(select max(to_number(i.premium_rcv_detail_code))+1
from ins_premium_det i),'21208','21208','02', '11000003','00','Request by Mr. Omair Ali 22-Oct-2024 allocation 22Oct240201');</v>
      </c>
    </row>
    <row r="378" spans="1:8" ht="105" x14ac:dyDescent="0.25">
      <c r="A378" t="s">
        <v>506</v>
      </c>
      <c r="B378" s="51" t="str">
        <f>VLOOKUP(A378,policy!B:C,2,0)</f>
        <v>040000181431</v>
      </c>
      <c r="C378" s="46">
        <v>14960</v>
      </c>
      <c r="D378" s="46">
        <v>14960</v>
      </c>
      <c r="E378" s="50" t="s">
        <v>3673</v>
      </c>
      <c r="F378" s="52" t="str">
        <f t="shared" si="15"/>
        <v>insert into ins_premium_det (premium_rcv_code,assorted_code, rec_amount,premium_rcv_detail_code,remaining_amt, payrec, mode_code,coinsurance_code,class_cd,it_remarks) values</v>
      </c>
      <c r="G378" s="53" t="str">
        <f t="shared" si="16"/>
        <v>('22Oct240201','040000181431','14960',(select max(to_number(i.premium_rcv_detail_code))+1
from ins_premium_det i),'14960','14960','02', '11000003','00','Request by Mr. Omair Ali 22-Oct-2024 allocation 22Oct240201');</v>
      </c>
      <c r="H378" s="54" t="str">
        <f t="shared" si="17"/>
        <v>insert into ins_premium_det (premium_rcv_code,assorted_code, rec_amount,premium_rcv_detail_code,remaining_amt, payrec, mode_code,coinsurance_code,class_cd,it_remarks) values('22Oct240201','040000181431','14960',(select max(to_number(i.premium_rcv_detail_code))+1
from ins_premium_det i),'14960','14960','02', '11000003','00','Request by Mr. Omair Ali 22-Oct-2024 allocation 22Oct240201');</v>
      </c>
    </row>
    <row r="379" spans="1:8" ht="105" x14ac:dyDescent="0.25">
      <c r="A379" t="s">
        <v>507</v>
      </c>
      <c r="B379" s="51" t="str">
        <f>VLOOKUP(A379,policy!B:C,2,0)</f>
        <v>040000181432</v>
      </c>
      <c r="C379" s="46">
        <v>14960</v>
      </c>
      <c r="D379" s="46">
        <v>14960</v>
      </c>
      <c r="E379" s="50" t="s">
        <v>3673</v>
      </c>
      <c r="F379" s="52" t="str">
        <f t="shared" si="15"/>
        <v>insert into ins_premium_det (premium_rcv_code,assorted_code, rec_amount,premium_rcv_detail_code,remaining_amt, payrec, mode_code,coinsurance_code,class_cd,it_remarks) values</v>
      </c>
      <c r="G379" s="53" t="str">
        <f t="shared" si="16"/>
        <v>('22Oct240201','040000181432','14960',(select max(to_number(i.premium_rcv_detail_code))+1
from ins_premium_det i),'14960','14960','02', '11000003','00','Request by Mr. Omair Ali 22-Oct-2024 allocation 22Oct240201');</v>
      </c>
      <c r="H379" s="54" t="str">
        <f t="shared" si="17"/>
        <v>insert into ins_premium_det (premium_rcv_code,assorted_code, rec_amount,premium_rcv_detail_code,remaining_amt, payrec, mode_code,coinsurance_code,class_cd,it_remarks) values('22Oct240201','040000181432','14960',(select max(to_number(i.premium_rcv_detail_code))+1
from ins_premium_det i),'14960','14960','02', '11000003','00','Request by Mr. Omair Ali 22-Oct-2024 allocation 22Oct240201');</v>
      </c>
    </row>
    <row r="380" spans="1:8" ht="105" x14ac:dyDescent="0.25">
      <c r="A380" t="s">
        <v>508</v>
      </c>
      <c r="B380" s="51" t="str">
        <f>VLOOKUP(A380,policy!B:C,2,0)</f>
        <v>040000181433</v>
      </c>
      <c r="C380" s="46">
        <v>23248</v>
      </c>
      <c r="D380" s="46">
        <v>23248</v>
      </c>
      <c r="E380" s="50" t="s">
        <v>3673</v>
      </c>
      <c r="F380" s="52" t="str">
        <f t="shared" si="15"/>
        <v>insert into ins_premium_det (premium_rcv_code,assorted_code, rec_amount,premium_rcv_detail_code,remaining_amt, payrec, mode_code,coinsurance_code,class_cd,it_remarks) values</v>
      </c>
      <c r="G380" s="53" t="str">
        <f t="shared" si="16"/>
        <v>('22Oct240201','040000181433','23248',(select max(to_number(i.premium_rcv_detail_code))+1
from ins_premium_det i),'23248','23248','02', '11000003','00','Request by Mr. Omair Ali 22-Oct-2024 allocation 22Oct240201');</v>
      </c>
      <c r="H380" s="54" t="str">
        <f t="shared" si="17"/>
        <v>insert into ins_premium_det (premium_rcv_code,assorted_code, rec_amount,premium_rcv_detail_code,remaining_amt, payrec, mode_code,coinsurance_code,class_cd,it_remarks) values('22Oct240201','040000181433','23248',(select max(to_number(i.premium_rcv_detail_code))+1
from ins_premium_det i),'23248','23248','02', '11000003','00','Request by Mr. Omair Ali 22-Oct-2024 allocation 22Oct240201');</v>
      </c>
    </row>
    <row r="381" spans="1:8" ht="105" x14ac:dyDescent="0.25">
      <c r="A381" t="s">
        <v>509</v>
      </c>
      <c r="B381" s="51" t="str">
        <f>VLOOKUP(A381,policy!B:C,2,0)</f>
        <v>040000181434</v>
      </c>
      <c r="C381" s="46">
        <v>23248</v>
      </c>
      <c r="D381" s="46">
        <v>23248</v>
      </c>
      <c r="E381" s="50" t="s">
        <v>3673</v>
      </c>
      <c r="F381" s="52" t="str">
        <f t="shared" si="15"/>
        <v>insert into ins_premium_det (premium_rcv_code,assorted_code, rec_amount,premium_rcv_detail_code,remaining_amt, payrec, mode_code,coinsurance_code,class_cd,it_remarks) values</v>
      </c>
      <c r="G381" s="53" t="str">
        <f t="shared" si="16"/>
        <v>('22Oct240201','040000181434','23248',(select max(to_number(i.premium_rcv_detail_code))+1
from ins_premium_det i),'23248','23248','02', '11000003','00','Request by Mr. Omair Ali 22-Oct-2024 allocation 22Oct240201');</v>
      </c>
      <c r="H381" s="54" t="str">
        <f t="shared" si="17"/>
        <v>insert into ins_premium_det (premium_rcv_code,assorted_code, rec_amount,premium_rcv_detail_code,remaining_amt, payrec, mode_code,coinsurance_code,class_cd,it_remarks) values('22Oct240201','040000181434','23248',(select max(to_number(i.premium_rcv_detail_code))+1
from ins_premium_det i),'23248','23248','02', '11000003','00','Request by Mr. Omair Ali 22-Oct-2024 allocation 22Oct240201');</v>
      </c>
    </row>
    <row r="382" spans="1:8" ht="105" x14ac:dyDescent="0.25">
      <c r="A382" t="s">
        <v>510</v>
      </c>
      <c r="B382" s="51" t="str">
        <f>VLOOKUP(A382,policy!B:C,2,0)</f>
        <v>040000181435</v>
      </c>
      <c r="C382" s="46">
        <v>23248</v>
      </c>
      <c r="D382" s="46">
        <v>23248</v>
      </c>
      <c r="E382" s="50" t="s">
        <v>3673</v>
      </c>
      <c r="F382" s="52" t="str">
        <f t="shared" si="15"/>
        <v>insert into ins_premium_det (premium_rcv_code,assorted_code, rec_amount,premium_rcv_detail_code,remaining_amt, payrec, mode_code,coinsurance_code,class_cd,it_remarks) values</v>
      </c>
      <c r="G382" s="53" t="str">
        <f t="shared" si="16"/>
        <v>('22Oct240201','040000181435','23248',(select max(to_number(i.premium_rcv_detail_code))+1
from ins_premium_det i),'23248','23248','02', '11000003','00','Request by Mr. Omair Ali 22-Oct-2024 allocation 22Oct240201');</v>
      </c>
      <c r="H382" s="54" t="str">
        <f t="shared" si="17"/>
        <v>insert into ins_premium_det (premium_rcv_code,assorted_code, rec_amount,premium_rcv_detail_code,remaining_amt, payrec, mode_code,coinsurance_code,class_cd,it_remarks) values('22Oct240201','040000181435','23248',(select max(to_number(i.premium_rcv_detail_code))+1
from ins_premium_det i),'23248','23248','02', '11000003','00','Request by Mr. Omair Ali 22-Oct-2024 allocation 22Oct240201');</v>
      </c>
    </row>
    <row r="383" spans="1:8" ht="105" x14ac:dyDescent="0.25">
      <c r="A383" t="s">
        <v>511</v>
      </c>
      <c r="B383" s="51" t="str">
        <f>VLOOKUP(A383,policy!B:C,2,0)</f>
        <v>040000181436</v>
      </c>
      <c r="C383" s="46">
        <v>23248</v>
      </c>
      <c r="D383" s="46">
        <v>23248</v>
      </c>
      <c r="E383" s="50" t="s">
        <v>3673</v>
      </c>
      <c r="F383" s="52" t="str">
        <f t="shared" si="15"/>
        <v>insert into ins_premium_det (premium_rcv_code,assorted_code, rec_amount,premium_rcv_detail_code,remaining_amt, payrec, mode_code,coinsurance_code,class_cd,it_remarks) values</v>
      </c>
      <c r="G383" s="53" t="str">
        <f t="shared" si="16"/>
        <v>('22Oct240201','040000181436','23248',(select max(to_number(i.premium_rcv_detail_code))+1
from ins_premium_det i),'23248','23248','02', '11000003','00','Request by Mr. Omair Ali 22-Oct-2024 allocation 22Oct240201');</v>
      </c>
      <c r="H383" s="54" t="str">
        <f t="shared" si="17"/>
        <v>insert into ins_premium_det (premium_rcv_code,assorted_code, rec_amount,premium_rcv_detail_code,remaining_amt, payrec, mode_code,coinsurance_code,class_cd,it_remarks) values('22Oct240201','040000181436','23248',(select max(to_number(i.premium_rcv_detail_code))+1
from ins_premium_det i),'23248','23248','02', '11000003','00','Request by Mr. Omair Ali 22-Oct-2024 allocation 22Oct240201');</v>
      </c>
    </row>
    <row r="384" spans="1:8" ht="105" x14ac:dyDescent="0.25">
      <c r="A384" t="s">
        <v>512</v>
      </c>
      <c r="B384" s="51" t="str">
        <f>VLOOKUP(A384,policy!B:C,2,0)</f>
        <v>040000181438</v>
      </c>
      <c r="C384" s="46">
        <v>9550</v>
      </c>
      <c r="D384" s="46">
        <v>9550</v>
      </c>
      <c r="E384" s="50" t="s">
        <v>3673</v>
      </c>
      <c r="F384" s="52" t="str">
        <f t="shared" si="15"/>
        <v>insert into ins_premium_det (premium_rcv_code,assorted_code, rec_amount,premium_rcv_detail_code,remaining_amt, payrec, mode_code,coinsurance_code,class_cd,it_remarks) values</v>
      </c>
      <c r="G384" s="53" t="str">
        <f t="shared" si="16"/>
        <v>('22Oct240201','040000181438','9550',(select max(to_number(i.premium_rcv_detail_code))+1
from ins_premium_det i),'9550','9550','02', '11000003','00','Request by Mr. Omair Ali 22-Oct-2024 allocation 22Oct240201');</v>
      </c>
      <c r="H384" s="54" t="str">
        <f t="shared" si="17"/>
        <v>insert into ins_premium_det (premium_rcv_code,assorted_code, rec_amount,premium_rcv_detail_code,remaining_amt, payrec, mode_code,coinsurance_code,class_cd,it_remarks) values('22Oct240201','040000181438','9550',(select max(to_number(i.premium_rcv_detail_code))+1
from ins_premium_det i),'9550','9550','02', '11000003','00','Request by Mr. Omair Ali 22-Oct-2024 allocation 22Oct240201');</v>
      </c>
    </row>
    <row r="385" spans="1:8" ht="105" x14ac:dyDescent="0.25">
      <c r="A385" t="s">
        <v>513</v>
      </c>
      <c r="B385" s="51" t="str">
        <f>VLOOKUP(A385,policy!B:C,2,0)</f>
        <v>040000181439</v>
      </c>
      <c r="C385" s="46">
        <v>9550</v>
      </c>
      <c r="D385" s="46">
        <v>9550</v>
      </c>
      <c r="E385" s="50" t="s">
        <v>3673</v>
      </c>
      <c r="F385" s="52" t="str">
        <f t="shared" si="15"/>
        <v>insert into ins_premium_det (premium_rcv_code,assorted_code, rec_amount,premium_rcv_detail_code,remaining_amt, payrec, mode_code,coinsurance_code,class_cd,it_remarks) values</v>
      </c>
      <c r="G385" s="53" t="str">
        <f t="shared" si="16"/>
        <v>('22Oct240201','040000181439','9550',(select max(to_number(i.premium_rcv_detail_code))+1
from ins_premium_det i),'9550','9550','02', '11000003','00','Request by Mr. Omair Ali 22-Oct-2024 allocation 22Oct240201');</v>
      </c>
      <c r="H385" s="54" t="str">
        <f t="shared" si="17"/>
        <v>insert into ins_premium_det (premium_rcv_code,assorted_code, rec_amount,premium_rcv_detail_code,remaining_amt, payrec, mode_code,coinsurance_code,class_cd,it_remarks) values('22Oct240201','040000181439','9550',(select max(to_number(i.premium_rcv_detail_code))+1
from ins_premium_det i),'9550','9550','02', '11000003','00','Request by Mr. Omair Ali 22-Oct-2024 allocation 22Oct240201');</v>
      </c>
    </row>
    <row r="386" spans="1:8" ht="105" x14ac:dyDescent="0.25">
      <c r="A386" t="s">
        <v>514</v>
      </c>
      <c r="B386" s="51" t="str">
        <f>VLOOKUP(A386,policy!B:C,2,0)</f>
        <v>040000181440</v>
      </c>
      <c r="C386" s="46">
        <v>8800</v>
      </c>
      <c r="D386" s="46">
        <v>8800</v>
      </c>
      <c r="E386" s="50" t="s">
        <v>3673</v>
      </c>
      <c r="F386" s="52" t="str">
        <f t="shared" ref="F386:F449" si="1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86" s="53" t="str">
        <f t="shared" si="16"/>
        <v>('22Oct240201','040000181440','8800',(select max(to_number(i.premium_rcv_detail_code))+1
from ins_premium_det i),'8800','8800','02', '11000003','00','Request by Mr. Omair Ali 22-Oct-2024 allocation 22Oct240201');</v>
      </c>
      <c r="H386" s="54" t="str">
        <f t="shared" si="17"/>
        <v>insert into ins_premium_det (premium_rcv_code,assorted_code, rec_amount,premium_rcv_detail_code,remaining_amt, payrec, mode_code,coinsurance_code,class_cd,it_remarks) values('22Oct240201','040000181440','8800',(select max(to_number(i.premium_rcv_detail_code))+1
from ins_premium_det i),'8800','8800','02', '11000003','00','Request by Mr. Omair Ali 22-Oct-2024 allocation 22Oct240201');</v>
      </c>
    </row>
    <row r="387" spans="1:8" ht="105" x14ac:dyDescent="0.25">
      <c r="A387" t="s">
        <v>515</v>
      </c>
      <c r="B387" s="51" t="str">
        <f>VLOOKUP(A387,policy!B:C,2,0)</f>
        <v>040000181441</v>
      </c>
      <c r="C387" s="46">
        <v>8800</v>
      </c>
      <c r="D387" s="46">
        <v>8800</v>
      </c>
      <c r="E387" s="50" t="s">
        <v>3673</v>
      </c>
      <c r="F387" s="52" t="str">
        <f t="shared" si="18"/>
        <v>insert into ins_premium_det (premium_rcv_code,assorted_code, rec_amount,premium_rcv_detail_code,remaining_amt, payrec, mode_code,coinsurance_code,class_cd,it_remarks) values</v>
      </c>
      <c r="G387" s="53" t="str">
        <f t="shared" ref="G387:G450" si="19">"('"&amp;E387&amp;"','"&amp;B387&amp;"','"&amp;D387&amp;"',(select max(to_number(i.premium_rcv_detail_code))+1
from ins_premium_det i),'"&amp;D387&amp;"','"&amp;D387&amp;"','02', '11000003','00','Request by Mr. Omair Ali 22-Oct-2024 allocation 22Oct240201');"</f>
        <v>('22Oct240201','040000181441','8800',(select max(to_number(i.premium_rcv_detail_code))+1
from ins_premium_det i),'8800','8800','02', '11000003','00','Request by Mr. Omair Ali 22-Oct-2024 allocation 22Oct240201');</v>
      </c>
      <c r="H387" s="54" t="str">
        <f t="shared" ref="H387:H450" si="20">F387&amp;G387</f>
        <v>insert into ins_premium_det (premium_rcv_code,assorted_code, rec_amount,premium_rcv_detail_code,remaining_amt, payrec, mode_code,coinsurance_code,class_cd,it_remarks) values('22Oct240201','040000181441','8800',(select max(to_number(i.premium_rcv_detail_code))+1
from ins_premium_det i),'8800','8800','02', '11000003','00','Request by Mr. Omair Ali 22-Oct-2024 allocation 22Oct240201');</v>
      </c>
    </row>
    <row r="388" spans="1:8" ht="105" x14ac:dyDescent="0.25">
      <c r="A388" t="s">
        <v>516</v>
      </c>
      <c r="B388" s="51" t="str">
        <f>VLOOKUP(A388,policy!B:C,2,0)</f>
        <v>040000181442</v>
      </c>
      <c r="C388" s="46">
        <v>8800</v>
      </c>
      <c r="D388" s="46">
        <v>8800</v>
      </c>
      <c r="E388" s="50" t="s">
        <v>3673</v>
      </c>
      <c r="F388" s="52" t="str">
        <f t="shared" si="18"/>
        <v>insert into ins_premium_det (premium_rcv_code,assorted_code, rec_amount,premium_rcv_detail_code,remaining_amt, payrec, mode_code,coinsurance_code,class_cd,it_remarks) values</v>
      </c>
      <c r="G388" s="53" t="str">
        <f t="shared" si="19"/>
        <v>('22Oct240201','040000181442','8800',(select max(to_number(i.premium_rcv_detail_code))+1
from ins_premium_det i),'8800','8800','02', '11000003','00','Request by Mr. Omair Ali 22-Oct-2024 allocation 22Oct240201');</v>
      </c>
      <c r="H388" s="54" t="str">
        <f t="shared" si="20"/>
        <v>insert into ins_premium_det (premium_rcv_code,assorted_code, rec_amount,premium_rcv_detail_code,remaining_amt, payrec, mode_code,coinsurance_code,class_cd,it_remarks) values('22Oct240201','040000181442','8800',(select max(to_number(i.premium_rcv_detail_code))+1
from ins_premium_det i),'8800','8800','02', '11000003','00','Request by Mr. Omair Ali 22-Oct-2024 allocation 22Oct240201');</v>
      </c>
    </row>
    <row r="389" spans="1:8" ht="105" x14ac:dyDescent="0.25">
      <c r="A389" t="s">
        <v>517</v>
      </c>
      <c r="B389" s="51" t="str">
        <f>VLOOKUP(A389,policy!B:C,2,0)</f>
        <v>040000181443</v>
      </c>
      <c r="C389" s="46">
        <v>8800</v>
      </c>
      <c r="D389" s="46">
        <v>8800</v>
      </c>
      <c r="E389" s="50" t="s">
        <v>3673</v>
      </c>
      <c r="F389" s="52" t="str">
        <f t="shared" si="18"/>
        <v>insert into ins_premium_det (premium_rcv_code,assorted_code, rec_amount,premium_rcv_detail_code,remaining_amt, payrec, mode_code,coinsurance_code,class_cd,it_remarks) values</v>
      </c>
      <c r="G389" s="53" t="str">
        <f t="shared" si="19"/>
        <v>('22Oct240201','040000181443','8800',(select max(to_number(i.premium_rcv_detail_code))+1
from ins_premium_det i),'8800','8800','02', '11000003','00','Request by Mr. Omair Ali 22-Oct-2024 allocation 22Oct240201');</v>
      </c>
      <c r="H389" s="54" t="str">
        <f t="shared" si="20"/>
        <v>insert into ins_premium_det (premium_rcv_code,assorted_code, rec_amount,premium_rcv_detail_code,remaining_amt, payrec, mode_code,coinsurance_code,class_cd,it_remarks) values('22Oct240201','040000181443','8800',(select max(to_number(i.premium_rcv_detail_code))+1
from ins_premium_det i),'8800','8800','02', '11000003','00','Request by Mr. Omair Ali 22-Oct-2024 allocation 22Oct240201');</v>
      </c>
    </row>
    <row r="390" spans="1:8" ht="105" x14ac:dyDescent="0.25">
      <c r="A390" t="s">
        <v>518</v>
      </c>
      <c r="B390" s="51" t="str">
        <f>VLOOKUP(A390,policy!B:C,2,0)</f>
        <v>040000181444</v>
      </c>
      <c r="C390" s="46">
        <v>8800</v>
      </c>
      <c r="D390" s="46">
        <v>8800</v>
      </c>
      <c r="E390" s="50" t="s">
        <v>3673</v>
      </c>
      <c r="F390" s="52" t="str">
        <f t="shared" si="18"/>
        <v>insert into ins_premium_det (premium_rcv_code,assorted_code, rec_amount,premium_rcv_detail_code,remaining_amt, payrec, mode_code,coinsurance_code,class_cd,it_remarks) values</v>
      </c>
      <c r="G390" s="53" t="str">
        <f t="shared" si="19"/>
        <v>('22Oct240201','040000181444','8800',(select max(to_number(i.premium_rcv_detail_code))+1
from ins_premium_det i),'8800','8800','02', '11000003','00','Request by Mr. Omair Ali 22-Oct-2024 allocation 22Oct240201');</v>
      </c>
      <c r="H390" s="54" t="str">
        <f t="shared" si="20"/>
        <v>insert into ins_premium_det (premium_rcv_code,assorted_code, rec_amount,premium_rcv_detail_code,remaining_amt, payrec, mode_code,coinsurance_code,class_cd,it_remarks) values('22Oct240201','040000181444','8800',(select max(to_number(i.premium_rcv_detail_code))+1
from ins_premium_det i),'8800','8800','02', '11000003','00','Request by Mr. Omair Ali 22-Oct-2024 allocation 22Oct240201');</v>
      </c>
    </row>
    <row r="391" spans="1:8" ht="105" x14ac:dyDescent="0.25">
      <c r="A391" t="s">
        <v>519</v>
      </c>
      <c r="B391" s="51" t="str">
        <f>VLOOKUP(A391,policy!B:C,2,0)</f>
        <v>040000181445</v>
      </c>
      <c r="C391" s="46">
        <v>8800</v>
      </c>
      <c r="D391" s="46">
        <v>8800</v>
      </c>
      <c r="E391" s="50" t="s">
        <v>3673</v>
      </c>
      <c r="F391" s="52" t="str">
        <f t="shared" si="18"/>
        <v>insert into ins_premium_det (premium_rcv_code,assorted_code, rec_amount,premium_rcv_detail_code,remaining_amt, payrec, mode_code,coinsurance_code,class_cd,it_remarks) values</v>
      </c>
      <c r="G391" s="53" t="str">
        <f t="shared" si="19"/>
        <v>('22Oct240201','040000181445','8800',(select max(to_number(i.premium_rcv_detail_code))+1
from ins_premium_det i),'8800','8800','02', '11000003','00','Request by Mr. Omair Ali 22-Oct-2024 allocation 22Oct240201');</v>
      </c>
      <c r="H391" s="54" t="str">
        <f t="shared" si="20"/>
        <v>insert into ins_premium_det (premium_rcv_code,assorted_code, rec_amount,premium_rcv_detail_code,remaining_amt, payrec, mode_code,coinsurance_code,class_cd,it_remarks) values('22Oct240201','040000181445','8800',(select max(to_number(i.premium_rcv_detail_code))+1
from ins_premium_det i),'8800','8800','02', '11000003','00','Request by Mr. Omair Ali 22-Oct-2024 allocation 22Oct240201');</v>
      </c>
    </row>
    <row r="392" spans="1:8" ht="105" x14ac:dyDescent="0.25">
      <c r="A392" t="s">
        <v>520</v>
      </c>
      <c r="B392" s="51" t="str">
        <f>VLOOKUP(A392,policy!B:C,2,0)</f>
        <v>040000181446</v>
      </c>
      <c r="C392" s="46">
        <v>9550</v>
      </c>
      <c r="D392" s="46">
        <v>9550</v>
      </c>
      <c r="E392" s="50" t="s">
        <v>3673</v>
      </c>
      <c r="F392" s="52" t="str">
        <f t="shared" si="18"/>
        <v>insert into ins_premium_det (premium_rcv_code,assorted_code, rec_amount,premium_rcv_detail_code,remaining_amt, payrec, mode_code,coinsurance_code,class_cd,it_remarks) values</v>
      </c>
      <c r="G392" s="53" t="str">
        <f t="shared" si="19"/>
        <v>('22Oct240201','040000181446','9550',(select max(to_number(i.premium_rcv_detail_code))+1
from ins_premium_det i),'9550','9550','02', '11000003','00','Request by Mr. Omair Ali 22-Oct-2024 allocation 22Oct240201');</v>
      </c>
      <c r="H392" s="54" t="str">
        <f t="shared" si="20"/>
        <v>insert into ins_premium_det (premium_rcv_code,assorted_code, rec_amount,premium_rcv_detail_code,remaining_amt, payrec, mode_code,coinsurance_code,class_cd,it_remarks) values('22Oct240201','040000181446','9550',(select max(to_number(i.premium_rcv_detail_code))+1
from ins_premium_det i),'9550','9550','02', '11000003','00','Request by Mr. Omair Ali 22-Oct-2024 allocation 22Oct240201');</v>
      </c>
    </row>
    <row r="393" spans="1:8" ht="105" x14ac:dyDescent="0.25">
      <c r="A393" t="s">
        <v>521</v>
      </c>
      <c r="B393" s="51" t="str">
        <f>VLOOKUP(A393,policy!B:C,2,0)</f>
        <v>040000181452</v>
      </c>
      <c r="C393" s="46">
        <v>8800</v>
      </c>
      <c r="D393" s="46">
        <v>8800</v>
      </c>
      <c r="E393" s="50" t="s">
        <v>3673</v>
      </c>
      <c r="F393" s="52" t="str">
        <f t="shared" si="18"/>
        <v>insert into ins_premium_det (premium_rcv_code,assorted_code, rec_amount,premium_rcv_detail_code,remaining_amt, payrec, mode_code,coinsurance_code,class_cd,it_remarks) values</v>
      </c>
      <c r="G393" s="53" t="str">
        <f t="shared" si="19"/>
        <v>('22Oct240201','040000181452','8800',(select max(to_number(i.premium_rcv_detail_code))+1
from ins_premium_det i),'8800','8800','02', '11000003','00','Request by Mr. Omair Ali 22-Oct-2024 allocation 22Oct240201');</v>
      </c>
      <c r="H393" s="54" t="str">
        <f t="shared" si="20"/>
        <v>insert into ins_premium_det (premium_rcv_code,assorted_code, rec_amount,premium_rcv_detail_code,remaining_amt, payrec, mode_code,coinsurance_code,class_cd,it_remarks) values('22Oct240201','040000181452','8800',(select max(to_number(i.premium_rcv_detail_code))+1
from ins_premium_det i),'8800','8800','02', '11000003','00','Request by Mr. Omair Ali 22-Oct-2024 allocation 22Oct240201');</v>
      </c>
    </row>
    <row r="394" spans="1:8" ht="105" x14ac:dyDescent="0.25">
      <c r="A394" t="s">
        <v>522</v>
      </c>
      <c r="B394" s="51" t="str">
        <f>VLOOKUP(A394,policy!B:C,2,0)</f>
        <v>040000181453</v>
      </c>
      <c r="C394" s="46">
        <v>8800</v>
      </c>
      <c r="D394" s="46">
        <v>8800</v>
      </c>
      <c r="E394" s="50" t="s">
        <v>3673</v>
      </c>
      <c r="F394" s="52" t="str">
        <f t="shared" si="18"/>
        <v>insert into ins_premium_det (premium_rcv_code,assorted_code, rec_amount,premium_rcv_detail_code,remaining_amt, payrec, mode_code,coinsurance_code,class_cd,it_remarks) values</v>
      </c>
      <c r="G394" s="53" t="str">
        <f t="shared" si="19"/>
        <v>('22Oct240201','040000181453','8800',(select max(to_number(i.premium_rcv_detail_code))+1
from ins_premium_det i),'8800','8800','02', '11000003','00','Request by Mr. Omair Ali 22-Oct-2024 allocation 22Oct240201');</v>
      </c>
      <c r="H394" s="54" t="str">
        <f t="shared" si="20"/>
        <v>insert into ins_premium_det (premium_rcv_code,assorted_code, rec_amount,premium_rcv_detail_code,remaining_amt, payrec, mode_code,coinsurance_code,class_cd,it_remarks) values('22Oct240201','040000181453','8800',(select max(to_number(i.premium_rcv_detail_code))+1
from ins_premium_det i),'8800','8800','02', '11000003','00','Request by Mr. Omair Ali 22-Oct-2024 allocation 22Oct240201');</v>
      </c>
    </row>
    <row r="395" spans="1:8" ht="105" x14ac:dyDescent="0.25">
      <c r="A395" t="s">
        <v>523</v>
      </c>
      <c r="B395" s="51" t="str">
        <f>VLOOKUP(A395,policy!B:C,2,0)</f>
        <v>040000181456</v>
      </c>
      <c r="C395" s="46">
        <v>8800</v>
      </c>
      <c r="D395" s="46">
        <v>8800</v>
      </c>
      <c r="E395" s="50" t="s">
        <v>3673</v>
      </c>
      <c r="F395" s="52" t="str">
        <f t="shared" si="18"/>
        <v>insert into ins_premium_det (premium_rcv_code,assorted_code, rec_amount,premium_rcv_detail_code,remaining_amt, payrec, mode_code,coinsurance_code,class_cd,it_remarks) values</v>
      </c>
      <c r="G395" s="53" t="str">
        <f t="shared" si="19"/>
        <v>('22Oct240201','040000181456','8800',(select max(to_number(i.premium_rcv_detail_code))+1
from ins_premium_det i),'8800','8800','02', '11000003','00','Request by Mr. Omair Ali 22-Oct-2024 allocation 22Oct240201');</v>
      </c>
      <c r="H395" s="54" t="str">
        <f t="shared" si="20"/>
        <v>insert into ins_premium_det (premium_rcv_code,assorted_code, rec_amount,premium_rcv_detail_code,remaining_amt, payrec, mode_code,coinsurance_code,class_cd,it_remarks) values('22Oct240201','040000181456','8800',(select max(to_number(i.premium_rcv_detail_code))+1
from ins_premium_det i),'8800','8800','02', '11000003','00','Request by Mr. Omair Ali 22-Oct-2024 allocation 22Oct240201');</v>
      </c>
    </row>
    <row r="396" spans="1:8" ht="105" x14ac:dyDescent="0.25">
      <c r="A396" t="s">
        <v>524</v>
      </c>
      <c r="B396" s="51" t="str">
        <f>VLOOKUP(A396,policy!B:C,2,0)</f>
        <v>040000181457</v>
      </c>
      <c r="C396" s="46">
        <v>8800</v>
      </c>
      <c r="D396" s="46">
        <v>8800</v>
      </c>
      <c r="E396" s="50" t="s">
        <v>3673</v>
      </c>
      <c r="F396" s="52" t="str">
        <f t="shared" si="18"/>
        <v>insert into ins_premium_det (premium_rcv_code,assorted_code, rec_amount,premium_rcv_detail_code,remaining_amt, payrec, mode_code,coinsurance_code,class_cd,it_remarks) values</v>
      </c>
      <c r="G396" s="53" t="str">
        <f t="shared" si="19"/>
        <v>('22Oct240201','040000181457','8800',(select max(to_number(i.premium_rcv_detail_code))+1
from ins_premium_det i),'8800','8800','02', '11000003','00','Request by Mr. Omair Ali 22-Oct-2024 allocation 22Oct240201');</v>
      </c>
      <c r="H396" s="54" t="str">
        <f t="shared" si="20"/>
        <v>insert into ins_premium_det (premium_rcv_code,assorted_code, rec_amount,premium_rcv_detail_code,remaining_amt, payrec, mode_code,coinsurance_code,class_cd,it_remarks) values('22Oct240201','040000181457','8800',(select max(to_number(i.premium_rcv_detail_code))+1
from ins_premium_det i),'8800','8800','02', '11000003','00','Request by Mr. Omair Ali 22-Oct-2024 allocation 22Oct240201');</v>
      </c>
    </row>
    <row r="397" spans="1:8" ht="105" x14ac:dyDescent="0.25">
      <c r="A397" t="s">
        <v>525</v>
      </c>
      <c r="B397" s="51" t="str">
        <f>VLOOKUP(A397,policy!B:C,2,0)</f>
        <v>040000181464</v>
      </c>
      <c r="C397" s="46">
        <v>14960</v>
      </c>
      <c r="D397" s="46">
        <v>14960</v>
      </c>
      <c r="E397" s="50" t="s">
        <v>3673</v>
      </c>
      <c r="F397" s="52" t="str">
        <f t="shared" si="18"/>
        <v>insert into ins_premium_det (premium_rcv_code,assorted_code, rec_amount,premium_rcv_detail_code,remaining_amt, payrec, mode_code,coinsurance_code,class_cd,it_remarks) values</v>
      </c>
      <c r="G397" s="53" t="str">
        <f t="shared" si="19"/>
        <v>('22Oct240201','040000181464','14960',(select max(to_number(i.premium_rcv_detail_code))+1
from ins_premium_det i),'14960','14960','02', '11000003','00','Request by Mr. Omair Ali 22-Oct-2024 allocation 22Oct240201');</v>
      </c>
      <c r="H397" s="54" t="str">
        <f t="shared" si="20"/>
        <v>insert into ins_premium_det (premium_rcv_code,assorted_code, rec_amount,premium_rcv_detail_code,remaining_amt, payrec, mode_code,coinsurance_code,class_cd,it_remarks) values('22Oct240201','040000181464','14960',(select max(to_number(i.premium_rcv_detail_code))+1
from ins_premium_det i),'14960','14960','02', '11000003','00','Request by Mr. Omair Ali 22-Oct-2024 allocation 22Oct240201');</v>
      </c>
    </row>
    <row r="398" spans="1:8" ht="105" x14ac:dyDescent="0.25">
      <c r="A398" t="s">
        <v>526</v>
      </c>
      <c r="B398" s="51" t="str">
        <f>VLOOKUP(A398,policy!B:C,2,0)</f>
        <v>040000181465</v>
      </c>
      <c r="C398" s="46">
        <v>14960</v>
      </c>
      <c r="D398" s="46">
        <v>14960</v>
      </c>
      <c r="E398" s="50" t="s">
        <v>3673</v>
      </c>
      <c r="F398" s="52" t="str">
        <f t="shared" si="18"/>
        <v>insert into ins_premium_det (premium_rcv_code,assorted_code, rec_amount,premium_rcv_detail_code,remaining_amt, payrec, mode_code,coinsurance_code,class_cd,it_remarks) values</v>
      </c>
      <c r="G398" s="53" t="str">
        <f t="shared" si="19"/>
        <v>('22Oct240201','040000181465','14960',(select max(to_number(i.premium_rcv_detail_code))+1
from ins_premium_det i),'14960','14960','02', '11000003','00','Request by Mr. Omair Ali 22-Oct-2024 allocation 22Oct240201');</v>
      </c>
      <c r="H398" s="54" t="str">
        <f t="shared" si="20"/>
        <v>insert into ins_premium_det (premium_rcv_code,assorted_code, rec_amount,premium_rcv_detail_code,remaining_amt, payrec, mode_code,coinsurance_code,class_cd,it_remarks) values('22Oct240201','040000181465','14960',(select max(to_number(i.premium_rcv_detail_code))+1
from ins_premium_det i),'14960','14960','02', '11000003','00','Request by Mr. Omair Ali 22-Oct-2024 allocation 22Oct240201');</v>
      </c>
    </row>
    <row r="399" spans="1:8" ht="105" x14ac:dyDescent="0.25">
      <c r="A399" t="s">
        <v>527</v>
      </c>
      <c r="B399" s="51" t="str">
        <f>VLOOKUP(A399,policy!B:C,2,0)</f>
        <v>040000181471</v>
      </c>
      <c r="C399" s="46">
        <v>14960</v>
      </c>
      <c r="D399" s="46">
        <v>14960</v>
      </c>
      <c r="E399" s="50" t="s">
        <v>3673</v>
      </c>
      <c r="F399" s="52" t="str">
        <f t="shared" si="18"/>
        <v>insert into ins_premium_det (premium_rcv_code,assorted_code, rec_amount,premium_rcv_detail_code,remaining_amt, payrec, mode_code,coinsurance_code,class_cd,it_remarks) values</v>
      </c>
      <c r="G399" s="53" t="str">
        <f t="shared" si="19"/>
        <v>('22Oct240201','040000181471','14960',(select max(to_number(i.premium_rcv_detail_code))+1
from ins_premium_det i),'14960','14960','02', '11000003','00','Request by Mr. Omair Ali 22-Oct-2024 allocation 22Oct240201');</v>
      </c>
      <c r="H399" s="54" t="str">
        <f t="shared" si="20"/>
        <v>insert into ins_premium_det (premium_rcv_code,assorted_code, rec_amount,premium_rcv_detail_code,remaining_amt, payrec, mode_code,coinsurance_code,class_cd,it_remarks) values('22Oct240201','040000181471','14960',(select max(to_number(i.premium_rcv_detail_code))+1
from ins_premium_det i),'14960','14960','02', '11000003','00','Request by Mr. Omair Ali 22-Oct-2024 allocation 22Oct240201');</v>
      </c>
    </row>
    <row r="400" spans="1:8" ht="105" x14ac:dyDescent="0.25">
      <c r="A400" t="s">
        <v>528</v>
      </c>
      <c r="B400" s="51" t="str">
        <f>VLOOKUP(A400,policy!B:C,2,0)</f>
        <v>040000181472</v>
      </c>
      <c r="C400" s="46">
        <v>14960</v>
      </c>
      <c r="D400" s="46">
        <v>14960</v>
      </c>
      <c r="E400" s="50" t="s">
        <v>3673</v>
      </c>
      <c r="F400" s="52" t="str">
        <f t="shared" si="18"/>
        <v>insert into ins_premium_det (premium_rcv_code,assorted_code, rec_amount,premium_rcv_detail_code,remaining_amt, payrec, mode_code,coinsurance_code,class_cd,it_remarks) values</v>
      </c>
      <c r="G400" s="53" t="str">
        <f t="shared" si="19"/>
        <v>('22Oct240201','040000181472','14960',(select max(to_number(i.premium_rcv_detail_code))+1
from ins_premium_det i),'14960','14960','02', '11000003','00','Request by Mr. Omair Ali 22-Oct-2024 allocation 22Oct240201');</v>
      </c>
      <c r="H400" s="54" t="str">
        <f t="shared" si="20"/>
        <v>insert into ins_premium_det (premium_rcv_code,assorted_code, rec_amount,premium_rcv_detail_code,remaining_amt, payrec, mode_code,coinsurance_code,class_cd,it_remarks) values('22Oct240201','040000181472','14960',(select max(to_number(i.premium_rcv_detail_code))+1
from ins_premium_det i),'14960','14960','02', '11000003','00','Request by Mr. Omair Ali 22-Oct-2024 allocation 22Oct240201');</v>
      </c>
    </row>
    <row r="401" spans="1:8" ht="105" x14ac:dyDescent="0.25">
      <c r="A401" t="s">
        <v>529</v>
      </c>
      <c r="B401" s="51" t="str">
        <f>VLOOKUP(A401,policy!B:C,2,0)</f>
        <v>040000181479</v>
      </c>
      <c r="C401" s="46">
        <v>8800</v>
      </c>
      <c r="D401" s="46">
        <v>8800</v>
      </c>
      <c r="E401" s="50" t="s">
        <v>3673</v>
      </c>
      <c r="F401" s="52" t="str">
        <f t="shared" si="18"/>
        <v>insert into ins_premium_det (premium_rcv_code,assorted_code, rec_amount,premium_rcv_detail_code,remaining_amt, payrec, mode_code,coinsurance_code,class_cd,it_remarks) values</v>
      </c>
      <c r="G401" s="53" t="str">
        <f t="shared" si="19"/>
        <v>('22Oct240201','040000181479','8800',(select max(to_number(i.premium_rcv_detail_code))+1
from ins_premium_det i),'8800','8800','02', '11000003','00','Request by Mr. Omair Ali 22-Oct-2024 allocation 22Oct240201');</v>
      </c>
      <c r="H401" s="54" t="str">
        <f t="shared" si="20"/>
        <v>insert into ins_premium_det (premium_rcv_code,assorted_code, rec_amount,premium_rcv_detail_code,remaining_amt, payrec, mode_code,coinsurance_code,class_cd,it_remarks) values('22Oct240201','040000181479','8800',(select max(to_number(i.premium_rcv_detail_code))+1
from ins_premium_det i),'8800','8800','02', '11000003','00','Request by Mr. Omair Ali 22-Oct-2024 allocation 22Oct240201');</v>
      </c>
    </row>
    <row r="402" spans="1:8" ht="105" x14ac:dyDescent="0.25">
      <c r="A402" t="s">
        <v>530</v>
      </c>
      <c r="B402" s="51" t="str">
        <f>VLOOKUP(A402,policy!B:C,2,0)</f>
        <v>040000181480</v>
      </c>
      <c r="C402" s="46">
        <v>8800</v>
      </c>
      <c r="D402" s="46">
        <v>8800</v>
      </c>
      <c r="E402" s="50" t="s">
        <v>3673</v>
      </c>
      <c r="F402" s="52" t="str">
        <f t="shared" si="18"/>
        <v>insert into ins_premium_det (premium_rcv_code,assorted_code, rec_amount,premium_rcv_detail_code,remaining_amt, payrec, mode_code,coinsurance_code,class_cd,it_remarks) values</v>
      </c>
      <c r="G402" s="53" t="str">
        <f t="shared" si="19"/>
        <v>('22Oct240201','040000181480','8800',(select max(to_number(i.premium_rcv_detail_code))+1
from ins_premium_det i),'8800','8800','02', '11000003','00','Request by Mr. Omair Ali 22-Oct-2024 allocation 22Oct240201');</v>
      </c>
      <c r="H402" s="54" t="str">
        <f t="shared" si="20"/>
        <v>insert into ins_premium_det (premium_rcv_code,assorted_code, rec_amount,premium_rcv_detail_code,remaining_amt, payrec, mode_code,coinsurance_code,class_cd,it_remarks) values('22Oct240201','040000181480','8800',(select max(to_number(i.premium_rcv_detail_code))+1
from ins_premium_det i),'8800','8800','02', '11000003','00','Request by Mr. Omair Ali 22-Oct-2024 allocation 22Oct240201');</v>
      </c>
    </row>
    <row r="403" spans="1:8" ht="105" x14ac:dyDescent="0.25">
      <c r="A403" t="s">
        <v>531</v>
      </c>
      <c r="B403" s="51" t="str">
        <f>VLOOKUP(A403,policy!B:C,2,0)</f>
        <v>040000181481</v>
      </c>
      <c r="C403" s="46">
        <v>21208</v>
      </c>
      <c r="D403" s="46">
        <v>21208</v>
      </c>
      <c r="E403" s="50" t="s">
        <v>3673</v>
      </c>
      <c r="F403" s="52" t="str">
        <f t="shared" si="18"/>
        <v>insert into ins_premium_det (premium_rcv_code,assorted_code, rec_amount,premium_rcv_detail_code,remaining_amt, payrec, mode_code,coinsurance_code,class_cd,it_remarks) values</v>
      </c>
      <c r="G403" s="53" t="str">
        <f t="shared" si="19"/>
        <v>('22Oct240201','040000181481','21208',(select max(to_number(i.premium_rcv_detail_code))+1
from ins_premium_det i),'21208','21208','02', '11000003','00','Request by Mr. Omair Ali 22-Oct-2024 allocation 22Oct240201');</v>
      </c>
      <c r="H403" s="54" t="str">
        <f t="shared" si="20"/>
        <v>insert into ins_premium_det (premium_rcv_code,assorted_code, rec_amount,premium_rcv_detail_code,remaining_amt, payrec, mode_code,coinsurance_code,class_cd,it_remarks) values('22Oct240201','040000181481','21208',(select max(to_number(i.premium_rcv_detail_code))+1
from ins_premium_det i),'21208','21208','02', '11000003','00','Request by Mr. Omair Ali 22-Oct-2024 allocation 22Oct240201');</v>
      </c>
    </row>
    <row r="404" spans="1:8" ht="105" x14ac:dyDescent="0.25">
      <c r="A404" t="s">
        <v>532</v>
      </c>
      <c r="B404" s="51" t="str">
        <f>VLOOKUP(A404,policy!B:C,2,0)</f>
        <v>040000181482</v>
      </c>
      <c r="C404" s="46">
        <v>8800</v>
      </c>
      <c r="D404" s="46">
        <v>8800</v>
      </c>
      <c r="E404" s="50" t="s">
        <v>3673</v>
      </c>
      <c r="F404" s="52" t="str">
        <f t="shared" si="18"/>
        <v>insert into ins_premium_det (premium_rcv_code,assorted_code, rec_amount,premium_rcv_detail_code,remaining_amt, payrec, mode_code,coinsurance_code,class_cd,it_remarks) values</v>
      </c>
      <c r="G404" s="53" t="str">
        <f t="shared" si="19"/>
        <v>('22Oct240201','040000181482','8800',(select max(to_number(i.premium_rcv_detail_code))+1
from ins_premium_det i),'8800','8800','02', '11000003','00','Request by Mr. Omair Ali 22-Oct-2024 allocation 22Oct240201');</v>
      </c>
      <c r="H404" s="54" t="str">
        <f t="shared" si="20"/>
        <v>insert into ins_premium_det (premium_rcv_code,assorted_code, rec_amount,premium_rcv_detail_code,remaining_amt, payrec, mode_code,coinsurance_code,class_cd,it_remarks) values('22Oct240201','040000181482','8800',(select max(to_number(i.premium_rcv_detail_code))+1
from ins_premium_det i),'8800','8800','02', '11000003','00','Request by Mr. Omair Ali 22-Oct-2024 allocation 22Oct240201');</v>
      </c>
    </row>
    <row r="405" spans="1:8" ht="105" x14ac:dyDescent="0.25">
      <c r="A405" t="s">
        <v>533</v>
      </c>
      <c r="B405" s="51" t="str">
        <f>VLOOKUP(A405,policy!B:C,2,0)</f>
        <v>040000181483</v>
      </c>
      <c r="C405" s="46">
        <v>14960</v>
      </c>
      <c r="D405" s="46">
        <v>14960</v>
      </c>
      <c r="E405" s="50" t="s">
        <v>3673</v>
      </c>
      <c r="F405" s="52" t="str">
        <f t="shared" si="18"/>
        <v>insert into ins_premium_det (premium_rcv_code,assorted_code, rec_amount,premium_rcv_detail_code,remaining_amt, payrec, mode_code,coinsurance_code,class_cd,it_remarks) values</v>
      </c>
      <c r="G405" s="53" t="str">
        <f t="shared" si="19"/>
        <v>('22Oct240201','040000181483','14960',(select max(to_number(i.premium_rcv_detail_code))+1
from ins_premium_det i),'14960','14960','02', '11000003','00','Request by Mr. Omair Ali 22-Oct-2024 allocation 22Oct240201');</v>
      </c>
      <c r="H405" s="54" t="str">
        <f t="shared" si="20"/>
        <v>insert into ins_premium_det (premium_rcv_code,assorted_code, rec_amount,premium_rcv_detail_code,remaining_amt, payrec, mode_code,coinsurance_code,class_cd,it_remarks) values('22Oct240201','040000181483','14960',(select max(to_number(i.premium_rcv_detail_code))+1
from ins_premium_det i),'14960','14960','02', '11000003','00','Request by Mr. Omair Ali 22-Oct-2024 allocation 22Oct240201');</v>
      </c>
    </row>
    <row r="406" spans="1:8" ht="105" x14ac:dyDescent="0.25">
      <c r="A406" t="s">
        <v>534</v>
      </c>
      <c r="B406" s="51" t="str">
        <f>VLOOKUP(A406,policy!B:C,2,0)</f>
        <v>040000181484</v>
      </c>
      <c r="C406" s="46">
        <v>12475</v>
      </c>
      <c r="D406" s="46">
        <v>12475</v>
      </c>
      <c r="E406" s="50" t="s">
        <v>3673</v>
      </c>
      <c r="F406" s="52" t="str">
        <f t="shared" si="18"/>
        <v>insert into ins_premium_det (premium_rcv_code,assorted_code, rec_amount,premium_rcv_detail_code,remaining_amt, payrec, mode_code,coinsurance_code,class_cd,it_remarks) values</v>
      </c>
      <c r="G406" s="53" t="str">
        <f t="shared" si="19"/>
        <v>('22Oct240201','040000181484','12475',(select max(to_number(i.premium_rcv_detail_code))+1
from ins_premium_det i),'12475','12475','02', '11000003','00','Request by Mr. Omair Ali 22-Oct-2024 allocation 22Oct240201');</v>
      </c>
      <c r="H406" s="54" t="str">
        <f t="shared" si="20"/>
        <v>insert into ins_premium_det (premium_rcv_code,assorted_code, rec_amount,premium_rcv_detail_code,remaining_amt, payrec, mode_code,coinsurance_code,class_cd,it_remarks) values('22Oct240201','040000181484','12475',(select max(to_number(i.premium_rcv_detail_code))+1
from ins_premium_det i),'12475','12475','02', '11000003','00','Request by Mr. Omair Ali 22-Oct-2024 allocation 22Oct240201');</v>
      </c>
    </row>
    <row r="407" spans="1:8" ht="105" x14ac:dyDescent="0.25">
      <c r="A407" t="s">
        <v>535</v>
      </c>
      <c r="B407" s="51" t="str">
        <f>VLOOKUP(A407,policy!B:C,2,0)</f>
        <v>040000181515</v>
      </c>
      <c r="C407" s="46">
        <v>9550</v>
      </c>
      <c r="D407" s="46">
        <v>9550</v>
      </c>
      <c r="E407" s="50" t="s">
        <v>3673</v>
      </c>
      <c r="F407" s="52" t="str">
        <f t="shared" si="18"/>
        <v>insert into ins_premium_det (premium_rcv_code,assorted_code, rec_amount,premium_rcv_detail_code,remaining_amt, payrec, mode_code,coinsurance_code,class_cd,it_remarks) values</v>
      </c>
      <c r="G407" s="53" t="str">
        <f t="shared" si="19"/>
        <v>('22Oct240201','040000181515','9550',(select max(to_number(i.premium_rcv_detail_code))+1
from ins_premium_det i),'9550','9550','02', '11000003','00','Request by Mr. Omair Ali 22-Oct-2024 allocation 22Oct240201');</v>
      </c>
      <c r="H407" s="54" t="str">
        <f t="shared" si="20"/>
        <v>insert into ins_premium_det (premium_rcv_code,assorted_code, rec_amount,premium_rcv_detail_code,remaining_amt, payrec, mode_code,coinsurance_code,class_cd,it_remarks) values('22Oct240201','040000181515','9550',(select max(to_number(i.premium_rcv_detail_code))+1
from ins_premium_det i),'9550','9550','02', '11000003','00','Request by Mr. Omair Ali 22-Oct-2024 allocation 22Oct240201');</v>
      </c>
    </row>
    <row r="408" spans="1:8" ht="105" x14ac:dyDescent="0.25">
      <c r="A408" t="s">
        <v>536</v>
      </c>
      <c r="B408" s="51" t="str">
        <f>VLOOKUP(A408,policy!B:C,2,0)</f>
        <v>040000181517</v>
      </c>
      <c r="C408" s="46">
        <v>9550</v>
      </c>
      <c r="D408" s="46">
        <v>9550</v>
      </c>
      <c r="E408" s="50" t="s">
        <v>3673</v>
      </c>
      <c r="F408" s="52" t="str">
        <f t="shared" si="18"/>
        <v>insert into ins_premium_det (premium_rcv_code,assorted_code, rec_amount,premium_rcv_detail_code,remaining_amt, payrec, mode_code,coinsurance_code,class_cd,it_remarks) values</v>
      </c>
      <c r="G408" s="53" t="str">
        <f t="shared" si="19"/>
        <v>('22Oct240201','040000181517','9550',(select max(to_number(i.premium_rcv_detail_code))+1
from ins_premium_det i),'9550','9550','02', '11000003','00','Request by Mr. Omair Ali 22-Oct-2024 allocation 22Oct240201');</v>
      </c>
      <c r="H408" s="54" t="str">
        <f t="shared" si="20"/>
        <v>insert into ins_premium_det (premium_rcv_code,assorted_code, rec_amount,premium_rcv_detail_code,remaining_amt, payrec, mode_code,coinsurance_code,class_cd,it_remarks) values('22Oct240201','040000181517','9550',(select max(to_number(i.premium_rcv_detail_code))+1
from ins_premium_det i),'9550','9550','02', '11000003','00','Request by Mr. Omair Ali 22-Oct-2024 allocation 22Oct240201');</v>
      </c>
    </row>
    <row r="409" spans="1:8" ht="105" x14ac:dyDescent="0.25">
      <c r="A409" t="s">
        <v>537</v>
      </c>
      <c r="B409" s="51" t="str">
        <f>VLOOKUP(A409,policy!B:C,2,0)</f>
        <v>040000181519</v>
      </c>
      <c r="C409" s="46">
        <v>12475</v>
      </c>
      <c r="D409" s="46">
        <v>12475</v>
      </c>
      <c r="E409" s="50" t="s">
        <v>3673</v>
      </c>
      <c r="F409" s="52" t="str">
        <f t="shared" si="18"/>
        <v>insert into ins_premium_det (premium_rcv_code,assorted_code, rec_amount,premium_rcv_detail_code,remaining_amt, payrec, mode_code,coinsurance_code,class_cd,it_remarks) values</v>
      </c>
      <c r="G409" s="53" t="str">
        <f t="shared" si="19"/>
        <v>('22Oct240201','040000181519','12475',(select max(to_number(i.premium_rcv_detail_code))+1
from ins_premium_det i),'12475','12475','02', '11000003','00','Request by Mr. Omair Ali 22-Oct-2024 allocation 22Oct240201');</v>
      </c>
      <c r="H409" s="54" t="str">
        <f t="shared" si="20"/>
        <v>insert into ins_premium_det (premium_rcv_code,assorted_code, rec_amount,premium_rcv_detail_code,remaining_amt, payrec, mode_code,coinsurance_code,class_cd,it_remarks) values('22Oct240201','040000181519','12475',(select max(to_number(i.premium_rcv_detail_code))+1
from ins_premium_det i),'12475','12475','02', '11000003','00','Request by Mr. Omair Ali 22-Oct-2024 allocation 22Oct240201');</v>
      </c>
    </row>
    <row r="410" spans="1:8" ht="105" x14ac:dyDescent="0.25">
      <c r="A410" t="s">
        <v>538</v>
      </c>
      <c r="B410" s="51" t="str">
        <f>VLOOKUP(A410,policy!B:C,2,0)</f>
        <v>040000181522</v>
      </c>
      <c r="C410" s="46">
        <v>9550</v>
      </c>
      <c r="D410" s="46">
        <v>9550</v>
      </c>
      <c r="E410" s="50" t="s">
        <v>3673</v>
      </c>
      <c r="F410" s="52" t="str">
        <f t="shared" si="18"/>
        <v>insert into ins_premium_det (premium_rcv_code,assorted_code, rec_amount,premium_rcv_detail_code,remaining_amt, payrec, mode_code,coinsurance_code,class_cd,it_remarks) values</v>
      </c>
      <c r="G410" s="53" t="str">
        <f t="shared" si="19"/>
        <v>('22Oct240201','040000181522','9550',(select max(to_number(i.premium_rcv_detail_code))+1
from ins_premium_det i),'9550','9550','02', '11000003','00','Request by Mr. Omair Ali 22-Oct-2024 allocation 22Oct240201');</v>
      </c>
      <c r="H410" s="54" t="str">
        <f t="shared" si="20"/>
        <v>insert into ins_premium_det (premium_rcv_code,assorted_code, rec_amount,premium_rcv_detail_code,remaining_amt, payrec, mode_code,coinsurance_code,class_cd,it_remarks) values('22Oct240201','040000181522','9550',(select max(to_number(i.premium_rcv_detail_code))+1
from ins_premium_det i),'9550','9550','02', '11000003','00','Request by Mr. Omair Ali 22-Oct-2024 allocation 22Oct240201');</v>
      </c>
    </row>
    <row r="411" spans="1:8" ht="105" x14ac:dyDescent="0.25">
      <c r="A411" t="s">
        <v>539</v>
      </c>
      <c r="B411" s="51" t="str">
        <f>VLOOKUP(A411,policy!B:C,2,0)</f>
        <v>040000181525</v>
      </c>
      <c r="C411" s="46">
        <v>8800</v>
      </c>
      <c r="D411" s="46">
        <v>8800</v>
      </c>
      <c r="E411" s="50" t="s">
        <v>3673</v>
      </c>
      <c r="F411" s="52" t="str">
        <f t="shared" si="18"/>
        <v>insert into ins_premium_det (premium_rcv_code,assorted_code, rec_amount,premium_rcv_detail_code,remaining_amt, payrec, mode_code,coinsurance_code,class_cd,it_remarks) values</v>
      </c>
      <c r="G411" s="53" t="str">
        <f t="shared" si="19"/>
        <v>('22Oct240201','040000181525','8800',(select max(to_number(i.premium_rcv_detail_code))+1
from ins_premium_det i),'8800','8800','02', '11000003','00','Request by Mr. Omair Ali 22-Oct-2024 allocation 22Oct240201');</v>
      </c>
      <c r="H411" s="54" t="str">
        <f t="shared" si="20"/>
        <v>insert into ins_premium_det (premium_rcv_code,assorted_code, rec_amount,premium_rcv_detail_code,remaining_amt, payrec, mode_code,coinsurance_code,class_cd,it_remarks) values('22Oct240201','040000181525','8800',(select max(to_number(i.premium_rcv_detail_code))+1
from ins_premium_det i),'8800','8800','02', '11000003','00','Request by Mr. Omair Ali 22-Oct-2024 allocation 22Oct240201');</v>
      </c>
    </row>
    <row r="412" spans="1:8" ht="105" x14ac:dyDescent="0.25">
      <c r="A412" t="s">
        <v>540</v>
      </c>
      <c r="B412" s="51" t="str">
        <f>VLOOKUP(A412,policy!B:C,2,0)</f>
        <v>040000181527</v>
      </c>
      <c r="C412" s="46">
        <v>8800</v>
      </c>
      <c r="D412" s="46">
        <v>8800</v>
      </c>
      <c r="E412" s="50" t="s">
        <v>3673</v>
      </c>
      <c r="F412" s="52" t="str">
        <f t="shared" si="18"/>
        <v>insert into ins_premium_det (premium_rcv_code,assorted_code, rec_amount,premium_rcv_detail_code,remaining_amt, payrec, mode_code,coinsurance_code,class_cd,it_remarks) values</v>
      </c>
      <c r="G412" s="53" t="str">
        <f t="shared" si="19"/>
        <v>('22Oct240201','040000181527','8800',(select max(to_number(i.premium_rcv_detail_code))+1
from ins_premium_det i),'8800','8800','02', '11000003','00','Request by Mr. Omair Ali 22-Oct-2024 allocation 22Oct240201');</v>
      </c>
      <c r="H412" s="54" t="str">
        <f t="shared" si="20"/>
        <v>insert into ins_premium_det (premium_rcv_code,assorted_code, rec_amount,premium_rcv_detail_code,remaining_amt, payrec, mode_code,coinsurance_code,class_cd,it_remarks) values('22Oct240201','040000181527','8800',(select max(to_number(i.premium_rcv_detail_code))+1
from ins_premium_det i),'8800','8800','02', '11000003','00','Request by Mr. Omair Ali 22-Oct-2024 allocation 22Oct240201');</v>
      </c>
    </row>
    <row r="413" spans="1:8" ht="105" x14ac:dyDescent="0.25">
      <c r="A413" t="s">
        <v>541</v>
      </c>
      <c r="B413" s="51" t="str">
        <f>VLOOKUP(A413,policy!B:C,2,0)</f>
        <v>040000181528</v>
      </c>
      <c r="C413" s="46">
        <v>9550</v>
      </c>
      <c r="D413" s="46">
        <v>9550</v>
      </c>
      <c r="E413" s="50" t="s">
        <v>3673</v>
      </c>
      <c r="F413" s="52" t="str">
        <f t="shared" si="18"/>
        <v>insert into ins_premium_det (premium_rcv_code,assorted_code, rec_amount,premium_rcv_detail_code,remaining_amt, payrec, mode_code,coinsurance_code,class_cd,it_remarks) values</v>
      </c>
      <c r="G413" s="53" t="str">
        <f t="shared" si="19"/>
        <v>('22Oct240201','040000181528','9550',(select max(to_number(i.premium_rcv_detail_code))+1
from ins_premium_det i),'9550','9550','02', '11000003','00','Request by Mr. Omair Ali 22-Oct-2024 allocation 22Oct240201');</v>
      </c>
      <c r="H413" s="54" t="str">
        <f t="shared" si="20"/>
        <v>insert into ins_premium_det (premium_rcv_code,assorted_code, rec_amount,premium_rcv_detail_code,remaining_amt, payrec, mode_code,coinsurance_code,class_cd,it_remarks) values('22Oct240201','040000181528','9550',(select max(to_number(i.premium_rcv_detail_code))+1
from ins_premium_det i),'9550','9550','02', '11000003','00','Request by Mr. Omair Ali 22-Oct-2024 allocation 22Oct240201');</v>
      </c>
    </row>
    <row r="414" spans="1:8" ht="105" x14ac:dyDescent="0.25">
      <c r="A414" t="s">
        <v>542</v>
      </c>
      <c r="B414" s="51" t="str">
        <f>VLOOKUP(A414,policy!B:C,2,0)</f>
        <v>040000181529</v>
      </c>
      <c r="C414" s="46">
        <v>13675</v>
      </c>
      <c r="D414" s="46">
        <v>13675</v>
      </c>
      <c r="E414" s="50" t="s">
        <v>3673</v>
      </c>
      <c r="F414" s="52" t="str">
        <f t="shared" si="18"/>
        <v>insert into ins_premium_det (premium_rcv_code,assorted_code, rec_amount,premium_rcv_detail_code,remaining_amt, payrec, mode_code,coinsurance_code,class_cd,it_remarks) values</v>
      </c>
      <c r="G414" s="53" t="str">
        <f t="shared" si="19"/>
        <v>('22Oct240201','040000181529','13675',(select max(to_number(i.premium_rcv_detail_code))+1
from ins_premium_det i),'13675','13675','02', '11000003','00','Request by Mr. Omair Ali 22-Oct-2024 allocation 22Oct240201');</v>
      </c>
      <c r="H414" s="54" t="str">
        <f t="shared" si="20"/>
        <v>insert into ins_premium_det (premium_rcv_code,assorted_code, rec_amount,premium_rcv_detail_code,remaining_amt, payrec, mode_code,coinsurance_code,class_cd,it_remarks) values('22Oct240201','040000181529','13675',(select max(to_number(i.premium_rcv_detail_code))+1
from ins_premium_det i),'13675','13675','02', '11000003','00','Request by Mr. Omair Ali 22-Oct-2024 allocation 22Oct240201');</v>
      </c>
    </row>
    <row r="415" spans="1:8" ht="105" x14ac:dyDescent="0.25">
      <c r="A415" t="s">
        <v>543</v>
      </c>
      <c r="B415" s="51" t="str">
        <f>VLOOKUP(A415,policy!B:C,2,0)</f>
        <v>040000181532</v>
      </c>
      <c r="C415" s="46">
        <v>9550</v>
      </c>
      <c r="D415" s="46">
        <v>9550</v>
      </c>
      <c r="E415" s="50" t="s">
        <v>3673</v>
      </c>
      <c r="F415" s="52" t="str">
        <f t="shared" si="18"/>
        <v>insert into ins_premium_det (premium_rcv_code,assorted_code, rec_amount,premium_rcv_detail_code,remaining_amt, payrec, mode_code,coinsurance_code,class_cd,it_remarks) values</v>
      </c>
      <c r="G415" s="53" t="str">
        <f t="shared" si="19"/>
        <v>('22Oct240201','040000181532','9550',(select max(to_number(i.premium_rcv_detail_code))+1
from ins_premium_det i),'9550','9550','02', '11000003','00','Request by Mr. Omair Ali 22-Oct-2024 allocation 22Oct240201');</v>
      </c>
      <c r="H415" s="54" t="str">
        <f t="shared" si="20"/>
        <v>insert into ins_premium_det (premium_rcv_code,assorted_code, rec_amount,premium_rcv_detail_code,remaining_amt, payrec, mode_code,coinsurance_code,class_cd,it_remarks) values('22Oct240201','040000181532','9550',(select max(to_number(i.premium_rcv_detail_code))+1
from ins_premium_det i),'9550','9550','02', '11000003','00','Request by Mr. Omair Ali 22-Oct-2024 allocation 22Oct240201');</v>
      </c>
    </row>
    <row r="416" spans="1:8" ht="105" x14ac:dyDescent="0.25">
      <c r="A416" t="s">
        <v>544</v>
      </c>
      <c r="B416" s="51" t="str">
        <f>VLOOKUP(A416,policy!B:C,2,0)</f>
        <v>040000181535</v>
      </c>
      <c r="C416" s="46">
        <v>9550</v>
      </c>
      <c r="D416" s="46">
        <v>9550</v>
      </c>
      <c r="E416" s="50" t="s">
        <v>3673</v>
      </c>
      <c r="F416" s="52" t="str">
        <f t="shared" si="18"/>
        <v>insert into ins_premium_det (premium_rcv_code,assorted_code, rec_amount,premium_rcv_detail_code,remaining_amt, payrec, mode_code,coinsurance_code,class_cd,it_remarks) values</v>
      </c>
      <c r="G416" s="53" t="str">
        <f t="shared" si="19"/>
        <v>('22Oct240201','040000181535','9550',(select max(to_number(i.premium_rcv_detail_code))+1
from ins_premium_det i),'9550','9550','02', '11000003','00','Request by Mr. Omair Ali 22-Oct-2024 allocation 22Oct240201');</v>
      </c>
      <c r="H416" s="54" t="str">
        <f t="shared" si="20"/>
        <v>insert into ins_premium_det (premium_rcv_code,assorted_code, rec_amount,premium_rcv_detail_code,remaining_amt, payrec, mode_code,coinsurance_code,class_cd,it_remarks) values('22Oct240201','040000181535','9550',(select max(to_number(i.premium_rcv_detail_code))+1
from ins_premium_det i),'9550','9550','02', '11000003','00','Request by Mr. Omair Ali 22-Oct-2024 allocation 22Oct240201');</v>
      </c>
    </row>
    <row r="417" spans="1:8" ht="105" x14ac:dyDescent="0.25">
      <c r="A417" t="s">
        <v>545</v>
      </c>
      <c r="B417" s="51" t="str">
        <f>VLOOKUP(A417,policy!B:C,2,0)</f>
        <v>040000181537</v>
      </c>
      <c r="C417" s="46">
        <v>8800</v>
      </c>
      <c r="D417" s="46">
        <v>8800</v>
      </c>
      <c r="E417" s="50" t="s">
        <v>3673</v>
      </c>
      <c r="F417" s="52" t="str">
        <f t="shared" si="18"/>
        <v>insert into ins_premium_det (premium_rcv_code,assorted_code, rec_amount,premium_rcv_detail_code,remaining_amt, payrec, mode_code,coinsurance_code,class_cd,it_remarks) values</v>
      </c>
      <c r="G417" s="53" t="str">
        <f t="shared" si="19"/>
        <v>('22Oct240201','040000181537','8800',(select max(to_number(i.premium_rcv_detail_code))+1
from ins_premium_det i),'8800','8800','02', '11000003','00','Request by Mr. Omair Ali 22-Oct-2024 allocation 22Oct240201');</v>
      </c>
      <c r="H417" s="54" t="str">
        <f t="shared" si="20"/>
        <v>insert into ins_premium_det (premium_rcv_code,assorted_code, rec_amount,premium_rcv_detail_code,remaining_amt, payrec, mode_code,coinsurance_code,class_cd,it_remarks) values('22Oct240201','040000181537','8800',(select max(to_number(i.premium_rcv_detail_code))+1
from ins_premium_det i),'8800','8800','02', '11000003','00','Request by Mr. Omair Ali 22-Oct-2024 allocation 22Oct240201');</v>
      </c>
    </row>
    <row r="418" spans="1:8" ht="105" x14ac:dyDescent="0.25">
      <c r="A418" t="s">
        <v>546</v>
      </c>
      <c r="B418" s="51" t="str">
        <f>VLOOKUP(A418,policy!B:C,2,0)</f>
        <v>040000181538</v>
      </c>
      <c r="C418" s="46">
        <v>8800</v>
      </c>
      <c r="D418" s="46">
        <v>8800</v>
      </c>
      <c r="E418" s="50" t="s">
        <v>3673</v>
      </c>
      <c r="F418" s="52" t="str">
        <f t="shared" si="18"/>
        <v>insert into ins_premium_det (premium_rcv_code,assorted_code, rec_amount,premium_rcv_detail_code,remaining_amt, payrec, mode_code,coinsurance_code,class_cd,it_remarks) values</v>
      </c>
      <c r="G418" s="53" t="str">
        <f t="shared" si="19"/>
        <v>('22Oct240201','040000181538','8800',(select max(to_number(i.premium_rcv_detail_code))+1
from ins_premium_det i),'8800','8800','02', '11000003','00','Request by Mr. Omair Ali 22-Oct-2024 allocation 22Oct240201');</v>
      </c>
      <c r="H418" s="54" t="str">
        <f t="shared" si="20"/>
        <v>insert into ins_premium_det (premium_rcv_code,assorted_code, rec_amount,premium_rcv_detail_code,remaining_amt, payrec, mode_code,coinsurance_code,class_cd,it_remarks) values('22Oct240201','040000181538','8800',(select max(to_number(i.premium_rcv_detail_code))+1
from ins_premium_det i),'8800','8800','02', '11000003','00','Request by Mr. Omair Ali 22-Oct-2024 allocation 22Oct240201');</v>
      </c>
    </row>
    <row r="419" spans="1:8" ht="105" x14ac:dyDescent="0.25">
      <c r="A419" t="s">
        <v>547</v>
      </c>
      <c r="B419" s="51" t="str">
        <f>VLOOKUP(A419,policy!B:C,2,0)</f>
        <v>040000181539</v>
      </c>
      <c r="C419" s="46">
        <v>9550</v>
      </c>
      <c r="D419" s="46">
        <v>9550</v>
      </c>
      <c r="E419" s="50" t="s">
        <v>3673</v>
      </c>
      <c r="F419" s="52" t="str">
        <f t="shared" si="18"/>
        <v>insert into ins_premium_det (premium_rcv_code,assorted_code, rec_amount,premium_rcv_detail_code,remaining_amt, payrec, mode_code,coinsurance_code,class_cd,it_remarks) values</v>
      </c>
      <c r="G419" s="53" t="str">
        <f t="shared" si="19"/>
        <v>('22Oct240201','040000181539','9550',(select max(to_number(i.premium_rcv_detail_code))+1
from ins_premium_det i),'9550','9550','02', '11000003','00','Request by Mr. Omair Ali 22-Oct-2024 allocation 22Oct240201');</v>
      </c>
      <c r="H419" s="54" t="str">
        <f t="shared" si="20"/>
        <v>insert into ins_premium_det (premium_rcv_code,assorted_code, rec_amount,premium_rcv_detail_code,remaining_amt, payrec, mode_code,coinsurance_code,class_cd,it_remarks) values('22Oct240201','040000181539','9550',(select max(to_number(i.premium_rcv_detail_code))+1
from ins_premium_det i),'9550','9550','02', '11000003','00','Request by Mr. Omair Ali 22-Oct-2024 allocation 22Oct240201');</v>
      </c>
    </row>
    <row r="420" spans="1:8" ht="105" x14ac:dyDescent="0.25">
      <c r="A420" t="s">
        <v>548</v>
      </c>
      <c r="B420" s="51" t="str">
        <f>VLOOKUP(A420,policy!B:C,2,0)</f>
        <v>040000181540</v>
      </c>
      <c r="C420" s="46">
        <v>8800</v>
      </c>
      <c r="D420" s="46">
        <v>8800</v>
      </c>
      <c r="E420" s="50" t="s">
        <v>3673</v>
      </c>
      <c r="F420" s="52" t="str">
        <f t="shared" si="18"/>
        <v>insert into ins_premium_det (premium_rcv_code,assorted_code, rec_amount,premium_rcv_detail_code,remaining_amt, payrec, mode_code,coinsurance_code,class_cd,it_remarks) values</v>
      </c>
      <c r="G420" s="53" t="str">
        <f t="shared" si="19"/>
        <v>('22Oct240201','040000181540','8800',(select max(to_number(i.premium_rcv_detail_code))+1
from ins_premium_det i),'8800','8800','02', '11000003','00','Request by Mr. Omair Ali 22-Oct-2024 allocation 22Oct240201');</v>
      </c>
      <c r="H420" s="54" t="str">
        <f t="shared" si="20"/>
        <v>insert into ins_premium_det (premium_rcv_code,assorted_code, rec_amount,premium_rcv_detail_code,remaining_amt, payrec, mode_code,coinsurance_code,class_cd,it_remarks) values('22Oct240201','040000181540','8800',(select max(to_number(i.premium_rcv_detail_code))+1
from ins_premium_det i),'8800','8800','02', '11000003','00','Request by Mr. Omair Ali 22-Oct-2024 allocation 22Oct240201');</v>
      </c>
    </row>
    <row r="421" spans="1:8" ht="105" x14ac:dyDescent="0.25">
      <c r="A421" t="s">
        <v>549</v>
      </c>
      <c r="B421" s="51" t="str">
        <f>VLOOKUP(A421,policy!B:C,2,0)</f>
        <v>040000181541</v>
      </c>
      <c r="C421" s="46">
        <v>8800</v>
      </c>
      <c r="D421" s="46">
        <v>8800</v>
      </c>
      <c r="E421" s="50" t="s">
        <v>3673</v>
      </c>
      <c r="F421" s="52" t="str">
        <f t="shared" si="18"/>
        <v>insert into ins_premium_det (premium_rcv_code,assorted_code, rec_amount,premium_rcv_detail_code,remaining_amt, payrec, mode_code,coinsurance_code,class_cd,it_remarks) values</v>
      </c>
      <c r="G421" s="53" t="str">
        <f t="shared" si="19"/>
        <v>('22Oct240201','040000181541','8800',(select max(to_number(i.premium_rcv_detail_code))+1
from ins_premium_det i),'8800','8800','02', '11000003','00','Request by Mr. Omair Ali 22-Oct-2024 allocation 22Oct240201');</v>
      </c>
      <c r="H421" s="54" t="str">
        <f t="shared" si="20"/>
        <v>insert into ins_premium_det (premium_rcv_code,assorted_code, rec_amount,premium_rcv_detail_code,remaining_amt, payrec, mode_code,coinsurance_code,class_cd,it_remarks) values('22Oct240201','040000181541','8800',(select max(to_number(i.premium_rcv_detail_code))+1
from ins_premium_det i),'8800','8800','02', '11000003','00','Request by Mr. Omair Ali 22-Oct-2024 allocation 22Oct240201');</v>
      </c>
    </row>
    <row r="422" spans="1:8" ht="105" x14ac:dyDescent="0.25">
      <c r="A422" t="s">
        <v>550</v>
      </c>
      <c r="B422" s="51" t="str">
        <f>VLOOKUP(A422,policy!B:C,2,0)</f>
        <v>040000181542</v>
      </c>
      <c r="C422" s="46">
        <v>8800</v>
      </c>
      <c r="D422" s="46">
        <v>8800</v>
      </c>
      <c r="E422" s="50" t="s">
        <v>3673</v>
      </c>
      <c r="F422" s="52" t="str">
        <f t="shared" si="18"/>
        <v>insert into ins_premium_det (premium_rcv_code,assorted_code, rec_amount,premium_rcv_detail_code,remaining_amt, payrec, mode_code,coinsurance_code,class_cd,it_remarks) values</v>
      </c>
      <c r="G422" s="53" t="str">
        <f t="shared" si="19"/>
        <v>('22Oct240201','040000181542','8800',(select max(to_number(i.premium_rcv_detail_code))+1
from ins_premium_det i),'8800','8800','02', '11000003','00','Request by Mr. Omair Ali 22-Oct-2024 allocation 22Oct240201');</v>
      </c>
      <c r="H422" s="54" t="str">
        <f t="shared" si="20"/>
        <v>insert into ins_premium_det (premium_rcv_code,assorted_code, rec_amount,premium_rcv_detail_code,remaining_amt, payrec, mode_code,coinsurance_code,class_cd,it_remarks) values('22Oct240201','040000181542','8800',(select max(to_number(i.premium_rcv_detail_code))+1
from ins_premium_det i),'8800','8800','02', '11000003','00','Request by Mr. Omair Ali 22-Oct-2024 allocation 22Oct240201');</v>
      </c>
    </row>
    <row r="423" spans="1:8" ht="105" x14ac:dyDescent="0.25">
      <c r="A423" t="s">
        <v>551</v>
      </c>
      <c r="B423" s="51" t="str">
        <f>VLOOKUP(A423,policy!B:C,2,0)</f>
        <v>040000181547</v>
      </c>
      <c r="C423" s="46">
        <v>13675</v>
      </c>
      <c r="D423" s="46">
        <v>13675</v>
      </c>
      <c r="E423" s="50" t="s">
        <v>3673</v>
      </c>
      <c r="F423" s="52" t="str">
        <f t="shared" si="18"/>
        <v>insert into ins_premium_det (premium_rcv_code,assorted_code, rec_amount,premium_rcv_detail_code,remaining_amt, payrec, mode_code,coinsurance_code,class_cd,it_remarks) values</v>
      </c>
      <c r="G423" s="53" t="str">
        <f t="shared" si="19"/>
        <v>('22Oct240201','040000181547','13675',(select max(to_number(i.premium_rcv_detail_code))+1
from ins_premium_det i),'13675','13675','02', '11000003','00','Request by Mr. Omair Ali 22-Oct-2024 allocation 22Oct240201');</v>
      </c>
      <c r="H423" s="54" t="str">
        <f t="shared" si="20"/>
        <v>insert into ins_premium_det (premium_rcv_code,assorted_code, rec_amount,premium_rcv_detail_code,remaining_amt, payrec, mode_code,coinsurance_code,class_cd,it_remarks) values('22Oct240201','040000181547','13675',(select max(to_number(i.premium_rcv_detail_code))+1
from ins_premium_det i),'13675','13675','02', '11000003','00','Request by Mr. Omair Ali 22-Oct-2024 allocation 22Oct240201');</v>
      </c>
    </row>
    <row r="424" spans="1:8" ht="105" x14ac:dyDescent="0.25">
      <c r="A424" t="s">
        <v>552</v>
      </c>
      <c r="B424" s="51" t="str">
        <f>VLOOKUP(A424,policy!B:C,2,0)</f>
        <v>040000181548</v>
      </c>
      <c r="C424" s="46">
        <v>23248</v>
      </c>
      <c r="D424" s="46">
        <v>23248</v>
      </c>
      <c r="E424" s="50" t="s">
        <v>3673</v>
      </c>
      <c r="F424" s="52" t="str">
        <f t="shared" si="18"/>
        <v>insert into ins_premium_det (premium_rcv_code,assorted_code, rec_amount,premium_rcv_detail_code,remaining_amt, payrec, mode_code,coinsurance_code,class_cd,it_remarks) values</v>
      </c>
      <c r="G424" s="53" t="str">
        <f t="shared" si="19"/>
        <v>('22Oct240201','040000181548','23248',(select max(to_number(i.premium_rcv_detail_code))+1
from ins_premium_det i),'23248','23248','02', '11000003','00','Request by Mr. Omair Ali 22-Oct-2024 allocation 22Oct240201');</v>
      </c>
      <c r="H424" s="54" t="str">
        <f t="shared" si="20"/>
        <v>insert into ins_premium_det (premium_rcv_code,assorted_code, rec_amount,premium_rcv_detail_code,remaining_amt, payrec, mode_code,coinsurance_code,class_cd,it_remarks) values('22Oct240201','040000181548','23248',(select max(to_number(i.premium_rcv_detail_code))+1
from ins_premium_det i),'23248','23248','02', '11000003','00','Request by Mr. Omair Ali 22-Oct-2024 allocation 22Oct240201');</v>
      </c>
    </row>
    <row r="425" spans="1:8" ht="105" x14ac:dyDescent="0.25">
      <c r="A425" t="s">
        <v>553</v>
      </c>
      <c r="B425" s="51" t="str">
        <f>VLOOKUP(A425,policy!B:C,2,0)</f>
        <v>040000181549</v>
      </c>
      <c r="C425" s="46">
        <v>23248</v>
      </c>
      <c r="D425" s="46">
        <v>23248</v>
      </c>
      <c r="E425" s="50" t="s">
        <v>3673</v>
      </c>
      <c r="F425" s="52" t="str">
        <f t="shared" si="18"/>
        <v>insert into ins_premium_det (premium_rcv_code,assorted_code, rec_amount,premium_rcv_detail_code,remaining_amt, payrec, mode_code,coinsurance_code,class_cd,it_remarks) values</v>
      </c>
      <c r="G425" s="53" t="str">
        <f t="shared" si="19"/>
        <v>('22Oct240201','040000181549','23248',(select max(to_number(i.premium_rcv_detail_code))+1
from ins_premium_det i),'23248','23248','02', '11000003','00','Request by Mr. Omair Ali 22-Oct-2024 allocation 22Oct240201');</v>
      </c>
      <c r="H425" s="54" t="str">
        <f t="shared" si="20"/>
        <v>insert into ins_premium_det (premium_rcv_code,assorted_code, rec_amount,premium_rcv_detail_code,remaining_amt, payrec, mode_code,coinsurance_code,class_cd,it_remarks) values('22Oct240201','040000181549','23248',(select max(to_number(i.premium_rcv_detail_code))+1
from ins_premium_det i),'23248','23248','02', '11000003','00','Request by Mr. Omair Ali 22-Oct-2024 allocation 22Oct240201');</v>
      </c>
    </row>
    <row r="426" spans="1:8" ht="105" x14ac:dyDescent="0.25">
      <c r="A426" t="s">
        <v>554</v>
      </c>
      <c r="B426" s="51" t="str">
        <f>VLOOKUP(A426,policy!B:C,2,0)</f>
        <v>040000181555</v>
      </c>
      <c r="C426" s="46">
        <v>23248</v>
      </c>
      <c r="D426" s="46">
        <v>23248</v>
      </c>
      <c r="E426" s="50" t="s">
        <v>3673</v>
      </c>
      <c r="F426" s="52" t="str">
        <f t="shared" si="18"/>
        <v>insert into ins_premium_det (premium_rcv_code,assorted_code, rec_amount,premium_rcv_detail_code,remaining_amt, payrec, mode_code,coinsurance_code,class_cd,it_remarks) values</v>
      </c>
      <c r="G426" s="53" t="str">
        <f t="shared" si="19"/>
        <v>('22Oct240201','040000181555','23248',(select max(to_number(i.premium_rcv_detail_code))+1
from ins_premium_det i),'23248','23248','02', '11000003','00','Request by Mr. Omair Ali 22-Oct-2024 allocation 22Oct240201');</v>
      </c>
      <c r="H426" s="54" t="str">
        <f t="shared" si="20"/>
        <v>insert into ins_premium_det (premium_rcv_code,assorted_code, rec_amount,premium_rcv_detail_code,remaining_amt, payrec, mode_code,coinsurance_code,class_cd,it_remarks) values('22Oct240201','040000181555','23248',(select max(to_number(i.premium_rcv_detail_code))+1
from ins_premium_det i),'23248','23248','02', '11000003','00','Request by Mr. Omair Ali 22-Oct-2024 allocation 22Oct240201');</v>
      </c>
    </row>
    <row r="427" spans="1:8" ht="105" x14ac:dyDescent="0.25">
      <c r="A427" t="s">
        <v>555</v>
      </c>
      <c r="B427" s="51" t="str">
        <f>VLOOKUP(A427,policy!B:C,2,0)</f>
        <v>040000181556</v>
      </c>
      <c r="C427" s="46">
        <v>23248</v>
      </c>
      <c r="D427" s="46">
        <v>23248</v>
      </c>
      <c r="E427" s="50" t="s">
        <v>3673</v>
      </c>
      <c r="F427" s="52" t="str">
        <f t="shared" si="18"/>
        <v>insert into ins_premium_det (premium_rcv_code,assorted_code, rec_amount,premium_rcv_detail_code,remaining_amt, payrec, mode_code,coinsurance_code,class_cd,it_remarks) values</v>
      </c>
      <c r="G427" s="53" t="str">
        <f t="shared" si="19"/>
        <v>('22Oct240201','040000181556','23248',(select max(to_number(i.premium_rcv_detail_code))+1
from ins_premium_det i),'23248','23248','02', '11000003','00','Request by Mr. Omair Ali 22-Oct-2024 allocation 22Oct240201');</v>
      </c>
      <c r="H427" s="54" t="str">
        <f t="shared" si="20"/>
        <v>insert into ins_premium_det (premium_rcv_code,assorted_code, rec_amount,premium_rcv_detail_code,remaining_amt, payrec, mode_code,coinsurance_code,class_cd,it_remarks) values('22Oct240201','040000181556','23248',(select max(to_number(i.premium_rcv_detail_code))+1
from ins_premium_det i),'23248','23248','02', '11000003','00','Request by Mr. Omair Ali 22-Oct-2024 allocation 22Oct240201');</v>
      </c>
    </row>
    <row r="428" spans="1:8" ht="105" x14ac:dyDescent="0.25">
      <c r="A428" t="s">
        <v>556</v>
      </c>
      <c r="B428" s="51" t="str">
        <f>VLOOKUP(A428,policy!B:C,2,0)</f>
        <v>040000181557</v>
      </c>
      <c r="C428" s="46">
        <v>23248</v>
      </c>
      <c r="D428" s="46">
        <v>23248</v>
      </c>
      <c r="E428" s="50" t="s">
        <v>3673</v>
      </c>
      <c r="F428" s="52" t="str">
        <f t="shared" si="18"/>
        <v>insert into ins_premium_det (premium_rcv_code,assorted_code, rec_amount,premium_rcv_detail_code,remaining_amt, payrec, mode_code,coinsurance_code,class_cd,it_remarks) values</v>
      </c>
      <c r="G428" s="53" t="str">
        <f t="shared" si="19"/>
        <v>('22Oct240201','040000181557','23248',(select max(to_number(i.premium_rcv_detail_code))+1
from ins_premium_det i),'23248','23248','02', '11000003','00','Request by Mr. Omair Ali 22-Oct-2024 allocation 22Oct240201');</v>
      </c>
      <c r="H428" s="54" t="str">
        <f t="shared" si="20"/>
        <v>insert into ins_premium_det (premium_rcv_code,assorted_code, rec_amount,premium_rcv_detail_code,remaining_amt, payrec, mode_code,coinsurance_code,class_cd,it_remarks) values('22Oct240201','040000181557','23248',(select max(to_number(i.premium_rcv_detail_code))+1
from ins_premium_det i),'23248','23248','02', '11000003','00','Request by Mr. Omair Ali 22-Oct-2024 allocation 22Oct240201');</v>
      </c>
    </row>
    <row r="429" spans="1:8" ht="105" x14ac:dyDescent="0.25">
      <c r="A429" t="s">
        <v>557</v>
      </c>
      <c r="B429" s="51" t="str">
        <f>VLOOKUP(A429,policy!B:C,2,0)</f>
        <v>040000181558</v>
      </c>
      <c r="C429" s="46">
        <v>23248</v>
      </c>
      <c r="D429" s="46">
        <v>23248</v>
      </c>
      <c r="E429" s="50" t="s">
        <v>3673</v>
      </c>
      <c r="F429" s="52" t="str">
        <f t="shared" si="18"/>
        <v>insert into ins_premium_det (premium_rcv_code,assorted_code, rec_amount,premium_rcv_detail_code,remaining_amt, payrec, mode_code,coinsurance_code,class_cd,it_remarks) values</v>
      </c>
      <c r="G429" s="53" t="str">
        <f t="shared" si="19"/>
        <v>('22Oct240201','040000181558','23248',(select max(to_number(i.premium_rcv_detail_code))+1
from ins_premium_det i),'23248','23248','02', '11000003','00','Request by Mr. Omair Ali 22-Oct-2024 allocation 22Oct240201');</v>
      </c>
      <c r="H429" s="54" t="str">
        <f t="shared" si="20"/>
        <v>insert into ins_premium_det (premium_rcv_code,assorted_code, rec_amount,premium_rcv_detail_code,remaining_amt, payrec, mode_code,coinsurance_code,class_cd,it_remarks) values('22Oct240201','040000181558','23248',(select max(to_number(i.premium_rcv_detail_code))+1
from ins_premium_det i),'23248','23248','02', '11000003','00','Request by Mr. Omair Ali 22-Oct-2024 allocation 22Oct240201');</v>
      </c>
    </row>
    <row r="430" spans="1:8" ht="105" x14ac:dyDescent="0.25">
      <c r="A430" t="s">
        <v>558</v>
      </c>
      <c r="B430" s="51" t="str">
        <f>VLOOKUP(A430,policy!B:C,2,0)</f>
        <v>040000181564</v>
      </c>
      <c r="C430" s="46">
        <v>14960</v>
      </c>
      <c r="D430" s="46">
        <v>14960</v>
      </c>
      <c r="E430" s="50" t="s">
        <v>3673</v>
      </c>
      <c r="F430" s="52" t="str">
        <f t="shared" si="18"/>
        <v>insert into ins_premium_det (premium_rcv_code,assorted_code, rec_amount,premium_rcv_detail_code,remaining_amt, payrec, mode_code,coinsurance_code,class_cd,it_remarks) values</v>
      </c>
      <c r="G430" s="53" t="str">
        <f t="shared" si="19"/>
        <v>('22Oct240201','040000181564','14960',(select max(to_number(i.premium_rcv_detail_code))+1
from ins_premium_det i),'14960','14960','02', '11000003','00','Request by Mr. Omair Ali 22-Oct-2024 allocation 22Oct240201');</v>
      </c>
      <c r="H430" s="54" t="str">
        <f t="shared" si="20"/>
        <v>insert into ins_premium_det (premium_rcv_code,assorted_code, rec_amount,premium_rcv_detail_code,remaining_amt, payrec, mode_code,coinsurance_code,class_cd,it_remarks) values('22Oct240201','040000181564','14960',(select max(to_number(i.premium_rcv_detail_code))+1
from ins_premium_det i),'14960','14960','02', '11000003','00','Request by Mr. Omair Ali 22-Oct-2024 allocation 22Oct240201');</v>
      </c>
    </row>
    <row r="431" spans="1:8" ht="105" x14ac:dyDescent="0.25">
      <c r="A431" t="s">
        <v>559</v>
      </c>
      <c r="B431" s="51" t="str">
        <f>VLOOKUP(A431,policy!B:C,2,0)</f>
        <v>040000181565</v>
      </c>
      <c r="C431" s="46">
        <v>14960</v>
      </c>
      <c r="D431" s="46">
        <v>14960</v>
      </c>
      <c r="E431" s="50" t="s">
        <v>3673</v>
      </c>
      <c r="F431" s="52" t="str">
        <f t="shared" si="18"/>
        <v>insert into ins_premium_det (premium_rcv_code,assorted_code, rec_amount,premium_rcv_detail_code,remaining_amt, payrec, mode_code,coinsurance_code,class_cd,it_remarks) values</v>
      </c>
      <c r="G431" s="53" t="str">
        <f t="shared" si="19"/>
        <v>('22Oct240201','040000181565','14960',(select max(to_number(i.premium_rcv_detail_code))+1
from ins_premium_det i),'14960','14960','02', '11000003','00','Request by Mr. Omair Ali 22-Oct-2024 allocation 22Oct240201');</v>
      </c>
      <c r="H431" s="54" t="str">
        <f t="shared" si="20"/>
        <v>insert into ins_premium_det (premium_rcv_code,assorted_code, rec_amount,premium_rcv_detail_code,remaining_amt, payrec, mode_code,coinsurance_code,class_cd,it_remarks) values('22Oct240201','040000181565','14960',(select max(to_number(i.premium_rcv_detail_code))+1
from ins_premium_det i),'14960','14960','02', '11000003','00','Request by Mr. Omair Ali 22-Oct-2024 allocation 22Oct240201');</v>
      </c>
    </row>
    <row r="432" spans="1:8" ht="105" x14ac:dyDescent="0.25">
      <c r="A432" t="s">
        <v>560</v>
      </c>
      <c r="B432" s="51" t="str">
        <f>VLOOKUP(A432,policy!B:C,2,0)</f>
        <v>040000181569</v>
      </c>
      <c r="C432" s="46">
        <v>21208</v>
      </c>
      <c r="D432" s="46">
        <v>21208</v>
      </c>
      <c r="E432" s="50" t="s">
        <v>3673</v>
      </c>
      <c r="F432" s="52" t="str">
        <f t="shared" si="18"/>
        <v>insert into ins_premium_det (premium_rcv_code,assorted_code, rec_amount,premium_rcv_detail_code,remaining_amt, payrec, mode_code,coinsurance_code,class_cd,it_remarks) values</v>
      </c>
      <c r="G432" s="53" t="str">
        <f t="shared" si="19"/>
        <v>('22Oct240201','040000181569','21208',(select max(to_number(i.premium_rcv_detail_code))+1
from ins_premium_det i),'21208','21208','02', '11000003','00','Request by Mr. Omair Ali 22-Oct-2024 allocation 22Oct240201');</v>
      </c>
      <c r="H432" s="54" t="str">
        <f t="shared" si="20"/>
        <v>insert into ins_premium_det (premium_rcv_code,assorted_code, rec_amount,premium_rcv_detail_code,remaining_amt, payrec, mode_code,coinsurance_code,class_cd,it_remarks) values('22Oct240201','040000181569','21208',(select max(to_number(i.premium_rcv_detail_code))+1
from ins_premium_det i),'21208','21208','02', '11000003','00','Request by Mr. Omair Ali 22-Oct-2024 allocation 22Oct240201');</v>
      </c>
    </row>
    <row r="433" spans="1:8" ht="105" x14ac:dyDescent="0.25">
      <c r="A433" t="s">
        <v>561</v>
      </c>
      <c r="B433" s="51" t="str">
        <f>VLOOKUP(A433,policy!B:C,2,0)</f>
        <v>040000181570</v>
      </c>
      <c r="C433" s="46">
        <v>21208</v>
      </c>
      <c r="D433" s="46">
        <v>21208</v>
      </c>
      <c r="E433" s="50" t="s">
        <v>3673</v>
      </c>
      <c r="F433" s="52" t="str">
        <f t="shared" si="18"/>
        <v>insert into ins_premium_det (premium_rcv_code,assorted_code, rec_amount,premium_rcv_detail_code,remaining_amt, payrec, mode_code,coinsurance_code,class_cd,it_remarks) values</v>
      </c>
      <c r="G433" s="53" t="str">
        <f t="shared" si="19"/>
        <v>('22Oct240201','040000181570','21208',(select max(to_number(i.premium_rcv_detail_code))+1
from ins_premium_det i),'21208','21208','02', '11000003','00','Request by Mr. Omair Ali 22-Oct-2024 allocation 22Oct240201');</v>
      </c>
      <c r="H433" s="54" t="str">
        <f t="shared" si="20"/>
        <v>insert into ins_premium_det (premium_rcv_code,assorted_code, rec_amount,premium_rcv_detail_code,remaining_amt, payrec, mode_code,coinsurance_code,class_cd,it_remarks) values('22Oct240201','040000181570','21208',(select max(to_number(i.premium_rcv_detail_code))+1
from ins_premium_det i),'21208','21208','02', '11000003','00','Request by Mr. Omair Ali 22-Oct-2024 allocation 22Oct240201');</v>
      </c>
    </row>
    <row r="434" spans="1:8" ht="105" x14ac:dyDescent="0.25">
      <c r="A434" t="s">
        <v>562</v>
      </c>
      <c r="B434" s="51" t="str">
        <f>VLOOKUP(A434,policy!B:C,2,0)</f>
        <v>040000181582</v>
      </c>
      <c r="C434" s="46">
        <v>14960</v>
      </c>
      <c r="D434" s="46">
        <v>14960</v>
      </c>
      <c r="E434" s="50" t="s">
        <v>3673</v>
      </c>
      <c r="F434" s="52" t="str">
        <f t="shared" si="18"/>
        <v>insert into ins_premium_det (premium_rcv_code,assorted_code, rec_amount,premium_rcv_detail_code,remaining_amt, payrec, mode_code,coinsurance_code,class_cd,it_remarks) values</v>
      </c>
      <c r="G434" s="53" t="str">
        <f t="shared" si="19"/>
        <v>('22Oct240201','040000181582','14960',(select max(to_number(i.premium_rcv_detail_code))+1
from ins_premium_det i),'14960','14960','02', '11000003','00','Request by Mr. Omair Ali 22-Oct-2024 allocation 22Oct240201');</v>
      </c>
      <c r="H434" s="54" t="str">
        <f t="shared" si="20"/>
        <v>insert into ins_premium_det (premium_rcv_code,assorted_code, rec_amount,premium_rcv_detail_code,remaining_amt, payrec, mode_code,coinsurance_code,class_cd,it_remarks) values('22Oct240201','040000181582','14960',(select max(to_number(i.premium_rcv_detail_code))+1
from ins_premium_det i),'14960','14960','02', '11000003','00','Request by Mr. Omair Ali 22-Oct-2024 allocation 22Oct240201');</v>
      </c>
    </row>
    <row r="435" spans="1:8" ht="105" x14ac:dyDescent="0.25">
      <c r="A435" t="s">
        <v>563</v>
      </c>
      <c r="B435" s="51" t="str">
        <f>VLOOKUP(A435,policy!B:C,2,0)</f>
        <v>040000181584</v>
      </c>
      <c r="C435" s="46">
        <v>8800</v>
      </c>
      <c r="D435" s="46">
        <v>8800</v>
      </c>
      <c r="E435" s="50" t="s">
        <v>3673</v>
      </c>
      <c r="F435" s="52" t="str">
        <f t="shared" si="18"/>
        <v>insert into ins_premium_det (premium_rcv_code,assorted_code, rec_amount,premium_rcv_detail_code,remaining_amt, payrec, mode_code,coinsurance_code,class_cd,it_remarks) values</v>
      </c>
      <c r="G435" s="53" t="str">
        <f t="shared" si="19"/>
        <v>('22Oct240201','040000181584','8800',(select max(to_number(i.premium_rcv_detail_code))+1
from ins_premium_det i),'8800','8800','02', '11000003','00','Request by Mr. Omair Ali 22-Oct-2024 allocation 22Oct240201');</v>
      </c>
      <c r="H435" s="54" t="str">
        <f t="shared" si="20"/>
        <v>insert into ins_premium_det (premium_rcv_code,assorted_code, rec_amount,premium_rcv_detail_code,remaining_amt, payrec, mode_code,coinsurance_code,class_cd,it_remarks) values('22Oct240201','040000181584','8800',(select max(to_number(i.premium_rcv_detail_code))+1
from ins_premium_det i),'8800','8800','02', '11000003','00','Request by Mr. Omair Ali 22-Oct-2024 allocation 22Oct240201');</v>
      </c>
    </row>
    <row r="436" spans="1:8" ht="105" x14ac:dyDescent="0.25">
      <c r="A436" t="s">
        <v>564</v>
      </c>
      <c r="B436" s="51" t="str">
        <f>VLOOKUP(A436,policy!B:C,2,0)</f>
        <v>040000181585</v>
      </c>
      <c r="C436" s="46">
        <v>23248</v>
      </c>
      <c r="D436" s="46">
        <v>23248</v>
      </c>
      <c r="E436" s="50" t="s">
        <v>3673</v>
      </c>
      <c r="F436" s="52" t="str">
        <f t="shared" si="18"/>
        <v>insert into ins_premium_det (premium_rcv_code,assorted_code, rec_amount,premium_rcv_detail_code,remaining_amt, payrec, mode_code,coinsurance_code,class_cd,it_remarks) values</v>
      </c>
      <c r="G436" s="53" t="str">
        <f t="shared" si="19"/>
        <v>('22Oct240201','040000181585','23248',(select max(to_number(i.premium_rcv_detail_code))+1
from ins_premium_det i),'23248','23248','02', '11000003','00','Request by Mr. Omair Ali 22-Oct-2024 allocation 22Oct240201');</v>
      </c>
      <c r="H436" s="54" t="str">
        <f t="shared" si="20"/>
        <v>insert into ins_premium_det (premium_rcv_code,assorted_code, rec_amount,premium_rcv_detail_code,remaining_amt, payrec, mode_code,coinsurance_code,class_cd,it_remarks) values('22Oct240201','040000181585','23248',(select max(to_number(i.premium_rcv_detail_code))+1
from ins_premium_det i),'23248','23248','02', '11000003','00','Request by Mr. Omair Ali 22-Oct-2024 allocation 22Oct240201');</v>
      </c>
    </row>
    <row r="437" spans="1:8" ht="105" x14ac:dyDescent="0.25">
      <c r="A437" t="s">
        <v>565</v>
      </c>
      <c r="B437" s="51" t="str">
        <f>VLOOKUP(A437,policy!B:C,2,0)</f>
        <v>040000181586</v>
      </c>
      <c r="C437" s="46">
        <v>23248</v>
      </c>
      <c r="D437" s="46">
        <v>23248</v>
      </c>
      <c r="E437" s="50" t="s">
        <v>3673</v>
      </c>
      <c r="F437" s="52" t="str">
        <f t="shared" si="18"/>
        <v>insert into ins_premium_det (premium_rcv_code,assorted_code, rec_amount,premium_rcv_detail_code,remaining_amt, payrec, mode_code,coinsurance_code,class_cd,it_remarks) values</v>
      </c>
      <c r="G437" s="53" t="str">
        <f t="shared" si="19"/>
        <v>('22Oct240201','040000181586','23248',(select max(to_number(i.premium_rcv_detail_code))+1
from ins_premium_det i),'23248','23248','02', '11000003','00','Request by Mr. Omair Ali 22-Oct-2024 allocation 22Oct240201');</v>
      </c>
      <c r="H437" s="54" t="str">
        <f t="shared" si="20"/>
        <v>insert into ins_premium_det (premium_rcv_code,assorted_code, rec_amount,premium_rcv_detail_code,remaining_amt, payrec, mode_code,coinsurance_code,class_cd,it_remarks) values('22Oct240201','040000181586','23248',(select max(to_number(i.premium_rcv_detail_code))+1
from ins_premium_det i),'23248','23248','02', '11000003','00','Request by Mr. Omair Ali 22-Oct-2024 allocation 22Oct240201');</v>
      </c>
    </row>
    <row r="438" spans="1:8" ht="105" x14ac:dyDescent="0.25">
      <c r="A438" t="s">
        <v>566</v>
      </c>
      <c r="B438" s="51" t="str">
        <f>VLOOKUP(A438,policy!B:C,2,0)</f>
        <v>040000181587</v>
      </c>
      <c r="C438" s="46">
        <v>23248</v>
      </c>
      <c r="D438" s="46">
        <v>23248</v>
      </c>
      <c r="E438" s="50" t="s">
        <v>3673</v>
      </c>
      <c r="F438" s="52" t="str">
        <f t="shared" si="18"/>
        <v>insert into ins_premium_det (premium_rcv_code,assorted_code, rec_amount,premium_rcv_detail_code,remaining_amt, payrec, mode_code,coinsurance_code,class_cd,it_remarks) values</v>
      </c>
      <c r="G438" s="53" t="str">
        <f t="shared" si="19"/>
        <v>('22Oct240201','040000181587','23248',(select max(to_number(i.premium_rcv_detail_code))+1
from ins_premium_det i),'23248','23248','02', '11000003','00','Request by Mr. Omair Ali 22-Oct-2024 allocation 22Oct240201');</v>
      </c>
      <c r="H438" s="54" t="str">
        <f t="shared" si="20"/>
        <v>insert into ins_premium_det (premium_rcv_code,assorted_code, rec_amount,premium_rcv_detail_code,remaining_amt, payrec, mode_code,coinsurance_code,class_cd,it_remarks) values('22Oct240201','040000181587','23248',(select max(to_number(i.premium_rcv_detail_code))+1
from ins_premium_det i),'23248','23248','02', '11000003','00','Request by Mr. Omair Ali 22-Oct-2024 allocation 22Oct240201');</v>
      </c>
    </row>
    <row r="439" spans="1:8" ht="105" x14ac:dyDescent="0.25">
      <c r="A439" t="s">
        <v>567</v>
      </c>
      <c r="B439" s="51" t="str">
        <f>VLOOKUP(A439,policy!B:C,2,0)</f>
        <v>040000181636</v>
      </c>
      <c r="C439" s="46">
        <v>23248</v>
      </c>
      <c r="D439" s="46">
        <v>23248</v>
      </c>
      <c r="E439" s="50" t="s">
        <v>3673</v>
      </c>
      <c r="F439" s="52" t="str">
        <f t="shared" si="18"/>
        <v>insert into ins_premium_det (premium_rcv_code,assorted_code, rec_amount,premium_rcv_detail_code,remaining_amt, payrec, mode_code,coinsurance_code,class_cd,it_remarks) values</v>
      </c>
      <c r="G439" s="53" t="str">
        <f t="shared" si="19"/>
        <v>('22Oct240201','040000181636','23248',(select max(to_number(i.premium_rcv_detail_code))+1
from ins_premium_det i),'23248','23248','02', '11000003','00','Request by Mr. Omair Ali 22-Oct-2024 allocation 22Oct240201');</v>
      </c>
      <c r="H439" s="54" t="str">
        <f t="shared" si="20"/>
        <v>insert into ins_premium_det (premium_rcv_code,assorted_code, rec_amount,premium_rcv_detail_code,remaining_amt, payrec, mode_code,coinsurance_code,class_cd,it_remarks) values('22Oct240201','040000181636','23248',(select max(to_number(i.premium_rcv_detail_code))+1
from ins_premium_det i),'23248','23248','02', '11000003','00','Request by Mr. Omair Ali 22-Oct-2024 allocation 22Oct240201');</v>
      </c>
    </row>
    <row r="440" spans="1:8" ht="105" x14ac:dyDescent="0.25">
      <c r="A440" t="s">
        <v>568</v>
      </c>
      <c r="B440" s="51" t="str">
        <f>VLOOKUP(A440,policy!B:C,2,0)</f>
        <v>040000181637</v>
      </c>
      <c r="C440" s="46">
        <v>23248</v>
      </c>
      <c r="D440" s="46">
        <v>23248</v>
      </c>
      <c r="E440" s="50" t="s">
        <v>3673</v>
      </c>
      <c r="F440" s="52" t="str">
        <f t="shared" si="18"/>
        <v>insert into ins_premium_det (premium_rcv_code,assorted_code, rec_amount,premium_rcv_detail_code,remaining_amt, payrec, mode_code,coinsurance_code,class_cd,it_remarks) values</v>
      </c>
      <c r="G440" s="53" t="str">
        <f t="shared" si="19"/>
        <v>('22Oct240201','040000181637','23248',(select max(to_number(i.premium_rcv_detail_code))+1
from ins_premium_det i),'23248','23248','02', '11000003','00','Request by Mr. Omair Ali 22-Oct-2024 allocation 22Oct240201');</v>
      </c>
      <c r="H440" s="54" t="str">
        <f t="shared" si="20"/>
        <v>insert into ins_premium_det (premium_rcv_code,assorted_code, rec_amount,premium_rcv_detail_code,remaining_amt, payrec, mode_code,coinsurance_code,class_cd,it_remarks) values('22Oct240201','040000181637','23248',(select max(to_number(i.premium_rcv_detail_code))+1
from ins_premium_det i),'23248','23248','02', '11000003','00','Request by Mr. Omair Ali 22-Oct-2024 allocation 22Oct240201');</v>
      </c>
    </row>
    <row r="441" spans="1:8" ht="105" x14ac:dyDescent="0.25">
      <c r="A441" t="s">
        <v>569</v>
      </c>
      <c r="B441" s="51" t="str">
        <f>VLOOKUP(A441,policy!B:C,2,0)</f>
        <v>040000181658</v>
      </c>
      <c r="C441" s="46">
        <v>14960</v>
      </c>
      <c r="D441" s="46">
        <v>14960</v>
      </c>
      <c r="E441" s="50" t="s">
        <v>3673</v>
      </c>
      <c r="F441" s="52" t="str">
        <f t="shared" si="18"/>
        <v>insert into ins_premium_det (premium_rcv_code,assorted_code, rec_amount,premium_rcv_detail_code,remaining_amt, payrec, mode_code,coinsurance_code,class_cd,it_remarks) values</v>
      </c>
      <c r="G441" s="53" t="str">
        <f t="shared" si="19"/>
        <v>('22Oct240201','040000181658','14960',(select max(to_number(i.premium_rcv_detail_code))+1
from ins_premium_det i),'14960','14960','02', '11000003','00','Request by Mr. Omair Ali 22-Oct-2024 allocation 22Oct240201');</v>
      </c>
      <c r="H441" s="54" t="str">
        <f t="shared" si="20"/>
        <v>insert into ins_premium_det (premium_rcv_code,assorted_code, rec_amount,premium_rcv_detail_code,remaining_amt, payrec, mode_code,coinsurance_code,class_cd,it_remarks) values('22Oct240201','040000181658','14960',(select max(to_number(i.premium_rcv_detail_code))+1
from ins_premium_det i),'14960','14960','02', '11000003','00','Request by Mr. Omair Ali 22-Oct-2024 allocation 22Oct240201');</v>
      </c>
    </row>
    <row r="442" spans="1:8" ht="105" x14ac:dyDescent="0.25">
      <c r="A442" t="s">
        <v>570</v>
      </c>
      <c r="B442" s="51" t="str">
        <f>VLOOKUP(A442,policy!B:C,2,0)</f>
        <v>040000181659</v>
      </c>
      <c r="C442" s="46">
        <v>14960</v>
      </c>
      <c r="D442" s="46">
        <v>14960</v>
      </c>
      <c r="E442" s="50" t="s">
        <v>3673</v>
      </c>
      <c r="F442" s="52" t="str">
        <f t="shared" si="18"/>
        <v>insert into ins_premium_det (premium_rcv_code,assorted_code, rec_amount,premium_rcv_detail_code,remaining_amt, payrec, mode_code,coinsurance_code,class_cd,it_remarks) values</v>
      </c>
      <c r="G442" s="53" t="str">
        <f t="shared" si="19"/>
        <v>('22Oct240201','040000181659','14960',(select max(to_number(i.premium_rcv_detail_code))+1
from ins_premium_det i),'14960','14960','02', '11000003','00','Request by Mr. Omair Ali 22-Oct-2024 allocation 22Oct240201');</v>
      </c>
      <c r="H442" s="54" t="str">
        <f t="shared" si="20"/>
        <v>insert into ins_premium_det (premium_rcv_code,assorted_code, rec_amount,premium_rcv_detail_code,remaining_amt, payrec, mode_code,coinsurance_code,class_cd,it_remarks) values('22Oct240201','040000181659','14960',(select max(to_number(i.premium_rcv_detail_code))+1
from ins_premium_det i),'14960','14960','02', '11000003','00','Request by Mr. Omair Ali 22-Oct-2024 allocation 22Oct240201');</v>
      </c>
    </row>
    <row r="443" spans="1:8" ht="105" x14ac:dyDescent="0.25">
      <c r="A443" t="s">
        <v>571</v>
      </c>
      <c r="B443" s="51" t="str">
        <f>VLOOKUP(A443,policy!B:C,2,0)</f>
        <v>040000181663</v>
      </c>
      <c r="C443" s="46">
        <v>8800</v>
      </c>
      <c r="D443" s="46">
        <v>8800</v>
      </c>
      <c r="E443" s="50" t="s">
        <v>3673</v>
      </c>
      <c r="F443" s="52" t="str">
        <f t="shared" si="18"/>
        <v>insert into ins_premium_det (premium_rcv_code,assorted_code, rec_amount,premium_rcv_detail_code,remaining_amt, payrec, mode_code,coinsurance_code,class_cd,it_remarks) values</v>
      </c>
      <c r="G443" s="53" t="str">
        <f t="shared" si="19"/>
        <v>('22Oct240201','040000181663','8800',(select max(to_number(i.premium_rcv_detail_code))+1
from ins_premium_det i),'8800','8800','02', '11000003','00','Request by Mr. Omair Ali 22-Oct-2024 allocation 22Oct240201');</v>
      </c>
      <c r="H443" s="54" t="str">
        <f t="shared" si="20"/>
        <v>insert into ins_premium_det (premium_rcv_code,assorted_code, rec_amount,premium_rcv_detail_code,remaining_amt, payrec, mode_code,coinsurance_code,class_cd,it_remarks) values('22Oct240201','040000181663','8800',(select max(to_number(i.premium_rcv_detail_code))+1
from ins_premium_det i),'8800','8800','02', '11000003','00','Request by Mr. Omair Ali 22-Oct-2024 allocation 22Oct240201');</v>
      </c>
    </row>
    <row r="444" spans="1:8" ht="105" x14ac:dyDescent="0.25">
      <c r="A444" t="s">
        <v>572</v>
      </c>
      <c r="B444" s="51" t="str">
        <f>VLOOKUP(A444,policy!B:C,2,0)</f>
        <v>040000181664</v>
      </c>
      <c r="C444" s="46">
        <v>8800</v>
      </c>
      <c r="D444" s="46">
        <v>8800</v>
      </c>
      <c r="E444" s="50" t="s">
        <v>3673</v>
      </c>
      <c r="F444" s="52" t="str">
        <f t="shared" si="18"/>
        <v>insert into ins_premium_det (premium_rcv_code,assorted_code, rec_amount,premium_rcv_detail_code,remaining_amt, payrec, mode_code,coinsurance_code,class_cd,it_remarks) values</v>
      </c>
      <c r="G444" s="53" t="str">
        <f t="shared" si="19"/>
        <v>('22Oct240201','040000181664','8800',(select max(to_number(i.premium_rcv_detail_code))+1
from ins_premium_det i),'8800','8800','02', '11000003','00','Request by Mr. Omair Ali 22-Oct-2024 allocation 22Oct240201');</v>
      </c>
      <c r="H444" s="54" t="str">
        <f t="shared" si="20"/>
        <v>insert into ins_premium_det (premium_rcv_code,assorted_code, rec_amount,premium_rcv_detail_code,remaining_amt, payrec, mode_code,coinsurance_code,class_cd,it_remarks) values('22Oct240201','040000181664','8800',(select max(to_number(i.premium_rcv_detail_code))+1
from ins_premium_det i),'8800','8800','02', '11000003','00','Request by Mr. Omair Ali 22-Oct-2024 allocation 22Oct240201');</v>
      </c>
    </row>
    <row r="445" spans="1:8" ht="105" x14ac:dyDescent="0.25">
      <c r="A445" t="s">
        <v>573</v>
      </c>
      <c r="B445" s="51" t="str">
        <f>VLOOKUP(A445,policy!B:C,2,0)</f>
        <v>040000181666</v>
      </c>
      <c r="C445" s="46">
        <v>8800</v>
      </c>
      <c r="D445" s="46">
        <v>8800</v>
      </c>
      <c r="E445" s="50" t="s">
        <v>3673</v>
      </c>
      <c r="F445" s="52" t="str">
        <f t="shared" si="18"/>
        <v>insert into ins_premium_det (premium_rcv_code,assorted_code, rec_amount,premium_rcv_detail_code,remaining_amt, payrec, mode_code,coinsurance_code,class_cd,it_remarks) values</v>
      </c>
      <c r="G445" s="53" t="str">
        <f t="shared" si="19"/>
        <v>('22Oct240201','040000181666','8800',(select max(to_number(i.premium_rcv_detail_code))+1
from ins_premium_det i),'8800','8800','02', '11000003','00','Request by Mr. Omair Ali 22-Oct-2024 allocation 22Oct240201');</v>
      </c>
      <c r="H445" s="54" t="str">
        <f t="shared" si="20"/>
        <v>insert into ins_premium_det (premium_rcv_code,assorted_code, rec_amount,premium_rcv_detail_code,remaining_amt, payrec, mode_code,coinsurance_code,class_cd,it_remarks) values('22Oct240201','040000181666','8800',(select max(to_number(i.premium_rcv_detail_code))+1
from ins_premium_det i),'8800','8800','02', '11000003','00','Request by Mr. Omair Ali 22-Oct-2024 allocation 22Oct240201');</v>
      </c>
    </row>
    <row r="446" spans="1:8" ht="105" x14ac:dyDescent="0.25">
      <c r="A446" t="s">
        <v>574</v>
      </c>
      <c r="B446" s="51" t="str">
        <f>VLOOKUP(A446,policy!B:C,2,0)</f>
        <v>040000181669</v>
      </c>
      <c r="C446" s="46">
        <v>9550</v>
      </c>
      <c r="D446" s="46">
        <v>9550</v>
      </c>
      <c r="E446" s="50" t="s">
        <v>3673</v>
      </c>
      <c r="F446" s="52" t="str">
        <f t="shared" si="18"/>
        <v>insert into ins_premium_det (premium_rcv_code,assorted_code, rec_amount,premium_rcv_detail_code,remaining_amt, payrec, mode_code,coinsurance_code,class_cd,it_remarks) values</v>
      </c>
      <c r="G446" s="53" t="str">
        <f t="shared" si="19"/>
        <v>('22Oct240201','040000181669','9550',(select max(to_number(i.premium_rcv_detail_code))+1
from ins_premium_det i),'9550','9550','02', '11000003','00','Request by Mr. Omair Ali 22-Oct-2024 allocation 22Oct240201');</v>
      </c>
      <c r="H446" s="54" t="str">
        <f t="shared" si="20"/>
        <v>insert into ins_premium_det (premium_rcv_code,assorted_code, rec_amount,premium_rcv_detail_code,remaining_amt, payrec, mode_code,coinsurance_code,class_cd,it_remarks) values('22Oct240201','040000181669','9550',(select max(to_number(i.premium_rcv_detail_code))+1
from ins_premium_det i),'9550','9550','02', '11000003','00','Request by Mr. Omair Ali 22-Oct-2024 allocation 22Oct240201');</v>
      </c>
    </row>
    <row r="447" spans="1:8" ht="105" x14ac:dyDescent="0.25">
      <c r="A447" t="s">
        <v>575</v>
      </c>
      <c r="B447" s="51" t="str">
        <f>VLOOKUP(A447,policy!B:C,2,0)</f>
        <v>040000181671</v>
      </c>
      <c r="C447" s="46">
        <v>23248</v>
      </c>
      <c r="D447" s="46">
        <v>23248</v>
      </c>
      <c r="E447" s="50" t="s">
        <v>3673</v>
      </c>
      <c r="F447" s="52" t="str">
        <f t="shared" si="18"/>
        <v>insert into ins_premium_det (premium_rcv_code,assorted_code, rec_amount,premium_rcv_detail_code,remaining_amt, payrec, mode_code,coinsurance_code,class_cd,it_remarks) values</v>
      </c>
      <c r="G447" s="53" t="str">
        <f t="shared" si="19"/>
        <v>('22Oct240201','040000181671','23248',(select max(to_number(i.premium_rcv_detail_code))+1
from ins_premium_det i),'23248','23248','02', '11000003','00','Request by Mr. Omair Ali 22-Oct-2024 allocation 22Oct240201');</v>
      </c>
      <c r="H447" s="54" t="str">
        <f t="shared" si="20"/>
        <v>insert into ins_premium_det (premium_rcv_code,assorted_code, rec_amount,premium_rcv_detail_code,remaining_amt, payrec, mode_code,coinsurance_code,class_cd,it_remarks) values('22Oct240201','040000181671','23248',(select max(to_number(i.premium_rcv_detail_code))+1
from ins_premium_det i),'23248','23248','02', '11000003','00','Request by Mr. Omair Ali 22-Oct-2024 allocation 22Oct240201');</v>
      </c>
    </row>
    <row r="448" spans="1:8" ht="105" x14ac:dyDescent="0.25">
      <c r="A448" t="s">
        <v>576</v>
      </c>
      <c r="B448" s="51" t="str">
        <f>VLOOKUP(A448,policy!B:C,2,0)</f>
        <v>040000181672</v>
      </c>
      <c r="C448" s="46">
        <v>23248</v>
      </c>
      <c r="D448" s="46">
        <v>23248</v>
      </c>
      <c r="E448" s="50" t="s">
        <v>3673</v>
      </c>
      <c r="F448" s="52" t="str">
        <f t="shared" si="18"/>
        <v>insert into ins_premium_det (premium_rcv_code,assorted_code, rec_amount,premium_rcv_detail_code,remaining_amt, payrec, mode_code,coinsurance_code,class_cd,it_remarks) values</v>
      </c>
      <c r="G448" s="53" t="str">
        <f t="shared" si="19"/>
        <v>('22Oct240201','040000181672','23248',(select max(to_number(i.premium_rcv_detail_code))+1
from ins_premium_det i),'23248','23248','02', '11000003','00','Request by Mr. Omair Ali 22-Oct-2024 allocation 22Oct240201');</v>
      </c>
      <c r="H448" s="54" t="str">
        <f t="shared" si="20"/>
        <v>insert into ins_premium_det (premium_rcv_code,assorted_code, rec_amount,premium_rcv_detail_code,remaining_amt, payrec, mode_code,coinsurance_code,class_cd,it_remarks) values('22Oct240201','040000181672','23248',(select max(to_number(i.premium_rcv_detail_code))+1
from ins_premium_det i),'23248','23248','02', '11000003','00','Request by Mr. Omair Ali 22-Oct-2024 allocation 22Oct240201');</v>
      </c>
    </row>
    <row r="449" spans="1:8" ht="105" x14ac:dyDescent="0.25">
      <c r="A449" t="s">
        <v>577</v>
      </c>
      <c r="B449" s="51" t="str">
        <f>VLOOKUP(A449,policy!B:C,2,0)</f>
        <v>040000181674</v>
      </c>
      <c r="C449" s="46">
        <v>8800</v>
      </c>
      <c r="D449" s="46">
        <v>8800</v>
      </c>
      <c r="E449" s="50" t="s">
        <v>3673</v>
      </c>
      <c r="F449" s="52" t="str">
        <f t="shared" si="18"/>
        <v>insert into ins_premium_det (premium_rcv_code,assorted_code, rec_amount,premium_rcv_detail_code,remaining_amt, payrec, mode_code,coinsurance_code,class_cd,it_remarks) values</v>
      </c>
      <c r="G449" s="53" t="str">
        <f t="shared" si="19"/>
        <v>('22Oct240201','040000181674','8800',(select max(to_number(i.premium_rcv_detail_code))+1
from ins_premium_det i),'8800','8800','02', '11000003','00','Request by Mr. Omair Ali 22-Oct-2024 allocation 22Oct240201');</v>
      </c>
      <c r="H449" s="54" t="str">
        <f t="shared" si="20"/>
        <v>insert into ins_premium_det (premium_rcv_code,assorted_code, rec_amount,premium_rcv_detail_code,remaining_amt, payrec, mode_code,coinsurance_code,class_cd,it_remarks) values('22Oct240201','040000181674','8800',(select max(to_number(i.premium_rcv_detail_code))+1
from ins_premium_det i),'8800','8800','02', '11000003','00','Request by Mr. Omair Ali 22-Oct-2024 allocation 22Oct240201');</v>
      </c>
    </row>
    <row r="450" spans="1:8" ht="105" x14ac:dyDescent="0.25">
      <c r="A450" t="s">
        <v>578</v>
      </c>
      <c r="B450" s="51" t="str">
        <f>VLOOKUP(A450,policy!B:C,2,0)</f>
        <v>040000181676</v>
      </c>
      <c r="C450" s="46">
        <v>9550</v>
      </c>
      <c r="D450" s="46">
        <v>9550</v>
      </c>
      <c r="E450" s="50" t="s">
        <v>3673</v>
      </c>
      <c r="F450" s="52" t="str">
        <f t="shared" ref="F450:F513" si="21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450" s="53" t="str">
        <f t="shared" si="19"/>
        <v>('22Oct240201','040000181676','9550',(select max(to_number(i.premium_rcv_detail_code))+1
from ins_premium_det i),'9550','9550','02', '11000003','00','Request by Mr. Omair Ali 22-Oct-2024 allocation 22Oct240201');</v>
      </c>
      <c r="H450" s="54" t="str">
        <f t="shared" si="20"/>
        <v>insert into ins_premium_det (premium_rcv_code,assorted_code, rec_amount,premium_rcv_detail_code,remaining_amt, payrec, mode_code,coinsurance_code,class_cd,it_remarks) values('22Oct240201','040000181676','9550',(select max(to_number(i.premium_rcv_detail_code))+1
from ins_premium_det i),'9550','9550','02', '11000003','00','Request by Mr. Omair Ali 22-Oct-2024 allocation 22Oct240201');</v>
      </c>
    </row>
    <row r="451" spans="1:8" ht="105" x14ac:dyDescent="0.25">
      <c r="A451" t="s">
        <v>579</v>
      </c>
      <c r="B451" s="51" t="str">
        <f>VLOOKUP(A451,policy!B:C,2,0)</f>
        <v>040000181678</v>
      </c>
      <c r="C451" s="46">
        <v>9550</v>
      </c>
      <c r="D451" s="46">
        <v>9550</v>
      </c>
      <c r="E451" s="50" t="s">
        <v>3673</v>
      </c>
      <c r="F451" s="52" t="str">
        <f t="shared" si="21"/>
        <v>insert into ins_premium_det (premium_rcv_code,assorted_code, rec_amount,premium_rcv_detail_code,remaining_amt, payrec, mode_code,coinsurance_code,class_cd,it_remarks) values</v>
      </c>
      <c r="G451" s="53" t="str">
        <f t="shared" ref="G451:G514" si="22">"('"&amp;E451&amp;"','"&amp;B451&amp;"','"&amp;D451&amp;"',(select max(to_number(i.premium_rcv_detail_code))+1
from ins_premium_det i),'"&amp;D451&amp;"','"&amp;D451&amp;"','02', '11000003','00','Request by Mr. Omair Ali 22-Oct-2024 allocation 22Oct240201');"</f>
        <v>('22Oct240201','040000181678','9550',(select max(to_number(i.premium_rcv_detail_code))+1
from ins_premium_det i),'9550','9550','02', '11000003','00','Request by Mr. Omair Ali 22-Oct-2024 allocation 22Oct240201');</v>
      </c>
      <c r="H451" s="54" t="str">
        <f t="shared" ref="H451:H514" si="23">F451&amp;G451</f>
        <v>insert into ins_premium_det (premium_rcv_code,assorted_code, rec_amount,premium_rcv_detail_code,remaining_amt, payrec, mode_code,coinsurance_code,class_cd,it_remarks) values('22Oct240201','040000181678','9550',(select max(to_number(i.premium_rcv_detail_code))+1
from ins_premium_det i),'9550','9550','02', '11000003','00','Request by Mr. Omair Ali 22-Oct-2024 allocation 22Oct240201');</v>
      </c>
    </row>
    <row r="452" spans="1:8" ht="105" x14ac:dyDescent="0.25">
      <c r="A452" t="s">
        <v>580</v>
      </c>
      <c r="B452" s="51" t="str">
        <f>VLOOKUP(A452,policy!B:C,2,0)</f>
        <v>040000181680</v>
      </c>
      <c r="C452" s="46">
        <v>12475</v>
      </c>
      <c r="D452" s="46">
        <v>12475</v>
      </c>
      <c r="E452" s="50" t="s">
        <v>3673</v>
      </c>
      <c r="F452" s="52" t="str">
        <f t="shared" si="21"/>
        <v>insert into ins_premium_det (premium_rcv_code,assorted_code, rec_amount,premium_rcv_detail_code,remaining_amt, payrec, mode_code,coinsurance_code,class_cd,it_remarks) values</v>
      </c>
      <c r="G452" s="53" t="str">
        <f t="shared" si="22"/>
        <v>('22Oct240201','040000181680','12475',(select max(to_number(i.premium_rcv_detail_code))+1
from ins_premium_det i),'12475','12475','02', '11000003','00','Request by Mr. Omair Ali 22-Oct-2024 allocation 22Oct240201');</v>
      </c>
      <c r="H452" s="54" t="str">
        <f t="shared" si="23"/>
        <v>insert into ins_premium_det (premium_rcv_code,assorted_code, rec_amount,premium_rcv_detail_code,remaining_amt, payrec, mode_code,coinsurance_code,class_cd,it_remarks) values('22Oct240201','040000181680','12475',(select max(to_number(i.premium_rcv_detail_code))+1
from ins_premium_det i),'12475','12475','02', '11000003','00','Request by Mr. Omair Ali 22-Oct-2024 allocation 22Oct240201');</v>
      </c>
    </row>
    <row r="453" spans="1:8" ht="105" x14ac:dyDescent="0.25">
      <c r="A453" t="s">
        <v>581</v>
      </c>
      <c r="B453" s="51" t="str">
        <f>VLOOKUP(A453,policy!B:C,2,0)</f>
        <v>040000181682</v>
      </c>
      <c r="C453" s="46">
        <v>13675</v>
      </c>
      <c r="D453" s="46">
        <v>13675</v>
      </c>
      <c r="E453" s="50" t="s">
        <v>3673</v>
      </c>
      <c r="F453" s="52" t="str">
        <f t="shared" si="21"/>
        <v>insert into ins_premium_det (premium_rcv_code,assorted_code, rec_amount,premium_rcv_detail_code,remaining_amt, payrec, mode_code,coinsurance_code,class_cd,it_remarks) values</v>
      </c>
      <c r="G453" s="53" t="str">
        <f t="shared" si="22"/>
        <v>('22Oct240201','040000181682','13675',(select max(to_number(i.premium_rcv_detail_code))+1
from ins_premium_det i),'13675','13675','02', '11000003','00','Request by Mr. Omair Ali 22-Oct-2024 allocation 22Oct240201');</v>
      </c>
      <c r="H453" s="54" t="str">
        <f t="shared" si="23"/>
        <v>insert into ins_premium_det (premium_rcv_code,assorted_code, rec_amount,premium_rcv_detail_code,remaining_amt, payrec, mode_code,coinsurance_code,class_cd,it_remarks) values('22Oct240201','040000181682','13675',(select max(to_number(i.premium_rcv_detail_code))+1
from ins_premium_det i),'13675','13675','02', '11000003','00','Request by Mr. Omair Ali 22-Oct-2024 allocation 22Oct240201');</v>
      </c>
    </row>
    <row r="454" spans="1:8" ht="105" x14ac:dyDescent="0.25">
      <c r="A454" t="s">
        <v>582</v>
      </c>
      <c r="B454" s="51" t="str">
        <f>VLOOKUP(A454,policy!B:C,2,0)</f>
        <v>040000181684</v>
      </c>
      <c r="C454" s="46">
        <v>14960</v>
      </c>
      <c r="D454" s="46">
        <v>14960</v>
      </c>
      <c r="E454" s="50" t="s">
        <v>3673</v>
      </c>
      <c r="F454" s="52" t="str">
        <f t="shared" si="21"/>
        <v>insert into ins_premium_det (premium_rcv_code,assorted_code, rec_amount,premium_rcv_detail_code,remaining_amt, payrec, mode_code,coinsurance_code,class_cd,it_remarks) values</v>
      </c>
      <c r="G454" s="53" t="str">
        <f t="shared" si="22"/>
        <v>('22Oct240201','040000181684','14960',(select max(to_number(i.premium_rcv_detail_code))+1
from ins_premium_det i),'14960','14960','02', '11000003','00','Request by Mr. Omair Ali 22-Oct-2024 allocation 22Oct240201');</v>
      </c>
      <c r="H454" s="54" t="str">
        <f t="shared" si="23"/>
        <v>insert into ins_premium_det (premium_rcv_code,assorted_code, rec_amount,premium_rcv_detail_code,remaining_amt, payrec, mode_code,coinsurance_code,class_cd,it_remarks) values('22Oct240201','040000181684','14960',(select max(to_number(i.premium_rcv_detail_code))+1
from ins_premium_det i),'14960','14960','02', '11000003','00','Request by Mr. Omair Ali 22-Oct-2024 allocation 22Oct240201');</v>
      </c>
    </row>
    <row r="455" spans="1:8" ht="105" x14ac:dyDescent="0.25">
      <c r="A455" t="s">
        <v>583</v>
      </c>
      <c r="B455" s="51" t="str">
        <f>VLOOKUP(A455,policy!B:C,2,0)</f>
        <v>040000181696</v>
      </c>
      <c r="C455" s="46">
        <v>8800</v>
      </c>
      <c r="D455" s="46">
        <v>8800</v>
      </c>
      <c r="E455" s="50" t="s">
        <v>3673</v>
      </c>
      <c r="F455" s="52" t="str">
        <f t="shared" si="21"/>
        <v>insert into ins_premium_det (premium_rcv_code,assorted_code, rec_amount,premium_rcv_detail_code,remaining_amt, payrec, mode_code,coinsurance_code,class_cd,it_remarks) values</v>
      </c>
      <c r="G455" s="53" t="str">
        <f t="shared" si="22"/>
        <v>('22Oct240201','040000181696','8800',(select max(to_number(i.premium_rcv_detail_code))+1
from ins_premium_det i),'8800','8800','02', '11000003','00','Request by Mr. Omair Ali 22-Oct-2024 allocation 22Oct240201');</v>
      </c>
      <c r="H455" s="54" t="str">
        <f t="shared" si="23"/>
        <v>insert into ins_premium_det (premium_rcv_code,assorted_code, rec_amount,premium_rcv_detail_code,remaining_amt, payrec, mode_code,coinsurance_code,class_cd,it_remarks) values('22Oct240201','040000181696','8800',(select max(to_number(i.premium_rcv_detail_code))+1
from ins_premium_det i),'8800','8800','02', '11000003','00','Request by Mr. Omair Ali 22-Oct-2024 allocation 22Oct240201');</v>
      </c>
    </row>
    <row r="456" spans="1:8" ht="105" x14ac:dyDescent="0.25">
      <c r="A456" t="s">
        <v>584</v>
      </c>
      <c r="B456" s="51" t="str">
        <f>VLOOKUP(A456,policy!B:C,2,0)</f>
        <v>040000181697</v>
      </c>
      <c r="C456" s="46">
        <v>8800</v>
      </c>
      <c r="D456" s="46">
        <v>8800</v>
      </c>
      <c r="E456" s="50" t="s">
        <v>3673</v>
      </c>
      <c r="F456" s="52" t="str">
        <f t="shared" si="21"/>
        <v>insert into ins_premium_det (premium_rcv_code,assorted_code, rec_amount,premium_rcv_detail_code,remaining_amt, payrec, mode_code,coinsurance_code,class_cd,it_remarks) values</v>
      </c>
      <c r="G456" s="53" t="str">
        <f t="shared" si="22"/>
        <v>('22Oct240201','040000181697','8800',(select max(to_number(i.premium_rcv_detail_code))+1
from ins_premium_det i),'8800','8800','02', '11000003','00','Request by Mr. Omair Ali 22-Oct-2024 allocation 22Oct240201');</v>
      </c>
      <c r="H456" s="54" t="str">
        <f t="shared" si="23"/>
        <v>insert into ins_premium_det (premium_rcv_code,assorted_code, rec_amount,premium_rcv_detail_code,remaining_amt, payrec, mode_code,coinsurance_code,class_cd,it_remarks) values('22Oct240201','040000181697','8800',(select max(to_number(i.premium_rcv_detail_code))+1
from ins_premium_det i),'8800','8800','02', '11000003','00','Request by Mr. Omair Ali 22-Oct-2024 allocation 22Oct240201');</v>
      </c>
    </row>
    <row r="457" spans="1:8" ht="105" x14ac:dyDescent="0.25">
      <c r="A457" t="s">
        <v>585</v>
      </c>
      <c r="B457" s="51" t="str">
        <f>VLOOKUP(A457,policy!B:C,2,0)</f>
        <v>040000181698</v>
      </c>
      <c r="C457" s="46">
        <v>9550</v>
      </c>
      <c r="D457" s="46">
        <v>9550</v>
      </c>
      <c r="E457" s="50" t="s">
        <v>3673</v>
      </c>
      <c r="F457" s="52" t="str">
        <f t="shared" si="21"/>
        <v>insert into ins_premium_det (premium_rcv_code,assorted_code, rec_amount,premium_rcv_detail_code,remaining_amt, payrec, mode_code,coinsurance_code,class_cd,it_remarks) values</v>
      </c>
      <c r="G457" s="53" t="str">
        <f t="shared" si="22"/>
        <v>('22Oct240201','040000181698','9550',(select max(to_number(i.premium_rcv_detail_code))+1
from ins_premium_det i),'9550','9550','02', '11000003','00','Request by Mr. Omair Ali 22-Oct-2024 allocation 22Oct240201');</v>
      </c>
      <c r="H457" s="54" t="str">
        <f t="shared" si="23"/>
        <v>insert into ins_premium_det (premium_rcv_code,assorted_code, rec_amount,premium_rcv_detail_code,remaining_amt, payrec, mode_code,coinsurance_code,class_cd,it_remarks) values('22Oct240201','040000181698','9550',(select max(to_number(i.premium_rcv_detail_code))+1
from ins_premium_det i),'9550','9550','02', '11000003','00','Request by Mr. Omair Ali 22-Oct-2024 allocation 22Oct240201');</v>
      </c>
    </row>
    <row r="458" spans="1:8" ht="105" x14ac:dyDescent="0.25">
      <c r="A458" t="s">
        <v>586</v>
      </c>
      <c r="B458" s="51" t="str">
        <f>VLOOKUP(A458,policy!B:C,2,0)</f>
        <v>040000181702</v>
      </c>
      <c r="C458" s="46">
        <v>9550</v>
      </c>
      <c r="D458" s="46">
        <v>9550</v>
      </c>
      <c r="E458" s="50" t="s">
        <v>3673</v>
      </c>
      <c r="F458" s="52" t="str">
        <f t="shared" si="21"/>
        <v>insert into ins_premium_det (premium_rcv_code,assorted_code, rec_amount,premium_rcv_detail_code,remaining_amt, payrec, mode_code,coinsurance_code,class_cd,it_remarks) values</v>
      </c>
      <c r="G458" s="53" t="str">
        <f t="shared" si="22"/>
        <v>('22Oct240201','040000181702','9550',(select max(to_number(i.premium_rcv_detail_code))+1
from ins_premium_det i),'9550','9550','02', '11000003','00','Request by Mr. Omair Ali 22-Oct-2024 allocation 22Oct240201');</v>
      </c>
      <c r="H458" s="54" t="str">
        <f t="shared" si="23"/>
        <v>insert into ins_premium_det (premium_rcv_code,assorted_code, rec_amount,premium_rcv_detail_code,remaining_amt, payrec, mode_code,coinsurance_code,class_cd,it_remarks) values('22Oct240201','040000181702','9550',(select max(to_number(i.premium_rcv_detail_code))+1
from ins_premium_det i),'9550','9550','02', '11000003','00','Request by Mr. Omair Ali 22-Oct-2024 allocation 22Oct240201');</v>
      </c>
    </row>
    <row r="459" spans="1:8" ht="105" x14ac:dyDescent="0.25">
      <c r="A459" t="s">
        <v>587</v>
      </c>
      <c r="B459" s="51" t="str">
        <f>VLOOKUP(A459,policy!B:C,2,0)</f>
        <v>040000181706</v>
      </c>
      <c r="C459" s="46">
        <v>16235</v>
      </c>
      <c r="D459" s="46">
        <v>16235</v>
      </c>
      <c r="E459" s="50" t="s">
        <v>3673</v>
      </c>
      <c r="F459" s="52" t="str">
        <f t="shared" si="21"/>
        <v>insert into ins_premium_det (premium_rcv_code,assorted_code, rec_amount,premium_rcv_detail_code,remaining_amt, payrec, mode_code,coinsurance_code,class_cd,it_remarks) values</v>
      </c>
      <c r="G459" s="53" t="str">
        <f t="shared" si="22"/>
        <v>('22Oct240201','040000181706','16235',(select max(to_number(i.premium_rcv_detail_code))+1
from ins_premium_det i),'16235','16235','02', '11000003','00','Request by Mr. Omair Ali 22-Oct-2024 allocation 22Oct240201');</v>
      </c>
      <c r="H459" s="54" t="str">
        <f t="shared" si="23"/>
        <v>insert into ins_premium_det (premium_rcv_code,assorted_code, rec_amount,premium_rcv_detail_code,remaining_amt, payrec, mode_code,coinsurance_code,class_cd,it_remarks) values('22Oct240201','040000181706','16235',(select max(to_number(i.premium_rcv_detail_code))+1
from ins_premium_det i),'16235','16235','02', '11000003','00','Request by Mr. Omair Ali 22-Oct-2024 allocation 22Oct240201');</v>
      </c>
    </row>
    <row r="460" spans="1:8" ht="105" x14ac:dyDescent="0.25">
      <c r="A460" t="s">
        <v>588</v>
      </c>
      <c r="B460" s="51" t="str">
        <f>VLOOKUP(A460,policy!B:C,2,0)</f>
        <v>040000181707</v>
      </c>
      <c r="C460" s="46">
        <v>16235</v>
      </c>
      <c r="D460" s="46">
        <v>16235</v>
      </c>
      <c r="E460" s="50" t="s">
        <v>3673</v>
      </c>
      <c r="F460" s="52" t="str">
        <f t="shared" si="21"/>
        <v>insert into ins_premium_det (premium_rcv_code,assorted_code, rec_amount,premium_rcv_detail_code,remaining_amt, payrec, mode_code,coinsurance_code,class_cd,it_remarks) values</v>
      </c>
      <c r="G460" s="53" t="str">
        <f t="shared" si="22"/>
        <v>('22Oct240201','040000181707','16235',(select max(to_number(i.premium_rcv_detail_code))+1
from ins_premium_det i),'16235','16235','02', '11000003','00','Request by Mr. Omair Ali 22-Oct-2024 allocation 22Oct240201');</v>
      </c>
      <c r="H460" s="54" t="str">
        <f t="shared" si="23"/>
        <v>insert into ins_premium_det (premium_rcv_code,assorted_code, rec_amount,premium_rcv_detail_code,remaining_amt, payrec, mode_code,coinsurance_code,class_cd,it_remarks) values('22Oct240201','040000181707','16235',(select max(to_number(i.premium_rcv_detail_code))+1
from ins_premium_det i),'16235','16235','02', '11000003','00','Request by Mr. Omair Ali 22-Oct-2024 allocation 22Oct240201');</v>
      </c>
    </row>
    <row r="461" spans="1:8" ht="105" x14ac:dyDescent="0.25">
      <c r="A461" t="s">
        <v>589</v>
      </c>
      <c r="B461" s="51" t="str">
        <f>VLOOKUP(A461,policy!B:C,2,0)</f>
        <v>040000181708</v>
      </c>
      <c r="C461" s="46">
        <v>13675</v>
      </c>
      <c r="D461" s="46">
        <v>13675</v>
      </c>
      <c r="E461" s="50" t="s">
        <v>3673</v>
      </c>
      <c r="F461" s="52" t="str">
        <f t="shared" si="21"/>
        <v>insert into ins_premium_det (premium_rcv_code,assorted_code, rec_amount,premium_rcv_detail_code,remaining_amt, payrec, mode_code,coinsurance_code,class_cd,it_remarks) values</v>
      </c>
      <c r="G461" s="53" t="str">
        <f t="shared" si="22"/>
        <v>('22Oct240201','040000181708','13675',(select max(to_number(i.premium_rcv_detail_code))+1
from ins_premium_det i),'13675','13675','02', '11000003','00','Request by Mr. Omair Ali 22-Oct-2024 allocation 22Oct240201');</v>
      </c>
      <c r="H461" s="54" t="str">
        <f t="shared" si="23"/>
        <v>insert into ins_premium_det (premium_rcv_code,assorted_code, rec_amount,premium_rcv_detail_code,remaining_amt, payrec, mode_code,coinsurance_code,class_cd,it_remarks) values('22Oct240201','040000181708','13675',(select max(to_number(i.premium_rcv_detail_code))+1
from ins_premium_det i),'13675','13675','02', '11000003','00','Request by Mr. Omair Ali 22-Oct-2024 allocation 22Oct240201');</v>
      </c>
    </row>
    <row r="462" spans="1:8" ht="105" x14ac:dyDescent="0.25">
      <c r="A462" t="s">
        <v>590</v>
      </c>
      <c r="B462" s="51" t="str">
        <f>VLOOKUP(A462,policy!B:C,2,0)</f>
        <v>040000181712</v>
      </c>
      <c r="C462" s="46">
        <v>12475</v>
      </c>
      <c r="D462" s="46">
        <v>12475</v>
      </c>
      <c r="E462" s="50" t="s">
        <v>3673</v>
      </c>
      <c r="F462" s="52" t="str">
        <f t="shared" si="21"/>
        <v>insert into ins_premium_det (premium_rcv_code,assorted_code, rec_amount,premium_rcv_detail_code,remaining_amt, payrec, mode_code,coinsurance_code,class_cd,it_remarks) values</v>
      </c>
      <c r="G462" s="53" t="str">
        <f t="shared" si="22"/>
        <v>('22Oct240201','040000181712','12475',(select max(to_number(i.premium_rcv_detail_code))+1
from ins_premium_det i),'12475','12475','02', '11000003','00','Request by Mr. Omair Ali 22-Oct-2024 allocation 22Oct240201');</v>
      </c>
      <c r="H462" s="54" t="str">
        <f t="shared" si="23"/>
        <v>insert into ins_premium_det (premium_rcv_code,assorted_code, rec_amount,premium_rcv_detail_code,remaining_amt, payrec, mode_code,coinsurance_code,class_cd,it_remarks) values('22Oct240201','040000181712','12475',(select max(to_number(i.premium_rcv_detail_code))+1
from ins_premium_det i),'12475','12475','02', '11000003','00','Request by Mr. Omair Ali 22-Oct-2024 allocation 22Oct240201');</v>
      </c>
    </row>
    <row r="463" spans="1:8" ht="105" x14ac:dyDescent="0.25">
      <c r="A463" t="s">
        <v>591</v>
      </c>
      <c r="B463" s="51" t="str">
        <f>VLOOKUP(A463,policy!B:C,2,0)</f>
        <v>040000181730</v>
      </c>
      <c r="C463" s="46">
        <v>12475</v>
      </c>
      <c r="D463" s="46">
        <v>12475</v>
      </c>
      <c r="E463" s="50" t="s">
        <v>3673</v>
      </c>
      <c r="F463" s="52" t="str">
        <f t="shared" si="21"/>
        <v>insert into ins_premium_det (premium_rcv_code,assorted_code, rec_amount,premium_rcv_detail_code,remaining_amt, payrec, mode_code,coinsurance_code,class_cd,it_remarks) values</v>
      </c>
      <c r="G463" s="53" t="str">
        <f t="shared" si="22"/>
        <v>('22Oct240201','040000181730','12475',(select max(to_number(i.premium_rcv_detail_code))+1
from ins_premium_det i),'12475','12475','02', '11000003','00','Request by Mr. Omair Ali 22-Oct-2024 allocation 22Oct240201');</v>
      </c>
      <c r="H463" s="54" t="str">
        <f t="shared" si="23"/>
        <v>insert into ins_premium_det (premium_rcv_code,assorted_code, rec_amount,premium_rcv_detail_code,remaining_amt, payrec, mode_code,coinsurance_code,class_cd,it_remarks) values('22Oct240201','040000181730','12475',(select max(to_number(i.premium_rcv_detail_code))+1
from ins_premium_det i),'12475','12475','02', '11000003','00','Request by Mr. Omair Ali 22-Oct-2024 allocation 22Oct240201');</v>
      </c>
    </row>
    <row r="464" spans="1:8" ht="105" x14ac:dyDescent="0.25">
      <c r="A464" t="s">
        <v>592</v>
      </c>
      <c r="B464" s="51" t="str">
        <f>VLOOKUP(A464,policy!B:C,2,0)</f>
        <v>040000181733</v>
      </c>
      <c r="C464" s="46">
        <v>14960</v>
      </c>
      <c r="D464" s="46">
        <v>14960</v>
      </c>
      <c r="E464" s="50" t="s">
        <v>3673</v>
      </c>
      <c r="F464" s="52" t="str">
        <f t="shared" si="21"/>
        <v>insert into ins_premium_det (premium_rcv_code,assorted_code, rec_amount,premium_rcv_detail_code,remaining_amt, payrec, mode_code,coinsurance_code,class_cd,it_remarks) values</v>
      </c>
      <c r="G464" s="53" t="str">
        <f t="shared" si="22"/>
        <v>('22Oct240201','040000181733','14960',(select max(to_number(i.premium_rcv_detail_code))+1
from ins_premium_det i),'14960','14960','02', '11000003','00','Request by Mr. Omair Ali 22-Oct-2024 allocation 22Oct240201');</v>
      </c>
      <c r="H464" s="54" t="str">
        <f t="shared" si="23"/>
        <v>insert into ins_premium_det (premium_rcv_code,assorted_code, rec_amount,premium_rcv_detail_code,remaining_amt, payrec, mode_code,coinsurance_code,class_cd,it_remarks) values('22Oct240201','040000181733','14960',(select max(to_number(i.premium_rcv_detail_code))+1
from ins_premium_det i),'14960','14960','02', '11000003','00','Request by Mr. Omair Ali 22-Oct-2024 allocation 22Oct240201');</v>
      </c>
    </row>
    <row r="465" spans="1:8" ht="105" x14ac:dyDescent="0.25">
      <c r="A465" t="s">
        <v>593</v>
      </c>
      <c r="B465" s="51" t="str">
        <f>VLOOKUP(A465,policy!B:C,2,0)</f>
        <v>040000181736</v>
      </c>
      <c r="C465" s="46">
        <v>12475</v>
      </c>
      <c r="D465" s="46">
        <v>12475</v>
      </c>
      <c r="E465" s="50" t="s">
        <v>3673</v>
      </c>
      <c r="F465" s="52" t="str">
        <f t="shared" si="21"/>
        <v>insert into ins_premium_det (premium_rcv_code,assorted_code, rec_amount,premium_rcv_detail_code,remaining_amt, payrec, mode_code,coinsurance_code,class_cd,it_remarks) values</v>
      </c>
      <c r="G465" s="53" t="str">
        <f t="shared" si="22"/>
        <v>('22Oct240201','040000181736','12475',(select max(to_number(i.premium_rcv_detail_code))+1
from ins_premium_det i),'12475','12475','02', '11000003','00','Request by Mr. Omair Ali 22-Oct-2024 allocation 22Oct240201');</v>
      </c>
      <c r="H465" s="54" t="str">
        <f t="shared" si="23"/>
        <v>insert into ins_premium_det (premium_rcv_code,assorted_code, rec_amount,premium_rcv_detail_code,remaining_amt, payrec, mode_code,coinsurance_code,class_cd,it_remarks) values('22Oct240201','040000181736','12475',(select max(to_number(i.premium_rcv_detail_code))+1
from ins_premium_det i),'12475','12475','02', '11000003','00','Request by Mr. Omair Ali 22-Oct-2024 allocation 22Oct240201');</v>
      </c>
    </row>
    <row r="466" spans="1:8" ht="105" x14ac:dyDescent="0.25">
      <c r="A466" t="s">
        <v>594</v>
      </c>
      <c r="B466" s="51" t="str">
        <f>VLOOKUP(A466,policy!B:C,2,0)</f>
        <v>040000181737</v>
      </c>
      <c r="C466" s="46">
        <v>8800</v>
      </c>
      <c r="D466" s="46">
        <v>8800</v>
      </c>
      <c r="E466" s="50" t="s">
        <v>3673</v>
      </c>
      <c r="F466" s="52" t="str">
        <f t="shared" si="21"/>
        <v>insert into ins_premium_det (premium_rcv_code,assorted_code, rec_amount,premium_rcv_detail_code,remaining_amt, payrec, mode_code,coinsurance_code,class_cd,it_remarks) values</v>
      </c>
      <c r="G466" s="53" t="str">
        <f t="shared" si="22"/>
        <v>('22Oct240201','040000181737','8800',(select max(to_number(i.premium_rcv_detail_code))+1
from ins_premium_det i),'8800','8800','02', '11000003','00','Request by Mr. Omair Ali 22-Oct-2024 allocation 22Oct240201');</v>
      </c>
      <c r="H466" s="54" t="str">
        <f t="shared" si="23"/>
        <v>insert into ins_premium_det (premium_rcv_code,assorted_code, rec_amount,premium_rcv_detail_code,remaining_amt, payrec, mode_code,coinsurance_code,class_cd,it_remarks) values('22Oct240201','040000181737','8800',(select max(to_number(i.premium_rcv_detail_code))+1
from ins_premium_det i),'8800','8800','02', '11000003','00','Request by Mr. Omair Ali 22-Oct-2024 allocation 22Oct240201');</v>
      </c>
    </row>
    <row r="467" spans="1:8" ht="105" x14ac:dyDescent="0.25">
      <c r="A467" t="s">
        <v>595</v>
      </c>
      <c r="B467" s="51" t="str">
        <f>VLOOKUP(A467,policy!B:C,2,0)</f>
        <v>040000181738</v>
      </c>
      <c r="C467" s="46">
        <v>14960</v>
      </c>
      <c r="D467" s="46">
        <v>14960</v>
      </c>
      <c r="E467" s="50" t="s">
        <v>3673</v>
      </c>
      <c r="F467" s="52" t="str">
        <f t="shared" si="21"/>
        <v>insert into ins_premium_det (premium_rcv_code,assorted_code, rec_amount,premium_rcv_detail_code,remaining_amt, payrec, mode_code,coinsurance_code,class_cd,it_remarks) values</v>
      </c>
      <c r="G467" s="53" t="str">
        <f t="shared" si="22"/>
        <v>('22Oct240201','040000181738','14960',(select max(to_number(i.premium_rcv_detail_code))+1
from ins_premium_det i),'14960','14960','02', '11000003','00','Request by Mr. Omair Ali 22-Oct-2024 allocation 22Oct240201');</v>
      </c>
      <c r="H467" s="54" t="str">
        <f t="shared" si="23"/>
        <v>insert into ins_premium_det (premium_rcv_code,assorted_code, rec_amount,premium_rcv_detail_code,remaining_amt, payrec, mode_code,coinsurance_code,class_cd,it_remarks) values('22Oct240201','040000181738','14960',(select max(to_number(i.premium_rcv_detail_code))+1
from ins_premium_det i),'14960','14960','02', '11000003','00','Request by Mr. Omair Ali 22-Oct-2024 allocation 22Oct240201');</v>
      </c>
    </row>
    <row r="468" spans="1:8" ht="105" x14ac:dyDescent="0.25">
      <c r="A468" t="s">
        <v>596</v>
      </c>
      <c r="B468" s="51" t="str">
        <f>VLOOKUP(A468,policy!B:C,2,0)</f>
        <v>040000181739</v>
      </c>
      <c r="C468" s="46">
        <v>14960</v>
      </c>
      <c r="D468" s="46">
        <v>14960</v>
      </c>
      <c r="E468" s="50" t="s">
        <v>3673</v>
      </c>
      <c r="F468" s="52" t="str">
        <f t="shared" si="21"/>
        <v>insert into ins_premium_det (premium_rcv_code,assorted_code, rec_amount,premium_rcv_detail_code,remaining_amt, payrec, mode_code,coinsurance_code,class_cd,it_remarks) values</v>
      </c>
      <c r="G468" s="53" t="str">
        <f t="shared" si="22"/>
        <v>('22Oct240201','040000181739','14960',(select max(to_number(i.premium_rcv_detail_code))+1
from ins_premium_det i),'14960','14960','02', '11000003','00','Request by Mr. Omair Ali 22-Oct-2024 allocation 22Oct240201');</v>
      </c>
      <c r="H468" s="54" t="str">
        <f t="shared" si="23"/>
        <v>insert into ins_premium_det (premium_rcv_code,assorted_code, rec_amount,premium_rcv_detail_code,remaining_amt, payrec, mode_code,coinsurance_code,class_cd,it_remarks) values('22Oct240201','040000181739','14960',(select max(to_number(i.premium_rcv_detail_code))+1
from ins_premium_det i),'14960','14960','02', '11000003','00','Request by Mr. Omair Ali 22-Oct-2024 allocation 22Oct240201');</v>
      </c>
    </row>
    <row r="469" spans="1:8" ht="105" x14ac:dyDescent="0.25">
      <c r="A469" t="s">
        <v>597</v>
      </c>
      <c r="B469" s="51" t="str">
        <f>VLOOKUP(A469,policy!B:C,2,0)</f>
        <v>040000181740</v>
      </c>
      <c r="C469" s="46">
        <v>22355</v>
      </c>
      <c r="D469" s="46">
        <v>22355</v>
      </c>
      <c r="E469" s="50" t="s">
        <v>3673</v>
      </c>
      <c r="F469" s="52" t="str">
        <f t="shared" si="21"/>
        <v>insert into ins_premium_det (premium_rcv_code,assorted_code, rec_amount,premium_rcv_detail_code,remaining_amt, payrec, mode_code,coinsurance_code,class_cd,it_remarks) values</v>
      </c>
      <c r="G469" s="53" t="str">
        <f t="shared" si="22"/>
        <v>('22Oct240201','040000181740','22355',(select max(to_number(i.premium_rcv_detail_code))+1
from ins_premium_det i),'22355','22355','02', '11000003','00','Request by Mr. Omair Ali 22-Oct-2024 allocation 22Oct240201');</v>
      </c>
      <c r="H469" s="54" t="str">
        <f t="shared" si="23"/>
        <v>insert into ins_premium_det (premium_rcv_code,assorted_code, rec_amount,premium_rcv_detail_code,remaining_amt, payrec, mode_code,coinsurance_code,class_cd,it_remarks) values('22Oct240201','040000181740','22355',(select max(to_number(i.premium_rcv_detail_code))+1
from ins_premium_det i),'22355','22355','02', '11000003','00','Request by Mr. Omair Ali 22-Oct-2024 allocation 22Oct240201');</v>
      </c>
    </row>
    <row r="470" spans="1:8" ht="105" x14ac:dyDescent="0.25">
      <c r="A470" t="s">
        <v>598</v>
      </c>
      <c r="B470" s="51" t="str">
        <f>VLOOKUP(A470,policy!B:C,2,0)</f>
        <v>040000181741</v>
      </c>
      <c r="C470" s="46">
        <v>8800</v>
      </c>
      <c r="D470" s="46">
        <v>8800</v>
      </c>
      <c r="E470" s="50" t="s">
        <v>3673</v>
      </c>
      <c r="F470" s="52" t="str">
        <f t="shared" si="21"/>
        <v>insert into ins_premium_det (premium_rcv_code,assorted_code, rec_amount,premium_rcv_detail_code,remaining_amt, payrec, mode_code,coinsurance_code,class_cd,it_remarks) values</v>
      </c>
      <c r="G470" s="53" t="str">
        <f t="shared" si="22"/>
        <v>('22Oct240201','040000181741','8800',(select max(to_number(i.premium_rcv_detail_code))+1
from ins_premium_det i),'8800','8800','02', '11000003','00','Request by Mr. Omair Ali 22-Oct-2024 allocation 22Oct240201');</v>
      </c>
      <c r="H470" s="54" t="str">
        <f t="shared" si="23"/>
        <v>insert into ins_premium_det (premium_rcv_code,assorted_code, rec_amount,premium_rcv_detail_code,remaining_amt, payrec, mode_code,coinsurance_code,class_cd,it_remarks) values('22Oct240201','040000181741','8800',(select max(to_number(i.premium_rcv_detail_code))+1
from ins_premium_det i),'8800','8800','02', '11000003','00','Request by Mr. Omair Ali 22-Oct-2024 allocation 22Oct240201');</v>
      </c>
    </row>
    <row r="471" spans="1:8" ht="105" x14ac:dyDescent="0.25">
      <c r="A471" t="s">
        <v>599</v>
      </c>
      <c r="B471" s="51" t="str">
        <f>VLOOKUP(A471,policy!B:C,2,0)</f>
        <v>040000181742</v>
      </c>
      <c r="C471" s="46">
        <v>8800</v>
      </c>
      <c r="D471" s="46">
        <v>8800</v>
      </c>
      <c r="E471" s="50" t="s">
        <v>3673</v>
      </c>
      <c r="F471" s="52" t="str">
        <f t="shared" si="21"/>
        <v>insert into ins_premium_det (premium_rcv_code,assorted_code, rec_amount,premium_rcv_detail_code,remaining_amt, payrec, mode_code,coinsurance_code,class_cd,it_remarks) values</v>
      </c>
      <c r="G471" s="53" t="str">
        <f t="shared" si="22"/>
        <v>('22Oct240201','040000181742','8800',(select max(to_number(i.premium_rcv_detail_code))+1
from ins_premium_det i),'8800','8800','02', '11000003','00','Request by Mr. Omair Ali 22-Oct-2024 allocation 22Oct240201');</v>
      </c>
      <c r="H471" s="54" t="str">
        <f t="shared" si="23"/>
        <v>insert into ins_premium_det (premium_rcv_code,assorted_code, rec_amount,premium_rcv_detail_code,remaining_amt, payrec, mode_code,coinsurance_code,class_cd,it_remarks) values('22Oct240201','040000181742','8800',(select max(to_number(i.premium_rcv_detail_code))+1
from ins_premium_det i),'8800','8800','02', '11000003','00','Request by Mr. Omair Ali 22-Oct-2024 allocation 22Oct240201');</v>
      </c>
    </row>
    <row r="472" spans="1:8" ht="105" x14ac:dyDescent="0.25">
      <c r="A472" t="s">
        <v>600</v>
      </c>
      <c r="B472" s="51" t="str">
        <f>VLOOKUP(A472,policy!B:C,2,0)</f>
        <v>040000181743</v>
      </c>
      <c r="C472" s="46">
        <v>9550</v>
      </c>
      <c r="D472" s="46">
        <v>9550</v>
      </c>
      <c r="E472" s="50" t="s">
        <v>3673</v>
      </c>
      <c r="F472" s="52" t="str">
        <f t="shared" si="21"/>
        <v>insert into ins_premium_det (premium_rcv_code,assorted_code, rec_amount,premium_rcv_detail_code,remaining_amt, payrec, mode_code,coinsurance_code,class_cd,it_remarks) values</v>
      </c>
      <c r="G472" s="53" t="str">
        <f t="shared" si="22"/>
        <v>('22Oct240201','040000181743','9550',(select max(to_number(i.premium_rcv_detail_code))+1
from ins_premium_det i),'9550','9550','02', '11000003','00','Request by Mr. Omair Ali 22-Oct-2024 allocation 22Oct240201');</v>
      </c>
      <c r="H472" s="54" t="str">
        <f t="shared" si="23"/>
        <v>insert into ins_premium_det (premium_rcv_code,assorted_code, rec_amount,premium_rcv_detail_code,remaining_amt, payrec, mode_code,coinsurance_code,class_cd,it_remarks) values('22Oct240201','040000181743','9550',(select max(to_number(i.premium_rcv_detail_code))+1
from ins_premium_det i),'9550','9550','02', '11000003','00','Request by Mr. Omair Ali 22-Oct-2024 allocation 22Oct240201');</v>
      </c>
    </row>
    <row r="473" spans="1:8" ht="105" x14ac:dyDescent="0.25">
      <c r="A473" t="s">
        <v>601</v>
      </c>
      <c r="B473" s="51" t="str">
        <f>VLOOKUP(A473,policy!B:C,2,0)</f>
        <v>040000181744</v>
      </c>
      <c r="C473" s="46">
        <v>8800</v>
      </c>
      <c r="D473" s="46">
        <v>8800</v>
      </c>
      <c r="E473" s="50" t="s">
        <v>3673</v>
      </c>
      <c r="F473" s="52" t="str">
        <f t="shared" si="21"/>
        <v>insert into ins_premium_det (premium_rcv_code,assorted_code, rec_amount,premium_rcv_detail_code,remaining_amt, payrec, mode_code,coinsurance_code,class_cd,it_remarks) values</v>
      </c>
      <c r="G473" s="53" t="str">
        <f t="shared" si="22"/>
        <v>('22Oct240201','040000181744','8800',(select max(to_number(i.premium_rcv_detail_code))+1
from ins_premium_det i),'8800','8800','02', '11000003','00','Request by Mr. Omair Ali 22-Oct-2024 allocation 22Oct240201');</v>
      </c>
      <c r="H473" s="54" t="str">
        <f t="shared" si="23"/>
        <v>insert into ins_premium_det (premium_rcv_code,assorted_code, rec_amount,premium_rcv_detail_code,remaining_amt, payrec, mode_code,coinsurance_code,class_cd,it_remarks) values('22Oct240201','040000181744','8800',(select max(to_number(i.premium_rcv_detail_code))+1
from ins_premium_det i),'8800','8800','02', '11000003','00','Request by Mr. Omair Ali 22-Oct-2024 allocation 22Oct240201');</v>
      </c>
    </row>
    <row r="474" spans="1:8" ht="105" x14ac:dyDescent="0.25">
      <c r="A474" t="s">
        <v>602</v>
      </c>
      <c r="B474" s="51" t="str">
        <f>VLOOKUP(A474,policy!B:C,2,0)</f>
        <v>040000181746</v>
      </c>
      <c r="C474" s="46">
        <v>13675</v>
      </c>
      <c r="D474" s="46">
        <v>13675</v>
      </c>
      <c r="E474" s="50" t="s">
        <v>3673</v>
      </c>
      <c r="F474" s="52" t="str">
        <f t="shared" si="21"/>
        <v>insert into ins_premium_det (premium_rcv_code,assorted_code, rec_amount,premium_rcv_detail_code,remaining_amt, payrec, mode_code,coinsurance_code,class_cd,it_remarks) values</v>
      </c>
      <c r="G474" s="53" t="str">
        <f t="shared" si="22"/>
        <v>('22Oct240201','040000181746','13675',(select max(to_number(i.premium_rcv_detail_code))+1
from ins_premium_det i),'13675','13675','02', '11000003','00','Request by Mr. Omair Ali 22-Oct-2024 allocation 22Oct240201');</v>
      </c>
      <c r="H474" s="54" t="str">
        <f t="shared" si="23"/>
        <v>insert into ins_premium_det (premium_rcv_code,assorted_code, rec_amount,premium_rcv_detail_code,remaining_amt, payrec, mode_code,coinsurance_code,class_cd,it_remarks) values('22Oct240201','040000181746','13675',(select max(to_number(i.premium_rcv_detail_code))+1
from ins_premium_det i),'13675','13675','02', '11000003','00','Request by Mr. Omair Ali 22-Oct-2024 allocation 22Oct240201');</v>
      </c>
    </row>
    <row r="475" spans="1:8" ht="105" x14ac:dyDescent="0.25">
      <c r="A475" t="s">
        <v>603</v>
      </c>
      <c r="B475" s="51" t="str">
        <f>VLOOKUP(A475,policy!B:C,2,0)</f>
        <v>040000181747</v>
      </c>
      <c r="C475" s="46">
        <v>8800</v>
      </c>
      <c r="D475" s="46">
        <v>8800</v>
      </c>
      <c r="E475" s="50" t="s">
        <v>3673</v>
      </c>
      <c r="F475" s="52" t="str">
        <f t="shared" si="21"/>
        <v>insert into ins_premium_det (premium_rcv_code,assorted_code, rec_amount,premium_rcv_detail_code,remaining_amt, payrec, mode_code,coinsurance_code,class_cd,it_remarks) values</v>
      </c>
      <c r="G475" s="53" t="str">
        <f t="shared" si="22"/>
        <v>('22Oct240201','040000181747','8800',(select max(to_number(i.premium_rcv_detail_code))+1
from ins_premium_det i),'8800','8800','02', '11000003','00','Request by Mr. Omair Ali 22-Oct-2024 allocation 22Oct240201');</v>
      </c>
      <c r="H475" s="54" t="str">
        <f t="shared" si="23"/>
        <v>insert into ins_premium_det (premium_rcv_code,assorted_code, rec_amount,premium_rcv_detail_code,remaining_amt, payrec, mode_code,coinsurance_code,class_cd,it_remarks) values('22Oct240201','040000181747','8800',(select max(to_number(i.premium_rcv_detail_code))+1
from ins_premium_det i),'8800','8800','02', '11000003','00','Request by Mr. Omair Ali 22-Oct-2024 allocation 22Oct240201');</v>
      </c>
    </row>
    <row r="476" spans="1:8" ht="105" x14ac:dyDescent="0.25">
      <c r="A476" t="s">
        <v>604</v>
      </c>
      <c r="B476" s="51" t="str">
        <f>VLOOKUP(A476,policy!B:C,2,0)</f>
        <v>040000181748</v>
      </c>
      <c r="C476" s="46">
        <v>12475</v>
      </c>
      <c r="D476" s="46">
        <v>12475</v>
      </c>
      <c r="E476" s="50" t="s">
        <v>3673</v>
      </c>
      <c r="F476" s="52" t="str">
        <f t="shared" si="21"/>
        <v>insert into ins_premium_det (premium_rcv_code,assorted_code, rec_amount,premium_rcv_detail_code,remaining_amt, payrec, mode_code,coinsurance_code,class_cd,it_remarks) values</v>
      </c>
      <c r="G476" s="53" t="str">
        <f t="shared" si="22"/>
        <v>('22Oct240201','040000181748','12475',(select max(to_number(i.premium_rcv_detail_code))+1
from ins_premium_det i),'12475','12475','02', '11000003','00','Request by Mr. Omair Ali 22-Oct-2024 allocation 22Oct240201');</v>
      </c>
      <c r="H476" s="54" t="str">
        <f t="shared" si="23"/>
        <v>insert into ins_premium_det (premium_rcv_code,assorted_code, rec_amount,premium_rcv_detail_code,remaining_amt, payrec, mode_code,coinsurance_code,class_cd,it_remarks) values('22Oct240201','040000181748','12475',(select max(to_number(i.premium_rcv_detail_code))+1
from ins_premium_det i),'12475','12475','02', '11000003','00','Request by Mr. Omair Ali 22-Oct-2024 allocation 22Oct240201');</v>
      </c>
    </row>
    <row r="477" spans="1:8" ht="105" x14ac:dyDescent="0.25">
      <c r="A477" t="s">
        <v>605</v>
      </c>
      <c r="B477" s="51" t="str">
        <f>VLOOKUP(A477,policy!B:C,2,0)</f>
        <v>040000181750</v>
      </c>
      <c r="C477" s="46">
        <v>14960</v>
      </c>
      <c r="D477" s="46">
        <v>14960</v>
      </c>
      <c r="E477" s="50" t="s">
        <v>3673</v>
      </c>
      <c r="F477" s="52" t="str">
        <f t="shared" si="21"/>
        <v>insert into ins_premium_det (premium_rcv_code,assorted_code, rec_amount,premium_rcv_detail_code,remaining_amt, payrec, mode_code,coinsurance_code,class_cd,it_remarks) values</v>
      </c>
      <c r="G477" s="53" t="str">
        <f t="shared" si="22"/>
        <v>('22Oct240201','040000181750','14960',(select max(to_number(i.premium_rcv_detail_code))+1
from ins_premium_det i),'14960','14960','02', '11000003','00','Request by Mr. Omair Ali 22-Oct-2024 allocation 22Oct240201');</v>
      </c>
      <c r="H477" s="54" t="str">
        <f t="shared" si="23"/>
        <v>insert into ins_premium_det (premium_rcv_code,assorted_code, rec_amount,premium_rcv_detail_code,remaining_amt, payrec, mode_code,coinsurance_code,class_cd,it_remarks) values('22Oct240201','040000181750','14960',(select max(to_number(i.premium_rcv_detail_code))+1
from ins_premium_det i),'14960','14960','02', '11000003','00','Request by Mr. Omair Ali 22-Oct-2024 allocation 22Oct240201');</v>
      </c>
    </row>
    <row r="478" spans="1:8" ht="105" x14ac:dyDescent="0.25">
      <c r="A478" t="s">
        <v>606</v>
      </c>
      <c r="B478" s="51" t="str">
        <f>VLOOKUP(A478,policy!B:C,2,0)</f>
        <v>040000181751</v>
      </c>
      <c r="C478" s="46">
        <v>14960</v>
      </c>
      <c r="D478" s="46">
        <v>14960</v>
      </c>
      <c r="E478" s="50" t="s">
        <v>3673</v>
      </c>
      <c r="F478" s="52" t="str">
        <f t="shared" si="21"/>
        <v>insert into ins_premium_det (premium_rcv_code,assorted_code, rec_amount,premium_rcv_detail_code,remaining_amt, payrec, mode_code,coinsurance_code,class_cd,it_remarks) values</v>
      </c>
      <c r="G478" s="53" t="str">
        <f t="shared" si="22"/>
        <v>('22Oct240201','040000181751','14960',(select max(to_number(i.premium_rcv_detail_code))+1
from ins_premium_det i),'14960','14960','02', '11000003','00','Request by Mr. Omair Ali 22-Oct-2024 allocation 22Oct240201');</v>
      </c>
      <c r="H478" s="54" t="str">
        <f t="shared" si="23"/>
        <v>insert into ins_premium_det (premium_rcv_code,assorted_code, rec_amount,premium_rcv_detail_code,remaining_amt, payrec, mode_code,coinsurance_code,class_cd,it_remarks) values('22Oct240201','040000181751','14960',(select max(to_number(i.premium_rcv_detail_code))+1
from ins_premium_det i),'14960','14960','02', '11000003','00','Request by Mr. Omair Ali 22-Oct-2024 allocation 22Oct240201');</v>
      </c>
    </row>
    <row r="479" spans="1:8" ht="105" x14ac:dyDescent="0.25">
      <c r="A479" t="s">
        <v>607</v>
      </c>
      <c r="B479" s="51" t="str">
        <f>VLOOKUP(A479,policy!B:C,2,0)</f>
        <v>040000181752</v>
      </c>
      <c r="C479" s="46">
        <v>8800</v>
      </c>
      <c r="D479" s="46">
        <v>8800</v>
      </c>
      <c r="E479" s="50" t="s">
        <v>3673</v>
      </c>
      <c r="F479" s="52" t="str">
        <f t="shared" si="21"/>
        <v>insert into ins_premium_det (premium_rcv_code,assorted_code, rec_amount,premium_rcv_detail_code,remaining_amt, payrec, mode_code,coinsurance_code,class_cd,it_remarks) values</v>
      </c>
      <c r="G479" s="53" t="str">
        <f t="shared" si="22"/>
        <v>('22Oct240201','040000181752','8800',(select max(to_number(i.premium_rcv_detail_code))+1
from ins_premium_det i),'8800','8800','02', '11000003','00','Request by Mr. Omair Ali 22-Oct-2024 allocation 22Oct240201');</v>
      </c>
      <c r="H479" s="54" t="str">
        <f t="shared" si="23"/>
        <v>insert into ins_premium_det (premium_rcv_code,assorted_code, rec_amount,premium_rcv_detail_code,remaining_amt, payrec, mode_code,coinsurance_code,class_cd,it_remarks) values('22Oct240201','040000181752','8800',(select max(to_number(i.premium_rcv_detail_code))+1
from ins_premium_det i),'8800','8800','02', '11000003','00','Request by Mr. Omair Ali 22-Oct-2024 allocation 22Oct240201');</v>
      </c>
    </row>
    <row r="480" spans="1:8" ht="105" x14ac:dyDescent="0.25">
      <c r="A480" t="s">
        <v>608</v>
      </c>
      <c r="B480" s="51" t="str">
        <f>VLOOKUP(A480,policy!B:C,2,0)</f>
        <v>040000181753</v>
      </c>
      <c r="C480" s="46">
        <v>14960</v>
      </c>
      <c r="D480" s="46">
        <v>14960</v>
      </c>
      <c r="E480" s="50" t="s">
        <v>3673</v>
      </c>
      <c r="F480" s="52" t="str">
        <f t="shared" si="21"/>
        <v>insert into ins_premium_det (premium_rcv_code,assorted_code, rec_amount,premium_rcv_detail_code,remaining_amt, payrec, mode_code,coinsurance_code,class_cd,it_remarks) values</v>
      </c>
      <c r="G480" s="53" t="str">
        <f t="shared" si="22"/>
        <v>('22Oct240201','040000181753','14960',(select max(to_number(i.premium_rcv_detail_code))+1
from ins_premium_det i),'14960','14960','02', '11000003','00','Request by Mr. Omair Ali 22-Oct-2024 allocation 22Oct240201');</v>
      </c>
      <c r="H480" s="54" t="str">
        <f t="shared" si="23"/>
        <v>insert into ins_premium_det (premium_rcv_code,assorted_code, rec_amount,premium_rcv_detail_code,remaining_amt, payrec, mode_code,coinsurance_code,class_cd,it_remarks) values('22Oct240201','040000181753','14960',(select max(to_number(i.premium_rcv_detail_code))+1
from ins_premium_det i),'14960','14960','02', '11000003','00','Request by Mr. Omair Ali 22-Oct-2024 allocation 22Oct240201');</v>
      </c>
    </row>
    <row r="481" spans="1:8" ht="105" x14ac:dyDescent="0.25">
      <c r="A481" t="s">
        <v>609</v>
      </c>
      <c r="B481" s="51" t="str">
        <f>VLOOKUP(A481,policy!B:C,2,0)</f>
        <v>040000181754</v>
      </c>
      <c r="C481" s="46">
        <v>23248</v>
      </c>
      <c r="D481" s="46">
        <v>23248</v>
      </c>
      <c r="E481" s="50" t="s">
        <v>3673</v>
      </c>
      <c r="F481" s="52" t="str">
        <f t="shared" si="21"/>
        <v>insert into ins_premium_det (premium_rcv_code,assorted_code, rec_amount,premium_rcv_detail_code,remaining_amt, payrec, mode_code,coinsurance_code,class_cd,it_remarks) values</v>
      </c>
      <c r="G481" s="53" t="str">
        <f t="shared" si="22"/>
        <v>('22Oct240201','040000181754','23248',(select max(to_number(i.premium_rcv_detail_code))+1
from ins_premium_det i),'23248','23248','02', '11000003','00','Request by Mr. Omair Ali 22-Oct-2024 allocation 22Oct240201');</v>
      </c>
      <c r="H481" s="54" t="str">
        <f t="shared" si="23"/>
        <v>insert into ins_premium_det (premium_rcv_code,assorted_code, rec_amount,premium_rcv_detail_code,remaining_amt, payrec, mode_code,coinsurance_code,class_cd,it_remarks) values('22Oct240201','040000181754','23248',(select max(to_number(i.premium_rcv_detail_code))+1
from ins_premium_det i),'23248','23248','02', '11000003','00','Request by Mr. Omair Ali 22-Oct-2024 allocation 22Oct240201');</v>
      </c>
    </row>
    <row r="482" spans="1:8" ht="105" x14ac:dyDescent="0.25">
      <c r="A482" t="s">
        <v>610</v>
      </c>
      <c r="B482" s="51" t="str">
        <f>VLOOKUP(A482,policy!B:C,2,0)</f>
        <v>040000181755</v>
      </c>
      <c r="C482" s="46">
        <v>23248</v>
      </c>
      <c r="D482" s="46">
        <v>23248</v>
      </c>
      <c r="E482" s="50" t="s">
        <v>3673</v>
      </c>
      <c r="F482" s="52" t="str">
        <f t="shared" si="21"/>
        <v>insert into ins_premium_det (premium_rcv_code,assorted_code, rec_amount,premium_rcv_detail_code,remaining_amt, payrec, mode_code,coinsurance_code,class_cd,it_remarks) values</v>
      </c>
      <c r="G482" s="53" t="str">
        <f t="shared" si="22"/>
        <v>('22Oct240201','040000181755','23248',(select max(to_number(i.premium_rcv_detail_code))+1
from ins_premium_det i),'23248','23248','02', '11000003','00','Request by Mr. Omair Ali 22-Oct-2024 allocation 22Oct240201');</v>
      </c>
      <c r="H482" s="54" t="str">
        <f t="shared" si="23"/>
        <v>insert into ins_premium_det (premium_rcv_code,assorted_code, rec_amount,premium_rcv_detail_code,remaining_amt, payrec, mode_code,coinsurance_code,class_cd,it_remarks) values('22Oct240201','040000181755','23248',(select max(to_number(i.premium_rcv_detail_code))+1
from ins_premium_det i),'23248','23248','02', '11000003','00','Request by Mr. Omair Ali 22-Oct-2024 allocation 22Oct240201');</v>
      </c>
    </row>
    <row r="483" spans="1:8" ht="105" x14ac:dyDescent="0.25">
      <c r="A483" t="s">
        <v>611</v>
      </c>
      <c r="B483" s="51" t="str">
        <f>VLOOKUP(A483,policy!B:C,2,0)</f>
        <v>040000181756</v>
      </c>
      <c r="C483" s="46">
        <v>14960</v>
      </c>
      <c r="D483" s="46">
        <v>14960</v>
      </c>
      <c r="E483" s="50" t="s">
        <v>3673</v>
      </c>
      <c r="F483" s="52" t="str">
        <f t="shared" si="21"/>
        <v>insert into ins_premium_det (premium_rcv_code,assorted_code, rec_amount,premium_rcv_detail_code,remaining_amt, payrec, mode_code,coinsurance_code,class_cd,it_remarks) values</v>
      </c>
      <c r="G483" s="53" t="str">
        <f t="shared" si="22"/>
        <v>('22Oct240201','040000181756','14960',(select max(to_number(i.premium_rcv_detail_code))+1
from ins_premium_det i),'14960','14960','02', '11000003','00','Request by Mr. Omair Ali 22-Oct-2024 allocation 22Oct240201');</v>
      </c>
      <c r="H483" s="54" t="str">
        <f t="shared" si="23"/>
        <v>insert into ins_premium_det (premium_rcv_code,assorted_code, rec_amount,premium_rcv_detail_code,remaining_amt, payrec, mode_code,coinsurance_code,class_cd,it_remarks) values('22Oct240201','040000181756','14960',(select max(to_number(i.premium_rcv_detail_code))+1
from ins_premium_det i),'14960','14960','02', '11000003','00','Request by Mr. Omair Ali 22-Oct-2024 allocation 22Oct240201');</v>
      </c>
    </row>
    <row r="484" spans="1:8" ht="105" x14ac:dyDescent="0.25">
      <c r="A484" t="s">
        <v>612</v>
      </c>
      <c r="B484" s="51" t="str">
        <f>VLOOKUP(A484,policy!B:C,2,0)</f>
        <v>040000181757</v>
      </c>
      <c r="C484" s="46">
        <v>14960</v>
      </c>
      <c r="D484" s="46">
        <v>14960</v>
      </c>
      <c r="E484" s="50" t="s">
        <v>3673</v>
      </c>
      <c r="F484" s="52" t="str">
        <f t="shared" si="21"/>
        <v>insert into ins_premium_det (premium_rcv_code,assorted_code, rec_amount,premium_rcv_detail_code,remaining_amt, payrec, mode_code,coinsurance_code,class_cd,it_remarks) values</v>
      </c>
      <c r="G484" s="53" t="str">
        <f t="shared" si="22"/>
        <v>('22Oct240201','040000181757','14960',(select max(to_number(i.premium_rcv_detail_code))+1
from ins_premium_det i),'14960','14960','02', '11000003','00','Request by Mr. Omair Ali 22-Oct-2024 allocation 22Oct240201');</v>
      </c>
      <c r="H484" s="54" t="str">
        <f t="shared" si="23"/>
        <v>insert into ins_premium_det (premium_rcv_code,assorted_code, rec_amount,premium_rcv_detail_code,remaining_amt, payrec, mode_code,coinsurance_code,class_cd,it_remarks) values('22Oct240201','040000181757','14960',(select max(to_number(i.premium_rcv_detail_code))+1
from ins_premium_det i),'14960','14960','02', '11000003','00','Request by Mr. Omair Ali 22-Oct-2024 allocation 22Oct240201');</v>
      </c>
    </row>
    <row r="485" spans="1:8" ht="105" x14ac:dyDescent="0.25">
      <c r="A485" t="s">
        <v>613</v>
      </c>
      <c r="B485" s="51" t="str">
        <f>VLOOKUP(A485,policy!B:C,2,0)</f>
        <v>040000181760</v>
      </c>
      <c r="C485" s="46">
        <v>14960</v>
      </c>
      <c r="D485" s="46">
        <v>14960</v>
      </c>
      <c r="E485" s="50" t="s">
        <v>3673</v>
      </c>
      <c r="F485" s="52" t="str">
        <f t="shared" si="21"/>
        <v>insert into ins_premium_det (premium_rcv_code,assorted_code, rec_amount,premium_rcv_detail_code,remaining_amt, payrec, mode_code,coinsurance_code,class_cd,it_remarks) values</v>
      </c>
      <c r="G485" s="53" t="str">
        <f t="shared" si="22"/>
        <v>('22Oct240201','040000181760','14960',(select max(to_number(i.premium_rcv_detail_code))+1
from ins_premium_det i),'14960','14960','02', '11000003','00','Request by Mr. Omair Ali 22-Oct-2024 allocation 22Oct240201');</v>
      </c>
      <c r="H485" s="54" t="str">
        <f t="shared" si="23"/>
        <v>insert into ins_premium_det (premium_rcv_code,assorted_code, rec_amount,premium_rcv_detail_code,remaining_amt, payrec, mode_code,coinsurance_code,class_cd,it_remarks) values('22Oct240201','040000181760','14960',(select max(to_number(i.premium_rcv_detail_code))+1
from ins_premium_det i),'14960','14960','02', '11000003','00','Request by Mr. Omair Ali 22-Oct-2024 allocation 22Oct240201');</v>
      </c>
    </row>
    <row r="486" spans="1:8" ht="105" x14ac:dyDescent="0.25">
      <c r="A486" t="s">
        <v>614</v>
      </c>
      <c r="B486" s="51" t="str">
        <f>VLOOKUP(A486,policy!B:C,2,0)</f>
        <v>040000181761</v>
      </c>
      <c r="C486" s="46">
        <v>14365</v>
      </c>
      <c r="D486" s="46">
        <v>14365</v>
      </c>
      <c r="E486" s="50" t="s">
        <v>3673</v>
      </c>
      <c r="F486" s="52" t="str">
        <f t="shared" si="21"/>
        <v>insert into ins_premium_det (premium_rcv_code,assorted_code, rec_amount,premium_rcv_detail_code,remaining_amt, payrec, mode_code,coinsurance_code,class_cd,it_remarks) values</v>
      </c>
      <c r="G486" s="53" t="str">
        <f t="shared" si="22"/>
        <v>('22Oct240201','040000181761','14365',(select max(to_number(i.premium_rcv_detail_code))+1
from ins_premium_det i),'14365','14365','02', '11000003','00','Request by Mr. Omair Ali 22-Oct-2024 allocation 22Oct240201');</v>
      </c>
      <c r="H486" s="54" t="str">
        <f t="shared" si="23"/>
        <v>insert into ins_premium_det (premium_rcv_code,assorted_code, rec_amount,premium_rcv_detail_code,remaining_amt, payrec, mode_code,coinsurance_code,class_cd,it_remarks) values('22Oct240201','040000181761','14365',(select max(to_number(i.premium_rcv_detail_code))+1
from ins_premium_det i),'14365','14365','02', '11000003','00','Request by Mr. Omair Ali 22-Oct-2024 allocation 22Oct240201');</v>
      </c>
    </row>
    <row r="487" spans="1:8" ht="105" x14ac:dyDescent="0.25">
      <c r="A487" t="s">
        <v>615</v>
      </c>
      <c r="B487" s="51" t="str">
        <f>VLOOKUP(A487,policy!B:C,2,0)</f>
        <v>040000181762</v>
      </c>
      <c r="C487" s="46">
        <v>16235</v>
      </c>
      <c r="D487" s="46">
        <v>16235</v>
      </c>
      <c r="E487" s="50" t="s">
        <v>3673</v>
      </c>
      <c r="F487" s="52" t="str">
        <f t="shared" si="21"/>
        <v>insert into ins_premium_det (premium_rcv_code,assorted_code, rec_amount,premium_rcv_detail_code,remaining_amt, payrec, mode_code,coinsurance_code,class_cd,it_remarks) values</v>
      </c>
      <c r="G487" s="53" t="str">
        <f t="shared" si="22"/>
        <v>('22Oct240201','040000181762','16235',(select max(to_number(i.premium_rcv_detail_code))+1
from ins_premium_det i),'16235','16235','02', '11000003','00','Request by Mr. Omair Ali 22-Oct-2024 allocation 22Oct240201');</v>
      </c>
      <c r="H487" s="54" t="str">
        <f t="shared" si="23"/>
        <v>insert into ins_premium_det (premium_rcv_code,assorted_code, rec_amount,premium_rcv_detail_code,remaining_amt, payrec, mode_code,coinsurance_code,class_cd,it_remarks) values('22Oct240201','040000181762','16235',(select max(to_number(i.premium_rcv_detail_code))+1
from ins_premium_det i),'16235','16235','02', '11000003','00','Request by Mr. Omair Ali 22-Oct-2024 allocation 22Oct240201');</v>
      </c>
    </row>
    <row r="488" spans="1:8" ht="105" x14ac:dyDescent="0.25">
      <c r="A488" t="s">
        <v>616</v>
      </c>
      <c r="B488" s="51" t="str">
        <f>VLOOKUP(A488,policy!B:C,2,0)</f>
        <v>040000181763</v>
      </c>
      <c r="C488" s="46">
        <v>16235</v>
      </c>
      <c r="D488" s="46">
        <v>16235</v>
      </c>
      <c r="E488" s="50" t="s">
        <v>3673</v>
      </c>
      <c r="F488" s="52" t="str">
        <f t="shared" si="21"/>
        <v>insert into ins_premium_det (premium_rcv_code,assorted_code, rec_amount,premium_rcv_detail_code,remaining_amt, payrec, mode_code,coinsurance_code,class_cd,it_remarks) values</v>
      </c>
      <c r="G488" s="53" t="str">
        <f t="shared" si="22"/>
        <v>('22Oct240201','040000181763','16235',(select max(to_number(i.premium_rcv_detail_code))+1
from ins_premium_det i),'16235','16235','02', '11000003','00','Request by Mr. Omair Ali 22-Oct-2024 allocation 22Oct240201');</v>
      </c>
      <c r="H488" s="54" t="str">
        <f t="shared" si="23"/>
        <v>insert into ins_premium_det (premium_rcv_code,assorted_code, rec_amount,premium_rcv_detail_code,remaining_amt, payrec, mode_code,coinsurance_code,class_cd,it_remarks) values('22Oct240201','040000181763','16235',(select max(to_number(i.premium_rcv_detail_code))+1
from ins_premium_det i),'16235','16235','02', '11000003','00','Request by Mr. Omair Ali 22-Oct-2024 allocation 22Oct240201');</v>
      </c>
    </row>
    <row r="489" spans="1:8" ht="105" x14ac:dyDescent="0.25">
      <c r="A489" t="s">
        <v>617</v>
      </c>
      <c r="B489" s="51" t="str">
        <f>VLOOKUP(A489,policy!B:C,2,0)</f>
        <v>040000181764</v>
      </c>
      <c r="C489" s="46">
        <v>8800</v>
      </c>
      <c r="D489" s="46">
        <v>8800</v>
      </c>
      <c r="E489" s="50" t="s">
        <v>3673</v>
      </c>
      <c r="F489" s="52" t="str">
        <f t="shared" si="21"/>
        <v>insert into ins_premium_det (premium_rcv_code,assorted_code, rec_amount,premium_rcv_detail_code,remaining_amt, payrec, mode_code,coinsurance_code,class_cd,it_remarks) values</v>
      </c>
      <c r="G489" s="53" t="str">
        <f t="shared" si="22"/>
        <v>('22Oct240201','040000181764','8800',(select max(to_number(i.premium_rcv_detail_code))+1
from ins_premium_det i),'8800','8800','02', '11000003','00','Request by Mr. Omair Ali 22-Oct-2024 allocation 22Oct240201');</v>
      </c>
      <c r="H489" s="54" t="str">
        <f t="shared" si="23"/>
        <v>insert into ins_premium_det (premium_rcv_code,assorted_code, rec_amount,premium_rcv_detail_code,remaining_amt, payrec, mode_code,coinsurance_code,class_cd,it_remarks) values('22Oct240201','040000181764','8800',(select max(to_number(i.premium_rcv_detail_code))+1
from ins_premium_det i),'8800','8800','02', '11000003','00','Request by Mr. Omair Ali 22-Oct-2024 allocation 22Oct240201');</v>
      </c>
    </row>
    <row r="490" spans="1:8" ht="105" x14ac:dyDescent="0.25">
      <c r="A490" t="s">
        <v>618</v>
      </c>
      <c r="B490" s="51" t="str">
        <f>VLOOKUP(A490,policy!B:C,2,0)</f>
        <v>040000181765</v>
      </c>
      <c r="C490" s="46">
        <v>14960</v>
      </c>
      <c r="D490" s="46">
        <v>14960</v>
      </c>
      <c r="E490" s="50" t="s">
        <v>3673</v>
      </c>
      <c r="F490" s="52" t="str">
        <f t="shared" si="21"/>
        <v>insert into ins_premium_det (premium_rcv_code,assorted_code, rec_amount,premium_rcv_detail_code,remaining_amt, payrec, mode_code,coinsurance_code,class_cd,it_remarks) values</v>
      </c>
      <c r="G490" s="53" t="str">
        <f t="shared" si="22"/>
        <v>('22Oct240201','040000181765','14960',(select max(to_number(i.premium_rcv_detail_code))+1
from ins_premium_det i),'14960','14960','02', '11000003','00','Request by Mr. Omair Ali 22-Oct-2024 allocation 22Oct240201');</v>
      </c>
      <c r="H490" s="54" t="str">
        <f t="shared" si="23"/>
        <v>insert into ins_premium_det (premium_rcv_code,assorted_code, rec_amount,premium_rcv_detail_code,remaining_amt, payrec, mode_code,coinsurance_code,class_cd,it_remarks) values('22Oct240201','040000181765','14960',(select max(to_number(i.premium_rcv_detail_code))+1
from ins_premium_det i),'14960','14960','02', '11000003','00','Request by Mr. Omair Ali 22-Oct-2024 allocation 22Oct240201');</v>
      </c>
    </row>
    <row r="491" spans="1:8" ht="105" x14ac:dyDescent="0.25">
      <c r="A491" t="s">
        <v>619</v>
      </c>
      <c r="B491" s="51" t="str">
        <f>VLOOKUP(A491,policy!B:C,2,0)</f>
        <v>040000181766</v>
      </c>
      <c r="C491" s="46">
        <v>9550</v>
      </c>
      <c r="D491" s="46">
        <v>9550</v>
      </c>
      <c r="E491" s="50" t="s">
        <v>3673</v>
      </c>
      <c r="F491" s="52" t="str">
        <f t="shared" si="21"/>
        <v>insert into ins_premium_det (premium_rcv_code,assorted_code, rec_amount,premium_rcv_detail_code,remaining_amt, payrec, mode_code,coinsurance_code,class_cd,it_remarks) values</v>
      </c>
      <c r="G491" s="53" t="str">
        <f t="shared" si="22"/>
        <v>('22Oct240201','040000181766','9550',(select max(to_number(i.premium_rcv_detail_code))+1
from ins_premium_det i),'9550','9550','02', '11000003','00','Request by Mr. Omair Ali 22-Oct-2024 allocation 22Oct240201');</v>
      </c>
      <c r="H491" s="54" t="str">
        <f t="shared" si="23"/>
        <v>insert into ins_premium_det (premium_rcv_code,assorted_code, rec_amount,premium_rcv_detail_code,remaining_amt, payrec, mode_code,coinsurance_code,class_cd,it_remarks) values('22Oct240201','040000181766','9550',(select max(to_number(i.premium_rcv_detail_code))+1
from ins_premium_det i),'9550','9550','02', '11000003','00','Request by Mr. Omair Ali 22-Oct-2024 allocation 22Oct240201');</v>
      </c>
    </row>
    <row r="492" spans="1:8" ht="105" x14ac:dyDescent="0.25">
      <c r="A492" t="s">
        <v>620</v>
      </c>
      <c r="B492" s="51" t="str">
        <f>VLOOKUP(A492,policy!B:C,2,0)</f>
        <v>040000181767</v>
      </c>
      <c r="C492" s="46">
        <v>14960</v>
      </c>
      <c r="D492" s="46">
        <v>14960</v>
      </c>
      <c r="E492" s="50" t="s">
        <v>3673</v>
      </c>
      <c r="F492" s="52" t="str">
        <f t="shared" si="21"/>
        <v>insert into ins_premium_det (premium_rcv_code,assorted_code, rec_amount,premium_rcv_detail_code,remaining_amt, payrec, mode_code,coinsurance_code,class_cd,it_remarks) values</v>
      </c>
      <c r="G492" s="53" t="str">
        <f t="shared" si="22"/>
        <v>('22Oct240201','040000181767','14960',(select max(to_number(i.premium_rcv_detail_code))+1
from ins_premium_det i),'14960','14960','02', '11000003','00','Request by Mr. Omair Ali 22-Oct-2024 allocation 22Oct240201');</v>
      </c>
      <c r="H492" s="54" t="str">
        <f t="shared" si="23"/>
        <v>insert into ins_premium_det (premium_rcv_code,assorted_code, rec_amount,premium_rcv_detail_code,remaining_amt, payrec, mode_code,coinsurance_code,class_cd,it_remarks) values('22Oct240201','040000181767','14960',(select max(to_number(i.premium_rcv_detail_code))+1
from ins_premium_det i),'14960','14960','02', '11000003','00','Request by Mr. Omair Ali 22-Oct-2024 allocation 22Oct240201');</v>
      </c>
    </row>
    <row r="493" spans="1:8" ht="105" x14ac:dyDescent="0.25">
      <c r="A493" t="s">
        <v>621</v>
      </c>
      <c r="B493" s="51" t="str">
        <f>VLOOKUP(A493,policy!B:C,2,0)</f>
        <v>040000181768</v>
      </c>
      <c r="C493" s="46">
        <v>14960</v>
      </c>
      <c r="D493" s="46">
        <v>14960</v>
      </c>
      <c r="E493" s="50" t="s">
        <v>3673</v>
      </c>
      <c r="F493" s="52" t="str">
        <f t="shared" si="21"/>
        <v>insert into ins_premium_det (premium_rcv_code,assorted_code, rec_amount,premium_rcv_detail_code,remaining_amt, payrec, mode_code,coinsurance_code,class_cd,it_remarks) values</v>
      </c>
      <c r="G493" s="53" t="str">
        <f t="shared" si="22"/>
        <v>('22Oct240201','040000181768','14960',(select max(to_number(i.premium_rcv_detail_code))+1
from ins_premium_det i),'14960','14960','02', '11000003','00','Request by Mr. Omair Ali 22-Oct-2024 allocation 22Oct240201');</v>
      </c>
      <c r="H493" s="54" t="str">
        <f t="shared" si="23"/>
        <v>insert into ins_premium_det (premium_rcv_code,assorted_code, rec_amount,premium_rcv_detail_code,remaining_amt, payrec, mode_code,coinsurance_code,class_cd,it_remarks) values('22Oct240201','040000181768','14960',(select max(to_number(i.premium_rcv_detail_code))+1
from ins_premium_det i),'14960','14960','02', '11000003','00','Request by Mr. Omair Ali 22-Oct-2024 allocation 22Oct240201');</v>
      </c>
    </row>
    <row r="494" spans="1:8" ht="105" x14ac:dyDescent="0.25">
      <c r="A494" t="s">
        <v>622</v>
      </c>
      <c r="B494" s="51" t="str">
        <f>VLOOKUP(A494,policy!B:C,2,0)</f>
        <v>040000181769</v>
      </c>
      <c r="C494" s="46">
        <v>8800</v>
      </c>
      <c r="D494" s="46">
        <v>8800</v>
      </c>
      <c r="E494" s="50" t="s">
        <v>3673</v>
      </c>
      <c r="F494" s="52" t="str">
        <f t="shared" si="21"/>
        <v>insert into ins_premium_det (premium_rcv_code,assorted_code, rec_amount,premium_rcv_detail_code,remaining_amt, payrec, mode_code,coinsurance_code,class_cd,it_remarks) values</v>
      </c>
      <c r="G494" s="53" t="str">
        <f t="shared" si="22"/>
        <v>('22Oct240201','040000181769','8800',(select max(to_number(i.premium_rcv_detail_code))+1
from ins_premium_det i),'8800','8800','02', '11000003','00','Request by Mr. Omair Ali 22-Oct-2024 allocation 22Oct240201');</v>
      </c>
      <c r="H494" s="54" t="str">
        <f t="shared" si="23"/>
        <v>insert into ins_premium_det (premium_rcv_code,assorted_code, rec_amount,premium_rcv_detail_code,remaining_amt, payrec, mode_code,coinsurance_code,class_cd,it_remarks) values('22Oct240201','040000181769','8800',(select max(to_number(i.premium_rcv_detail_code))+1
from ins_premium_det i),'8800','8800','02', '11000003','00','Request by Mr. Omair Ali 22-Oct-2024 allocation 22Oct240201');</v>
      </c>
    </row>
    <row r="495" spans="1:8" ht="105" x14ac:dyDescent="0.25">
      <c r="A495" t="s">
        <v>623</v>
      </c>
      <c r="B495" s="51" t="str">
        <f>VLOOKUP(A495,policy!B:C,2,0)</f>
        <v>040000181770</v>
      </c>
      <c r="C495" s="46">
        <v>8800</v>
      </c>
      <c r="D495" s="46">
        <v>8800</v>
      </c>
      <c r="E495" s="50" t="s">
        <v>3673</v>
      </c>
      <c r="F495" s="52" t="str">
        <f t="shared" si="21"/>
        <v>insert into ins_premium_det (premium_rcv_code,assorted_code, rec_amount,premium_rcv_detail_code,remaining_amt, payrec, mode_code,coinsurance_code,class_cd,it_remarks) values</v>
      </c>
      <c r="G495" s="53" t="str">
        <f t="shared" si="22"/>
        <v>('22Oct240201','040000181770','8800',(select max(to_number(i.premium_rcv_detail_code))+1
from ins_premium_det i),'8800','8800','02', '11000003','00','Request by Mr. Omair Ali 22-Oct-2024 allocation 22Oct240201');</v>
      </c>
      <c r="H495" s="54" t="str">
        <f t="shared" si="23"/>
        <v>insert into ins_premium_det (premium_rcv_code,assorted_code, rec_amount,premium_rcv_detail_code,remaining_amt, payrec, mode_code,coinsurance_code,class_cd,it_remarks) values('22Oct240201','040000181770','8800',(select max(to_number(i.premium_rcv_detail_code))+1
from ins_premium_det i),'8800','8800','02', '11000003','00','Request by Mr. Omair Ali 22-Oct-2024 allocation 22Oct240201');</v>
      </c>
    </row>
    <row r="496" spans="1:8" ht="105" x14ac:dyDescent="0.25">
      <c r="A496" t="s">
        <v>624</v>
      </c>
      <c r="B496" s="51" t="str">
        <f>VLOOKUP(A496,policy!B:C,2,0)</f>
        <v>040000181771</v>
      </c>
      <c r="C496" s="46">
        <v>23248</v>
      </c>
      <c r="D496" s="46">
        <v>23248</v>
      </c>
      <c r="E496" s="50" t="s">
        <v>3673</v>
      </c>
      <c r="F496" s="52" t="str">
        <f t="shared" si="21"/>
        <v>insert into ins_premium_det (premium_rcv_code,assorted_code, rec_amount,premium_rcv_detail_code,remaining_amt, payrec, mode_code,coinsurance_code,class_cd,it_remarks) values</v>
      </c>
      <c r="G496" s="53" t="str">
        <f t="shared" si="22"/>
        <v>('22Oct240201','040000181771','23248',(select max(to_number(i.premium_rcv_detail_code))+1
from ins_premium_det i),'23248','23248','02', '11000003','00','Request by Mr. Omair Ali 22-Oct-2024 allocation 22Oct240201');</v>
      </c>
      <c r="H496" s="54" t="str">
        <f t="shared" si="23"/>
        <v>insert into ins_premium_det (premium_rcv_code,assorted_code, rec_amount,premium_rcv_detail_code,remaining_amt, payrec, mode_code,coinsurance_code,class_cd,it_remarks) values('22Oct240201','040000181771','23248',(select max(to_number(i.premium_rcv_detail_code))+1
from ins_premium_det i),'23248','23248','02', '11000003','00','Request by Mr. Omair Ali 22-Oct-2024 allocation 22Oct240201');</v>
      </c>
    </row>
    <row r="497" spans="1:8" ht="105" x14ac:dyDescent="0.25">
      <c r="A497" t="s">
        <v>625</v>
      </c>
      <c r="B497" s="51" t="str">
        <f>VLOOKUP(A497,policy!B:C,2,0)</f>
        <v>040000181772</v>
      </c>
      <c r="C497" s="46">
        <v>23248</v>
      </c>
      <c r="D497" s="46">
        <v>23248</v>
      </c>
      <c r="E497" s="50" t="s">
        <v>3673</v>
      </c>
      <c r="F497" s="52" t="str">
        <f t="shared" si="21"/>
        <v>insert into ins_premium_det (premium_rcv_code,assorted_code, rec_amount,premium_rcv_detail_code,remaining_amt, payrec, mode_code,coinsurance_code,class_cd,it_remarks) values</v>
      </c>
      <c r="G497" s="53" t="str">
        <f t="shared" si="22"/>
        <v>('22Oct240201','040000181772','23248',(select max(to_number(i.premium_rcv_detail_code))+1
from ins_premium_det i),'23248','23248','02', '11000003','00','Request by Mr. Omair Ali 22-Oct-2024 allocation 22Oct240201');</v>
      </c>
      <c r="H497" s="54" t="str">
        <f t="shared" si="23"/>
        <v>insert into ins_premium_det (premium_rcv_code,assorted_code, rec_amount,premium_rcv_detail_code,remaining_amt, payrec, mode_code,coinsurance_code,class_cd,it_remarks) values('22Oct240201','040000181772','23248',(select max(to_number(i.premium_rcv_detail_code))+1
from ins_premium_det i),'23248','23248','02', '11000003','00','Request by Mr. Omair Ali 22-Oct-2024 allocation 22Oct240201');</v>
      </c>
    </row>
    <row r="498" spans="1:8" ht="105" x14ac:dyDescent="0.25">
      <c r="A498" t="s">
        <v>626</v>
      </c>
      <c r="B498" s="51" t="str">
        <f>VLOOKUP(A498,policy!B:C,2,0)</f>
        <v>040000181773</v>
      </c>
      <c r="C498" s="46">
        <v>8800</v>
      </c>
      <c r="D498" s="46">
        <v>8800</v>
      </c>
      <c r="E498" s="50" t="s">
        <v>3673</v>
      </c>
      <c r="F498" s="52" t="str">
        <f t="shared" si="21"/>
        <v>insert into ins_premium_det (premium_rcv_code,assorted_code, rec_amount,premium_rcv_detail_code,remaining_amt, payrec, mode_code,coinsurance_code,class_cd,it_remarks) values</v>
      </c>
      <c r="G498" s="53" t="str">
        <f t="shared" si="22"/>
        <v>('22Oct240201','040000181773','8800',(select max(to_number(i.premium_rcv_detail_code))+1
from ins_premium_det i),'8800','8800','02', '11000003','00','Request by Mr. Omair Ali 22-Oct-2024 allocation 22Oct240201');</v>
      </c>
      <c r="H498" s="54" t="str">
        <f t="shared" si="23"/>
        <v>insert into ins_premium_det (premium_rcv_code,assorted_code, rec_amount,premium_rcv_detail_code,remaining_amt, payrec, mode_code,coinsurance_code,class_cd,it_remarks) values('22Oct240201','040000181773','8800',(select max(to_number(i.premium_rcv_detail_code))+1
from ins_premium_det i),'8800','8800','02', '11000003','00','Request by Mr. Omair Ali 22-Oct-2024 allocation 22Oct240201');</v>
      </c>
    </row>
    <row r="499" spans="1:8" ht="105" x14ac:dyDescent="0.25">
      <c r="A499" t="s">
        <v>627</v>
      </c>
      <c r="B499" s="51" t="str">
        <f>VLOOKUP(A499,policy!B:C,2,0)</f>
        <v>040000181774</v>
      </c>
      <c r="C499" s="46">
        <v>14960</v>
      </c>
      <c r="D499" s="46">
        <v>14960</v>
      </c>
      <c r="E499" s="50" t="s">
        <v>3673</v>
      </c>
      <c r="F499" s="52" t="str">
        <f t="shared" si="21"/>
        <v>insert into ins_premium_det (premium_rcv_code,assorted_code, rec_amount,premium_rcv_detail_code,remaining_amt, payrec, mode_code,coinsurance_code,class_cd,it_remarks) values</v>
      </c>
      <c r="G499" s="53" t="str">
        <f t="shared" si="22"/>
        <v>('22Oct240201','040000181774','14960',(select max(to_number(i.premium_rcv_detail_code))+1
from ins_premium_det i),'14960','14960','02', '11000003','00','Request by Mr. Omair Ali 22-Oct-2024 allocation 22Oct240201');</v>
      </c>
      <c r="H499" s="54" t="str">
        <f t="shared" si="23"/>
        <v>insert into ins_premium_det (premium_rcv_code,assorted_code, rec_amount,premium_rcv_detail_code,remaining_amt, payrec, mode_code,coinsurance_code,class_cd,it_remarks) values('22Oct240201','040000181774','14960',(select max(to_number(i.premium_rcv_detail_code))+1
from ins_premium_det i),'14960','14960','02', '11000003','00','Request by Mr. Omair Ali 22-Oct-2024 allocation 22Oct240201');</v>
      </c>
    </row>
    <row r="500" spans="1:8" ht="105" x14ac:dyDescent="0.25">
      <c r="A500" t="s">
        <v>628</v>
      </c>
      <c r="B500" s="51" t="str">
        <f>VLOOKUP(A500,policy!B:C,2,0)</f>
        <v>040000181775</v>
      </c>
      <c r="C500" s="46">
        <v>9550</v>
      </c>
      <c r="D500" s="46">
        <v>9550</v>
      </c>
      <c r="E500" s="50" t="s">
        <v>3673</v>
      </c>
      <c r="F500" s="52" t="str">
        <f t="shared" si="21"/>
        <v>insert into ins_premium_det (premium_rcv_code,assorted_code, rec_amount,premium_rcv_detail_code,remaining_amt, payrec, mode_code,coinsurance_code,class_cd,it_remarks) values</v>
      </c>
      <c r="G500" s="53" t="str">
        <f t="shared" si="22"/>
        <v>('22Oct240201','040000181775','9550',(select max(to_number(i.premium_rcv_detail_code))+1
from ins_premium_det i),'9550','9550','02', '11000003','00','Request by Mr. Omair Ali 22-Oct-2024 allocation 22Oct240201');</v>
      </c>
      <c r="H500" s="54" t="str">
        <f t="shared" si="23"/>
        <v>insert into ins_premium_det (premium_rcv_code,assorted_code, rec_amount,premium_rcv_detail_code,remaining_amt, payrec, mode_code,coinsurance_code,class_cd,it_remarks) values('22Oct240201','040000181775','9550',(select max(to_number(i.premium_rcv_detail_code))+1
from ins_premium_det i),'9550','9550','02', '11000003','00','Request by Mr. Omair Ali 22-Oct-2024 allocation 22Oct240201');</v>
      </c>
    </row>
    <row r="501" spans="1:8" ht="105" x14ac:dyDescent="0.25">
      <c r="A501" t="s">
        <v>629</v>
      </c>
      <c r="B501" s="51" t="str">
        <f>VLOOKUP(A501,policy!B:C,2,0)</f>
        <v>040000181777</v>
      </c>
      <c r="C501" s="46">
        <v>8800</v>
      </c>
      <c r="D501" s="46">
        <v>8800</v>
      </c>
      <c r="E501" s="50" t="s">
        <v>3673</v>
      </c>
      <c r="F501" s="52" t="str">
        <f t="shared" si="21"/>
        <v>insert into ins_premium_det (premium_rcv_code,assorted_code, rec_amount,premium_rcv_detail_code,remaining_amt, payrec, mode_code,coinsurance_code,class_cd,it_remarks) values</v>
      </c>
      <c r="G501" s="53" t="str">
        <f t="shared" si="22"/>
        <v>('22Oct240201','040000181777','8800',(select max(to_number(i.premium_rcv_detail_code))+1
from ins_premium_det i),'8800','8800','02', '11000003','00','Request by Mr. Omair Ali 22-Oct-2024 allocation 22Oct240201');</v>
      </c>
      <c r="H501" s="54" t="str">
        <f t="shared" si="23"/>
        <v>insert into ins_premium_det (premium_rcv_code,assorted_code, rec_amount,premium_rcv_detail_code,remaining_amt, payrec, mode_code,coinsurance_code,class_cd,it_remarks) values('22Oct240201','040000181777','8800',(select max(to_number(i.premium_rcv_detail_code))+1
from ins_premium_det i),'8800','8800','02', '11000003','00','Request by Mr. Omair Ali 22-Oct-2024 allocation 22Oct240201');</v>
      </c>
    </row>
    <row r="502" spans="1:8" ht="105" x14ac:dyDescent="0.25">
      <c r="A502" t="s">
        <v>630</v>
      </c>
      <c r="B502" s="51" t="str">
        <f>VLOOKUP(A502,policy!B:C,2,0)</f>
        <v>040000181778</v>
      </c>
      <c r="C502" s="46">
        <v>8800</v>
      </c>
      <c r="D502" s="46">
        <v>8800</v>
      </c>
      <c r="E502" s="50" t="s">
        <v>3673</v>
      </c>
      <c r="F502" s="52" t="str">
        <f t="shared" si="21"/>
        <v>insert into ins_premium_det (premium_rcv_code,assorted_code, rec_amount,premium_rcv_detail_code,remaining_amt, payrec, mode_code,coinsurance_code,class_cd,it_remarks) values</v>
      </c>
      <c r="G502" s="53" t="str">
        <f t="shared" si="22"/>
        <v>('22Oct240201','040000181778','8800',(select max(to_number(i.premium_rcv_detail_code))+1
from ins_premium_det i),'8800','8800','02', '11000003','00','Request by Mr. Omair Ali 22-Oct-2024 allocation 22Oct240201');</v>
      </c>
      <c r="H502" s="54" t="str">
        <f t="shared" si="23"/>
        <v>insert into ins_premium_det (premium_rcv_code,assorted_code, rec_amount,premium_rcv_detail_code,remaining_amt, payrec, mode_code,coinsurance_code,class_cd,it_remarks) values('22Oct240201','040000181778','8800',(select max(to_number(i.premium_rcv_detail_code))+1
from ins_premium_det i),'8800','8800','02', '11000003','00','Request by Mr. Omair Ali 22-Oct-2024 allocation 22Oct240201');</v>
      </c>
    </row>
    <row r="503" spans="1:8" ht="105" x14ac:dyDescent="0.25">
      <c r="A503" t="s">
        <v>631</v>
      </c>
      <c r="B503" s="51" t="str">
        <f>VLOOKUP(A503,policy!B:C,2,0)</f>
        <v>040000181779</v>
      </c>
      <c r="C503" s="46">
        <v>14960</v>
      </c>
      <c r="D503" s="46">
        <v>14960</v>
      </c>
      <c r="E503" s="50" t="s">
        <v>3673</v>
      </c>
      <c r="F503" s="52" t="str">
        <f t="shared" si="21"/>
        <v>insert into ins_premium_det (premium_rcv_code,assorted_code, rec_amount,premium_rcv_detail_code,remaining_amt, payrec, mode_code,coinsurance_code,class_cd,it_remarks) values</v>
      </c>
      <c r="G503" s="53" t="str">
        <f t="shared" si="22"/>
        <v>('22Oct240201','040000181779','14960',(select max(to_number(i.premium_rcv_detail_code))+1
from ins_premium_det i),'14960','14960','02', '11000003','00','Request by Mr. Omair Ali 22-Oct-2024 allocation 22Oct240201');</v>
      </c>
      <c r="H503" s="54" t="str">
        <f t="shared" si="23"/>
        <v>insert into ins_premium_det (premium_rcv_code,assorted_code, rec_amount,premium_rcv_detail_code,remaining_amt, payrec, mode_code,coinsurance_code,class_cd,it_remarks) values('22Oct240201','040000181779','14960',(select max(to_number(i.premium_rcv_detail_code))+1
from ins_premium_det i),'14960','14960','02', '11000003','00','Request by Mr. Omair Ali 22-Oct-2024 allocation 22Oct240201');</v>
      </c>
    </row>
    <row r="504" spans="1:8" ht="105" x14ac:dyDescent="0.25">
      <c r="A504" t="s">
        <v>632</v>
      </c>
      <c r="B504" s="51" t="str">
        <f>VLOOKUP(A504,policy!B:C,2,0)</f>
        <v>040000181780</v>
      </c>
      <c r="C504" s="46">
        <v>8800</v>
      </c>
      <c r="D504" s="46">
        <v>8800</v>
      </c>
      <c r="E504" s="50" t="s">
        <v>3673</v>
      </c>
      <c r="F504" s="52" t="str">
        <f t="shared" si="21"/>
        <v>insert into ins_premium_det (premium_rcv_code,assorted_code, rec_amount,premium_rcv_detail_code,remaining_amt, payrec, mode_code,coinsurance_code,class_cd,it_remarks) values</v>
      </c>
      <c r="G504" s="53" t="str">
        <f t="shared" si="22"/>
        <v>('22Oct240201','040000181780','8800',(select max(to_number(i.premium_rcv_detail_code))+1
from ins_premium_det i),'8800','8800','02', '11000003','00','Request by Mr. Omair Ali 22-Oct-2024 allocation 22Oct240201');</v>
      </c>
      <c r="H504" s="54" t="str">
        <f t="shared" si="23"/>
        <v>insert into ins_premium_det (premium_rcv_code,assorted_code, rec_amount,premium_rcv_detail_code,remaining_amt, payrec, mode_code,coinsurance_code,class_cd,it_remarks) values('22Oct240201','040000181780','8800',(select max(to_number(i.premium_rcv_detail_code))+1
from ins_premium_det i),'8800','8800','02', '11000003','00','Request by Mr. Omair Ali 22-Oct-2024 allocation 22Oct240201');</v>
      </c>
    </row>
    <row r="505" spans="1:8" ht="105" x14ac:dyDescent="0.25">
      <c r="A505" t="s">
        <v>633</v>
      </c>
      <c r="B505" s="51" t="str">
        <f>VLOOKUP(A505,policy!B:C,2,0)</f>
        <v>040000181781</v>
      </c>
      <c r="C505" s="46">
        <v>8800</v>
      </c>
      <c r="D505" s="46">
        <v>8800</v>
      </c>
      <c r="E505" s="50" t="s">
        <v>3673</v>
      </c>
      <c r="F505" s="52" t="str">
        <f t="shared" si="21"/>
        <v>insert into ins_premium_det (premium_rcv_code,assorted_code, rec_amount,premium_rcv_detail_code,remaining_amt, payrec, mode_code,coinsurance_code,class_cd,it_remarks) values</v>
      </c>
      <c r="G505" s="53" t="str">
        <f t="shared" si="22"/>
        <v>('22Oct240201','040000181781','8800',(select max(to_number(i.premium_rcv_detail_code))+1
from ins_premium_det i),'8800','8800','02', '11000003','00','Request by Mr. Omair Ali 22-Oct-2024 allocation 22Oct240201');</v>
      </c>
      <c r="H505" s="54" t="str">
        <f t="shared" si="23"/>
        <v>insert into ins_premium_det (premium_rcv_code,assorted_code, rec_amount,premium_rcv_detail_code,remaining_amt, payrec, mode_code,coinsurance_code,class_cd,it_remarks) values('22Oct240201','040000181781','8800',(select max(to_number(i.premium_rcv_detail_code))+1
from ins_premium_det i),'8800','8800','02', '11000003','00','Request by Mr. Omair Ali 22-Oct-2024 allocation 22Oct240201');</v>
      </c>
    </row>
    <row r="506" spans="1:8" ht="105" x14ac:dyDescent="0.25">
      <c r="A506" t="s">
        <v>634</v>
      </c>
      <c r="B506" s="51" t="str">
        <f>VLOOKUP(A506,policy!B:C,2,0)</f>
        <v>040000181782</v>
      </c>
      <c r="C506" s="46">
        <v>14960</v>
      </c>
      <c r="D506" s="46">
        <v>14960</v>
      </c>
      <c r="E506" s="50" t="s">
        <v>3673</v>
      </c>
      <c r="F506" s="52" t="str">
        <f t="shared" si="21"/>
        <v>insert into ins_premium_det (premium_rcv_code,assorted_code, rec_amount,premium_rcv_detail_code,remaining_amt, payrec, mode_code,coinsurance_code,class_cd,it_remarks) values</v>
      </c>
      <c r="G506" s="53" t="str">
        <f t="shared" si="22"/>
        <v>('22Oct240201','040000181782','14960',(select max(to_number(i.premium_rcv_detail_code))+1
from ins_premium_det i),'14960','14960','02', '11000003','00','Request by Mr. Omair Ali 22-Oct-2024 allocation 22Oct240201');</v>
      </c>
      <c r="H506" s="54" t="str">
        <f t="shared" si="23"/>
        <v>insert into ins_premium_det (premium_rcv_code,assorted_code, rec_amount,premium_rcv_detail_code,remaining_amt, payrec, mode_code,coinsurance_code,class_cd,it_remarks) values('22Oct240201','040000181782','14960',(select max(to_number(i.premium_rcv_detail_code))+1
from ins_premium_det i),'14960','14960','02', '11000003','00','Request by Mr. Omair Ali 22-Oct-2024 allocation 22Oct240201');</v>
      </c>
    </row>
    <row r="507" spans="1:8" ht="105" x14ac:dyDescent="0.25">
      <c r="A507" t="s">
        <v>635</v>
      </c>
      <c r="B507" s="51" t="str">
        <f>VLOOKUP(A507,policy!B:C,2,0)</f>
        <v>040000181783</v>
      </c>
      <c r="C507" s="46">
        <v>14960</v>
      </c>
      <c r="D507" s="46">
        <v>14960</v>
      </c>
      <c r="E507" s="50" t="s">
        <v>3673</v>
      </c>
      <c r="F507" s="52" t="str">
        <f t="shared" si="21"/>
        <v>insert into ins_premium_det (premium_rcv_code,assorted_code, rec_amount,premium_rcv_detail_code,remaining_amt, payrec, mode_code,coinsurance_code,class_cd,it_remarks) values</v>
      </c>
      <c r="G507" s="53" t="str">
        <f t="shared" si="22"/>
        <v>('22Oct240201','040000181783','14960',(select max(to_number(i.premium_rcv_detail_code))+1
from ins_premium_det i),'14960','14960','02', '11000003','00','Request by Mr. Omair Ali 22-Oct-2024 allocation 22Oct240201');</v>
      </c>
      <c r="H507" s="54" t="str">
        <f t="shared" si="23"/>
        <v>insert into ins_premium_det (premium_rcv_code,assorted_code, rec_amount,premium_rcv_detail_code,remaining_amt, payrec, mode_code,coinsurance_code,class_cd,it_remarks) values('22Oct240201','040000181783','14960',(select max(to_number(i.premium_rcv_detail_code))+1
from ins_premium_det i),'14960','14960','02', '11000003','00','Request by Mr. Omair Ali 22-Oct-2024 allocation 22Oct240201');</v>
      </c>
    </row>
    <row r="508" spans="1:8" ht="105" x14ac:dyDescent="0.25">
      <c r="A508" t="s">
        <v>636</v>
      </c>
      <c r="B508" s="51" t="str">
        <f>VLOOKUP(A508,policy!B:C,2,0)</f>
        <v>040000181784</v>
      </c>
      <c r="C508" s="46">
        <v>12475</v>
      </c>
      <c r="D508" s="46">
        <v>12475</v>
      </c>
      <c r="E508" s="50" t="s">
        <v>3673</v>
      </c>
      <c r="F508" s="52" t="str">
        <f t="shared" si="21"/>
        <v>insert into ins_premium_det (premium_rcv_code,assorted_code, rec_amount,premium_rcv_detail_code,remaining_amt, payrec, mode_code,coinsurance_code,class_cd,it_remarks) values</v>
      </c>
      <c r="G508" s="53" t="str">
        <f t="shared" si="22"/>
        <v>('22Oct240201','040000181784','12475',(select max(to_number(i.premium_rcv_detail_code))+1
from ins_premium_det i),'12475','12475','02', '11000003','00','Request by Mr. Omair Ali 22-Oct-2024 allocation 22Oct240201');</v>
      </c>
      <c r="H508" s="54" t="str">
        <f t="shared" si="23"/>
        <v>insert into ins_premium_det (premium_rcv_code,assorted_code, rec_amount,premium_rcv_detail_code,remaining_amt, payrec, mode_code,coinsurance_code,class_cd,it_remarks) values('22Oct240201','040000181784','12475',(select max(to_number(i.premium_rcv_detail_code))+1
from ins_premium_det i),'12475','12475','02', '11000003','00','Request by Mr. Omair Ali 22-Oct-2024 allocation 22Oct240201');</v>
      </c>
    </row>
    <row r="509" spans="1:8" ht="105" x14ac:dyDescent="0.25">
      <c r="A509" t="s">
        <v>637</v>
      </c>
      <c r="B509" s="51" t="str">
        <f>VLOOKUP(A509,policy!B:C,2,0)</f>
        <v>040000181785</v>
      </c>
      <c r="C509" s="46">
        <v>9550</v>
      </c>
      <c r="D509" s="46">
        <v>9550</v>
      </c>
      <c r="E509" s="50" t="s">
        <v>3673</v>
      </c>
      <c r="F509" s="52" t="str">
        <f t="shared" si="21"/>
        <v>insert into ins_premium_det (premium_rcv_code,assorted_code, rec_amount,premium_rcv_detail_code,remaining_amt, payrec, mode_code,coinsurance_code,class_cd,it_remarks) values</v>
      </c>
      <c r="G509" s="53" t="str">
        <f t="shared" si="22"/>
        <v>('22Oct240201','040000181785','9550',(select max(to_number(i.premium_rcv_detail_code))+1
from ins_premium_det i),'9550','9550','02', '11000003','00','Request by Mr. Omair Ali 22-Oct-2024 allocation 22Oct240201');</v>
      </c>
      <c r="H509" s="54" t="str">
        <f t="shared" si="23"/>
        <v>insert into ins_premium_det (premium_rcv_code,assorted_code, rec_amount,premium_rcv_detail_code,remaining_amt, payrec, mode_code,coinsurance_code,class_cd,it_remarks) values('22Oct240201','040000181785','9550',(select max(to_number(i.premium_rcv_detail_code))+1
from ins_premium_det i),'9550','9550','02', '11000003','00','Request by Mr. Omair Ali 22-Oct-2024 allocation 22Oct240201');</v>
      </c>
    </row>
    <row r="510" spans="1:8" ht="105" x14ac:dyDescent="0.25">
      <c r="A510" t="s">
        <v>638</v>
      </c>
      <c r="B510" s="51" t="str">
        <f>VLOOKUP(A510,policy!B:C,2,0)</f>
        <v>040000181786</v>
      </c>
      <c r="C510" s="46">
        <v>23248</v>
      </c>
      <c r="D510" s="46">
        <v>23248</v>
      </c>
      <c r="E510" s="50" t="s">
        <v>3673</v>
      </c>
      <c r="F510" s="52" t="str">
        <f t="shared" si="21"/>
        <v>insert into ins_premium_det (premium_rcv_code,assorted_code, rec_amount,premium_rcv_detail_code,remaining_amt, payrec, mode_code,coinsurance_code,class_cd,it_remarks) values</v>
      </c>
      <c r="G510" s="53" t="str">
        <f t="shared" si="22"/>
        <v>('22Oct240201','040000181786','23248',(select max(to_number(i.premium_rcv_detail_code))+1
from ins_premium_det i),'23248','23248','02', '11000003','00','Request by Mr. Omair Ali 22-Oct-2024 allocation 22Oct240201');</v>
      </c>
      <c r="H510" s="54" t="str">
        <f t="shared" si="23"/>
        <v>insert into ins_premium_det (premium_rcv_code,assorted_code, rec_amount,premium_rcv_detail_code,remaining_amt, payrec, mode_code,coinsurance_code,class_cd,it_remarks) values('22Oct240201','040000181786','23248',(select max(to_number(i.premium_rcv_detail_code))+1
from ins_premium_det i),'23248','23248','02', '11000003','00','Request by Mr. Omair Ali 22-Oct-2024 allocation 22Oct240201');</v>
      </c>
    </row>
    <row r="511" spans="1:8" ht="105" x14ac:dyDescent="0.25">
      <c r="A511" t="s">
        <v>639</v>
      </c>
      <c r="B511" s="51" t="str">
        <f>VLOOKUP(A511,policy!B:C,2,0)</f>
        <v>040000181792</v>
      </c>
      <c r="C511" s="46">
        <v>14960</v>
      </c>
      <c r="D511" s="46">
        <v>14960</v>
      </c>
      <c r="E511" s="50" t="s">
        <v>3673</v>
      </c>
      <c r="F511" s="52" t="str">
        <f t="shared" si="21"/>
        <v>insert into ins_premium_det (premium_rcv_code,assorted_code, rec_amount,premium_rcv_detail_code,remaining_amt, payrec, mode_code,coinsurance_code,class_cd,it_remarks) values</v>
      </c>
      <c r="G511" s="53" t="str">
        <f t="shared" si="22"/>
        <v>('22Oct240201','040000181792','14960',(select max(to_number(i.premium_rcv_detail_code))+1
from ins_premium_det i),'14960','14960','02', '11000003','00','Request by Mr. Omair Ali 22-Oct-2024 allocation 22Oct240201');</v>
      </c>
      <c r="H511" s="54" t="str">
        <f t="shared" si="23"/>
        <v>insert into ins_premium_det (premium_rcv_code,assorted_code, rec_amount,premium_rcv_detail_code,remaining_amt, payrec, mode_code,coinsurance_code,class_cd,it_remarks) values('22Oct240201','040000181792','14960',(select max(to_number(i.premium_rcv_detail_code))+1
from ins_premium_det i),'14960','14960','02', '11000003','00','Request by Mr. Omair Ali 22-Oct-2024 allocation 22Oct240201');</v>
      </c>
    </row>
    <row r="512" spans="1:8" ht="105" x14ac:dyDescent="0.25">
      <c r="A512" t="s">
        <v>640</v>
      </c>
      <c r="B512" s="51" t="str">
        <f>VLOOKUP(A512,policy!B:C,2,0)</f>
        <v>040000181793</v>
      </c>
      <c r="C512" s="46">
        <v>14960</v>
      </c>
      <c r="D512" s="46">
        <v>14960</v>
      </c>
      <c r="E512" s="50" t="s">
        <v>3673</v>
      </c>
      <c r="F512" s="52" t="str">
        <f t="shared" si="21"/>
        <v>insert into ins_premium_det (premium_rcv_code,assorted_code, rec_amount,premium_rcv_detail_code,remaining_amt, payrec, mode_code,coinsurance_code,class_cd,it_remarks) values</v>
      </c>
      <c r="G512" s="53" t="str">
        <f t="shared" si="22"/>
        <v>('22Oct240201','040000181793','14960',(select max(to_number(i.premium_rcv_detail_code))+1
from ins_premium_det i),'14960','14960','02', '11000003','00','Request by Mr. Omair Ali 22-Oct-2024 allocation 22Oct240201');</v>
      </c>
      <c r="H512" s="54" t="str">
        <f t="shared" si="23"/>
        <v>insert into ins_premium_det (premium_rcv_code,assorted_code, rec_amount,premium_rcv_detail_code,remaining_amt, payrec, mode_code,coinsurance_code,class_cd,it_remarks) values('22Oct240201','040000181793','14960',(select max(to_number(i.premium_rcv_detail_code))+1
from ins_premium_det i),'14960','14960','02', '11000003','00','Request by Mr. Omair Ali 22-Oct-2024 allocation 22Oct240201');</v>
      </c>
    </row>
    <row r="513" spans="1:8" ht="105" x14ac:dyDescent="0.25">
      <c r="A513" t="s">
        <v>641</v>
      </c>
      <c r="B513" s="51" t="str">
        <f>VLOOKUP(A513,policy!B:C,2,0)</f>
        <v>040000181798</v>
      </c>
      <c r="C513" s="46">
        <v>9550</v>
      </c>
      <c r="D513" s="46">
        <v>9550</v>
      </c>
      <c r="E513" s="50" t="s">
        <v>3673</v>
      </c>
      <c r="F513" s="52" t="str">
        <f t="shared" si="21"/>
        <v>insert into ins_premium_det (premium_rcv_code,assorted_code, rec_amount,premium_rcv_detail_code,remaining_amt, payrec, mode_code,coinsurance_code,class_cd,it_remarks) values</v>
      </c>
      <c r="G513" s="53" t="str">
        <f t="shared" si="22"/>
        <v>('22Oct240201','040000181798','9550',(select max(to_number(i.premium_rcv_detail_code))+1
from ins_premium_det i),'9550','9550','02', '11000003','00','Request by Mr. Omair Ali 22-Oct-2024 allocation 22Oct240201');</v>
      </c>
      <c r="H513" s="54" t="str">
        <f t="shared" si="23"/>
        <v>insert into ins_premium_det (premium_rcv_code,assorted_code, rec_amount,premium_rcv_detail_code,remaining_amt, payrec, mode_code,coinsurance_code,class_cd,it_remarks) values('22Oct240201','040000181798','9550',(select max(to_number(i.premium_rcv_detail_code))+1
from ins_premium_det i),'9550','9550','02', '11000003','00','Request by Mr. Omair Ali 22-Oct-2024 allocation 22Oct240201');</v>
      </c>
    </row>
    <row r="514" spans="1:8" ht="105" x14ac:dyDescent="0.25">
      <c r="A514" t="s">
        <v>642</v>
      </c>
      <c r="B514" s="51" t="str">
        <f>VLOOKUP(A514,policy!B:C,2,0)</f>
        <v>040000181826</v>
      </c>
      <c r="C514" s="46">
        <v>12475</v>
      </c>
      <c r="D514" s="46">
        <v>12475</v>
      </c>
      <c r="E514" s="50" t="s">
        <v>3673</v>
      </c>
      <c r="F514" s="52" t="str">
        <f t="shared" ref="F514:F577" si="2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14" s="53" t="str">
        <f t="shared" si="22"/>
        <v>('22Oct240201','040000181826','12475',(select max(to_number(i.premium_rcv_detail_code))+1
from ins_premium_det i),'12475','12475','02', '11000003','00','Request by Mr. Omair Ali 22-Oct-2024 allocation 22Oct240201');</v>
      </c>
      <c r="H514" s="54" t="str">
        <f t="shared" si="23"/>
        <v>insert into ins_premium_det (premium_rcv_code,assorted_code, rec_amount,premium_rcv_detail_code,remaining_amt, payrec, mode_code,coinsurance_code,class_cd,it_remarks) values('22Oct240201','040000181826','12475',(select max(to_number(i.premium_rcv_detail_code))+1
from ins_premium_det i),'12475','12475','02', '11000003','00','Request by Mr. Omair Ali 22-Oct-2024 allocation 22Oct240201');</v>
      </c>
    </row>
    <row r="515" spans="1:8" ht="105" x14ac:dyDescent="0.25">
      <c r="A515" t="s">
        <v>643</v>
      </c>
      <c r="B515" s="51" t="str">
        <f>VLOOKUP(A515,policy!B:C,2,0)</f>
        <v>040000181828</v>
      </c>
      <c r="C515" s="46">
        <v>8800</v>
      </c>
      <c r="D515" s="46">
        <v>8800</v>
      </c>
      <c r="E515" s="50" t="s">
        <v>3673</v>
      </c>
      <c r="F515" s="52" t="str">
        <f t="shared" si="24"/>
        <v>insert into ins_premium_det (premium_rcv_code,assorted_code, rec_amount,premium_rcv_detail_code,remaining_amt, payrec, mode_code,coinsurance_code,class_cd,it_remarks) values</v>
      </c>
      <c r="G515" s="53" t="str">
        <f t="shared" ref="G515:G578" si="25">"('"&amp;E515&amp;"','"&amp;B515&amp;"','"&amp;D515&amp;"',(select max(to_number(i.premium_rcv_detail_code))+1
from ins_premium_det i),'"&amp;D515&amp;"','"&amp;D515&amp;"','02', '11000003','00','Request by Mr. Omair Ali 22-Oct-2024 allocation 22Oct240201');"</f>
        <v>('22Oct240201','040000181828','8800',(select max(to_number(i.premium_rcv_detail_code))+1
from ins_premium_det i),'8800','8800','02', '11000003','00','Request by Mr. Omair Ali 22-Oct-2024 allocation 22Oct240201');</v>
      </c>
      <c r="H515" s="54" t="str">
        <f t="shared" ref="H515:H578" si="26">F515&amp;G515</f>
        <v>insert into ins_premium_det (premium_rcv_code,assorted_code, rec_amount,premium_rcv_detail_code,remaining_amt, payrec, mode_code,coinsurance_code,class_cd,it_remarks) values('22Oct240201','040000181828','8800',(select max(to_number(i.premium_rcv_detail_code))+1
from ins_premium_det i),'8800','8800','02', '11000003','00','Request by Mr. Omair Ali 22-Oct-2024 allocation 22Oct240201');</v>
      </c>
    </row>
    <row r="516" spans="1:8" ht="105" x14ac:dyDescent="0.25">
      <c r="A516" t="s">
        <v>644</v>
      </c>
      <c r="B516" s="51" t="str">
        <f>VLOOKUP(A516,policy!B:C,2,0)</f>
        <v>040000181829</v>
      </c>
      <c r="C516" s="46">
        <v>8800</v>
      </c>
      <c r="D516" s="46">
        <v>8800</v>
      </c>
      <c r="E516" s="50" t="s">
        <v>3673</v>
      </c>
      <c r="F516" s="52" t="str">
        <f t="shared" si="24"/>
        <v>insert into ins_premium_det (premium_rcv_code,assorted_code, rec_amount,premium_rcv_detail_code,remaining_amt, payrec, mode_code,coinsurance_code,class_cd,it_remarks) values</v>
      </c>
      <c r="G516" s="53" t="str">
        <f t="shared" si="25"/>
        <v>('22Oct240201','040000181829','8800',(select max(to_number(i.premium_rcv_detail_code))+1
from ins_premium_det i),'8800','8800','02', '11000003','00','Request by Mr. Omair Ali 22-Oct-2024 allocation 22Oct240201');</v>
      </c>
      <c r="H516" s="54" t="str">
        <f t="shared" si="26"/>
        <v>insert into ins_premium_det (premium_rcv_code,assorted_code, rec_amount,premium_rcv_detail_code,remaining_amt, payrec, mode_code,coinsurance_code,class_cd,it_remarks) values('22Oct240201','040000181829','8800',(select max(to_number(i.premium_rcv_detail_code))+1
from ins_premium_det i),'8800','8800','02', '11000003','00','Request by Mr. Omair Ali 22-Oct-2024 allocation 22Oct240201');</v>
      </c>
    </row>
    <row r="517" spans="1:8" ht="105" x14ac:dyDescent="0.25">
      <c r="A517" t="s">
        <v>645</v>
      </c>
      <c r="B517" s="51" t="str">
        <f>VLOOKUP(A517,policy!B:C,2,0)</f>
        <v>040000181830</v>
      </c>
      <c r="C517" s="46">
        <v>16235</v>
      </c>
      <c r="D517" s="46">
        <v>16235</v>
      </c>
      <c r="E517" s="50" t="s">
        <v>3673</v>
      </c>
      <c r="F517" s="52" t="str">
        <f t="shared" si="24"/>
        <v>insert into ins_premium_det (premium_rcv_code,assorted_code, rec_amount,premium_rcv_detail_code,remaining_amt, payrec, mode_code,coinsurance_code,class_cd,it_remarks) values</v>
      </c>
      <c r="G517" s="53" t="str">
        <f t="shared" si="25"/>
        <v>('22Oct240201','040000181830','16235',(select max(to_number(i.premium_rcv_detail_code))+1
from ins_premium_det i),'16235','16235','02', '11000003','00','Request by Mr. Omair Ali 22-Oct-2024 allocation 22Oct240201');</v>
      </c>
      <c r="H517" s="54" t="str">
        <f t="shared" si="26"/>
        <v>insert into ins_premium_det (premium_rcv_code,assorted_code, rec_amount,premium_rcv_detail_code,remaining_amt, payrec, mode_code,coinsurance_code,class_cd,it_remarks) values('22Oct240201','040000181830','16235',(select max(to_number(i.premium_rcv_detail_code))+1
from ins_premium_det i),'16235','16235','02', '11000003','00','Request by Mr. Omair Ali 22-Oct-2024 allocation 22Oct240201');</v>
      </c>
    </row>
    <row r="518" spans="1:8" ht="105" x14ac:dyDescent="0.25">
      <c r="A518" t="s">
        <v>646</v>
      </c>
      <c r="B518" s="51" t="str">
        <f>VLOOKUP(A518,policy!B:C,2,0)</f>
        <v>040000181831</v>
      </c>
      <c r="C518" s="46">
        <v>16235</v>
      </c>
      <c r="D518" s="46">
        <v>16235</v>
      </c>
      <c r="E518" s="50" t="s">
        <v>3673</v>
      </c>
      <c r="F518" s="52" t="str">
        <f t="shared" si="24"/>
        <v>insert into ins_premium_det (premium_rcv_code,assorted_code, rec_amount,premium_rcv_detail_code,remaining_amt, payrec, mode_code,coinsurance_code,class_cd,it_remarks) values</v>
      </c>
      <c r="G518" s="53" t="str">
        <f t="shared" si="25"/>
        <v>('22Oct240201','040000181831','16235',(select max(to_number(i.premium_rcv_detail_code))+1
from ins_premium_det i),'16235','16235','02', '11000003','00','Request by Mr. Omair Ali 22-Oct-2024 allocation 22Oct240201');</v>
      </c>
      <c r="H518" s="54" t="str">
        <f t="shared" si="26"/>
        <v>insert into ins_premium_det (premium_rcv_code,assorted_code, rec_amount,premium_rcv_detail_code,remaining_amt, payrec, mode_code,coinsurance_code,class_cd,it_remarks) values('22Oct240201','040000181831','16235',(select max(to_number(i.premium_rcv_detail_code))+1
from ins_premium_det i),'16235','16235','02', '11000003','00','Request by Mr. Omair Ali 22-Oct-2024 allocation 22Oct240201');</v>
      </c>
    </row>
    <row r="519" spans="1:8" ht="105" x14ac:dyDescent="0.25">
      <c r="A519" t="s">
        <v>647</v>
      </c>
      <c r="B519" s="51" t="str">
        <f>VLOOKUP(A519,policy!B:C,2,0)</f>
        <v>040000181833</v>
      </c>
      <c r="C519" s="46">
        <v>13675</v>
      </c>
      <c r="D519" s="46">
        <v>13675</v>
      </c>
      <c r="E519" s="50" t="s">
        <v>3673</v>
      </c>
      <c r="F519" s="52" t="str">
        <f t="shared" si="24"/>
        <v>insert into ins_premium_det (premium_rcv_code,assorted_code, rec_amount,premium_rcv_detail_code,remaining_amt, payrec, mode_code,coinsurance_code,class_cd,it_remarks) values</v>
      </c>
      <c r="G519" s="53" t="str">
        <f t="shared" si="25"/>
        <v>('22Oct240201','040000181833','13675',(select max(to_number(i.premium_rcv_detail_code))+1
from ins_premium_det i),'13675','13675','02', '11000003','00','Request by Mr. Omair Ali 22-Oct-2024 allocation 22Oct240201');</v>
      </c>
      <c r="H519" s="54" t="str">
        <f t="shared" si="26"/>
        <v>insert into ins_premium_det (premium_rcv_code,assorted_code, rec_amount,premium_rcv_detail_code,remaining_amt, payrec, mode_code,coinsurance_code,class_cd,it_remarks) values('22Oct240201','040000181833','13675',(select max(to_number(i.premium_rcv_detail_code))+1
from ins_premium_det i),'13675','13675','02', '11000003','00','Request by Mr. Omair Ali 22-Oct-2024 allocation 22Oct240201');</v>
      </c>
    </row>
    <row r="520" spans="1:8" ht="105" x14ac:dyDescent="0.25">
      <c r="A520" t="s">
        <v>648</v>
      </c>
      <c r="B520" s="51" t="str">
        <f>VLOOKUP(A520,policy!B:C,2,0)</f>
        <v>040000181837</v>
      </c>
      <c r="C520" s="46">
        <v>9550</v>
      </c>
      <c r="D520" s="46">
        <v>9550</v>
      </c>
      <c r="E520" s="50" t="s">
        <v>3673</v>
      </c>
      <c r="F520" s="52" t="str">
        <f t="shared" si="24"/>
        <v>insert into ins_premium_det (premium_rcv_code,assorted_code, rec_amount,premium_rcv_detail_code,remaining_amt, payrec, mode_code,coinsurance_code,class_cd,it_remarks) values</v>
      </c>
      <c r="G520" s="53" t="str">
        <f t="shared" si="25"/>
        <v>('22Oct240201','040000181837','9550',(select max(to_number(i.premium_rcv_detail_code))+1
from ins_premium_det i),'9550','9550','02', '11000003','00','Request by Mr. Omair Ali 22-Oct-2024 allocation 22Oct240201');</v>
      </c>
      <c r="H520" s="54" t="str">
        <f t="shared" si="26"/>
        <v>insert into ins_premium_det (premium_rcv_code,assorted_code, rec_amount,premium_rcv_detail_code,remaining_amt, payrec, mode_code,coinsurance_code,class_cd,it_remarks) values('22Oct240201','040000181837','9550',(select max(to_number(i.premium_rcv_detail_code))+1
from ins_premium_det i),'9550','9550','02', '11000003','00','Request by Mr. Omair Ali 22-Oct-2024 allocation 22Oct240201');</v>
      </c>
    </row>
    <row r="521" spans="1:8" ht="105" x14ac:dyDescent="0.25">
      <c r="A521" t="s">
        <v>649</v>
      </c>
      <c r="B521" s="51" t="str">
        <f>VLOOKUP(A521,policy!B:C,2,0)</f>
        <v>040000181838</v>
      </c>
      <c r="C521" s="46">
        <v>8800</v>
      </c>
      <c r="D521" s="46">
        <v>8800</v>
      </c>
      <c r="E521" s="50" t="s">
        <v>3673</v>
      </c>
      <c r="F521" s="52" t="str">
        <f t="shared" si="24"/>
        <v>insert into ins_premium_det (premium_rcv_code,assorted_code, rec_amount,premium_rcv_detail_code,remaining_amt, payrec, mode_code,coinsurance_code,class_cd,it_remarks) values</v>
      </c>
      <c r="G521" s="53" t="str">
        <f t="shared" si="25"/>
        <v>('22Oct240201','040000181838','8800',(select max(to_number(i.premium_rcv_detail_code))+1
from ins_premium_det i),'8800','8800','02', '11000003','00','Request by Mr. Omair Ali 22-Oct-2024 allocation 22Oct240201');</v>
      </c>
      <c r="H521" s="54" t="str">
        <f t="shared" si="26"/>
        <v>insert into ins_premium_det (premium_rcv_code,assorted_code, rec_amount,premium_rcv_detail_code,remaining_amt, payrec, mode_code,coinsurance_code,class_cd,it_remarks) values('22Oct240201','040000181838','8800',(select max(to_number(i.premium_rcv_detail_code))+1
from ins_premium_det i),'8800','8800','02', '11000003','00','Request by Mr. Omair Ali 22-Oct-2024 allocation 22Oct240201');</v>
      </c>
    </row>
    <row r="522" spans="1:8" ht="105" x14ac:dyDescent="0.25">
      <c r="A522" t="s">
        <v>650</v>
      </c>
      <c r="B522" s="51" t="str">
        <f>VLOOKUP(A522,policy!B:C,2,0)</f>
        <v>040000181841</v>
      </c>
      <c r="C522" s="46">
        <v>8800</v>
      </c>
      <c r="D522" s="46">
        <v>8800</v>
      </c>
      <c r="E522" s="50" t="s">
        <v>3673</v>
      </c>
      <c r="F522" s="52" t="str">
        <f t="shared" si="24"/>
        <v>insert into ins_premium_det (premium_rcv_code,assorted_code, rec_amount,premium_rcv_detail_code,remaining_amt, payrec, mode_code,coinsurance_code,class_cd,it_remarks) values</v>
      </c>
      <c r="G522" s="53" t="str">
        <f t="shared" si="25"/>
        <v>('22Oct240201','040000181841','8800',(select max(to_number(i.premium_rcv_detail_code))+1
from ins_premium_det i),'8800','8800','02', '11000003','00','Request by Mr. Omair Ali 22-Oct-2024 allocation 22Oct240201');</v>
      </c>
      <c r="H522" s="54" t="str">
        <f t="shared" si="26"/>
        <v>insert into ins_premium_det (premium_rcv_code,assorted_code, rec_amount,premium_rcv_detail_code,remaining_amt, payrec, mode_code,coinsurance_code,class_cd,it_remarks) values('22Oct240201','040000181841','8800',(select max(to_number(i.premium_rcv_detail_code))+1
from ins_premium_det i),'8800','8800','02', '11000003','00','Request by Mr. Omair Ali 22-Oct-2024 allocation 22Oct240201');</v>
      </c>
    </row>
    <row r="523" spans="1:8" ht="105" x14ac:dyDescent="0.25">
      <c r="A523" t="s">
        <v>651</v>
      </c>
      <c r="B523" s="51" t="str">
        <f>VLOOKUP(A523,policy!B:C,2,0)</f>
        <v>040000181842</v>
      </c>
      <c r="C523" s="46">
        <v>8800</v>
      </c>
      <c r="D523" s="46">
        <v>8800</v>
      </c>
      <c r="E523" s="50" t="s">
        <v>3673</v>
      </c>
      <c r="F523" s="52" t="str">
        <f t="shared" si="24"/>
        <v>insert into ins_premium_det (premium_rcv_code,assorted_code, rec_amount,premium_rcv_detail_code,remaining_amt, payrec, mode_code,coinsurance_code,class_cd,it_remarks) values</v>
      </c>
      <c r="G523" s="53" t="str">
        <f t="shared" si="25"/>
        <v>('22Oct240201','040000181842','8800',(select max(to_number(i.premium_rcv_detail_code))+1
from ins_premium_det i),'8800','8800','02', '11000003','00','Request by Mr. Omair Ali 22-Oct-2024 allocation 22Oct240201');</v>
      </c>
      <c r="H523" s="54" t="str">
        <f t="shared" si="26"/>
        <v>insert into ins_premium_det (premium_rcv_code,assorted_code, rec_amount,premium_rcv_detail_code,remaining_amt, payrec, mode_code,coinsurance_code,class_cd,it_remarks) values('22Oct240201','040000181842','8800',(select max(to_number(i.premium_rcv_detail_code))+1
from ins_premium_det i),'8800','8800','02', '11000003','00','Request by Mr. Omair Ali 22-Oct-2024 allocation 22Oct240201');</v>
      </c>
    </row>
    <row r="524" spans="1:8" ht="105" x14ac:dyDescent="0.25">
      <c r="A524" t="s">
        <v>652</v>
      </c>
      <c r="B524" s="51" t="str">
        <f>VLOOKUP(A524,policy!B:C,2,0)</f>
        <v>040000181843</v>
      </c>
      <c r="C524" s="46">
        <v>23248</v>
      </c>
      <c r="D524" s="46">
        <v>23248</v>
      </c>
      <c r="E524" s="50" t="s">
        <v>3673</v>
      </c>
      <c r="F524" s="52" t="str">
        <f t="shared" si="24"/>
        <v>insert into ins_premium_det (premium_rcv_code,assorted_code, rec_amount,premium_rcv_detail_code,remaining_amt, payrec, mode_code,coinsurance_code,class_cd,it_remarks) values</v>
      </c>
      <c r="G524" s="53" t="str">
        <f t="shared" si="25"/>
        <v>('22Oct240201','040000181843','23248',(select max(to_number(i.premium_rcv_detail_code))+1
from ins_premium_det i),'23248','23248','02', '11000003','00','Request by Mr. Omair Ali 22-Oct-2024 allocation 22Oct240201');</v>
      </c>
      <c r="H524" s="54" t="str">
        <f t="shared" si="26"/>
        <v>insert into ins_premium_det (premium_rcv_code,assorted_code, rec_amount,premium_rcv_detail_code,remaining_amt, payrec, mode_code,coinsurance_code,class_cd,it_remarks) values('22Oct240201','040000181843','23248',(select max(to_number(i.premium_rcv_detail_code))+1
from ins_premium_det i),'23248','23248','02', '11000003','00','Request by Mr. Omair Ali 22-Oct-2024 allocation 22Oct240201');</v>
      </c>
    </row>
    <row r="525" spans="1:8" ht="105" x14ac:dyDescent="0.25">
      <c r="A525" t="s">
        <v>653</v>
      </c>
      <c r="B525" s="51" t="str">
        <f>VLOOKUP(A525,policy!B:C,2,0)</f>
        <v>040000181845</v>
      </c>
      <c r="C525" s="46">
        <v>8800</v>
      </c>
      <c r="D525" s="46">
        <v>8800</v>
      </c>
      <c r="E525" s="50" t="s">
        <v>3673</v>
      </c>
      <c r="F525" s="52" t="str">
        <f t="shared" si="24"/>
        <v>insert into ins_premium_det (premium_rcv_code,assorted_code, rec_amount,premium_rcv_detail_code,remaining_amt, payrec, mode_code,coinsurance_code,class_cd,it_remarks) values</v>
      </c>
      <c r="G525" s="53" t="str">
        <f t="shared" si="25"/>
        <v>('22Oct240201','040000181845','8800',(select max(to_number(i.premium_rcv_detail_code))+1
from ins_premium_det i),'8800','8800','02', '11000003','00','Request by Mr. Omair Ali 22-Oct-2024 allocation 22Oct240201');</v>
      </c>
      <c r="H525" s="54" t="str">
        <f t="shared" si="26"/>
        <v>insert into ins_premium_det (premium_rcv_code,assorted_code, rec_amount,premium_rcv_detail_code,remaining_amt, payrec, mode_code,coinsurance_code,class_cd,it_remarks) values('22Oct240201','040000181845','8800',(select max(to_number(i.premium_rcv_detail_code))+1
from ins_premium_det i),'8800','8800','02', '11000003','00','Request by Mr. Omair Ali 22-Oct-2024 allocation 22Oct240201');</v>
      </c>
    </row>
    <row r="526" spans="1:8" ht="105" x14ac:dyDescent="0.25">
      <c r="A526" t="s">
        <v>654</v>
      </c>
      <c r="B526" s="51" t="str">
        <f>VLOOKUP(A526,policy!B:C,2,0)</f>
        <v>040000181846</v>
      </c>
      <c r="C526" s="46">
        <v>8800</v>
      </c>
      <c r="D526" s="46">
        <v>8800</v>
      </c>
      <c r="E526" s="50" t="s">
        <v>3673</v>
      </c>
      <c r="F526" s="52" t="str">
        <f t="shared" si="24"/>
        <v>insert into ins_premium_det (premium_rcv_code,assorted_code, rec_amount,premium_rcv_detail_code,remaining_amt, payrec, mode_code,coinsurance_code,class_cd,it_remarks) values</v>
      </c>
      <c r="G526" s="53" t="str">
        <f t="shared" si="25"/>
        <v>('22Oct240201','040000181846','8800',(select max(to_number(i.premium_rcv_detail_code))+1
from ins_premium_det i),'8800','8800','02', '11000003','00','Request by Mr. Omair Ali 22-Oct-2024 allocation 22Oct240201');</v>
      </c>
      <c r="H526" s="54" t="str">
        <f t="shared" si="26"/>
        <v>insert into ins_premium_det (premium_rcv_code,assorted_code, rec_amount,premium_rcv_detail_code,remaining_amt, payrec, mode_code,coinsurance_code,class_cd,it_remarks) values('22Oct240201','040000181846','8800',(select max(to_number(i.premium_rcv_detail_code))+1
from ins_premium_det i),'8800','8800','02', '11000003','00','Request by Mr. Omair Ali 22-Oct-2024 allocation 22Oct240201');</v>
      </c>
    </row>
    <row r="527" spans="1:8" ht="105" x14ac:dyDescent="0.25">
      <c r="A527" t="s">
        <v>655</v>
      </c>
      <c r="B527" s="51" t="str">
        <f>VLOOKUP(A527,policy!B:C,2,0)</f>
        <v>040000181847</v>
      </c>
      <c r="C527" s="46">
        <v>8800</v>
      </c>
      <c r="D527" s="46">
        <v>8800</v>
      </c>
      <c r="E527" s="50" t="s">
        <v>3673</v>
      </c>
      <c r="F527" s="52" t="str">
        <f t="shared" si="24"/>
        <v>insert into ins_premium_det (premium_rcv_code,assorted_code, rec_amount,premium_rcv_detail_code,remaining_amt, payrec, mode_code,coinsurance_code,class_cd,it_remarks) values</v>
      </c>
      <c r="G527" s="53" t="str">
        <f t="shared" si="25"/>
        <v>('22Oct240201','040000181847','8800',(select max(to_number(i.premium_rcv_detail_code))+1
from ins_premium_det i),'8800','8800','02', '11000003','00','Request by Mr. Omair Ali 22-Oct-2024 allocation 22Oct240201');</v>
      </c>
      <c r="H527" s="54" t="str">
        <f t="shared" si="26"/>
        <v>insert into ins_premium_det (premium_rcv_code,assorted_code, rec_amount,premium_rcv_detail_code,remaining_amt, payrec, mode_code,coinsurance_code,class_cd,it_remarks) values('22Oct240201','040000181847','8800',(select max(to_number(i.premium_rcv_detail_code))+1
from ins_premium_det i),'8800','8800','02', '11000003','00','Request by Mr. Omair Ali 22-Oct-2024 allocation 22Oct240201');</v>
      </c>
    </row>
    <row r="528" spans="1:8" ht="105" x14ac:dyDescent="0.25">
      <c r="A528" t="s">
        <v>656</v>
      </c>
      <c r="B528" s="51" t="str">
        <f>VLOOKUP(A528,policy!B:C,2,0)</f>
        <v>040000181848</v>
      </c>
      <c r="C528" s="46">
        <v>16235</v>
      </c>
      <c r="D528" s="46">
        <v>16235</v>
      </c>
      <c r="E528" s="50" t="s">
        <v>3673</v>
      </c>
      <c r="F528" s="52" t="str">
        <f t="shared" si="24"/>
        <v>insert into ins_premium_det (premium_rcv_code,assorted_code, rec_amount,premium_rcv_detail_code,remaining_amt, payrec, mode_code,coinsurance_code,class_cd,it_remarks) values</v>
      </c>
      <c r="G528" s="53" t="str">
        <f t="shared" si="25"/>
        <v>('22Oct240201','040000181848','16235',(select max(to_number(i.premium_rcv_detail_code))+1
from ins_premium_det i),'16235','16235','02', '11000003','00','Request by Mr. Omair Ali 22-Oct-2024 allocation 22Oct240201');</v>
      </c>
      <c r="H528" s="54" t="str">
        <f t="shared" si="26"/>
        <v>insert into ins_premium_det (premium_rcv_code,assorted_code, rec_amount,premium_rcv_detail_code,remaining_amt, payrec, mode_code,coinsurance_code,class_cd,it_remarks) values('22Oct240201','040000181848','16235',(select max(to_number(i.premium_rcv_detail_code))+1
from ins_premium_det i),'16235','16235','02', '11000003','00','Request by Mr. Omair Ali 22-Oct-2024 allocation 22Oct240201');</v>
      </c>
    </row>
    <row r="529" spans="1:8" ht="105" x14ac:dyDescent="0.25">
      <c r="A529" t="s">
        <v>657</v>
      </c>
      <c r="B529" s="51" t="str">
        <f>VLOOKUP(A529,policy!B:C,2,0)</f>
        <v>040000181849</v>
      </c>
      <c r="C529" s="46">
        <v>16235</v>
      </c>
      <c r="D529" s="46">
        <v>16235</v>
      </c>
      <c r="E529" s="50" t="s">
        <v>3673</v>
      </c>
      <c r="F529" s="52" t="str">
        <f t="shared" si="24"/>
        <v>insert into ins_premium_det (premium_rcv_code,assorted_code, rec_amount,premium_rcv_detail_code,remaining_amt, payrec, mode_code,coinsurance_code,class_cd,it_remarks) values</v>
      </c>
      <c r="G529" s="53" t="str">
        <f t="shared" si="25"/>
        <v>('22Oct240201','040000181849','16235',(select max(to_number(i.premium_rcv_detail_code))+1
from ins_premium_det i),'16235','16235','02', '11000003','00','Request by Mr. Omair Ali 22-Oct-2024 allocation 22Oct240201');</v>
      </c>
      <c r="H529" s="54" t="str">
        <f t="shared" si="26"/>
        <v>insert into ins_premium_det (premium_rcv_code,assorted_code, rec_amount,premium_rcv_detail_code,remaining_amt, payrec, mode_code,coinsurance_code,class_cd,it_remarks) values('22Oct240201','040000181849','16235',(select max(to_number(i.premium_rcv_detail_code))+1
from ins_premium_det i),'16235','16235','02', '11000003','00','Request by Mr. Omair Ali 22-Oct-2024 allocation 22Oct240201');</v>
      </c>
    </row>
    <row r="530" spans="1:8" ht="105" x14ac:dyDescent="0.25">
      <c r="A530" t="s">
        <v>658</v>
      </c>
      <c r="B530" s="51" t="str">
        <f>VLOOKUP(A530,policy!B:C,2,0)</f>
        <v>040000181853</v>
      </c>
      <c r="C530" s="46">
        <v>8800</v>
      </c>
      <c r="D530" s="46">
        <v>8800</v>
      </c>
      <c r="E530" s="50" t="s">
        <v>3673</v>
      </c>
      <c r="F530" s="52" t="str">
        <f t="shared" si="24"/>
        <v>insert into ins_premium_det (premium_rcv_code,assorted_code, rec_amount,premium_rcv_detail_code,remaining_amt, payrec, mode_code,coinsurance_code,class_cd,it_remarks) values</v>
      </c>
      <c r="G530" s="53" t="str">
        <f t="shared" si="25"/>
        <v>('22Oct240201','040000181853','8800',(select max(to_number(i.premium_rcv_detail_code))+1
from ins_premium_det i),'8800','8800','02', '11000003','00','Request by Mr. Omair Ali 22-Oct-2024 allocation 22Oct240201');</v>
      </c>
      <c r="H530" s="54" t="str">
        <f t="shared" si="26"/>
        <v>insert into ins_premium_det (premium_rcv_code,assorted_code, rec_amount,premium_rcv_detail_code,remaining_amt, payrec, mode_code,coinsurance_code,class_cd,it_remarks) values('22Oct240201','040000181853','8800',(select max(to_number(i.premium_rcv_detail_code))+1
from ins_premium_det i),'8800','8800','02', '11000003','00','Request by Mr. Omair Ali 22-Oct-2024 allocation 22Oct240201');</v>
      </c>
    </row>
    <row r="531" spans="1:8" ht="105" x14ac:dyDescent="0.25">
      <c r="A531" t="s">
        <v>659</v>
      </c>
      <c r="B531" s="51" t="str">
        <f>VLOOKUP(A531,policy!B:C,2,0)</f>
        <v>040000181854</v>
      </c>
      <c r="C531" s="46">
        <v>14960</v>
      </c>
      <c r="D531" s="46">
        <v>14960</v>
      </c>
      <c r="E531" s="50" t="s">
        <v>3673</v>
      </c>
      <c r="F531" s="52" t="str">
        <f t="shared" si="24"/>
        <v>insert into ins_premium_det (premium_rcv_code,assorted_code, rec_amount,premium_rcv_detail_code,remaining_amt, payrec, mode_code,coinsurance_code,class_cd,it_remarks) values</v>
      </c>
      <c r="G531" s="53" t="str">
        <f t="shared" si="25"/>
        <v>('22Oct240201','040000181854','14960',(select max(to_number(i.premium_rcv_detail_code))+1
from ins_premium_det i),'14960','14960','02', '11000003','00','Request by Mr. Omair Ali 22-Oct-2024 allocation 22Oct240201');</v>
      </c>
      <c r="H531" s="54" t="str">
        <f t="shared" si="26"/>
        <v>insert into ins_premium_det (premium_rcv_code,assorted_code, rec_amount,premium_rcv_detail_code,remaining_amt, payrec, mode_code,coinsurance_code,class_cd,it_remarks) values('22Oct240201','040000181854','14960',(select max(to_number(i.premium_rcv_detail_code))+1
from ins_premium_det i),'14960','14960','02', '11000003','00','Request by Mr. Omair Ali 22-Oct-2024 allocation 22Oct240201');</v>
      </c>
    </row>
    <row r="532" spans="1:8" ht="105" x14ac:dyDescent="0.25">
      <c r="A532" t="s">
        <v>660</v>
      </c>
      <c r="B532" s="51" t="str">
        <f>VLOOKUP(A532,policy!B:C,2,0)</f>
        <v>040000181855</v>
      </c>
      <c r="C532" s="46">
        <v>14960</v>
      </c>
      <c r="D532" s="46">
        <v>14960</v>
      </c>
      <c r="E532" s="50" t="s">
        <v>3673</v>
      </c>
      <c r="F532" s="52" t="str">
        <f t="shared" si="24"/>
        <v>insert into ins_premium_det (premium_rcv_code,assorted_code, rec_amount,premium_rcv_detail_code,remaining_amt, payrec, mode_code,coinsurance_code,class_cd,it_remarks) values</v>
      </c>
      <c r="G532" s="53" t="str">
        <f t="shared" si="25"/>
        <v>('22Oct240201','040000181855','14960',(select max(to_number(i.premium_rcv_detail_code))+1
from ins_premium_det i),'14960','14960','02', '11000003','00','Request by Mr. Omair Ali 22-Oct-2024 allocation 22Oct240201');</v>
      </c>
      <c r="H532" s="54" t="str">
        <f t="shared" si="26"/>
        <v>insert into ins_premium_det (premium_rcv_code,assorted_code, rec_amount,premium_rcv_detail_code,remaining_amt, payrec, mode_code,coinsurance_code,class_cd,it_remarks) values('22Oct240201','040000181855','14960',(select max(to_number(i.premium_rcv_detail_code))+1
from ins_premium_det i),'14960','14960','02', '11000003','00','Request by Mr. Omair Ali 22-Oct-2024 allocation 22Oct240201');</v>
      </c>
    </row>
    <row r="533" spans="1:8" ht="105" x14ac:dyDescent="0.25">
      <c r="A533" t="s">
        <v>661</v>
      </c>
      <c r="B533" s="51" t="str">
        <f>VLOOKUP(A533,policy!B:C,2,0)</f>
        <v>040000181858</v>
      </c>
      <c r="C533" s="46">
        <v>9550</v>
      </c>
      <c r="D533" s="46">
        <v>9550</v>
      </c>
      <c r="E533" s="50" t="s">
        <v>3673</v>
      </c>
      <c r="F533" s="52" t="str">
        <f t="shared" si="24"/>
        <v>insert into ins_premium_det (premium_rcv_code,assorted_code, rec_amount,premium_rcv_detail_code,remaining_amt, payrec, mode_code,coinsurance_code,class_cd,it_remarks) values</v>
      </c>
      <c r="G533" s="53" t="str">
        <f t="shared" si="25"/>
        <v>('22Oct240201','040000181858','9550',(select max(to_number(i.premium_rcv_detail_code))+1
from ins_premium_det i),'9550','9550','02', '11000003','00','Request by Mr. Omair Ali 22-Oct-2024 allocation 22Oct240201');</v>
      </c>
      <c r="H533" s="54" t="str">
        <f t="shared" si="26"/>
        <v>insert into ins_premium_det (premium_rcv_code,assorted_code, rec_amount,premium_rcv_detail_code,remaining_amt, payrec, mode_code,coinsurance_code,class_cd,it_remarks) values('22Oct240201','040000181858','9550',(select max(to_number(i.premium_rcv_detail_code))+1
from ins_premium_det i),'9550','9550','02', '11000003','00','Request by Mr. Omair Ali 22-Oct-2024 allocation 22Oct240201');</v>
      </c>
    </row>
    <row r="534" spans="1:8" ht="105" x14ac:dyDescent="0.25">
      <c r="A534" t="s">
        <v>662</v>
      </c>
      <c r="B534" s="51" t="str">
        <f>VLOOKUP(A534,policy!B:C,2,0)</f>
        <v>040000181859</v>
      </c>
      <c r="C534" s="46">
        <v>14960</v>
      </c>
      <c r="D534" s="46">
        <v>14960</v>
      </c>
      <c r="E534" s="50" t="s">
        <v>3673</v>
      </c>
      <c r="F534" s="52" t="str">
        <f t="shared" si="24"/>
        <v>insert into ins_premium_det (premium_rcv_code,assorted_code, rec_amount,premium_rcv_detail_code,remaining_amt, payrec, mode_code,coinsurance_code,class_cd,it_remarks) values</v>
      </c>
      <c r="G534" s="53" t="str">
        <f t="shared" si="25"/>
        <v>('22Oct240201','040000181859','14960',(select max(to_number(i.premium_rcv_detail_code))+1
from ins_premium_det i),'14960','14960','02', '11000003','00','Request by Mr. Omair Ali 22-Oct-2024 allocation 22Oct240201');</v>
      </c>
      <c r="H534" s="54" t="str">
        <f t="shared" si="26"/>
        <v>insert into ins_premium_det (premium_rcv_code,assorted_code, rec_amount,premium_rcv_detail_code,remaining_amt, payrec, mode_code,coinsurance_code,class_cd,it_remarks) values('22Oct240201','040000181859','14960',(select max(to_number(i.premium_rcv_detail_code))+1
from ins_premium_det i),'14960','14960','02', '11000003','00','Request by Mr. Omair Ali 22-Oct-2024 allocation 22Oct240201');</v>
      </c>
    </row>
    <row r="535" spans="1:8" ht="105" x14ac:dyDescent="0.25">
      <c r="A535" t="s">
        <v>663</v>
      </c>
      <c r="B535" s="51" t="str">
        <f>VLOOKUP(A535,policy!B:C,2,0)</f>
        <v>040000181860</v>
      </c>
      <c r="C535" s="46">
        <v>14960</v>
      </c>
      <c r="D535" s="46">
        <v>14960</v>
      </c>
      <c r="E535" s="50" t="s">
        <v>3673</v>
      </c>
      <c r="F535" s="52" t="str">
        <f t="shared" si="24"/>
        <v>insert into ins_premium_det (premium_rcv_code,assorted_code, rec_amount,premium_rcv_detail_code,remaining_amt, payrec, mode_code,coinsurance_code,class_cd,it_remarks) values</v>
      </c>
      <c r="G535" s="53" t="str">
        <f t="shared" si="25"/>
        <v>('22Oct240201','040000181860','14960',(select max(to_number(i.premium_rcv_detail_code))+1
from ins_premium_det i),'14960','14960','02', '11000003','00','Request by Mr. Omair Ali 22-Oct-2024 allocation 22Oct240201');</v>
      </c>
      <c r="H535" s="54" t="str">
        <f t="shared" si="26"/>
        <v>insert into ins_premium_det (premium_rcv_code,assorted_code, rec_amount,premium_rcv_detail_code,remaining_amt, payrec, mode_code,coinsurance_code,class_cd,it_remarks) values('22Oct240201','040000181860','14960',(select max(to_number(i.premium_rcv_detail_code))+1
from ins_premium_det i),'14960','14960','02', '11000003','00','Request by Mr. Omair Ali 22-Oct-2024 allocation 22Oct240201');</v>
      </c>
    </row>
    <row r="536" spans="1:8" ht="105" x14ac:dyDescent="0.25">
      <c r="A536" t="s">
        <v>664</v>
      </c>
      <c r="B536" s="51" t="str">
        <f>VLOOKUP(A536,policy!B:C,2,0)</f>
        <v>040000181861</v>
      </c>
      <c r="C536" s="46">
        <v>14960</v>
      </c>
      <c r="D536" s="46">
        <v>14960</v>
      </c>
      <c r="E536" s="50" t="s">
        <v>3673</v>
      </c>
      <c r="F536" s="52" t="str">
        <f t="shared" si="24"/>
        <v>insert into ins_premium_det (premium_rcv_code,assorted_code, rec_amount,premium_rcv_detail_code,remaining_amt, payrec, mode_code,coinsurance_code,class_cd,it_remarks) values</v>
      </c>
      <c r="G536" s="53" t="str">
        <f t="shared" si="25"/>
        <v>('22Oct240201','040000181861','14960',(select max(to_number(i.premium_rcv_detail_code))+1
from ins_premium_det i),'14960','14960','02', '11000003','00','Request by Mr. Omair Ali 22-Oct-2024 allocation 22Oct240201');</v>
      </c>
      <c r="H536" s="54" t="str">
        <f t="shared" si="26"/>
        <v>insert into ins_premium_det (premium_rcv_code,assorted_code, rec_amount,premium_rcv_detail_code,remaining_amt, payrec, mode_code,coinsurance_code,class_cd,it_remarks) values('22Oct240201','040000181861','14960',(select max(to_number(i.premium_rcv_detail_code))+1
from ins_premium_det i),'14960','14960','02', '11000003','00','Request by Mr. Omair Ali 22-Oct-2024 allocation 22Oct240201');</v>
      </c>
    </row>
    <row r="537" spans="1:8" ht="105" x14ac:dyDescent="0.25">
      <c r="A537" t="s">
        <v>665</v>
      </c>
      <c r="B537" s="51" t="str">
        <f>VLOOKUP(A537,policy!B:C,2,0)</f>
        <v>040000181862</v>
      </c>
      <c r="C537" s="46">
        <v>9550</v>
      </c>
      <c r="D537" s="46">
        <v>9550</v>
      </c>
      <c r="E537" s="50" t="s">
        <v>3673</v>
      </c>
      <c r="F537" s="52" t="str">
        <f t="shared" si="24"/>
        <v>insert into ins_premium_det (premium_rcv_code,assorted_code, rec_amount,premium_rcv_detail_code,remaining_amt, payrec, mode_code,coinsurance_code,class_cd,it_remarks) values</v>
      </c>
      <c r="G537" s="53" t="str">
        <f t="shared" si="25"/>
        <v>('22Oct240201','040000181862','9550',(select max(to_number(i.premium_rcv_detail_code))+1
from ins_premium_det i),'9550','9550','02', '11000003','00','Request by Mr. Omair Ali 22-Oct-2024 allocation 22Oct240201');</v>
      </c>
      <c r="H537" s="54" t="str">
        <f t="shared" si="26"/>
        <v>insert into ins_premium_det (premium_rcv_code,assorted_code, rec_amount,premium_rcv_detail_code,remaining_amt, payrec, mode_code,coinsurance_code,class_cd,it_remarks) values('22Oct240201','040000181862','9550',(select max(to_number(i.premium_rcv_detail_code))+1
from ins_premium_det i),'9550','9550','02', '11000003','00','Request by Mr. Omair Ali 22-Oct-2024 allocation 22Oct240201');</v>
      </c>
    </row>
    <row r="538" spans="1:8" ht="105" x14ac:dyDescent="0.25">
      <c r="A538" t="s">
        <v>666</v>
      </c>
      <c r="B538" s="51" t="str">
        <f>VLOOKUP(A538,policy!B:C,2,0)</f>
        <v>040000181863</v>
      </c>
      <c r="C538" s="46">
        <v>9550</v>
      </c>
      <c r="D538" s="46">
        <v>9550</v>
      </c>
      <c r="E538" s="50" t="s">
        <v>3673</v>
      </c>
      <c r="F538" s="52" t="str">
        <f t="shared" si="24"/>
        <v>insert into ins_premium_det (premium_rcv_code,assorted_code, rec_amount,premium_rcv_detail_code,remaining_amt, payrec, mode_code,coinsurance_code,class_cd,it_remarks) values</v>
      </c>
      <c r="G538" s="53" t="str">
        <f t="shared" si="25"/>
        <v>('22Oct240201','040000181863','9550',(select max(to_number(i.premium_rcv_detail_code))+1
from ins_premium_det i),'9550','9550','02', '11000003','00','Request by Mr. Omair Ali 22-Oct-2024 allocation 22Oct240201');</v>
      </c>
      <c r="H538" s="54" t="str">
        <f t="shared" si="26"/>
        <v>insert into ins_premium_det (premium_rcv_code,assorted_code, rec_amount,premium_rcv_detail_code,remaining_amt, payrec, mode_code,coinsurance_code,class_cd,it_remarks) values('22Oct240201','040000181863','9550',(select max(to_number(i.premium_rcv_detail_code))+1
from ins_premium_det i),'9550','9550','02', '11000003','00','Request by Mr. Omair Ali 22-Oct-2024 allocation 22Oct240201');</v>
      </c>
    </row>
    <row r="539" spans="1:8" ht="105" x14ac:dyDescent="0.25">
      <c r="A539" t="s">
        <v>667</v>
      </c>
      <c r="B539" s="51" t="str">
        <f>VLOOKUP(A539,policy!B:C,2,0)</f>
        <v>040000181865</v>
      </c>
      <c r="C539" s="46">
        <v>14960</v>
      </c>
      <c r="D539" s="46">
        <v>14960</v>
      </c>
      <c r="E539" s="50" t="s">
        <v>3673</v>
      </c>
      <c r="F539" s="52" t="str">
        <f t="shared" si="24"/>
        <v>insert into ins_premium_det (premium_rcv_code,assorted_code, rec_amount,premium_rcv_detail_code,remaining_amt, payrec, mode_code,coinsurance_code,class_cd,it_remarks) values</v>
      </c>
      <c r="G539" s="53" t="str">
        <f t="shared" si="25"/>
        <v>('22Oct240201','040000181865','14960',(select max(to_number(i.premium_rcv_detail_code))+1
from ins_premium_det i),'14960','14960','02', '11000003','00','Request by Mr. Omair Ali 22-Oct-2024 allocation 22Oct240201');</v>
      </c>
      <c r="H539" s="54" t="str">
        <f t="shared" si="26"/>
        <v>insert into ins_premium_det (premium_rcv_code,assorted_code, rec_amount,premium_rcv_detail_code,remaining_amt, payrec, mode_code,coinsurance_code,class_cd,it_remarks) values('22Oct240201','040000181865','14960',(select max(to_number(i.premium_rcv_detail_code))+1
from ins_premium_det i),'14960','14960','02', '11000003','00','Request by Mr. Omair Ali 22-Oct-2024 allocation 22Oct240201');</v>
      </c>
    </row>
    <row r="540" spans="1:8" ht="105" x14ac:dyDescent="0.25">
      <c r="A540" t="s">
        <v>668</v>
      </c>
      <c r="B540" s="51" t="str">
        <f>VLOOKUP(A540,policy!B:C,2,0)</f>
        <v>040000181866</v>
      </c>
      <c r="C540" s="46">
        <v>14960</v>
      </c>
      <c r="D540" s="46">
        <v>14960</v>
      </c>
      <c r="E540" s="50" t="s">
        <v>3673</v>
      </c>
      <c r="F540" s="52" t="str">
        <f t="shared" si="24"/>
        <v>insert into ins_premium_det (premium_rcv_code,assorted_code, rec_amount,premium_rcv_detail_code,remaining_amt, payrec, mode_code,coinsurance_code,class_cd,it_remarks) values</v>
      </c>
      <c r="G540" s="53" t="str">
        <f t="shared" si="25"/>
        <v>('22Oct240201','040000181866','14960',(select max(to_number(i.premium_rcv_detail_code))+1
from ins_premium_det i),'14960','14960','02', '11000003','00','Request by Mr. Omair Ali 22-Oct-2024 allocation 22Oct240201');</v>
      </c>
      <c r="H540" s="54" t="str">
        <f t="shared" si="26"/>
        <v>insert into ins_premium_det (premium_rcv_code,assorted_code, rec_amount,premium_rcv_detail_code,remaining_amt, payrec, mode_code,coinsurance_code,class_cd,it_remarks) values('22Oct240201','040000181866','14960',(select max(to_number(i.premium_rcv_detail_code))+1
from ins_premium_det i),'14960','14960','02', '11000003','00','Request by Mr. Omair Ali 22-Oct-2024 allocation 22Oct240201');</v>
      </c>
    </row>
    <row r="541" spans="1:8" ht="105" x14ac:dyDescent="0.25">
      <c r="A541" t="s">
        <v>669</v>
      </c>
      <c r="B541" s="51" t="str">
        <f>VLOOKUP(A541,policy!B:C,2,0)</f>
        <v>040000181867</v>
      </c>
      <c r="C541" s="46">
        <v>9550</v>
      </c>
      <c r="D541" s="46">
        <v>9550</v>
      </c>
      <c r="E541" s="50" t="s">
        <v>3673</v>
      </c>
      <c r="F541" s="52" t="str">
        <f t="shared" si="24"/>
        <v>insert into ins_premium_det (premium_rcv_code,assorted_code, rec_amount,premium_rcv_detail_code,remaining_amt, payrec, mode_code,coinsurance_code,class_cd,it_remarks) values</v>
      </c>
      <c r="G541" s="53" t="str">
        <f t="shared" si="25"/>
        <v>('22Oct240201','040000181867','9550',(select max(to_number(i.premium_rcv_detail_code))+1
from ins_premium_det i),'9550','9550','02', '11000003','00','Request by Mr. Omair Ali 22-Oct-2024 allocation 22Oct240201');</v>
      </c>
      <c r="H541" s="54" t="str">
        <f t="shared" si="26"/>
        <v>insert into ins_premium_det (premium_rcv_code,assorted_code, rec_amount,premium_rcv_detail_code,remaining_amt, payrec, mode_code,coinsurance_code,class_cd,it_remarks) values('22Oct240201','040000181867','9550',(select max(to_number(i.premium_rcv_detail_code))+1
from ins_premium_det i),'9550','9550','02', '11000003','00','Request by Mr. Omair Ali 22-Oct-2024 allocation 22Oct240201');</v>
      </c>
    </row>
    <row r="542" spans="1:8" ht="105" x14ac:dyDescent="0.25">
      <c r="A542" t="s">
        <v>670</v>
      </c>
      <c r="B542" s="51" t="str">
        <f>VLOOKUP(A542,policy!B:C,2,0)</f>
        <v>040000181868</v>
      </c>
      <c r="C542" s="46">
        <v>9550</v>
      </c>
      <c r="D542" s="46">
        <v>9550</v>
      </c>
      <c r="E542" s="50" t="s">
        <v>3673</v>
      </c>
      <c r="F542" s="52" t="str">
        <f t="shared" si="24"/>
        <v>insert into ins_premium_det (premium_rcv_code,assorted_code, rec_amount,premium_rcv_detail_code,remaining_amt, payrec, mode_code,coinsurance_code,class_cd,it_remarks) values</v>
      </c>
      <c r="G542" s="53" t="str">
        <f t="shared" si="25"/>
        <v>('22Oct240201','040000181868','9550',(select max(to_number(i.premium_rcv_detail_code))+1
from ins_premium_det i),'9550','9550','02', '11000003','00','Request by Mr. Omair Ali 22-Oct-2024 allocation 22Oct240201');</v>
      </c>
      <c r="H542" s="54" t="str">
        <f t="shared" si="26"/>
        <v>insert into ins_premium_det (premium_rcv_code,assorted_code, rec_amount,premium_rcv_detail_code,remaining_amt, payrec, mode_code,coinsurance_code,class_cd,it_remarks) values('22Oct240201','040000181868','9550',(select max(to_number(i.premium_rcv_detail_code))+1
from ins_premium_det i),'9550','9550','02', '11000003','00','Request by Mr. Omair Ali 22-Oct-2024 allocation 22Oct240201');</v>
      </c>
    </row>
    <row r="543" spans="1:8" ht="105" x14ac:dyDescent="0.25">
      <c r="A543" t="s">
        <v>671</v>
      </c>
      <c r="B543" s="51" t="str">
        <f>VLOOKUP(A543,policy!B:C,2,0)</f>
        <v>040000181871</v>
      </c>
      <c r="C543" s="46">
        <v>8800</v>
      </c>
      <c r="D543" s="46">
        <v>8800</v>
      </c>
      <c r="E543" s="50" t="s">
        <v>3673</v>
      </c>
      <c r="F543" s="52" t="str">
        <f t="shared" si="24"/>
        <v>insert into ins_premium_det (premium_rcv_code,assorted_code, rec_amount,premium_rcv_detail_code,remaining_amt, payrec, mode_code,coinsurance_code,class_cd,it_remarks) values</v>
      </c>
      <c r="G543" s="53" t="str">
        <f t="shared" si="25"/>
        <v>('22Oct240201','040000181871','8800',(select max(to_number(i.premium_rcv_detail_code))+1
from ins_premium_det i),'8800','8800','02', '11000003','00','Request by Mr. Omair Ali 22-Oct-2024 allocation 22Oct240201');</v>
      </c>
      <c r="H543" s="54" t="str">
        <f t="shared" si="26"/>
        <v>insert into ins_premium_det (premium_rcv_code,assorted_code, rec_amount,premium_rcv_detail_code,remaining_amt, payrec, mode_code,coinsurance_code,class_cd,it_remarks) values('22Oct240201','040000181871','8800',(select max(to_number(i.premium_rcv_detail_code))+1
from ins_premium_det i),'8800','8800','02', '11000003','00','Request by Mr. Omair Ali 22-Oct-2024 allocation 22Oct240201');</v>
      </c>
    </row>
    <row r="544" spans="1:8" ht="105" x14ac:dyDescent="0.25">
      <c r="A544" t="s">
        <v>672</v>
      </c>
      <c r="B544" s="51" t="str">
        <f>VLOOKUP(A544,policy!B:C,2,0)</f>
        <v>040000181878</v>
      </c>
      <c r="C544" s="46">
        <v>21208</v>
      </c>
      <c r="D544" s="46">
        <v>21208</v>
      </c>
      <c r="E544" s="50" t="s">
        <v>3673</v>
      </c>
      <c r="F544" s="52" t="str">
        <f t="shared" si="24"/>
        <v>insert into ins_premium_det (premium_rcv_code,assorted_code, rec_amount,premium_rcv_detail_code,remaining_amt, payrec, mode_code,coinsurance_code,class_cd,it_remarks) values</v>
      </c>
      <c r="G544" s="53" t="str">
        <f t="shared" si="25"/>
        <v>('22Oct240201','040000181878','21208',(select max(to_number(i.premium_rcv_detail_code))+1
from ins_premium_det i),'21208','21208','02', '11000003','00','Request by Mr. Omair Ali 22-Oct-2024 allocation 22Oct240201');</v>
      </c>
      <c r="H544" s="54" t="str">
        <f t="shared" si="26"/>
        <v>insert into ins_premium_det (premium_rcv_code,assorted_code, rec_amount,premium_rcv_detail_code,remaining_amt, payrec, mode_code,coinsurance_code,class_cd,it_remarks) values('22Oct240201','040000181878','21208',(select max(to_number(i.premium_rcv_detail_code))+1
from ins_premium_det i),'21208','21208','02', '11000003','00','Request by Mr. Omair Ali 22-Oct-2024 allocation 22Oct240201');</v>
      </c>
    </row>
    <row r="545" spans="1:8" ht="105" x14ac:dyDescent="0.25">
      <c r="A545" t="s">
        <v>673</v>
      </c>
      <c r="B545" s="51" t="str">
        <f>VLOOKUP(A545,policy!B:C,2,0)</f>
        <v>040000181879</v>
      </c>
      <c r="C545" s="46">
        <v>21208</v>
      </c>
      <c r="D545" s="46">
        <v>21208</v>
      </c>
      <c r="E545" s="50" t="s">
        <v>3673</v>
      </c>
      <c r="F545" s="52" t="str">
        <f t="shared" si="24"/>
        <v>insert into ins_premium_det (premium_rcv_code,assorted_code, rec_amount,premium_rcv_detail_code,remaining_amt, payrec, mode_code,coinsurance_code,class_cd,it_remarks) values</v>
      </c>
      <c r="G545" s="53" t="str">
        <f t="shared" si="25"/>
        <v>('22Oct240201','040000181879','21208',(select max(to_number(i.premium_rcv_detail_code))+1
from ins_premium_det i),'21208','21208','02', '11000003','00','Request by Mr. Omair Ali 22-Oct-2024 allocation 22Oct240201');</v>
      </c>
      <c r="H545" s="54" t="str">
        <f t="shared" si="26"/>
        <v>insert into ins_premium_det (premium_rcv_code,assorted_code, rec_amount,premium_rcv_detail_code,remaining_amt, payrec, mode_code,coinsurance_code,class_cd,it_remarks) values('22Oct240201','040000181879','21208',(select max(to_number(i.premium_rcv_detail_code))+1
from ins_premium_det i),'21208','21208','02', '11000003','00','Request by Mr. Omair Ali 22-Oct-2024 allocation 22Oct240201');</v>
      </c>
    </row>
    <row r="546" spans="1:8" ht="105" x14ac:dyDescent="0.25">
      <c r="A546" t="s">
        <v>674</v>
      </c>
      <c r="B546" s="51" t="str">
        <f>VLOOKUP(A546,policy!B:C,2,0)</f>
        <v>040000181880</v>
      </c>
      <c r="C546" s="46">
        <v>8800</v>
      </c>
      <c r="D546" s="46">
        <v>8800</v>
      </c>
      <c r="E546" s="50" t="s">
        <v>3673</v>
      </c>
      <c r="F546" s="52" t="str">
        <f t="shared" si="24"/>
        <v>insert into ins_premium_det (premium_rcv_code,assorted_code, rec_amount,premium_rcv_detail_code,remaining_amt, payrec, mode_code,coinsurance_code,class_cd,it_remarks) values</v>
      </c>
      <c r="G546" s="53" t="str">
        <f t="shared" si="25"/>
        <v>('22Oct240201','040000181880','8800',(select max(to_number(i.premium_rcv_detail_code))+1
from ins_premium_det i),'8800','8800','02', '11000003','00','Request by Mr. Omair Ali 22-Oct-2024 allocation 22Oct240201');</v>
      </c>
      <c r="H546" s="54" t="str">
        <f t="shared" si="26"/>
        <v>insert into ins_premium_det (premium_rcv_code,assorted_code, rec_amount,premium_rcv_detail_code,remaining_amt, payrec, mode_code,coinsurance_code,class_cd,it_remarks) values('22Oct240201','040000181880','8800',(select max(to_number(i.premium_rcv_detail_code))+1
from ins_premium_det i),'8800','8800','02', '11000003','00','Request by Mr. Omair Ali 22-Oct-2024 allocation 22Oct240201');</v>
      </c>
    </row>
    <row r="547" spans="1:8" ht="105" x14ac:dyDescent="0.25">
      <c r="A547" t="s">
        <v>675</v>
      </c>
      <c r="B547" s="51" t="str">
        <f>VLOOKUP(A547,policy!B:C,2,0)</f>
        <v>040000181881</v>
      </c>
      <c r="C547" s="46">
        <v>8800</v>
      </c>
      <c r="D547" s="46">
        <v>8800</v>
      </c>
      <c r="E547" s="50" t="s">
        <v>3673</v>
      </c>
      <c r="F547" s="52" t="str">
        <f t="shared" si="24"/>
        <v>insert into ins_premium_det (premium_rcv_code,assorted_code, rec_amount,premium_rcv_detail_code,remaining_amt, payrec, mode_code,coinsurance_code,class_cd,it_remarks) values</v>
      </c>
      <c r="G547" s="53" t="str">
        <f t="shared" si="25"/>
        <v>('22Oct240201','040000181881','8800',(select max(to_number(i.premium_rcv_detail_code))+1
from ins_premium_det i),'8800','8800','02', '11000003','00','Request by Mr. Omair Ali 22-Oct-2024 allocation 22Oct240201');</v>
      </c>
      <c r="H547" s="54" t="str">
        <f t="shared" si="26"/>
        <v>insert into ins_premium_det (premium_rcv_code,assorted_code, rec_amount,premium_rcv_detail_code,remaining_amt, payrec, mode_code,coinsurance_code,class_cd,it_remarks) values('22Oct240201','040000181881','8800',(select max(to_number(i.premium_rcv_detail_code))+1
from ins_premium_det i),'8800','8800','02', '11000003','00','Request by Mr. Omair Ali 22-Oct-2024 allocation 22Oct240201');</v>
      </c>
    </row>
    <row r="548" spans="1:8" ht="105" x14ac:dyDescent="0.25">
      <c r="A548" t="s">
        <v>676</v>
      </c>
      <c r="B548" s="51" t="str">
        <f>VLOOKUP(A548,policy!B:C,2,0)</f>
        <v>040000181882</v>
      </c>
      <c r="C548" s="46">
        <v>8800</v>
      </c>
      <c r="D548" s="46">
        <v>8800</v>
      </c>
      <c r="E548" s="50" t="s">
        <v>3673</v>
      </c>
      <c r="F548" s="52" t="str">
        <f t="shared" si="24"/>
        <v>insert into ins_premium_det (premium_rcv_code,assorted_code, rec_amount,premium_rcv_detail_code,remaining_amt, payrec, mode_code,coinsurance_code,class_cd,it_remarks) values</v>
      </c>
      <c r="G548" s="53" t="str">
        <f t="shared" si="25"/>
        <v>('22Oct240201','040000181882','8800',(select max(to_number(i.premium_rcv_detail_code))+1
from ins_premium_det i),'8800','8800','02', '11000003','00','Request by Mr. Omair Ali 22-Oct-2024 allocation 22Oct240201');</v>
      </c>
      <c r="H548" s="54" t="str">
        <f t="shared" si="26"/>
        <v>insert into ins_premium_det (premium_rcv_code,assorted_code, rec_amount,premium_rcv_detail_code,remaining_amt, payrec, mode_code,coinsurance_code,class_cd,it_remarks) values('22Oct240201','040000181882','8800',(select max(to_number(i.premium_rcv_detail_code))+1
from ins_premium_det i),'8800','8800','02', '11000003','00','Request by Mr. Omair Ali 22-Oct-2024 allocation 22Oct240201');</v>
      </c>
    </row>
    <row r="549" spans="1:8" ht="105" x14ac:dyDescent="0.25">
      <c r="A549" t="s">
        <v>677</v>
      </c>
      <c r="B549" s="51" t="str">
        <f>VLOOKUP(A549,policy!B:C,2,0)</f>
        <v>040000181885</v>
      </c>
      <c r="C549" s="46">
        <v>14960</v>
      </c>
      <c r="D549" s="46">
        <v>14960</v>
      </c>
      <c r="E549" s="50" t="s">
        <v>3673</v>
      </c>
      <c r="F549" s="52" t="str">
        <f t="shared" si="24"/>
        <v>insert into ins_premium_det (premium_rcv_code,assorted_code, rec_amount,premium_rcv_detail_code,remaining_amt, payrec, mode_code,coinsurance_code,class_cd,it_remarks) values</v>
      </c>
      <c r="G549" s="53" t="str">
        <f t="shared" si="25"/>
        <v>('22Oct240201','040000181885','14960',(select max(to_number(i.premium_rcv_detail_code))+1
from ins_premium_det i),'14960','14960','02', '11000003','00','Request by Mr. Omair Ali 22-Oct-2024 allocation 22Oct240201');</v>
      </c>
      <c r="H549" s="54" t="str">
        <f t="shared" si="26"/>
        <v>insert into ins_premium_det (premium_rcv_code,assorted_code, rec_amount,premium_rcv_detail_code,remaining_amt, payrec, mode_code,coinsurance_code,class_cd,it_remarks) values('22Oct240201','040000181885','14960',(select max(to_number(i.premium_rcv_detail_code))+1
from ins_premium_det i),'14960','14960','02', '11000003','00','Request by Mr. Omair Ali 22-Oct-2024 allocation 22Oct240201');</v>
      </c>
    </row>
    <row r="550" spans="1:8" ht="105" x14ac:dyDescent="0.25">
      <c r="A550" t="s">
        <v>678</v>
      </c>
      <c r="B550" s="51" t="str">
        <f>VLOOKUP(A550,policy!B:C,2,0)</f>
        <v>040000181886</v>
      </c>
      <c r="C550" s="46">
        <v>14960</v>
      </c>
      <c r="D550" s="46">
        <v>14960</v>
      </c>
      <c r="E550" s="50" t="s">
        <v>3673</v>
      </c>
      <c r="F550" s="52" t="str">
        <f t="shared" si="24"/>
        <v>insert into ins_premium_det (premium_rcv_code,assorted_code, rec_amount,premium_rcv_detail_code,remaining_amt, payrec, mode_code,coinsurance_code,class_cd,it_remarks) values</v>
      </c>
      <c r="G550" s="53" t="str">
        <f t="shared" si="25"/>
        <v>('22Oct240201','040000181886','14960',(select max(to_number(i.premium_rcv_detail_code))+1
from ins_premium_det i),'14960','14960','02', '11000003','00','Request by Mr. Omair Ali 22-Oct-2024 allocation 22Oct240201');</v>
      </c>
      <c r="H550" s="54" t="str">
        <f t="shared" si="26"/>
        <v>insert into ins_premium_det (premium_rcv_code,assorted_code, rec_amount,premium_rcv_detail_code,remaining_amt, payrec, mode_code,coinsurance_code,class_cd,it_remarks) values('22Oct240201','040000181886','14960',(select max(to_number(i.premium_rcv_detail_code))+1
from ins_premium_det i),'14960','14960','02', '11000003','00','Request by Mr. Omair Ali 22-Oct-2024 allocation 22Oct240201');</v>
      </c>
    </row>
    <row r="551" spans="1:8" ht="105" x14ac:dyDescent="0.25">
      <c r="A551" t="s">
        <v>679</v>
      </c>
      <c r="B551" s="51" t="str">
        <f>VLOOKUP(A551,policy!B:C,2,0)</f>
        <v>040000181887</v>
      </c>
      <c r="C551" s="46">
        <v>9550</v>
      </c>
      <c r="D551" s="46">
        <v>9550</v>
      </c>
      <c r="E551" s="50" t="s">
        <v>3673</v>
      </c>
      <c r="F551" s="52" t="str">
        <f t="shared" si="24"/>
        <v>insert into ins_premium_det (premium_rcv_code,assorted_code, rec_amount,premium_rcv_detail_code,remaining_amt, payrec, mode_code,coinsurance_code,class_cd,it_remarks) values</v>
      </c>
      <c r="G551" s="53" t="str">
        <f t="shared" si="25"/>
        <v>('22Oct240201','040000181887','9550',(select max(to_number(i.premium_rcv_detail_code))+1
from ins_premium_det i),'9550','9550','02', '11000003','00','Request by Mr. Omair Ali 22-Oct-2024 allocation 22Oct240201');</v>
      </c>
      <c r="H551" s="54" t="str">
        <f t="shared" si="26"/>
        <v>insert into ins_premium_det (premium_rcv_code,assorted_code, rec_amount,premium_rcv_detail_code,remaining_amt, payrec, mode_code,coinsurance_code,class_cd,it_remarks) values('22Oct240201','040000181887','9550',(select max(to_number(i.premium_rcv_detail_code))+1
from ins_premium_det i),'9550','9550','02', '11000003','00','Request by Mr. Omair Ali 22-Oct-2024 allocation 22Oct240201');</v>
      </c>
    </row>
    <row r="552" spans="1:8" ht="105" x14ac:dyDescent="0.25">
      <c r="A552" t="s">
        <v>680</v>
      </c>
      <c r="B552" s="51" t="str">
        <f>VLOOKUP(A552,policy!B:C,2,0)</f>
        <v>040000181888</v>
      </c>
      <c r="C552" s="46">
        <v>9550</v>
      </c>
      <c r="D552" s="46">
        <v>9550</v>
      </c>
      <c r="E552" s="50" t="s">
        <v>3673</v>
      </c>
      <c r="F552" s="52" t="str">
        <f t="shared" si="24"/>
        <v>insert into ins_premium_det (premium_rcv_code,assorted_code, rec_amount,premium_rcv_detail_code,remaining_amt, payrec, mode_code,coinsurance_code,class_cd,it_remarks) values</v>
      </c>
      <c r="G552" s="53" t="str">
        <f t="shared" si="25"/>
        <v>('22Oct240201','040000181888','9550',(select max(to_number(i.premium_rcv_detail_code))+1
from ins_premium_det i),'9550','9550','02', '11000003','00','Request by Mr. Omair Ali 22-Oct-2024 allocation 22Oct240201');</v>
      </c>
      <c r="H552" s="54" t="str">
        <f t="shared" si="26"/>
        <v>insert into ins_premium_det (premium_rcv_code,assorted_code, rec_amount,premium_rcv_detail_code,remaining_amt, payrec, mode_code,coinsurance_code,class_cd,it_remarks) values('22Oct240201','040000181888','9550',(select max(to_number(i.premium_rcv_detail_code))+1
from ins_premium_det i),'9550','9550','02', '11000003','00','Request by Mr. Omair Ali 22-Oct-2024 allocation 22Oct240201');</v>
      </c>
    </row>
    <row r="553" spans="1:8" ht="105" x14ac:dyDescent="0.25">
      <c r="A553" t="s">
        <v>681</v>
      </c>
      <c r="B553" s="51" t="str">
        <f>VLOOKUP(A553,policy!B:C,2,0)</f>
        <v>040000181890</v>
      </c>
      <c r="C553" s="46">
        <v>8800</v>
      </c>
      <c r="D553" s="46">
        <v>8800</v>
      </c>
      <c r="E553" s="50" t="s">
        <v>3673</v>
      </c>
      <c r="F553" s="52" t="str">
        <f t="shared" si="24"/>
        <v>insert into ins_premium_det (premium_rcv_code,assorted_code, rec_amount,premium_rcv_detail_code,remaining_amt, payrec, mode_code,coinsurance_code,class_cd,it_remarks) values</v>
      </c>
      <c r="G553" s="53" t="str">
        <f t="shared" si="25"/>
        <v>('22Oct240201','040000181890','8800',(select max(to_number(i.premium_rcv_detail_code))+1
from ins_premium_det i),'8800','8800','02', '11000003','00','Request by Mr. Omair Ali 22-Oct-2024 allocation 22Oct240201');</v>
      </c>
      <c r="H553" s="54" t="str">
        <f t="shared" si="26"/>
        <v>insert into ins_premium_det (premium_rcv_code,assorted_code, rec_amount,premium_rcv_detail_code,remaining_amt, payrec, mode_code,coinsurance_code,class_cd,it_remarks) values('22Oct240201','040000181890','8800',(select max(to_number(i.premium_rcv_detail_code))+1
from ins_premium_det i),'8800','8800','02', '11000003','00','Request by Mr. Omair Ali 22-Oct-2024 allocation 22Oct240201');</v>
      </c>
    </row>
    <row r="554" spans="1:8" ht="105" x14ac:dyDescent="0.25">
      <c r="A554" t="s">
        <v>682</v>
      </c>
      <c r="B554" s="51" t="str">
        <f>VLOOKUP(A554,policy!B:C,2,0)</f>
        <v>040000181891</v>
      </c>
      <c r="C554" s="46">
        <v>8800</v>
      </c>
      <c r="D554" s="46">
        <v>8800</v>
      </c>
      <c r="E554" s="50" t="s">
        <v>3673</v>
      </c>
      <c r="F554" s="52" t="str">
        <f t="shared" si="24"/>
        <v>insert into ins_premium_det (premium_rcv_code,assorted_code, rec_amount,premium_rcv_detail_code,remaining_amt, payrec, mode_code,coinsurance_code,class_cd,it_remarks) values</v>
      </c>
      <c r="G554" s="53" t="str">
        <f t="shared" si="25"/>
        <v>('22Oct240201','040000181891','8800',(select max(to_number(i.premium_rcv_detail_code))+1
from ins_premium_det i),'8800','8800','02', '11000003','00','Request by Mr. Omair Ali 22-Oct-2024 allocation 22Oct240201');</v>
      </c>
      <c r="H554" s="54" t="str">
        <f t="shared" si="26"/>
        <v>insert into ins_premium_det (premium_rcv_code,assorted_code, rec_amount,premium_rcv_detail_code,remaining_amt, payrec, mode_code,coinsurance_code,class_cd,it_remarks) values('22Oct240201','040000181891','8800',(select max(to_number(i.premium_rcv_detail_code))+1
from ins_premium_det i),'8800','8800','02', '11000003','00','Request by Mr. Omair Ali 22-Oct-2024 allocation 22Oct240201');</v>
      </c>
    </row>
    <row r="555" spans="1:8" ht="105" x14ac:dyDescent="0.25">
      <c r="A555" t="s">
        <v>683</v>
      </c>
      <c r="B555" s="51" t="str">
        <f>VLOOKUP(A555,policy!B:C,2,0)</f>
        <v>040000181892</v>
      </c>
      <c r="C555" s="46">
        <v>8800</v>
      </c>
      <c r="D555" s="46">
        <v>8800</v>
      </c>
      <c r="E555" s="50" t="s">
        <v>3673</v>
      </c>
      <c r="F555" s="52" t="str">
        <f t="shared" si="24"/>
        <v>insert into ins_premium_det (premium_rcv_code,assorted_code, rec_amount,premium_rcv_detail_code,remaining_amt, payrec, mode_code,coinsurance_code,class_cd,it_remarks) values</v>
      </c>
      <c r="G555" s="53" t="str">
        <f t="shared" si="25"/>
        <v>('22Oct240201','040000181892','8800',(select max(to_number(i.premium_rcv_detail_code))+1
from ins_premium_det i),'8800','8800','02', '11000003','00','Request by Mr. Omair Ali 22-Oct-2024 allocation 22Oct240201');</v>
      </c>
      <c r="H555" s="54" t="str">
        <f t="shared" si="26"/>
        <v>insert into ins_premium_det (premium_rcv_code,assorted_code, rec_amount,premium_rcv_detail_code,remaining_amt, payrec, mode_code,coinsurance_code,class_cd,it_remarks) values('22Oct240201','040000181892','8800',(select max(to_number(i.premium_rcv_detail_code))+1
from ins_premium_det i),'8800','8800','02', '11000003','00','Request by Mr. Omair Ali 22-Oct-2024 allocation 22Oct240201');</v>
      </c>
    </row>
    <row r="556" spans="1:8" ht="105" x14ac:dyDescent="0.25">
      <c r="A556" t="s">
        <v>684</v>
      </c>
      <c r="B556" s="51" t="str">
        <f>VLOOKUP(A556,policy!B:C,2,0)</f>
        <v>040000181895</v>
      </c>
      <c r="C556" s="46">
        <v>14960</v>
      </c>
      <c r="D556" s="46">
        <v>14960</v>
      </c>
      <c r="E556" s="50" t="s">
        <v>3673</v>
      </c>
      <c r="F556" s="52" t="str">
        <f t="shared" si="24"/>
        <v>insert into ins_premium_det (premium_rcv_code,assorted_code, rec_amount,premium_rcv_detail_code,remaining_amt, payrec, mode_code,coinsurance_code,class_cd,it_remarks) values</v>
      </c>
      <c r="G556" s="53" t="str">
        <f t="shared" si="25"/>
        <v>('22Oct240201','040000181895','14960',(select max(to_number(i.premium_rcv_detail_code))+1
from ins_premium_det i),'14960','14960','02', '11000003','00','Request by Mr. Omair Ali 22-Oct-2024 allocation 22Oct240201');</v>
      </c>
      <c r="H556" s="54" t="str">
        <f t="shared" si="26"/>
        <v>insert into ins_premium_det (premium_rcv_code,assorted_code, rec_amount,premium_rcv_detail_code,remaining_amt, payrec, mode_code,coinsurance_code,class_cd,it_remarks) values('22Oct240201','040000181895','14960',(select max(to_number(i.premium_rcv_detail_code))+1
from ins_premium_det i),'14960','14960','02', '11000003','00','Request by Mr. Omair Ali 22-Oct-2024 allocation 22Oct240201');</v>
      </c>
    </row>
    <row r="557" spans="1:8" ht="105" x14ac:dyDescent="0.25">
      <c r="A557" t="s">
        <v>685</v>
      </c>
      <c r="B557" s="51" t="str">
        <f>VLOOKUP(A557,policy!B:C,2,0)</f>
        <v>040000181896</v>
      </c>
      <c r="C557" s="46">
        <v>14960</v>
      </c>
      <c r="D557" s="46">
        <v>14960</v>
      </c>
      <c r="E557" s="50" t="s">
        <v>3673</v>
      </c>
      <c r="F557" s="52" t="str">
        <f t="shared" si="24"/>
        <v>insert into ins_premium_det (premium_rcv_code,assorted_code, rec_amount,premium_rcv_detail_code,remaining_amt, payrec, mode_code,coinsurance_code,class_cd,it_remarks) values</v>
      </c>
      <c r="G557" s="53" t="str">
        <f t="shared" si="25"/>
        <v>('22Oct240201','040000181896','14960',(select max(to_number(i.premium_rcv_detail_code))+1
from ins_premium_det i),'14960','14960','02', '11000003','00','Request by Mr. Omair Ali 22-Oct-2024 allocation 22Oct240201');</v>
      </c>
      <c r="H557" s="54" t="str">
        <f t="shared" si="26"/>
        <v>insert into ins_premium_det (premium_rcv_code,assorted_code, rec_amount,premium_rcv_detail_code,remaining_amt, payrec, mode_code,coinsurance_code,class_cd,it_remarks) values('22Oct240201','040000181896','14960',(select max(to_number(i.premium_rcv_detail_code))+1
from ins_premium_det i),'14960','14960','02', '11000003','00','Request by Mr. Omair Ali 22-Oct-2024 allocation 22Oct240201');</v>
      </c>
    </row>
    <row r="558" spans="1:8" ht="105" x14ac:dyDescent="0.25">
      <c r="A558" t="s">
        <v>686</v>
      </c>
      <c r="B558" s="51" t="str">
        <f>VLOOKUP(A558,policy!B:C,2,0)</f>
        <v>040000181900</v>
      </c>
      <c r="C558" s="46">
        <v>8800</v>
      </c>
      <c r="D558" s="46">
        <v>8800</v>
      </c>
      <c r="E558" s="50" t="s">
        <v>3673</v>
      </c>
      <c r="F558" s="52" t="str">
        <f t="shared" si="24"/>
        <v>insert into ins_premium_det (premium_rcv_code,assorted_code, rec_amount,premium_rcv_detail_code,remaining_amt, payrec, mode_code,coinsurance_code,class_cd,it_remarks) values</v>
      </c>
      <c r="G558" s="53" t="str">
        <f t="shared" si="25"/>
        <v>('22Oct240201','040000181900','8800',(select max(to_number(i.premium_rcv_detail_code))+1
from ins_premium_det i),'8800','8800','02', '11000003','00','Request by Mr. Omair Ali 22-Oct-2024 allocation 22Oct240201');</v>
      </c>
      <c r="H558" s="54" t="str">
        <f t="shared" si="26"/>
        <v>insert into ins_premium_det (premium_rcv_code,assorted_code, rec_amount,premium_rcv_detail_code,remaining_amt, payrec, mode_code,coinsurance_code,class_cd,it_remarks) values('22Oct240201','040000181900','8800',(select max(to_number(i.premium_rcv_detail_code))+1
from ins_premium_det i),'8800','8800','02', '11000003','00','Request by Mr. Omair Ali 22-Oct-2024 allocation 22Oct240201');</v>
      </c>
    </row>
    <row r="559" spans="1:8" ht="105" x14ac:dyDescent="0.25">
      <c r="A559" t="s">
        <v>687</v>
      </c>
      <c r="B559" s="51" t="str">
        <f>VLOOKUP(A559,policy!B:C,2,0)</f>
        <v>040000181901</v>
      </c>
      <c r="C559" s="46">
        <v>23248</v>
      </c>
      <c r="D559" s="46">
        <v>23248</v>
      </c>
      <c r="E559" s="50" t="s">
        <v>3673</v>
      </c>
      <c r="F559" s="52" t="str">
        <f t="shared" si="24"/>
        <v>insert into ins_premium_det (premium_rcv_code,assorted_code, rec_amount,premium_rcv_detail_code,remaining_amt, payrec, mode_code,coinsurance_code,class_cd,it_remarks) values</v>
      </c>
      <c r="G559" s="53" t="str">
        <f t="shared" si="25"/>
        <v>('22Oct240201','040000181901','23248',(select max(to_number(i.premium_rcv_detail_code))+1
from ins_premium_det i),'23248','23248','02', '11000003','00','Request by Mr. Omair Ali 22-Oct-2024 allocation 22Oct240201');</v>
      </c>
      <c r="H559" s="54" t="str">
        <f t="shared" si="26"/>
        <v>insert into ins_premium_det (premium_rcv_code,assorted_code, rec_amount,premium_rcv_detail_code,remaining_amt, payrec, mode_code,coinsurance_code,class_cd,it_remarks) values('22Oct240201','040000181901','23248',(select max(to_number(i.premium_rcv_detail_code))+1
from ins_premium_det i),'23248','23248','02', '11000003','00','Request by Mr. Omair Ali 22-Oct-2024 allocation 22Oct240201');</v>
      </c>
    </row>
    <row r="560" spans="1:8" ht="105" x14ac:dyDescent="0.25">
      <c r="A560" t="s">
        <v>688</v>
      </c>
      <c r="B560" s="51" t="str">
        <f>VLOOKUP(A560,policy!B:C,2,0)</f>
        <v>040000181902</v>
      </c>
      <c r="C560" s="46">
        <v>23248</v>
      </c>
      <c r="D560" s="46">
        <v>23248</v>
      </c>
      <c r="E560" s="50" t="s">
        <v>3673</v>
      </c>
      <c r="F560" s="52" t="str">
        <f t="shared" si="24"/>
        <v>insert into ins_premium_det (premium_rcv_code,assorted_code, rec_amount,premium_rcv_detail_code,remaining_amt, payrec, mode_code,coinsurance_code,class_cd,it_remarks) values</v>
      </c>
      <c r="G560" s="53" t="str">
        <f t="shared" si="25"/>
        <v>('22Oct240201','040000181902','23248',(select max(to_number(i.premium_rcv_detail_code))+1
from ins_premium_det i),'23248','23248','02', '11000003','00','Request by Mr. Omair Ali 22-Oct-2024 allocation 22Oct240201');</v>
      </c>
      <c r="H560" s="54" t="str">
        <f t="shared" si="26"/>
        <v>insert into ins_premium_det (premium_rcv_code,assorted_code, rec_amount,premium_rcv_detail_code,remaining_amt, payrec, mode_code,coinsurance_code,class_cd,it_remarks) values('22Oct240201','040000181902','23248',(select max(to_number(i.premium_rcv_detail_code))+1
from ins_premium_det i),'23248','23248','02', '11000003','00','Request by Mr. Omair Ali 22-Oct-2024 allocation 22Oct240201');</v>
      </c>
    </row>
    <row r="561" spans="1:8" ht="105" x14ac:dyDescent="0.25">
      <c r="A561" t="s">
        <v>689</v>
      </c>
      <c r="B561" s="51" t="str">
        <f>VLOOKUP(A561,policy!B:C,2,0)</f>
        <v>040000181908</v>
      </c>
      <c r="C561" s="46">
        <v>9550</v>
      </c>
      <c r="D561" s="46">
        <v>9550</v>
      </c>
      <c r="E561" s="50" t="s">
        <v>3673</v>
      </c>
      <c r="F561" s="52" t="str">
        <f t="shared" si="24"/>
        <v>insert into ins_premium_det (premium_rcv_code,assorted_code, rec_amount,premium_rcv_detail_code,remaining_amt, payrec, mode_code,coinsurance_code,class_cd,it_remarks) values</v>
      </c>
      <c r="G561" s="53" t="str">
        <f t="shared" si="25"/>
        <v>('22Oct240201','040000181908','9550',(select max(to_number(i.premium_rcv_detail_code))+1
from ins_premium_det i),'9550','9550','02', '11000003','00','Request by Mr. Omair Ali 22-Oct-2024 allocation 22Oct240201');</v>
      </c>
      <c r="H561" s="54" t="str">
        <f t="shared" si="26"/>
        <v>insert into ins_premium_det (premium_rcv_code,assorted_code, rec_amount,premium_rcv_detail_code,remaining_amt, payrec, mode_code,coinsurance_code,class_cd,it_remarks) values('22Oct240201','040000181908','9550',(select max(to_number(i.premium_rcv_detail_code))+1
from ins_premium_det i),'9550','9550','02', '11000003','00','Request by Mr. Omair Ali 22-Oct-2024 allocation 22Oct240201');</v>
      </c>
    </row>
    <row r="562" spans="1:8" ht="105" x14ac:dyDescent="0.25">
      <c r="A562" t="s">
        <v>690</v>
      </c>
      <c r="B562" s="51" t="str">
        <f>VLOOKUP(A562,policy!B:C,2,0)</f>
        <v>040000181909</v>
      </c>
      <c r="C562" s="46">
        <v>9550</v>
      </c>
      <c r="D562" s="46">
        <v>9550</v>
      </c>
      <c r="E562" s="50" t="s">
        <v>3673</v>
      </c>
      <c r="F562" s="52" t="str">
        <f t="shared" si="24"/>
        <v>insert into ins_premium_det (premium_rcv_code,assorted_code, rec_amount,premium_rcv_detail_code,remaining_amt, payrec, mode_code,coinsurance_code,class_cd,it_remarks) values</v>
      </c>
      <c r="G562" s="53" t="str">
        <f t="shared" si="25"/>
        <v>('22Oct240201','040000181909','9550',(select max(to_number(i.premium_rcv_detail_code))+1
from ins_premium_det i),'9550','9550','02', '11000003','00','Request by Mr. Omair Ali 22-Oct-2024 allocation 22Oct240201');</v>
      </c>
      <c r="H562" s="54" t="str">
        <f t="shared" si="26"/>
        <v>insert into ins_premium_det (premium_rcv_code,assorted_code, rec_amount,premium_rcv_detail_code,remaining_amt, payrec, mode_code,coinsurance_code,class_cd,it_remarks) values('22Oct240201','040000181909','9550',(select max(to_number(i.premium_rcv_detail_code))+1
from ins_premium_det i),'9550','9550','02', '11000003','00','Request by Mr. Omair Ali 22-Oct-2024 allocation 22Oct240201');</v>
      </c>
    </row>
    <row r="563" spans="1:8" ht="105" x14ac:dyDescent="0.25">
      <c r="A563" t="s">
        <v>691</v>
      </c>
      <c r="B563" s="51" t="str">
        <f>VLOOKUP(A563,policy!B:C,2,0)</f>
        <v>040000181910</v>
      </c>
      <c r="C563" s="46">
        <v>23248</v>
      </c>
      <c r="D563" s="46">
        <v>23248</v>
      </c>
      <c r="E563" s="50" t="s">
        <v>3673</v>
      </c>
      <c r="F563" s="52" t="str">
        <f t="shared" si="24"/>
        <v>insert into ins_premium_det (premium_rcv_code,assorted_code, rec_amount,premium_rcv_detail_code,remaining_amt, payrec, mode_code,coinsurance_code,class_cd,it_remarks) values</v>
      </c>
      <c r="G563" s="53" t="str">
        <f t="shared" si="25"/>
        <v>('22Oct240201','040000181910','23248',(select max(to_number(i.premium_rcv_detail_code))+1
from ins_premium_det i),'23248','23248','02', '11000003','00','Request by Mr. Omair Ali 22-Oct-2024 allocation 22Oct240201');</v>
      </c>
      <c r="H563" s="54" t="str">
        <f t="shared" si="26"/>
        <v>insert into ins_premium_det (premium_rcv_code,assorted_code, rec_amount,premium_rcv_detail_code,remaining_amt, payrec, mode_code,coinsurance_code,class_cd,it_remarks) values('22Oct240201','040000181910','23248',(select max(to_number(i.premium_rcv_detail_code))+1
from ins_premium_det i),'23248','23248','02', '11000003','00','Request by Mr. Omair Ali 22-Oct-2024 allocation 22Oct240201');</v>
      </c>
    </row>
    <row r="564" spans="1:8" ht="105" x14ac:dyDescent="0.25">
      <c r="A564" t="s">
        <v>692</v>
      </c>
      <c r="B564" s="51" t="str">
        <f>VLOOKUP(A564,policy!B:C,2,0)</f>
        <v>040000181911</v>
      </c>
      <c r="C564" s="46">
        <v>23248</v>
      </c>
      <c r="D564" s="46">
        <v>23248</v>
      </c>
      <c r="E564" s="50" t="s">
        <v>3673</v>
      </c>
      <c r="F564" s="52" t="str">
        <f t="shared" si="24"/>
        <v>insert into ins_premium_det (premium_rcv_code,assorted_code, rec_amount,premium_rcv_detail_code,remaining_amt, payrec, mode_code,coinsurance_code,class_cd,it_remarks) values</v>
      </c>
      <c r="G564" s="53" t="str">
        <f t="shared" si="25"/>
        <v>('22Oct240201','040000181911','23248',(select max(to_number(i.premium_rcv_detail_code))+1
from ins_premium_det i),'23248','23248','02', '11000003','00','Request by Mr. Omair Ali 22-Oct-2024 allocation 22Oct240201');</v>
      </c>
      <c r="H564" s="54" t="str">
        <f t="shared" si="26"/>
        <v>insert into ins_premium_det (premium_rcv_code,assorted_code, rec_amount,premium_rcv_detail_code,remaining_amt, payrec, mode_code,coinsurance_code,class_cd,it_remarks) values('22Oct240201','040000181911','23248',(select max(to_number(i.premium_rcv_detail_code))+1
from ins_premium_det i),'23248','23248','02', '11000003','00','Request by Mr. Omair Ali 22-Oct-2024 allocation 22Oct240201');</v>
      </c>
    </row>
    <row r="565" spans="1:8" ht="105" x14ac:dyDescent="0.25">
      <c r="A565" t="s">
        <v>693</v>
      </c>
      <c r="B565" s="51" t="str">
        <f>VLOOKUP(A565,policy!B:C,2,0)</f>
        <v>040000181912</v>
      </c>
      <c r="C565" s="46">
        <v>14960</v>
      </c>
      <c r="D565" s="46">
        <v>14960</v>
      </c>
      <c r="E565" s="50" t="s">
        <v>3673</v>
      </c>
      <c r="F565" s="52" t="str">
        <f t="shared" si="24"/>
        <v>insert into ins_premium_det (premium_rcv_code,assorted_code, rec_amount,premium_rcv_detail_code,remaining_amt, payrec, mode_code,coinsurance_code,class_cd,it_remarks) values</v>
      </c>
      <c r="G565" s="53" t="str">
        <f t="shared" si="25"/>
        <v>('22Oct240201','040000181912','14960',(select max(to_number(i.premium_rcv_detail_code))+1
from ins_premium_det i),'14960','14960','02', '11000003','00','Request by Mr. Omair Ali 22-Oct-2024 allocation 22Oct240201');</v>
      </c>
      <c r="H565" s="54" t="str">
        <f t="shared" si="26"/>
        <v>insert into ins_premium_det (premium_rcv_code,assorted_code, rec_amount,premium_rcv_detail_code,remaining_amt, payrec, mode_code,coinsurance_code,class_cd,it_remarks) values('22Oct240201','040000181912','14960',(select max(to_number(i.premium_rcv_detail_code))+1
from ins_premium_det i),'14960','14960','02', '11000003','00','Request by Mr. Omair Ali 22-Oct-2024 allocation 22Oct240201');</v>
      </c>
    </row>
    <row r="566" spans="1:8" ht="105" x14ac:dyDescent="0.25">
      <c r="A566" t="s">
        <v>694</v>
      </c>
      <c r="B566" s="51" t="str">
        <f>VLOOKUP(A566,policy!B:C,2,0)</f>
        <v>040000181913</v>
      </c>
      <c r="C566" s="46">
        <v>8800</v>
      </c>
      <c r="D566" s="46">
        <v>8800</v>
      </c>
      <c r="E566" s="50" t="s">
        <v>3673</v>
      </c>
      <c r="F566" s="52" t="str">
        <f t="shared" si="24"/>
        <v>insert into ins_premium_det (premium_rcv_code,assorted_code, rec_amount,premium_rcv_detail_code,remaining_amt, payrec, mode_code,coinsurance_code,class_cd,it_remarks) values</v>
      </c>
      <c r="G566" s="53" t="str">
        <f t="shared" si="25"/>
        <v>('22Oct240201','040000181913','8800',(select max(to_number(i.premium_rcv_detail_code))+1
from ins_premium_det i),'8800','8800','02', '11000003','00','Request by Mr. Omair Ali 22-Oct-2024 allocation 22Oct240201');</v>
      </c>
      <c r="H566" s="54" t="str">
        <f t="shared" si="26"/>
        <v>insert into ins_premium_det (premium_rcv_code,assorted_code, rec_amount,premium_rcv_detail_code,remaining_amt, payrec, mode_code,coinsurance_code,class_cd,it_remarks) values('22Oct240201','040000181913','8800',(select max(to_number(i.premium_rcv_detail_code))+1
from ins_premium_det i),'8800','8800','02', '11000003','00','Request by Mr. Omair Ali 22-Oct-2024 allocation 22Oct240201');</v>
      </c>
    </row>
    <row r="567" spans="1:8" ht="105" x14ac:dyDescent="0.25">
      <c r="A567" t="s">
        <v>695</v>
      </c>
      <c r="B567" s="51" t="str">
        <f>VLOOKUP(A567,policy!B:C,2,0)</f>
        <v>040000181914</v>
      </c>
      <c r="C567" s="46">
        <v>12475</v>
      </c>
      <c r="D567" s="46">
        <v>12475</v>
      </c>
      <c r="E567" s="50" t="s">
        <v>3673</v>
      </c>
      <c r="F567" s="52" t="str">
        <f t="shared" si="24"/>
        <v>insert into ins_premium_det (premium_rcv_code,assorted_code, rec_amount,premium_rcv_detail_code,remaining_amt, payrec, mode_code,coinsurance_code,class_cd,it_remarks) values</v>
      </c>
      <c r="G567" s="53" t="str">
        <f t="shared" si="25"/>
        <v>('22Oct240201','040000181914','12475',(select max(to_number(i.premium_rcv_detail_code))+1
from ins_premium_det i),'12475','12475','02', '11000003','00','Request by Mr. Omair Ali 22-Oct-2024 allocation 22Oct240201');</v>
      </c>
      <c r="H567" s="54" t="str">
        <f t="shared" si="26"/>
        <v>insert into ins_premium_det (premium_rcv_code,assorted_code, rec_amount,premium_rcv_detail_code,remaining_amt, payrec, mode_code,coinsurance_code,class_cd,it_remarks) values('22Oct240201','040000181914','12475',(select max(to_number(i.premium_rcv_detail_code))+1
from ins_premium_det i),'12475','12475','02', '11000003','00','Request by Mr. Omair Ali 22-Oct-2024 allocation 22Oct240201');</v>
      </c>
    </row>
    <row r="568" spans="1:8" ht="105" x14ac:dyDescent="0.25">
      <c r="A568" t="s">
        <v>696</v>
      </c>
      <c r="B568" s="51" t="str">
        <f>VLOOKUP(A568,policy!B:C,2,0)</f>
        <v>040000181918</v>
      </c>
      <c r="C568" s="46">
        <v>8800</v>
      </c>
      <c r="D568" s="46">
        <v>8800</v>
      </c>
      <c r="E568" s="50" t="s">
        <v>3673</v>
      </c>
      <c r="F568" s="52" t="str">
        <f t="shared" si="24"/>
        <v>insert into ins_premium_det (premium_rcv_code,assorted_code, rec_amount,premium_rcv_detail_code,remaining_amt, payrec, mode_code,coinsurance_code,class_cd,it_remarks) values</v>
      </c>
      <c r="G568" s="53" t="str">
        <f t="shared" si="25"/>
        <v>('22Oct240201','040000181918','8800',(select max(to_number(i.premium_rcv_detail_code))+1
from ins_premium_det i),'8800','8800','02', '11000003','00','Request by Mr. Omair Ali 22-Oct-2024 allocation 22Oct240201');</v>
      </c>
      <c r="H568" s="54" t="str">
        <f t="shared" si="26"/>
        <v>insert into ins_premium_det (premium_rcv_code,assorted_code, rec_amount,premium_rcv_detail_code,remaining_amt, payrec, mode_code,coinsurance_code,class_cd,it_remarks) values('22Oct240201','040000181918','8800',(select max(to_number(i.premium_rcv_detail_code))+1
from ins_premium_det i),'8800','8800','02', '11000003','00','Request by Mr. Omair Ali 22-Oct-2024 allocation 22Oct240201');</v>
      </c>
    </row>
    <row r="569" spans="1:8" ht="105" x14ac:dyDescent="0.25">
      <c r="A569" t="s">
        <v>697</v>
      </c>
      <c r="B569" s="51" t="str">
        <f>VLOOKUP(A569,policy!B:C,2,0)</f>
        <v>040000181919</v>
      </c>
      <c r="C569" s="46">
        <v>16235</v>
      </c>
      <c r="D569" s="46">
        <v>16235</v>
      </c>
      <c r="E569" s="50" t="s">
        <v>3673</v>
      </c>
      <c r="F569" s="52" t="str">
        <f t="shared" si="24"/>
        <v>insert into ins_premium_det (premium_rcv_code,assorted_code, rec_amount,premium_rcv_detail_code,remaining_amt, payrec, mode_code,coinsurance_code,class_cd,it_remarks) values</v>
      </c>
      <c r="G569" s="53" t="str">
        <f t="shared" si="25"/>
        <v>('22Oct240201','040000181919','16235',(select max(to_number(i.premium_rcv_detail_code))+1
from ins_premium_det i),'16235','16235','02', '11000003','00','Request by Mr. Omair Ali 22-Oct-2024 allocation 22Oct240201');</v>
      </c>
      <c r="H569" s="54" t="str">
        <f t="shared" si="26"/>
        <v>insert into ins_premium_det (premium_rcv_code,assorted_code, rec_amount,premium_rcv_detail_code,remaining_amt, payrec, mode_code,coinsurance_code,class_cd,it_remarks) values('22Oct240201','040000181919','16235',(select max(to_number(i.premium_rcv_detail_code))+1
from ins_premium_det i),'16235','16235','02', '11000003','00','Request by Mr. Omair Ali 22-Oct-2024 allocation 22Oct240201');</v>
      </c>
    </row>
    <row r="570" spans="1:8" ht="105" x14ac:dyDescent="0.25">
      <c r="A570" t="s">
        <v>698</v>
      </c>
      <c r="B570" s="51" t="str">
        <f>VLOOKUP(A570,policy!B:C,2,0)</f>
        <v>040000181920</v>
      </c>
      <c r="C570" s="46">
        <v>14960</v>
      </c>
      <c r="D570" s="46">
        <v>14960</v>
      </c>
      <c r="E570" s="50" t="s">
        <v>3673</v>
      </c>
      <c r="F570" s="52" t="str">
        <f t="shared" si="24"/>
        <v>insert into ins_premium_det (premium_rcv_code,assorted_code, rec_amount,premium_rcv_detail_code,remaining_amt, payrec, mode_code,coinsurance_code,class_cd,it_remarks) values</v>
      </c>
      <c r="G570" s="53" t="str">
        <f t="shared" si="25"/>
        <v>('22Oct240201','040000181920','14960',(select max(to_number(i.premium_rcv_detail_code))+1
from ins_premium_det i),'14960','14960','02', '11000003','00','Request by Mr. Omair Ali 22-Oct-2024 allocation 22Oct240201');</v>
      </c>
      <c r="H570" s="54" t="str">
        <f t="shared" si="26"/>
        <v>insert into ins_premium_det (premium_rcv_code,assorted_code, rec_amount,premium_rcv_detail_code,remaining_amt, payrec, mode_code,coinsurance_code,class_cd,it_remarks) values('22Oct240201','040000181920','14960',(select max(to_number(i.premium_rcv_detail_code))+1
from ins_premium_det i),'14960','14960','02', '11000003','00','Request by Mr. Omair Ali 22-Oct-2024 allocation 22Oct240201');</v>
      </c>
    </row>
    <row r="571" spans="1:8" ht="105" x14ac:dyDescent="0.25">
      <c r="A571" t="s">
        <v>699</v>
      </c>
      <c r="B571" s="51" t="str">
        <f>VLOOKUP(A571,policy!B:C,2,0)</f>
        <v>040000181921</v>
      </c>
      <c r="C571" s="46">
        <v>13675</v>
      </c>
      <c r="D571" s="46">
        <v>13675</v>
      </c>
      <c r="E571" s="50" t="s">
        <v>3673</v>
      </c>
      <c r="F571" s="52" t="str">
        <f t="shared" si="24"/>
        <v>insert into ins_premium_det (premium_rcv_code,assorted_code, rec_amount,premium_rcv_detail_code,remaining_amt, payrec, mode_code,coinsurance_code,class_cd,it_remarks) values</v>
      </c>
      <c r="G571" s="53" t="str">
        <f t="shared" si="25"/>
        <v>('22Oct240201','040000181921','13675',(select max(to_number(i.premium_rcv_detail_code))+1
from ins_premium_det i),'13675','13675','02', '11000003','00','Request by Mr. Omair Ali 22-Oct-2024 allocation 22Oct240201');</v>
      </c>
      <c r="H571" s="54" t="str">
        <f t="shared" si="26"/>
        <v>insert into ins_premium_det (premium_rcv_code,assorted_code, rec_amount,premium_rcv_detail_code,remaining_amt, payrec, mode_code,coinsurance_code,class_cd,it_remarks) values('22Oct240201','040000181921','13675',(select max(to_number(i.premium_rcv_detail_code))+1
from ins_premium_det i),'13675','13675','02', '11000003','00','Request by Mr. Omair Ali 22-Oct-2024 allocation 22Oct240201');</v>
      </c>
    </row>
    <row r="572" spans="1:8" ht="105" x14ac:dyDescent="0.25">
      <c r="A572" t="s">
        <v>700</v>
      </c>
      <c r="B572" s="51" t="str">
        <f>VLOOKUP(A572,policy!B:C,2,0)</f>
        <v>040000181922</v>
      </c>
      <c r="C572" s="46">
        <v>14960</v>
      </c>
      <c r="D572" s="46">
        <v>14960</v>
      </c>
      <c r="E572" s="50" t="s">
        <v>3673</v>
      </c>
      <c r="F572" s="52" t="str">
        <f t="shared" si="24"/>
        <v>insert into ins_premium_det (premium_rcv_code,assorted_code, rec_amount,premium_rcv_detail_code,remaining_amt, payrec, mode_code,coinsurance_code,class_cd,it_remarks) values</v>
      </c>
      <c r="G572" s="53" t="str">
        <f t="shared" si="25"/>
        <v>('22Oct240201','040000181922','14960',(select max(to_number(i.premium_rcv_detail_code))+1
from ins_premium_det i),'14960','14960','02', '11000003','00','Request by Mr. Omair Ali 22-Oct-2024 allocation 22Oct240201');</v>
      </c>
      <c r="H572" s="54" t="str">
        <f t="shared" si="26"/>
        <v>insert into ins_premium_det (premium_rcv_code,assorted_code, rec_amount,premium_rcv_detail_code,remaining_amt, payrec, mode_code,coinsurance_code,class_cd,it_remarks) values('22Oct240201','040000181922','14960',(select max(to_number(i.premium_rcv_detail_code))+1
from ins_premium_det i),'14960','14960','02', '11000003','00','Request by Mr. Omair Ali 22-Oct-2024 allocation 22Oct240201');</v>
      </c>
    </row>
    <row r="573" spans="1:8" ht="105" x14ac:dyDescent="0.25">
      <c r="A573" t="s">
        <v>701</v>
      </c>
      <c r="B573" s="51" t="str">
        <f>VLOOKUP(A573,policy!B:C,2,0)</f>
        <v>040000181924</v>
      </c>
      <c r="C573" s="46">
        <v>14960</v>
      </c>
      <c r="D573" s="46">
        <v>14960</v>
      </c>
      <c r="E573" s="50" t="s">
        <v>3673</v>
      </c>
      <c r="F573" s="52" t="str">
        <f t="shared" si="24"/>
        <v>insert into ins_premium_det (premium_rcv_code,assorted_code, rec_amount,premium_rcv_detail_code,remaining_amt, payrec, mode_code,coinsurance_code,class_cd,it_remarks) values</v>
      </c>
      <c r="G573" s="53" t="str">
        <f t="shared" si="25"/>
        <v>('22Oct240201','040000181924','14960',(select max(to_number(i.premium_rcv_detail_code))+1
from ins_premium_det i),'14960','14960','02', '11000003','00','Request by Mr. Omair Ali 22-Oct-2024 allocation 22Oct240201');</v>
      </c>
      <c r="H573" s="54" t="str">
        <f t="shared" si="26"/>
        <v>insert into ins_premium_det (premium_rcv_code,assorted_code, rec_amount,premium_rcv_detail_code,remaining_amt, payrec, mode_code,coinsurance_code,class_cd,it_remarks) values('22Oct240201','040000181924','14960',(select max(to_number(i.premium_rcv_detail_code))+1
from ins_premium_det i),'14960','14960','02', '11000003','00','Request by Mr. Omair Ali 22-Oct-2024 allocation 22Oct240201');</v>
      </c>
    </row>
    <row r="574" spans="1:8" ht="105" x14ac:dyDescent="0.25">
      <c r="A574" t="s">
        <v>702</v>
      </c>
      <c r="B574" s="51" t="str">
        <f>VLOOKUP(A574,policy!B:C,2,0)</f>
        <v>040000181925</v>
      </c>
      <c r="C574" s="46">
        <v>14960</v>
      </c>
      <c r="D574" s="46">
        <v>14960</v>
      </c>
      <c r="E574" s="50" t="s">
        <v>3673</v>
      </c>
      <c r="F574" s="52" t="str">
        <f t="shared" si="24"/>
        <v>insert into ins_premium_det (premium_rcv_code,assorted_code, rec_amount,premium_rcv_detail_code,remaining_amt, payrec, mode_code,coinsurance_code,class_cd,it_remarks) values</v>
      </c>
      <c r="G574" s="53" t="str">
        <f t="shared" si="25"/>
        <v>('22Oct240201','040000181925','14960',(select max(to_number(i.premium_rcv_detail_code))+1
from ins_premium_det i),'14960','14960','02', '11000003','00','Request by Mr. Omair Ali 22-Oct-2024 allocation 22Oct240201');</v>
      </c>
      <c r="H574" s="54" t="str">
        <f t="shared" si="26"/>
        <v>insert into ins_premium_det (premium_rcv_code,assorted_code, rec_amount,premium_rcv_detail_code,remaining_amt, payrec, mode_code,coinsurance_code,class_cd,it_remarks) values('22Oct240201','040000181925','14960',(select max(to_number(i.premium_rcv_detail_code))+1
from ins_premium_det i),'14960','14960','02', '11000003','00','Request by Mr. Omair Ali 22-Oct-2024 allocation 22Oct240201');</v>
      </c>
    </row>
    <row r="575" spans="1:8" ht="105" x14ac:dyDescent="0.25">
      <c r="A575" t="s">
        <v>703</v>
      </c>
      <c r="B575" s="51" t="str">
        <f>VLOOKUP(A575,policy!B:C,2,0)</f>
        <v>040000181927</v>
      </c>
      <c r="C575" s="46">
        <v>9550</v>
      </c>
      <c r="D575" s="46">
        <v>9550</v>
      </c>
      <c r="E575" s="50" t="s">
        <v>3673</v>
      </c>
      <c r="F575" s="52" t="str">
        <f t="shared" si="24"/>
        <v>insert into ins_premium_det (premium_rcv_code,assorted_code, rec_amount,premium_rcv_detail_code,remaining_amt, payrec, mode_code,coinsurance_code,class_cd,it_remarks) values</v>
      </c>
      <c r="G575" s="53" t="str">
        <f t="shared" si="25"/>
        <v>('22Oct240201','040000181927','9550',(select max(to_number(i.premium_rcv_detail_code))+1
from ins_premium_det i),'9550','9550','02', '11000003','00','Request by Mr. Omair Ali 22-Oct-2024 allocation 22Oct240201');</v>
      </c>
      <c r="H575" s="54" t="str">
        <f t="shared" si="26"/>
        <v>insert into ins_premium_det (premium_rcv_code,assorted_code, rec_amount,premium_rcv_detail_code,remaining_amt, payrec, mode_code,coinsurance_code,class_cd,it_remarks) values('22Oct240201','040000181927','9550',(select max(to_number(i.premium_rcv_detail_code))+1
from ins_premium_det i),'9550','9550','02', '11000003','00','Request by Mr. Omair Ali 22-Oct-2024 allocation 22Oct240201');</v>
      </c>
    </row>
    <row r="576" spans="1:8" ht="105" x14ac:dyDescent="0.25">
      <c r="A576" t="s">
        <v>704</v>
      </c>
      <c r="B576" s="51" t="str">
        <f>VLOOKUP(A576,policy!B:C,2,0)</f>
        <v>040000181960</v>
      </c>
      <c r="C576" s="46">
        <v>14960</v>
      </c>
      <c r="D576" s="46">
        <v>14960</v>
      </c>
      <c r="E576" s="50" t="s">
        <v>3673</v>
      </c>
      <c r="F576" s="52" t="str">
        <f t="shared" si="24"/>
        <v>insert into ins_premium_det (premium_rcv_code,assorted_code, rec_amount,premium_rcv_detail_code,remaining_amt, payrec, mode_code,coinsurance_code,class_cd,it_remarks) values</v>
      </c>
      <c r="G576" s="53" t="str">
        <f t="shared" si="25"/>
        <v>('22Oct240201','040000181960','14960',(select max(to_number(i.premium_rcv_detail_code))+1
from ins_premium_det i),'14960','14960','02', '11000003','00','Request by Mr. Omair Ali 22-Oct-2024 allocation 22Oct240201');</v>
      </c>
      <c r="H576" s="54" t="str">
        <f t="shared" si="26"/>
        <v>insert into ins_premium_det (premium_rcv_code,assorted_code, rec_amount,premium_rcv_detail_code,remaining_amt, payrec, mode_code,coinsurance_code,class_cd,it_remarks) values('22Oct240201','040000181960','14960',(select max(to_number(i.premium_rcv_detail_code))+1
from ins_premium_det i),'14960','14960','02', '11000003','00','Request by Mr. Omair Ali 22-Oct-2024 allocation 22Oct240201');</v>
      </c>
    </row>
    <row r="577" spans="1:8" ht="105" x14ac:dyDescent="0.25">
      <c r="A577" t="s">
        <v>705</v>
      </c>
      <c r="B577" s="51" t="str">
        <f>VLOOKUP(A577,policy!B:C,2,0)</f>
        <v>040000181961</v>
      </c>
      <c r="C577" s="46">
        <v>14960</v>
      </c>
      <c r="D577" s="46">
        <v>14960</v>
      </c>
      <c r="E577" s="50" t="s">
        <v>3673</v>
      </c>
      <c r="F577" s="52" t="str">
        <f t="shared" si="24"/>
        <v>insert into ins_premium_det (premium_rcv_code,assorted_code, rec_amount,premium_rcv_detail_code,remaining_amt, payrec, mode_code,coinsurance_code,class_cd,it_remarks) values</v>
      </c>
      <c r="G577" s="53" t="str">
        <f t="shared" si="25"/>
        <v>('22Oct240201','040000181961','14960',(select max(to_number(i.premium_rcv_detail_code))+1
from ins_premium_det i),'14960','14960','02', '11000003','00','Request by Mr. Omair Ali 22-Oct-2024 allocation 22Oct240201');</v>
      </c>
      <c r="H577" s="54" t="str">
        <f t="shared" si="26"/>
        <v>insert into ins_premium_det (premium_rcv_code,assorted_code, rec_amount,premium_rcv_detail_code,remaining_amt, payrec, mode_code,coinsurance_code,class_cd,it_remarks) values('22Oct240201','040000181961','14960',(select max(to_number(i.premium_rcv_detail_code))+1
from ins_premium_det i),'14960','14960','02', '11000003','00','Request by Mr. Omair Ali 22-Oct-2024 allocation 22Oct240201');</v>
      </c>
    </row>
    <row r="578" spans="1:8" ht="105" x14ac:dyDescent="0.25">
      <c r="A578" t="s">
        <v>706</v>
      </c>
      <c r="B578" s="51" t="str">
        <f>VLOOKUP(A578,policy!B:C,2,0)</f>
        <v>040000181982</v>
      </c>
      <c r="C578" s="46">
        <v>8800</v>
      </c>
      <c r="D578" s="46">
        <v>8800</v>
      </c>
      <c r="E578" s="50" t="s">
        <v>3673</v>
      </c>
      <c r="F578" s="52" t="str">
        <f t="shared" ref="F578:F641" si="27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78" s="53" t="str">
        <f t="shared" si="25"/>
        <v>('22Oct240201','040000181982','8800',(select max(to_number(i.premium_rcv_detail_code))+1
from ins_premium_det i),'8800','8800','02', '11000003','00','Request by Mr. Omair Ali 22-Oct-2024 allocation 22Oct240201');</v>
      </c>
      <c r="H578" s="54" t="str">
        <f t="shared" si="26"/>
        <v>insert into ins_premium_det (premium_rcv_code,assorted_code, rec_amount,premium_rcv_detail_code,remaining_amt, payrec, mode_code,coinsurance_code,class_cd,it_remarks) values('22Oct240201','040000181982','8800',(select max(to_number(i.premium_rcv_detail_code))+1
from ins_premium_det i),'8800','8800','02', '11000003','00','Request by Mr. Omair Ali 22-Oct-2024 allocation 22Oct240201');</v>
      </c>
    </row>
    <row r="579" spans="1:8" ht="105" x14ac:dyDescent="0.25">
      <c r="A579" t="s">
        <v>707</v>
      </c>
      <c r="B579" s="51" t="str">
        <f>VLOOKUP(A579,policy!B:C,2,0)</f>
        <v>040000181987</v>
      </c>
      <c r="C579" s="46">
        <v>13675</v>
      </c>
      <c r="D579" s="46">
        <v>13675</v>
      </c>
      <c r="E579" s="50" t="s">
        <v>3673</v>
      </c>
      <c r="F579" s="52" t="str">
        <f t="shared" si="27"/>
        <v>insert into ins_premium_det (premium_rcv_code,assorted_code, rec_amount,premium_rcv_detail_code,remaining_amt, payrec, mode_code,coinsurance_code,class_cd,it_remarks) values</v>
      </c>
      <c r="G579" s="53" t="str">
        <f t="shared" ref="G579:G642" si="28">"('"&amp;E579&amp;"','"&amp;B579&amp;"','"&amp;D579&amp;"',(select max(to_number(i.premium_rcv_detail_code))+1
from ins_premium_det i),'"&amp;D579&amp;"','"&amp;D579&amp;"','02', '11000003','00','Request by Mr. Omair Ali 22-Oct-2024 allocation 22Oct240201');"</f>
        <v>('22Oct240201','040000181987','13675',(select max(to_number(i.premium_rcv_detail_code))+1
from ins_premium_det i),'13675','13675','02', '11000003','00','Request by Mr. Omair Ali 22-Oct-2024 allocation 22Oct240201');</v>
      </c>
      <c r="H579" s="54" t="str">
        <f t="shared" ref="H579:H642" si="29">F579&amp;G579</f>
        <v>insert into ins_premium_det (premium_rcv_code,assorted_code, rec_amount,premium_rcv_detail_code,remaining_amt, payrec, mode_code,coinsurance_code,class_cd,it_remarks) values('22Oct240201','040000181987','13675',(select max(to_number(i.premium_rcv_detail_code))+1
from ins_premium_det i),'13675','13675','02', '11000003','00','Request by Mr. Omair Ali 22-Oct-2024 allocation 22Oct240201');</v>
      </c>
    </row>
    <row r="580" spans="1:8" ht="105" x14ac:dyDescent="0.25">
      <c r="A580" t="s">
        <v>708</v>
      </c>
      <c r="B580" s="51" t="str">
        <f>VLOOKUP(A580,policy!B:C,2,0)</f>
        <v>040000181990</v>
      </c>
      <c r="C580" s="46">
        <v>9550</v>
      </c>
      <c r="D580" s="46">
        <v>9550</v>
      </c>
      <c r="E580" s="50" t="s">
        <v>3673</v>
      </c>
      <c r="F580" s="52" t="str">
        <f t="shared" si="27"/>
        <v>insert into ins_premium_det (premium_rcv_code,assorted_code, rec_amount,premium_rcv_detail_code,remaining_amt, payrec, mode_code,coinsurance_code,class_cd,it_remarks) values</v>
      </c>
      <c r="G580" s="53" t="str">
        <f t="shared" si="28"/>
        <v>('22Oct240201','040000181990','9550',(select max(to_number(i.premium_rcv_detail_code))+1
from ins_premium_det i),'9550','9550','02', '11000003','00','Request by Mr. Omair Ali 22-Oct-2024 allocation 22Oct240201');</v>
      </c>
      <c r="H580" s="54" t="str">
        <f t="shared" si="29"/>
        <v>insert into ins_premium_det (premium_rcv_code,assorted_code, rec_amount,premium_rcv_detail_code,remaining_amt, payrec, mode_code,coinsurance_code,class_cd,it_remarks) values('22Oct240201','040000181990','9550',(select max(to_number(i.premium_rcv_detail_code))+1
from ins_premium_det i),'9550','9550','02', '11000003','00','Request by Mr. Omair Ali 22-Oct-2024 allocation 22Oct240201');</v>
      </c>
    </row>
    <row r="581" spans="1:8" ht="105" x14ac:dyDescent="0.25">
      <c r="A581" t="s">
        <v>709</v>
      </c>
      <c r="B581" s="51" t="str">
        <f>VLOOKUP(A581,policy!B:C,2,0)</f>
        <v>040000181992</v>
      </c>
      <c r="C581" s="46">
        <v>9550</v>
      </c>
      <c r="D581" s="46">
        <v>9550</v>
      </c>
      <c r="E581" s="50" t="s">
        <v>3673</v>
      </c>
      <c r="F581" s="52" t="str">
        <f t="shared" si="27"/>
        <v>insert into ins_premium_det (premium_rcv_code,assorted_code, rec_amount,premium_rcv_detail_code,remaining_amt, payrec, mode_code,coinsurance_code,class_cd,it_remarks) values</v>
      </c>
      <c r="G581" s="53" t="str">
        <f t="shared" si="28"/>
        <v>('22Oct240201','040000181992','9550',(select max(to_number(i.premium_rcv_detail_code))+1
from ins_premium_det i),'9550','9550','02', '11000003','00','Request by Mr. Omair Ali 22-Oct-2024 allocation 22Oct240201');</v>
      </c>
      <c r="H581" s="54" t="str">
        <f t="shared" si="29"/>
        <v>insert into ins_premium_det (premium_rcv_code,assorted_code, rec_amount,premium_rcv_detail_code,remaining_amt, payrec, mode_code,coinsurance_code,class_cd,it_remarks) values('22Oct240201','040000181992','9550',(select max(to_number(i.premium_rcv_detail_code))+1
from ins_premium_det i),'9550','9550','02', '11000003','00','Request by Mr. Omair Ali 22-Oct-2024 allocation 22Oct240201');</v>
      </c>
    </row>
    <row r="582" spans="1:8" ht="105" x14ac:dyDescent="0.25">
      <c r="A582" t="s">
        <v>710</v>
      </c>
      <c r="B582" s="51" t="str">
        <f>VLOOKUP(A582,policy!B:C,2,0)</f>
        <v>040000181994</v>
      </c>
      <c r="C582" s="46">
        <v>23248</v>
      </c>
      <c r="D582" s="46">
        <v>23248</v>
      </c>
      <c r="E582" s="50" t="s">
        <v>3673</v>
      </c>
      <c r="F582" s="52" t="str">
        <f t="shared" si="27"/>
        <v>insert into ins_premium_det (premium_rcv_code,assorted_code, rec_amount,premium_rcv_detail_code,remaining_amt, payrec, mode_code,coinsurance_code,class_cd,it_remarks) values</v>
      </c>
      <c r="G582" s="53" t="str">
        <f t="shared" si="28"/>
        <v>('22Oct240201','040000181994','23248',(select max(to_number(i.premium_rcv_detail_code))+1
from ins_premium_det i),'23248','23248','02', '11000003','00','Request by Mr. Omair Ali 22-Oct-2024 allocation 22Oct240201');</v>
      </c>
      <c r="H582" s="54" t="str">
        <f t="shared" si="29"/>
        <v>insert into ins_premium_det (premium_rcv_code,assorted_code, rec_amount,premium_rcv_detail_code,remaining_amt, payrec, mode_code,coinsurance_code,class_cd,it_remarks) values('22Oct240201','040000181994','23248',(select max(to_number(i.premium_rcv_detail_code))+1
from ins_premium_det i),'23248','23248','02', '11000003','00','Request by Mr. Omair Ali 22-Oct-2024 allocation 22Oct240201');</v>
      </c>
    </row>
    <row r="583" spans="1:8" ht="105" x14ac:dyDescent="0.25">
      <c r="A583" t="s">
        <v>711</v>
      </c>
      <c r="B583" s="51" t="str">
        <f>VLOOKUP(A583,policy!B:C,2,0)</f>
        <v>040000181995</v>
      </c>
      <c r="C583" s="46">
        <v>23248</v>
      </c>
      <c r="D583" s="46">
        <v>23248</v>
      </c>
      <c r="E583" s="50" t="s">
        <v>3673</v>
      </c>
      <c r="F583" s="52" t="str">
        <f t="shared" si="27"/>
        <v>insert into ins_premium_det (premium_rcv_code,assorted_code, rec_amount,premium_rcv_detail_code,remaining_amt, payrec, mode_code,coinsurance_code,class_cd,it_remarks) values</v>
      </c>
      <c r="G583" s="53" t="str">
        <f t="shared" si="28"/>
        <v>('22Oct240201','040000181995','23248',(select max(to_number(i.premium_rcv_detail_code))+1
from ins_premium_det i),'23248','23248','02', '11000003','00','Request by Mr. Omair Ali 22-Oct-2024 allocation 22Oct240201');</v>
      </c>
      <c r="H583" s="54" t="str">
        <f t="shared" si="29"/>
        <v>insert into ins_premium_det (premium_rcv_code,assorted_code, rec_amount,premium_rcv_detail_code,remaining_amt, payrec, mode_code,coinsurance_code,class_cd,it_remarks) values('22Oct240201','040000181995','23248',(select max(to_number(i.premium_rcv_detail_code))+1
from ins_premium_det i),'23248','23248','02', '11000003','00','Request by Mr. Omair Ali 22-Oct-2024 allocation 22Oct240201');</v>
      </c>
    </row>
    <row r="584" spans="1:8" ht="105" x14ac:dyDescent="0.25">
      <c r="A584" t="s">
        <v>712</v>
      </c>
      <c r="B584" s="51" t="str">
        <f>VLOOKUP(A584,policy!B:C,2,0)</f>
        <v>040000181996</v>
      </c>
      <c r="C584" s="46">
        <v>8800</v>
      </c>
      <c r="D584" s="46">
        <v>8800</v>
      </c>
      <c r="E584" s="50" t="s">
        <v>3673</v>
      </c>
      <c r="F584" s="52" t="str">
        <f t="shared" si="27"/>
        <v>insert into ins_premium_det (premium_rcv_code,assorted_code, rec_amount,premium_rcv_detail_code,remaining_amt, payrec, mode_code,coinsurance_code,class_cd,it_remarks) values</v>
      </c>
      <c r="G584" s="53" t="str">
        <f t="shared" si="28"/>
        <v>('22Oct240201','040000181996','8800',(select max(to_number(i.premium_rcv_detail_code))+1
from ins_premium_det i),'8800','8800','02', '11000003','00','Request by Mr. Omair Ali 22-Oct-2024 allocation 22Oct240201');</v>
      </c>
      <c r="H584" s="54" t="str">
        <f t="shared" si="29"/>
        <v>insert into ins_premium_det (premium_rcv_code,assorted_code, rec_amount,premium_rcv_detail_code,remaining_amt, payrec, mode_code,coinsurance_code,class_cd,it_remarks) values('22Oct240201','040000181996','8800',(select max(to_number(i.premium_rcv_detail_code))+1
from ins_premium_det i),'8800','8800','02', '11000003','00','Request by Mr. Omair Ali 22-Oct-2024 allocation 22Oct240201');</v>
      </c>
    </row>
    <row r="585" spans="1:8" ht="105" x14ac:dyDescent="0.25">
      <c r="A585" t="s">
        <v>713</v>
      </c>
      <c r="B585" s="51" t="str">
        <f>VLOOKUP(A585,policy!B:C,2,0)</f>
        <v>040000181998</v>
      </c>
      <c r="C585" s="46">
        <v>8800</v>
      </c>
      <c r="D585" s="46">
        <v>8800</v>
      </c>
      <c r="E585" s="50" t="s">
        <v>3673</v>
      </c>
      <c r="F585" s="52" t="str">
        <f t="shared" si="27"/>
        <v>insert into ins_premium_det (premium_rcv_code,assorted_code, rec_amount,premium_rcv_detail_code,remaining_amt, payrec, mode_code,coinsurance_code,class_cd,it_remarks) values</v>
      </c>
      <c r="G585" s="53" t="str">
        <f t="shared" si="28"/>
        <v>('22Oct240201','040000181998','8800',(select max(to_number(i.premium_rcv_detail_code))+1
from ins_premium_det i),'8800','8800','02', '11000003','00','Request by Mr. Omair Ali 22-Oct-2024 allocation 22Oct240201');</v>
      </c>
      <c r="H585" s="54" t="str">
        <f t="shared" si="29"/>
        <v>insert into ins_premium_det (premium_rcv_code,assorted_code, rec_amount,premium_rcv_detail_code,remaining_amt, payrec, mode_code,coinsurance_code,class_cd,it_remarks) values('22Oct240201','040000181998','8800',(select max(to_number(i.premium_rcv_detail_code))+1
from ins_premium_det i),'8800','8800','02', '11000003','00','Request by Mr. Omair Ali 22-Oct-2024 allocation 22Oct240201');</v>
      </c>
    </row>
    <row r="586" spans="1:8" ht="105" x14ac:dyDescent="0.25">
      <c r="A586" t="s">
        <v>714</v>
      </c>
      <c r="B586" s="51" t="str">
        <f>VLOOKUP(A586,policy!B:C,2,0)</f>
        <v>040000181999</v>
      </c>
      <c r="C586" s="46">
        <v>8800</v>
      </c>
      <c r="D586" s="46">
        <v>8800</v>
      </c>
      <c r="E586" s="50" t="s">
        <v>3673</v>
      </c>
      <c r="F586" s="52" t="str">
        <f t="shared" si="27"/>
        <v>insert into ins_premium_det (premium_rcv_code,assorted_code, rec_amount,premium_rcv_detail_code,remaining_amt, payrec, mode_code,coinsurance_code,class_cd,it_remarks) values</v>
      </c>
      <c r="G586" s="53" t="str">
        <f t="shared" si="28"/>
        <v>('22Oct240201','040000181999','8800',(select max(to_number(i.premium_rcv_detail_code))+1
from ins_premium_det i),'8800','8800','02', '11000003','00','Request by Mr. Omair Ali 22-Oct-2024 allocation 22Oct240201');</v>
      </c>
      <c r="H586" s="54" t="str">
        <f t="shared" si="29"/>
        <v>insert into ins_premium_det (premium_rcv_code,assorted_code, rec_amount,premium_rcv_detail_code,remaining_amt, payrec, mode_code,coinsurance_code,class_cd,it_remarks) values('22Oct240201','040000181999','8800',(select max(to_number(i.premium_rcv_detail_code))+1
from ins_premium_det i),'8800','8800','02', '11000003','00','Request by Mr. Omair Ali 22-Oct-2024 allocation 22Oct240201');</v>
      </c>
    </row>
    <row r="587" spans="1:8" ht="105" x14ac:dyDescent="0.25">
      <c r="A587" t="s">
        <v>715</v>
      </c>
      <c r="B587" s="51" t="str">
        <f>VLOOKUP(A587,policy!B:C,2,0)</f>
        <v>040000182001</v>
      </c>
      <c r="C587" s="46">
        <v>8800</v>
      </c>
      <c r="D587" s="46">
        <v>8800</v>
      </c>
      <c r="E587" s="50" t="s">
        <v>3673</v>
      </c>
      <c r="F587" s="52" t="str">
        <f t="shared" si="27"/>
        <v>insert into ins_premium_det (premium_rcv_code,assorted_code, rec_amount,premium_rcv_detail_code,remaining_amt, payrec, mode_code,coinsurance_code,class_cd,it_remarks) values</v>
      </c>
      <c r="G587" s="53" t="str">
        <f t="shared" si="28"/>
        <v>('22Oct240201','040000182001','8800',(select max(to_number(i.premium_rcv_detail_code))+1
from ins_premium_det i),'8800','8800','02', '11000003','00','Request by Mr. Omair Ali 22-Oct-2024 allocation 22Oct240201');</v>
      </c>
      <c r="H587" s="54" t="str">
        <f t="shared" si="29"/>
        <v>insert into ins_premium_det (premium_rcv_code,assorted_code, rec_amount,premium_rcv_detail_code,remaining_amt, payrec, mode_code,coinsurance_code,class_cd,it_remarks) values('22Oct240201','040000182001','8800',(select max(to_number(i.premium_rcv_detail_code))+1
from ins_premium_det i),'8800','8800','02', '11000003','00','Request by Mr. Omair Ali 22-Oct-2024 allocation 22Oct240201');</v>
      </c>
    </row>
    <row r="588" spans="1:8" ht="105" x14ac:dyDescent="0.25">
      <c r="A588" t="s">
        <v>716</v>
      </c>
      <c r="B588" s="51" t="str">
        <f>VLOOKUP(A588,policy!B:C,2,0)</f>
        <v>040000182002</v>
      </c>
      <c r="C588" s="46">
        <v>8800</v>
      </c>
      <c r="D588" s="46">
        <v>8800</v>
      </c>
      <c r="E588" s="50" t="s">
        <v>3673</v>
      </c>
      <c r="F588" s="52" t="str">
        <f t="shared" si="27"/>
        <v>insert into ins_premium_det (premium_rcv_code,assorted_code, rec_amount,premium_rcv_detail_code,remaining_amt, payrec, mode_code,coinsurance_code,class_cd,it_remarks) values</v>
      </c>
      <c r="G588" s="53" t="str">
        <f t="shared" si="28"/>
        <v>('22Oct240201','040000182002','8800',(select max(to_number(i.premium_rcv_detail_code))+1
from ins_premium_det i),'8800','8800','02', '11000003','00','Request by Mr. Omair Ali 22-Oct-2024 allocation 22Oct240201');</v>
      </c>
      <c r="H588" s="54" t="str">
        <f t="shared" si="29"/>
        <v>insert into ins_premium_det (premium_rcv_code,assorted_code, rec_amount,premium_rcv_detail_code,remaining_amt, payrec, mode_code,coinsurance_code,class_cd,it_remarks) values('22Oct240201','040000182002','8800',(select max(to_number(i.premium_rcv_detail_code))+1
from ins_premium_det i),'8800','8800','02', '11000003','00','Request by Mr. Omair Ali 22-Oct-2024 allocation 22Oct240201');</v>
      </c>
    </row>
    <row r="589" spans="1:8" ht="105" x14ac:dyDescent="0.25">
      <c r="A589" t="s">
        <v>717</v>
      </c>
      <c r="B589" s="51" t="str">
        <f>VLOOKUP(A589,policy!B:C,2,0)</f>
        <v>040000182004</v>
      </c>
      <c r="C589" s="46">
        <v>8800</v>
      </c>
      <c r="D589" s="46">
        <v>8800</v>
      </c>
      <c r="E589" s="50" t="s">
        <v>3673</v>
      </c>
      <c r="F589" s="52" t="str">
        <f t="shared" si="27"/>
        <v>insert into ins_premium_det (premium_rcv_code,assorted_code, rec_amount,premium_rcv_detail_code,remaining_amt, payrec, mode_code,coinsurance_code,class_cd,it_remarks) values</v>
      </c>
      <c r="G589" s="53" t="str">
        <f t="shared" si="28"/>
        <v>('22Oct240201','040000182004','8800',(select max(to_number(i.premium_rcv_detail_code))+1
from ins_premium_det i),'8800','8800','02', '11000003','00','Request by Mr. Omair Ali 22-Oct-2024 allocation 22Oct240201');</v>
      </c>
      <c r="H589" s="54" t="str">
        <f t="shared" si="29"/>
        <v>insert into ins_premium_det (premium_rcv_code,assorted_code, rec_amount,premium_rcv_detail_code,remaining_amt, payrec, mode_code,coinsurance_code,class_cd,it_remarks) values('22Oct240201','040000182004','8800',(select max(to_number(i.premium_rcv_detail_code))+1
from ins_premium_det i),'8800','8800','02', '11000003','00','Request by Mr. Omair Ali 22-Oct-2024 allocation 22Oct240201');</v>
      </c>
    </row>
    <row r="590" spans="1:8" ht="105" x14ac:dyDescent="0.25">
      <c r="A590" t="s">
        <v>718</v>
      </c>
      <c r="B590" s="51" t="str">
        <f>VLOOKUP(A590,policy!B:C,2,0)</f>
        <v>040000182005</v>
      </c>
      <c r="C590" s="46">
        <v>8800</v>
      </c>
      <c r="D590" s="46">
        <v>8800</v>
      </c>
      <c r="E590" s="50" t="s">
        <v>3673</v>
      </c>
      <c r="F590" s="52" t="str">
        <f t="shared" si="27"/>
        <v>insert into ins_premium_det (premium_rcv_code,assorted_code, rec_amount,premium_rcv_detail_code,remaining_amt, payrec, mode_code,coinsurance_code,class_cd,it_remarks) values</v>
      </c>
      <c r="G590" s="53" t="str">
        <f t="shared" si="28"/>
        <v>('22Oct240201','040000182005','8800',(select max(to_number(i.premium_rcv_detail_code))+1
from ins_premium_det i),'8800','8800','02', '11000003','00','Request by Mr. Omair Ali 22-Oct-2024 allocation 22Oct240201');</v>
      </c>
      <c r="H590" s="54" t="str">
        <f t="shared" si="29"/>
        <v>insert into ins_premium_det (premium_rcv_code,assorted_code, rec_amount,premium_rcv_detail_code,remaining_amt, payrec, mode_code,coinsurance_code,class_cd,it_remarks) values('22Oct240201','040000182005','8800',(select max(to_number(i.premium_rcv_detail_code))+1
from ins_premium_det i),'8800','8800','02', '11000003','00','Request by Mr. Omair Ali 22-Oct-2024 allocation 22Oct240201');</v>
      </c>
    </row>
    <row r="591" spans="1:8" ht="105" x14ac:dyDescent="0.25">
      <c r="A591" t="s">
        <v>719</v>
      </c>
      <c r="B591" s="51" t="str">
        <f>VLOOKUP(A591,policy!B:C,2,0)</f>
        <v>040000182007</v>
      </c>
      <c r="C591" s="46">
        <v>8800</v>
      </c>
      <c r="D591" s="46">
        <v>8800</v>
      </c>
      <c r="E591" s="50" t="s">
        <v>3673</v>
      </c>
      <c r="F591" s="52" t="str">
        <f t="shared" si="27"/>
        <v>insert into ins_premium_det (premium_rcv_code,assorted_code, rec_amount,premium_rcv_detail_code,remaining_amt, payrec, mode_code,coinsurance_code,class_cd,it_remarks) values</v>
      </c>
      <c r="G591" s="53" t="str">
        <f t="shared" si="28"/>
        <v>('22Oct240201','040000182007','8800',(select max(to_number(i.premium_rcv_detail_code))+1
from ins_premium_det i),'8800','8800','02', '11000003','00','Request by Mr. Omair Ali 22-Oct-2024 allocation 22Oct240201');</v>
      </c>
      <c r="H591" s="54" t="str">
        <f t="shared" si="29"/>
        <v>insert into ins_premium_det (premium_rcv_code,assorted_code, rec_amount,premium_rcv_detail_code,remaining_amt, payrec, mode_code,coinsurance_code,class_cd,it_remarks) values('22Oct240201','040000182007','8800',(select max(to_number(i.premium_rcv_detail_code))+1
from ins_premium_det i),'8800','8800','02', '11000003','00','Request by Mr. Omair Ali 22-Oct-2024 allocation 22Oct240201');</v>
      </c>
    </row>
    <row r="592" spans="1:8" ht="105" x14ac:dyDescent="0.25">
      <c r="A592" t="s">
        <v>720</v>
      </c>
      <c r="B592" s="51" t="str">
        <f>VLOOKUP(A592,policy!B:C,2,0)</f>
        <v>040000182008</v>
      </c>
      <c r="C592" s="46">
        <v>8800</v>
      </c>
      <c r="D592" s="46">
        <v>8800</v>
      </c>
      <c r="E592" s="50" t="s">
        <v>3673</v>
      </c>
      <c r="F592" s="52" t="str">
        <f t="shared" si="27"/>
        <v>insert into ins_premium_det (premium_rcv_code,assorted_code, rec_amount,premium_rcv_detail_code,remaining_amt, payrec, mode_code,coinsurance_code,class_cd,it_remarks) values</v>
      </c>
      <c r="G592" s="53" t="str">
        <f t="shared" si="28"/>
        <v>('22Oct240201','040000182008','8800',(select max(to_number(i.premium_rcv_detail_code))+1
from ins_premium_det i),'8800','8800','02', '11000003','00','Request by Mr. Omair Ali 22-Oct-2024 allocation 22Oct240201');</v>
      </c>
      <c r="H592" s="54" t="str">
        <f t="shared" si="29"/>
        <v>insert into ins_premium_det (premium_rcv_code,assorted_code, rec_amount,premium_rcv_detail_code,remaining_amt, payrec, mode_code,coinsurance_code,class_cd,it_remarks) values('22Oct240201','040000182008','8800',(select max(to_number(i.premium_rcv_detail_code))+1
from ins_premium_det i),'8800','8800','02', '11000003','00','Request by Mr. Omair Ali 22-Oct-2024 allocation 22Oct240201');</v>
      </c>
    </row>
    <row r="593" spans="1:8" ht="105" x14ac:dyDescent="0.25">
      <c r="A593" t="s">
        <v>721</v>
      </c>
      <c r="B593" s="51" t="str">
        <f>VLOOKUP(A593,policy!B:C,2,0)</f>
        <v>040000182009</v>
      </c>
      <c r="C593" s="46">
        <v>9550</v>
      </c>
      <c r="D593" s="46">
        <v>9550</v>
      </c>
      <c r="E593" s="50" t="s">
        <v>3673</v>
      </c>
      <c r="F593" s="52" t="str">
        <f t="shared" si="27"/>
        <v>insert into ins_premium_det (premium_rcv_code,assorted_code, rec_amount,premium_rcv_detail_code,remaining_amt, payrec, mode_code,coinsurance_code,class_cd,it_remarks) values</v>
      </c>
      <c r="G593" s="53" t="str">
        <f t="shared" si="28"/>
        <v>('22Oct240201','040000182009','9550',(select max(to_number(i.premium_rcv_detail_code))+1
from ins_premium_det i),'9550','9550','02', '11000003','00','Request by Mr. Omair Ali 22-Oct-2024 allocation 22Oct240201');</v>
      </c>
      <c r="H593" s="54" t="str">
        <f t="shared" si="29"/>
        <v>insert into ins_premium_det (premium_rcv_code,assorted_code, rec_amount,premium_rcv_detail_code,remaining_amt, payrec, mode_code,coinsurance_code,class_cd,it_remarks) values('22Oct240201','040000182009','9550',(select max(to_number(i.premium_rcv_detail_code))+1
from ins_premium_det i),'9550','9550','02', '11000003','00','Request by Mr. Omair Ali 22-Oct-2024 allocation 22Oct240201');</v>
      </c>
    </row>
    <row r="594" spans="1:8" ht="105" x14ac:dyDescent="0.25">
      <c r="A594" t="s">
        <v>722</v>
      </c>
      <c r="B594" s="51" t="str">
        <f>VLOOKUP(A594,policy!B:C,2,0)</f>
        <v>040000182010</v>
      </c>
      <c r="C594" s="46">
        <v>8800</v>
      </c>
      <c r="D594" s="46">
        <v>8800</v>
      </c>
      <c r="E594" s="50" t="s">
        <v>3673</v>
      </c>
      <c r="F594" s="52" t="str">
        <f t="shared" si="27"/>
        <v>insert into ins_premium_det (premium_rcv_code,assorted_code, rec_amount,premium_rcv_detail_code,remaining_amt, payrec, mode_code,coinsurance_code,class_cd,it_remarks) values</v>
      </c>
      <c r="G594" s="53" t="str">
        <f t="shared" si="28"/>
        <v>('22Oct240201','040000182010','8800',(select max(to_number(i.premium_rcv_detail_code))+1
from ins_premium_det i),'8800','8800','02', '11000003','00','Request by Mr. Omair Ali 22-Oct-2024 allocation 22Oct240201');</v>
      </c>
      <c r="H594" s="54" t="str">
        <f t="shared" si="29"/>
        <v>insert into ins_premium_det (premium_rcv_code,assorted_code, rec_amount,premium_rcv_detail_code,remaining_amt, payrec, mode_code,coinsurance_code,class_cd,it_remarks) values('22Oct240201','040000182010','8800',(select max(to_number(i.premium_rcv_detail_code))+1
from ins_premium_det i),'8800','8800','02', '11000003','00','Request by Mr. Omair Ali 22-Oct-2024 allocation 22Oct240201');</v>
      </c>
    </row>
    <row r="595" spans="1:8" ht="105" x14ac:dyDescent="0.25">
      <c r="A595" t="s">
        <v>723</v>
      </c>
      <c r="B595" s="51" t="str">
        <f>VLOOKUP(A595,policy!B:C,2,0)</f>
        <v>040000182011</v>
      </c>
      <c r="C595" s="46">
        <v>8800</v>
      </c>
      <c r="D595" s="46">
        <v>8800</v>
      </c>
      <c r="E595" s="50" t="s">
        <v>3673</v>
      </c>
      <c r="F595" s="52" t="str">
        <f t="shared" si="27"/>
        <v>insert into ins_premium_det (premium_rcv_code,assorted_code, rec_amount,premium_rcv_detail_code,remaining_amt, payrec, mode_code,coinsurance_code,class_cd,it_remarks) values</v>
      </c>
      <c r="G595" s="53" t="str">
        <f t="shared" si="28"/>
        <v>('22Oct240201','040000182011','8800',(select max(to_number(i.premium_rcv_detail_code))+1
from ins_premium_det i),'8800','8800','02', '11000003','00','Request by Mr. Omair Ali 22-Oct-2024 allocation 22Oct240201');</v>
      </c>
      <c r="H595" s="54" t="str">
        <f t="shared" si="29"/>
        <v>insert into ins_premium_det (premium_rcv_code,assorted_code, rec_amount,premium_rcv_detail_code,remaining_amt, payrec, mode_code,coinsurance_code,class_cd,it_remarks) values('22Oct240201','040000182011','8800',(select max(to_number(i.premium_rcv_detail_code))+1
from ins_premium_det i),'8800','8800','02', '11000003','00','Request by Mr. Omair Ali 22-Oct-2024 allocation 22Oct240201');</v>
      </c>
    </row>
    <row r="596" spans="1:8" ht="105" x14ac:dyDescent="0.25">
      <c r="A596" t="s">
        <v>724</v>
      </c>
      <c r="B596" s="51" t="str">
        <f>VLOOKUP(A596,policy!B:C,2,0)</f>
        <v>040000182012</v>
      </c>
      <c r="C596" s="46">
        <v>8800</v>
      </c>
      <c r="D596" s="46">
        <v>8800</v>
      </c>
      <c r="E596" s="50" t="s">
        <v>3673</v>
      </c>
      <c r="F596" s="52" t="str">
        <f t="shared" si="27"/>
        <v>insert into ins_premium_det (premium_rcv_code,assorted_code, rec_amount,premium_rcv_detail_code,remaining_amt, payrec, mode_code,coinsurance_code,class_cd,it_remarks) values</v>
      </c>
      <c r="G596" s="53" t="str">
        <f t="shared" si="28"/>
        <v>('22Oct240201','040000182012','8800',(select max(to_number(i.premium_rcv_detail_code))+1
from ins_premium_det i),'8800','8800','02', '11000003','00','Request by Mr. Omair Ali 22-Oct-2024 allocation 22Oct240201');</v>
      </c>
      <c r="H596" s="54" t="str">
        <f t="shared" si="29"/>
        <v>insert into ins_premium_det (premium_rcv_code,assorted_code, rec_amount,premium_rcv_detail_code,remaining_amt, payrec, mode_code,coinsurance_code,class_cd,it_remarks) values('22Oct240201','040000182012','8800',(select max(to_number(i.premium_rcv_detail_code))+1
from ins_premium_det i),'8800','8800','02', '11000003','00','Request by Mr. Omair Ali 22-Oct-2024 allocation 22Oct240201');</v>
      </c>
    </row>
    <row r="597" spans="1:8" ht="105" x14ac:dyDescent="0.25">
      <c r="A597" t="s">
        <v>725</v>
      </c>
      <c r="B597" s="51" t="str">
        <f>VLOOKUP(A597,policy!B:C,2,0)</f>
        <v>040000182054</v>
      </c>
      <c r="C597" s="46">
        <v>14960</v>
      </c>
      <c r="D597" s="46">
        <v>14960</v>
      </c>
      <c r="E597" s="50" t="s">
        <v>3673</v>
      </c>
      <c r="F597" s="52" t="str">
        <f t="shared" si="27"/>
        <v>insert into ins_premium_det (premium_rcv_code,assorted_code, rec_amount,premium_rcv_detail_code,remaining_amt, payrec, mode_code,coinsurance_code,class_cd,it_remarks) values</v>
      </c>
      <c r="G597" s="53" t="str">
        <f t="shared" si="28"/>
        <v>('22Oct240201','040000182054','14960',(select max(to_number(i.premium_rcv_detail_code))+1
from ins_premium_det i),'14960','14960','02', '11000003','00','Request by Mr. Omair Ali 22-Oct-2024 allocation 22Oct240201');</v>
      </c>
      <c r="H597" s="54" t="str">
        <f t="shared" si="29"/>
        <v>insert into ins_premium_det (premium_rcv_code,assorted_code, rec_amount,premium_rcv_detail_code,remaining_amt, payrec, mode_code,coinsurance_code,class_cd,it_remarks) values('22Oct240201','040000182054','14960',(select max(to_number(i.premium_rcv_detail_code))+1
from ins_premium_det i),'14960','14960','02', '11000003','00','Request by Mr. Omair Ali 22-Oct-2024 allocation 22Oct240201');</v>
      </c>
    </row>
    <row r="598" spans="1:8" ht="105" x14ac:dyDescent="0.25">
      <c r="A598" t="s">
        <v>726</v>
      </c>
      <c r="B598" s="51" t="str">
        <f>VLOOKUP(A598,policy!B:C,2,0)</f>
        <v>040000182055</v>
      </c>
      <c r="C598" s="46">
        <v>14960</v>
      </c>
      <c r="D598" s="46">
        <v>14960</v>
      </c>
      <c r="E598" s="50" t="s">
        <v>3673</v>
      </c>
      <c r="F598" s="52" t="str">
        <f t="shared" si="27"/>
        <v>insert into ins_premium_det (premium_rcv_code,assorted_code, rec_amount,premium_rcv_detail_code,remaining_amt, payrec, mode_code,coinsurance_code,class_cd,it_remarks) values</v>
      </c>
      <c r="G598" s="53" t="str">
        <f t="shared" si="28"/>
        <v>('22Oct240201','040000182055','14960',(select max(to_number(i.premium_rcv_detail_code))+1
from ins_premium_det i),'14960','14960','02', '11000003','00','Request by Mr. Omair Ali 22-Oct-2024 allocation 22Oct240201');</v>
      </c>
      <c r="H598" s="54" t="str">
        <f t="shared" si="29"/>
        <v>insert into ins_premium_det (premium_rcv_code,assorted_code, rec_amount,premium_rcv_detail_code,remaining_amt, payrec, mode_code,coinsurance_code,class_cd,it_remarks) values('22Oct240201','040000182055','14960',(select max(to_number(i.premium_rcv_detail_code))+1
from ins_premium_det i),'14960','14960','02', '11000003','00','Request by Mr. Omair Ali 22-Oct-2024 allocation 22Oct240201');</v>
      </c>
    </row>
    <row r="599" spans="1:8" ht="105" x14ac:dyDescent="0.25">
      <c r="A599" t="s">
        <v>727</v>
      </c>
      <c r="B599" s="51" t="str">
        <f>VLOOKUP(A599,policy!B:C,2,0)</f>
        <v>040000182057</v>
      </c>
      <c r="C599" s="46">
        <v>13675</v>
      </c>
      <c r="D599" s="46">
        <v>13675</v>
      </c>
      <c r="E599" s="50" t="s">
        <v>3673</v>
      </c>
      <c r="F599" s="52" t="str">
        <f t="shared" si="27"/>
        <v>insert into ins_premium_det (premium_rcv_code,assorted_code, rec_amount,premium_rcv_detail_code,remaining_amt, payrec, mode_code,coinsurance_code,class_cd,it_remarks) values</v>
      </c>
      <c r="G599" s="53" t="str">
        <f t="shared" si="28"/>
        <v>('22Oct240201','040000182057','13675',(select max(to_number(i.premium_rcv_detail_code))+1
from ins_premium_det i),'13675','13675','02', '11000003','00','Request by Mr. Omair Ali 22-Oct-2024 allocation 22Oct240201');</v>
      </c>
      <c r="H599" s="54" t="str">
        <f t="shared" si="29"/>
        <v>insert into ins_premium_det (premium_rcv_code,assorted_code, rec_amount,premium_rcv_detail_code,remaining_amt, payrec, mode_code,coinsurance_code,class_cd,it_remarks) values('22Oct240201','040000182057','13675',(select max(to_number(i.premium_rcv_detail_code))+1
from ins_premium_det i),'13675','13675','02', '11000003','00','Request by Mr. Omair Ali 22-Oct-2024 allocation 22Oct240201');</v>
      </c>
    </row>
    <row r="600" spans="1:8" ht="105" x14ac:dyDescent="0.25">
      <c r="A600" t="s">
        <v>728</v>
      </c>
      <c r="B600" s="51" t="str">
        <f>VLOOKUP(A600,policy!B:C,2,0)</f>
        <v>040000182058</v>
      </c>
      <c r="C600" s="46">
        <v>16235</v>
      </c>
      <c r="D600" s="46">
        <v>16235</v>
      </c>
      <c r="E600" s="50" t="s">
        <v>3673</v>
      </c>
      <c r="F600" s="52" t="str">
        <f t="shared" si="27"/>
        <v>insert into ins_premium_det (premium_rcv_code,assorted_code, rec_amount,premium_rcv_detail_code,remaining_amt, payrec, mode_code,coinsurance_code,class_cd,it_remarks) values</v>
      </c>
      <c r="G600" s="53" t="str">
        <f t="shared" si="28"/>
        <v>('22Oct240201','040000182058','16235',(select max(to_number(i.premium_rcv_detail_code))+1
from ins_premium_det i),'16235','16235','02', '11000003','00','Request by Mr. Omair Ali 22-Oct-2024 allocation 22Oct240201');</v>
      </c>
      <c r="H600" s="54" t="str">
        <f t="shared" si="29"/>
        <v>insert into ins_premium_det (premium_rcv_code,assorted_code, rec_amount,premium_rcv_detail_code,remaining_amt, payrec, mode_code,coinsurance_code,class_cd,it_remarks) values('22Oct240201','040000182058','16235',(select max(to_number(i.premium_rcv_detail_code))+1
from ins_premium_det i),'16235','16235','02', '11000003','00','Request by Mr. Omair Ali 22-Oct-2024 allocation 22Oct240201');</v>
      </c>
    </row>
    <row r="601" spans="1:8" ht="105" x14ac:dyDescent="0.25">
      <c r="A601" t="s">
        <v>729</v>
      </c>
      <c r="B601" s="51" t="str">
        <f>VLOOKUP(A601,policy!B:C,2,0)</f>
        <v>040000182062</v>
      </c>
      <c r="C601" s="46">
        <v>14960</v>
      </c>
      <c r="D601" s="46">
        <v>14960</v>
      </c>
      <c r="E601" s="50" t="s">
        <v>3673</v>
      </c>
      <c r="F601" s="52" t="str">
        <f t="shared" si="27"/>
        <v>insert into ins_premium_det (premium_rcv_code,assorted_code, rec_amount,premium_rcv_detail_code,remaining_amt, payrec, mode_code,coinsurance_code,class_cd,it_remarks) values</v>
      </c>
      <c r="G601" s="53" t="str">
        <f t="shared" si="28"/>
        <v>('22Oct240201','040000182062','14960',(select max(to_number(i.premium_rcv_detail_code))+1
from ins_premium_det i),'14960','14960','02', '11000003','00','Request by Mr. Omair Ali 22-Oct-2024 allocation 22Oct240201');</v>
      </c>
      <c r="H601" s="54" t="str">
        <f t="shared" si="29"/>
        <v>insert into ins_premium_det (premium_rcv_code,assorted_code, rec_amount,premium_rcv_detail_code,remaining_amt, payrec, mode_code,coinsurance_code,class_cd,it_remarks) values('22Oct240201','040000182062','14960',(select max(to_number(i.premium_rcv_detail_code))+1
from ins_premium_det i),'14960','14960','02', '11000003','00','Request by Mr. Omair Ali 22-Oct-2024 allocation 22Oct240201');</v>
      </c>
    </row>
    <row r="602" spans="1:8" ht="105" x14ac:dyDescent="0.25">
      <c r="A602" t="s">
        <v>730</v>
      </c>
      <c r="B602" s="51" t="str">
        <f>VLOOKUP(A602,policy!B:C,2,0)</f>
        <v>040000182066</v>
      </c>
      <c r="C602" s="46">
        <v>8800</v>
      </c>
      <c r="D602" s="46">
        <v>8800</v>
      </c>
      <c r="E602" s="50" t="s">
        <v>3673</v>
      </c>
      <c r="F602" s="52" t="str">
        <f t="shared" si="27"/>
        <v>insert into ins_premium_det (premium_rcv_code,assorted_code, rec_amount,premium_rcv_detail_code,remaining_amt, payrec, mode_code,coinsurance_code,class_cd,it_remarks) values</v>
      </c>
      <c r="G602" s="53" t="str">
        <f t="shared" si="28"/>
        <v>('22Oct240201','040000182066','8800',(select max(to_number(i.premium_rcv_detail_code))+1
from ins_premium_det i),'8800','8800','02', '11000003','00','Request by Mr. Omair Ali 22-Oct-2024 allocation 22Oct240201');</v>
      </c>
      <c r="H602" s="54" t="str">
        <f t="shared" si="29"/>
        <v>insert into ins_premium_det (premium_rcv_code,assorted_code, rec_amount,premium_rcv_detail_code,remaining_amt, payrec, mode_code,coinsurance_code,class_cd,it_remarks) values('22Oct240201','040000182066','8800',(select max(to_number(i.premium_rcv_detail_code))+1
from ins_premium_det i),'8800','8800','02', '11000003','00','Request by Mr. Omair Ali 22-Oct-2024 allocation 22Oct240201');</v>
      </c>
    </row>
    <row r="603" spans="1:8" ht="105" x14ac:dyDescent="0.25">
      <c r="A603" t="s">
        <v>731</v>
      </c>
      <c r="B603" s="51" t="str">
        <f>VLOOKUP(A603,policy!B:C,2,0)</f>
        <v>040000182069</v>
      </c>
      <c r="C603" s="46">
        <v>14960</v>
      </c>
      <c r="D603" s="46">
        <v>14960</v>
      </c>
      <c r="E603" s="50" t="s">
        <v>3673</v>
      </c>
      <c r="F603" s="52" t="str">
        <f t="shared" si="27"/>
        <v>insert into ins_premium_det (premium_rcv_code,assorted_code, rec_amount,premium_rcv_detail_code,remaining_amt, payrec, mode_code,coinsurance_code,class_cd,it_remarks) values</v>
      </c>
      <c r="G603" s="53" t="str">
        <f t="shared" si="28"/>
        <v>('22Oct240201','040000182069','14960',(select max(to_number(i.premium_rcv_detail_code))+1
from ins_premium_det i),'14960','14960','02', '11000003','00','Request by Mr. Omair Ali 22-Oct-2024 allocation 22Oct240201');</v>
      </c>
      <c r="H603" s="54" t="str">
        <f t="shared" si="29"/>
        <v>insert into ins_premium_det (premium_rcv_code,assorted_code, rec_amount,premium_rcv_detail_code,remaining_amt, payrec, mode_code,coinsurance_code,class_cd,it_remarks) values('22Oct240201','040000182069','14960',(select max(to_number(i.premium_rcv_detail_code))+1
from ins_premium_det i),'14960','14960','02', '11000003','00','Request by Mr. Omair Ali 22-Oct-2024 allocation 22Oct240201');</v>
      </c>
    </row>
    <row r="604" spans="1:8" ht="105" x14ac:dyDescent="0.25">
      <c r="A604" t="s">
        <v>732</v>
      </c>
      <c r="B604" s="51" t="str">
        <f>VLOOKUP(A604,policy!B:C,2,0)</f>
        <v>040000182076</v>
      </c>
      <c r="C604" s="46">
        <v>14960</v>
      </c>
      <c r="D604" s="46">
        <v>14960</v>
      </c>
      <c r="E604" s="50" t="s">
        <v>3673</v>
      </c>
      <c r="F604" s="52" t="str">
        <f t="shared" si="27"/>
        <v>insert into ins_premium_det (premium_rcv_code,assorted_code, rec_amount,premium_rcv_detail_code,remaining_amt, payrec, mode_code,coinsurance_code,class_cd,it_remarks) values</v>
      </c>
      <c r="G604" s="53" t="str">
        <f t="shared" si="28"/>
        <v>('22Oct240201','040000182076','14960',(select max(to_number(i.premium_rcv_detail_code))+1
from ins_premium_det i),'14960','14960','02', '11000003','00','Request by Mr. Omair Ali 22-Oct-2024 allocation 22Oct240201');</v>
      </c>
      <c r="H604" s="54" t="str">
        <f t="shared" si="29"/>
        <v>insert into ins_premium_det (premium_rcv_code,assorted_code, rec_amount,premium_rcv_detail_code,remaining_amt, payrec, mode_code,coinsurance_code,class_cd,it_remarks) values('22Oct240201','040000182076','14960',(select max(to_number(i.premium_rcv_detail_code))+1
from ins_premium_det i),'14960','14960','02', '11000003','00','Request by Mr. Omair Ali 22-Oct-2024 allocation 22Oct240201');</v>
      </c>
    </row>
    <row r="605" spans="1:8" ht="105" x14ac:dyDescent="0.25">
      <c r="A605" t="s">
        <v>733</v>
      </c>
      <c r="B605" s="51" t="str">
        <f>VLOOKUP(A605,policy!B:C,2,0)</f>
        <v>040000182077</v>
      </c>
      <c r="C605" s="46">
        <v>23248</v>
      </c>
      <c r="D605" s="46">
        <v>23248</v>
      </c>
      <c r="E605" s="50" t="s">
        <v>3673</v>
      </c>
      <c r="F605" s="52" t="str">
        <f t="shared" si="27"/>
        <v>insert into ins_premium_det (premium_rcv_code,assorted_code, rec_amount,premium_rcv_detail_code,remaining_amt, payrec, mode_code,coinsurance_code,class_cd,it_remarks) values</v>
      </c>
      <c r="G605" s="53" t="str">
        <f t="shared" si="28"/>
        <v>('22Oct240201','040000182077','23248',(select max(to_number(i.premium_rcv_detail_code))+1
from ins_premium_det i),'23248','23248','02', '11000003','00','Request by Mr. Omair Ali 22-Oct-2024 allocation 22Oct240201');</v>
      </c>
      <c r="H605" s="54" t="str">
        <f t="shared" si="29"/>
        <v>insert into ins_premium_det (premium_rcv_code,assorted_code, rec_amount,premium_rcv_detail_code,remaining_amt, payrec, mode_code,coinsurance_code,class_cd,it_remarks) values('22Oct240201','040000182077','23248',(select max(to_number(i.premium_rcv_detail_code))+1
from ins_premium_det i),'23248','23248','02', '11000003','00','Request by Mr. Omair Ali 22-Oct-2024 allocation 22Oct240201');</v>
      </c>
    </row>
    <row r="606" spans="1:8" ht="105" x14ac:dyDescent="0.25">
      <c r="A606" t="s">
        <v>734</v>
      </c>
      <c r="B606" s="51" t="str">
        <f>VLOOKUP(A606,policy!B:C,2,0)</f>
        <v>040000182078</v>
      </c>
      <c r="C606" s="46">
        <v>23248</v>
      </c>
      <c r="D606" s="46">
        <v>23248</v>
      </c>
      <c r="E606" s="50" t="s">
        <v>3673</v>
      </c>
      <c r="F606" s="52" t="str">
        <f t="shared" si="27"/>
        <v>insert into ins_premium_det (premium_rcv_code,assorted_code, rec_amount,premium_rcv_detail_code,remaining_amt, payrec, mode_code,coinsurance_code,class_cd,it_remarks) values</v>
      </c>
      <c r="G606" s="53" t="str">
        <f t="shared" si="28"/>
        <v>('22Oct240201','040000182078','23248',(select max(to_number(i.premium_rcv_detail_code))+1
from ins_premium_det i),'23248','23248','02', '11000003','00','Request by Mr. Omair Ali 22-Oct-2024 allocation 22Oct240201');</v>
      </c>
      <c r="H606" s="54" t="str">
        <f t="shared" si="29"/>
        <v>insert into ins_premium_det (premium_rcv_code,assorted_code, rec_amount,premium_rcv_detail_code,remaining_amt, payrec, mode_code,coinsurance_code,class_cd,it_remarks) values('22Oct240201','040000182078','23248',(select max(to_number(i.premium_rcv_detail_code))+1
from ins_premium_det i),'23248','23248','02', '11000003','00','Request by Mr. Omair Ali 22-Oct-2024 allocation 22Oct240201');</v>
      </c>
    </row>
    <row r="607" spans="1:8" ht="105" x14ac:dyDescent="0.25">
      <c r="A607" t="s">
        <v>735</v>
      </c>
      <c r="B607" s="51" t="str">
        <f>VLOOKUP(A607,policy!B:C,2,0)</f>
        <v>040000182081</v>
      </c>
      <c r="C607" s="46">
        <v>23248</v>
      </c>
      <c r="D607" s="46">
        <v>23248</v>
      </c>
      <c r="E607" s="50" t="s">
        <v>3673</v>
      </c>
      <c r="F607" s="52" t="str">
        <f t="shared" si="27"/>
        <v>insert into ins_premium_det (premium_rcv_code,assorted_code, rec_amount,premium_rcv_detail_code,remaining_amt, payrec, mode_code,coinsurance_code,class_cd,it_remarks) values</v>
      </c>
      <c r="G607" s="53" t="str">
        <f t="shared" si="28"/>
        <v>('22Oct240201','040000182081','23248',(select max(to_number(i.premium_rcv_detail_code))+1
from ins_premium_det i),'23248','23248','02', '11000003','00','Request by Mr. Omair Ali 22-Oct-2024 allocation 22Oct240201');</v>
      </c>
      <c r="H607" s="54" t="str">
        <f t="shared" si="29"/>
        <v>insert into ins_premium_det (premium_rcv_code,assorted_code, rec_amount,premium_rcv_detail_code,remaining_amt, payrec, mode_code,coinsurance_code,class_cd,it_remarks) values('22Oct240201','040000182081','23248',(select max(to_number(i.premium_rcv_detail_code))+1
from ins_premium_det i),'23248','23248','02', '11000003','00','Request by Mr. Omair Ali 22-Oct-2024 allocation 22Oct240201');</v>
      </c>
    </row>
    <row r="608" spans="1:8" ht="105" x14ac:dyDescent="0.25">
      <c r="A608" t="s">
        <v>736</v>
      </c>
      <c r="B608" s="51" t="str">
        <f>VLOOKUP(A608,policy!B:C,2,0)</f>
        <v>040000182082</v>
      </c>
      <c r="C608" s="46">
        <v>23248</v>
      </c>
      <c r="D608" s="46">
        <v>23248</v>
      </c>
      <c r="E608" s="50" t="s">
        <v>3673</v>
      </c>
      <c r="F608" s="52" t="str">
        <f t="shared" si="27"/>
        <v>insert into ins_premium_det (premium_rcv_code,assorted_code, rec_amount,premium_rcv_detail_code,remaining_amt, payrec, mode_code,coinsurance_code,class_cd,it_remarks) values</v>
      </c>
      <c r="G608" s="53" t="str">
        <f t="shared" si="28"/>
        <v>('22Oct240201','040000182082','23248',(select max(to_number(i.premium_rcv_detail_code))+1
from ins_premium_det i),'23248','23248','02', '11000003','00','Request by Mr. Omair Ali 22-Oct-2024 allocation 22Oct240201');</v>
      </c>
      <c r="H608" s="54" t="str">
        <f t="shared" si="29"/>
        <v>insert into ins_premium_det (premium_rcv_code,assorted_code, rec_amount,premium_rcv_detail_code,remaining_amt, payrec, mode_code,coinsurance_code,class_cd,it_remarks) values('22Oct240201','040000182082','23248',(select max(to_number(i.premium_rcv_detail_code))+1
from ins_premium_det i),'23248','23248','02', '11000003','00','Request by Mr. Omair Ali 22-Oct-2024 allocation 22Oct240201');</v>
      </c>
    </row>
    <row r="609" spans="1:8" ht="105" x14ac:dyDescent="0.25">
      <c r="A609" t="s">
        <v>737</v>
      </c>
      <c r="B609" s="51" t="str">
        <f>VLOOKUP(A609,policy!B:C,2,0)</f>
        <v>040000182083</v>
      </c>
      <c r="C609" s="46">
        <v>16235</v>
      </c>
      <c r="D609" s="46">
        <v>16235</v>
      </c>
      <c r="E609" s="50" t="s">
        <v>3673</v>
      </c>
      <c r="F609" s="52" t="str">
        <f t="shared" si="27"/>
        <v>insert into ins_premium_det (premium_rcv_code,assorted_code, rec_amount,premium_rcv_detail_code,remaining_amt, payrec, mode_code,coinsurance_code,class_cd,it_remarks) values</v>
      </c>
      <c r="G609" s="53" t="str">
        <f t="shared" si="28"/>
        <v>('22Oct240201','040000182083','16235',(select max(to_number(i.premium_rcv_detail_code))+1
from ins_premium_det i),'16235','16235','02', '11000003','00','Request by Mr. Omair Ali 22-Oct-2024 allocation 22Oct240201');</v>
      </c>
      <c r="H609" s="54" t="str">
        <f t="shared" si="29"/>
        <v>insert into ins_premium_det (premium_rcv_code,assorted_code, rec_amount,premium_rcv_detail_code,remaining_amt, payrec, mode_code,coinsurance_code,class_cd,it_remarks) values('22Oct240201','040000182083','16235',(select max(to_number(i.premium_rcv_detail_code))+1
from ins_premium_det i),'16235','16235','02', '11000003','00','Request by Mr. Omair Ali 22-Oct-2024 allocation 22Oct240201');</v>
      </c>
    </row>
    <row r="610" spans="1:8" ht="105" x14ac:dyDescent="0.25">
      <c r="A610" t="s">
        <v>738</v>
      </c>
      <c r="B610" s="51" t="str">
        <f>VLOOKUP(A610,policy!B:C,2,0)</f>
        <v>040000182084</v>
      </c>
      <c r="C610" s="46">
        <v>16235</v>
      </c>
      <c r="D610" s="46">
        <v>16235</v>
      </c>
      <c r="E610" s="50" t="s">
        <v>3673</v>
      </c>
      <c r="F610" s="52" t="str">
        <f t="shared" si="27"/>
        <v>insert into ins_premium_det (premium_rcv_code,assorted_code, rec_amount,premium_rcv_detail_code,remaining_amt, payrec, mode_code,coinsurance_code,class_cd,it_remarks) values</v>
      </c>
      <c r="G610" s="53" t="str">
        <f t="shared" si="28"/>
        <v>('22Oct240201','040000182084','16235',(select max(to_number(i.premium_rcv_detail_code))+1
from ins_premium_det i),'16235','16235','02', '11000003','00','Request by Mr. Omair Ali 22-Oct-2024 allocation 22Oct240201');</v>
      </c>
      <c r="H610" s="54" t="str">
        <f t="shared" si="29"/>
        <v>insert into ins_premium_det (premium_rcv_code,assorted_code, rec_amount,premium_rcv_detail_code,remaining_amt, payrec, mode_code,coinsurance_code,class_cd,it_remarks) values('22Oct240201','040000182084','16235',(select max(to_number(i.premium_rcv_detail_code))+1
from ins_premium_det i),'16235','16235','02', '11000003','00','Request by Mr. Omair Ali 22-Oct-2024 allocation 22Oct240201');</v>
      </c>
    </row>
    <row r="611" spans="1:8" ht="105" x14ac:dyDescent="0.25">
      <c r="A611" t="s">
        <v>739</v>
      </c>
      <c r="B611" s="51" t="str">
        <f>VLOOKUP(A611,policy!B:C,2,0)</f>
        <v>040000182087</v>
      </c>
      <c r="C611" s="46">
        <v>14960</v>
      </c>
      <c r="D611" s="46">
        <v>14960</v>
      </c>
      <c r="E611" s="50" t="s">
        <v>3673</v>
      </c>
      <c r="F611" s="52" t="str">
        <f t="shared" si="27"/>
        <v>insert into ins_premium_det (premium_rcv_code,assorted_code, rec_amount,premium_rcv_detail_code,remaining_amt, payrec, mode_code,coinsurance_code,class_cd,it_remarks) values</v>
      </c>
      <c r="G611" s="53" t="str">
        <f t="shared" si="28"/>
        <v>('22Oct240201','040000182087','14960',(select max(to_number(i.premium_rcv_detail_code))+1
from ins_premium_det i),'14960','14960','02', '11000003','00','Request by Mr. Omair Ali 22-Oct-2024 allocation 22Oct240201');</v>
      </c>
      <c r="H611" s="54" t="str">
        <f t="shared" si="29"/>
        <v>insert into ins_premium_det (premium_rcv_code,assorted_code, rec_amount,premium_rcv_detail_code,remaining_amt, payrec, mode_code,coinsurance_code,class_cd,it_remarks) values('22Oct240201','040000182087','14960',(select max(to_number(i.premium_rcv_detail_code))+1
from ins_premium_det i),'14960','14960','02', '11000003','00','Request by Mr. Omair Ali 22-Oct-2024 allocation 22Oct240201');</v>
      </c>
    </row>
    <row r="612" spans="1:8" ht="105" x14ac:dyDescent="0.25">
      <c r="A612" t="s">
        <v>740</v>
      </c>
      <c r="B612" s="51" t="str">
        <f>VLOOKUP(A612,policy!B:C,2,0)</f>
        <v>040000182089</v>
      </c>
      <c r="C612" s="46">
        <v>14960</v>
      </c>
      <c r="D612" s="46">
        <v>14960</v>
      </c>
      <c r="E612" s="50" t="s">
        <v>3673</v>
      </c>
      <c r="F612" s="52" t="str">
        <f t="shared" si="27"/>
        <v>insert into ins_premium_det (premium_rcv_code,assorted_code, rec_amount,premium_rcv_detail_code,remaining_amt, payrec, mode_code,coinsurance_code,class_cd,it_remarks) values</v>
      </c>
      <c r="G612" s="53" t="str">
        <f t="shared" si="28"/>
        <v>('22Oct240201','040000182089','14960',(select max(to_number(i.premium_rcv_detail_code))+1
from ins_premium_det i),'14960','14960','02', '11000003','00','Request by Mr. Omair Ali 22-Oct-2024 allocation 22Oct240201');</v>
      </c>
      <c r="H612" s="54" t="str">
        <f t="shared" si="29"/>
        <v>insert into ins_premium_det (premium_rcv_code,assorted_code, rec_amount,premium_rcv_detail_code,remaining_amt, payrec, mode_code,coinsurance_code,class_cd,it_remarks) values('22Oct240201','040000182089','14960',(select max(to_number(i.premium_rcv_detail_code))+1
from ins_premium_det i),'14960','14960','02', '11000003','00','Request by Mr. Omair Ali 22-Oct-2024 allocation 22Oct240201');</v>
      </c>
    </row>
    <row r="613" spans="1:8" ht="105" x14ac:dyDescent="0.25">
      <c r="A613" t="s">
        <v>741</v>
      </c>
      <c r="B613" s="51" t="str">
        <f>VLOOKUP(A613,policy!B:C,2,0)</f>
        <v>040000182091</v>
      </c>
      <c r="C613" s="46">
        <v>8800</v>
      </c>
      <c r="D613" s="46">
        <v>8800</v>
      </c>
      <c r="E613" s="50" t="s">
        <v>3673</v>
      </c>
      <c r="F613" s="52" t="str">
        <f t="shared" si="27"/>
        <v>insert into ins_premium_det (premium_rcv_code,assorted_code, rec_amount,premium_rcv_detail_code,remaining_amt, payrec, mode_code,coinsurance_code,class_cd,it_remarks) values</v>
      </c>
      <c r="G613" s="53" t="str">
        <f t="shared" si="28"/>
        <v>('22Oct240201','040000182091','8800',(select max(to_number(i.premium_rcv_detail_code))+1
from ins_premium_det i),'8800','8800','02', '11000003','00','Request by Mr. Omair Ali 22-Oct-2024 allocation 22Oct240201');</v>
      </c>
      <c r="H613" s="54" t="str">
        <f t="shared" si="29"/>
        <v>insert into ins_premium_det (premium_rcv_code,assorted_code, rec_amount,premium_rcv_detail_code,remaining_amt, payrec, mode_code,coinsurance_code,class_cd,it_remarks) values('22Oct240201','040000182091','8800',(select max(to_number(i.premium_rcv_detail_code))+1
from ins_premium_det i),'8800','8800','02', '11000003','00','Request by Mr. Omair Ali 22-Oct-2024 allocation 22Oct240201');</v>
      </c>
    </row>
    <row r="614" spans="1:8" ht="105" x14ac:dyDescent="0.25">
      <c r="A614" t="s">
        <v>742</v>
      </c>
      <c r="B614" s="51" t="str">
        <f>VLOOKUP(A614,policy!B:C,2,0)</f>
        <v>040000182095</v>
      </c>
      <c r="C614" s="46">
        <v>8800</v>
      </c>
      <c r="D614" s="46">
        <v>8800</v>
      </c>
      <c r="E614" s="50" t="s">
        <v>3673</v>
      </c>
      <c r="F614" s="52" t="str">
        <f t="shared" si="27"/>
        <v>insert into ins_premium_det (premium_rcv_code,assorted_code, rec_amount,premium_rcv_detail_code,remaining_amt, payrec, mode_code,coinsurance_code,class_cd,it_remarks) values</v>
      </c>
      <c r="G614" s="53" t="str">
        <f t="shared" si="28"/>
        <v>('22Oct240201','040000182095','8800',(select max(to_number(i.premium_rcv_detail_code))+1
from ins_premium_det i),'8800','8800','02', '11000003','00','Request by Mr. Omair Ali 22-Oct-2024 allocation 22Oct240201');</v>
      </c>
      <c r="H614" s="54" t="str">
        <f t="shared" si="29"/>
        <v>insert into ins_premium_det (premium_rcv_code,assorted_code, rec_amount,premium_rcv_detail_code,remaining_amt, payrec, mode_code,coinsurance_code,class_cd,it_remarks) values('22Oct240201','040000182095','8800',(select max(to_number(i.premium_rcv_detail_code))+1
from ins_premium_det i),'8800','8800','02', '11000003','00','Request by Mr. Omair Ali 22-Oct-2024 allocation 22Oct240201');</v>
      </c>
    </row>
    <row r="615" spans="1:8" ht="105" x14ac:dyDescent="0.25">
      <c r="A615" t="s">
        <v>743</v>
      </c>
      <c r="B615" s="51" t="str">
        <f>VLOOKUP(A615,policy!B:C,2,0)</f>
        <v>040000182096</v>
      </c>
      <c r="C615" s="46">
        <v>14960</v>
      </c>
      <c r="D615" s="46">
        <v>14960</v>
      </c>
      <c r="E615" s="50" t="s">
        <v>3673</v>
      </c>
      <c r="F615" s="52" t="str">
        <f t="shared" si="27"/>
        <v>insert into ins_premium_det (premium_rcv_code,assorted_code, rec_amount,premium_rcv_detail_code,remaining_amt, payrec, mode_code,coinsurance_code,class_cd,it_remarks) values</v>
      </c>
      <c r="G615" s="53" t="str">
        <f t="shared" si="28"/>
        <v>('22Oct240201','040000182096','14960',(select max(to_number(i.premium_rcv_detail_code))+1
from ins_premium_det i),'14960','14960','02', '11000003','00','Request by Mr. Omair Ali 22-Oct-2024 allocation 22Oct240201');</v>
      </c>
      <c r="H615" s="54" t="str">
        <f t="shared" si="29"/>
        <v>insert into ins_premium_det (premium_rcv_code,assorted_code, rec_amount,premium_rcv_detail_code,remaining_amt, payrec, mode_code,coinsurance_code,class_cd,it_remarks) values('22Oct240201','040000182096','14960',(select max(to_number(i.premium_rcv_detail_code))+1
from ins_premium_det i),'14960','14960','02', '11000003','00','Request by Mr. Omair Ali 22-Oct-2024 allocation 22Oct240201');</v>
      </c>
    </row>
    <row r="616" spans="1:8" ht="105" x14ac:dyDescent="0.25">
      <c r="A616" t="s">
        <v>744</v>
      </c>
      <c r="B616" s="51" t="str">
        <f>VLOOKUP(A616,policy!B:C,2,0)</f>
        <v>040000182098</v>
      </c>
      <c r="C616" s="46">
        <v>8800</v>
      </c>
      <c r="D616" s="46">
        <v>8800</v>
      </c>
      <c r="E616" s="50" t="s">
        <v>3673</v>
      </c>
      <c r="F616" s="52" t="str">
        <f t="shared" si="27"/>
        <v>insert into ins_premium_det (premium_rcv_code,assorted_code, rec_amount,premium_rcv_detail_code,remaining_amt, payrec, mode_code,coinsurance_code,class_cd,it_remarks) values</v>
      </c>
      <c r="G616" s="53" t="str">
        <f t="shared" si="28"/>
        <v>('22Oct240201','040000182098','8800',(select max(to_number(i.premium_rcv_detail_code))+1
from ins_premium_det i),'8800','8800','02', '11000003','00','Request by Mr. Omair Ali 22-Oct-2024 allocation 22Oct240201');</v>
      </c>
      <c r="H616" s="54" t="str">
        <f t="shared" si="29"/>
        <v>insert into ins_premium_det (premium_rcv_code,assorted_code, rec_amount,premium_rcv_detail_code,remaining_amt, payrec, mode_code,coinsurance_code,class_cd,it_remarks) values('22Oct240201','040000182098','8800',(select max(to_number(i.premium_rcv_detail_code))+1
from ins_premium_det i),'8800','8800','02', '11000003','00','Request by Mr. Omair Ali 22-Oct-2024 allocation 22Oct240201');</v>
      </c>
    </row>
    <row r="617" spans="1:8" ht="105" x14ac:dyDescent="0.25">
      <c r="A617" t="s">
        <v>745</v>
      </c>
      <c r="B617" s="51" t="str">
        <f>VLOOKUP(A617,policy!B:C,2,0)</f>
        <v>040000182099</v>
      </c>
      <c r="C617" s="46">
        <v>12475</v>
      </c>
      <c r="D617" s="46">
        <v>12475</v>
      </c>
      <c r="E617" s="50" t="s">
        <v>3673</v>
      </c>
      <c r="F617" s="52" t="str">
        <f t="shared" si="27"/>
        <v>insert into ins_premium_det (premium_rcv_code,assorted_code, rec_amount,premium_rcv_detail_code,remaining_amt, payrec, mode_code,coinsurance_code,class_cd,it_remarks) values</v>
      </c>
      <c r="G617" s="53" t="str">
        <f t="shared" si="28"/>
        <v>('22Oct240201','040000182099','12475',(select max(to_number(i.premium_rcv_detail_code))+1
from ins_premium_det i),'12475','12475','02', '11000003','00','Request by Mr. Omair Ali 22-Oct-2024 allocation 22Oct240201');</v>
      </c>
      <c r="H617" s="54" t="str">
        <f t="shared" si="29"/>
        <v>insert into ins_premium_det (premium_rcv_code,assorted_code, rec_amount,premium_rcv_detail_code,remaining_amt, payrec, mode_code,coinsurance_code,class_cd,it_remarks) values('22Oct240201','040000182099','12475',(select max(to_number(i.premium_rcv_detail_code))+1
from ins_premium_det i),'12475','12475','02', '11000003','00','Request by Mr. Omair Ali 22-Oct-2024 allocation 22Oct240201');</v>
      </c>
    </row>
    <row r="618" spans="1:8" ht="105" x14ac:dyDescent="0.25">
      <c r="A618" t="s">
        <v>746</v>
      </c>
      <c r="B618" s="51" t="str">
        <f>VLOOKUP(A618,policy!B:C,2,0)</f>
        <v>040000182101</v>
      </c>
      <c r="C618" s="46">
        <v>12475</v>
      </c>
      <c r="D618" s="46">
        <v>12475</v>
      </c>
      <c r="E618" s="50" t="s">
        <v>3673</v>
      </c>
      <c r="F618" s="52" t="str">
        <f t="shared" si="27"/>
        <v>insert into ins_premium_det (premium_rcv_code,assorted_code, rec_amount,premium_rcv_detail_code,remaining_amt, payrec, mode_code,coinsurance_code,class_cd,it_remarks) values</v>
      </c>
      <c r="G618" s="53" t="str">
        <f t="shared" si="28"/>
        <v>('22Oct240201','040000182101','12475',(select max(to_number(i.premium_rcv_detail_code))+1
from ins_premium_det i),'12475','12475','02', '11000003','00','Request by Mr. Omair Ali 22-Oct-2024 allocation 22Oct240201');</v>
      </c>
      <c r="H618" s="54" t="str">
        <f t="shared" si="29"/>
        <v>insert into ins_premium_det (premium_rcv_code,assorted_code, rec_amount,premium_rcv_detail_code,remaining_amt, payrec, mode_code,coinsurance_code,class_cd,it_remarks) values('22Oct240201','040000182101','12475',(select max(to_number(i.premium_rcv_detail_code))+1
from ins_premium_det i),'12475','12475','02', '11000003','00','Request by Mr. Omair Ali 22-Oct-2024 allocation 22Oct240201');</v>
      </c>
    </row>
    <row r="619" spans="1:8" ht="105" x14ac:dyDescent="0.25">
      <c r="A619" t="s">
        <v>747</v>
      </c>
      <c r="B619" s="51" t="str">
        <f>VLOOKUP(A619,policy!B:C,2,0)</f>
        <v>040000182103</v>
      </c>
      <c r="C619" s="46">
        <v>12475</v>
      </c>
      <c r="D619" s="46">
        <v>12475</v>
      </c>
      <c r="E619" s="50" t="s">
        <v>3673</v>
      </c>
      <c r="F619" s="52" t="str">
        <f t="shared" si="27"/>
        <v>insert into ins_premium_det (premium_rcv_code,assorted_code, rec_amount,premium_rcv_detail_code,remaining_amt, payrec, mode_code,coinsurance_code,class_cd,it_remarks) values</v>
      </c>
      <c r="G619" s="53" t="str">
        <f t="shared" si="28"/>
        <v>('22Oct240201','040000182103','12475',(select max(to_number(i.premium_rcv_detail_code))+1
from ins_premium_det i),'12475','12475','02', '11000003','00','Request by Mr. Omair Ali 22-Oct-2024 allocation 22Oct240201');</v>
      </c>
      <c r="H619" s="54" t="str">
        <f t="shared" si="29"/>
        <v>insert into ins_premium_det (premium_rcv_code,assorted_code, rec_amount,premium_rcv_detail_code,remaining_amt, payrec, mode_code,coinsurance_code,class_cd,it_remarks) values('22Oct240201','040000182103','12475',(select max(to_number(i.premium_rcv_detail_code))+1
from ins_premium_det i),'12475','12475','02', '11000003','00','Request by Mr. Omair Ali 22-Oct-2024 allocation 22Oct240201');</v>
      </c>
    </row>
    <row r="620" spans="1:8" ht="105" x14ac:dyDescent="0.25">
      <c r="A620" t="s">
        <v>748</v>
      </c>
      <c r="B620" s="51" t="str">
        <f>VLOOKUP(A620,policy!B:C,2,0)</f>
        <v>040000182108</v>
      </c>
      <c r="C620" s="46">
        <v>8800</v>
      </c>
      <c r="D620" s="46">
        <v>8800</v>
      </c>
      <c r="E620" s="50" t="s">
        <v>3673</v>
      </c>
      <c r="F620" s="52" t="str">
        <f t="shared" si="27"/>
        <v>insert into ins_premium_det (premium_rcv_code,assorted_code, rec_amount,premium_rcv_detail_code,remaining_amt, payrec, mode_code,coinsurance_code,class_cd,it_remarks) values</v>
      </c>
      <c r="G620" s="53" t="str">
        <f t="shared" si="28"/>
        <v>('22Oct240201','040000182108','8800',(select max(to_number(i.premium_rcv_detail_code))+1
from ins_premium_det i),'8800','8800','02', '11000003','00','Request by Mr. Omair Ali 22-Oct-2024 allocation 22Oct240201');</v>
      </c>
      <c r="H620" s="54" t="str">
        <f t="shared" si="29"/>
        <v>insert into ins_premium_det (premium_rcv_code,assorted_code, rec_amount,premium_rcv_detail_code,remaining_amt, payrec, mode_code,coinsurance_code,class_cd,it_remarks) values('22Oct240201','040000182108','8800',(select max(to_number(i.premium_rcv_detail_code))+1
from ins_premium_det i),'8800','8800','02', '11000003','00','Request by Mr. Omair Ali 22-Oct-2024 allocation 22Oct240201');</v>
      </c>
    </row>
    <row r="621" spans="1:8" ht="105" x14ac:dyDescent="0.25">
      <c r="A621" t="s">
        <v>749</v>
      </c>
      <c r="B621" s="51" t="str">
        <f>VLOOKUP(A621,policy!B:C,2,0)</f>
        <v>040000182109</v>
      </c>
      <c r="C621" s="46">
        <v>8800</v>
      </c>
      <c r="D621" s="46">
        <v>8800</v>
      </c>
      <c r="E621" s="50" t="s">
        <v>3673</v>
      </c>
      <c r="F621" s="52" t="str">
        <f t="shared" si="27"/>
        <v>insert into ins_premium_det (premium_rcv_code,assorted_code, rec_amount,premium_rcv_detail_code,remaining_amt, payrec, mode_code,coinsurance_code,class_cd,it_remarks) values</v>
      </c>
      <c r="G621" s="53" t="str">
        <f t="shared" si="28"/>
        <v>('22Oct240201','040000182109','8800',(select max(to_number(i.premium_rcv_detail_code))+1
from ins_premium_det i),'8800','8800','02', '11000003','00','Request by Mr. Omair Ali 22-Oct-2024 allocation 22Oct240201');</v>
      </c>
      <c r="H621" s="54" t="str">
        <f t="shared" si="29"/>
        <v>insert into ins_premium_det (premium_rcv_code,assorted_code, rec_amount,premium_rcv_detail_code,remaining_amt, payrec, mode_code,coinsurance_code,class_cd,it_remarks) values('22Oct240201','040000182109','8800',(select max(to_number(i.premium_rcv_detail_code))+1
from ins_premium_det i),'8800','8800','02', '11000003','00','Request by Mr. Omair Ali 22-Oct-2024 allocation 22Oct240201');</v>
      </c>
    </row>
    <row r="622" spans="1:8" ht="105" x14ac:dyDescent="0.25">
      <c r="A622" t="s">
        <v>750</v>
      </c>
      <c r="B622" s="51" t="str">
        <f>VLOOKUP(A622,policy!B:C,2,0)</f>
        <v>040000182114</v>
      </c>
      <c r="C622" s="46">
        <v>12475</v>
      </c>
      <c r="D622" s="46">
        <v>12475</v>
      </c>
      <c r="E622" s="50" t="s">
        <v>3673</v>
      </c>
      <c r="F622" s="52" t="str">
        <f t="shared" si="27"/>
        <v>insert into ins_premium_det (premium_rcv_code,assorted_code, rec_amount,premium_rcv_detail_code,remaining_amt, payrec, mode_code,coinsurance_code,class_cd,it_remarks) values</v>
      </c>
      <c r="G622" s="53" t="str">
        <f t="shared" si="28"/>
        <v>('22Oct240201','040000182114','12475',(select max(to_number(i.premium_rcv_detail_code))+1
from ins_premium_det i),'12475','12475','02', '11000003','00','Request by Mr. Omair Ali 22-Oct-2024 allocation 22Oct240201');</v>
      </c>
      <c r="H622" s="54" t="str">
        <f t="shared" si="29"/>
        <v>insert into ins_premium_det (premium_rcv_code,assorted_code, rec_amount,premium_rcv_detail_code,remaining_amt, payrec, mode_code,coinsurance_code,class_cd,it_remarks) values('22Oct240201','040000182114','12475',(select max(to_number(i.premium_rcv_detail_code))+1
from ins_premium_det i),'12475','12475','02', '11000003','00','Request by Mr. Omair Ali 22-Oct-2024 allocation 22Oct240201');</v>
      </c>
    </row>
    <row r="623" spans="1:8" ht="105" x14ac:dyDescent="0.25">
      <c r="A623" t="s">
        <v>751</v>
      </c>
      <c r="B623" s="51" t="str">
        <f>VLOOKUP(A623,policy!B:C,2,0)</f>
        <v>040000182116</v>
      </c>
      <c r="C623" s="46">
        <v>8800</v>
      </c>
      <c r="D623" s="46">
        <v>8800</v>
      </c>
      <c r="E623" s="50" t="s">
        <v>3673</v>
      </c>
      <c r="F623" s="52" t="str">
        <f t="shared" si="27"/>
        <v>insert into ins_premium_det (premium_rcv_code,assorted_code, rec_amount,premium_rcv_detail_code,remaining_amt, payrec, mode_code,coinsurance_code,class_cd,it_remarks) values</v>
      </c>
      <c r="G623" s="53" t="str">
        <f t="shared" si="28"/>
        <v>('22Oct240201','040000182116','8800',(select max(to_number(i.premium_rcv_detail_code))+1
from ins_premium_det i),'8800','8800','02', '11000003','00','Request by Mr. Omair Ali 22-Oct-2024 allocation 22Oct240201');</v>
      </c>
      <c r="H623" s="54" t="str">
        <f t="shared" si="29"/>
        <v>insert into ins_premium_det (premium_rcv_code,assorted_code, rec_amount,premium_rcv_detail_code,remaining_amt, payrec, mode_code,coinsurance_code,class_cd,it_remarks) values('22Oct240201','040000182116','8800',(select max(to_number(i.premium_rcv_detail_code))+1
from ins_premium_det i),'8800','8800','02', '11000003','00','Request by Mr. Omair Ali 22-Oct-2024 allocation 22Oct240201');</v>
      </c>
    </row>
    <row r="624" spans="1:8" ht="105" x14ac:dyDescent="0.25">
      <c r="A624" t="s">
        <v>752</v>
      </c>
      <c r="B624" s="51" t="str">
        <f>VLOOKUP(A624,policy!B:C,2,0)</f>
        <v>040000182123</v>
      </c>
      <c r="C624" s="46">
        <v>8800</v>
      </c>
      <c r="D624" s="46">
        <v>8800</v>
      </c>
      <c r="E624" s="50" t="s">
        <v>3673</v>
      </c>
      <c r="F624" s="52" t="str">
        <f t="shared" si="27"/>
        <v>insert into ins_premium_det (premium_rcv_code,assorted_code, rec_amount,premium_rcv_detail_code,remaining_amt, payrec, mode_code,coinsurance_code,class_cd,it_remarks) values</v>
      </c>
      <c r="G624" s="53" t="str">
        <f t="shared" si="28"/>
        <v>('22Oct240201','040000182123','8800',(select max(to_number(i.premium_rcv_detail_code))+1
from ins_premium_det i),'8800','8800','02', '11000003','00','Request by Mr. Omair Ali 22-Oct-2024 allocation 22Oct240201');</v>
      </c>
      <c r="H624" s="54" t="str">
        <f t="shared" si="29"/>
        <v>insert into ins_premium_det (premium_rcv_code,assorted_code, rec_amount,premium_rcv_detail_code,remaining_amt, payrec, mode_code,coinsurance_code,class_cd,it_remarks) values('22Oct240201','040000182123','8800',(select max(to_number(i.premium_rcv_detail_code))+1
from ins_premium_det i),'8800','8800','02', '11000003','00','Request by Mr. Omair Ali 22-Oct-2024 allocation 22Oct240201');</v>
      </c>
    </row>
    <row r="625" spans="1:8" ht="105" x14ac:dyDescent="0.25">
      <c r="A625" t="s">
        <v>753</v>
      </c>
      <c r="B625" s="51" t="str">
        <f>VLOOKUP(A625,policy!B:C,2,0)</f>
        <v>040000182124</v>
      </c>
      <c r="C625" s="46">
        <v>8800</v>
      </c>
      <c r="D625" s="46">
        <v>8800</v>
      </c>
      <c r="E625" s="50" t="s">
        <v>3673</v>
      </c>
      <c r="F625" s="52" t="str">
        <f t="shared" si="27"/>
        <v>insert into ins_premium_det (premium_rcv_code,assorted_code, rec_amount,premium_rcv_detail_code,remaining_amt, payrec, mode_code,coinsurance_code,class_cd,it_remarks) values</v>
      </c>
      <c r="G625" s="53" t="str">
        <f t="shared" si="28"/>
        <v>('22Oct240201','040000182124','8800',(select max(to_number(i.premium_rcv_detail_code))+1
from ins_premium_det i),'8800','8800','02', '11000003','00','Request by Mr. Omair Ali 22-Oct-2024 allocation 22Oct240201');</v>
      </c>
      <c r="H625" s="54" t="str">
        <f t="shared" si="29"/>
        <v>insert into ins_premium_det (premium_rcv_code,assorted_code, rec_amount,premium_rcv_detail_code,remaining_amt, payrec, mode_code,coinsurance_code,class_cd,it_remarks) values('22Oct240201','040000182124','8800',(select max(to_number(i.premium_rcv_detail_code))+1
from ins_premium_det i),'8800','8800','02', '11000003','00','Request by Mr. Omair Ali 22-Oct-2024 allocation 22Oct240201');</v>
      </c>
    </row>
    <row r="626" spans="1:8" ht="105" x14ac:dyDescent="0.25">
      <c r="A626" t="s">
        <v>754</v>
      </c>
      <c r="B626" s="51" t="str">
        <f>VLOOKUP(A626,policy!B:C,2,0)</f>
        <v>040000182125</v>
      </c>
      <c r="C626" s="46">
        <v>8800</v>
      </c>
      <c r="D626" s="46">
        <v>8800</v>
      </c>
      <c r="E626" s="50" t="s">
        <v>3673</v>
      </c>
      <c r="F626" s="52" t="str">
        <f t="shared" si="27"/>
        <v>insert into ins_premium_det (premium_rcv_code,assorted_code, rec_amount,premium_rcv_detail_code,remaining_amt, payrec, mode_code,coinsurance_code,class_cd,it_remarks) values</v>
      </c>
      <c r="G626" s="53" t="str">
        <f t="shared" si="28"/>
        <v>('22Oct240201','040000182125','8800',(select max(to_number(i.premium_rcv_detail_code))+1
from ins_premium_det i),'8800','8800','02', '11000003','00','Request by Mr. Omair Ali 22-Oct-2024 allocation 22Oct240201');</v>
      </c>
      <c r="H626" s="54" t="str">
        <f t="shared" si="29"/>
        <v>insert into ins_premium_det (premium_rcv_code,assorted_code, rec_amount,premium_rcv_detail_code,remaining_amt, payrec, mode_code,coinsurance_code,class_cd,it_remarks) values('22Oct240201','040000182125','8800',(select max(to_number(i.premium_rcv_detail_code))+1
from ins_premium_det i),'8800','8800','02', '11000003','00','Request by Mr. Omair Ali 22-Oct-2024 allocation 22Oct240201');</v>
      </c>
    </row>
    <row r="627" spans="1:8" ht="105" x14ac:dyDescent="0.25">
      <c r="A627" t="s">
        <v>755</v>
      </c>
      <c r="B627" s="51" t="str">
        <f>VLOOKUP(A627,policy!B:C,2,0)</f>
        <v>040000182126</v>
      </c>
      <c r="C627" s="46">
        <v>8800</v>
      </c>
      <c r="D627" s="46">
        <v>8800</v>
      </c>
      <c r="E627" s="50" t="s">
        <v>3673</v>
      </c>
      <c r="F627" s="52" t="str">
        <f t="shared" si="27"/>
        <v>insert into ins_premium_det (premium_rcv_code,assorted_code, rec_amount,premium_rcv_detail_code,remaining_amt, payrec, mode_code,coinsurance_code,class_cd,it_remarks) values</v>
      </c>
      <c r="G627" s="53" t="str">
        <f t="shared" si="28"/>
        <v>('22Oct240201','040000182126','8800',(select max(to_number(i.premium_rcv_detail_code))+1
from ins_premium_det i),'8800','8800','02', '11000003','00','Request by Mr. Omair Ali 22-Oct-2024 allocation 22Oct240201');</v>
      </c>
      <c r="H627" s="54" t="str">
        <f t="shared" si="29"/>
        <v>insert into ins_premium_det (premium_rcv_code,assorted_code, rec_amount,premium_rcv_detail_code,remaining_amt, payrec, mode_code,coinsurance_code,class_cd,it_remarks) values('22Oct240201','040000182126','8800',(select max(to_number(i.premium_rcv_detail_code))+1
from ins_premium_det i),'8800','8800','02', '11000003','00','Request by Mr. Omair Ali 22-Oct-2024 allocation 22Oct240201');</v>
      </c>
    </row>
    <row r="628" spans="1:8" ht="105" x14ac:dyDescent="0.25">
      <c r="A628" t="s">
        <v>756</v>
      </c>
      <c r="B628" s="51" t="str">
        <f>VLOOKUP(A628,policy!B:C,2,0)</f>
        <v>040000182134</v>
      </c>
      <c r="C628" s="46">
        <v>21208</v>
      </c>
      <c r="D628" s="46">
        <v>21208</v>
      </c>
      <c r="E628" s="50" t="s">
        <v>3673</v>
      </c>
      <c r="F628" s="52" t="str">
        <f t="shared" si="27"/>
        <v>insert into ins_premium_det (premium_rcv_code,assorted_code, rec_amount,premium_rcv_detail_code,remaining_amt, payrec, mode_code,coinsurance_code,class_cd,it_remarks) values</v>
      </c>
      <c r="G628" s="53" t="str">
        <f t="shared" si="28"/>
        <v>('22Oct240201','040000182134','21208',(select max(to_number(i.premium_rcv_detail_code))+1
from ins_premium_det i),'21208','21208','02', '11000003','00','Request by Mr. Omair Ali 22-Oct-2024 allocation 22Oct240201');</v>
      </c>
      <c r="H628" s="54" t="str">
        <f t="shared" si="29"/>
        <v>insert into ins_premium_det (premium_rcv_code,assorted_code, rec_amount,premium_rcv_detail_code,remaining_amt, payrec, mode_code,coinsurance_code,class_cd,it_remarks) values('22Oct240201','040000182134','21208',(select max(to_number(i.premium_rcv_detail_code))+1
from ins_premium_det i),'21208','21208','02', '11000003','00','Request by Mr. Omair Ali 22-Oct-2024 allocation 22Oct240201');</v>
      </c>
    </row>
    <row r="629" spans="1:8" ht="105" x14ac:dyDescent="0.25">
      <c r="A629" t="s">
        <v>757</v>
      </c>
      <c r="B629" s="51" t="str">
        <f>VLOOKUP(A629,policy!B:C,2,0)</f>
        <v>040000182139</v>
      </c>
      <c r="C629" s="46">
        <v>14960</v>
      </c>
      <c r="D629" s="46">
        <v>14960</v>
      </c>
      <c r="E629" s="50" t="s">
        <v>3673</v>
      </c>
      <c r="F629" s="52" t="str">
        <f t="shared" si="27"/>
        <v>insert into ins_premium_det (premium_rcv_code,assorted_code, rec_amount,premium_rcv_detail_code,remaining_amt, payrec, mode_code,coinsurance_code,class_cd,it_remarks) values</v>
      </c>
      <c r="G629" s="53" t="str">
        <f t="shared" si="28"/>
        <v>('22Oct240201','040000182139','14960',(select max(to_number(i.premium_rcv_detail_code))+1
from ins_premium_det i),'14960','14960','02', '11000003','00','Request by Mr. Omair Ali 22-Oct-2024 allocation 22Oct240201');</v>
      </c>
      <c r="H629" s="54" t="str">
        <f t="shared" si="29"/>
        <v>insert into ins_premium_det (premium_rcv_code,assorted_code, rec_amount,premium_rcv_detail_code,remaining_amt, payrec, mode_code,coinsurance_code,class_cd,it_remarks) values('22Oct240201','040000182139','14960',(select max(to_number(i.premium_rcv_detail_code))+1
from ins_premium_det i),'14960','14960','02', '11000003','00','Request by Mr. Omair Ali 22-Oct-2024 allocation 22Oct240201');</v>
      </c>
    </row>
    <row r="630" spans="1:8" ht="105" x14ac:dyDescent="0.25">
      <c r="A630" t="s">
        <v>758</v>
      </c>
      <c r="B630" s="51" t="str">
        <f>VLOOKUP(A630,policy!B:C,2,0)</f>
        <v>040000182146</v>
      </c>
      <c r="C630" s="46">
        <v>14960</v>
      </c>
      <c r="D630" s="46">
        <v>14960</v>
      </c>
      <c r="E630" s="50" t="s">
        <v>3673</v>
      </c>
      <c r="F630" s="52" t="str">
        <f t="shared" si="27"/>
        <v>insert into ins_premium_det (premium_rcv_code,assorted_code, rec_amount,premium_rcv_detail_code,remaining_amt, payrec, mode_code,coinsurance_code,class_cd,it_remarks) values</v>
      </c>
      <c r="G630" s="53" t="str">
        <f t="shared" si="28"/>
        <v>('22Oct240201','040000182146','14960',(select max(to_number(i.premium_rcv_detail_code))+1
from ins_premium_det i),'14960','14960','02', '11000003','00','Request by Mr. Omair Ali 22-Oct-2024 allocation 22Oct240201');</v>
      </c>
      <c r="H630" s="54" t="str">
        <f t="shared" si="29"/>
        <v>insert into ins_premium_det (premium_rcv_code,assorted_code, rec_amount,premium_rcv_detail_code,remaining_amt, payrec, mode_code,coinsurance_code,class_cd,it_remarks) values('22Oct240201','040000182146','14960',(select max(to_number(i.premium_rcv_detail_code))+1
from ins_premium_det i),'14960','14960','02', '11000003','00','Request by Mr. Omair Ali 22-Oct-2024 allocation 22Oct240201');</v>
      </c>
    </row>
    <row r="631" spans="1:8" ht="105" x14ac:dyDescent="0.25">
      <c r="A631" t="s">
        <v>759</v>
      </c>
      <c r="B631" s="51" t="str">
        <f>VLOOKUP(A631,policy!B:C,2,0)</f>
        <v>040000182149</v>
      </c>
      <c r="C631" s="46">
        <v>8800</v>
      </c>
      <c r="D631" s="46">
        <v>8800</v>
      </c>
      <c r="E631" s="50" t="s">
        <v>3673</v>
      </c>
      <c r="F631" s="52" t="str">
        <f t="shared" si="27"/>
        <v>insert into ins_premium_det (premium_rcv_code,assorted_code, rec_amount,premium_rcv_detail_code,remaining_amt, payrec, mode_code,coinsurance_code,class_cd,it_remarks) values</v>
      </c>
      <c r="G631" s="53" t="str">
        <f t="shared" si="28"/>
        <v>('22Oct240201','040000182149','8800',(select max(to_number(i.premium_rcv_detail_code))+1
from ins_premium_det i),'8800','8800','02', '11000003','00','Request by Mr. Omair Ali 22-Oct-2024 allocation 22Oct240201');</v>
      </c>
      <c r="H631" s="54" t="str">
        <f t="shared" si="29"/>
        <v>insert into ins_premium_det (premium_rcv_code,assorted_code, rec_amount,premium_rcv_detail_code,remaining_amt, payrec, mode_code,coinsurance_code,class_cd,it_remarks) values('22Oct240201','040000182149','8800',(select max(to_number(i.premium_rcv_detail_code))+1
from ins_premium_det i),'8800','8800','02', '11000003','00','Request by Mr. Omair Ali 22-Oct-2024 allocation 22Oct240201');</v>
      </c>
    </row>
    <row r="632" spans="1:8" ht="105" x14ac:dyDescent="0.25">
      <c r="A632" t="s">
        <v>760</v>
      </c>
      <c r="B632" s="51" t="str">
        <f>VLOOKUP(A632,policy!B:C,2,0)</f>
        <v>040000182152</v>
      </c>
      <c r="C632" s="46">
        <v>12475</v>
      </c>
      <c r="D632" s="46">
        <v>12475</v>
      </c>
      <c r="E632" s="50" t="s">
        <v>3673</v>
      </c>
      <c r="F632" s="52" t="str">
        <f t="shared" si="27"/>
        <v>insert into ins_premium_det (premium_rcv_code,assorted_code, rec_amount,premium_rcv_detail_code,remaining_amt, payrec, mode_code,coinsurance_code,class_cd,it_remarks) values</v>
      </c>
      <c r="G632" s="53" t="str">
        <f t="shared" si="28"/>
        <v>('22Oct240201','040000182152','12475',(select max(to_number(i.premium_rcv_detail_code))+1
from ins_premium_det i),'12475','12475','02', '11000003','00','Request by Mr. Omair Ali 22-Oct-2024 allocation 22Oct240201');</v>
      </c>
      <c r="H632" s="54" t="str">
        <f t="shared" si="29"/>
        <v>insert into ins_premium_det (premium_rcv_code,assorted_code, rec_amount,premium_rcv_detail_code,remaining_amt, payrec, mode_code,coinsurance_code,class_cd,it_remarks) values('22Oct240201','040000182152','12475',(select max(to_number(i.premium_rcv_detail_code))+1
from ins_premium_det i),'12475','12475','02', '11000003','00','Request by Mr. Omair Ali 22-Oct-2024 allocation 22Oct240201');</v>
      </c>
    </row>
    <row r="633" spans="1:8" ht="105" x14ac:dyDescent="0.25">
      <c r="A633" t="s">
        <v>761</v>
      </c>
      <c r="B633" s="51" t="str">
        <f>VLOOKUP(A633,policy!B:C,2,0)</f>
        <v>040000182156</v>
      </c>
      <c r="C633" s="46">
        <v>8800</v>
      </c>
      <c r="D633" s="46">
        <v>8800</v>
      </c>
      <c r="E633" s="50" t="s">
        <v>3673</v>
      </c>
      <c r="F633" s="52" t="str">
        <f t="shared" si="27"/>
        <v>insert into ins_premium_det (premium_rcv_code,assorted_code, rec_amount,premium_rcv_detail_code,remaining_amt, payrec, mode_code,coinsurance_code,class_cd,it_remarks) values</v>
      </c>
      <c r="G633" s="53" t="str">
        <f t="shared" si="28"/>
        <v>('22Oct240201','040000182156','8800',(select max(to_number(i.premium_rcv_detail_code))+1
from ins_premium_det i),'8800','8800','02', '11000003','00','Request by Mr. Omair Ali 22-Oct-2024 allocation 22Oct240201');</v>
      </c>
      <c r="H633" s="54" t="str">
        <f t="shared" si="29"/>
        <v>insert into ins_premium_det (premium_rcv_code,assorted_code, rec_amount,premium_rcv_detail_code,remaining_amt, payrec, mode_code,coinsurance_code,class_cd,it_remarks) values('22Oct240201','040000182156','8800',(select max(to_number(i.premium_rcv_detail_code))+1
from ins_premium_det i),'8800','8800','02', '11000003','00','Request by Mr. Omair Ali 22-Oct-2024 allocation 22Oct240201');</v>
      </c>
    </row>
    <row r="634" spans="1:8" ht="105" x14ac:dyDescent="0.25">
      <c r="A634" t="s">
        <v>762</v>
      </c>
      <c r="B634" s="51" t="str">
        <f>VLOOKUP(A634,policy!B:C,2,0)</f>
        <v>040000182157</v>
      </c>
      <c r="C634" s="46">
        <v>8800</v>
      </c>
      <c r="D634" s="46">
        <v>8800</v>
      </c>
      <c r="E634" s="50" t="s">
        <v>3673</v>
      </c>
      <c r="F634" s="52" t="str">
        <f t="shared" si="27"/>
        <v>insert into ins_premium_det (premium_rcv_code,assorted_code, rec_amount,premium_rcv_detail_code,remaining_amt, payrec, mode_code,coinsurance_code,class_cd,it_remarks) values</v>
      </c>
      <c r="G634" s="53" t="str">
        <f t="shared" si="28"/>
        <v>('22Oct240201','040000182157','8800',(select max(to_number(i.premium_rcv_detail_code))+1
from ins_premium_det i),'8800','8800','02', '11000003','00','Request by Mr. Omair Ali 22-Oct-2024 allocation 22Oct240201');</v>
      </c>
      <c r="H634" s="54" t="str">
        <f t="shared" si="29"/>
        <v>insert into ins_premium_det (premium_rcv_code,assorted_code, rec_amount,premium_rcv_detail_code,remaining_amt, payrec, mode_code,coinsurance_code,class_cd,it_remarks) values('22Oct240201','040000182157','8800',(select max(to_number(i.premium_rcv_detail_code))+1
from ins_premium_det i),'8800','8800','02', '11000003','00','Request by Mr. Omair Ali 22-Oct-2024 allocation 22Oct240201');</v>
      </c>
    </row>
    <row r="635" spans="1:8" ht="105" x14ac:dyDescent="0.25">
      <c r="A635" t="s">
        <v>763</v>
      </c>
      <c r="B635" s="51" t="str">
        <f>VLOOKUP(A635,policy!B:C,2,0)</f>
        <v>040000182158</v>
      </c>
      <c r="C635" s="46">
        <v>14960</v>
      </c>
      <c r="D635" s="46">
        <v>14960</v>
      </c>
      <c r="E635" s="50" t="s">
        <v>3673</v>
      </c>
      <c r="F635" s="52" t="str">
        <f t="shared" si="27"/>
        <v>insert into ins_premium_det (premium_rcv_code,assorted_code, rec_amount,premium_rcv_detail_code,remaining_amt, payrec, mode_code,coinsurance_code,class_cd,it_remarks) values</v>
      </c>
      <c r="G635" s="53" t="str">
        <f t="shared" si="28"/>
        <v>('22Oct240201','040000182158','14960',(select max(to_number(i.premium_rcv_detail_code))+1
from ins_premium_det i),'14960','14960','02', '11000003','00','Request by Mr. Omair Ali 22-Oct-2024 allocation 22Oct240201');</v>
      </c>
      <c r="H635" s="54" t="str">
        <f t="shared" si="29"/>
        <v>insert into ins_premium_det (premium_rcv_code,assorted_code, rec_amount,premium_rcv_detail_code,remaining_amt, payrec, mode_code,coinsurance_code,class_cd,it_remarks) values('22Oct240201','040000182158','14960',(select max(to_number(i.premium_rcv_detail_code))+1
from ins_premium_det i),'14960','14960','02', '11000003','00','Request by Mr. Omair Ali 22-Oct-2024 allocation 22Oct240201');</v>
      </c>
    </row>
    <row r="636" spans="1:8" ht="105" x14ac:dyDescent="0.25">
      <c r="A636" t="s">
        <v>764</v>
      </c>
      <c r="B636" s="51" t="str">
        <f>VLOOKUP(A636,policy!B:C,2,0)</f>
        <v>040000182159</v>
      </c>
      <c r="C636" s="46">
        <v>14960</v>
      </c>
      <c r="D636" s="46">
        <v>14960</v>
      </c>
      <c r="E636" s="50" t="s">
        <v>3673</v>
      </c>
      <c r="F636" s="52" t="str">
        <f t="shared" si="27"/>
        <v>insert into ins_premium_det (premium_rcv_code,assorted_code, rec_amount,premium_rcv_detail_code,remaining_amt, payrec, mode_code,coinsurance_code,class_cd,it_remarks) values</v>
      </c>
      <c r="G636" s="53" t="str">
        <f t="shared" si="28"/>
        <v>('22Oct240201','040000182159','14960',(select max(to_number(i.premium_rcv_detail_code))+1
from ins_premium_det i),'14960','14960','02', '11000003','00','Request by Mr. Omair Ali 22-Oct-2024 allocation 22Oct240201');</v>
      </c>
      <c r="H636" s="54" t="str">
        <f t="shared" si="29"/>
        <v>insert into ins_premium_det (premium_rcv_code,assorted_code, rec_amount,premium_rcv_detail_code,remaining_amt, payrec, mode_code,coinsurance_code,class_cd,it_remarks) values('22Oct240201','040000182159','14960',(select max(to_number(i.premium_rcv_detail_code))+1
from ins_premium_det i),'14960','14960','02', '11000003','00','Request by Mr. Omair Ali 22-Oct-2024 allocation 22Oct240201');</v>
      </c>
    </row>
    <row r="637" spans="1:8" ht="105" x14ac:dyDescent="0.25">
      <c r="A637" t="s">
        <v>765</v>
      </c>
      <c r="B637" s="51" t="str">
        <f>VLOOKUP(A637,policy!B:C,2,0)</f>
        <v>040000182160</v>
      </c>
      <c r="C637" s="46">
        <v>14960</v>
      </c>
      <c r="D637" s="46">
        <v>14960</v>
      </c>
      <c r="E637" s="50" t="s">
        <v>3673</v>
      </c>
      <c r="F637" s="52" t="str">
        <f t="shared" si="27"/>
        <v>insert into ins_premium_det (premium_rcv_code,assorted_code, rec_amount,premium_rcv_detail_code,remaining_amt, payrec, mode_code,coinsurance_code,class_cd,it_remarks) values</v>
      </c>
      <c r="G637" s="53" t="str">
        <f t="shared" si="28"/>
        <v>('22Oct240201','040000182160','14960',(select max(to_number(i.premium_rcv_detail_code))+1
from ins_premium_det i),'14960','14960','02', '11000003','00','Request by Mr. Omair Ali 22-Oct-2024 allocation 22Oct240201');</v>
      </c>
      <c r="H637" s="54" t="str">
        <f t="shared" si="29"/>
        <v>insert into ins_premium_det (premium_rcv_code,assorted_code, rec_amount,premium_rcv_detail_code,remaining_amt, payrec, mode_code,coinsurance_code,class_cd,it_remarks) values('22Oct240201','040000182160','14960',(select max(to_number(i.premium_rcv_detail_code))+1
from ins_premium_det i),'14960','14960','02', '11000003','00','Request by Mr. Omair Ali 22-Oct-2024 allocation 22Oct240201');</v>
      </c>
    </row>
    <row r="638" spans="1:8" ht="105" x14ac:dyDescent="0.25">
      <c r="A638" t="s">
        <v>766</v>
      </c>
      <c r="B638" s="51" t="str">
        <f>VLOOKUP(A638,policy!B:C,2,0)</f>
        <v>040000182161</v>
      </c>
      <c r="C638" s="46">
        <v>14960</v>
      </c>
      <c r="D638" s="46">
        <v>14960</v>
      </c>
      <c r="E638" s="50" t="s">
        <v>3673</v>
      </c>
      <c r="F638" s="52" t="str">
        <f t="shared" si="27"/>
        <v>insert into ins_premium_det (premium_rcv_code,assorted_code, rec_amount,premium_rcv_detail_code,remaining_amt, payrec, mode_code,coinsurance_code,class_cd,it_remarks) values</v>
      </c>
      <c r="G638" s="53" t="str">
        <f t="shared" si="28"/>
        <v>('22Oct240201','040000182161','14960',(select max(to_number(i.premium_rcv_detail_code))+1
from ins_premium_det i),'14960','14960','02', '11000003','00','Request by Mr. Omair Ali 22-Oct-2024 allocation 22Oct240201');</v>
      </c>
      <c r="H638" s="54" t="str">
        <f t="shared" si="29"/>
        <v>insert into ins_premium_det (premium_rcv_code,assorted_code, rec_amount,premium_rcv_detail_code,remaining_amt, payrec, mode_code,coinsurance_code,class_cd,it_remarks) values('22Oct240201','040000182161','14960',(select max(to_number(i.premium_rcv_detail_code))+1
from ins_premium_det i),'14960','14960','02', '11000003','00','Request by Mr. Omair Ali 22-Oct-2024 allocation 22Oct240201');</v>
      </c>
    </row>
    <row r="639" spans="1:8" ht="105" x14ac:dyDescent="0.25">
      <c r="A639" t="s">
        <v>767</v>
      </c>
      <c r="B639" s="51" t="str">
        <f>VLOOKUP(A639,policy!B:C,2,0)</f>
        <v>040000182162</v>
      </c>
      <c r="C639" s="46">
        <v>14960</v>
      </c>
      <c r="D639" s="46">
        <v>14960</v>
      </c>
      <c r="E639" s="50" t="s">
        <v>3673</v>
      </c>
      <c r="F639" s="52" t="str">
        <f t="shared" si="27"/>
        <v>insert into ins_premium_det (premium_rcv_code,assorted_code, rec_amount,premium_rcv_detail_code,remaining_amt, payrec, mode_code,coinsurance_code,class_cd,it_remarks) values</v>
      </c>
      <c r="G639" s="53" t="str">
        <f t="shared" si="28"/>
        <v>('22Oct240201','040000182162','14960',(select max(to_number(i.premium_rcv_detail_code))+1
from ins_premium_det i),'14960','14960','02', '11000003','00','Request by Mr. Omair Ali 22-Oct-2024 allocation 22Oct240201');</v>
      </c>
      <c r="H639" s="54" t="str">
        <f t="shared" si="29"/>
        <v>insert into ins_premium_det (premium_rcv_code,assorted_code, rec_amount,premium_rcv_detail_code,remaining_amt, payrec, mode_code,coinsurance_code,class_cd,it_remarks) values('22Oct240201','040000182162','14960',(select max(to_number(i.premium_rcv_detail_code))+1
from ins_premium_det i),'14960','14960','02', '11000003','00','Request by Mr. Omair Ali 22-Oct-2024 allocation 22Oct240201');</v>
      </c>
    </row>
    <row r="640" spans="1:8" ht="105" x14ac:dyDescent="0.25">
      <c r="A640" t="s">
        <v>768</v>
      </c>
      <c r="B640" s="51" t="str">
        <f>VLOOKUP(A640,policy!B:C,2,0)</f>
        <v>040000182163</v>
      </c>
      <c r="C640" s="46">
        <v>14960</v>
      </c>
      <c r="D640" s="46">
        <v>14960</v>
      </c>
      <c r="E640" s="50" t="s">
        <v>3673</v>
      </c>
      <c r="F640" s="52" t="str">
        <f t="shared" si="27"/>
        <v>insert into ins_premium_det (premium_rcv_code,assorted_code, rec_amount,premium_rcv_detail_code,remaining_amt, payrec, mode_code,coinsurance_code,class_cd,it_remarks) values</v>
      </c>
      <c r="G640" s="53" t="str">
        <f t="shared" si="28"/>
        <v>('22Oct240201','040000182163','14960',(select max(to_number(i.premium_rcv_detail_code))+1
from ins_premium_det i),'14960','14960','02', '11000003','00','Request by Mr. Omair Ali 22-Oct-2024 allocation 22Oct240201');</v>
      </c>
      <c r="H640" s="54" t="str">
        <f t="shared" si="29"/>
        <v>insert into ins_premium_det (premium_rcv_code,assorted_code, rec_amount,premium_rcv_detail_code,remaining_amt, payrec, mode_code,coinsurance_code,class_cd,it_remarks) values('22Oct240201','040000182163','14960',(select max(to_number(i.premium_rcv_detail_code))+1
from ins_premium_det i),'14960','14960','02', '11000003','00','Request by Mr. Omair Ali 22-Oct-2024 allocation 22Oct240201');</v>
      </c>
    </row>
    <row r="641" spans="1:8" ht="105" x14ac:dyDescent="0.25">
      <c r="A641" t="s">
        <v>769</v>
      </c>
      <c r="B641" s="51" t="str">
        <f>VLOOKUP(A641,policy!B:C,2,0)</f>
        <v>040000182164</v>
      </c>
      <c r="C641" s="46">
        <v>14960</v>
      </c>
      <c r="D641" s="46">
        <v>14960</v>
      </c>
      <c r="E641" s="50" t="s">
        <v>3673</v>
      </c>
      <c r="F641" s="52" t="str">
        <f t="shared" si="27"/>
        <v>insert into ins_premium_det (premium_rcv_code,assorted_code, rec_amount,premium_rcv_detail_code,remaining_amt, payrec, mode_code,coinsurance_code,class_cd,it_remarks) values</v>
      </c>
      <c r="G641" s="53" t="str">
        <f t="shared" si="28"/>
        <v>('22Oct240201','040000182164','14960',(select max(to_number(i.premium_rcv_detail_code))+1
from ins_premium_det i),'14960','14960','02', '11000003','00','Request by Mr. Omair Ali 22-Oct-2024 allocation 22Oct240201');</v>
      </c>
      <c r="H641" s="54" t="str">
        <f t="shared" si="29"/>
        <v>insert into ins_premium_det (premium_rcv_code,assorted_code, rec_amount,premium_rcv_detail_code,remaining_amt, payrec, mode_code,coinsurance_code,class_cd,it_remarks) values('22Oct240201','040000182164','14960',(select max(to_number(i.premium_rcv_detail_code))+1
from ins_premium_det i),'14960','14960','02', '11000003','00','Request by Mr. Omair Ali 22-Oct-2024 allocation 22Oct240201');</v>
      </c>
    </row>
    <row r="642" spans="1:8" ht="105" x14ac:dyDescent="0.25">
      <c r="A642" t="s">
        <v>770</v>
      </c>
      <c r="B642" s="51" t="str">
        <f>VLOOKUP(A642,policy!B:C,2,0)</f>
        <v>040000182165</v>
      </c>
      <c r="C642" s="46">
        <v>14960</v>
      </c>
      <c r="D642" s="46">
        <v>14960</v>
      </c>
      <c r="E642" s="50" t="s">
        <v>3673</v>
      </c>
      <c r="F642" s="52" t="str">
        <f t="shared" ref="F642:F705" si="3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42" s="53" t="str">
        <f t="shared" si="28"/>
        <v>('22Oct240201','040000182165','14960',(select max(to_number(i.premium_rcv_detail_code))+1
from ins_premium_det i),'14960','14960','02', '11000003','00','Request by Mr. Omair Ali 22-Oct-2024 allocation 22Oct240201');</v>
      </c>
      <c r="H642" s="54" t="str">
        <f t="shared" si="29"/>
        <v>insert into ins_premium_det (premium_rcv_code,assorted_code, rec_amount,premium_rcv_detail_code,remaining_amt, payrec, mode_code,coinsurance_code,class_cd,it_remarks) values('22Oct240201','040000182165','14960',(select max(to_number(i.premium_rcv_detail_code))+1
from ins_premium_det i),'14960','14960','02', '11000003','00','Request by Mr. Omair Ali 22-Oct-2024 allocation 22Oct240201');</v>
      </c>
    </row>
    <row r="643" spans="1:8" ht="105" x14ac:dyDescent="0.25">
      <c r="A643" t="s">
        <v>771</v>
      </c>
      <c r="B643" s="51" t="str">
        <f>VLOOKUP(A643,policy!B:C,2,0)</f>
        <v>040000182166</v>
      </c>
      <c r="C643" s="46">
        <v>14960</v>
      </c>
      <c r="D643" s="46">
        <v>14960</v>
      </c>
      <c r="E643" s="50" t="s">
        <v>3673</v>
      </c>
      <c r="F643" s="52" t="str">
        <f t="shared" si="30"/>
        <v>insert into ins_premium_det (premium_rcv_code,assorted_code, rec_amount,premium_rcv_detail_code,remaining_amt, payrec, mode_code,coinsurance_code,class_cd,it_remarks) values</v>
      </c>
      <c r="G643" s="53" t="str">
        <f t="shared" ref="G643:G706" si="31">"('"&amp;E643&amp;"','"&amp;B643&amp;"','"&amp;D643&amp;"',(select max(to_number(i.premium_rcv_detail_code))+1
from ins_premium_det i),'"&amp;D643&amp;"','"&amp;D643&amp;"','02', '11000003','00','Request by Mr. Omair Ali 22-Oct-2024 allocation 22Oct240201');"</f>
        <v>('22Oct240201','040000182166','14960',(select max(to_number(i.premium_rcv_detail_code))+1
from ins_premium_det i),'14960','14960','02', '11000003','00','Request by Mr. Omair Ali 22-Oct-2024 allocation 22Oct240201');</v>
      </c>
      <c r="H643" s="54" t="str">
        <f t="shared" ref="H643:H706" si="32">F643&amp;G643</f>
        <v>insert into ins_premium_det (premium_rcv_code,assorted_code, rec_amount,premium_rcv_detail_code,remaining_amt, payrec, mode_code,coinsurance_code,class_cd,it_remarks) values('22Oct240201','040000182166','14960',(select max(to_number(i.premium_rcv_detail_code))+1
from ins_premium_det i),'14960','14960','02', '11000003','00','Request by Mr. Omair Ali 22-Oct-2024 allocation 22Oct240201');</v>
      </c>
    </row>
    <row r="644" spans="1:8" ht="105" x14ac:dyDescent="0.25">
      <c r="A644" t="s">
        <v>772</v>
      </c>
      <c r="B644" s="51" t="str">
        <f>VLOOKUP(A644,policy!B:C,2,0)</f>
        <v>040000182167</v>
      </c>
      <c r="C644" s="46">
        <v>14960</v>
      </c>
      <c r="D644" s="46">
        <v>14960</v>
      </c>
      <c r="E644" s="50" t="s">
        <v>3673</v>
      </c>
      <c r="F644" s="52" t="str">
        <f t="shared" si="30"/>
        <v>insert into ins_premium_det (premium_rcv_code,assorted_code, rec_amount,premium_rcv_detail_code,remaining_amt, payrec, mode_code,coinsurance_code,class_cd,it_remarks) values</v>
      </c>
      <c r="G644" s="53" t="str">
        <f t="shared" si="31"/>
        <v>('22Oct240201','040000182167','14960',(select max(to_number(i.premium_rcv_detail_code))+1
from ins_premium_det i),'14960','14960','02', '11000003','00','Request by Mr. Omair Ali 22-Oct-2024 allocation 22Oct240201');</v>
      </c>
      <c r="H644" s="54" t="str">
        <f t="shared" si="32"/>
        <v>insert into ins_premium_det (premium_rcv_code,assorted_code, rec_amount,premium_rcv_detail_code,remaining_amt, payrec, mode_code,coinsurance_code,class_cd,it_remarks) values('22Oct240201','040000182167','14960',(select max(to_number(i.premium_rcv_detail_code))+1
from ins_premium_det i),'14960','14960','02', '11000003','00','Request by Mr. Omair Ali 22-Oct-2024 allocation 22Oct240201');</v>
      </c>
    </row>
    <row r="645" spans="1:8" ht="105" x14ac:dyDescent="0.25">
      <c r="A645" t="s">
        <v>773</v>
      </c>
      <c r="B645" s="51" t="str">
        <f>VLOOKUP(A645,policy!B:C,2,0)</f>
        <v>040000182195</v>
      </c>
      <c r="C645" s="46">
        <v>14960</v>
      </c>
      <c r="D645" s="46">
        <v>14960</v>
      </c>
      <c r="E645" s="50" t="s">
        <v>3673</v>
      </c>
      <c r="F645" s="52" t="str">
        <f t="shared" si="30"/>
        <v>insert into ins_premium_det (premium_rcv_code,assorted_code, rec_amount,premium_rcv_detail_code,remaining_amt, payrec, mode_code,coinsurance_code,class_cd,it_remarks) values</v>
      </c>
      <c r="G645" s="53" t="str">
        <f t="shared" si="31"/>
        <v>('22Oct240201','040000182195','14960',(select max(to_number(i.premium_rcv_detail_code))+1
from ins_premium_det i),'14960','14960','02', '11000003','00','Request by Mr. Omair Ali 22-Oct-2024 allocation 22Oct240201');</v>
      </c>
      <c r="H645" s="54" t="str">
        <f t="shared" si="32"/>
        <v>insert into ins_premium_det (premium_rcv_code,assorted_code, rec_amount,premium_rcv_detail_code,remaining_amt, payrec, mode_code,coinsurance_code,class_cd,it_remarks) values('22Oct240201','040000182195','14960',(select max(to_number(i.premium_rcv_detail_code))+1
from ins_premium_det i),'14960','14960','02', '11000003','00','Request by Mr. Omair Ali 22-Oct-2024 allocation 22Oct240201');</v>
      </c>
    </row>
    <row r="646" spans="1:8" ht="105" x14ac:dyDescent="0.25">
      <c r="A646" t="s">
        <v>774</v>
      </c>
      <c r="B646" s="51" t="str">
        <f>VLOOKUP(A646,policy!B:C,2,0)</f>
        <v>040000182199</v>
      </c>
      <c r="C646" s="46">
        <v>14960</v>
      </c>
      <c r="D646" s="46">
        <v>14960</v>
      </c>
      <c r="E646" s="50" t="s">
        <v>3673</v>
      </c>
      <c r="F646" s="52" t="str">
        <f t="shared" si="30"/>
        <v>insert into ins_premium_det (premium_rcv_code,assorted_code, rec_amount,premium_rcv_detail_code,remaining_amt, payrec, mode_code,coinsurance_code,class_cd,it_remarks) values</v>
      </c>
      <c r="G646" s="53" t="str">
        <f t="shared" si="31"/>
        <v>('22Oct240201','040000182199','14960',(select max(to_number(i.premium_rcv_detail_code))+1
from ins_premium_det i),'14960','14960','02', '11000003','00','Request by Mr. Omair Ali 22-Oct-2024 allocation 22Oct240201');</v>
      </c>
      <c r="H646" s="54" t="str">
        <f t="shared" si="32"/>
        <v>insert into ins_premium_det (premium_rcv_code,assorted_code, rec_amount,premium_rcv_detail_code,remaining_amt, payrec, mode_code,coinsurance_code,class_cd,it_remarks) values('22Oct240201','040000182199','14960',(select max(to_number(i.premium_rcv_detail_code))+1
from ins_premium_det i),'14960','14960','02', '11000003','00','Request by Mr. Omair Ali 22-Oct-2024 allocation 22Oct240201');</v>
      </c>
    </row>
    <row r="647" spans="1:8" ht="105" x14ac:dyDescent="0.25">
      <c r="A647" t="s">
        <v>775</v>
      </c>
      <c r="B647" s="51" t="str">
        <f>VLOOKUP(A647,policy!B:C,2,0)</f>
        <v>040000182200</v>
      </c>
      <c r="C647" s="46">
        <v>14960</v>
      </c>
      <c r="D647" s="46">
        <v>14960</v>
      </c>
      <c r="E647" s="50" t="s">
        <v>3673</v>
      </c>
      <c r="F647" s="52" t="str">
        <f t="shared" si="30"/>
        <v>insert into ins_premium_det (premium_rcv_code,assorted_code, rec_amount,premium_rcv_detail_code,remaining_amt, payrec, mode_code,coinsurance_code,class_cd,it_remarks) values</v>
      </c>
      <c r="G647" s="53" t="str">
        <f t="shared" si="31"/>
        <v>('22Oct240201','040000182200','14960',(select max(to_number(i.premium_rcv_detail_code))+1
from ins_premium_det i),'14960','14960','02', '11000003','00','Request by Mr. Omair Ali 22-Oct-2024 allocation 22Oct240201');</v>
      </c>
      <c r="H647" s="54" t="str">
        <f t="shared" si="32"/>
        <v>insert into ins_premium_det (premium_rcv_code,assorted_code, rec_amount,premium_rcv_detail_code,remaining_amt, payrec, mode_code,coinsurance_code,class_cd,it_remarks) values('22Oct240201','040000182200','14960',(select max(to_number(i.premium_rcv_detail_code))+1
from ins_premium_det i),'14960','14960','02', '11000003','00','Request by Mr. Omair Ali 22-Oct-2024 allocation 22Oct240201');</v>
      </c>
    </row>
    <row r="648" spans="1:8" ht="105" x14ac:dyDescent="0.25">
      <c r="A648" t="s">
        <v>776</v>
      </c>
      <c r="B648" s="51" t="str">
        <f>VLOOKUP(A648,policy!B:C,2,0)</f>
        <v>040000182203</v>
      </c>
      <c r="C648" s="46">
        <v>14960</v>
      </c>
      <c r="D648" s="46">
        <v>14960</v>
      </c>
      <c r="E648" s="50" t="s">
        <v>3673</v>
      </c>
      <c r="F648" s="52" t="str">
        <f t="shared" si="30"/>
        <v>insert into ins_premium_det (premium_rcv_code,assorted_code, rec_amount,premium_rcv_detail_code,remaining_amt, payrec, mode_code,coinsurance_code,class_cd,it_remarks) values</v>
      </c>
      <c r="G648" s="53" t="str">
        <f t="shared" si="31"/>
        <v>('22Oct240201','040000182203','14960',(select max(to_number(i.premium_rcv_detail_code))+1
from ins_premium_det i),'14960','14960','02', '11000003','00','Request by Mr. Omair Ali 22-Oct-2024 allocation 22Oct240201');</v>
      </c>
      <c r="H648" s="54" t="str">
        <f t="shared" si="32"/>
        <v>insert into ins_premium_det (premium_rcv_code,assorted_code, rec_amount,premium_rcv_detail_code,remaining_amt, payrec, mode_code,coinsurance_code,class_cd,it_remarks) values('22Oct240201','040000182203','14960',(select max(to_number(i.premium_rcv_detail_code))+1
from ins_premium_det i),'14960','14960','02', '11000003','00','Request by Mr. Omair Ali 22-Oct-2024 allocation 22Oct240201');</v>
      </c>
    </row>
    <row r="649" spans="1:8" ht="105" x14ac:dyDescent="0.25">
      <c r="A649" t="s">
        <v>777</v>
      </c>
      <c r="B649" s="51" t="str">
        <f>VLOOKUP(A649,policy!B:C,2,0)</f>
        <v>040000182204</v>
      </c>
      <c r="C649" s="46">
        <v>14960</v>
      </c>
      <c r="D649" s="46">
        <v>14960</v>
      </c>
      <c r="E649" s="50" t="s">
        <v>3673</v>
      </c>
      <c r="F649" s="52" t="str">
        <f t="shared" si="30"/>
        <v>insert into ins_premium_det (premium_rcv_code,assorted_code, rec_amount,premium_rcv_detail_code,remaining_amt, payrec, mode_code,coinsurance_code,class_cd,it_remarks) values</v>
      </c>
      <c r="G649" s="53" t="str">
        <f t="shared" si="31"/>
        <v>('22Oct240201','040000182204','14960',(select max(to_number(i.premium_rcv_detail_code))+1
from ins_premium_det i),'14960','14960','02', '11000003','00','Request by Mr. Omair Ali 22-Oct-2024 allocation 22Oct240201');</v>
      </c>
      <c r="H649" s="54" t="str">
        <f t="shared" si="32"/>
        <v>insert into ins_premium_det (premium_rcv_code,assorted_code, rec_amount,premium_rcv_detail_code,remaining_amt, payrec, mode_code,coinsurance_code,class_cd,it_remarks) values('22Oct240201','040000182204','14960',(select max(to_number(i.premium_rcv_detail_code))+1
from ins_premium_det i),'14960','14960','02', '11000003','00','Request by Mr. Omair Ali 22-Oct-2024 allocation 22Oct240201');</v>
      </c>
    </row>
    <row r="650" spans="1:8" ht="105" x14ac:dyDescent="0.25">
      <c r="A650" t="s">
        <v>778</v>
      </c>
      <c r="B650" s="51" t="str">
        <f>VLOOKUP(A650,policy!B:C,2,0)</f>
        <v>040000182206</v>
      </c>
      <c r="C650" s="46">
        <v>9550</v>
      </c>
      <c r="D650" s="46">
        <v>9550</v>
      </c>
      <c r="E650" s="50" t="s">
        <v>3673</v>
      </c>
      <c r="F650" s="52" t="str">
        <f t="shared" si="30"/>
        <v>insert into ins_premium_det (premium_rcv_code,assorted_code, rec_amount,premium_rcv_detail_code,remaining_amt, payrec, mode_code,coinsurance_code,class_cd,it_remarks) values</v>
      </c>
      <c r="G650" s="53" t="str">
        <f t="shared" si="31"/>
        <v>('22Oct240201','040000182206','9550',(select max(to_number(i.premium_rcv_detail_code))+1
from ins_premium_det i),'9550','9550','02', '11000003','00','Request by Mr. Omair Ali 22-Oct-2024 allocation 22Oct240201');</v>
      </c>
      <c r="H650" s="54" t="str">
        <f t="shared" si="32"/>
        <v>insert into ins_premium_det (premium_rcv_code,assorted_code, rec_amount,premium_rcv_detail_code,remaining_amt, payrec, mode_code,coinsurance_code,class_cd,it_remarks) values('22Oct240201','040000182206','9550',(select max(to_number(i.premium_rcv_detail_code))+1
from ins_premium_det i),'9550','9550','02', '11000003','00','Request by Mr. Omair Ali 22-Oct-2024 allocation 22Oct240201');</v>
      </c>
    </row>
    <row r="651" spans="1:8" ht="105" x14ac:dyDescent="0.25">
      <c r="A651" t="s">
        <v>779</v>
      </c>
      <c r="B651" s="51" t="str">
        <f>VLOOKUP(A651,policy!B:C,2,0)</f>
        <v>040000182207</v>
      </c>
      <c r="C651" s="46">
        <v>12475</v>
      </c>
      <c r="D651" s="46">
        <v>12475</v>
      </c>
      <c r="E651" s="50" t="s">
        <v>3673</v>
      </c>
      <c r="F651" s="52" t="str">
        <f t="shared" si="30"/>
        <v>insert into ins_premium_det (premium_rcv_code,assorted_code, rec_amount,premium_rcv_detail_code,remaining_amt, payrec, mode_code,coinsurance_code,class_cd,it_remarks) values</v>
      </c>
      <c r="G651" s="53" t="str">
        <f t="shared" si="31"/>
        <v>('22Oct240201','040000182207','12475',(select max(to_number(i.premium_rcv_detail_code))+1
from ins_premium_det i),'12475','12475','02', '11000003','00','Request by Mr. Omair Ali 22-Oct-2024 allocation 22Oct240201');</v>
      </c>
      <c r="H651" s="54" t="str">
        <f t="shared" si="32"/>
        <v>insert into ins_premium_det (premium_rcv_code,assorted_code, rec_amount,premium_rcv_detail_code,remaining_amt, payrec, mode_code,coinsurance_code,class_cd,it_remarks) values('22Oct240201','040000182207','12475',(select max(to_number(i.premium_rcv_detail_code))+1
from ins_premium_det i),'12475','12475','02', '11000003','00','Request by Mr. Omair Ali 22-Oct-2024 allocation 22Oct240201');</v>
      </c>
    </row>
    <row r="652" spans="1:8" ht="105" x14ac:dyDescent="0.25">
      <c r="A652" t="s">
        <v>780</v>
      </c>
      <c r="B652" s="51" t="str">
        <f>VLOOKUP(A652,policy!B:C,2,0)</f>
        <v>040000182209</v>
      </c>
      <c r="C652" s="46">
        <v>14960</v>
      </c>
      <c r="D652" s="46">
        <v>14960</v>
      </c>
      <c r="E652" s="50" t="s">
        <v>3673</v>
      </c>
      <c r="F652" s="52" t="str">
        <f t="shared" si="30"/>
        <v>insert into ins_premium_det (premium_rcv_code,assorted_code, rec_amount,premium_rcv_detail_code,remaining_amt, payrec, mode_code,coinsurance_code,class_cd,it_remarks) values</v>
      </c>
      <c r="G652" s="53" t="str">
        <f t="shared" si="31"/>
        <v>('22Oct240201','040000182209','14960',(select max(to_number(i.premium_rcv_detail_code))+1
from ins_premium_det i),'14960','14960','02', '11000003','00','Request by Mr. Omair Ali 22-Oct-2024 allocation 22Oct240201');</v>
      </c>
      <c r="H652" s="54" t="str">
        <f t="shared" si="32"/>
        <v>insert into ins_premium_det (premium_rcv_code,assorted_code, rec_amount,premium_rcv_detail_code,remaining_amt, payrec, mode_code,coinsurance_code,class_cd,it_remarks) values('22Oct240201','040000182209','14960',(select max(to_number(i.premium_rcv_detail_code))+1
from ins_premium_det i),'14960','14960','02', '11000003','00','Request by Mr. Omair Ali 22-Oct-2024 allocation 22Oct240201');</v>
      </c>
    </row>
    <row r="653" spans="1:8" ht="105" x14ac:dyDescent="0.25">
      <c r="A653" t="s">
        <v>781</v>
      </c>
      <c r="B653" s="51" t="str">
        <f>VLOOKUP(A653,policy!B:C,2,0)</f>
        <v>040000182210</v>
      </c>
      <c r="C653" s="46">
        <v>14960</v>
      </c>
      <c r="D653" s="46">
        <v>14960</v>
      </c>
      <c r="E653" s="50" t="s">
        <v>3673</v>
      </c>
      <c r="F653" s="52" t="str">
        <f t="shared" si="30"/>
        <v>insert into ins_premium_det (premium_rcv_code,assorted_code, rec_amount,premium_rcv_detail_code,remaining_amt, payrec, mode_code,coinsurance_code,class_cd,it_remarks) values</v>
      </c>
      <c r="G653" s="53" t="str">
        <f t="shared" si="31"/>
        <v>('22Oct240201','040000182210','14960',(select max(to_number(i.premium_rcv_detail_code))+1
from ins_premium_det i),'14960','14960','02', '11000003','00','Request by Mr. Omair Ali 22-Oct-2024 allocation 22Oct240201');</v>
      </c>
      <c r="H653" s="54" t="str">
        <f t="shared" si="32"/>
        <v>insert into ins_premium_det (premium_rcv_code,assorted_code, rec_amount,premium_rcv_detail_code,remaining_amt, payrec, mode_code,coinsurance_code,class_cd,it_remarks) values('22Oct240201','040000182210','14960',(select max(to_number(i.premium_rcv_detail_code))+1
from ins_premium_det i),'14960','14960','02', '11000003','00','Request by Mr. Omair Ali 22-Oct-2024 allocation 22Oct240201');</v>
      </c>
    </row>
    <row r="654" spans="1:8" ht="105" x14ac:dyDescent="0.25">
      <c r="A654" t="s">
        <v>782</v>
      </c>
      <c r="B654" s="51" t="str">
        <f>VLOOKUP(A654,policy!B:C,2,0)</f>
        <v>040000182211</v>
      </c>
      <c r="C654" s="46">
        <v>9550</v>
      </c>
      <c r="D654" s="46">
        <v>9550</v>
      </c>
      <c r="E654" s="50" t="s">
        <v>3673</v>
      </c>
      <c r="F654" s="52" t="str">
        <f t="shared" si="30"/>
        <v>insert into ins_premium_det (premium_rcv_code,assorted_code, rec_amount,premium_rcv_detail_code,remaining_amt, payrec, mode_code,coinsurance_code,class_cd,it_remarks) values</v>
      </c>
      <c r="G654" s="53" t="str">
        <f t="shared" si="31"/>
        <v>('22Oct240201','040000182211','9550',(select max(to_number(i.premium_rcv_detail_code))+1
from ins_premium_det i),'9550','9550','02', '11000003','00','Request by Mr. Omair Ali 22-Oct-2024 allocation 22Oct240201');</v>
      </c>
      <c r="H654" s="54" t="str">
        <f t="shared" si="32"/>
        <v>insert into ins_premium_det (premium_rcv_code,assorted_code, rec_amount,premium_rcv_detail_code,remaining_amt, payrec, mode_code,coinsurance_code,class_cd,it_remarks) values('22Oct240201','040000182211','9550',(select max(to_number(i.premium_rcv_detail_code))+1
from ins_premium_det i),'9550','9550','02', '11000003','00','Request by Mr. Omair Ali 22-Oct-2024 allocation 22Oct240201');</v>
      </c>
    </row>
    <row r="655" spans="1:8" ht="105" x14ac:dyDescent="0.25">
      <c r="A655" t="s">
        <v>783</v>
      </c>
      <c r="B655" s="51" t="str">
        <f>VLOOKUP(A655,policy!B:C,2,0)</f>
        <v>040000182212</v>
      </c>
      <c r="C655" s="46">
        <v>9550</v>
      </c>
      <c r="D655" s="46">
        <v>9550</v>
      </c>
      <c r="E655" s="50" t="s">
        <v>3673</v>
      </c>
      <c r="F655" s="52" t="str">
        <f t="shared" si="30"/>
        <v>insert into ins_premium_det (premium_rcv_code,assorted_code, rec_amount,premium_rcv_detail_code,remaining_amt, payrec, mode_code,coinsurance_code,class_cd,it_remarks) values</v>
      </c>
      <c r="G655" s="53" t="str">
        <f t="shared" si="31"/>
        <v>('22Oct240201','040000182212','9550',(select max(to_number(i.premium_rcv_detail_code))+1
from ins_premium_det i),'9550','9550','02', '11000003','00','Request by Mr. Omair Ali 22-Oct-2024 allocation 22Oct240201');</v>
      </c>
      <c r="H655" s="54" t="str">
        <f t="shared" si="32"/>
        <v>insert into ins_premium_det (premium_rcv_code,assorted_code, rec_amount,premium_rcv_detail_code,remaining_amt, payrec, mode_code,coinsurance_code,class_cd,it_remarks) values('22Oct240201','040000182212','9550',(select max(to_number(i.premium_rcv_detail_code))+1
from ins_premium_det i),'9550','9550','02', '11000003','00','Request by Mr. Omair Ali 22-Oct-2024 allocation 22Oct240201');</v>
      </c>
    </row>
    <row r="656" spans="1:8" ht="105" x14ac:dyDescent="0.25">
      <c r="A656" t="s">
        <v>784</v>
      </c>
      <c r="B656" s="51" t="str">
        <f>VLOOKUP(A656,policy!B:C,2,0)</f>
        <v>040000182214</v>
      </c>
      <c r="C656" s="46">
        <v>9550</v>
      </c>
      <c r="D656" s="46">
        <v>9550</v>
      </c>
      <c r="E656" s="50" t="s">
        <v>3673</v>
      </c>
      <c r="F656" s="52" t="str">
        <f t="shared" si="30"/>
        <v>insert into ins_premium_det (premium_rcv_code,assorted_code, rec_amount,premium_rcv_detail_code,remaining_amt, payrec, mode_code,coinsurance_code,class_cd,it_remarks) values</v>
      </c>
      <c r="G656" s="53" t="str">
        <f t="shared" si="31"/>
        <v>('22Oct240201','040000182214','9550',(select max(to_number(i.premium_rcv_detail_code))+1
from ins_premium_det i),'9550','9550','02', '11000003','00','Request by Mr. Omair Ali 22-Oct-2024 allocation 22Oct240201');</v>
      </c>
      <c r="H656" s="54" t="str">
        <f t="shared" si="32"/>
        <v>insert into ins_premium_det (premium_rcv_code,assorted_code, rec_amount,premium_rcv_detail_code,remaining_amt, payrec, mode_code,coinsurance_code,class_cd,it_remarks) values('22Oct240201','040000182214','9550',(select max(to_number(i.premium_rcv_detail_code))+1
from ins_premium_det i),'9550','9550','02', '11000003','00','Request by Mr. Omair Ali 22-Oct-2024 allocation 22Oct240201');</v>
      </c>
    </row>
    <row r="657" spans="1:8" ht="105" x14ac:dyDescent="0.25">
      <c r="A657" t="s">
        <v>785</v>
      </c>
      <c r="B657" s="51" t="str">
        <f>VLOOKUP(A657,policy!B:C,2,0)</f>
        <v>040000182215</v>
      </c>
      <c r="C657" s="46">
        <v>16235</v>
      </c>
      <c r="D657" s="46">
        <v>16235</v>
      </c>
      <c r="E657" s="50" t="s">
        <v>3673</v>
      </c>
      <c r="F657" s="52" t="str">
        <f t="shared" si="30"/>
        <v>insert into ins_premium_det (premium_rcv_code,assorted_code, rec_amount,premium_rcv_detail_code,remaining_amt, payrec, mode_code,coinsurance_code,class_cd,it_remarks) values</v>
      </c>
      <c r="G657" s="53" t="str">
        <f t="shared" si="31"/>
        <v>('22Oct240201','040000182215','16235',(select max(to_number(i.premium_rcv_detail_code))+1
from ins_premium_det i),'16235','16235','02', '11000003','00','Request by Mr. Omair Ali 22-Oct-2024 allocation 22Oct240201');</v>
      </c>
      <c r="H657" s="54" t="str">
        <f t="shared" si="32"/>
        <v>insert into ins_premium_det (premium_rcv_code,assorted_code, rec_amount,premium_rcv_detail_code,remaining_amt, payrec, mode_code,coinsurance_code,class_cd,it_remarks) values('22Oct240201','040000182215','16235',(select max(to_number(i.premium_rcv_detail_code))+1
from ins_premium_det i),'16235','16235','02', '11000003','00','Request by Mr. Omair Ali 22-Oct-2024 allocation 22Oct240201');</v>
      </c>
    </row>
    <row r="658" spans="1:8" ht="105" x14ac:dyDescent="0.25">
      <c r="A658" t="s">
        <v>786</v>
      </c>
      <c r="B658" s="51" t="str">
        <f>VLOOKUP(A658,policy!B:C,2,0)</f>
        <v>040000182216</v>
      </c>
      <c r="C658" s="46">
        <v>9550</v>
      </c>
      <c r="D658" s="46">
        <v>9550</v>
      </c>
      <c r="E658" s="50" t="s">
        <v>3673</v>
      </c>
      <c r="F658" s="52" t="str">
        <f t="shared" si="30"/>
        <v>insert into ins_premium_det (premium_rcv_code,assorted_code, rec_amount,premium_rcv_detail_code,remaining_amt, payrec, mode_code,coinsurance_code,class_cd,it_remarks) values</v>
      </c>
      <c r="G658" s="53" t="str">
        <f t="shared" si="31"/>
        <v>('22Oct240201','040000182216','9550',(select max(to_number(i.premium_rcv_detail_code))+1
from ins_premium_det i),'9550','9550','02', '11000003','00','Request by Mr. Omair Ali 22-Oct-2024 allocation 22Oct240201');</v>
      </c>
      <c r="H658" s="54" t="str">
        <f t="shared" si="32"/>
        <v>insert into ins_premium_det (premium_rcv_code,assorted_code, rec_amount,premium_rcv_detail_code,remaining_amt, payrec, mode_code,coinsurance_code,class_cd,it_remarks) values('22Oct240201','040000182216','9550',(select max(to_number(i.premium_rcv_detail_code))+1
from ins_premium_det i),'9550','9550','02', '11000003','00','Request by Mr. Omair Ali 22-Oct-2024 allocation 22Oct240201');</v>
      </c>
    </row>
    <row r="659" spans="1:8" ht="105" x14ac:dyDescent="0.25">
      <c r="A659" t="s">
        <v>787</v>
      </c>
      <c r="B659" s="51" t="str">
        <f>VLOOKUP(A659,policy!B:C,2,0)</f>
        <v>040000182217</v>
      </c>
      <c r="C659" s="46">
        <v>8800</v>
      </c>
      <c r="D659" s="46">
        <v>8800</v>
      </c>
      <c r="E659" s="50" t="s">
        <v>3673</v>
      </c>
      <c r="F659" s="52" t="str">
        <f t="shared" si="30"/>
        <v>insert into ins_premium_det (premium_rcv_code,assorted_code, rec_amount,premium_rcv_detail_code,remaining_amt, payrec, mode_code,coinsurance_code,class_cd,it_remarks) values</v>
      </c>
      <c r="G659" s="53" t="str">
        <f t="shared" si="31"/>
        <v>('22Oct240201','040000182217','8800',(select max(to_number(i.premium_rcv_detail_code))+1
from ins_premium_det i),'8800','8800','02', '11000003','00','Request by Mr. Omair Ali 22-Oct-2024 allocation 22Oct240201');</v>
      </c>
      <c r="H659" s="54" t="str">
        <f t="shared" si="32"/>
        <v>insert into ins_premium_det (premium_rcv_code,assorted_code, rec_amount,premium_rcv_detail_code,remaining_amt, payrec, mode_code,coinsurance_code,class_cd,it_remarks) values('22Oct240201','040000182217','8800',(select max(to_number(i.premium_rcv_detail_code))+1
from ins_premium_det i),'8800','8800','02', '11000003','00','Request by Mr. Omair Ali 22-Oct-2024 allocation 22Oct240201');</v>
      </c>
    </row>
    <row r="660" spans="1:8" ht="105" x14ac:dyDescent="0.25">
      <c r="A660" t="s">
        <v>788</v>
      </c>
      <c r="B660" s="51" t="str">
        <f>VLOOKUP(A660,policy!B:C,2,0)</f>
        <v>040000182218</v>
      </c>
      <c r="C660" s="46">
        <v>8800</v>
      </c>
      <c r="D660" s="46">
        <v>8800</v>
      </c>
      <c r="E660" s="50" t="s">
        <v>3673</v>
      </c>
      <c r="F660" s="52" t="str">
        <f t="shared" si="30"/>
        <v>insert into ins_premium_det (premium_rcv_code,assorted_code, rec_amount,premium_rcv_detail_code,remaining_amt, payrec, mode_code,coinsurance_code,class_cd,it_remarks) values</v>
      </c>
      <c r="G660" s="53" t="str">
        <f t="shared" si="31"/>
        <v>('22Oct240201','040000182218','8800',(select max(to_number(i.premium_rcv_detail_code))+1
from ins_premium_det i),'8800','8800','02', '11000003','00','Request by Mr. Omair Ali 22-Oct-2024 allocation 22Oct240201');</v>
      </c>
      <c r="H660" s="54" t="str">
        <f t="shared" si="32"/>
        <v>insert into ins_premium_det (premium_rcv_code,assorted_code, rec_amount,premium_rcv_detail_code,remaining_amt, payrec, mode_code,coinsurance_code,class_cd,it_remarks) values('22Oct240201','040000182218','8800',(select max(to_number(i.premium_rcv_detail_code))+1
from ins_premium_det i),'8800','8800','02', '11000003','00','Request by Mr. Omair Ali 22-Oct-2024 allocation 22Oct240201');</v>
      </c>
    </row>
    <row r="661" spans="1:8" ht="105" x14ac:dyDescent="0.25">
      <c r="A661" t="s">
        <v>789</v>
      </c>
      <c r="B661" s="51" t="str">
        <f>VLOOKUP(A661,policy!B:C,2,0)</f>
        <v>040000182219</v>
      </c>
      <c r="C661" s="46">
        <v>8800</v>
      </c>
      <c r="D661" s="46">
        <v>8800</v>
      </c>
      <c r="E661" s="50" t="s">
        <v>3673</v>
      </c>
      <c r="F661" s="52" t="str">
        <f t="shared" si="30"/>
        <v>insert into ins_premium_det (premium_rcv_code,assorted_code, rec_amount,premium_rcv_detail_code,remaining_amt, payrec, mode_code,coinsurance_code,class_cd,it_remarks) values</v>
      </c>
      <c r="G661" s="53" t="str">
        <f t="shared" si="31"/>
        <v>('22Oct240201','040000182219','8800',(select max(to_number(i.premium_rcv_detail_code))+1
from ins_premium_det i),'8800','8800','02', '11000003','00','Request by Mr. Omair Ali 22-Oct-2024 allocation 22Oct240201');</v>
      </c>
      <c r="H661" s="54" t="str">
        <f t="shared" si="32"/>
        <v>insert into ins_premium_det (premium_rcv_code,assorted_code, rec_amount,premium_rcv_detail_code,remaining_amt, payrec, mode_code,coinsurance_code,class_cd,it_remarks) values('22Oct240201','040000182219','8800',(select max(to_number(i.premium_rcv_detail_code))+1
from ins_premium_det i),'8800','8800','02', '11000003','00','Request by Mr. Omair Ali 22-Oct-2024 allocation 22Oct240201');</v>
      </c>
    </row>
    <row r="662" spans="1:8" ht="105" x14ac:dyDescent="0.25">
      <c r="A662" t="s">
        <v>790</v>
      </c>
      <c r="B662" s="51" t="str">
        <f>VLOOKUP(A662,policy!B:C,2,0)</f>
        <v>040000182220</v>
      </c>
      <c r="C662" s="46">
        <v>14960</v>
      </c>
      <c r="D662" s="46">
        <v>14960</v>
      </c>
      <c r="E662" s="50" t="s">
        <v>3673</v>
      </c>
      <c r="F662" s="52" t="str">
        <f t="shared" si="30"/>
        <v>insert into ins_premium_det (premium_rcv_code,assorted_code, rec_amount,premium_rcv_detail_code,remaining_amt, payrec, mode_code,coinsurance_code,class_cd,it_remarks) values</v>
      </c>
      <c r="G662" s="53" t="str">
        <f t="shared" si="31"/>
        <v>('22Oct240201','040000182220','14960',(select max(to_number(i.premium_rcv_detail_code))+1
from ins_premium_det i),'14960','14960','02', '11000003','00','Request by Mr. Omair Ali 22-Oct-2024 allocation 22Oct240201');</v>
      </c>
      <c r="H662" s="54" t="str">
        <f t="shared" si="32"/>
        <v>insert into ins_premium_det (premium_rcv_code,assorted_code, rec_amount,premium_rcv_detail_code,remaining_amt, payrec, mode_code,coinsurance_code,class_cd,it_remarks) values('22Oct240201','040000182220','14960',(select max(to_number(i.premium_rcv_detail_code))+1
from ins_premium_det i),'14960','14960','02', '11000003','00','Request by Mr. Omair Ali 22-Oct-2024 allocation 22Oct240201');</v>
      </c>
    </row>
    <row r="663" spans="1:8" ht="105" x14ac:dyDescent="0.25">
      <c r="A663" t="s">
        <v>791</v>
      </c>
      <c r="B663" s="51" t="str">
        <f>VLOOKUP(A663,policy!B:C,2,0)</f>
        <v>040000182221</v>
      </c>
      <c r="C663" s="46">
        <v>14960</v>
      </c>
      <c r="D663" s="46">
        <v>14960</v>
      </c>
      <c r="E663" s="50" t="s">
        <v>3673</v>
      </c>
      <c r="F663" s="52" t="str">
        <f t="shared" si="30"/>
        <v>insert into ins_premium_det (premium_rcv_code,assorted_code, rec_amount,premium_rcv_detail_code,remaining_amt, payrec, mode_code,coinsurance_code,class_cd,it_remarks) values</v>
      </c>
      <c r="G663" s="53" t="str">
        <f t="shared" si="31"/>
        <v>('22Oct240201','040000182221','14960',(select max(to_number(i.premium_rcv_detail_code))+1
from ins_premium_det i),'14960','14960','02', '11000003','00','Request by Mr. Omair Ali 22-Oct-2024 allocation 22Oct240201');</v>
      </c>
      <c r="H663" s="54" t="str">
        <f t="shared" si="32"/>
        <v>insert into ins_premium_det (premium_rcv_code,assorted_code, rec_amount,premium_rcv_detail_code,remaining_amt, payrec, mode_code,coinsurance_code,class_cd,it_remarks) values('22Oct240201','040000182221','14960',(select max(to_number(i.premium_rcv_detail_code))+1
from ins_premium_det i),'14960','14960','02', '11000003','00','Request by Mr. Omair Ali 22-Oct-2024 allocation 22Oct240201');</v>
      </c>
    </row>
    <row r="664" spans="1:8" ht="105" x14ac:dyDescent="0.25">
      <c r="A664" t="s">
        <v>792</v>
      </c>
      <c r="B664" s="51" t="str">
        <f>VLOOKUP(A664,policy!B:C,2,0)</f>
        <v>040000182222</v>
      </c>
      <c r="C664" s="46">
        <v>8800</v>
      </c>
      <c r="D664" s="46">
        <v>8800</v>
      </c>
      <c r="E664" s="50" t="s">
        <v>3673</v>
      </c>
      <c r="F664" s="52" t="str">
        <f t="shared" si="30"/>
        <v>insert into ins_premium_det (premium_rcv_code,assorted_code, rec_amount,premium_rcv_detail_code,remaining_amt, payrec, mode_code,coinsurance_code,class_cd,it_remarks) values</v>
      </c>
      <c r="G664" s="53" t="str">
        <f t="shared" si="31"/>
        <v>('22Oct240201','040000182222','8800',(select max(to_number(i.premium_rcv_detail_code))+1
from ins_premium_det i),'8800','8800','02', '11000003','00','Request by Mr. Omair Ali 22-Oct-2024 allocation 22Oct240201');</v>
      </c>
      <c r="H664" s="54" t="str">
        <f t="shared" si="32"/>
        <v>insert into ins_premium_det (premium_rcv_code,assorted_code, rec_amount,premium_rcv_detail_code,remaining_amt, payrec, mode_code,coinsurance_code,class_cd,it_remarks) values('22Oct240201','040000182222','8800',(select max(to_number(i.premium_rcv_detail_code))+1
from ins_premium_det i),'8800','8800','02', '11000003','00','Request by Mr. Omair Ali 22-Oct-2024 allocation 22Oct240201');</v>
      </c>
    </row>
    <row r="665" spans="1:8" ht="105" x14ac:dyDescent="0.25">
      <c r="A665" t="s">
        <v>793</v>
      </c>
      <c r="B665" s="51" t="str">
        <f>VLOOKUP(A665,policy!B:C,2,0)</f>
        <v>040000182229</v>
      </c>
      <c r="C665" s="46">
        <v>9550</v>
      </c>
      <c r="D665" s="46">
        <v>9550</v>
      </c>
      <c r="E665" s="50" t="s">
        <v>3673</v>
      </c>
      <c r="F665" s="52" t="str">
        <f t="shared" si="30"/>
        <v>insert into ins_premium_det (premium_rcv_code,assorted_code, rec_amount,premium_rcv_detail_code,remaining_amt, payrec, mode_code,coinsurance_code,class_cd,it_remarks) values</v>
      </c>
      <c r="G665" s="53" t="str">
        <f t="shared" si="31"/>
        <v>('22Oct240201','040000182229','9550',(select max(to_number(i.premium_rcv_detail_code))+1
from ins_premium_det i),'9550','9550','02', '11000003','00','Request by Mr. Omair Ali 22-Oct-2024 allocation 22Oct240201');</v>
      </c>
      <c r="H665" s="54" t="str">
        <f t="shared" si="32"/>
        <v>insert into ins_premium_det (premium_rcv_code,assorted_code, rec_amount,premium_rcv_detail_code,remaining_amt, payrec, mode_code,coinsurance_code,class_cd,it_remarks) values('22Oct240201','040000182229','9550',(select max(to_number(i.premium_rcv_detail_code))+1
from ins_premium_det i),'9550','9550','02', '11000003','00','Request by Mr. Omair Ali 22-Oct-2024 allocation 22Oct240201');</v>
      </c>
    </row>
    <row r="666" spans="1:8" ht="105" x14ac:dyDescent="0.25">
      <c r="A666" t="s">
        <v>794</v>
      </c>
      <c r="B666" s="51" t="str">
        <f>VLOOKUP(A666,policy!B:C,2,0)</f>
        <v>040000182235</v>
      </c>
      <c r="C666" s="46">
        <v>16235</v>
      </c>
      <c r="D666" s="46">
        <v>16235</v>
      </c>
      <c r="E666" s="50" t="s">
        <v>3673</v>
      </c>
      <c r="F666" s="52" t="str">
        <f t="shared" si="30"/>
        <v>insert into ins_premium_det (premium_rcv_code,assorted_code, rec_amount,premium_rcv_detail_code,remaining_amt, payrec, mode_code,coinsurance_code,class_cd,it_remarks) values</v>
      </c>
      <c r="G666" s="53" t="str">
        <f t="shared" si="31"/>
        <v>('22Oct240201','040000182235','16235',(select max(to_number(i.premium_rcv_detail_code))+1
from ins_premium_det i),'16235','16235','02', '11000003','00','Request by Mr. Omair Ali 22-Oct-2024 allocation 22Oct240201');</v>
      </c>
      <c r="H666" s="54" t="str">
        <f t="shared" si="32"/>
        <v>insert into ins_premium_det (premium_rcv_code,assorted_code, rec_amount,premium_rcv_detail_code,remaining_amt, payrec, mode_code,coinsurance_code,class_cd,it_remarks) values('22Oct240201','040000182235','16235',(select max(to_number(i.premium_rcv_detail_code))+1
from ins_premium_det i),'16235','16235','02', '11000003','00','Request by Mr. Omair Ali 22-Oct-2024 allocation 22Oct240201');</v>
      </c>
    </row>
    <row r="667" spans="1:8" ht="105" x14ac:dyDescent="0.25">
      <c r="A667" t="s">
        <v>795</v>
      </c>
      <c r="B667" s="51" t="str">
        <f>VLOOKUP(A667,policy!B:C,2,0)</f>
        <v>040000182241</v>
      </c>
      <c r="C667" s="46">
        <v>14960</v>
      </c>
      <c r="D667" s="46">
        <v>14960</v>
      </c>
      <c r="E667" s="50" t="s">
        <v>3673</v>
      </c>
      <c r="F667" s="52" t="str">
        <f t="shared" si="30"/>
        <v>insert into ins_premium_det (premium_rcv_code,assorted_code, rec_amount,premium_rcv_detail_code,remaining_amt, payrec, mode_code,coinsurance_code,class_cd,it_remarks) values</v>
      </c>
      <c r="G667" s="53" t="str">
        <f t="shared" si="31"/>
        <v>('22Oct240201','040000182241','14960',(select max(to_number(i.premium_rcv_detail_code))+1
from ins_premium_det i),'14960','14960','02', '11000003','00','Request by Mr. Omair Ali 22-Oct-2024 allocation 22Oct240201');</v>
      </c>
      <c r="H667" s="54" t="str">
        <f t="shared" si="32"/>
        <v>insert into ins_premium_det (premium_rcv_code,assorted_code, rec_amount,premium_rcv_detail_code,remaining_amt, payrec, mode_code,coinsurance_code,class_cd,it_remarks) values('22Oct240201','040000182241','14960',(select max(to_number(i.premium_rcv_detail_code))+1
from ins_premium_det i),'14960','14960','02', '11000003','00','Request by Mr. Omair Ali 22-Oct-2024 allocation 22Oct240201');</v>
      </c>
    </row>
    <row r="668" spans="1:8" ht="105" x14ac:dyDescent="0.25">
      <c r="A668" t="s">
        <v>796</v>
      </c>
      <c r="B668" s="51" t="str">
        <f>VLOOKUP(A668,policy!B:C,2,0)</f>
        <v>040000182255</v>
      </c>
      <c r="C668" s="46">
        <v>14960</v>
      </c>
      <c r="D668" s="46">
        <v>14960</v>
      </c>
      <c r="E668" s="50" t="s">
        <v>3673</v>
      </c>
      <c r="F668" s="52" t="str">
        <f t="shared" si="30"/>
        <v>insert into ins_premium_det (premium_rcv_code,assorted_code, rec_amount,premium_rcv_detail_code,remaining_amt, payrec, mode_code,coinsurance_code,class_cd,it_remarks) values</v>
      </c>
      <c r="G668" s="53" t="str">
        <f t="shared" si="31"/>
        <v>('22Oct240201','040000182255','14960',(select max(to_number(i.premium_rcv_detail_code))+1
from ins_premium_det i),'14960','14960','02', '11000003','00','Request by Mr. Omair Ali 22-Oct-2024 allocation 22Oct240201');</v>
      </c>
      <c r="H668" s="54" t="str">
        <f t="shared" si="32"/>
        <v>insert into ins_premium_det (premium_rcv_code,assorted_code, rec_amount,premium_rcv_detail_code,remaining_amt, payrec, mode_code,coinsurance_code,class_cd,it_remarks) values('22Oct240201','040000182255','14960',(select max(to_number(i.premium_rcv_detail_code))+1
from ins_premium_det i),'14960','14960','02', '11000003','00','Request by Mr. Omair Ali 22-Oct-2024 allocation 22Oct240201');</v>
      </c>
    </row>
    <row r="669" spans="1:8" ht="105" x14ac:dyDescent="0.25">
      <c r="A669" t="s">
        <v>797</v>
      </c>
      <c r="B669" s="51" t="str">
        <f>VLOOKUP(A669,policy!B:C,2,0)</f>
        <v>040000182256</v>
      </c>
      <c r="C669" s="46">
        <v>14960</v>
      </c>
      <c r="D669" s="46">
        <v>14960</v>
      </c>
      <c r="E669" s="50" t="s">
        <v>3673</v>
      </c>
      <c r="F669" s="52" t="str">
        <f t="shared" si="30"/>
        <v>insert into ins_premium_det (premium_rcv_code,assorted_code, rec_amount,premium_rcv_detail_code,remaining_amt, payrec, mode_code,coinsurance_code,class_cd,it_remarks) values</v>
      </c>
      <c r="G669" s="53" t="str">
        <f t="shared" si="31"/>
        <v>('22Oct240201','040000182256','14960',(select max(to_number(i.premium_rcv_detail_code))+1
from ins_premium_det i),'14960','14960','02', '11000003','00','Request by Mr. Omair Ali 22-Oct-2024 allocation 22Oct240201');</v>
      </c>
      <c r="H669" s="54" t="str">
        <f t="shared" si="32"/>
        <v>insert into ins_premium_det (premium_rcv_code,assorted_code, rec_amount,premium_rcv_detail_code,remaining_amt, payrec, mode_code,coinsurance_code,class_cd,it_remarks) values('22Oct240201','040000182256','14960',(select max(to_number(i.premium_rcv_detail_code))+1
from ins_premium_det i),'14960','14960','02', '11000003','00','Request by Mr. Omair Ali 22-Oct-2024 allocation 22Oct240201');</v>
      </c>
    </row>
    <row r="670" spans="1:8" ht="105" x14ac:dyDescent="0.25">
      <c r="A670" t="s">
        <v>798</v>
      </c>
      <c r="B670" s="51" t="str">
        <f>VLOOKUP(A670,policy!B:C,2,0)</f>
        <v>040000182259</v>
      </c>
      <c r="C670" s="46">
        <v>14960</v>
      </c>
      <c r="D670" s="46">
        <v>14960</v>
      </c>
      <c r="E670" s="50" t="s">
        <v>3673</v>
      </c>
      <c r="F670" s="52" t="str">
        <f t="shared" si="30"/>
        <v>insert into ins_premium_det (premium_rcv_code,assorted_code, rec_amount,premium_rcv_detail_code,remaining_amt, payrec, mode_code,coinsurance_code,class_cd,it_remarks) values</v>
      </c>
      <c r="G670" s="53" t="str">
        <f t="shared" si="31"/>
        <v>('22Oct240201','040000182259','14960',(select max(to_number(i.premium_rcv_detail_code))+1
from ins_premium_det i),'14960','14960','02', '11000003','00','Request by Mr. Omair Ali 22-Oct-2024 allocation 22Oct240201');</v>
      </c>
      <c r="H670" s="54" t="str">
        <f t="shared" si="32"/>
        <v>insert into ins_premium_det (premium_rcv_code,assorted_code, rec_amount,premium_rcv_detail_code,remaining_amt, payrec, mode_code,coinsurance_code,class_cd,it_remarks) values('22Oct240201','040000182259','14960',(select max(to_number(i.premium_rcv_detail_code))+1
from ins_premium_det i),'14960','14960','02', '11000003','00','Request by Mr. Omair Ali 22-Oct-2024 allocation 22Oct240201');</v>
      </c>
    </row>
    <row r="671" spans="1:8" ht="105" x14ac:dyDescent="0.25">
      <c r="A671" t="s">
        <v>799</v>
      </c>
      <c r="B671" s="51" t="str">
        <f>VLOOKUP(A671,policy!B:C,2,0)</f>
        <v>040000182260</v>
      </c>
      <c r="C671" s="46">
        <v>14960</v>
      </c>
      <c r="D671" s="46">
        <v>14960</v>
      </c>
      <c r="E671" s="50" t="s">
        <v>3673</v>
      </c>
      <c r="F671" s="52" t="str">
        <f t="shared" si="30"/>
        <v>insert into ins_premium_det (premium_rcv_code,assorted_code, rec_amount,premium_rcv_detail_code,remaining_amt, payrec, mode_code,coinsurance_code,class_cd,it_remarks) values</v>
      </c>
      <c r="G671" s="53" t="str">
        <f t="shared" si="31"/>
        <v>('22Oct240201','040000182260','14960',(select max(to_number(i.premium_rcv_detail_code))+1
from ins_premium_det i),'14960','14960','02', '11000003','00','Request by Mr. Omair Ali 22-Oct-2024 allocation 22Oct240201');</v>
      </c>
      <c r="H671" s="54" t="str">
        <f t="shared" si="32"/>
        <v>insert into ins_premium_det (premium_rcv_code,assorted_code, rec_amount,premium_rcv_detail_code,remaining_amt, payrec, mode_code,coinsurance_code,class_cd,it_remarks) values('22Oct240201','040000182260','14960',(select max(to_number(i.premium_rcv_detail_code))+1
from ins_premium_det i),'14960','14960','02', '11000003','00','Request by Mr. Omair Ali 22-Oct-2024 allocation 22Oct240201');</v>
      </c>
    </row>
    <row r="672" spans="1:8" ht="105" x14ac:dyDescent="0.25">
      <c r="A672" t="s">
        <v>800</v>
      </c>
      <c r="B672" s="51" t="str">
        <f>VLOOKUP(A672,policy!B:C,2,0)</f>
        <v>040000182264</v>
      </c>
      <c r="C672" s="46">
        <v>12320</v>
      </c>
      <c r="D672" s="46">
        <v>12320</v>
      </c>
      <c r="E672" s="50" t="s">
        <v>3673</v>
      </c>
      <c r="F672" s="52" t="str">
        <f t="shared" si="30"/>
        <v>insert into ins_premium_det (premium_rcv_code,assorted_code, rec_amount,premium_rcv_detail_code,remaining_amt, payrec, mode_code,coinsurance_code,class_cd,it_remarks) values</v>
      </c>
      <c r="G672" s="53" t="str">
        <f t="shared" si="31"/>
        <v>('22Oct240201','040000182264','12320',(select max(to_number(i.premium_rcv_detail_code))+1
from ins_premium_det i),'12320','12320','02', '11000003','00','Request by Mr. Omair Ali 22-Oct-2024 allocation 22Oct240201');</v>
      </c>
      <c r="H672" s="54" t="str">
        <f t="shared" si="32"/>
        <v>insert into ins_premium_det (premium_rcv_code,assorted_code, rec_amount,premium_rcv_detail_code,remaining_amt, payrec, mode_code,coinsurance_code,class_cd,it_remarks) values('22Oct240201','040000182264','12320',(select max(to_number(i.premium_rcv_detail_code))+1
from ins_premium_det i),'12320','12320','02', '11000003','00','Request by Mr. Omair Ali 22-Oct-2024 allocation 22Oct240201');</v>
      </c>
    </row>
    <row r="673" spans="1:8" ht="105" x14ac:dyDescent="0.25">
      <c r="A673" t="s">
        <v>801</v>
      </c>
      <c r="B673" s="51" t="str">
        <f>VLOOKUP(A673,policy!B:C,2,0)</f>
        <v>040000182267</v>
      </c>
      <c r="C673" s="46">
        <v>11725</v>
      </c>
      <c r="D673" s="46">
        <v>11725</v>
      </c>
      <c r="E673" s="50" t="s">
        <v>3673</v>
      </c>
      <c r="F673" s="52" t="str">
        <f t="shared" si="30"/>
        <v>insert into ins_premium_det (premium_rcv_code,assorted_code, rec_amount,premium_rcv_detail_code,remaining_amt, payrec, mode_code,coinsurance_code,class_cd,it_remarks) values</v>
      </c>
      <c r="G673" s="53" t="str">
        <f t="shared" si="31"/>
        <v>('22Oct240201','040000182267','11725',(select max(to_number(i.premium_rcv_detail_code))+1
from ins_premium_det i),'11725','11725','02', '11000003','00','Request by Mr. Omair Ali 22-Oct-2024 allocation 22Oct240201');</v>
      </c>
      <c r="H673" s="54" t="str">
        <f t="shared" si="32"/>
        <v>insert into ins_premium_det (premium_rcv_code,assorted_code, rec_amount,premium_rcv_detail_code,remaining_amt, payrec, mode_code,coinsurance_code,class_cd,it_remarks) values('22Oct240201','040000182267','11725',(select max(to_number(i.premium_rcv_detail_code))+1
from ins_premium_det i),'11725','11725','02', '11000003','00','Request by Mr. Omair Ali 22-Oct-2024 allocation 22Oct240201');</v>
      </c>
    </row>
    <row r="674" spans="1:8" ht="105" x14ac:dyDescent="0.25">
      <c r="A674" t="s">
        <v>802</v>
      </c>
      <c r="B674" s="51" t="str">
        <f>VLOOKUP(A674,policy!B:C,2,0)</f>
        <v>040000182272</v>
      </c>
      <c r="C674" s="46">
        <v>14960</v>
      </c>
      <c r="D674" s="46">
        <v>14960</v>
      </c>
      <c r="E674" s="50" t="s">
        <v>3673</v>
      </c>
      <c r="F674" s="52" t="str">
        <f t="shared" si="30"/>
        <v>insert into ins_premium_det (premium_rcv_code,assorted_code, rec_amount,premium_rcv_detail_code,remaining_amt, payrec, mode_code,coinsurance_code,class_cd,it_remarks) values</v>
      </c>
      <c r="G674" s="53" t="str">
        <f t="shared" si="31"/>
        <v>('22Oct240201','040000182272','14960',(select max(to_number(i.premium_rcv_detail_code))+1
from ins_premium_det i),'14960','14960','02', '11000003','00','Request by Mr. Omair Ali 22-Oct-2024 allocation 22Oct240201');</v>
      </c>
      <c r="H674" s="54" t="str">
        <f t="shared" si="32"/>
        <v>insert into ins_premium_det (premium_rcv_code,assorted_code, rec_amount,premium_rcv_detail_code,remaining_amt, payrec, mode_code,coinsurance_code,class_cd,it_remarks) values('22Oct240201','040000182272','14960',(select max(to_number(i.premium_rcv_detail_code))+1
from ins_premium_det i),'14960','14960','02', '11000003','00','Request by Mr. Omair Ali 22-Oct-2024 allocation 22Oct240201');</v>
      </c>
    </row>
    <row r="675" spans="1:8" ht="105" x14ac:dyDescent="0.25">
      <c r="A675" t="s">
        <v>803</v>
      </c>
      <c r="B675" s="51" t="str">
        <f>VLOOKUP(A675,policy!B:C,2,0)</f>
        <v>040000182273</v>
      </c>
      <c r="C675" s="46">
        <v>14960</v>
      </c>
      <c r="D675" s="46">
        <v>14960</v>
      </c>
      <c r="E675" s="50" t="s">
        <v>3673</v>
      </c>
      <c r="F675" s="52" t="str">
        <f t="shared" si="30"/>
        <v>insert into ins_premium_det (premium_rcv_code,assorted_code, rec_amount,premium_rcv_detail_code,remaining_amt, payrec, mode_code,coinsurance_code,class_cd,it_remarks) values</v>
      </c>
      <c r="G675" s="53" t="str">
        <f t="shared" si="31"/>
        <v>('22Oct240201','040000182273','14960',(select max(to_number(i.premium_rcv_detail_code))+1
from ins_premium_det i),'14960','14960','02', '11000003','00','Request by Mr. Omair Ali 22-Oct-2024 allocation 22Oct240201');</v>
      </c>
      <c r="H675" s="54" t="str">
        <f t="shared" si="32"/>
        <v>insert into ins_premium_det (premium_rcv_code,assorted_code, rec_amount,premium_rcv_detail_code,remaining_amt, payrec, mode_code,coinsurance_code,class_cd,it_remarks) values('22Oct240201','040000182273','14960',(select max(to_number(i.premium_rcv_detail_code))+1
from ins_premium_det i),'14960','14960','02', '11000003','00','Request by Mr. Omair Ali 22-Oct-2024 allocation 22Oct240201');</v>
      </c>
    </row>
    <row r="676" spans="1:8" ht="105" x14ac:dyDescent="0.25">
      <c r="A676" t="s">
        <v>804</v>
      </c>
      <c r="B676" s="51" t="str">
        <f>VLOOKUP(A676,policy!B:C,2,0)</f>
        <v>040000182275</v>
      </c>
      <c r="C676" s="46">
        <v>12320</v>
      </c>
      <c r="D676" s="46">
        <v>12320</v>
      </c>
      <c r="E676" s="50" t="s">
        <v>3673</v>
      </c>
      <c r="F676" s="52" t="str">
        <f t="shared" si="30"/>
        <v>insert into ins_premium_det (premium_rcv_code,assorted_code, rec_amount,premium_rcv_detail_code,remaining_amt, payrec, mode_code,coinsurance_code,class_cd,it_remarks) values</v>
      </c>
      <c r="G676" s="53" t="str">
        <f t="shared" si="31"/>
        <v>('22Oct240201','040000182275','12320',(select max(to_number(i.premium_rcv_detail_code))+1
from ins_premium_det i),'12320','12320','02', '11000003','00','Request by Mr. Omair Ali 22-Oct-2024 allocation 22Oct240201');</v>
      </c>
      <c r="H676" s="54" t="str">
        <f t="shared" si="32"/>
        <v>insert into ins_premium_det (premium_rcv_code,assorted_code, rec_amount,premium_rcv_detail_code,remaining_amt, payrec, mode_code,coinsurance_code,class_cd,it_remarks) values('22Oct240201','040000182275','12320',(select max(to_number(i.premium_rcv_detail_code))+1
from ins_premium_det i),'12320','12320','02', '11000003','00','Request by Mr. Omair Ali 22-Oct-2024 allocation 22Oct240201');</v>
      </c>
    </row>
    <row r="677" spans="1:8" ht="105" x14ac:dyDescent="0.25">
      <c r="A677" t="s">
        <v>805</v>
      </c>
      <c r="B677" s="51" t="str">
        <f>VLOOKUP(A677,policy!B:C,2,0)</f>
        <v>040000182276</v>
      </c>
      <c r="C677" s="46">
        <v>13370</v>
      </c>
      <c r="D677" s="46">
        <v>13370</v>
      </c>
      <c r="E677" s="50" t="s">
        <v>3673</v>
      </c>
      <c r="F677" s="52" t="str">
        <f t="shared" si="30"/>
        <v>insert into ins_premium_det (premium_rcv_code,assorted_code, rec_amount,premium_rcv_detail_code,remaining_amt, payrec, mode_code,coinsurance_code,class_cd,it_remarks) values</v>
      </c>
      <c r="G677" s="53" t="str">
        <f t="shared" si="31"/>
        <v>('22Oct240201','040000182276','13370',(select max(to_number(i.premium_rcv_detail_code))+1
from ins_premium_det i),'13370','13370','02', '11000003','00','Request by Mr. Omair Ali 22-Oct-2024 allocation 22Oct240201');</v>
      </c>
      <c r="H677" s="54" t="str">
        <f t="shared" si="32"/>
        <v>insert into ins_premium_det (premium_rcv_code,assorted_code, rec_amount,premium_rcv_detail_code,remaining_amt, payrec, mode_code,coinsurance_code,class_cd,it_remarks) values('22Oct240201','040000182276','13370',(select max(to_number(i.premium_rcv_detail_code))+1
from ins_premium_det i),'13370','13370','02', '11000003','00','Request by Mr. Omair Ali 22-Oct-2024 allocation 22Oct240201');</v>
      </c>
    </row>
    <row r="678" spans="1:8" ht="105" x14ac:dyDescent="0.25">
      <c r="A678" t="s">
        <v>806</v>
      </c>
      <c r="B678" s="51" t="str">
        <f>VLOOKUP(A678,policy!B:C,2,0)</f>
        <v>040000182277</v>
      </c>
      <c r="C678" s="46">
        <v>13370</v>
      </c>
      <c r="D678" s="46">
        <v>13370</v>
      </c>
      <c r="E678" s="50" t="s">
        <v>3673</v>
      </c>
      <c r="F678" s="52" t="str">
        <f t="shared" si="30"/>
        <v>insert into ins_premium_det (premium_rcv_code,assorted_code, rec_amount,premium_rcv_detail_code,remaining_amt, payrec, mode_code,coinsurance_code,class_cd,it_remarks) values</v>
      </c>
      <c r="G678" s="53" t="str">
        <f t="shared" si="31"/>
        <v>('22Oct240201','040000182277','13370',(select max(to_number(i.premium_rcv_detail_code))+1
from ins_premium_det i),'13370','13370','02', '11000003','00','Request by Mr. Omair Ali 22-Oct-2024 allocation 22Oct240201');</v>
      </c>
      <c r="H678" s="54" t="str">
        <f t="shared" si="32"/>
        <v>insert into ins_premium_det (premium_rcv_code,assorted_code, rec_amount,premium_rcv_detail_code,remaining_amt, payrec, mode_code,coinsurance_code,class_cd,it_remarks) values('22Oct240201','040000182277','13370',(select max(to_number(i.premium_rcv_detail_code))+1
from ins_premium_det i),'13370','13370','02', '11000003','00','Request by Mr. Omair Ali 22-Oct-2024 allocation 22Oct240201');</v>
      </c>
    </row>
    <row r="679" spans="1:8" ht="105" x14ac:dyDescent="0.25">
      <c r="A679" t="s">
        <v>807</v>
      </c>
      <c r="B679" s="51" t="str">
        <f>VLOOKUP(A679,policy!B:C,2,0)</f>
        <v>040000182278</v>
      </c>
      <c r="C679" s="46">
        <v>11725</v>
      </c>
      <c r="D679" s="46">
        <v>11725</v>
      </c>
      <c r="E679" s="50" t="s">
        <v>3673</v>
      </c>
      <c r="F679" s="52" t="str">
        <f t="shared" si="30"/>
        <v>insert into ins_premium_det (premium_rcv_code,assorted_code, rec_amount,premium_rcv_detail_code,remaining_amt, payrec, mode_code,coinsurance_code,class_cd,it_remarks) values</v>
      </c>
      <c r="G679" s="53" t="str">
        <f t="shared" si="31"/>
        <v>('22Oct240201','040000182278','11725',(select max(to_number(i.premium_rcv_detail_code))+1
from ins_premium_det i),'11725','11725','02', '11000003','00','Request by Mr. Omair Ali 22-Oct-2024 allocation 22Oct240201');</v>
      </c>
      <c r="H679" s="54" t="str">
        <f t="shared" si="32"/>
        <v>insert into ins_premium_det (premium_rcv_code,assorted_code, rec_amount,premium_rcv_detail_code,remaining_amt, payrec, mode_code,coinsurance_code,class_cd,it_remarks) values('22Oct240201','040000182278','11725',(select max(to_number(i.premium_rcv_detail_code))+1
from ins_premium_det i),'11725','11725','02', '11000003','00','Request by Mr. Omair Ali 22-Oct-2024 allocation 22Oct240201');</v>
      </c>
    </row>
    <row r="680" spans="1:8" ht="105" x14ac:dyDescent="0.25">
      <c r="A680" t="s">
        <v>808</v>
      </c>
      <c r="B680" s="51" t="str">
        <f>VLOOKUP(A680,policy!B:C,2,0)</f>
        <v>040000182279</v>
      </c>
      <c r="C680" s="46">
        <v>14960</v>
      </c>
      <c r="D680" s="46">
        <v>14960</v>
      </c>
      <c r="E680" s="50" t="s">
        <v>3673</v>
      </c>
      <c r="F680" s="52" t="str">
        <f t="shared" si="30"/>
        <v>insert into ins_premium_det (premium_rcv_code,assorted_code, rec_amount,premium_rcv_detail_code,remaining_amt, payrec, mode_code,coinsurance_code,class_cd,it_remarks) values</v>
      </c>
      <c r="G680" s="53" t="str">
        <f t="shared" si="31"/>
        <v>('22Oct240201','040000182279','14960',(select max(to_number(i.premium_rcv_detail_code))+1
from ins_premium_det i),'14960','14960','02', '11000003','00','Request by Mr. Omair Ali 22-Oct-2024 allocation 22Oct240201');</v>
      </c>
      <c r="H680" s="54" t="str">
        <f t="shared" si="32"/>
        <v>insert into ins_premium_det (premium_rcv_code,assorted_code, rec_amount,premium_rcv_detail_code,remaining_amt, payrec, mode_code,coinsurance_code,class_cd,it_remarks) values('22Oct240201','040000182279','14960',(select max(to_number(i.premium_rcv_detail_code))+1
from ins_premium_det i),'14960','14960','02', '11000003','00','Request by Mr. Omair Ali 22-Oct-2024 allocation 22Oct240201');</v>
      </c>
    </row>
    <row r="681" spans="1:8" ht="105" x14ac:dyDescent="0.25">
      <c r="A681" t="s">
        <v>809</v>
      </c>
      <c r="B681" s="51" t="str">
        <f>VLOOKUP(A681,policy!B:C,2,0)</f>
        <v>040000182282</v>
      </c>
      <c r="C681" s="46">
        <v>13675</v>
      </c>
      <c r="D681" s="46">
        <v>13675</v>
      </c>
      <c r="E681" s="50" t="s">
        <v>3673</v>
      </c>
      <c r="F681" s="52" t="str">
        <f t="shared" si="30"/>
        <v>insert into ins_premium_det (premium_rcv_code,assorted_code, rec_amount,premium_rcv_detail_code,remaining_amt, payrec, mode_code,coinsurance_code,class_cd,it_remarks) values</v>
      </c>
      <c r="G681" s="53" t="str">
        <f t="shared" si="31"/>
        <v>('22Oct240201','040000182282','13675',(select max(to_number(i.premium_rcv_detail_code))+1
from ins_premium_det i),'13675','13675','02', '11000003','00','Request by Mr. Omair Ali 22-Oct-2024 allocation 22Oct240201');</v>
      </c>
      <c r="H681" s="54" t="str">
        <f t="shared" si="32"/>
        <v>insert into ins_premium_det (premium_rcv_code,assorted_code, rec_amount,premium_rcv_detail_code,remaining_amt, payrec, mode_code,coinsurance_code,class_cd,it_remarks) values('22Oct240201','040000182282','13675',(select max(to_number(i.premium_rcv_detail_code))+1
from ins_premium_det i),'13675','13675','02', '11000003','00','Request by Mr. Omair Ali 22-Oct-2024 allocation 22Oct240201');</v>
      </c>
    </row>
    <row r="682" spans="1:8" ht="105" x14ac:dyDescent="0.25">
      <c r="A682" t="s">
        <v>810</v>
      </c>
      <c r="B682" s="51" t="str">
        <f>VLOOKUP(A682,policy!B:C,2,0)</f>
        <v>040000182322</v>
      </c>
      <c r="C682" s="46">
        <v>14960</v>
      </c>
      <c r="D682" s="46">
        <v>14960</v>
      </c>
      <c r="E682" s="50" t="s">
        <v>3673</v>
      </c>
      <c r="F682" s="52" t="str">
        <f t="shared" si="30"/>
        <v>insert into ins_premium_det (premium_rcv_code,assorted_code, rec_amount,premium_rcv_detail_code,remaining_amt, payrec, mode_code,coinsurance_code,class_cd,it_remarks) values</v>
      </c>
      <c r="G682" s="53" t="str">
        <f t="shared" si="31"/>
        <v>('22Oct240201','040000182322','14960',(select max(to_number(i.premium_rcv_detail_code))+1
from ins_premium_det i),'14960','14960','02', '11000003','00','Request by Mr. Omair Ali 22-Oct-2024 allocation 22Oct240201');</v>
      </c>
      <c r="H682" s="54" t="str">
        <f t="shared" si="32"/>
        <v>insert into ins_premium_det (premium_rcv_code,assorted_code, rec_amount,premium_rcv_detail_code,remaining_amt, payrec, mode_code,coinsurance_code,class_cd,it_remarks) values('22Oct240201','040000182322','14960',(select max(to_number(i.premium_rcv_detail_code))+1
from ins_premium_det i),'14960','14960','02', '11000003','00','Request by Mr. Omair Ali 22-Oct-2024 allocation 22Oct240201');</v>
      </c>
    </row>
    <row r="683" spans="1:8" ht="105" x14ac:dyDescent="0.25">
      <c r="A683" t="s">
        <v>811</v>
      </c>
      <c r="B683" s="51" t="str">
        <f>VLOOKUP(A683,policy!B:C,2,0)</f>
        <v>040000182323</v>
      </c>
      <c r="C683" s="46">
        <v>14960</v>
      </c>
      <c r="D683" s="46">
        <v>14960</v>
      </c>
      <c r="E683" s="50" t="s">
        <v>3673</v>
      </c>
      <c r="F683" s="52" t="str">
        <f t="shared" si="30"/>
        <v>insert into ins_premium_det (premium_rcv_code,assorted_code, rec_amount,premium_rcv_detail_code,remaining_amt, payrec, mode_code,coinsurance_code,class_cd,it_remarks) values</v>
      </c>
      <c r="G683" s="53" t="str">
        <f t="shared" si="31"/>
        <v>('22Oct240201','040000182323','14960',(select max(to_number(i.premium_rcv_detail_code))+1
from ins_premium_det i),'14960','14960','02', '11000003','00','Request by Mr. Omair Ali 22-Oct-2024 allocation 22Oct240201');</v>
      </c>
      <c r="H683" s="54" t="str">
        <f t="shared" si="32"/>
        <v>insert into ins_premium_det (premium_rcv_code,assorted_code, rec_amount,premium_rcv_detail_code,remaining_amt, payrec, mode_code,coinsurance_code,class_cd,it_remarks) values('22Oct240201','040000182323','14960',(select max(to_number(i.premium_rcv_detail_code))+1
from ins_premium_det i),'14960','14960','02', '11000003','00','Request by Mr. Omair Ali 22-Oct-2024 allocation 22Oct240201');</v>
      </c>
    </row>
    <row r="684" spans="1:8" ht="105" x14ac:dyDescent="0.25">
      <c r="A684" t="s">
        <v>812</v>
      </c>
      <c r="B684" s="51" t="str">
        <f>VLOOKUP(A684,policy!B:C,2,0)</f>
        <v>040000182328</v>
      </c>
      <c r="C684" s="46">
        <v>8800</v>
      </c>
      <c r="D684" s="46">
        <v>8800</v>
      </c>
      <c r="E684" s="50" t="s">
        <v>3673</v>
      </c>
      <c r="F684" s="52" t="str">
        <f t="shared" si="30"/>
        <v>insert into ins_premium_det (premium_rcv_code,assorted_code, rec_amount,premium_rcv_detail_code,remaining_amt, payrec, mode_code,coinsurance_code,class_cd,it_remarks) values</v>
      </c>
      <c r="G684" s="53" t="str">
        <f t="shared" si="31"/>
        <v>('22Oct240201','040000182328','8800',(select max(to_number(i.premium_rcv_detail_code))+1
from ins_premium_det i),'8800','8800','02', '11000003','00','Request by Mr. Omair Ali 22-Oct-2024 allocation 22Oct240201');</v>
      </c>
      <c r="H684" s="54" t="str">
        <f t="shared" si="32"/>
        <v>insert into ins_premium_det (premium_rcv_code,assorted_code, rec_amount,premium_rcv_detail_code,remaining_amt, payrec, mode_code,coinsurance_code,class_cd,it_remarks) values('22Oct240201','040000182328','8800',(select max(to_number(i.premium_rcv_detail_code))+1
from ins_premium_det i),'8800','8800','02', '11000003','00','Request by Mr. Omair Ali 22-Oct-2024 allocation 22Oct240201');</v>
      </c>
    </row>
    <row r="685" spans="1:8" ht="105" x14ac:dyDescent="0.25">
      <c r="A685" t="s">
        <v>813</v>
      </c>
      <c r="B685" s="51" t="str">
        <f>VLOOKUP(A685,policy!B:C,2,0)</f>
        <v>040000182329</v>
      </c>
      <c r="C685" s="46">
        <v>23248</v>
      </c>
      <c r="D685" s="46">
        <v>23248</v>
      </c>
      <c r="E685" s="50" t="s">
        <v>3673</v>
      </c>
      <c r="F685" s="52" t="str">
        <f t="shared" si="30"/>
        <v>insert into ins_premium_det (premium_rcv_code,assorted_code, rec_amount,premium_rcv_detail_code,remaining_amt, payrec, mode_code,coinsurance_code,class_cd,it_remarks) values</v>
      </c>
      <c r="G685" s="53" t="str">
        <f t="shared" si="31"/>
        <v>('22Oct240201','040000182329','23248',(select max(to_number(i.premium_rcv_detail_code))+1
from ins_premium_det i),'23248','23248','02', '11000003','00','Request by Mr. Omair Ali 22-Oct-2024 allocation 22Oct240201');</v>
      </c>
      <c r="H685" s="54" t="str">
        <f t="shared" si="32"/>
        <v>insert into ins_premium_det (premium_rcv_code,assorted_code, rec_amount,premium_rcv_detail_code,remaining_amt, payrec, mode_code,coinsurance_code,class_cd,it_remarks) values('22Oct240201','040000182329','23248',(select max(to_number(i.premium_rcv_detail_code))+1
from ins_premium_det i),'23248','23248','02', '11000003','00','Request by Mr. Omair Ali 22-Oct-2024 allocation 22Oct240201');</v>
      </c>
    </row>
    <row r="686" spans="1:8" ht="105" x14ac:dyDescent="0.25">
      <c r="A686" t="s">
        <v>814</v>
      </c>
      <c r="B686" s="51" t="str">
        <f>VLOOKUP(A686,policy!B:C,2,0)</f>
        <v>040000182330</v>
      </c>
      <c r="C686" s="46">
        <v>8800</v>
      </c>
      <c r="D686" s="46">
        <v>8800</v>
      </c>
      <c r="E686" s="50" t="s">
        <v>3673</v>
      </c>
      <c r="F686" s="52" t="str">
        <f t="shared" si="30"/>
        <v>insert into ins_premium_det (premium_rcv_code,assorted_code, rec_amount,premium_rcv_detail_code,remaining_amt, payrec, mode_code,coinsurance_code,class_cd,it_remarks) values</v>
      </c>
      <c r="G686" s="53" t="str">
        <f t="shared" si="31"/>
        <v>('22Oct240201','040000182330','8800',(select max(to_number(i.premium_rcv_detail_code))+1
from ins_premium_det i),'8800','8800','02', '11000003','00','Request by Mr. Omair Ali 22-Oct-2024 allocation 22Oct240201');</v>
      </c>
      <c r="H686" s="54" t="str">
        <f t="shared" si="32"/>
        <v>insert into ins_premium_det (premium_rcv_code,assorted_code, rec_amount,premium_rcv_detail_code,remaining_amt, payrec, mode_code,coinsurance_code,class_cd,it_remarks) values('22Oct240201','040000182330','8800',(select max(to_number(i.premium_rcv_detail_code))+1
from ins_premium_det i),'8800','8800','02', '11000003','00','Request by Mr. Omair Ali 22-Oct-2024 allocation 22Oct240201');</v>
      </c>
    </row>
    <row r="687" spans="1:8" ht="105" x14ac:dyDescent="0.25">
      <c r="A687" t="s">
        <v>815</v>
      </c>
      <c r="B687" s="51" t="str">
        <f>VLOOKUP(A687,policy!B:C,2,0)</f>
        <v>040000182333</v>
      </c>
      <c r="C687" s="46">
        <v>14960</v>
      </c>
      <c r="D687" s="46">
        <v>14960</v>
      </c>
      <c r="E687" s="50" t="s">
        <v>3673</v>
      </c>
      <c r="F687" s="52" t="str">
        <f t="shared" si="30"/>
        <v>insert into ins_premium_det (premium_rcv_code,assorted_code, rec_amount,premium_rcv_detail_code,remaining_amt, payrec, mode_code,coinsurance_code,class_cd,it_remarks) values</v>
      </c>
      <c r="G687" s="53" t="str">
        <f t="shared" si="31"/>
        <v>('22Oct240201','040000182333','14960',(select max(to_number(i.premium_rcv_detail_code))+1
from ins_premium_det i),'14960','14960','02', '11000003','00','Request by Mr. Omair Ali 22-Oct-2024 allocation 22Oct240201');</v>
      </c>
      <c r="H687" s="54" t="str">
        <f t="shared" si="32"/>
        <v>insert into ins_premium_det (premium_rcv_code,assorted_code, rec_amount,premium_rcv_detail_code,remaining_amt, payrec, mode_code,coinsurance_code,class_cd,it_remarks) values('22Oct240201','040000182333','14960',(select max(to_number(i.premium_rcv_detail_code))+1
from ins_premium_det i),'14960','14960','02', '11000003','00','Request by Mr. Omair Ali 22-Oct-2024 allocation 22Oct240201');</v>
      </c>
    </row>
    <row r="688" spans="1:8" ht="105" x14ac:dyDescent="0.25">
      <c r="A688" t="s">
        <v>816</v>
      </c>
      <c r="B688" s="51" t="str">
        <f>VLOOKUP(A688,policy!B:C,2,0)</f>
        <v>040000182334</v>
      </c>
      <c r="C688" s="46">
        <v>8800</v>
      </c>
      <c r="D688" s="46">
        <v>8800</v>
      </c>
      <c r="E688" s="50" t="s">
        <v>3673</v>
      </c>
      <c r="F688" s="52" t="str">
        <f t="shared" si="30"/>
        <v>insert into ins_premium_det (premium_rcv_code,assorted_code, rec_amount,premium_rcv_detail_code,remaining_amt, payrec, mode_code,coinsurance_code,class_cd,it_remarks) values</v>
      </c>
      <c r="G688" s="53" t="str">
        <f t="shared" si="31"/>
        <v>('22Oct240201','040000182334','8800',(select max(to_number(i.premium_rcv_detail_code))+1
from ins_premium_det i),'8800','8800','02', '11000003','00','Request by Mr. Omair Ali 22-Oct-2024 allocation 22Oct240201');</v>
      </c>
      <c r="H688" s="54" t="str">
        <f t="shared" si="32"/>
        <v>insert into ins_premium_det (premium_rcv_code,assorted_code, rec_amount,premium_rcv_detail_code,remaining_amt, payrec, mode_code,coinsurance_code,class_cd,it_remarks) values('22Oct240201','040000182334','8800',(select max(to_number(i.premium_rcv_detail_code))+1
from ins_premium_det i),'8800','8800','02', '11000003','00','Request by Mr. Omair Ali 22-Oct-2024 allocation 22Oct240201');</v>
      </c>
    </row>
    <row r="689" spans="1:8" ht="105" x14ac:dyDescent="0.25">
      <c r="A689" t="s">
        <v>817</v>
      </c>
      <c r="B689" s="51" t="str">
        <f>VLOOKUP(A689,policy!B:C,2,0)</f>
        <v>040000182335</v>
      </c>
      <c r="C689" s="46">
        <v>13675</v>
      </c>
      <c r="D689" s="46">
        <v>13675</v>
      </c>
      <c r="E689" s="50" t="s">
        <v>3673</v>
      </c>
      <c r="F689" s="52" t="str">
        <f t="shared" si="30"/>
        <v>insert into ins_premium_det (premium_rcv_code,assorted_code, rec_amount,premium_rcv_detail_code,remaining_amt, payrec, mode_code,coinsurance_code,class_cd,it_remarks) values</v>
      </c>
      <c r="G689" s="53" t="str">
        <f t="shared" si="31"/>
        <v>('22Oct240201','040000182335','13675',(select max(to_number(i.premium_rcv_detail_code))+1
from ins_premium_det i),'13675','13675','02', '11000003','00','Request by Mr. Omair Ali 22-Oct-2024 allocation 22Oct240201');</v>
      </c>
      <c r="H689" s="54" t="str">
        <f t="shared" si="32"/>
        <v>insert into ins_premium_det (premium_rcv_code,assorted_code, rec_amount,premium_rcv_detail_code,remaining_amt, payrec, mode_code,coinsurance_code,class_cd,it_remarks) values('22Oct240201','040000182335','13675',(select max(to_number(i.premium_rcv_detail_code))+1
from ins_premium_det i),'13675','13675','02', '11000003','00','Request by Mr. Omair Ali 22-Oct-2024 allocation 22Oct240201');</v>
      </c>
    </row>
    <row r="690" spans="1:8" ht="105" x14ac:dyDescent="0.25">
      <c r="A690" t="s">
        <v>818</v>
      </c>
      <c r="B690" s="51" t="str">
        <f>VLOOKUP(A690,policy!B:C,2,0)</f>
        <v>040000182336</v>
      </c>
      <c r="C690" s="46">
        <v>8800</v>
      </c>
      <c r="D690" s="46">
        <v>8800</v>
      </c>
      <c r="E690" s="50" t="s">
        <v>3673</v>
      </c>
      <c r="F690" s="52" t="str">
        <f t="shared" si="30"/>
        <v>insert into ins_premium_det (premium_rcv_code,assorted_code, rec_amount,premium_rcv_detail_code,remaining_amt, payrec, mode_code,coinsurance_code,class_cd,it_remarks) values</v>
      </c>
      <c r="G690" s="53" t="str">
        <f t="shared" si="31"/>
        <v>('22Oct240201','040000182336','8800',(select max(to_number(i.premium_rcv_detail_code))+1
from ins_premium_det i),'8800','8800','02', '11000003','00','Request by Mr. Omair Ali 22-Oct-2024 allocation 22Oct240201');</v>
      </c>
      <c r="H690" s="54" t="str">
        <f t="shared" si="32"/>
        <v>insert into ins_premium_det (premium_rcv_code,assorted_code, rec_amount,premium_rcv_detail_code,remaining_amt, payrec, mode_code,coinsurance_code,class_cd,it_remarks) values('22Oct240201','040000182336','8800',(select max(to_number(i.premium_rcv_detail_code))+1
from ins_premium_det i),'8800','8800','02', '11000003','00','Request by Mr. Omair Ali 22-Oct-2024 allocation 22Oct240201');</v>
      </c>
    </row>
    <row r="691" spans="1:8" ht="105" x14ac:dyDescent="0.25">
      <c r="A691" t="s">
        <v>819</v>
      </c>
      <c r="B691" s="51" t="str">
        <f>VLOOKUP(A691,policy!B:C,2,0)</f>
        <v>040000182337</v>
      </c>
      <c r="C691" s="46">
        <v>8800</v>
      </c>
      <c r="D691" s="46">
        <v>8800</v>
      </c>
      <c r="E691" s="50" t="s">
        <v>3673</v>
      </c>
      <c r="F691" s="52" t="str">
        <f t="shared" si="30"/>
        <v>insert into ins_premium_det (premium_rcv_code,assorted_code, rec_amount,premium_rcv_detail_code,remaining_amt, payrec, mode_code,coinsurance_code,class_cd,it_remarks) values</v>
      </c>
      <c r="G691" s="53" t="str">
        <f t="shared" si="31"/>
        <v>('22Oct240201','040000182337','8800',(select max(to_number(i.premium_rcv_detail_code))+1
from ins_premium_det i),'8800','8800','02', '11000003','00','Request by Mr. Omair Ali 22-Oct-2024 allocation 22Oct240201');</v>
      </c>
      <c r="H691" s="54" t="str">
        <f t="shared" si="32"/>
        <v>insert into ins_premium_det (premium_rcv_code,assorted_code, rec_amount,premium_rcv_detail_code,remaining_amt, payrec, mode_code,coinsurance_code,class_cd,it_remarks) values('22Oct240201','040000182337','8800',(select max(to_number(i.premium_rcv_detail_code))+1
from ins_premium_det i),'8800','8800','02', '11000003','00','Request by Mr. Omair Ali 22-Oct-2024 allocation 22Oct240201');</v>
      </c>
    </row>
    <row r="692" spans="1:8" ht="105" x14ac:dyDescent="0.25">
      <c r="A692" t="s">
        <v>820</v>
      </c>
      <c r="B692" s="51" t="str">
        <f>VLOOKUP(A692,policy!B:C,2,0)</f>
        <v>040000182345</v>
      </c>
      <c r="C692" s="46">
        <v>23248</v>
      </c>
      <c r="D692" s="46">
        <v>23248</v>
      </c>
      <c r="E692" s="50" t="s">
        <v>3673</v>
      </c>
      <c r="F692" s="52" t="str">
        <f t="shared" si="30"/>
        <v>insert into ins_premium_det (premium_rcv_code,assorted_code, rec_amount,premium_rcv_detail_code,remaining_amt, payrec, mode_code,coinsurance_code,class_cd,it_remarks) values</v>
      </c>
      <c r="G692" s="53" t="str">
        <f t="shared" si="31"/>
        <v>('22Oct240201','040000182345','23248',(select max(to_number(i.premium_rcv_detail_code))+1
from ins_premium_det i),'23248','23248','02', '11000003','00','Request by Mr. Omair Ali 22-Oct-2024 allocation 22Oct240201');</v>
      </c>
      <c r="H692" s="54" t="str">
        <f t="shared" si="32"/>
        <v>insert into ins_premium_det (premium_rcv_code,assorted_code, rec_amount,premium_rcv_detail_code,remaining_amt, payrec, mode_code,coinsurance_code,class_cd,it_remarks) values('22Oct240201','040000182345','23248',(select max(to_number(i.premium_rcv_detail_code))+1
from ins_premium_det i),'23248','23248','02', '11000003','00','Request by Mr. Omair Ali 22-Oct-2024 allocation 22Oct240201');</v>
      </c>
    </row>
    <row r="693" spans="1:8" ht="105" x14ac:dyDescent="0.25">
      <c r="A693" t="s">
        <v>821</v>
      </c>
      <c r="B693" s="51" t="str">
        <f>VLOOKUP(A693,policy!B:C,2,0)</f>
        <v>040000182346</v>
      </c>
      <c r="C693" s="46">
        <v>23248</v>
      </c>
      <c r="D693" s="46">
        <v>23248</v>
      </c>
      <c r="E693" s="50" t="s">
        <v>3673</v>
      </c>
      <c r="F693" s="52" t="str">
        <f t="shared" si="30"/>
        <v>insert into ins_premium_det (premium_rcv_code,assorted_code, rec_amount,premium_rcv_detail_code,remaining_amt, payrec, mode_code,coinsurance_code,class_cd,it_remarks) values</v>
      </c>
      <c r="G693" s="53" t="str">
        <f t="shared" si="31"/>
        <v>('22Oct240201','040000182346','23248',(select max(to_number(i.premium_rcv_detail_code))+1
from ins_premium_det i),'23248','23248','02', '11000003','00','Request by Mr. Omair Ali 22-Oct-2024 allocation 22Oct240201');</v>
      </c>
      <c r="H693" s="54" t="str">
        <f t="shared" si="32"/>
        <v>insert into ins_premium_det (premium_rcv_code,assorted_code, rec_amount,premium_rcv_detail_code,remaining_amt, payrec, mode_code,coinsurance_code,class_cd,it_remarks) values('22Oct240201','040000182346','23248',(select max(to_number(i.premium_rcv_detail_code))+1
from ins_premium_det i),'23248','23248','02', '11000003','00','Request by Mr. Omair Ali 22-Oct-2024 allocation 22Oct240201');</v>
      </c>
    </row>
    <row r="694" spans="1:8" ht="105" x14ac:dyDescent="0.25">
      <c r="A694" t="s">
        <v>822</v>
      </c>
      <c r="B694" s="51" t="str">
        <f>VLOOKUP(A694,policy!B:C,2,0)</f>
        <v>040000182347</v>
      </c>
      <c r="C694" s="46">
        <v>14960</v>
      </c>
      <c r="D694" s="46">
        <v>14960</v>
      </c>
      <c r="E694" s="50" t="s">
        <v>3673</v>
      </c>
      <c r="F694" s="52" t="str">
        <f t="shared" si="30"/>
        <v>insert into ins_premium_det (premium_rcv_code,assorted_code, rec_amount,premium_rcv_detail_code,remaining_amt, payrec, mode_code,coinsurance_code,class_cd,it_remarks) values</v>
      </c>
      <c r="G694" s="53" t="str">
        <f t="shared" si="31"/>
        <v>('22Oct240201','040000182347','14960',(select max(to_number(i.premium_rcv_detail_code))+1
from ins_premium_det i),'14960','14960','02', '11000003','00','Request by Mr. Omair Ali 22-Oct-2024 allocation 22Oct240201');</v>
      </c>
      <c r="H694" s="54" t="str">
        <f t="shared" si="32"/>
        <v>insert into ins_premium_det (premium_rcv_code,assorted_code, rec_amount,premium_rcv_detail_code,remaining_amt, payrec, mode_code,coinsurance_code,class_cd,it_remarks) values('22Oct240201','040000182347','14960',(select max(to_number(i.premium_rcv_detail_code))+1
from ins_premium_det i),'14960','14960','02', '11000003','00','Request by Mr. Omair Ali 22-Oct-2024 allocation 22Oct240201');</v>
      </c>
    </row>
    <row r="695" spans="1:8" ht="105" x14ac:dyDescent="0.25">
      <c r="A695" t="s">
        <v>823</v>
      </c>
      <c r="B695" s="51" t="str">
        <f>VLOOKUP(A695,policy!B:C,2,0)</f>
        <v>040000182351</v>
      </c>
      <c r="C695" s="46">
        <v>14960</v>
      </c>
      <c r="D695" s="46">
        <v>14960</v>
      </c>
      <c r="E695" s="50" t="s">
        <v>3673</v>
      </c>
      <c r="F695" s="52" t="str">
        <f t="shared" si="30"/>
        <v>insert into ins_premium_det (premium_rcv_code,assorted_code, rec_amount,premium_rcv_detail_code,remaining_amt, payrec, mode_code,coinsurance_code,class_cd,it_remarks) values</v>
      </c>
      <c r="G695" s="53" t="str">
        <f t="shared" si="31"/>
        <v>('22Oct240201','040000182351','14960',(select max(to_number(i.premium_rcv_detail_code))+1
from ins_premium_det i),'14960','14960','02', '11000003','00','Request by Mr. Omair Ali 22-Oct-2024 allocation 22Oct240201');</v>
      </c>
      <c r="H695" s="54" t="str">
        <f t="shared" si="32"/>
        <v>insert into ins_premium_det (premium_rcv_code,assorted_code, rec_amount,premium_rcv_detail_code,remaining_amt, payrec, mode_code,coinsurance_code,class_cd,it_remarks) values('22Oct240201','040000182351','14960',(select max(to_number(i.premium_rcv_detail_code))+1
from ins_premium_det i),'14960','14960','02', '11000003','00','Request by Mr. Omair Ali 22-Oct-2024 allocation 22Oct240201');</v>
      </c>
    </row>
    <row r="696" spans="1:8" ht="105" x14ac:dyDescent="0.25">
      <c r="A696" t="s">
        <v>824</v>
      </c>
      <c r="B696" s="51" t="str">
        <f>VLOOKUP(A696,policy!B:C,2,0)</f>
        <v>040000182352</v>
      </c>
      <c r="C696" s="46">
        <v>14960</v>
      </c>
      <c r="D696" s="46">
        <v>14960</v>
      </c>
      <c r="E696" s="50" t="s">
        <v>3673</v>
      </c>
      <c r="F696" s="52" t="str">
        <f t="shared" si="30"/>
        <v>insert into ins_premium_det (premium_rcv_code,assorted_code, rec_amount,premium_rcv_detail_code,remaining_amt, payrec, mode_code,coinsurance_code,class_cd,it_remarks) values</v>
      </c>
      <c r="G696" s="53" t="str">
        <f t="shared" si="31"/>
        <v>('22Oct240201','040000182352','14960',(select max(to_number(i.premium_rcv_detail_code))+1
from ins_premium_det i),'14960','14960','02', '11000003','00','Request by Mr. Omair Ali 22-Oct-2024 allocation 22Oct240201');</v>
      </c>
      <c r="H696" s="54" t="str">
        <f t="shared" si="32"/>
        <v>insert into ins_premium_det (premium_rcv_code,assorted_code, rec_amount,premium_rcv_detail_code,remaining_amt, payrec, mode_code,coinsurance_code,class_cd,it_remarks) values('22Oct240201','040000182352','14960',(select max(to_number(i.premium_rcv_detail_code))+1
from ins_premium_det i),'14960','14960','02', '11000003','00','Request by Mr. Omair Ali 22-Oct-2024 allocation 22Oct240201');</v>
      </c>
    </row>
    <row r="697" spans="1:8" ht="105" x14ac:dyDescent="0.25">
      <c r="A697" t="s">
        <v>825</v>
      </c>
      <c r="B697" s="51" t="str">
        <f>VLOOKUP(A697,policy!B:C,2,0)</f>
        <v>040000182355</v>
      </c>
      <c r="C697" s="46">
        <v>14960</v>
      </c>
      <c r="D697" s="46">
        <v>14960</v>
      </c>
      <c r="E697" s="50" t="s">
        <v>3673</v>
      </c>
      <c r="F697" s="52" t="str">
        <f t="shared" si="30"/>
        <v>insert into ins_premium_det (premium_rcv_code,assorted_code, rec_amount,premium_rcv_detail_code,remaining_amt, payrec, mode_code,coinsurance_code,class_cd,it_remarks) values</v>
      </c>
      <c r="G697" s="53" t="str">
        <f t="shared" si="31"/>
        <v>('22Oct240201','040000182355','14960',(select max(to_number(i.premium_rcv_detail_code))+1
from ins_premium_det i),'14960','14960','02', '11000003','00','Request by Mr. Omair Ali 22-Oct-2024 allocation 22Oct240201');</v>
      </c>
      <c r="H697" s="54" t="str">
        <f t="shared" si="32"/>
        <v>insert into ins_premium_det (premium_rcv_code,assorted_code, rec_amount,premium_rcv_detail_code,remaining_amt, payrec, mode_code,coinsurance_code,class_cd,it_remarks) values('22Oct240201','040000182355','14960',(select max(to_number(i.premium_rcv_detail_code))+1
from ins_premium_det i),'14960','14960','02', '11000003','00','Request by Mr. Omair Ali 22-Oct-2024 allocation 22Oct240201');</v>
      </c>
    </row>
    <row r="698" spans="1:8" ht="105" x14ac:dyDescent="0.25">
      <c r="A698" t="s">
        <v>826</v>
      </c>
      <c r="B698" s="51" t="str">
        <f>VLOOKUP(A698,policy!B:C,2,0)</f>
        <v>040000182356</v>
      </c>
      <c r="C698" s="46">
        <v>8800</v>
      </c>
      <c r="D698" s="46">
        <v>8800</v>
      </c>
      <c r="E698" s="50" t="s">
        <v>3673</v>
      </c>
      <c r="F698" s="52" t="str">
        <f t="shared" si="30"/>
        <v>insert into ins_premium_det (premium_rcv_code,assorted_code, rec_amount,premium_rcv_detail_code,remaining_amt, payrec, mode_code,coinsurance_code,class_cd,it_remarks) values</v>
      </c>
      <c r="G698" s="53" t="str">
        <f t="shared" si="31"/>
        <v>('22Oct240201','040000182356','8800',(select max(to_number(i.premium_rcv_detail_code))+1
from ins_premium_det i),'8800','8800','02', '11000003','00','Request by Mr. Omair Ali 22-Oct-2024 allocation 22Oct240201');</v>
      </c>
      <c r="H698" s="54" t="str">
        <f t="shared" si="32"/>
        <v>insert into ins_premium_det (premium_rcv_code,assorted_code, rec_amount,premium_rcv_detail_code,remaining_amt, payrec, mode_code,coinsurance_code,class_cd,it_remarks) values('22Oct240201','040000182356','8800',(select max(to_number(i.premium_rcv_detail_code))+1
from ins_premium_det i),'8800','8800','02', '11000003','00','Request by Mr. Omair Ali 22-Oct-2024 allocation 22Oct240201');</v>
      </c>
    </row>
    <row r="699" spans="1:8" ht="105" x14ac:dyDescent="0.25">
      <c r="A699" t="s">
        <v>827</v>
      </c>
      <c r="B699" s="51" t="str">
        <f>VLOOKUP(A699,policy!B:C,2,0)</f>
        <v>040000182360</v>
      </c>
      <c r="C699" s="46">
        <v>14960</v>
      </c>
      <c r="D699" s="46">
        <v>14960</v>
      </c>
      <c r="E699" s="50" t="s">
        <v>3673</v>
      </c>
      <c r="F699" s="52" t="str">
        <f t="shared" si="30"/>
        <v>insert into ins_premium_det (premium_rcv_code,assorted_code, rec_amount,premium_rcv_detail_code,remaining_amt, payrec, mode_code,coinsurance_code,class_cd,it_remarks) values</v>
      </c>
      <c r="G699" s="53" t="str">
        <f t="shared" si="31"/>
        <v>('22Oct240201','040000182360','14960',(select max(to_number(i.premium_rcv_detail_code))+1
from ins_premium_det i),'14960','14960','02', '11000003','00','Request by Mr. Omair Ali 22-Oct-2024 allocation 22Oct240201');</v>
      </c>
      <c r="H699" s="54" t="str">
        <f t="shared" si="32"/>
        <v>insert into ins_premium_det (premium_rcv_code,assorted_code, rec_amount,premium_rcv_detail_code,remaining_amt, payrec, mode_code,coinsurance_code,class_cd,it_remarks) values('22Oct240201','040000182360','14960',(select max(to_number(i.premium_rcv_detail_code))+1
from ins_premium_det i),'14960','14960','02', '11000003','00','Request by Mr. Omair Ali 22-Oct-2024 allocation 22Oct240201');</v>
      </c>
    </row>
    <row r="700" spans="1:8" ht="105" x14ac:dyDescent="0.25">
      <c r="A700" t="s">
        <v>828</v>
      </c>
      <c r="B700" s="51" t="str">
        <f>VLOOKUP(A700,policy!B:C,2,0)</f>
        <v>040000182361</v>
      </c>
      <c r="C700" s="46">
        <v>14960</v>
      </c>
      <c r="D700" s="46">
        <v>14960</v>
      </c>
      <c r="E700" s="50" t="s">
        <v>3673</v>
      </c>
      <c r="F700" s="52" t="str">
        <f t="shared" si="30"/>
        <v>insert into ins_premium_det (premium_rcv_code,assorted_code, rec_amount,premium_rcv_detail_code,remaining_amt, payrec, mode_code,coinsurance_code,class_cd,it_remarks) values</v>
      </c>
      <c r="G700" s="53" t="str">
        <f t="shared" si="31"/>
        <v>('22Oct240201','040000182361','14960',(select max(to_number(i.premium_rcv_detail_code))+1
from ins_premium_det i),'14960','14960','02', '11000003','00','Request by Mr. Omair Ali 22-Oct-2024 allocation 22Oct240201');</v>
      </c>
      <c r="H700" s="54" t="str">
        <f t="shared" si="32"/>
        <v>insert into ins_premium_det (premium_rcv_code,assorted_code, rec_amount,premium_rcv_detail_code,remaining_amt, payrec, mode_code,coinsurance_code,class_cd,it_remarks) values('22Oct240201','040000182361','14960',(select max(to_number(i.premium_rcv_detail_code))+1
from ins_premium_det i),'14960','14960','02', '11000003','00','Request by Mr. Omair Ali 22-Oct-2024 allocation 22Oct240201');</v>
      </c>
    </row>
    <row r="701" spans="1:8" ht="105" x14ac:dyDescent="0.25">
      <c r="A701" t="s">
        <v>829</v>
      </c>
      <c r="B701" s="51" t="str">
        <f>VLOOKUP(A701,policy!B:C,2,0)</f>
        <v>040000182363</v>
      </c>
      <c r="C701" s="46">
        <v>13675</v>
      </c>
      <c r="D701" s="46">
        <v>13675</v>
      </c>
      <c r="E701" s="50" t="s">
        <v>3673</v>
      </c>
      <c r="F701" s="52" t="str">
        <f t="shared" si="30"/>
        <v>insert into ins_premium_det (premium_rcv_code,assorted_code, rec_amount,premium_rcv_detail_code,remaining_amt, payrec, mode_code,coinsurance_code,class_cd,it_remarks) values</v>
      </c>
      <c r="G701" s="53" t="str">
        <f t="shared" si="31"/>
        <v>('22Oct240201','040000182363','13675',(select max(to_number(i.premium_rcv_detail_code))+1
from ins_premium_det i),'13675','13675','02', '11000003','00','Request by Mr. Omair Ali 22-Oct-2024 allocation 22Oct240201');</v>
      </c>
      <c r="H701" s="54" t="str">
        <f t="shared" si="32"/>
        <v>insert into ins_premium_det (premium_rcv_code,assorted_code, rec_amount,premium_rcv_detail_code,remaining_amt, payrec, mode_code,coinsurance_code,class_cd,it_remarks) values('22Oct240201','040000182363','13675',(select max(to_number(i.premium_rcv_detail_code))+1
from ins_premium_det i),'13675','13675','02', '11000003','00','Request by Mr. Omair Ali 22-Oct-2024 allocation 22Oct240201');</v>
      </c>
    </row>
    <row r="702" spans="1:8" ht="105" x14ac:dyDescent="0.25">
      <c r="A702" t="s">
        <v>830</v>
      </c>
      <c r="B702" s="51" t="str">
        <f>VLOOKUP(A702,policy!B:C,2,0)</f>
        <v>040000182364</v>
      </c>
      <c r="C702" s="46">
        <v>21208</v>
      </c>
      <c r="D702" s="46">
        <v>21208</v>
      </c>
      <c r="E702" s="50" t="s">
        <v>3673</v>
      </c>
      <c r="F702" s="52" t="str">
        <f t="shared" si="30"/>
        <v>insert into ins_premium_det (premium_rcv_code,assorted_code, rec_amount,premium_rcv_detail_code,remaining_amt, payrec, mode_code,coinsurance_code,class_cd,it_remarks) values</v>
      </c>
      <c r="G702" s="53" t="str">
        <f t="shared" si="31"/>
        <v>('22Oct240201','040000182364','21208',(select max(to_number(i.premium_rcv_detail_code))+1
from ins_premium_det i),'21208','21208','02', '11000003','00','Request by Mr. Omair Ali 22-Oct-2024 allocation 22Oct240201');</v>
      </c>
      <c r="H702" s="54" t="str">
        <f t="shared" si="32"/>
        <v>insert into ins_premium_det (premium_rcv_code,assorted_code, rec_amount,premium_rcv_detail_code,remaining_amt, payrec, mode_code,coinsurance_code,class_cd,it_remarks) values('22Oct240201','040000182364','21208',(select max(to_number(i.premium_rcv_detail_code))+1
from ins_premium_det i),'21208','21208','02', '11000003','00','Request by Mr. Omair Ali 22-Oct-2024 allocation 22Oct240201');</v>
      </c>
    </row>
    <row r="703" spans="1:8" ht="105" x14ac:dyDescent="0.25">
      <c r="A703" t="s">
        <v>831</v>
      </c>
      <c r="B703" s="51" t="str">
        <f>VLOOKUP(A703,policy!B:C,2,0)</f>
        <v>040000182366</v>
      </c>
      <c r="C703" s="46">
        <v>8800</v>
      </c>
      <c r="D703" s="46">
        <v>8800</v>
      </c>
      <c r="E703" s="50" t="s">
        <v>3673</v>
      </c>
      <c r="F703" s="52" t="str">
        <f t="shared" si="30"/>
        <v>insert into ins_premium_det (premium_rcv_code,assorted_code, rec_amount,premium_rcv_detail_code,remaining_amt, payrec, mode_code,coinsurance_code,class_cd,it_remarks) values</v>
      </c>
      <c r="G703" s="53" t="str">
        <f t="shared" si="31"/>
        <v>('22Oct240201','040000182366','8800',(select max(to_number(i.premium_rcv_detail_code))+1
from ins_premium_det i),'8800','8800','02', '11000003','00','Request by Mr. Omair Ali 22-Oct-2024 allocation 22Oct240201');</v>
      </c>
      <c r="H703" s="54" t="str">
        <f t="shared" si="32"/>
        <v>insert into ins_premium_det (premium_rcv_code,assorted_code, rec_amount,premium_rcv_detail_code,remaining_amt, payrec, mode_code,coinsurance_code,class_cd,it_remarks) values('22Oct240201','040000182366','8800',(select max(to_number(i.premium_rcv_detail_code))+1
from ins_premium_det i),'8800','8800','02', '11000003','00','Request by Mr. Omair Ali 22-Oct-2024 allocation 22Oct240201');</v>
      </c>
    </row>
    <row r="704" spans="1:8" ht="105" x14ac:dyDescent="0.25">
      <c r="A704" t="s">
        <v>832</v>
      </c>
      <c r="B704" s="51" t="str">
        <f>VLOOKUP(A704,policy!B:C,2,0)</f>
        <v>040000182372</v>
      </c>
      <c r="C704" s="46">
        <v>8800</v>
      </c>
      <c r="D704" s="46">
        <v>8800</v>
      </c>
      <c r="E704" s="50" t="s">
        <v>3673</v>
      </c>
      <c r="F704" s="52" t="str">
        <f t="shared" si="30"/>
        <v>insert into ins_premium_det (premium_rcv_code,assorted_code, rec_amount,premium_rcv_detail_code,remaining_amt, payrec, mode_code,coinsurance_code,class_cd,it_remarks) values</v>
      </c>
      <c r="G704" s="53" t="str">
        <f t="shared" si="31"/>
        <v>('22Oct240201','040000182372','8800',(select max(to_number(i.premium_rcv_detail_code))+1
from ins_premium_det i),'8800','8800','02', '11000003','00','Request by Mr. Omair Ali 22-Oct-2024 allocation 22Oct240201');</v>
      </c>
      <c r="H704" s="54" t="str">
        <f t="shared" si="32"/>
        <v>insert into ins_premium_det (premium_rcv_code,assorted_code, rec_amount,premium_rcv_detail_code,remaining_amt, payrec, mode_code,coinsurance_code,class_cd,it_remarks) values('22Oct240201','040000182372','8800',(select max(to_number(i.premium_rcv_detail_code))+1
from ins_premium_det i),'8800','8800','02', '11000003','00','Request by Mr. Omair Ali 22-Oct-2024 allocation 22Oct240201');</v>
      </c>
    </row>
    <row r="705" spans="1:8" ht="105" x14ac:dyDescent="0.25">
      <c r="A705" t="s">
        <v>833</v>
      </c>
      <c r="B705" s="51" t="str">
        <f>VLOOKUP(A705,policy!B:C,2,0)</f>
        <v>040000182373</v>
      </c>
      <c r="C705" s="46">
        <v>8800</v>
      </c>
      <c r="D705" s="46">
        <v>8800</v>
      </c>
      <c r="E705" s="50" t="s">
        <v>3673</v>
      </c>
      <c r="F705" s="52" t="str">
        <f t="shared" si="30"/>
        <v>insert into ins_premium_det (premium_rcv_code,assorted_code, rec_amount,premium_rcv_detail_code,remaining_amt, payrec, mode_code,coinsurance_code,class_cd,it_remarks) values</v>
      </c>
      <c r="G705" s="53" t="str">
        <f t="shared" si="31"/>
        <v>('22Oct240201','040000182373','8800',(select max(to_number(i.premium_rcv_detail_code))+1
from ins_premium_det i),'8800','8800','02', '11000003','00','Request by Mr. Omair Ali 22-Oct-2024 allocation 22Oct240201');</v>
      </c>
      <c r="H705" s="54" t="str">
        <f t="shared" si="32"/>
        <v>insert into ins_premium_det (premium_rcv_code,assorted_code, rec_amount,premium_rcv_detail_code,remaining_amt, payrec, mode_code,coinsurance_code,class_cd,it_remarks) values('22Oct240201','040000182373','8800',(select max(to_number(i.premium_rcv_detail_code))+1
from ins_premium_det i),'8800','8800','02', '11000003','00','Request by Mr. Omair Ali 22-Oct-2024 allocation 22Oct240201');</v>
      </c>
    </row>
    <row r="706" spans="1:8" ht="105" x14ac:dyDescent="0.25">
      <c r="A706" t="s">
        <v>834</v>
      </c>
      <c r="B706" s="51" t="str">
        <f>VLOOKUP(A706,policy!B:C,2,0)</f>
        <v>040000182374</v>
      </c>
      <c r="C706" s="46">
        <v>8800</v>
      </c>
      <c r="D706" s="46">
        <v>8800</v>
      </c>
      <c r="E706" s="50" t="s">
        <v>3673</v>
      </c>
      <c r="F706" s="52" t="str">
        <f t="shared" ref="F706:F769" si="33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706" s="53" t="str">
        <f t="shared" si="31"/>
        <v>('22Oct240201','040000182374','8800',(select max(to_number(i.premium_rcv_detail_code))+1
from ins_premium_det i),'8800','8800','02', '11000003','00','Request by Mr. Omair Ali 22-Oct-2024 allocation 22Oct240201');</v>
      </c>
      <c r="H706" s="54" t="str">
        <f t="shared" si="32"/>
        <v>insert into ins_premium_det (premium_rcv_code,assorted_code, rec_amount,premium_rcv_detail_code,remaining_amt, payrec, mode_code,coinsurance_code,class_cd,it_remarks) values('22Oct240201','040000182374','8800',(select max(to_number(i.premium_rcv_detail_code))+1
from ins_premium_det i),'8800','8800','02', '11000003','00','Request by Mr. Omair Ali 22-Oct-2024 allocation 22Oct240201');</v>
      </c>
    </row>
    <row r="707" spans="1:8" ht="105" x14ac:dyDescent="0.25">
      <c r="A707" t="s">
        <v>835</v>
      </c>
      <c r="B707" s="51" t="str">
        <f>VLOOKUP(A707,policy!B:C,2,0)</f>
        <v>040000182375</v>
      </c>
      <c r="C707" s="46">
        <v>14960</v>
      </c>
      <c r="D707" s="46">
        <v>14960</v>
      </c>
      <c r="E707" s="50" t="s">
        <v>3673</v>
      </c>
      <c r="F707" s="52" t="str">
        <f t="shared" si="33"/>
        <v>insert into ins_premium_det (premium_rcv_code,assorted_code, rec_amount,premium_rcv_detail_code,remaining_amt, payrec, mode_code,coinsurance_code,class_cd,it_remarks) values</v>
      </c>
      <c r="G707" s="53" t="str">
        <f t="shared" ref="G707:G770" si="34">"('"&amp;E707&amp;"','"&amp;B707&amp;"','"&amp;D707&amp;"',(select max(to_number(i.premium_rcv_detail_code))+1
from ins_premium_det i),'"&amp;D707&amp;"','"&amp;D707&amp;"','02', '11000003','00','Request by Mr. Omair Ali 22-Oct-2024 allocation 22Oct240201');"</f>
        <v>('22Oct240201','040000182375','14960',(select max(to_number(i.premium_rcv_detail_code))+1
from ins_premium_det i),'14960','14960','02', '11000003','00','Request by Mr. Omair Ali 22-Oct-2024 allocation 22Oct240201');</v>
      </c>
      <c r="H707" s="54" t="str">
        <f t="shared" ref="H707:H770" si="35">F707&amp;G707</f>
        <v>insert into ins_premium_det (premium_rcv_code,assorted_code, rec_amount,premium_rcv_detail_code,remaining_amt, payrec, mode_code,coinsurance_code,class_cd,it_remarks) values('22Oct240201','040000182375','14960',(select max(to_number(i.premium_rcv_detail_code))+1
from ins_premium_det i),'14960','14960','02', '11000003','00','Request by Mr. Omair Ali 22-Oct-2024 allocation 22Oct240201');</v>
      </c>
    </row>
    <row r="708" spans="1:8" ht="105" x14ac:dyDescent="0.25">
      <c r="A708" t="s">
        <v>836</v>
      </c>
      <c r="B708" s="51" t="str">
        <f>VLOOKUP(A708,policy!B:C,2,0)</f>
        <v>040000182376</v>
      </c>
      <c r="C708" s="46">
        <v>14960</v>
      </c>
      <c r="D708" s="46">
        <v>14960</v>
      </c>
      <c r="E708" s="50" t="s">
        <v>3673</v>
      </c>
      <c r="F708" s="52" t="str">
        <f t="shared" si="33"/>
        <v>insert into ins_premium_det (premium_rcv_code,assorted_code, rec_amount,premium_rcv_detail_code,remaining_amt, payrec, mode_code,coinsurance_code,class_cd,it_remarks) values</v>
      </c>
      <c r="G708" s="53" t="str">
        <f t="shared" si="34"/>
        <v>('22Oct240201','040000182376','14960',(select max(to_number(i.premium_rcv_detail_code))+1
from ins_premium_det i),'14960','14960','02', '11000003','00','Request by Mr. Omair Ali 22-Oct-2024 allocation 22Oct240201');</v>
      </c>
      <c r="H708" s="54" t="str">
        <f t="shared" si="35"/>
        <v>insert into ins_premium_det (premium_rcv_code,assorted_code, rec_amount,premium_rcv_detail_code,remaining_amt, payrec, mode_code,coinsurance_code,class_cd,it_remarks) values('22Oct240201','040000182376','14960',(select max(to_number(i.premium_rcv_detail_code))+1
from ins_premium_det i),'14960','14960','02', '11000003','00','Request by Mr. Omair Ali 22-Oct-2024 allocation 22Oct240201');</v>
      </c>
    </row>
    <row r="709" spans="1:8" ht="105" x14ac:dyDescent="0.25">
      <c r="A709" t="s">
        <v>837</v>
      </c>
      <c r="B709" s="51" t="str">
        <f>VLOOKUP(A709,policy!B:C,2,0)</f>
        <v>040000182377</v>
      </c>
      <c r="C709" s="46">
        <v>8800</v>
      </c>
      <c r="D709" s="46">
        <v>8800</v>
      </c>
      <c r="E709" s="50" t="s">
        <v>3673</v>
      </c>
      <c r="F709" s="52" t="str">
        <f t="shared" si="33"/>
        <v>insert into ins_premium_det (premium_rcv_code,assorted_code, rec_amount,premium_rcv_detail_code,remaining_amt, payrec, mode_code,coinsurance_code,class_cd,it_remarks) values</v>
      </c>
      <c r="G709" s="53" t="str">
        <f t="shared" si="34"/>
        <v>('22Oct240201','040000182377','8800',(select max(to_number(i.premium_rcv_detail_code))+1
from ins_premium_det i),'8800','8800','02', '11000003','00','Request by Mr. Omair Ali 22-Oct-2024 allocation 22Oct240201');</v>
      </c>
      <c r="H709" s="54" t="str">
        <f t="shared" si="35"/>
        <v>insert into ins_premium_det (premium_rcv_code,assorted_code, rec_amount,premium_rcv_detail_code,remaining_amt, payrec, mode_code,coinsurance_code,class_cd,it_remarks) values('22Oct240201','040000182377','8800',(select max(to_number(i.premium_rcv_detail_code))+1
from ins_premium_det i),'8800','8800','02', '11000003','00','Request by Mr. Omair Ali 22-Oct-2024 allocation 22Oct240201');</v>
      </c>
    </row>
    <row r="710" spans="1:8" ht="105" x14ac:dyDescent="0.25">
      <c r="A710" t="s">
        <v>838</v>
      </c>
      <c r="B710" s="51" t="str">
        <f>VLOOKUP(A710,policy!B:C,2,0)</f>
        <v>040000182378</v>
      </c>
      <c r="C710" s="46">
        <v>14960</v>
      </c>
      <c r="D710" s="46">
        <v>14960</v>
      </c>
      <c r="E710" s="50" t="s">
        <v>3673</v>
      </c>
      <c r="F710" s="52" t="str">
        <f t="shared" si="33"/>
        <v>insert into ins_premium_det (premium_rcv_code,assorted_code, rec_amount,premium_rcv_detail_code,remaining_amt, payrec, mode_code,coinsurance_code,class_cd,it_remarks) values</v>
      </c>
      <c r="G710" s="53" t="str">
        <f t="shared" si="34"/>
        <v>('22Oct240201','040000182378','14960',(select max(to_number(i.premium_rcv_detail_code))+1
from ins_premium_det i),'14960','14960','02', '11000003','00','Request by Mr. Omair Ali 22-Oct-2024 allocation 22Oct240201');</v>
      </c>
      <c r="H710" s="54" t="str">
        <f t="shared" si="35"/>
        <v>insert into ins_premium_det (premium_rcv_code,assorted_code, rec_amount,premium_rcv_detail_code,remaining_amt, payrec, mode_code,coinsurance_code,class_cd,it_remarks) values('22Oct240201','040000182378','14960',(select max(to_number(i.premium_rcv_detail_code))+1
from ins_premium_det i),'14960','14960','02', '11000003','00','Request by Mr. Omair Ali 22-Oct-2024 allocation 22Oct240201');</v>
      </c>
    </row>
    <row r="711" spans="1:8" ht="105" x14ac:dyDescent="0.25">
      <c r="A711" t="s">
        <v>839</v>
      </c>
      <c r="B711" s="51" t="str">
        <f>VLOOKUP(A711,policy!B:C,2,0)</f>
        <v>040000182380</v>
      </c>
      <c r="C711" s="46">
        <v>8800</v>
      </c>
      <c r="D711" s="46">
        <v>8800</v>
      </c>
      <c r="E711" s="50" t="s">
        <v>3673</v>
      </c>
      <c r="F711" s="52" t="str">
        <f t="shared" si="33"/>
        <v>insert into ins_premium_det (premium_rcv_code,assorted_code, rec_amount,premium_rcv_detail_code,remaining_amt, payrec, mode_code,coinsurance_code,class_cd,it_remarks) values</v>
      </c>
      <c r="G711" s="53" t="str">
        <f t="shared" si="34"/>
        <v>('22Oct240201','040000182380','8800',(select max(to_number(i.premium_rcv_detail_code))+1
from ins_premium_det i),'8800','8800','02', '11000003','00','Request by Mr. Omair Ali 22-Oct-2024 allocation 22Oct240201');</v>
      </c>
      <c r="H711" s="54" t="str">
        <f t="shared" si="35"/>
        <v>insert into ins_premium_det (premium_rcv_code,assorted_code, rec_amount,premium_rcv_detail_code,remaining_amt, payrec, mode_code,coinsurance_code,class_cd,it_remarks) values('22Oct240201','040000182380','8800',(select max(to_number(i.premium_rcv_detail_code))+1
from ins_premium_det i),'8800','8800','02', '11000003','00','Request by Mr. Omair Ali 22-Oct-2024 allocation 22Oct240201');</v>
      </c>
    </row>
    <row r="712" spans="1:8" ht="105" x14ac:dyDescent="0.25">
      <c r="A712" t="s">
        <v>840</v>
      </c>
      <c r="B712" s="51" t="str">
        <f>VLOOKUP(A712,policy!B:C,2,0)</f>
        <v>040000182384</v>
      </c>
      <c r="C712" s="46">
        <v>14960</v>
      </c>
      <c r="D712" s="46">
        <v>14960</v>
      </c>
      <c r="E712" s="50" t="s">
        <v>3673</v>
      </c>
      <c r="F712" s="52" t="str">
        <f t="shared" si="33"/>
        <v>insert into ins_premium_det (premium_rcv_code,assorted_code, rec_amount,premium_rcv_detail_code,remaining_amt, payrec, mode_code,coinsurance_code,class_cd,it_remarks) values</v>
      </c>
      <c r="G712" s="53" t="str">
        <f t="shared" si="34"/>
        <v>('22Oct240201','040000182384','14960',(select max(to_number(i.premium_rcv_detail_code))+1
from ins_premium_det i),'14960','14960','02', '11000003','00','Request by Mr. Omair Ali 22-Oct-2024 allocation 22Oct240201');</v>
      </c>
      <c r="H712" s="54" t="str">
        <f t="shared" si="35"/>
        <v>insert into ins_premium_det (premium_rcv_code,assorted_code, rec_amount,premium_rcv_detail_code,remaining_amt, payrec, mode_code,coinsurance_code,class_cd,it_remarks) values('22Oct240201','040000182384','14960',(select max(to_number(i.premium_rcv_detail_code))+1
from ins_premium_det i),'14960','14960','02', '11000003','00','Request by Mr. Omair Ali 22-Oct-2024 allocation 22Oct240201');</v>
      </c>
    </row>
    <row r="713" spans="1:8" ht="105" x14ac:dyDescent="0.25">
      <c r="A713" t="s">
        <v>841</v>
      </c>
      <c r="B713" s="51" t="str">
        <f>VLOOKUP(A713,policy!B:C,2,0)</f>
        <v>040000182385</v>
      </c>
      <c r="C713" s="46">
        <v>14960.000000000002</v>
      </c>
      <c r="D713" s="46">
        <v>14960.000000000002</v>
      </c>
      <c r="E713" s="50" t="s">
        <v>3673</v>
      </c>
      <c r="F713" s="52" t="str">
        <f t="shared" si="33"/>
        <v>insert into ins_premium_det (premium_rcv_code,assorted_code, rec_amount,premium_rcv_detail_code,remaining_amt, payrec, mode_code,coinsurance_code,class_cd,it_remarks) values</v>
      </c>
      <c r="G713" s="53" t="str">
        <f t="shared" si="34"/>
        <v>('22Oct240201','040000182385','14960',(select max(to_number(i.premium_rcv_detail_code))+1
from ins_premium_det i),'14960','14960','02', '11000003','00','Request by Mr. Omair Ali 22-Oct-2024 allocation 22Oct240201');</v>
      </c>
      <c r="H713" s="54" t="str">
        <f t="shared" si="35"/>
        <v>insert into ins_premium_det (premium_rcv_code,assorted_code, rec_amount,premium_rcv_detail_code,remaining_amt, payrec, mode_code,coinsurance_code,class_cd,it_remarks) values('22Oct240201','040000182385','14960',(select max(to_number(i.premium_rcv_detail_code))+1
from ins_premium_det i),'14960','14960','02', '11000003','00','Request by Mr. Omair Ali 22-Oct-2024 allocation 22Oct240201');</v>
      </c>
    </row>
    <row r="714" spans="1:8" ht="105" x14ac:dyDescent="0.25">
      <c r="A714" t="s">
        <v>842</v>
      </c>
      <c r="B714" s="51" t="str">
        <f>VLOOKUP(A714,policy!B:C,2,0)</f>
        <v>040000182386</v>
      </c>
      <c r="C714" s="46">
        <v>14960</v>
      </c>
      <c r="D714" s="46">
        <v>14960</v>
      </c>
      <c r="E714" s="50" t="s">
        <v>3673</v>
      </c>
      <c r="F714" s="52" t="str">
        <f t="shared" si="33"/>
        <v>insert into ins_premium_det (premium_rcv_code,assorted_code, rec_amount,premium_rcv_detail_code,remaining_amt, payrec, mode_code,coinsurance_code,class_cd,it_remarks) values</v>
      </c>
      <c r="G714" s="53" t="str">
        <f t="shared" si="34"/>
        <v>('22Oct240201','040000182386','14960',(select max(to_number(i.premium_rcv_detail_code))+1
from ins_premium_det i),'14960','14960','02', '11000003','00','Request by Mr. Omair Ali 22-Oct-2024 allocation 22Oct240201');</v>
      </c>
      <c r="H714" s="54" t="str">
        <f t="shared" si="35"/>
        <v>insert into ins_premium_det (premium_rcv_code,assorted_code, rec_amount,premium_rcv_detail_code,remaining_amt, payrec, mode_code,coinsurance_code,class_cd,it_remarks) values('22Oct240201','040000182386','14960',(select max(to_number(i.premium_rcv_detail_code))+1
from ins_premium_det i),'14960','14960','02', '11000003','00','Request by Mr. Omair Ali 22-Oct-2024 allocation 22Oct240201');</v>
      </c>
    </row>
    <row r="715" spans="1:8" ht="105" x14ac:dyDescent="0.25">
      <c r="A715" t="s">
        <v>843</v>
      </c>
      <c r="B715" s="51" t="str">
        <f>VLOOKUP(A715,policy!B:C,2,0)</f>
        <v>040000182387</v>
      </c>
      <c r="C715" s="46">
        <v>14960</v>
      </c>
      <c r="D715" s="46">
        <v>14960</v>
      </c>
      <c r="E715" s="50" t="s">
        <v>3673</v>
      </c>
      <c r="F715" s="52" t="str">
        <f t="shared" si="33"/>
        <v>insert into ins_premium_det (premium_rcv_code,assorted_code, rec_amount,premium_rcv_detail_code,remaining_amt, payrec, mode_code,coinsurance_code,class_cd,it_remarks) values</v>
      </c>
      <c r="G715" s="53" t="str">
        <f t="shared" si="34"/>
        <v>('22Oct240201','040000182387','14960',(select max(to_number(i.premium_rcv_detail_code))+1
from ins_premium_det i),'14960','14960','02', '11000003','00','Request by Mr. Omair Ali 22-Oct-2024 allocation 22Oct240201');</v>
      </c>
      <c r="H715" s="54" t="str">
        <f t="shared" si="35"/>
        <v>insert into ins_premium_det (premium_rcv_code,assorted_code, rec_amount,premium_rcv_detail_code,remaining_amt, payrec, mode_code,coinsurance_code,class_cd,it_remarks) values('22Oct240201','040000182387','14960',(select max(to_number(i.premium_rcv_detail_code))+1
from ins_premium_det i),'14960','14960','02', '11000003','00','Request by Mr. Omair Ali 22-Oct-2024 allocation 22Oct240201');</v>
      </c>
    </row>
    <row r="716" spans="1:8" ht="105" x14ac:dyDescent="0.25">
      <c r="A716" t="s">
        <v>844</v>
      </c>
      <c r="B716" s="51" t="str">
        <f>VLOOKUP(A716,policy!B:C,2,0)</f>
        <v>040000182388</v>
      </c>
      <c r="C716" s="46">
        <v>14960</v>
      </c>
      <c r="D716" s="46">
        <v>14960</v>
      </c>
      <c r="E716" s="50" t="s">
        <v>3673</v>
      </c>
      <c r="F716" s="52" t="str">
        <f t="shared" si="33"/>
        <v>insert into ins_premium_det (premium_rcv_code,assorted_code, rec_amount,premium_rcv_detail_code,remaining_amt, payrec, mode_code,coinsurance_code,class_cd,it_remarks) values</v>
      </c>
      <c r="G716" s="53" t="str">
        <f t="shared" si="34"/>
        <v>('22Oct240201','040000182388','14960',(select max(to_number(i.premium_rcv_detail_code))+1
from ins_premium_det i),'14960','14960','02', '11000003','00','Request by Mr. Omair Ali 22-Oct-2024 allocation 22Oct240201');</v>
      </c>
      <c r="H716" s="54" t="str">
        <f t="shared" si="35"/>
        <v>insert into ins_premium_det (premium_rcv_code,assorted_code, rec_amount,premium_rcv_detail_code,remaining_amt, payrec, mode_code,coinsurance_code,class_cd,it_remarks) values('22Oct240201','040000182388','14960',(select max(to_number(i.premium_rcv_detail_code))+1
from ins_premium_det i),'14960','14960','02', '11000003','00','Request by Mr. Omair Ali 22-Oct-2024 allocation 22Oct240201');</v>
      </c>
    </row>
    <row r="717" spans="1:8" ht="105" x14ac:dyDescent="0.25">
      <c r="A717" t="s">
        <v>845</v>
      </c>
      <c r="B717" s="51" t="str">
        <f>VLOOKUP(A717,policy!B:C,2,0)</f>
        <v>040000182389</v>
      </c>
      <c r="C717" s="46">
        <v>14960</v>
      </c>
      <c r="D717" s="46">
        <v>14960</v>
      </c>
      <c r="E717" s="50" t="s">
        <v>3673</v>
      </c>
      <c r="F717" s="52" t="str">
        <f t="shared" si="33"/>
        <v>insert into ins_premium_det (premium_rcv_code,assorted_code, rec_amount,premium_rcv_detail_code,remaining_amt, payrec, mode_code,coinsurance_code,class_cd,it_remarks) values</v>
      </c>
      <c r="G717" s="53" t="str">
        <f t="shared" si="34"/>
        <v>('22Oct240201','040000182389','14960',(select max(to_number(i.premium_rcv_detail_code))+1
from ins_premium_det i),'14960','14960','02', '11000003','00','Request by Mr. Omair Ali 22-Oct-2024 allocation 22Oct240201');</v>
      </c>
      <c r="H717" s="54" t="str">
        <f t="shared" si="35"/>
        <v>insert into ins_premium_det (premium_rcv_code,assorted_code, rec_amount,premium_rcv_detail_code,remaining_amt, payrec, mode_code,coinsurance_code,class_cd,it_remarks) values('22Oct240201','040000182389','14960',(select max(to_number(i.premium_rcv_detail_code))+1
from ins_premium_det i),'14960','14960','02', '11000003','00','Request by Mr. Omair Ali 22-Oct-2024 allocation 22Oct240201');</v>
      </c>
    </row>
    <row r="718" spans="1:8" ht="105" x14ac:dyDescent="0.25">
      <c r="A718" t="s">
        <v>846</v>
      </c>
      <c r="B718" s="51" t="str">
        <f>VLOOKUP(A718,policy!B:C,2,0)</f>
        <v>040000182391</v>
      </c>
      <c r="C718" s="46">
        <v>9550</v>
      </c>
      <c r="D718" s="46">
        <v>9550</v>
      </c>
      <c r="E718" s="50" t="s">
        <v>3673</v>
      </c>
      <c r="F718" s="52" t="str">
        <f t="shared" si="33"/>
        <v>insert into ins_premium_det (premium_rcv_code,assorted_code, rec_amount,premium_rcv_detail_code,remaining_amt, payrec, mode_code,coinsurance_code,class_cd,it_remarks) values</v>
      </c>
      <c r="G718" s="53" t="str">
        <f t="shared" si="34"/>
        <v>('22Oct240201','040000182391','9550',(select max(to_number(i.premium_rcv_detail_code))+1
from ins_premium_det i),'9550','9550','02', '11000003','00','Request by Mr. Omair Ali 22-Oct-2024 allocation 22Oct240201');</v>
      </c>
      <c r="H718" s="54" t="str">
        <f t="shared" si="35"/>
        <v>insert into ins_premium_det (premium_rcv_code,assorted_code, rec_amount,premium_rcv_detail_code,remaining_amt, payrec, mode_code,coinsurance_code,class_cd,it_remarks) values('22Oct240201','040000182391','9550',(select max(to_number(i.premium_rcv_detail_code))+1
from ins_premium_det i),'9550','9550','02', '11000003','00','Request by Mr. Omair Ali 22-Oct-2024 allocation 22Oct240201');</v>
      </c>
    </row>
    <row r="719" spans="1:8" ht="105" x14ac:dyDescent="0.25">
      <c r="A719" t="s">
        <v>847</v>
      </c>
      <c r="B719" s="51" t="str">
        <f>VLOOKUP(A719,policy!B:C,2,0)</f>
        <v>040000182396</v>
      </c>
      <c r="C719" s="46">
        <v>8800</v>
      </c>
      <c r="D719" s="46">
        <v>8800</v>
      </c>
      <c r="E719" s="50" t="s">
        <v>3673</v>
      </c>
      <c r="F719" s="52" t="str">
        <f t="shared" si="33"/>
        <v>insert into ins_premium_det (premium_rcv_code,assorted_code, rec_amount,premium_rcv_detail_code,remaining_amt, payrec, mode_code,coinsurance_code,class_cd,it_remarks) values</v>
      </c>
      <c r="G719" s="53" t="str">
        <f t="shared" si="34"/>
        <v>('22Oct240201','040000182396','8800',(select max(to_number(i.premium_rcv_detail_code))+1
from ins_premium_det i),'8800','8800','02', '11000003','00','Request by Mr. Omair Ali 22-Oct-2024 allocation 22Oct240201');</v>
      </c>
      <c r="H719" s="54" t="str">
        <f t="shared" si="35"/>
        <v>insert into ins_premium_det (premium_rcv_code,assorted_code, rec_amount,premium_rcv_detail_code,remaining_amt, payrec, mode_code,coinsurance_code,class_cd,it_remarks) values('22Oct240201','040000182396','8800',(select max(to_number(i.premium_rcv_detail_code))+1
from ins_premium_det i),'8800','8800','02', '11000003','00','Request by Mr. Omair Ali 22-Oct-2024 allocation 22Oct240201');</v>
      </c>
    </row>
    <row r="720" spans="1:8" ht="105" x14ac:dyDescent="0.25">
      <c r="A720" t="s">
        <v>848</v>
      </c>
      <c r="B720" s="51" t="str">
        <f>VLOOKUP(A720,policy!B:C,2,0)</f>
        <v>040000182398</v>
      </c>
      <c r="C720" s="46">
        <v>8800</v>
      </c>
      <c r="D720" s="46">
        <v>8800</v>
      </c>
      <c r="E720" s="50" t="s">
        <v>3673</v>
      </c>
      <c r="F720" s="52" t="str">
        <f t="shared" si="33"/>
        <v>insert into ins_premium_det (premium_rcv_code,assorted_code, rec_amount,premium_rcv_detail_code,remaining_amt, payrec, mode_code,coinsurance_code,class_cd,it_remarks) values</v>
      </c>
      <c r="G720" s="53" t="str">
        <f t="shared" si="34"/>
        <v>('22Oct240201','040000182398','8800',(select max(to_number(i.premium_rcv_detail_code))+1
from ins_premium_det i),'8800','8800','02', '11000003','00','Request by Mr. Omair Ali 22-Oct-2024 allocation 22Oct240201');</v>
      </c>
      <c r="H720" s="54" t="str">
        <f t="shared" si="35"/>
        <v>insert into ins_premium_det (premium_rcv_code,assorted_code, rec_amount,premium_rcv_detail_code,remaining_amt, payrec, mode_code,coinsurance_code,class_cd,it_remarks) values('22Oct240201','040000182398','8800',(select max(to_number(i.premium_rcv_detail_code))+1
from ins_premium_det i),'8800','8800','02', '11000003','00','Request by Mr. Omair Ali 22-Oct-2024 allocation 22Oct240201');</v>
      </c>
    </row>
    <row r="721" spans="1:8" ht="105" x14ac:dyDescent="0.25">
      <c r="A721" t="s">
        <v>849</v>
      </c>
      <c r="B721" s="51" t="str">
        <f>VLOOKUP(A721,policy!B:C,2,0)</f>
        <v>040000182399</v>
      </c>
      <c r="C721" s="46">
        <v>8800</v>
      </c>
      <c r="D721" s="46">
        <v>8800</v>
      </c>
      <c r="E721" s="50" t="s">
        <v>3673</v>
      </c>
      <c r="F721" s="52" t="str">
        <f t="shared" si="33"/>
        <v>insert into ins_premium_det (premium_rcv_code,assorted_code, rec_amount,premium_rcv_detail_code,remaining_amt, payrec, mode_code,coinsurance_code,class_cd,it_remarks) values</v>
      </c>
      <c r="G721" s="53" t="str">
        <f t="shared" si="34"/>
        <v>('22Oct240201','040000182399','8800',(select max(to_number(i.premium_rcv_detail_code))+1
from ins_premium_det i),'8800','8800','02', '11000003','00','Request by Mr. Omair Ali 22-Oct-2024 allocation 22Oct240201');</v>
      </c>
      <c r="H721" s="54" t="str">
        <f t="shared" si="35"/>
        <v>insert into ins_premium_det (premium_rcv_code,assorted_code, rec_amount,premium_rcv_detail_code,remaining_amt, payrec, mode_code,coinsurance_code,class_cd,it_remarks) values('22Oct240201','040000182399','8800',(select max(to_number(i.premium_rcv_detail_code))+1
from ins_premium_det i),'8800','8800','02', '11000003','00','Request by Mr. Omair Ali 22-Oct-2024 allocation 22Oct240201');</v>
      </c>
    </row>
    <row r="722" spans="1:8" ht="105" x14ac:dyDescent="0.25">
      <c r="A722" t="s">
        <v>850</v>
      </c>
      <c r="B722" s="51" t="str">
        <f>VLOOKUP(A722,policy!B:C,2,0)</f>
        <v>040000182400</v>
      </c>
      <c r="C722" s="46">
        <v>9550</v>
      </c>
      <c r="D722" s="46">
        <v>9550</v>
      </c>
      <c r="E722" s="50" t="s">
        <v>3673</v>
      </c>
      <c r="F722" s="52" t="str">
        <f t="shared" si="33"/>
        <v>insert into ins_premium_det (premium_rcv_code,assorted_code, rec_amount,premium_rcv_detail_code,remaining_amt, payrec, mode_code,coinsurance_code,class_cd,it_remarks) values</v>
      </c>
      <c r="G722" s="53" t="str">
        <f t="shared" si="34"/>
        <v>('22Oct240201','040000182400','9550',(select max(to_number(i.premium_rcv_detail_code))+1
from ins_premium_det i),'9550','9550','02', '11000003','00','Request by Mr. Omair Ali 22-Oct-2024 allocation 22Oct240201');</v>
      </c>
      <c r="H722" s="54" t="str">
        <f t="shared" si="35"/>
        <v>insert into ins_premium_det (premium_rcv_code,assorted_code, rec_amount,premium_rcv_detail_code,remaining_amt, payrec, mode_code,coinsurance_code,class_cd,it_remarks) values('22Oct240201','040000182400','9550',(select max(to_number(i.premium_rcv_detail_code))+1
from ins_premium_det i),'9550','9550','02', '11000003','00','Request by Mr. Omair Ali 22-Oct-2024 allocation 22Oct240201');</v>
      </c>
    </row>
    <row r="723" spans="1:8" ht="105" x14ac:dyDescent="0.25">
      <c r="A723" t="s">
        <v>851</v>
      </c>
      <c r="B723" s="51" t="str">
        <f>VLOOKUP(A723,policy!B:C,2,0)</f>
        <v>040000182401</v>
      </c>
      <c r="C723" s="46">
        <v>8800</v>
      </c>
      <c r="D723" s="46">
        <v>8800</v>
      </c>
      <c r="E723" s="50" t="s">
        <v>3673</v>
      </c>
      <c r="F723" s="52" t="str">
        <f t="shared" si="33"/>
        <v>insert into ins_premium_det (premium_rcv_code,assorted_code, rec_amount,premium_rcv_detail_code,remaining_amt, payrec, mode_code,coinsurance_code,class_cd,it_remarks) values</v>
      </c>
      <c r="G723" s="53" t="str">
        <f t="shared" si="34"/>
        <v>('22Oct240201','040000182401','8800',(select max(to_number(i.premium_rcv_detail_code))+1
from ins_premium_det i),'8800','8800','02', '11000003','00','Request by Mr. Omair Ali 22-Oct-2024 allocation 22Oct240201');</v>
      </c>
      <c r="H723" s="54" t="str">
        <f t="shared" si="35"/>
        <v>insert into ins_premium_det (premium_rcv_code,assorted_code, rec_amount,premium_rcv_detail_code,remaining_amt, payrec, mode_code,coinsurance_code,class_cd,it_remarks) values('22Oct240201','040000182401','8800',(select max(to_number(i.premium_rcv_detail_code))+1
from ins_premium_det i),'8800','8800','02', '11000003','00','Request by Mr. Omair Ali 22-Oct-2024 allocation 22Oct240201');</v>
      </c>
    </row>
    <row r="724" spans="1:8" ht="105" x14ac:dyDescent="0.25">
      <c r="A724" t="s">
        <v>852</v>
      </c>
      <c r="B724" s="51" t="str">
        <f>VLOOKUP(A724,policy!B:C,2,0)</f>
        <v>040000182403</v>
      </c>
      <c r="C724" s="46">
        <v>8800</v>
      </c>
      <c r="D724" s="46">
        <v>8800</v>
      </c>
      <c r="E724" s="50" t="s">
        <v>3673</v>
      </c>
      <c r="F724" s="52" t="str">
        <f t="shared" si="33"/>
        <v>insert into ins_premium_det (premium_rcv_code,assorted_code, rec_amount,premium_rcv_detail_code,remaining_amt, payrec, mode_code,coinsurance_code,class_cd,it_remarks) values</v>
      </c>
      <c r="G724" s="53" t="str">
        <f t="shared" si="34"/>
        <v>('22Oct240201','040000182403','8800',(select max(to_number(i.premium_rcv_detail_code))+1
from ins_premium_det i),'8800','8800','02', '11000003','00','Request by Mr. Omair Ali 22-Oct-2024 allocation 22Oct240201');</v>
      </c>
      <c r="H724" s="54" t="str">
        <f t="shared" si="35"/>
        <v>insert into ins_premium_det (premium_rcv_code,assorted_code, rec_amount,premium_rcv_detail_code,remaining_amt, payrec, mode_code,coinsurance_code,class_cd,it_remarks) values('22Oct240201','040000182403','8800',(select max(to_number(i.premium_rcv_detail_code))+1
from ins_premium_det i),'8800','8800','02', '11000003','00','Request by Mr. Omair Ali 22-Oct-2024 allocation 22Oct240201');</v>
      </c>
    </row>
    <row r="725" spans="1:8" ht="105" x14ac:dyDescent="0.25">
      <c r="A725" t="s">
        <v>853</v>
      </c>
      <c r="B725" s="51" t="str">
        <f>VLOOKUP(A725,policy!B:C,2,0)</f>
        <v>040000182404</v>
      </c>
      <c r="C725" s="46">
        <v>8800</v>
      </c>
      <c r="D725" s="46">
        <v>8800</v>
      </c>
      <c r="E725" s="50" t="s">
        <v>3673</v>
      </c>
      <c r="F725" s="52" t="str">
        <f t="shared" si="33"/>
        <v>insert into ins_premium_det (premium_rcv_code,assorted_code, rec_amount,premium_rcv_detail_code,remaining_amt, payrec, mode_code,coinsurance_code,class_cd,it_remarks) values</v>
      </c>
      <c r="G725" s="53" t="str">
        <f t="shared" si="34"/>
        <v>('22Oct240201','040000182404','8800',(select max(to_number(i.premium_rcv_detail_code))+1
from ins_premium_det i),'8800','8800','02', '11000003','00','Request by Mr. Omair Ali 22-Oct-2024 allocation 22Oct240201');</v>
      </c>
      <c r="H725" s="54" t="str">
        <f t="shared" si="35"/>
        <v>insert into ins_premium_det (premium_rcv_code,assorted_code, rec_amount,premium_rcv_detail_code,remaining_amt, payrec, mode_code,coinsurance_code,class_cd,it_remarks) values('22Oct240201','040000182404','8800',(select max(to_number(i.premium_rcv_detail_code))+1
from ins_premium_det i),'8800','8800','02', '11000003','00','Request by Mr. Omair Ali 22-Oct-2024 allocation 22Oct240201');</v>
      </c>
    </row>
    <row r="726" spans="1:8" ht="105" x14ac:dyDescent="0.25">
      <c r="A726" t="s">
        <v>854</v>
      </c>
      <c r="B726" s="51" t="str">
        <f>VLOOKUP(A726,policy!B:C,2,0)</f>
        <v>040000182405</v>
      </c>
      <c r="C726" s="46">
        <v>12475</v>
      </c>
      <c r="D726" s="46">
        <v>12475</v>
      </c>
      <c r="E726" s="50" t="s">
        <v>3673</v>
      </c>
      <c r="F726" s="52" t="str">
        <f t="shared" si="33"/>
        <v>insert into ins_premium_det (premium_rcv_code,assorted_code, rec_amount,premium_rcv_detail_code,remaining_amt, payrec, mode_code,coinsurance_code,class_cd,it_remarks) values</v>
      </c>
      <c r="G726" s="53" t="str">
        <f t="shared" si="34"/>
        <v>('22Oct240201','040000182405','12475',(select max(to_number(i.premium_rcv_detail_code))+1
from ins_premium_det i),'12475','12475','02', '11000003','00','Request by Mr. Omair Ali 22-Oct-2024 allocation 22Oct240201');</v>
      </c>
      <c r="H726" s="54" t="str">
        <f t="shared" si="35"/>
        <v>insert into ins_premium_det (premium_rcv_code,assorted_code, rec_amount,premium_rcv_detail_code,remaining_amt, payrec, mode_code,coinsurance_code,class_cd,it_remarks) values('22Oct240201','040000182405','12475',(select max(to_number(i.premium_rcv_detail_code))+1
from ins_premium_det i),'12475','12475','02', '11000003','00','Request by Mr. Omair Ali 22-Oct-2024 allocation 22Oct240201');</v>
      </c>
    </row>
    <row r="727" spans="1:8" ht="105" x14ac:dyDescent="0.25">
      <c r="A727" t="s">
        <v>855</v>
      </c>
      <c r="B727" s="51" t="str">
        <f>VLOOKUP(A727,policy!B:C,2,0)</f>
        <v>040000182411</v>
      </c>
      <c r="C727" s="46">
        <v>14960</v>
      </c>
      <c r="D727" s="46">
        <v>14960</v>
      </c>
      <c r="E727" s="50" t="s">
        <v>3673</v>
      </c>
      <c r="F727" s="52" t="str">
        <f t="shared" si="33"/>
        <v>insert into ins_premium_det (premium_rcv_code,assorted_code, rec_amount,premium_rcv_detail_code,remaining_amt, payrec, mode_code,coinsurance_code,class_cd,it_remarks) values</v>
      </c>
      <c r="G727" s="53" t="str">
        <f t="shared" si="34"/>
        <v>('22Oct240201','040000182411','14960',(select max(to_number(i.premium_rcv_detail_code))+1
from ins_premium_det i),'14960','14960','02', '11000003','00','Request by Mr. Omair Ali 22-Oct-2024 allocation 22Oct240201');</v>
      </c>
      <c r="H727" s="54" t="str">
        <f t="shared" si="35"/>
        <v>insert into ins_premium_det (premium_rcv_code,assorted_code, rec_amount,premium_rcv_detail_code,remaining_amt, payrec, mode_code,coinsurance_code,class_cd,it_remarks) values('22Oct240201','040000182411','14960',(select max(to_number(i.premium_rcv_detail_code))+1
from ins_premium_det i),'14960','14960','02', '11000003','00','Request by Mr. Omair Ali 22-Oct-2024 allocation 22Oct240201');</v>
      </c>
    </row>
    <row r="728" spans="1:8" ht="105" x14ac:dyDescent="0.25">
      <c r="A728" t="s">
        <v>856</v>
      </c>
      <c r="B728" s="51" t="str">
        <f>VLOOKUP(A728,policy!B:C,2,0)</f>
        <v>040000182412</v>
      </c>
      <c r="C728" s="46">
        <v>14960</v>
      </c>
      <c r="D728" s="46">
        <v>14960</v>
      </c>
      <c r="E728" s="50" t="s">
        <v>3673</v>
      </c>
      <c r="F728" s="52" t="str">
        <f t="shared" si="33"/>
        <v>insert into ins_premium_det (premium_rcv_code,assorted_code, rec_amount,premium_rcv_detail_code,remaining_amt, payrec, mode_code,coinsurance_code,class_cd,it_remarks) values</v>
      </c>
      <c r="G728" s="53" t="str">
        <f t="shared" si="34"/>
        <v>('22Oct240201','040000182412','14960',(select max(to_number(i.premium_rcv_detail_code))+1
from ins_premium_det i),'14960','14960','02', '11000003','00','Request by Mr. Omair Ali 22-Oct-2024 allocation 22Oct240201');</v>
      </c>
      <c r="H728" s="54" t="str">
        <f t="shared" si="35"/>
        <v>insert into ins_premium_det (premium_rcv_code,assorted_code, rec_amount,premium_rcv_detail_code,remaining_amt, payrec, mode_code,coinsurance_code,class_cd,it_remarks) values('22Oct240201','040000182412','14960',(select max(to_number(i.premium_rcv_detail_code))+1
from ins_premium_det i),'14960','14960','02', '11000003','00','Request by Mr. Omair Ali 22-Oct-2024 allocation 22Oct240201');</v>
      </c>
    </row>
    <row r="729" spans="1:8" ht="105" x14ac:dyDescent="0.25">
      <c r="A729" t="s">
        <v>857</v>
      </c>
      <c r="B729" s="51" t="str">
        <f>VLOOKUP(A729,policy!B:C,2,0)</f>
        <v>040000182413</v>
      </c>
      <c r="C729" s="46">
        <v>13675</v>
      </c>
      <c r="D729" s="46">
        <v>13675</v>
      </c>
      <c r="E729" s="50" t="s">
        <v>3673</v>
      </c>
      <c r="F729" s="52" t="str">
        <f t="shared" si="33"/>
        <v>insert into ins_premium_det (premium_rcv_code,assorted_code, rec_amount,premium_rcv_detail_code,remaining_amt, payrec, mode_code,coinsurance_code,class_cd,it_remarks) values</v>
      </c>
      <c r="G729" s="53" t="str">
        <f t="shared" si="34"/>
        <v>('22Oct240201','040000182413','13675',(select max(to_number(i.premium_rcv_detail_code))+1
from ins_premium_det i),'13675','13675','02', '11000003','00','Request by Mr. Omair Ali 22-Oct-2024 allocation 22Oct240201');</v>
      </c>
      <c r="H729" s="54" t="str">
        <f t="shared" si="35"/>
        <v>insert into ins_premium_det (premium_rcv_code,assorted_code, rec_amount,premium_rcv_detail_code,remaining_amt, payrec, mode_code,coinsurance_code,class_cd,it_remarks) values('22Oct240201','040000182413','13675',(select max(to_number(i.premium_rcv_detail_code))+1
from ins_premium_det i),'13675','13675','02', '11000003','00','Request by Mr. Omair Ali 22-Oct-2024 allocation 22Oct240201');</v>
      </c>
    </row>
    <row r="730" spans="1:8" ht="105" x14ac:dyDescent="0.25">
      <c r="A730" t="s">
        <v>858</v>
      </c>
      <c r="B730" s="51" t="str">
        <f>VLOOKUP(A730,policy!B:C,2,0)</f>
        <v>040000182414</v>
      </c>
      <c r="C730" s="46">
        <v>23248</v>
      </c>
      <c r="D730" s="46">
        <v>23248</v>
      </c>
      <c r="E730" s="50" t="s">
        <v>3673</v>
      </c>
      <c r="F730" s="52" t="str">
        <f t="shared" si="33"/>
        <v>insert into ins_premium_det (premium_rcv_code,assorted_code, rec_amount,premium_rcv_detail_code,remaining_amt, payrec, mode_code,coinsurance_code,class_cd,it_remarks) values</v>
      </c>
      <c r="G730" s="53" t="str">
        <f t="shared" si="34"/>
        <v>('22Oct240201','040000182414','23248',(select max(to_number(i.premium_rcv_detail_code))+1
from ins_premium_det i),'23248','23248','02', '11000003','00','Request by Mr. Omair Ali 22-Oct-2024 allocation 22Oct240201');</v>
      </c>
      <c r="H730" s="54" t="str">
        <f t="shared" si="35"/>
        <v>insert into ins_premium_det (premium_rcv_code,assorted_code, rec_amount,premium_rcv_detail_code,remaining_amt, payrec, mode_code,coinsurance_code,class_cd,it_remarks) values('22Oct240201','040000182414','23248',(select max(to_number(i.premium_rcv_detail_code))+1
from ins_premium_det i),'23248','23248','02', '11000003','00','Request by Mr. Omair Ali 22-Oct-2024 allocation 22Oct240201');</v>
      </c>
    </row>
    <row r="731" spans="1:8" ht="105" x14ac:dyDescent="0.25">
      <c r="A731" t="s">
        <v>859</v>
      </c>
      <c r="B731" s="51" t="str">
        <f>VLOOKUP(A731,policy!B:C,2,0)</f>
        <v>040000182415</v>
      </c>
      <c r="C731" s="46">
        <v>23248</v>
      </c>
      <c r="D731" s="46">
        <v>23248</v>
      </c>
      <c r="E731" s="50" t="s">
        <v>3673</v>
      </c>
      <c r="F731" s="52" t="str">
        <f t="shared" si="33"/>
        <v>insert into ins_premium_det (premium_rcv_code,assorted_code, rec_amount,premium_rcv_detail_code,remaining_amt, payrec, mode_code,coinsurance_code,class_cd,it_remarks) values</v>
      </c>
      <c r="G731" s="53" t="str">
        <f t="shared" si="34"/>
        <v>('22Oct240201','040000182415','23248',(select max(to_number(i.premium_rcv_detail_code))+1
from ins_premium_det i),'23248','23248','02', '11000003','00','Request by Mr. Omair Ali 22-Oct-2024 allocation 22Oct240201');</v>
      </c>
      <c r="H731" s="54" t="str">
        <f t="shared" si="35"/>
        <v>insert into ins_premium_det (premium_rcv_code,assorted_code, rec_amount,premium_rcv_detail_code,remaining_amt, payrec, mode_code,coinsurance_code,class_cd,it_remarks) values('22Oct240201','040000182415','23248',(select max(to_number(i.premium_rcv_detail_code))+1
from ins_premium_det i),'23248','23248','02', '11000003','00','Request by Mr. Omair Ali 22-Oct-2024 allocation 22Oct240201');</v>
      </c>
    </row>
    <row r="732" spans="1:8" ht="105" x14ac:dyDescent="0.25">
      <c r="A732" t="s">
        <v>860</v>
      </c>
      <c r="B732" s="51" t="str">
        <f>VLOOKUP(A732,policy!B:C,2,0)</f>
        <v>040000182416</v>
      </c>
      <c r="C732" s="46">
        <v>14960</v>
      </c>
      <c r="D732" s="46">
        <v>14960</v>
      </c>
      <c r="E732" s="50" t="s">
        <v>3673</v>
      </c>
      <c r="F732" s="52" t="str">
        <f t="shared" si="33"/>
        <v>insert into ins_premium_det (premium_rcv_code,assorted_code, rec_amount,premium_rcv_detail_code,remaining_amt, payrec, mode_code,coinsurance_code,class_cd,it_remarks) values</v>
      </c>
      <c r="G732" s="53" t="str">
        <f t="shared" si="34"/>
        <v>('22Oct240201','040000182416','14960',(select max(to_number(i.premium_rcv_detail_code))+1
from ins_premium_det i),'14960','14960','02', '11000003','00','Request by Mr. Omair Ali 22-Oct-2024 allocation 22Oct240201');</v>
      </c>
      <c r="H732" s="54" t="str">
        <f t="shared" si="35"/>
        <v>insert into ins_premium_det (premium_rcv_code,assorted_code, rec_amount,premium_rcv_detail_code,remaining_amt, payrec, mode_code,coinsurance_code,class_cd,it_remarks) values('22Oct240201','040000182416','14960',(select max(to_number(i.premium_rcv_detail_code))+1
from ins_premium_det i),'14960','14960','02', '11000003','00','Request by Mr. Omair Ali 22-Oct-2024 allocation 22Oct240201');</v>
      </c>
    </row>
    <row r="733" spans="1:8" ht="105" x14ac:dyDescent="0.25">
      <c r="A733" t="s">
        <v>861</v>
      </c>
      <c r="B733" s="51" t="str">
        <f>VLOOKUP(A733,policy!B:C,2,0)</f>
        <v>040000182417</v>
      </c>
      <c r="C733" s="46">
        <v>14960</v>
      </c>
      <c r="D733" s="46">
        <v>14960</v>
      </c>
      <c r="E733" s="50" t="s">
        <v>3673</v>
      </c>
      <c r="F733" s="52" t="str">
        <f t="shared" si="33"/>
        <v>insert into ins_premium_det (premium_rcv_code,assorted_code, rec_amount,premium_rcv_detail_code,remaining_amt, payrec, mode_code,coinsurance_code,class_cd,it_remarks) values</v>
      </c>
      <c r="G733" s="53" t="str">
        <f t="shared" si="34"/>
        <v>('22Oct240201','040000182417','14960',(select max(to_number(i.premium_rcv_detail_code))+1
from ins_premium_det i),'14960','14960','02', '11000003','00','Request by Mr. Omair Ali 22-Oct-2024 allocation 22Oct240201');</v>
      </c>
      <c r="H733" s="54" t="str">
        <f t="shared" si="35"/>
        <v>insert into ins_premium_det (premium_rcv_code,assorted_code, rec_amount,premium_rcv_detail_code,remaining_amt, payrec, mode_code,coinsurance_code,class_cd,it_remarks) values('22Oct240201','040000182417','14960',(select max(to_number(i.premium_rcv_detail_code))+1
from ins_premium_det i),'14960','14960','02', '11000003','00','Request by Mr. Omair Ali 22-Oct-2024 allocation 22Oct240201');</v>
      </c>
    </row>
    <row r="734" spans="1:8" ht="105" x14ac:dyDescent="0.25">
      <c r="A734" t="s">
        <v>862</v>
      </c>
      <c r="B734" s="51" t="str">
        <f>VLOOKUP(A734,policy!B:C,2,0)</f>
        <v>040000182418</v>
      </c>
      <c r="C734" s="46">
        <v>14960</v>
      </c>
      <c r="D734" s="46">
        <v>14960</v>
      </c>
      <c r="E734" s="50" t="s">
        <v>3673</v>
      </c>
      <c r="F734" s="52" t="str">
        <f t="shared" si="33"/>
        <v>insert into ins_premium_det (premium_rcv_code,assorted_code, rec_amount,premium_rcv_detail_code,remaining_amt, payrec, mode_code,coinsurance_code,class_cd,it_remarks) values</v>
      </c>
      <c r="G734" s="53" t="str">
        <f t="shared" si="34"/>
        <v>('22Oct240201','040000182418','14960',(select max(to_number(i.premium_rcv_detail_code))+1
from ins_premium_det i),'14960','14960','02', '11000003','00','Request by Mr. Omair Ali 22-Oct-2024 allocation 22Oct240201');</v>
      </c>
      <c r="H734" s="54" t="str">
        <f t="shared" si="35"/>
        <v>insert into ins_premium_det (premium_rcv_code,assorted_code, rec_amount,premium_rcv_detail_code,remaining_amt, payrec, mode_code,coinsurance_code,class_cd,it_remarks) values('22Oct240201','040000182418','14960',(select max(to_number(i.premium_rcv_detail_code))+1
from ins_premium_det i),'14960','14960','02', '11000003','00','Request by Mr. Omair Ali 22-Oct-2024 allocation 22Oct240201');</v>
      </c>
    </row>
    <row r="735" spans="1:8" ht="105" x14ac:dyDescent="0.25">
      <c r="A735" t="s">
        <v>863</v>
      </c>
      <c r="B735" s="51" t="str">
        <f>VLOOKUP(A735,policy!B:C,2,0)</f>
        <v>040000182419</v>
      </c>
      <c r="C735" s="46">
        <v>8800</v>
      </c>
      <c r="D735" s="46">
        <v>8800</v>
      </c>
      <c r="E735" s="50" t="s">
        <v>3673</v>
      </c>
      <c r="F735" s="52" t="str">
        <f t="shared" si="33"/>
        <v>insert into ins_premium_det (premium_rcv_code,assorted_code, rec_amount,premium_rcv_detail_code,remaining_amt, payrec, mode_code,coinsurance_code,class_cd,it_remarks) values</v>
      </c>
      <c r="G735" s="53" t="str">
        <f t="shared" si="34"/>
        <v>('22Oct240201','040000182419','8800',(select max(to_number(i.premium_rcv_detail_code))+1
from ins_premium_det i),'8800','8800','02', '11000003','00','Request by Mr. Omair Ali 22-Oct-2024 allocation 22Oct240201');</v>
      </c>
      <c r="H735" s="54" t="str">
        <f t="shared" si="35"/>
        <v>insert into ins_premium_det (premium_rcv_code,assorted_code, rec_amount,premium_rcv_detail_code,remaining_amt, payrec, mode_code,coinsurance_code,class_cd,it_remarks) values('22Oct240201','040000182419','8800',(select max(to_number(i.premium_rcv_detail_code))+1
from ins_premium_det i),'8800','8800','02', '11000003','00','Request by Mr. Omair Ali 22-Oct-2024 allocation 22Oct240201');</v>
      </c>
    </row>
    <row r="736" spans="1:8" ht="105" x14ac:dyDescent="0.25">
      <c r="A736" t="s">
        <v>864</v>
      </c>
      <c r="B736" s="51" t="str">
        <f>VLOOKUP(A736,policy!B:C,2,0)</f>
        <v>040000182420</v>
      </c>
      <c r="C736" s="46">
        <v>8800</v>
      </c>
      <c r="D736" s="46">
        <v>8800</v>
      </c>
      <c r="E736" s="50" t="s">
        <v>3673</v>
      </c>
      <c r="F736" s="52" t="str">
        <f t="shared" si="33"/>
        <v>insert into ins_premium_det (premium_rcv_code,assorted_code, rec_amount,premium_rcv_detail_code,remaining_amt, payrec, mode_code,coinsurance_code,class_cd,it_remarks) values</v>
      </c>
      <c r="G736" s="53" t="str">
        <f t="shared" si="34"/>
        <v>('22Oct240201','040000182420','8800',(select max(to_number(i.premium_rcv_detail_code))+1
from ins_premium_det i),'8800','8800','02', '11000003','00','Request by Mr. Omair Ali 22-Oct-2024 allocation 22Oct240201');</v>
      </c>
      <c r="H736" s="54" t="str">
        <f t="shared" si="35"/>
        <v>insert into ins_premium_det (premium_rcv_code,assorted_code, rec_amount,premium_rcv_detail_code,remaining_amt, payrec, mode_code,coinsurance_code,class_cd,it_remarks) values('22Oct240201','040000182420','8800',(select max(to_number(i.premium_rcv_detail_code))+1
from ins_premium_det i),'8800','8800','02', '11000003','00','Request by Mr. Omair Ali 22-Oct-2024 allocation 22Oct240201');</v>
      </c>
    </row>
    <row r="737" spans="1:8" ht="105" x14ac:dyDescent="0.25">
      <c r="A737" t="s">
        <v>865</v>
      </c>
      <c r="B737" s="51" t="str">
        <f>VLOOKUP(A737,policy!B:C,2,0)</f>
        <v>040000182421</v>
      </c>
      <c r="C737" s="46">
        <v>12475</v>
      </c>
      <c r="D737" s="46">
        <v>12475</v>
      </c>
      <c r="E737" s="50" t="s">
        <v>3673</v>
      </c>
      <c r="F737" s="52" t="str">
        <f t="shared" si="33"/>
        <v>insert into ins_premium_det (premium_rcv_code,assorted_code, rec_amount,premium_rcv_detail_code,remaining_amt, payrec, mode_code,coinsurance_code,class_cd,it_remarks) values</v>
      </c>
      <c r="G737" s="53" t="str">
        <f t="shared" si="34"/>
        <v>('22Oct240201','040000182421','12475',(select max(to_number(i.premium_rcv_detail_code))+1
from ins_premium_det i),'12475','12475','02', '11000003','00','Request by Mr. Omair Ali 22-Oct-2024 allocation 22Oct240201');</v>
      </c>
      <c r="H737" s="54" t="str">
        <f t="shared" si="35"/>
        <v>insert into ins_premium_det (premium_rcv_code,assorted_code, rec_amount,premium_rcv_detail_code,remaining_amt, payrec, mode_code,coinsurance_code,class_cd,it_remarks) values('22Oct240201','040000182421','12475',(select max(to_number(i.premium_rcv_detail_code))+1
from ins_premium_det i),'12475','12475','02', '11000003','00','Request by Mr. Omair Ali 22-Oct-2024 allocation 22Oct240201');</v>
      </c>
    </row>
    <row r="738" spans="1:8" ht="105" x14ac:dyDescent="0.25">
      <c r="A738" t="s">
        <v>866</v>
      </c>
      <c r="B738" s="51" t="str">
        <f>VLOOKUP(A738,policy!B:C,2,0)</f>
        <v>040000182422</v>
      </c>
      <c r="C738" s="46">
        <v>14960</v>
      </c>
      <c r="D738" s="46">
        <v>14960</v>
      </c>
      <c r="E738" s="50" t="s">
        <v>3673</v>
      </c>
      <c r="F738" s="52" t="str">
        <f t="shared" si="33"/>
        <v>insert into ins_premium_det (premium_rcv_code,assorted_code, rec_amount,premium_rcv_detail_code,remaining_amt, payrec, mode_code,coinsurance_code,class_cd,it_remarks) values</v>
      </c>
      <c r="G738" s="53" t="str">
        <f t="shared" si="34"/>
        <v>('22Oct240201','040000182422','14960',(select max(to_number(i.premium_rcv_detail_code))+1
from ins_premium_det i),'14960','14960','02', '11000003','00','Request by Mr. Omair Ali 22-Oct-2024 allocation 22Oct240201');</v>
      </c>
      <c r="H738" s="54" t="str">
        <f t="shared" si="35"/>
        <v>insert into ins_premium_det (premium_rcv_code,assorted_code, rec_amount,premium_rcv_detail_code,remaining_amt, payrec, mode_code,coinsurance_code,class_cd,it_remarks) values('22Oct240201','040000182422','14960',(select max(to_number(i.premium_rcv_detail_code))+1
from ins_premium_det i),'14960','14960','02', '11000003','00','Request by Mr. Omair Ali 22-Oct-2024 allocation 22Oct240201');</v>
      </c>
    </row>
    <row r="739" spans="1:8" ht="105" x14ac:dyDescent="0.25">
      <c r="A739" t="s">
        <v>867</v>
      </c>
      <c r="B739" s="51" t="str">
        <f>VLOOKUP(A739,policy!B:C,2,0)</f>
        <v>040000182423</v>
      </c>
      <c r="C739" s="46">
        <v>14960</v>
      </c>
      <c r="D739" s="46">
        <v>14960</v>
      </c>
      <c r="E739" s="50" t="s">
        <v>3673</v>
      </c>
      <c r="F739" s="52" t="str">
        <f t="shared" si="33"/>
        <v>insert into ins_premium_det (premium_rcv_code,assorted_code, rec_amount,premium_rcv_detail_code,remaining_amt, payrec, mode_code,coinsurance_code,class_cd,it_remarks) values</v>
      </c>
      <c r="G739" s="53" t="str">
        <f t="shared" si="34"/>
        <v>('22Oct240201','040000182423','14960',(select max(to_number(i.premium_rcv_detail_code))+1
from ins_premium_det i),'14960','14960','02', '11000003','00','Request by Mr. Omair Ali 22-Oct-2024 allocation 22Oct240201');</v>
      </c>
      <c r="H739" s="54" t="str">
        <f t="shared" si="35"/>
        <v>insert into ins_premium_det (premium_rcv_code,assorted_code, rec_amount,premium_rcv_detail_code,remaining_amt, payrec, mode_code,coinsurance_code,class_cd,it_remarks) values('22Oct240201','040000182423','14960',(select max(to_number(i.premium_rcv_detail_code))+1
from ins_premium_det i),'14960','14960','02', '11000003','00','Request by Mr. Omair Ali 22-Oct-2024 allocation 22Oct240201');</v>
      </c>
    </row>
    <row r="740" spans="1:8" ht="105" x14ac:dyDescent="0.25">
      <c r="A740" t="s">
        <v>868</v>
      </c>
      <c r="B740" s="51" t="str">
        <f>VLOOKUP(A740,policy!B:C,2,0)</f>
        <v>040000182424</v>
      </c>
      <c r="C740" s="46">
        <v>8800</v>
      </c>
      <c r="D740" s="46">
        <v>8800</v>
      </c>
      <c r="E740" s="50" t="s">
        <v>3673</v>
      </c>
      <c r="F740" s="52" t="str">
        <f t="shared" si="33"/>
        <v>insert into ins_premium_det (premium_rcv_code,assorted_code, rec_amount,premium_rcv_detail_code,remaining_amt, payrec, mode_code,coinsurance_code,class_cd,it_remarks) values</v>
      </c>
      <c r="G740" s="53" t="str">
        <f t="shared" si="34"/>
        <v>('22Oct240201','040000182424','8800',(select max(to_number(i.premium_rcv_detail_code))+1
from ins_premium_det i),'8800','8800','02', '11000003','00','Request by Mr. Omair Ali 22-Oct-2024 allocation 22Oct240201');</v>
      </c>
      <c r="H740" s="54" t="str">
        <f t="shared" si="35"/>
        <v>insert into ins_premium_det (premium_rcv_code,assorted_code, rec_amount,premium_rcv_detail_code,remaining_amt, payrec, mode_code,coinsurance_code,class_cd,it_remarks) values('22Oct240201','040000182424','8800',(select max(to_number(i.premium_rcv_detail_code))+1
from ins_premium_det i),'8800','8800','02', '11000003','00','Request by Mr. Omair Ali 22-Oct-2024 allocation 22Oct240201');</v>
      </c>
    </row>
    <row r="741" spans="1:8" ht="105" x14ac:dyDescent="0.25">
      <c r="A741" t="s">
        <v>869</v>
      </c>
      <c r="B741" s="51" t="str">
        <f>VLOOKUP(A741,policy!B:C,2,0)</f>
        <v>040000182425</v>
      </c>
      <c r="C741" s="46">
        <v>8800</v>
      </c>
      <c r="D741" s="46">
        <v>8800</v>
      </c>
      <c r="E741" s="50" t="s">
        <v>3673</v>
      </c>
      <c r="F741" s="52" t="str">
        <f t="shared" si="33"/>
        <v>insert into ins_premium_det (premium_rcv_code,assorted_code, rec_amount,premium_rcv_detail_code,remaining_amt, payrec, mode_code,coinsurance_code,class_cd,it_remarks) values</v>
      </c>
      <c r="G741" s="53" t="str">
        <f t="shared" si="34"/>
        <v>('22Oct240201','040000182425','8800',(select max(to_number(i.premium_rcv_detail_code))+1
from ins_premium_det i),'8800','8800','02', '11000003','00','Request by Mr. Omair Ali 22-Oct-2024 allocation 22Oct240201');</v>
      </c>
      <c r="H741" s="54" t="str">
        <f t="shared" si="35"/>
        <v>insert into ins_premium_det (premium_rcv_code,assorted_code, rec_amount,premium_rcv_detail_code,remaining_amt, payrec, mode_code,coinsurance_code,class_cd,it_remarks) values('22Oct240201','040000182425','8800',(select max(to_number(i.premium_rcv_detail_code))+1
from ins_premium_det i),'8800','8800','02', '11000003','00','Request by Mr. Omair Ali 22-Oct-2024 allocation 22Oct240201');</v>
      </c>
    </row>
    <row r="742" spans="1:8" ht="105" x14ac:dyDescent="0.25">
      <c r="A742" t="s">
        <v>870</v>
      </c>
      <c r="B742" s="51" t="str">
        <f>VLOOKUP(A742,policy!B:C,2,0)</f>
        <v>040000182427</v>
      </c>
      <c r="C742" s="46">
        <v>14960</v>
      </c>
      <c r="D742" s="46">
        <v>14960</v>
      </c>
      <c r="E742" s="50" t="s">
        <v>3673</v>
      </c>
      <c r="F742" s="52" t="str">
        <f t="shared" si="33"/>
        <v>insert into ins_premium_det (premium_rcv_code,assorted_code, rec_amount,premium_rcv_detail_code,remaining_amt, payrec, mode_code,coinsurance_code,class_cd,it_remarks) values</v>
      </c>
      <c r="G742" s="53" t="str">
        <f t="shared" si="34"/>
        <v>('22Oct240201','040000182427','14960',(select max(to_number(i.premium_rcv_detail_code))+1
from ins_premium_det i),'14960','14960','02', '11000003','00','Request by Mr. Omair Ali 22-Oct-2024 allocation 22Oct240201');</v>
      </c>
      <c r="H742" s="54" t="str">
        <f t="shared" si="35"/>
        <v>insert into ins_premium_det (premium_rcv_code,assorted_code, rec_amount,premium_rcv_detail_code,remaining_amt, payrec, mode_code,coinsurance_code,class_cd,it_remarks) values('22Oct240201','040000182427','14960',(select max(to_number(i.premium_rcv_detail_code))+1
from ins_premium_det i),'14960','14960','02', '11000003','00','Request by Mr. Omair Ali 22-Oct-2024 allocation 22Oct240201');</v>
      </c>
    </row>
    <row r="743" spans="1:8" ht="105" x14ac:dyDescent="0.25">
      <c r="A743" t="s">
        <v>871</v>
      </c>
      <c r="B743" s="51" t="str">
        <f>VLOOKUP(A743,policy!B:C,2,0)</f>
        <v>040000182428</v>
      </c>
      <c r="C743" s="46">
        <v>14960</v>
      </c>
      <c r="D743" s="46">
        <v>14960</v>
      </c>
      <c r="E743" s="50" t="s">
        <v>3673</v>
      </c>
      <c r="F743" s="52" t="str">
        <f t="shared" si="33"/>
        <v>insert into ins_premium_det (premium_rcv_code,assorted_code, rec_amount,premium_rcv_detail_code,remaining_amt, payrec, mode_code,coinsurance_code,class_cd,it_remarks) values</v>
      </c>
      <c r="G743" s="53" t="str">
        <f t="shared" si="34"/>
        <v>('22Oct240201','040000182428','14960',(select max(to_number(i.premium_rcv_detail_code))+1
from ins_premium_det i),'14960','14960','02', '11000003','00','Request by Mr. Omair Ali 22-Oct-2024 allocation 22Oct240201');</v>
      </c>
      <c r="H743" s="54" t="str">
        <f t="shared" si="35"/>
        <v>insert into ins_premium_det (premium_rcv_code,assorted_code, rec_amount,premium_rcv_detail_code,remaining_amt, payrec, mode_code,coinsurance_code,class_cd,it_remarks) values('22Oct240201','040000182428','14960',(select max(to_number(i.premium_rcv_detail_code))+1
from ins_premium_det i),'14960','14960','02', '11000003','00','Request by Mr. Omair Ali 22-Oct-2024 allocation 22Oct240201');</v>
      </c>
    </row>
    <row r="744" spans="1:8" ht="105" x14ac:dyDescent="0.25">
      <c r="A744" t="s">
        <v>872</v>
      </c>
      <c r="B744" s="51" t="str">
        <f>VLOOKUP(A744,policy!B:C,2,0)</f>
        <v>040000182429</v>
      </c>
      <c r="C744" s="46">
        <v>8800</v>
      </c>
      <c r="D744" s="46">
        <v>8800</v>
      </c>
      <c r="E744" s="50" t="s">
        <v>3673</v>
      </c>
      <c r="F744" s="52" t="str">
        <f t="shared" si="33"/>
        <v>insert into ins_premium_det (premium_rcv_code,assorted_code, rec_amount,premium_rcv_detail_code,remaining_amt, payrec, mode_code,coinsurance_code,class_cd,it_remarks) values</v>
      </c>
      <c r="G744" s="53" t="str">
        <f t="shared" si="34"/>
        <v>('22Oct240201','040000182429','8800',(select max(to_number(i.premium_rcv_detail_code))+1
from ins_premium_det i),'8800','8800','02', '11000003','00','Request by Mr. Omair Ali 22-Oct-2024 allocation 22Oct240201');</v>
      </c>
      <c r="H744" s="54" t="str">
        <f t="shared" si="35"/>
        <v>insert into ins_premium_det (premium_rcv_code,assorted_code, rec_amount,premium_rcv_detail_code,remaining_amt, payrec, mode_code,coinsurance_code,class_cd,it_remarks) values('22Oct240201','040000182429','8800',(select max(to_number(i.premium_rcv_detail_code))+1
from ins_premium_det i),'8800','8800','02', '11000003','00','Request by Mr. Omair Ali 22-Oct-2024 allocation 22Oct240201');</v>
      </c>
    </row>
    <row r="745" spans="1:8" ht="105" x14ac:dyDescent="0.25">
      <c r="A745" t="s">
        <v>873</v>
      </c>
      <c r="B745" s="51" t="str">
        <f>VLOOKUP(A745,policy!B:C,2,0)</f>
        <v>040000182430</v>
      </c>
      <c r="C745" s="46">
        <v>8800</v>
      </c>
      <c r="D745" s="46">
        <v>8800</v>
      </c>
      <c r="E745" s="50" t="s">
        <v>3673</v>
      </c>
      <c r="F745" s="52" t="str">
        <f t="shared" si="33"/>
        <v>insert into ins_premium_det (premium_rcv_code,assorted_code, rec_amount,premium_rcv_detail_code,remaining_amt, payrec, mode_code,coinsurance_code,class_cd,it_remarks) values</v>
      </c>
      <c r="G745" s="53" t="str">
        <f t="shared" si="34"/>
        <v>('22Oct240201','040000182430','8800',(select max(to_number(i.premium_rcv_detail_code))+1
from ins_premium_det i),'8800','8800','02', '11000003','00','Request by Mr. Omair Ali 22-Oct-2024 allocation 22Oct240201');</v>
      </c>
      <c r="H745" s="54" t="str">
        <f t="shared" si="35"/>
        <v>insert into ins_premium_det (premium_rcv_code,assorted_code, rec_amount,premium_rcv_detail_code,remaining_amt, payrec, mode_code,coinsurance_code,class_cd,it_remarks) values('22Oct240201','040000182430','8800',(select max(to_number(i.premium_rcv_detail_code))+1
from ins_premium_det i),'8800','8800','02', '11000003','00','Request by Mr. Omair Ali 22-Oct-2024 allocation 22Oct240201');</v>
      </c>
    </row>
    <row r="746" spans="1:8" ht="105" x14ac:dyDescent="0.25">
      <c r="A746" t="s">
        <v>874</v>
      </c>
      <c r="B746" s="51" t="str">
        <f>VLOOKUP(A746,policy!B:C,2,0)</f>
        <v>040000182431</v>
      </c>
      <c r="C746" s="46">
        <v>8800</v>
      </c>
      <c r="D746" s="46">
        <v>8800</v>
      </c>
      <c r="E746" s="50" t="s">
        <v>3673</v>
      </c>
      <c r="F746" s="52" t="str">
        <f t="shared" si="33"/>
        <v>insert into ins_premium_det (premium_rcv_code,assorted_code, rec_amount,premium_rcv_detail_code,remaining_amt, payrec, mode_code,coinsurance_code,class_cd,it_remarks) values</v>
      </c>
      <c r="G746" s="53" t="str">
        <f t="shared" si="34"/>
        <v>('22Oct240201','040000182431','8800',(select max(to_number(i.premium_rcv_detail_code))+1
from ins_premium_det i),'8800','8800','02', '11000003','00','Request by Mr. Omair Ali 22-Oct-2024 allocation 22Oct240201');</v>
      </c>
      <c r="H746" s="54" t="str">
        <f t="shared" si="35"/>
        <v>insert into ins_premium_det (premium_rcv_code,assorted_code, rec_amount,premium_rcv_detail_code,remaining_amt, payrec, mode_code,coinsurance_code,class_cd,it_remarks) values('22Oct240201','040000182431','8800',(select max(to_number(i.premium_rcv_detail_code))+1
from ins_premium_det i),'8800','8800','02', '11000003','00','Request by Mr. Omair Ali 22-Oct-2024 allocation 22Oct240201');</v>
      </c>
    </row>
    <row r="747" spans="1:8" ht="105" x14ac:dyDescent="0.25">
      <c r="A747" t="s">
        <v>875</v>
      </c>
      <c r="B747" s="51" t="str">
        <f>VLOOKUP(A747,policy!B:C,2,0)</f>
        <v>040000182432</v>
      </c>
      <c r="C747" s="46">
        <v>8800</v>
      </c>
      <c r="D747" s="46">
        <v>8800</v>
      </c>
      <c r="E747" s="50" t="s">
        <v>3673</v>
      </c>
      <c r="F747" s="52" t="str">
        <f t="shared" si="33"/>
        <v>insert into ins_premium_det (premium_rcv_code,assorted_code, rec_amount,premium_rcv_detail_code,remaining_amt, payrec, mode_code,coinsurance_code,class_cd,it_remarks) values</v>
      </c>
      <c r="G747" s="53" t="str">
        <f t="shared" si="34"/>
        <v>('22Oct240201','040000182432','8800',(select max(to_number(i.premium_rcv_detail_code))+1
from ins_premium_det i),'8800','8800','02', '11000003','00','Request by Mr. Omair Ali 22-Oct-2024 allocation 22Oct240201');</v>
      </c>
      <c r="H747" s="54" t="str">
        <f t="shared" si="35"/>
        <v>insert into ins_premium_det (premium_rcv_code,assorted_code, rec_amount,premium_rcv_detail_code,remaining_amt, payrec, mode_code,coinsurance_code,class_cd,it_remarks) values('22Oct240201','040000182432','8800',(select max(to_number(i.premium_rcv_detail_code))+1
from ins_premium_det i),'8800','8800','02', '11000003','00','Request by Mr. Omair Ali 22-Oct-2024 allocation 22Oct240201');</v>
      </c>
    </row>
    <row r="748" spans="1:8" ht="105" x14ac:dyDescent="0.25">
      <c r="A748" t="s">
        <v>876</v>
      </c>
      <c r="B748" s="51" t="str">
        <f>VLOOKUP(A748,policy!B:C,2,0)</f>
        <v>040000182433</v>
      </c>
      <c r="C748" s="46">
        <v>8800</v>
      </c>
      <c r="D748" s="46">
        <v>8800</v>
      </c>
      <c r="E748" s="50" t="s">
        <v>3673</v>
      </c>
      <c r="F748" s="52" t="str">
        <f t="shared" si="33"/>
        <v>insert into ins_premium_det (premium_rcv_code,assorted_code, rec_amount,premium_rcv_detail_code,remaining_amt, payrec, mode_code,coinsurance_code,class_cd,it_remarks) values</v>
      </c>
      <c r="G748" s="53" t="str">
        <f t="shared" si="34"/>
        <v>('22Oct240201','040000182433','8800',(select max(to_number(i.premium_rcv_detail_code))+1
from ins_premium_det i),'8800','8800','02', '11000003','00','Request by Mr. Omair Ali 22-Oct-2024 allocation 22Oct240201');</v>
      </c>
      <c r="H748" s="54" t="str">
        <f t="shared" si="35"/>
        <v>insert into ins_premium_det (premium_rcv_code,assorted_code, rec_amount,premium_rcv_detail_code,remaining_amt, payrec, mode_code,coinsurance_code,class_cd,it_remarks) values('22Oct240201','040000182433','8800',(select max(to_number(i.premium_rcv_detail_code))+1
from ins_premium_det i),'8800','8800','02', '11000003','00','Request by Mr. Omair Ali 22-Oct-2024 allocation 22Oct240201');</v>
      </c>
    </row>
    <row r="749" spans="1:8" ht="105" x14ac:dyDescent="0.25">
      <c r="A749" t="s">
        <v>877</v>
      </c>
      <c r="B749" s="51" t="str">
        <f>VLOOKUP(A749,policy!B:C,2,0)</f>
        <v>040000182434</v>
      </c>
      <c r="C749" s="46">
        <v>13675</v>
      </c>
      <c r="D749" s="46">
        <v>13675</v>
      </c>
      <c r="E749" s="50" t="s">
        <v>3673</v>
      </c>
      <c r="F749" s="52" t="str">
        <f t="shared" si="33"/>
        <v>insert into ins_premium_det (premium_rcv_code,assorted_code, rec_amount,premium_rcv_detail_code,remaining_amt, payrec, mode_code,coinsurance_code,class_cd,it_remarks) values</v>
      </c>
      <c r="G749" s="53" t="str">
        <f t="shared" si="34"/>
        <v>('22Oct240201','040000182434','13675',(select max(to_number(i.premium_rcv_detail_code))+1
from ins_premium_det i),'13675','13675','02', '11000003','00','Request by Mr. Omair Ali 22-Oct-2024 allocation 22Oct240201');</v>
      </c>
      <c r="H749" s="54" t="str">
        <f t="shared" si="35"/>
        <v>insert into ins_premium_det (premium_rcv_code,assorted_code, rec_amount,premium_rcv_detail_code,remaining_amt, payrec, mode_code,coinsurance_code,class_cd,it_remarks) values('22Oct240201','040000182434','13675',(select max(to_number(i.premium_rcv_detail_code))+1
from ins_premium_det i),'13675','13675','02', '11000003','00','Request by Mr. Omair Ali 22-Oct-2024 allocation 22Oct240201');</v>
      </c>
    </row>
    <row r="750" spans="1:8" ht="105" x14ac:dyDescent="0.25">
      <c r="A750" t="s">
        <v>878</v>
      </c>
      <c r="B750" s="51" t="str">
        <f>VLOOKUP(A750,policy!B:C,2,0)</f>
        <v>040000182435</v>
      </c>
      <c r="C750" s="46">
        <v>13675</v>
      </c>
      <c r="D750" s="46">
        <v>13675</v>
      </c>
      <c r="E750" s="50" t="s">
        <v>3673</v>
      </c>
      <c r="F750" s="52" t="str">
        <f t="shared" si="33"/>
        <v>insert into ins_premium_det (premium_rcv_code,assorted_code, rec_amount,premium_rcv_detail_code,remaining_amt, payrec, mode_code,coinsurance_code,class_cd,it_remarks) values</v>
      </c>
      <c r="G750" s="53" t="str">
        <f t="shared" si="34"/>
        <v>('22Oct240201','040000182435','13675',(select max(to_number(i.premium_rcv_detail_code))+1
from ins_premium_det i),'13675','13675','02', '11000003','00','Request by Mr. Omair Ali 22-Oct-2024 allocation 22Oct240201');</v>
      </c>
      <c r="H750" s="54" t="str">
        <f t="shared" si="35"/>
        <v>insert into ins_premium_det (premium_rcv_code,assorted_code, rec_amount,premium_rcv_detail_code,remaining_amt, payrec, mode_code,coinsurance_code,class_cd,it_remarks) values('22Oct240201','040000182435','13675',(select max(to_number(i.premium_rcv_detail_code))+1
from ins_premium_det i),'13675','13675','02', '11000003','00','Request by Mr. Omair Ali 22-Oct-2024 allocation 22Oct240201');</v>
      </c>
    </row>
    <row r="751" spans="1:8" ht="105" x14ac:dyDescent="0.25">
      <c r="A751" t="s">
        <v>879</v>
      </c>
      <c r="B751" s="51" t="str">
        <f>VLOOKUP(A751,policy!B:C,2,0)</f>
        <v>040000182436</v>
      </c>
      <c r="C751" s="46">
        <v>8800</v>
      </c>
      <c r="D751" s="46">
        <v>8800</v>
      </c>
      <c r="E751" s="50" t="s">
        <v>3673</v>
      </c>
      <c r="F751" s="52" t="str">
        <f t="shared" si="33"/>
        <v>insert into ins_premium_det (premium_rcv_code,assorted_code, rec_amount,premium_rcv_detail_code,remaining_amt, payrec, mode_code,coinsurance_code,class_cd,it_remarks) values</v>
      </c>
      <c r="G751" s="53" t="str">
        <f t="shared" si="34"/>
        <v>('22Oct240201','040000182436','8800',(select max(to_number(i.premium_rcv_detail_code))+1
from ins_premium_det i),'8800','8800','02', '11000003','00','Request by Mr. Omair Ali 22-Oct-2024 allocation 22Oct240201');</v>
      </c>
      <c r="H751" s="54" t="str">
        <f t="shared" si="35"/>
        <v>insert into ins_premium_det (premium_rcv_code,assorted_code, rec_amount,premium_rcv_detail_code,remaining_amt, payrec, mode_code,coinsurance_code,class_cd,it_remarks) values('22Oct240201','040000182436','8800',(select max(to_number(i.premium_rcv_detail_code))+1
from ins_premium_det i),'8800','8800','02', '11000003','00','Request by Mr. Omair Ali 22-Oct-2024 allocation 22Oct240201');</v>
      </c>
    </row>
    <row r="752" spans="1:8" ht="105" x14ac:dyDescent="0.25">
      <c r="A752" t="s">
        <v>880</v>
      </c>
      <c r="B752" s="51" t="str">
        <f>VLOOKUP(A752,policy!B:C,2,0)</f>
        <v>040000182437</v>
      </c>
      <c r="C752" s="46">
        <v>9550</v>
      </c>
      <c r="D752" s="46">
        <v>9550</v>
      </c>
      <c r="E752" s="50" t="s">
        <v>3673</v>
      </c>
      <c r="F752" s="52" t="str">
        <f t="shared" si="33"/>
        <v>insert into ins_premium_det (premium_rcv_code,assorted_code, rec_amount,premium_rcv_detail_code,remaining_amt, payrec, mode_code,coinsurance_code,class_cd,it_remarks) values</v>
      </c>
      <c r="G752" s="53" t="str">
        <f t="shared" si="34"/>
        <v>('22Oct240201','040000182437','9550',(select max(to_number(i.premium_rcv_detail_code))+1
from ins_premium_det i),'9550','9550','02', '11000003','00','Request by Mr. Omair Ali 22-Oct-2024 allocation 22Oct240201');</v>
      </c>
      <c r="H752" s="54" t="str">
        <f t="shared" si="35"/>
        <v>insert into ins_premium_det (premium_rcv_code,assorted_code, rec_amount,premium_rcv_detail_code,remaining_amt, payrec, mode_code,coinsurance_code,class_cd,it_remarks) values('22Oct240201','040000182437','9550',(select max(to_number(i.premium_rcv_detail_code))+1
from ins_premium_det i),'9550','9550','02', '11000003','00','Request by Mr. Omair Ali 22-Oct-2024 allocation 22Oct240201');</v>
      </c>
    </row>
    <row r="753" spans="1:8" ht="105" x14ac:dyDescent="0.25">
      <c r="A753" t="s">
        <v>881</v>
      </c>
      <c r="B753" s="51" t="str">
        <f>VLOOKUP(A753,policy!B:C,2,0)</f>
        <v>040000182439</v>
      </c>
      <c r="C753" s="46">
        <v>14960</v>
      </c>
      <c r="D753" s="46">
        <v>14960</v>
      </c>
      <c r="E753" s="50" t="s">
        <v>3673</v>
      </c>
      <c r="F753" s="52" t="str">
        <f t="shared" si="33"/>
        <v>insert into ins_premium_det (premium_rcv_code,assorted_code, rec_amount,premium_rcv_detail_code,remaining_amt, payrec, mode_code,coinsurance_code,class_cd,it_remarks) values</v>
      </c>
      <c r="G753" s="53" t="str">
        <f t="shared" si="34"/>
        <v>('22Oct240201','040000182439','14960',(select max(to_number(i.premium_rcv_detail_code))+1
from ins_premium_det i),'14960','14960','02', '11000003','00','Request by Mr. Omair Ali 22-Oct-2024 allocation 22Oct240201');</v>
      </c>
      <c r="H753" s="54" t="str">
        <f t="shared" si="35"/>
        <v>insert into ins_premium_det (premium_rcv_code,assorted_code, rec_amount,premium_rcv_detail_code,remaining_amt, payrec, mode_code,coinsurance_code,class_cd,it_remarks) values('22Oct240201','040000182439','14960',(select max(to_number(i.premium_rcv_detail_code))+1
from ins_premium_det i),'14960','14960','02', '11000003','00','Request by Mr. Omair Ali 22-Oct-2024 allocation 22Oct240201');</v>
      </c>
    </row>
    <row r="754" spans="1:8" ht="105" x14ac:dyDescent="0.25">
      <c r="A754" t="s">
        <v>882</v>
      </c>
      <c r="B754" s="51" t="str">
        <f>VLOOKUP(A754,policy!B:C,2,0)</f>
        <v>040000182440</v>
      </c>
      <c r="C754" s="46">
        <v>14960</v>
      </c>
      <c r="D754" s="46">
        <v>14960</v>
      </c>
      <c r="E754" s="50" t="s">
        <v>3673</v>
      </c>
      <c r="F754" s="52" t="str">
        <f t="shared" si="33"/>
        <v>insert into ins_premium_det (premium_rcv_code,assorted_code, rec_amount,premium_rcv_detail_code,remaining_amt, payrec, mode_code,coinsurance_code,class_cd,it_remarks) values</v>
      </c>
      <c r="G754" s="53" t="str">
        <f t="shared" si="34"/>
        <v>('22Oct240201','040000182440','14960',(select max(to_number(i.premium_rcv_detail_code))+1
from ins_premium_det i),'14960','14960','02', '11000003','00','Request by Mr. Omair Ali 22-Oct-2024 allocation 22Oct240201');</v>
      </c>
      <c r="H754" s="54" t="str">
        <f t="shared" si="35"/>
        <v>insert into ins_premium_det (premium_rcv_code,assorted_code, rec_amount,premium_rcv_detail_code,remaining_amt, payrec, mode_code,coinsurance_code,class_cd,it_remarks) values('22Oct240201','040000182440','14960',(select max(to_number(i.premium_rcv_detail_code))+1
from ins_premium_det i),'14960','14960','02', '11000003','00','Request by Mr. Omair Ali 22-Oct-2024 allocation 22Oct240201');</v>
      </c>
    </row>
    <row r="755" spans="1:8" ht="105" x14ac:dyDescent="0.25">
      <c r="A755" t="s">
        <v>883</v>
      </c>
      <c r="B755" s="51" t="str">
        <f>VLOOKUP(A755,policy!B:C,2,0)</f>
        <v>040000182441</v>
      </c>
      <c r="C755" s="46">
        <v>8800</v>
      </c>
      <c r="D755" s="46">
        <v>8800</v>
      </c>
      <c r="E755" s="50" t="s">
        <v>3673</v>
      </c>
      <c r="F755" s="52" t="str">
        <f t="shared" si="33"/>
        <v>insert into ins_premium_det (premium_rcv_code,assorted_code, rec_amount,premium_rcv_detail_code,remaining_amt, payrec, mode_code,coinsurance_code,class_cd,it_remarks) values</v>
      </c>
      <c r="G755" s="53" t="str">
        <f t="shared" si="34"/>
        <v>('22Oct240201','040000182441','8800',(select max(to_number(i.premium_rcv_detail_code))+1
from ins_premium_det i),'8800','8800','02', '11000003','00','Request by Mr. Omair Ali 22-Oct-2024 allocation 22Oct240201');</v>
      </c>
      <c r="H755" s="54" t="str">
        <f t="shared" si="35"/>
        <v>insert into ins_premium_det (premium_rcv_code,assorted_code, rec_amount,premium_rcv_detail_code,remaining_amt, payrec, mode_code,coinsurance_code,class_cd,it_remarks) values('22Oct240201','040000182441','8800',(select max(to_number(i.premium_rcv_detail_code))+1
from ins_premium_det i),'8800','8800','02', '11000003','00','Request by Mr. Omair Ali 22-Oct-2024 allocation 22Oct240201');</v>
      </c>
    </row>
    <row r="756" spans="1:8" ht="105" x14ac:dyDescent="0.25">
      <c r="A756" t="s">
        <v>884</v>
      </c>
      <c r="B756" s="51" t="str">
        <f>VLOOKUP(A756,policy!B:C,2,0)</f>
        <v>040000182442</v>
      </c>
      <c r="C756" s="46">
        <v>8800</v>
      </c>
      <c r="D756" s="46">
        <v>8800</v>
      </c>
      <c r="E756" s="50" t="s">
        <v>3673</v>
      </c>
      <c r="F756" s="52" t="str">
        <f t="shared" si="33"/>
        <v>insert into ins_premium_det (premium_rcv_code,assorted_code, rec_amount,premium_rcv_detail_code,remaining_amt, payrec, mode_code,coinsurance_code,class_cd,it_remarks) values</v>
      </c>
      <c r="G756" s="53" t="str">
        <f t="shared" si="34"/>
        <v>('22Oct240201','040000182442','8800',(select max(to_number(i.premium_rcv_detail_code))+1
from ins_premium_det i),'8800','8800','02', '11000003','00','Request by Mr. Omair Ali 22-Oct-2024 allocation 22Oct240201');</v>
      </c>
      <c r="H756" s="54" t="str">
        <f t="shared" si="35"/>
        <v>insert into ins_premium_det (premium_rcv_code,assorted_code, rec_amount,premium_rcv_detail_code,remaining_amt, payrec, mode_code,coinsurance_code,class_cd,it_remarks) values('22Oct240201','040000182442','8800',(select max(to_number(i.premium_rcv_detail_code))+1
from ins_premium_det i),'8800','8800','02', '11000003','00','Request by Mr. Omair Ali 22-Oct-2024 allocation 22Oct240201');</v>
      </c>
    </row>
    <row r="757" spans="1:8" ht="105" x14ac:dyDescent="0.25">
      <c r="A757" t="s">
        <v>885</v>
      </c>
      <c r="B757" s="51" t="str">
        <f>VLOOKUP(A757,policy!B:C,2,0)</f>
        <v>040000182443</v>
      </c>
      <c r="C757" s="46">
        <v>23248</v>
      </c>
      <c r="D757" s="46">
        <v>23248</v>
      </c>
      <c r="E757" s="50" t="s">
        <v>3673</v>
      </c>
      <c r="F757" s="52" t="str">
        <f t="shared" si="33"/>
        <v>insert into ins_premium_det (premium_rcv_code,assorted_code, rec_amount,premium_rcv_detail_code,remaining_amt, payrec, mode_code,coinsurance_code,class_cd,it_remarks) values</v>
      </c>
      <c r="G757" s="53" t="str">
        <f t="shared" si="34"/>
        <v>('22Oct240201','040000182443','23248',(select max(to_number(i.premium_rcv_detail_code))+1
from ins_premium_det i),'23248','23248','02', '11000003','00','Request by Mr. Omair Ali 22-Oct-2024 allocation 22Oct240201');</v>
      </c>
      <c r="H757" s="54" t="str">
        <f t="shared" si="35"/>
        <v>insert into ins_premium_det (premium_rcv_code,assorted_code, rec_amount,premium_rcv_detail_code,remaining_amt, payrec, mode_code,coinsurance_code,class_cd,it_remarks) values('22Oct240201','040000182443','23248',(select max(to_number(i.premium_rcv_detail_code))+1
from ins_premium_det i),'23248','23248','02', '11000003','00','Request by Mr. Omair Ali 22-Oct-2024 allocation 22Oct240201');</v>
      </c>
    </row>
    <row r="758" spans="1:8" ht="105" x14ac:dyDescent="0.25">
      <c r="A758" t="s">
        <v>886</v>
      </c>
      <c r="B758" s="51" t="str">
        <f>VLOOKUP(A758,policy!B:C,2,0)</f>
        <v>040000182444</v>
      </c>
      <c r="C758" s="46">
        <v>8800</v>
      </c>
      <c r="D758" s="46">
        <v>8800</v>
      </c>
      <c r="E758" s="50" t="s">
        <v>3673</v>
      </c>
      <c r="F758" s="52" t="str">
        <f t="shared" si="33"/>
        <v>insert into ins_premium_det (premium_rcv_code,assorted_code, rec_amount,premium_rcv_detail_code,remaining_amt, payrec, mode_code,coinsurance_code,class_cd,it_remarks) values</v>
      </c>
      <c r="G758" s="53" t="str">
        <f t="shared" si="34"/>
        <v>('22Oct240201','040000182444','8800',(select max(to_number(i.premium_rcv_detail_code))+1
from ins_premium_det i),'8800','8800','02', '11000003','00','Request by Mr. Omair Ali 22-Oct-2024 allocation 22Oct240201');</v>
      </c>
      <c r="H758" s="54" t="str">
        <f t="shared" si="35"/>
        <v>insert into ins_premium_det (premium_rcv_code,assorted_code, rec_amount,premium_rcv_detail_code,remaining_amt, payrec, mode_code,coinsurance_code,class_cd,it_remarks) values('22Oct240201','040000182444','8800',(select max(to_number(i.premium_rcv_detail_code))+1
from ins_premium_det i),'8800','8800','02', '11000003','00','Request by Mr. Omair Ali 22-Oct-2024 allocation 22Oct240201');</v>
      </c>
    </row>
    <row r="759" spans="1:8" ht="105" x14ac:dyDescent="0.25">
      <c r="A759" t="s">
        <v>887</v>
      </c>
      <c r="B759" s="51" t="str">
        <f>VLOOKUP(A759,policy!B:C,2,0)</f>
        <v>040000182445</v>
      </c>
      <c r="C759" s="46">
        <v>23248</v>
      </c>
      <c r="D759" s="46">
        <v>23248</v>
      </c>
      <c r="E759" s="50" t="s">
        <v>3673</v>
      </c>
      <c r="F759" s="52" t="str">
        <f t="shared" si="33"/>
        <v>insert into ins_premium_det (premium_rcv_code,assorted_code, rec_amount,premium_rcv_detail_code,remaining_amt, payrec, mode_code,coinsurance_code,class_cd,it_remarks) values</v>
      </c>
      <c r="G759" s="53" t="str">
        <f t="shared" si="34"/>
        <v>('22Oct240201','040000182445','23248',(select max(to_number(i.premium_rcv_detail_code))+1
from ins_premium_det i),'23248','23248','02', '11000003','00','Request by Mr. Omair Ali 22-Oct-2024 allocation 22Oct240201');</v>
      </c>
      <c r="H759" s="54" t="str">
        <f t="shared" si="35"/>
        <v>insert into ins_premium_det (premium_rcv_code,assorted_code, rec_amount,premium_rcv_detail_code,remaining_amt, payrec, mode_code,coinsurance_code,class_cd,it_remarks) values('22Oct240201','040000182445','23248',(select max(to_number(i.premium_rcv_detail_code))+1
from ins_premium_det i),'23248','23248','02', '11000003','00','Request by Mr. Omair Ali 22-Oct-2024 allocation 22Oct240201');</v>
      </c>
    </row>
    <row r="760" spans="1:8" ht="105" x14ac:dyDescent="0.25">
      <c r="A760" t="s">
        <v>888</v>
      </c>
      <c r="B760" s="51" t="str">
        <f>VLOOKUP(A760,policy!B:C,2,0)</f>
        <v>040000182446</v>
      </c>
      <c r="C760" s="46">
        <v>14960</v>
      </c>
      <c r="D760" s="46">
        <v>14960</v>
      </c>
      <c r="E760" s="50" t="s">
        <v>3673</v>
      </c>
      <c r="F760" s="52" t="str">
        <f t="shared" si="33"/>
        <v>insert into ins_premium_det (premium_rcv_code,assorted_code, rec_amount,premium_rcv_detail_code,remaining_amt, payrec, mode_code,coinsurance_code,class_cd,it_remarks) values</v>
      </c>
      <c r="G760" s="53" t="str">
        <f t="shared" si="34"/>
        <v>('22Oct240201','040000182446','14960',(select max(to_number(i.premium_rcv_detail_code))+1
from ins_premium_det i),'14960','14960','02', '11000003','00','Request by Mr. Omair Ali 22-Oct-2024 allocation 22Oct240201');</v>
      </c>
      <c r="H760" s="54" t="str">
        <f t="shared" si="35"/>
        <v>insert into ins_premium_det (premium_rcv_code,assorted_code, rec_amount,premium_rcv_detail_code,remaining_amt, payrec, mode_code,coinsurance_code,class_cd,it_remarks) values('22Oct240201','040000182446','14960',(select max(to_number(i.premium_rcv_detail_code))+1
from ins_premium_det i),'14960','14960','02', '11000003','00','Request by Mr. Omair Ali 22-Oct-2024 allocation 22Oct240201');</v>
      </c>
    </row>
    <row r="761" spans="1:8" ht="105" x14ac:dyDescent="0.25">
      <c r="A761" t="s">
        <v>889</v>
      </c>
      <c r="B761" s="51" t="str">
        <f>VLOOKUP(A761,policy!B:C,2,0)</f>
        <v>040000182447</v>
      </c>
      <c r="C761" s="46">
        <v>21208</v>
      </c>
      <c r="D761" s="46">
        <v>21208</v>
      </c>
      <c r="E761" s="50" t="s">
        <v>3673</v>
      </c>
      <c r="F761" s="52" t="str">
        <f t="shared" si="33"/>
        <v>insert into ins_premium_det (premium_rcv_code,assorted_code, rec_amount,premium_rcv_detail_code,remaining_amt, payrec, mode_code,coinsurance_code,class_cd,it_remarks) values</v>
      </c>
      <c r="G761" s="53" t="str">
        <f t="shared" si="34"/>
        <v>('22Oct240201','040000182447','21208',(select max(to_number(i.premium_rcv_detail_code))+1
from ins_premium_det i),'21208','21208','02', '11000003','00','Request by Mr. Omair Ali 22-Oct-2024 allocation 22Oct240201');</v>
      </c>
      <c r="H761" s="54" t="str">
        <f t="shared" si="35"/>
        <v>insert into ins_premium_det (premium_rcv_code,assorted_code, rec_amount,premium_rcv_detail_code,remaining_amt, payrec, mode_code,coinsurance_code,class_cd,it_remarks) values('22Oct240201','040000182447','21208',(select max(to_number(i.premium_rcv_detail_code))+1
from ins_premium_det i),'21208','21208','02', '11000003','00','Request by Mr. Omair Ali 22-Oct-2024 allocation 22Oct240201');</v>
      </c>
    </row>
    <row r="762" spans="1:8" ht="105" x14ac:dyDescent="0.25">
      <c r="A762" t="s">
        <v>890</v>
      </c>
      <c r="B762" s="51" t="str">
        <f>VLOOKUP(A762,policy!B:C,2,0)</f>
        <v>040000182448</v>
      </c>
      <c r="C762" s="46">
        <v>14960</v>
      </c>
      <c r="D762" s="46">
        <v>14960</v>
      </c>
      <c r="E762" s="50" t="s">
        <v>3673</v>
      </c>
      <c r="F762" s="52" t="str">
        <f t="shared" si="33"/>
        <v>insert into ins_premium_det (premium_rcv_code,assorted_code, rec_amount,premium_rcv_detail_code,remaining_amt, payrec, mode_code,coinsurance_code,class_cd,it_remarks) values</v>
      </c>
      <c r="G762" s="53" t="str">
        <f t="shared" si="34"/>
        <v>('22Oct240201','040000182448','14960',(select max(to_number(i.premium_rcv_detail_code))+1
from ins_premium_det i),'14960','14960','02', '11000003','00','Request by Mr. Omair Ali 22-Oct-2024 allocation 22Oct240201');</v>
      </c>
      <c r="H762" s="54" t="str">
        <f t="shared" si="35"/>
        <v>insert into ins_premium_det (premium_rcv_code,assorted_code, rec_amount,premium_rcv_detail_code,remaining_amt, payrec, mode_code,coinsurance_code,class_cd,it_remarks) values('22Oct240201','040000182448','14960',(select max(to_number(i.premium_rcv_detail_code))+1
from ins_premium_det i),'14960','14960','02', '11000003','00','Request by Mr. Omair Ali 22-Oct-2024 allocation 22Oct240201');</v>
      </c>
    </row>
    <row r="763" spans="1:8" ht="105" x14ac:dyDescent="0.25">
      <c r="A763" t="s">
        <v>891</v>
      </c>
      <c r="B763" s="51" t="str">
        <f>VLOOKUP(A763,policy!B:C,2,0)</f>
        <v>040000182449</v>
      </c>
      <c r="C763" s="46">
        <v>14960</v>
      </c>
      <c r="D763" s="46">
        <v>14960</v>
      </c>
      <c r="E763" s="50" t="s">
        <v>3673</v>
      </c>
      <c r="F763" s="52" t="str">
        <f t="shared" si="33"/>
        <v>insert into ins_premium_det (premium_rcv_code,assorted_code, rec_amount,premium_rcv_detail_code,remaining_amt, payrec, mode_code,coinsurance_code,class_cd,it_remarks) values</v>
      </c>
      <c r="G763" s="53" t="str">
        <f t="shared" si="34"/>
        <v>('22Oct240201','040000182449','14960',(select max(to_number(i.premium_rcv_detail_code))+1
from ins_premium_det i),'14960','14960','02', '11000003','00','Request by Mr. Omair Ali 22-Oct-2024 allocation 22Oct240201');</v>
      </c>
      <c r="H763" s="54" t="str">
        <f t="shared" si="35"/>
        <v>insert into ins_premium_det (premium_rcv_code,assorted_code, rec_amount,premium_rcv_detail_code,remaining_amt, payrec, mode_code,coinsurance_code,class_cd,it_remarks) values('22Oct240201','040000182449','14960',(select max(to_number(i.premium_rcv_detail_code))+1
from ins_premium_det i),'14960','14960','02', '11000003','00','Request by Mr. Omair Ali 22-Oct-2024 allocation 22Oct240201');</v>
      </c>
    </row>
    <row r="764" spans="1:8" ht="105" x14ac:dyDescent="0.25">
      <c r="A764" t="s">
        <v>892</v>
      </c>
      <c r="B764" s="51" t="str">
        <f>VLOOKUP(A764,policy!B:C,2,0)</f>
        <v>040000182450</v>
      </c>
      <c r="C764" s="46">
        <v>14960</v>
      </c>
      <c r="D764" s="46">
        <v>14960</v>
      </c>
      <c r="E764" s="50" t="s">
        <v>3673</v>
      </c>
      <c r="F764" s="52" t="str">
        <f t="shared" si="33"/>
        <v>insert into ins_premium_det (premium_rcv_code,assorted_code, rec_amount,premium_rcv_detail_code,remaining_amt, payrec, mode_code,coinsurance_code,class_cd,it_remarks) values</v>
      </c>
      <c r="G764" s="53" t="str">
        <f t="shared" si="34"/>
        <v>('22Oct240201','040000182450','14960',(select max(to_number(i.premium_rcv_detail_code))+1
from ins_premium_det i),'14960','14960','02', '11000003','00','Request by Mr. Omair Ali 22-Oct-2024 allocation 22Oct240201');</v>
      </c>
      <c r="H764" s="54" t="str">
        <f t="shared" si="35"/>
        <v>insert into ins_premium_det (premium_rcv_code,assorted_code, rec_amount,premium_rcv_detail_code,remaining_amt, payrec, mode_code,coinsurance_code,class_cd,it_remarks) values('22Oct240201','040000182450','14960',(select max(to_number(i.premium_rcv_detail_code))+1
from ins_premium_det i),'14960','14960','02', '11000003','00','Request by Mr. Omair Ali 22-Oct-2024 allocation 22Oct240201');</v>
      </c>
    </row>
    <row r="765" spans="1:8" ht="105" x14ac:dyDescent="0.25">
      <c r="A765" t="s">
        <v>893</v>
      </c>
      <c r="B765" s="51" t="str">
        <f>VLOOKUP(A765,policy!B:C,2,0)</f>
        <v>040000182451</v>
      </c>
      <c r="C765" s="46">
        <v>14960</v>
      </c>
      <c r="D765" s="46">
        <v>14960</v>
      </c>
      <c r="E765" s="50" t="s">
        <v>3673</v>
      </c>
      <c r="F765" s="52" t="str">
        <f t="shared" si="33"/>
        <v>insert into ins_premium_det (premium_rcv_code,assorted_code, rec_amount,premium_rcv_detail_code,remaining_amt, payrec, mode_code,coinsurance_code,class_cd,it_remarks) values</v>
      </c>
      <c r="G765" s="53" t="str">
        <f t="shared" si="34"/>
        <v>('22Oct240201','040000182451','14960',(select max(to_number(i.premium_rcv_detail_code))+1
from ins_premium_det i),'14960','14960','02', '11000003','00','Request by Mr. Omair Ali 22-Oct-2024 allocation 22Oct240201');</v>
      </c>
      <c r="H765" s="54" t="str">
        <f t="shared" si="35"/>
        <v>insert into ins_premium_det (premium_rcv_code,assorted_code, rec_amount,premium_rcv_detail_code,remaining_amt, payrec, mode_code,coinsurance_code,class_cd,it_remarks) values('22Oct240201','040000182451','14960',(select max(to_number(i.premium_rcv_detail_code))+1
from ins_premium_det i),'14960','14960','02', '11000003','00','Request by Mr. Omair Ali 22-Oct-2024 allocation 22Oct240201');</v>
      </c>
    </row>
    <row r="766" spans="1:8" ht="105" x14ac:dyDescent="0.25">
      <c r="A766" t="s">
        <v>894</v>
      </c>
      <c r="B766" s="51" t="str">
        <f>VLOOKUP(A766,policy!B:C,2,0)</f>
        <v>040000182452</v>
      </c>
      <c r="C766" s="46">
        <v>14960</v>
      </c>
      <c r="D766" s="46">
        <v>14960</v>
      </c>
      <c r="E766" s="50" t="s">
        <v>3673</v>
      </c>
      <c r="F766" s="52" t="str">
        <f t="shared" si="33"/>
        <v>insert into ins_premium_det (premium_rcv_code,assorted_code, rec_amount,premium_rcv_detail_code,remaining_amt, payrec, mode_code,coinsurance_code,class_cd,it_remarks) values</v>
      </c>
      <c r="G766" s="53" t="str">
        <f t="shared" si="34"/>
        <v>('22Oct240201','040000182452','14960',(select max(to_number(i.premium_rcv_detail_code))+1
from ins_premium_det i),'14960','14960','02', '11000003','00','Request by Mr. Omair Ali 22-Oct-2024 allocation 22Oct240201');</v>
      </c>
      <c r="H766" s="54" t="str">
        <f t="shared" si="35"/>
        <v>insert into ins_premium_det (premium_rcv_code,assorted_code, rec_amount,premium_rcv_detail_code,remaining_amt, payrec, mode_code,coinsurance_code,class_cd,it_remarks) values('22Oct240201','040000182452','14960',(select max(to_number(i.premium_rcv_detail_code))+1
from ins_premium_det i),'14960','14960','02', '11000003','00','Request by Mr. Omair Ali 22-Oct-2024 allocation 22Oct240201');</v>
      </c>
    </row>
    <row r="767" spans="1:8" ht="105" x14ac:dyDescent="0.25">
      <c r="A767" t="s">
        <v>895</v>
      </c>
      <c r="B767" s="51" t="str">
        <f>VLOOKUP(A767,policy!B:C,2,0)</f>
        <v>040000182453</v>
      </c>
      <c r="C767" s="46">
        <v>14960</v>
      </c>
      <c r="D767" s="46">
        <v>14960</v>
      </c>
      <c r="E767" s="50" t="s">
        <v>3673</v>
      </c>
      <c r="F767" s="52" t="str">
        <f t="shared" si="33"/>
        <v>insert into ins_premium_det (premium_rcv_code,assorted_code, rec_amount,premium_rcv_detail_code,remaining_amt, payrec, mode_code,coinsurance_code,class_cd,it_remarks) values</v>
      </c>
      <c r="G767" s="53" t="str">
        <f t="shared" si="34"/>
        <v>('22Oct240201','040000182453','14960',(select max(to_number(i.premium_rcv_detail_code))+1
from ins_premium_det i),'14960','14960','02', '11000003','00','Request by Mr. Omair Ali 22-Oct-2024 allocation 22Oct240201');</v>
      </c>
      <c r="H767" s="54" t="str">
        <f t="shared" si="35"/>
        <v>insert into ins_premium_det (premium_rcv_code,assorted_code, rec_amount,premium_rcv_detail_code,remaining_amt, payrec, mode_code,coinsurance_code,class_cd,it_remarks) values('22Oct240201','040000182453','14960',(select max(to_number(i.premium_rcv_detail_code))+1
from ins_premium_det i),'14960','14960','02', '11000003','00','Request by Mr. Omair Ali 22-Oct-2024 allocation 22Oct240201');</v>
      </c>
    </row>
    <row r="768" spans="1:8" ht="105" x14ac:dyDescent="0.25">
      <c r="A768" t="s">
        <v>896</v>
      </c>
      <c r="B768" s="51" t="str">
        <f>VLOOKUP(A768,policy!B:C,2,0)</f>
        <v>040000182464</v>
      </c>
      <c r="C768" s="46">
        <v>11725</v>
      </c>
      <c r="D768" s="46">
        <v>11725</v>
      </c>
      <c r="E768" s="50" t="s">
        <v>3673</v>
      </c>
      <c r="F768" s="52" t="str">
        <f t="shared" si="33"/>
        <v>insert into ins_premium_det (premium_rcv_code,assorted_code, rec_amount,premium_rcv_detail_code,remaining_amt, payrec, mode_code,coinsurance_code,class_cd,it_remarks) values</v>
      </c>
      <c r="G768" s="53" t="str">
        <f t="shared" si="34"/>
        <v>('22Oct240201','040000182464','11725',(select max(to_number(i.premium_rcv_detail_code))+1
from ins_premium_det i),'11725','11725','02', '11000003','00','Request by Mr. Omair Ali 22-Oct-2024 allocation 22Oct240201');</v>
      </c>
      <c r="H768" s="54" t="str">
        <f t="shared" si="35"/>
        <v>insert into ins_premium_det (premium_rcv_code,assorted_code, rec_amount,premium_rcv_detail_code,remaining_amt, payrec, mode_code,coinsurance_code,class_cd,it_remarks) values('22Oct240201','040000182464','11725',(select max(to_number(i.premium_rcv_detail_code))+1
from ins_premium_det i),'11725','11725','02', '11000003','00','Request by Mr. Omair Ali 22-Oct-2024 allocation 22Oct240201');</v>
      </c>
    </row>
    <row r="769" spans="1:8" ht="105" x14ac:dyDescent="0.25">
      <c r="A769" t="s">
        <v>897</v>
      </c>
      <c r="B769" s="51" t="str">
        <f>VLOOKUP(A769,policy!B:C,2,0)</f>
        <v>040000182465</v>
      </c>
      <c r="C769" s="46">
        <v>12320</v>
      </c>
      <c r="D769" s="46">
        <v>12320</v>
      </c>
      <c r="E769" s="50" t="s">
        <v>3673</v>
      </c>
      <c r="F769" s="52" t="str">
        <f t="shared" si="33"/>
        <v>insert into ins_premium_det (premium_rcv_code,assorted_code, rec_amount,premium_rcv_detail_code,remaining_amt, payrec, mode_code,coinsurance_code,class_cd,it_remarks) values</v>
      </c>
      <c r="G769" s="53" t="str">
        <f t="shared" si="34"/>
        <v>('22Oct240201','040000182465','12320',(select max(to_number(i.premium_rcv_detail_code))+1
from ins_premium_det i),'12320','12320','02', '11000003','00','Request by Mr. Omair Ali 22-Oct-2024 allocation 22Oct240201');</v>
      </c>
      <c r="H769" s="54" t="str">
        <f t="shared" si="35"/>
        <v>insert into ins_premium_det (premium_rcv_code,assorted_code, rec_amount,premium_rcv_detail_code,remaining_amt, payrec, mode_code,coinsurance_code,class_cd,it_remarks) values('22Oct240201','040000182465','12320',(select max(to_number(i.premium_rcv_detail_code))+1
from ins_premium_det i),'12320','12320','02', '11000003','00','Request by Mr. Omair Ali 22-Oct-2024 allocation 22Oct240201');</v>
      </c>
    </row>
    <row r="770" spans="1:8" ht="105" x14ac:dyDescent="0.25">
      <c r="A770" t="s">
        <v>898</v>
      </c>
      <c r="B770" s="51" t="str">
        <f>VLOOKUP(A770,policy!B:C,2,0)</f>
        <v>040000182466</v>
      </c>
      <c r="C770" s="46">
        <v>11725</v>
      </c>
      <c r="D770" s="46">
        <v>11725</v>
      </c>
      <c r="E770" s="50" t="s">
        <v>3673</v>
      </c>
      <c r="F770" s="52" t="str">
        <f t="shared" ref="F770:F833" si="3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770" s="53" t="str">
        <f t="shared" si="34"/>
        <v>('22Oct240201','040000182466','11725',(select max(to_number(i.premium_rcv_detail_code))+1
from ins_premium_det i),'11725','11725','02', '11000003','00','Request by Mr. Omair Ali 22-Oct-2024 allocation 22Oct240201');</v>
      </c>
      <c r="H770" s="54" t="str">
        <f t="shared" si="35"/>
        <v>insert into ins_premium_det (premium_rcv_code,assorted_code, rec_amount,premium_rcv_detail_code,remaining_amt, payrec, mode_code,coinsurance_code,class_cd,it_remarks) values('22Oct240201','040000182466','11725',(select max(to_number(i.premium_rcv_detail_code))+1
from ins_premium_det i),'11725','11725','02', '11000003','00','Request by Mr. Omair Ali 22-Oct-2024 allocation 22Oct240201');</v>
      </c>
    </row>
    <row r="771" spans="1:8" ht="105" x14ac:dyDescent="0.25">
      <c r="A771" t="s">
        <v>899</v>
      </c>
      <c r="B771" s="51" t="str">
        <f>VLOOKUP(A771,policy!B:C,2,0)</f>
        <v>040000182467</v>
      </c>
      <c r="C771" s="46">
        <v>12740</v>
      </c>
      <c r="D771" s="46">
        <v>12740</v>
      </c>
      <c r="E771" s="50" t="s">
        <v>3673</v>
      </c>
      <c r="F771" s="52" t="str">
        <f t="shared" si="36"/>
        <v>insert into ins_premium_det (premium_rcv_code,assorted_code, rec_amount,premium_rcv_detail_code,remaining_amt, payrec, mode_code,coinsurance_code,class_cd,it_remarks) values</v>
      </c>
      <c r="G771" s="53" t="str">
        <f t="shared" ref="G771:G834" si="37">"('"&amp;E771&amp;"','"&amp;B771&amp;"','"&amp;D771&amp;"',(select max(to_number(i.premium_rcv_detail_code))+1
from ins_premium_det i),'"&amp;D771&amp;"','"&amp;D771&amp;"','02', '11000003','00','Request by Mr. Omair Ali 22-Oct-2024 allocation 22Oct240201');"</f>
        <v>('22Oct240201','040000182467','12740',(select max(to_number(i.premium_rcv_detail_code))+1
from ins_premium_det i),'12740','12740','02', '11000003','00','Request by Mr. Omair Ali 22-Oct-2024 allocation 22Oct240201');</v>
      </c>
      <c r="H771" s="54" t="str">
        <f t="shared" ref="H771:H834" si="38">F771&amp;G771</f>
        <v>insert into ins_premium_det (premium_rcv_code,assorted_code, rec_amount,premium_rcv_detail_code,remaining_amt, payrec, mode_code,coinsurance_code,class_cd,it_remarks) values('22Oct240201','040000182467','12740',(select max(to_number(i.premium_rcv_detail_code))+1
from ins_premium_det i),'12740','12740','02', '11000003','00','Request by Mr. Omair Ali 22-Oct-2024 allocation 22Oct240201');</v>
      </c>
    </row>
    <row r="772" spans="1:8" ht="105" x14ac:dyDescent="0.25">
      <c r="A772" t="s">
        <v>900</v>
      </c>
      <c r="B772" s="51" t="str">
        <f>VLOOKUP(A772,policy!B:C,2,0)</f>
        <v>040000182468</v>
      </c>
      <c r="C772" s="46">
        <v>11725</v>
      </c>
      <c r="D772" s="46">
        <v>11725</v>
      </c>
      <c r="E772" s="50" t="s">
        <v>3673</v>
      </c>
      <c r="F772" s="52" t="str">
        <f t="shared" si="36"/>
        <v>insert into ins_premium_det (premium_rcv_code,assorted_code, rec_amount,premium_rcv_detail_code,remaining_amt, payrec, mode_code,coinsurance_code,class_cd,it_remarks) values</v>
      </c>
      <c r="G772" s="53" t="str">
        <f t="shared" si="37"/>
        <v>('22Oct240201','040000182468','11725',(select max(to_number(i.premium_rcv_detail_code))+1
from ins_premium_det i),'11725','11725','02', '11000003','00','Request by Mr. Omair Ali 22-Oct-2024 allocation 22Oct240201');</v>
      </c>
      <c r="H772" s="54" t="str">
        <f t="shared" si="38"/>
        <v>insert into ins_premium_det (premium_rcv_code,assorted_code, rec_amount,premium_rcv_detail_code,remaining_amt, payrec, mode_code,coinsurance_code,class_cd,it_remarks) values('22Oct240201','040000182468','11725',(select max(to_number(i.premium_rcv_detail_code))+1
from ins_premium_det i),'11725','11725','02', '11000003','00','Request by Mr. Omair Ali 22-Oct-2024 allocation 22Oct240201');</v>
      </c>
    </row>
    <row r="773" spans="1:8" ht="105" x14ac:dyDescent="0.25">
      <c r="A773" t="s">
        <v>901</v>
      </c>
      <c r="B773" s="51" t="str">
        <f>VLOOKUP(A773,policy!B:C,2,0)</f>
        <v>040000182470</v>
      </c>
      <c r="C773" s="46">
        <v>12320</v>
      </c>
      <c r="D773" s="46">
        <v>12320</v>
      </c>
      <c r="E773" s="50" t="s">
        <v>3673</v>
      </c>
      <c r="F773" s="52" t="str">
        <f t="shared" si="36"/>
        <v>insert into ins_premium_det (premium_rcv_code,assorted_code, rec_amount,premium_rcv_detail_code,remaining_amt, payrec, mode_code,coinsurance_code,class_cd,it_remarks) values</v>
      </c>
      <c r="G773" s="53" t="str">
        <f t="shared" si="37"/>
        <v>('22Oct240201','040000182470','12320',(select max(to_number(i.premium_rcv_detail_code))+1
from ins_premium_det i),'12320','12320','02', '11000003','00','Request by Mr. Omair Ali 22-Oct-2024 allocation 22Oct240201');</v>
      </c>
      <c r="H773" s="54" t="str">
        <f t="shared" si="38"/>
        <v>insert into ins_premium_det (premium_rcv_code,assorted_code, rec_amount,premium_rcv_detail_code,remaining_amt, payrec, mode_code,coinsurance_code,class_cd,it_remarks) values('22Oct240201','040000182470','12320',(select max(to_number(i.premium_rcv_detail_code))+1
from ins_premium_det i),'12320','12320','02', '11000003','00','Request by Mr. Omair Ali 22-Oct-2024 allocation 22Oct240201');</v>
      </c>
    </row>
    <row r="774" spans="1:8" ht="105" x14ac:dyDescent="0.25">
      <c r="A774" t="s">
        <v>902</v>
      </c>
      <c r="B774" s="51" t="str">
        <f>VLOOKUP(A774,policy!B:C,2,0)</f>
        <v>040000182471</v>
      </c>
      <c r="C774" s="46">
        <v>12740</v>
      </c>
      <c r="D774" s="46">
        <v>12740</v>
      </c>
      <c r="E774" s="50" t="s">
        <v>3673</v>
      </c>
      <c r="F774" s="52" t="str">
        <f t="shared" si="36"/>
        <v>insert into ins_premium_det (premium_rcv_code,assorted_code, rec_amount,premium_rcv_detail_code,remaining_amt, payrec, mode_code,coinsurance_code,class_cd,it_remarks) values</v>
      </c>
      <c r="G774" s="53" t="str">
        <f t="shared" si="37"/>
        <v>('22Oct240201','040000182471','12740',(select max(to_number(i.premium_rcv_detail_code))+1
from ins_premium_det i),'12740','12740','02', '11000003','00','Request by Mr. Omair Ali 22-Oct-2024 allocation 22Oct240201');</v>
      </c>
      <c r="H774" s="54" t="str">
        <f t="shared" si="38"/>
        <v>insert into ins_premium_det (premium_rcv_code,assorted_code, rec_amount,premium_rcv_detail_code,remaining_amt, payrec, mode_code,coinsurance_code,class_cd,it_remarks) values('22Oct240201','040000182471','12740',(select max(to_number(i.premium_rcv_detail_code))+1
from ins_premium_det i),'12740','12740','02', '11000003','00','Request by Mr. Omair Ali 22-Oct-2024 allocation 22Oct240201');</v>
      </c>
    </row>
    <row r="775" spans="1:8" ht="105" x14ac:dyDescent="0.25">
      <c r="A775" t="s">
        <v>903</v>
      </c>
      <c r="B775" s="51" t="str">
        <f>VLOOKUP(A775,policy!B:C,2,0)</f>
        <v>040000182472</v>
      </c>
      <c r="C775" s="46">
        <v>11725</v>
      </c>
      <c r="D775" s="46">
        <v>11725</v>
      </c>
      <c r="E775" s="50" t="s">
        <v>3673</v>
      </c>
      <c r="F775" s="52" t="str">
        <f t="shared" si="36"/>
        <v>insert into ins_premium_det (premium_rcv_code,assorted_code, rec_amount,premium_rcv_detail_code,remaining_amt, payrec, mode_code,coinsurance_code,class_cd,it_remarks) values</v>
      </c>
      <c r="G775" s="53" t="str">
        <f t="shared" si="37"/>
        <v>('22Oct240201','040000182472','11725',(select max(to_number(i.premium_rcv_detail_code))+1
from ins_premium_det i),'11725','11725','02', '11000003','00','Request by Mr. Omair Ali 22-Oct-2024 allocation 22Oct240201');</v>
      </c>
      <c r="H775" s="54" t="str">
        <f t="shared" si="38"/>
        <v>insert into ins_premium_det (premium_rcv_code,assorted_code, rec_amount,premium_rcv_detail_code,remaining_amt, payrec, mode_code,coinsurance_code,class_cd,it_remarks) values('22Oct240201','040000182472','11725',(select max(to_number(i.premium_rcv_detail_code))+1
from ins_premium_det i),'11725','11725','02', '11000003','00','Request by Mr. Omair Ali 22-Oct-2024 allocation 22Oct240201');</v>
      </c>
    </row>
    <row r="776" spans="1:8" ht="105" x14ac:dyDescent="0.25">
      <c r="A776" t="s">
        <v>904</v>
      </c>
      <c r="B776" s="51" t="str">
        <f>VLOOKUP(A776,policy!B:C,2,0)</f>
        <v>040000182473</v>
      </c>
      <c r="C776" s="46">
        <v>12740</v>
      </c>
      <c r="D776" s="46">
        <v>12740</v>
      </c>
      <c r="E776" s="50" t="s">
        <v>3673</v>
      </c>
      <c r="F776" s="52" t="str">
        <f t="shared" si="36"/>
        <v>insert into ins_premium_det (premium_rcv_code,assorted_code, rec_amount,premium_rcv_detail_code,remaining_amt, payrec, mode_code,coinsurance_code,class_cd,it_remarks) values</v>
      </c>
      <c r="G776" s="53" t="str">
        <f t="shared" si="37"/>
        <v>('22Oct240201','040000182473','12740',(select max(to_number(i.premium_rcv_detail_code))+1
from ins_premium_det i),'12740','12740','02', '11000003','00','Request by Mr. Omair Ali 22-Oct-2024 allocation 22Oct240201');</v>
      </c>
      <c r="H776" s="54" t="str">
        <f t="shared" si="38"/>
        <v>insert into ins_premium_det (premium_rcv_code,assorted_code, rec_amount,premium_rcv_detail_code,remaining_amt, payrec, mode_code,coinsurance_code,class_cd,it_remarks) values('22Oct240201','040000182473','12740',(select max(to_number(i.premium_rcv_detail_code))+1
from ins_premium_det i),'12740','12740','02', '11000003','00','Request by Mr. Omair Ali 22-Oct-2024 allocation 22Oct240201');</v>
      </c>
    </row>
    <row r="777" spans="1:8" ht="105" x14ac:dyDescent="0.25">
      <c r="A777" t="s">
        <v>905</v>
      </c>
      <c r="B777" s="51" t="str">
        <f>VLOOKUP(A777,policy!B:C,2,0)</f>
        <v>040000182474</v>
      </c>
      <c r="C777" s="46">
        <v>12320</v>
      </c>
      <c r="D777" s="46">
        <v>12320</v>
      </c>
      <c r="E777" s="50" t="s">
        <v>3673</v>
      </c>
      <c r="F777" s="52" t="str">
        <f t="shared" si="36"/>
        <v>insert into ins_premium_det (premium_rcv_code,assorted_code, rec_amount,premium_rcv_detail_code,remaining_amt, payrec, mode_code,coinsurance_code,class_cd,it_remarks) values</v>
      </c>
      <c r="G777" s="53" t="str">
        <f t="shared" si="37"/>
        <v>('22Oct240201','040000182474','12320',(select max(to_number(i.premium_rcv_detail_code))+1
from ins_premium_det i),'12320','12320','02', '11000003','00','Request by Mr. Omair Ali 22-Oct-2024 allocation 22Oct240201');</v>
      </c>
      <c r="H777" s="54" t="str">
        <f t="shared" si="38"/>
        <v>insert into ins_premium_det (premium_rcv_code,assorted_code, rec_amount,premium_rcv_detail_code,remaining_amt, payrec, mode_code,coinsurance_code,class_cd,it_remarks) values('22Oct240201','040000182474','12320',(select max(to_number(i.premium_rcv_detail_code))+1
from ins_premium_det i),'12320','12320','02', '11000003','00','Request by Mr. Omair Ali 22-Oct-2024 allocation 22Oct240201');</v>
      </c>
    </row>
    <row r="778" spans="1:8" ht="105" x14ac:dyDescent="0.25">
      <c r="A778" t="s">
        <v>906</v>
      </c>
      <c r="B778" s="51" t="str">
        <f>VLOOKUP(A778,policy!B:C,2,0)</f>
        <v>040000182496</v>
      </c>
      <c r="C778" s="46">
        <v>8800</v>
      </c>
      <c r="D778" s="46">
        <v>8800</v>
      </c>
      <c r="E778" s="50" t="s">
        <v>3673</v>
      </c>
      <c r="F778" s="52" t="str">
        <f t="shared" si="36"/>
        <v>insert into ins_premium_det (premium_rcv_code,assorted_code, rec_amount,premium_rcv_detail_code,remaining_amt, payrec, mode_code,coinsurance_code,class_cd,it_remarks) values</v>
      </c>
      <c r="G778" s="53" t="str">
        <f t="shared" si="37"/>
        <v>('22Oct240201','040000182496','8800',(select max(to_number(i.premium_rcv_detail_code))+1
from ins_premium_det i),'8800','8800','02', '11000003','00','Request by Mr. Omair Ali 22-Oct-2024 allocation 22Oct240201');</v>
      </c>
      <c r="H778" s="54" t="str">
        <f t="shared" si="38"/>
        <v>insert into ins_premium_det (premium_rcv_code,assorted_code, rec_amount,premium_rcv_detail_code,remaining_amt, payrec, mode_code,coinsurance_code,class_cd,it_remarks) values('22Oct240201','040000182496','8800',(select max(to_number(i.premium_rcv_detail_code))+1
from ins_premium_det i),'8800','8800','02', '11000003','00','Request by Mr. Omair Ali 22-Oct-2024 allocation 22Oct240201');</v>
      </c>
    </row>
    <row r="779" spans="1:8" ht="105" x14ac:dyDescent="0.25">
      <c r="A779" t="s">
        <v>907</v>
      </c>
      <c r="B779" s="51" t="str">
        <f>VLOOKUP(A779,policy!B:C,2,0)</f>
        <v>040000182500</v>
      </c>
      <c r="C779" s="46">
        <v>14960</v>
      </c>
      <c r="D779" s="46">
        <v>14960</v>
      </c>
      <c r="E779" s="50" t="s">
        <v>3673</v>
      </c>
      <c r="F779" s="52" t="str">
        <f t="shared" si="36"/>
        <v>insert into ins_premium_det (premium_rcv_code,assorted_code, rec_amount,premium_rcv_detail_code,remaining_amt, payrec, mode_code,coinsurance_code,class_cd,it_remarks) values</v>
      </c>
      <c r="G779" s="53" t="str">
        <f t="shared" si="37"/>
        <v>('22Oct240201','040000182500','14960',(select max(to_number(i.premium_rcv_detail_code))+1
from ins_premium_det i),'14960','14960','02', '11000003','00','Request by Mr. Omair Ali 22-Oct-2024 allocation 22Oct240201');</v>
      </c>
      <c r="H779" s="54" t="str">
        <f t="shared" si="38"/>
        <v>insert into ins_premium_det (premium_rcv_code,assorted_code, rec_amount,premium_rcv_detail_code,remaining_amt, payrec, mode_code,coinsurance_code,class_cd,it_remarks) values('22Oct240201','040000182500','14960',(select max(to_number(i.premium_rcv_detail_code))+1
from ins_premium_det i),'14960','14960','02', '11000003','00','Request by Mr. Omair Ali 22-Oct-2024 allocation 22Oct240201');</v>
      </c>
    </row>
    <row r="780" spans="1:8" ht="105" x14ac:dyDescent="0.25">
      <c r="A780" t="s">
        <v>908</v>
      </c>
      <c r="B780" s="51" t="str">
        <f>VLOOKUP(A780,policy!B:C,2,0)</f>
        <v>040000182501</v>
      </c>
      <c r="C780" s="46">
        <v>8800</v>
      </c>
      <c r="D780" s="46">
        <v>8800</v>
      </c>
      <c r="E780" s="50" t="s">
        <v>3673</v>
      </c>
      <c r="F780" s="52" t="str">
        <f t="shared" si="36"/>
        <v>insert into ins_premium_det (premium_rcv_code,assorted_code, rec_amount,premium_rcv_detail_code,remaining_amt, payrec, mode_code,coinsurance_code,class_cd,it_remarks) values</v>
      </c>
      <c r="G780" s="53" t="str">
        <f t="shared" si="37"/>
        <v>('22Oct240201','040000182501','8800',(select max(to_number(i.premium_rcv_detail_code))+1
from ins_premium_det i),'8800','8800','02', '11000003','00','Request by Mr. Omair Ali 22-Oct-2024 allocation 22Oct240201');</v>
      </c>
      <c r="H780" s="54" t="str">
        <f t="shared" si="38"/>
        <v>insert into ins_premium_det (premium_rcv_code,assorted_code, rec_amount,premium_rcv_detail_code,remaining_amt, payrec, mode_code,coinsurance_code,class_cd,it_remarks) values('22Oct240201','040000182501','8800',(select max(to_number(i.premium_rcv_detail_code))+1
from ins_premium_det i),'8800','8800','02', '11000003','00','Request by Mr. Omair Ali 22-Oct-2024 allocation 22Oct240201');</v>
      </c>
    </row>
    <row r="781" spans="1:8" ht="105" x14ac:dyDescent="0.25">
      <c r="A781" t="s">
        <v>909</v>
      </c>
      <c r="B781" s="51" t="str">
        <f>VLOOKUP(A781,policy!B:C,2,0)</f>
        <v>040000182503</v>
      </c>
      <c r="C781" s="46">
        <v>12475</v>
      </c>
      <c r="D781" s="46">
        <v>12475</v>
      </c>
      <c r="E781" s="50" t="s">
        <v>3673</v>
      </c>
      <c r="F781" s="52" t="str">
        <f t="shared" si="36"/>
        <v>insert into ins_premium_det (premium_rcv_code,assorted_code, rec_amount,premium_rcv_detail_code,remaining_amt, payrec, mode_code,coinsurance_code,class_cd,it_remarks) values</v>
      </c>
      <c r="G781" s="53" t="str">
        <f t="shared" si="37"/>
        <v>('22Oct240201','040000182503','12475',(select max(to_number(i.premium_rcv_detail_code))+1
from ins_premium_det i),'12475','12475','02', '11000003','00','Request by Mr. Omair Ali 22-Oct-2024 allocation 22Oct240201');</v>
      </c>
      <c r="H781" s="54" t="str">
        <f t="shared" si="38"/>
        <v>insert into ins_premium_det (premium_rcv_code,assorted_code, rec_amount,premium_rcv_detail_code,remaining_amt, payrec, mode_code,coinsurance_code,class_cd,it_remarks) values('22Oct240201','040000182503','12475',(select max(to_number(i.premium_rcv_detail_code))+1
from ins_premium_det i),'12475','12475','02', '11000003','00','Request by Mr. Omair Ali 22-Oct-2024 allocation 22Oct240201');</v>
      </c>
    </row>
    <row r="782" spans="1:8" ht="105" x14ac:dyDescent="0.25">
      <c r="A782" t="s">
        <v>910</v>
      </c>
      <c r="B782" s="51" t="str">
        <f>VLOOKUP(A782,policy!B:C,2,0)</f>
        <v>040000182507</v>
      </c>
      <c r="C782" s="46">
        <v>14960</v>
      </c>
      <c r="D782" s="46">
        <v>14960</v>
      </c>
      <c r="E782" s="50" t="s">
        <v>3673</v>
      </c>
      <c r="F782" s="52" t="str">
        <f t="shared" si="36"/>
        <v>insert into ins_premium_det (premium_rcv_code,assorted_code, rec_amount,premium_rcv_detail_code,remaining_amt, payrec, mode_code,coinsurance_code,class_cd,it_remarks) values</v>
      </c>
      <c r="G782" s="53" t="str">
        <f t="shared" si="37"/>
        <v>('22Oct240201','040000182507','14960',(select max(to_number(i.premium_rcv_detail_code))+1
from ins_premium_det i),'14960','14960','02', '11000003','00','Request by Mr. Omair Ali 22-Oct-2024 allocation 22Oct240201');</v>
      </c>
      <c r="H782" s="54" t="str">
        <f t="shared" si="38"/>
        <v>insert into ins_premium_det (premium_rcv_code,assorted_code, rec_amount,premium_rcv_detail_code,remaining_amt, payrec, mode_code,coinsurance_code,class_cd,it_remarks) values('22Oct240201','040000182507','14960',(select max(to_number(i.premium_rcv_detail_code))+1
from ins_premium_det i),'14960','14960','02', '11000003','00','Request by Mr. Omair Ali 22-Oct-2024 allocation 22Oct240201');</v>
      </c>
    </row>
    <row r="783" spans="1:8" ht="105" x14ac:dyDescent="0.25">
      <c r="A783" t="s">
        <v>911</v>
      </c>
      <c r="B783" s="51" t="str">
        <f>VLOOKUP(A783,policy!B:C,2,0)</f>
        <v>040000182508</v>
      </c>
      <c r="C783" s="46">
        <v>14960</v>
      </c>
      <c r="D783" s="46">
        <v>14960</v>
      </c>
      <c r="E783" s="50" t="s">
        <v>3673</v>
      </c>
      <c r="F783" s="52" t="str">
        <f t="shared" si="36"/>
        <v>insert into ins_premium_det (premium_rcv_code,assorted_code, rec_amount,premium_rcv_detail_code,remaining_amt, payrec, mode_code,coinsurance_code,class_cd,it_remarks) values</v>
      </c>
      <c r="G783" s="53" t="str">
        <f t="shared" si="37"/>
        <v>('22Oct240201','040000182508','14960',(select max(to_number(i.premium_rcv_detail_code))+1
from ins_premium_det i),'14960','14960','02', '11000003','00','Request by Mr. Omair Ali 22-Oct-2024 allocation 22Oct240201');</v>
      </c>
      <c r="H783" s="54" t="str">
        <f t="shared" si="38"/>
        <v>insert into ins_premium_det (premium_rcv_code,assorted_code, rec_amount,premium_rcv_detail_code,remaining_amt, payrec, mode_code,coinsurance_code,class_cd,it_remarks) values('22Oct240201','040000182508','14960',(select max(to_number(i.premium_rcv_detail_code))+1
from ins_premium_det i),'14960','14960','02', '11000003','00','Request by Mr. Omair Ali 22-Oct-2024 allocation 22Oct240201');</v>
      </c>
    </row>
    <row r="784" spans="1:8" ht="105" x14ac:dyDescent="0.25">
      <c r="A784" t="s">
        <v>912</v>
      </c>
      <c r="B784" s="51" t="str">
        <f>VLOOKUP(A784,policy!B:C,2,0)</f>
        <v>040000182512</v>
      </c>
      <c r="C784" s="46">
        <v>13675</v>
      </c>
      <c r="D784" s="46">
        <v>13675</v>
      </c>
      <c r="E784" s="50" t="s">
        <v>3673</v>
      </c>
      <c r="F784" s="52" t="str">
        <f t="shared" si="36"/>
        <v>insert into ins_premium_det (premium_rcv_code,assorted_code, rec_amount,premium_rcv_detail_code,remaining_amt, payrec, mode_code,coinsurance_code,class_cd,it_remarks) values</v>
      </c>
      <c r="G784" s="53" t="str">
        <f t="shared" si="37"/>
        <v>('22Oct240201','040000182512','13675',(select max(to_number(i.premium_rcv_detail_code))+1
from ins_premium_det i),'13675','13675','02', '11000003','00','Request by Mr. Omair Ali 22-Oct-2024 allocation 22Oct240201');</v>
      </c>
      <c r="H784" s="54" t="str">
        <f t="shared" si="38"/>
        <v>insert into ins_premium_det (premium_rcv_code,assorted_code, rec_amount,premium_rcv_detail_code,remaining_amt, payrec, mode_code,coinsurance_code,class_cd,it_remarks) values('22Oct240201','040000182512','13675',(select max(to_number(i.premium_rcv_detail_code))+1
from ins_premium_det i),'13675','13675','02', '11000003','00','Request by Mr. Omair Ali 22-Oct-2024 allocation 22Oct240201');</v>
      </c>
    </row>
    <row r="785" spans="1:8" ht="105" x14ac:dyDescent="0.25">
      <c r="A785" t="s">
        <v>913</v>
      </c>
      <c r="B785" s="51" t="str">
        <f>VLOOKUP(A785,policy!B:C,2,0)</f>
        <v>040000182514</v>
      </c>
      <c r="C785" s="46">
        <v>8800</v>
      </c>
      <c r="D785" s="46">
        <v>8800</v>
      </c>
      <c r="E785" s="50" t="s">
        <v>3673</v>
      </c>
      <c r="F785" s="52" t="str">
        <f t="shared" si="36"/>
        <v>insert into ins_premium_det (premium_rcv_code,assorted_code, rec_amount,premium_rcv_detail_code,remaining_amt, payrec, mode_code,coinsurance_code,class_cd,it_remarks) values</v>
      </c>
      <c r="G785" s="53" t="str">
        <f t="shared" si="37"/>
        <v>('22Oct240201','040000182514','8800',(select max(to_number(i.premium_rcv_detail_code))+1
from ins_premium_det i),'8800','8800','02', '11000003','00','Request by Mr. Omair Ali 22-Oct-2024 allocation 22Oct240201');</v>
      </c>
      <c r="H785" s="54" t="str">
        <f t="shared" si="38"/>
        <v>insert into ins_premium_det (premium_rcv_code,assorted_code, rec_amount,premium_rcv_detail_code,remaining_amt, payrec, mode_code,coinsurance_code,class_cd,it_remarks) values('22Oct240201','040000182514','8800',(select max(to_number(i.premium_rcv_detail_code))+1
from ins_premium_det i),'8800','8800','02', '11000003','00','Request by Mr. Omair Ali 22-Oct-2024 allocation 22Oct240201');</v>
      </c>
    </row>
    <row r="786" spans="1:8" ht="105" x14ac:dyDescent="0.25">
      <c r="A786" t="s">
        <v>914</v>
      </c>
      <c r="B786" s="51" t="str">
        <f>VLOOKUP(A786,policy!B:C,2,0)</f>
        <v>040000182516</v>
      </c>
      <c r="C786" s="46">
        <v>14960</v>
      </c>
      <c r="D786" s="46">
        <v>14960</v>
      </c>
      <c r="E786" s="50" t="s">
        <v>3673</v>
      </c>
      <c r="F786" s="52" t="str">
        <f t="shared" si="36"/>
        <v>insert into ins_premium_det (premium_rcv_code,assorted_code, rec_amount,premium_rcv_detail_code,remaining_amt, payrec, mode_code,coinsurance_code,class_cd,it_remarks) values</v>
      </c>
      <c r="G786" s="53" t="str">
        <f t="shared" si="37"/>
        <v>('22Oct240201','040000182516','14960',(select max(to_number(i.premium_rcv_detail_code))+1
from ins_premium_det i),'14960','14960','02', '11000003','00','Request by Mr. Omair Ali 22-Oct-2024 allocation 22Oct240201');</v>
      </c>
      <c r="H786" s="54" t="str">
        <f t="shared" si="38"/>
        <v>insert into ins_premium_det (premium_rcv_code,assorted_code, rec_amount,premium_rcv_detail_code,remaining_amt, payrec, mode_code,coinsurance_code,class_cd,it_remarks) values('22Oct240201','040000182516','14960',(select max(to_number(i.premium_rcv_detail_code))+1
from ins_premium_det i),'14960','14960','02', '11000003','00','Request by Mr. Omair Ali 22-Oct-2024 allocation 22Oct240201');</v>
      </c>
    </row>
    <row r="787" spans="1:8" ht="105" x14ac:dyDescent="0.25">
      <c r="A787" t="s">
        <v>915</v>
      </c>
      <c r="B787" s="51" t="str">
        <f>VLOOKUP(A787,policy!B:C,2,0)</f>
        <v>040000182517</v>
      </c>
      <c r="C787" s="46">
        <v>9550</v>
      </c>
      <c r="D787" s="46">
        <v>9550</v>
      </c>
      <c r="E787" s="50" t="s">
        <v>3673</v>
      </c>
      <c r="F787" s="52" t="str">
        <f t="shared" si="36"/>
        <v>insert into ins_premium_det (premium_rcv_code,assorted_code, rec_amount,premium_rcv_detail_code,remaining_amt, payrec, mode_code,coinsurance_code,class_cd,it_remarks) values</v>
      </c>
      <c r="G787" s="53" t="str">
        <f t="shared" si="37"/>
        <v>('22Oct240201','040000182517','9550',(select max(to_number(i.premium_rcv_detail_code))+1
from ins_premium_det i),'9550','9550','02', '11000003','00','Request by Mr. Omair Ali 22-Oct-2024 allocation 22Oct240201');</v>
      </c>
      <c r="H787" s="54" t="str">
        <f t="shared" si="38"/>
        <v>insert into ins_premium_det (premium_rcv_code,assorted_code, rec_amount,premium_rcv_detail_code,remaining_amt, payrec, mode_code,coinsurance_code,class_cd,it_remarks) values('22Oct240201','040000182517','9550',(select max(to_number(i.premium_rcv_detail_code))+1
from ins_premium_det i),'9550','9550','02', '11000003','00','Request by Mr. Omair Ali 22-Oct-2024 allocation 22Oct240201');</v>
      </c>
    </row>
    <row r="788" spans="1:8" ht="105" x14ac:dyDescent="0.25">
      <c r="A788" t="s">
        <v>916</v>
      </c>
      <c r="B788" s="51" t="str">
        <f>VLOOKUP(A788,policy!B:C,2,0)</f>
        <v>040000182519</v>
      </c>
      <c r="C788" s="46">
        <v>8800</v>
      </c>
      <c r="D788" s="46">
        <v>8800</v>
      </c>
      <c r="E788" s="50" t="s">
        <v>3673</v>
      </c>
      <c r="F788" s="52" t="str">
        <f t="shared" si="36"/>
        <v>insert into ins_premium_det (premium_rcv_code,assorted_code, rec_amount,premium_rcv_detail_code,remaining_amt, payrec, mode_code,coinsurance_code,class_cd,it_remarks) values</v>
      </c>
      <c r="G788" s="53" t="str">
        <f t="shared" si="37"/>
        <v>('22Oct240201','040000182519','8800',(select max(to_number(i.premium_rcv_detail_code))+1
from ins_premium_det i),'8800','8800','02', '11000003','00','Request by Mr. Omair Ali 22-Oct-2024 allocation 22Oct240201');</v>
      </c>
      <c r="H788" s="54" t="str">
        <f t="shared" si="38"/>
        <v>insert into ins_premium_det (premium_rcv_code,assorted_code, rec_amount,premium_rcv_detail_code,remaining_amt, payrec, mode_code,coinsurance_code,class_cd,it_remarks) values('22Oct240201','040000182519','8800',(select max(to_number(i.premium_rcv_detail_code))+1
from ins_premium_det i),'8800','8800','02', '11000003','00','Request by Mr. Omair Ali 22-Oct-2024 allocation 22Oct240201');</v>
      </c>
    </row>
    <row r="789" spans="1:8" ht="105" x14ac:dyDescent="0.25">
      <c r="A789" t="s">
        <v>917</v>
      </c>
      <c r="B789" s="51" t="str">
        <f>VLOOKUP(A789,policy!B:C,2,0)</f>
        <v>040000182520</v>
      </c>
      <c r="C789" s="46">
        <v>12475</v>
      </c>
      <c r="D789" s="46">
        <v>12475</v>
      </c>
      <c r="E789" s="50" t="s">
        <v>3673</v>
      </c>
      <c r="F789" s="52" t="str">
        <f t="shared" si="36"/>
        <v>insert into ins_premium_det (premium_rcv_code,assorted_code, rec_amount,premium_rcv_detail_code,remaining_amt, payrec, mode_code,coinsurance_code,class_cd,it_remarks) values</v>
      </c>
      <c r="G789" s="53" t="str">
        <f t="shared" si="37"/>
        <v>('22Oct240201','040000182520','12475',(select max(to_number(i.premium_rcv_detail_code))+1
from ins_premium_det i),'12475','12475','02', '11000003','00','Request by Mr. Omair Ali 22-Oct-2024 allocation 22Oct240201');</v>
      </c>
      <c r="H789" s="54" t="str">
        <f t="shared" si="38"/>
        <v>insert into ins_premium_det (premium_rcv_code,assorted_code, rec_amount,premium_rcv_detail_code,remaining_amt, payrec, mode_code,coinsurance_code,class_cd,it_remarks) values('22Oct240201','040000182520','12475',(select max(to_number(i.premium_rcv_detail_code))+1
from ins_premium_det i),'12475','12475','02', '11000003','00','Request by Mr. Omair Ali 22-Oct-2024 allocation 22Oct240201');</v>
      </c>
    </row>
    <row r="790" spans="1:8" ht="105" x14ac:dyDescent="0.25">
      <c r="A790" t="s">
        <v>918</v>
      </c>
      <c r="B790" s="51" t="str">
        <f>VLOOKUP(A790,policy!B:C,2,0)</f>
        <v>040000182521</v>
      </c>
      <c r="C790" s="46">
        <v>13675</v>
      </c>
      <c r="D790" s="46">
        <v>13675</v>
      </c>
      <c r="E790" s="50" t="s">
        <v>3673</v>
      </c>
      <c r="F790" s="52" t="str">
        <f t="shared" si="36"/>
        <v>insert into ins_premium_det (premium_rcv_code,assorted_code, rec_amount,premium_rcv_detail_code,remaining_amt, payrec, mode_code,coinsurance_code,class_cd,it_remarks) values</v>
      </c>
      <c r="G790" s="53" t="str">
        <f t="shared" si="37"/>
        <v>('22Oct240201','040000182521','13675',(select max(to_number(i.premium_rcv_detail_code))+1
from ins_premium_det i),'13675','13675','02', '11000003','00','Request by Mr. Omair Ali 22-Oct-2024 allocation 22Oct240201');</v>
      </c>
      <c r="H790" s="54" t="str">
        <f t="shared" si="38"/>
        <v>insert into ins_premium_det (premium_rcv_code,assorted_code, rec_amount,premium_rcv_detail_code,remaining_amt, payrec, mode_code,coinsurance_code,class_cd,it_remarks) values('22Oct240201','040000182521','13675',(select max(to_number(i.premium_rcv_detail_code))+1
from ins_premium_det i),'13675','13675','02', '11000003','00','Request by Mr. Omair Ali 22-Oct-2024 allocation 22Oct240201');</v>
      </c>
    </row>
    <row r="791" spans="1:8" ht="105" x14ac:dyDescent="0.25">
      <c r="A791" t="s">
        <v>919</v>
      </c>
      <c r="B791" s="51" t="str">
        <f>VLOOKUP(A791,policy!B:C,2,0)</f>
        <v>040000182522</v>
      </c>
      <c r="C791" s="46">
        <v>8800</v>
      </c>
      <c r="D791" s="46">
        <v>8800</v>
      </c>
      <c r="E791" s="50" t="s">
        <v>3673</v>
      </c>
      <c r="F791" s="52" t="str">
        <f t="shared" si="36"/>
        <v>insert into ins_premium_det (premium_rcv_code,assorted_code, rec_amount,premium_rcv_detail_code,remaining_amt, payrec, mode_code,coinsurance_code,class_cd,it_remarks) values</v>
      </c>
      <c r="G791" s="53" t="str">
        <f t="shared" si="37"/>
        <v>('22Oct240201','040000182522','8800',(select max(to_number(i.premium_rcv_detail_code))+1
from ins_premium_det i),'8800','8800','02', '11000003','00','Request by Mr. Omair Ali 22-Oct-2024 allocation 22Oct240201');</v>
      </c>
      <c r="H791" s="54" t="str">
        <f t="shared" si="38"/>
        <v>insert into ins_premium_det (premium_rcv_code,assorted_code, rec_amount,premium_rcv_detail_code,remaining_amt, payrec, mode_code,coinsurance_code,class_cd,it_remarks) values('22Oct240201','040000182522','8800',(select max(to_number(i.premium_rcv_detail_code))+1
from ins_premium_det i),'8800','8800','02', '11000003','00','Request by Mr. Omair Ali 22-Oct-2024 allocation 22Oct240201');</v>
      </c>
    </row>
    <row r="792" spans="1:8" ht="105" x14ac:dyDescent="0.25">
      <c r="A792" t="s">
        <v>920</v>
      </c>
      <c r="B792" s="51" t="str">
        <f>VLOOKUP(A792,policy!B:C,2,0)</f>
        <v>040000182523</v>
      </c>
      <c r="C792" s="46">
        <v>9550</v>
      </c>
      <c r="D792" s="46">
        <v>9550</v>
      </c>
      <c r="E792" s="50" t="s">
        <v>3673</v>
      </c>
      <c r="F792" s="52" t="str">
        <f t="shared" si="36"/>
        <v>insert into ins_premium_det (premium_rcv_code,assorted_code, rec_amount,premium_rcv_detail_code,remaining_amt, payrec, mode_code,coinsurance_code,class_cd,it_remarks) values</v>
      </c>
      <c r="G792" s="53" t="str">
        <f t="shared" si="37"/>
        <v>('22Oct240201','040000182523','9550',(select max(to_number(i.premium_rcv_detail_code))+1
from ins_premium_det i),'9550','9550','02', '11000003','00','Request by Mr. Omair Ali 22-Oct-2024 allocation 22Oct240201');</v>
      </c>
      <c r="H792" s="54" t="str">
        <f t="shared" si="38"/>
        <v>insert into ins_premium_det (premium_rcv_code,assorted_code, rec_amount,premium_rcv_detail_code,remaining_amt, payrec, mode_code,coinsurance_code,class_cd,it_remarks) values('22Oct240201','040000182523','9550',(select max(to_number(i.premium_rcv_detail_code))+1
from ins_premium_det i),'9550','9550','02', '11000003','00','Request by Mr. Omair Ali 22-Oct-2024 allocation 22Oct240201');</v>
      </c>
    </row>
    <row r="793" spans="1:8" ht="105" x14ac:dyDescent="0.25">
      <c r="A793" t="s">
        <v>921</v>
      </c>
      <c r="B793" s="51" t="str">
        <f>VLOOKUP(A793,policy!B:C,2,0)</f>
        <v>040000182524</v>
      </c>
      <c r="C793" s="46">
        <v>21208</v>
      </c>
      <c r="D793" s="46">
        <v>21208</v>
      </c>
      <c r="E793" s="50" t="s">
        <v>3673</v>
      </c>
      <c r="F793" s="52" t="str">
        <f t="shared" si="36"/>
        <v>insert into ins_premium_det (premium_rcv_code,assorted_code, rec_amount,premium_rcv_detail_code,remaining_amt, payrec, mode_code,coinsurance_code,class_cd,it_remarks) values</v>
      </c>
      <c r="G793" s="53" t="str">
        <f t="shared" si="37"/>
        <v>('22Oct240201','040000182524','21208',(select max(to_number(i.premium_rcv_detail_code))+1
from ins_premium_det i),'21208','21208','02', '11000003','00','Request by Mr. Omair Ali 22-Oct-2024 allocation 22Oct240201');</v>
      </c>
      <c r="H793" s="54" t="str">
        <f t="shared" si="38"/>
        <v>insert into ins_premium_det (premium_rcv_code,assorted_code, rec_amount,premium_rcv_detail_code,remaining_amt, payrec, mode_code,coinsurance_code,class_cd,it_remarks) values('22Oct240201','040000182524','21208',(select max(to_number(i.premium_rcv_detail_code))+1
from ins_premium_det i),'21208','21208','02', '11000003','00','Request by Mr. Omair Ali 22-Oct-2024 allocation 22Oct240201');</v>
      </c>
    </row>
    <row r="794" spans="1:8" ht="105" x14ac:dyDescent="0.25">
      <c r="A794" t="s">
        <v>922</v>
      </c>
      <c r="B794" s="51" t="str">
        <f>VLOOKUP(A794,policy!B:C,2,0)</f>
        <v>040000182525</v>
      </c>
      <c r="C794" s="46">
        <v>21208</v>
      </c>
      <c r="D794" s="46">
        <v>21208</v>
      </c>
      <c r="E794" s="50" t="s">
        <v>3673</v>
      </c>
      <c r="F794" s="52" t="str">
        <f t="shared" si="36"/>
        <v>insert into ins_premium_det (premium_rcv_code,assorted_code, rec_amount,premium_rcv_detail_code,remaining_amt, payrec, mode_code,coinsurance_code,class_cd,it_remarks) values</v>
      </c>
      <c r="G794" s="53" t="str">
        <f t="shared" si="37"/>
        <v>('22Oct240201','040000182525','21208',(select max(to_number(i.premium_rcv_detail_code))+1
from ins_premium_det i),'21208','21208','02', '11000003','00','Request by Mr. Omair Ali 22-Oct-2024 allocation 22Oct240201');</v>
      </c>
      <c r="H794" s="54" t="str">
        <f t="shared" si="38"/>
        <v>insert into ins_premium_det (premium_rcv_code,assorted_code, rec_amount,premium_rcv_detail_code,remaining_amt, payrec, mode_code,coinsurance_code,class_cd,it_remarks) values('22Oct240201','040000182525','21208',(select max(to_number(i.premium_rcv_detail_code))+1
from ins_premium_det i),'21208','21208','02', '11000003','00','Request by Mr. Omair Ali 22-Oct-2024 allocation 22Oct240201');</v>
      </c>
    </row>
    <row r="795" spans="1:8" ht="105" x14ac:dyDescent="0.25">
      <c r="A795" t="s">
        <v>923</v>
      </c>
      <c r="B795" s="51" t="str">
        <f>VLOOKUP(A795,policy!B:C,2,0)</f>
        <v>040000182526</v>
      </c>
      <c r="C795" s="46">
        <v>9550</v>
      </c>
      <c r="D795" s="46">
        <v>9550</v>
      </c>
      <c r="E795" s="50" t="s">
        <v>3673</v>
      </c>
      <c r="F795" s="52" t="str">
        <f t="shared" si="36"/>
        <v>insert into ins_premium_det (premium_rcv_code,assorted_code, rec_amount,premium_rcv_detail_code,remaining_amt, payrec, mode_code,coinsurance_code,class_cd,it_remarks) values</v>
      </c>
      <c r="G795" s="53" t="str">
        <f t="shared" si="37"/>
        <v>('22Oct240201','040000182526','9550',(select max(to_number(i.premium_rcv_detail_code))+1
from ins_premium_det i),'9550','9550','02', '11000003','00','Request by Mr. Omair Ali 22-Oct-2024 allocation 22Oct240201');</v>
      </c>
      <c r="H795" s="54" t="str">
        <f t="shared" si="38"/>
        <v>insert into ins_premium_det (premium_rcv_code,assorted_code, rec_amount,premium_rcv_detail_code,remaining_amt, payrec, mode_code,coinsurance_code,class_cd,it_remarks) values('22Oct240201','040000182526','9550',(select max(to_number(i.premium_rcv_detail_code))+1
from ins_premium_det i),'9550','9550','02', '11000003','00','Request by Mr. Omair Ali 22-Oct-2024 allocation 22Oct240201');</v>
      </c>
    </row>
    <row r="796" spans="1:8" ht="105" x14ac:dyDescent="0.25">
      <c r="A796" t="s">
        <v>924</v>
      </c>
      <c r="B796" s="51" t="str">
        <f>VLOOKUP(A796,policy!B:C,2,0)</f>
        <v>040000182528</v>
      </c>
      <c r="C796" s="46">
        <v>9550</v>
      </c>
      <c r="D796" s="46">
        <v>9550</v>
      </c>
      <c r="E796" s="50" t="s">
        <v>3673</v>
      </c>
      <c r="F796" s="52" t="str">
        <f t="shared" si="36"/>
        <v>insert into ins_premium_det (premium_rcv_code,assorted_code, rec_amount,premium_rcv_detail_code,remaining_amt, payrec, mode_code,coinsurance_code,class_cd,it_remarks) values</v>
      </c>
      <c r="G796" s="53" t="str">
        <f t="shared" si="37"/>
        <v>('22Oct240201','040000182528','9550',(select max(to_number(i.premium_rcv_detail_code))+1
from ins_premium_det i),'9550','9550','02', '11000003','00','Request by Mr. Omair Ali 22-Oct-2024 allocation 22Oct240201');</v>
      </c>
      <c r="H796" s="54" t="str">
        <f t="shared" si="38"/>
        <v>insert into ins_premium_det (premium_rcv_code,assorted_code, rec_amount,premium_rcv_detail_code,remaining_amt, payrec, mode_code,coinsurance_code,class_cd,it_remarks) values('22Oct240201','040000182528','9550',(select max(to_number(i.premium_rcv_detail_code))+1
from ins_premium_det i),'9550','9550','02', '11000003','00','Request by Mr. Omair Ali 22-Oct-2024 allocation 22Oct240201');</v>
      </c>
    </row>
    <row r="797" spans="1:8" ht="105" x14ac:dyDescent="0.25">
      <c r="A797" t="s">
        <v>925</v>
      </c>
      <c r="B797" s="51" t="str">
        <f>VLOOKUP(A797,policy!B:C,2,0)</f>
        <v>040000182529</v>
      </c>
      <c r="C797" s="46">
        <v>13675</v>
      </c>
      <c r="D797" s="46">
        <v>13675</v>
      </c>
      <c r="E797" s="50" t="s">
        <v>3673</v>
      </c>
      <c r="F797" s="52" t="str">
        <f t="shared" si="36"/>
        <v>insert into ins_premium_det (premium_rcv_code,assorted_code, rec_amount,premium_rcv_detail_code,remaining_amt, payrec, mode_code,coinsurance_code,class_cd,it_remarks) values</v>
      </c>
      <c r="G797" s="53" t="str">
        <f t="shared" si="37"/>
        <v>('22Oct240201','040000182529','13675',(select max(to_number(i.premium_rcv_detail_code))+1
from ins_premium_det i),'13675','13675','02', '11000003','00','Request by Mr. Omair Ali 22-Oct-2024 allocation 22Oct240201');</v>
      </c>
      <c r="H797" s="54" t="str">
        <f t="shared" si="38"/>
        <v>insert into ins_premium_det (premium_rcv_code,assorted_code, rec_amount,premium_rcv_detail_code,remaining_amt, payrec, mode_code,coinsurance_code,class_cd,it_remarks) values('22Oct240201','040000182529','13675',(select max(to_number(i.premium_rcv_detail_code))+1
from ins_premium_det i),'13675','13675','02', '11000003','00','Request by Mr. Omair Ali 22-Oct-2024 allocation 22Oct240201');</v>
      </c>
    </row>
    <row r="798" spans="1:8" ht="105" x14ac:dyDescent="0.25">
      <c r="A798" t="s">
        <v>926</v>
      </c>
      <c r="B798" s="51" t="str">
        <f>VLOOKUP(A798,policy!B:C,2,0)</f>
        <v>040000182530</v>
      </c>
      <c r="C798" s="46">
        <v>12475</v>
      </c>
      <c r="D798" s="46">
        <v>12475</v>
      </c>
      <c r="E798" s="50" t="s">
        <v>3673</v>
      </c>
      <c r="F798" s="52" t="str">
        <f t="shared" si="36"/>
        <v>insert into ins_premium_det (premium_rcv_code,assorted_code, rec_amount,premium_rcv_detail_code,remaining_amt, payrec, mode_code,coinsurance_code,class_cd,it_remarks) values</v>
      </c>
      <c r="G798" s="53" t="str">
        <f t="shared" si="37"/>
        <v>('22Oct240201','040000182530','12475',(select max(to_number(i.premium_rcv_detail_code))+1
from ins_premium_det i),'12475','12475','02', '11000003','00','Request by Mr. Omair Ali 22-Oct-2024 allocation 22Oct240201');</v>
      </c>
      <c r="H798" s="54" t="str">
        <f t="shared" si="38"/>
        <v>insert into ins_premium_det (premium_rcv_code,assorted_code, rec_amount,premium_rcv_detail_code,remaining_amt, payrec, mode_code,coinsurance_code,class_cd,it_remarks) values('22Oct240201','040000182530','12475',(select max(to_number(i.premium_rcv_detail_code))+1
from ins_premium_det i),'12475','12475','02', '11000003','00','Request by Mr. Omair Ali 22-Oct-2024 allocation 22Oct240201');</v>
      </c>
    </row>
    <row r="799" spans="1:8" ht="105" x14ac:dyDescent="0.25">
      <c r="A799" t="s">
        <v>927</v>
      </c>
      <c r="B799" s="51" t="str">
        <f>VLOOKUP(A799,policy!B:C,2,0)</f>
        <v>040000182533</v>
      </c>
      <c r="C799" s="46">
        <v>8800</v>
      </c>
      <c r="D799" s="46">
        <v>8800</v>
      </c>
      <c r="E799" s="50" t="s">
        <v>3673</v>
      </c>
      <c r="F799" s="52" t="str">
        <f t="shared" si="36"/>
        <v>insert into ins_premium_det (premium_rcv_code,assorted_code, rec_amount,premium_rcv_detail_code,remaining_amt, payrec, mode_code,coinsurance_code,class_cd,it_remarks) values</v>
      </c>
      <c r="G799" s="53" t="str">
        <f t="shared" si="37"/>
        <v>('22Oct240201','040000182533','8800',(select max(to_number(i.premium_rcv_detail_code))+1
from ins_premium_det i),'8800','8800','02', '11000003','00','Request by Mr. Omair Ali 22-Oct-2024 allocation 22Oct240201');</v>
      </c>
      <c r="H799" s="54" t="str">
        <f t="shared" si="38"/>
        <v>insert into ins_premium_det (premium_rcv_code,assorted_code, rec_amount,premium_rcv_detail_code,remaining_amt, payrec, mode_code,coinsurance_code,class_cd,it_remarks) values('22Oct240201','040000182533','8800',(select max(to_number(i.premium_rcv_detail_code))+1
from ins_premium_det i),'8800','8800','02', '11000003','00','Request by Mr. Omair Ali 22-Oct-2024 allocation 22Oct240201');</v>
      </c>
    </row>
    <row r="800" spans="1:8" ht="105" x14ac:dyDescent="0.25">
      <c r="A800" t="s">
        <v>928</v>
      </c>
      <c r="B800" s="51" t="str">
        <f>VLOOKUP(A800,policy!B:C,2,0)</f>
        <v>040000182536</v>
      </c>
      <c r="C800" s="46">
        <v>9550</v>
      </c>
      <c r="D800" s="46">
        <v>9550</v>
      </c>
      <c r="E800" s="50" t="s">
        <v>3673</v>
      </c>
      <c r="F800" s="52" t="str">
        <f t="shared" si="36"/>
        <v>insert into ins_premium_det (premium_rcv_code,assorted_code, rec_amount,premium_rcv_detail_code,remaining_amt, payrec, mode_code,coinsurance_code,class_cd,it_remarks) values</v>
      </c>
      <c r="G800" s="53" t="str">
        <f t="shared" si="37"/>
        <v>('22Oct240201','040000182536','9550',(select max(to_number(i.premium_rcv_detail_code))+1
from ins_premium_det i),'9550','9550','02', '11000003','00','Request by Mr. Omair Ali 22-Oct-2024 allocation 22Oct240201');</v>
      </c>
      <c r="H800" s="54" t="str">
        <f t="shared" si="38"/>
        <v>insert into ins_premium_det (premium_rcv_code,assorted_code, rec_amount,premium_rcv_detail_code,remaining_amt, payrec, mode_code,coinsurance_code,class_cd,it_remarks) values('22Oct240201','040000182536','9550',(select max(to_number(i.premium_rcv_detail_code))+1
from ins_premium_det i),'9550','9550','02', '11000003','00','Request by Mr. Omair Ali 22-Oct-2024 allocation 22Oct240201');</v>
      </c>
    </row>
    <row r="801" spans="1:8" ht="105" x14ac:dyDescent="0.25">
      <c r="A801" t="s">
        <v>929</v>
      </c>
      <c r="B801" s="51" t="str">
        <f>VLOOKUP(A801,policy!B:C,2,0)</f>
        <v>040000182541</v>
      </c>
      <c r="C801" s="46">
        <v>8800</v>
      </c>
      <c r="D801" s="46">
        <v>8800</v>
      </c>
      <c r="E801" s="50" t="s">
        <v>3673</v>
      </c>
      <c r="F801" s="52" t="str">
        <f t="shared" si="36"/>
        <v>insert into ins_premium_det (premium_rcv_code,assorted_code, rec_amount,premium_rcv_detail_code,remaining_amt, payrec, mode_code,coinsurance_code,class_cd,it_remarks) values</v>
      </c>
      <c r="G801" s="53" t="str">
        <f t="shared" si="37"/>
        <v>('22Oct240201','040000182541','8800',(select max(to_number(i.premium_rcv_detail_code))+1
from ins_premium_det i),'8800','8800','02', '11000003','00','Request by Mr. Omair Ali 22-Oct-2024 allocation 22Oct240201');</v>
      </c>
      <c r="H801" s="54" t="str">
        <f t="shared" si="38"/>
        <v>insert into ins_premium_det (premium_rcv_code,assorted_code, rec_amount,premium_rcv_detail_code,remaining_amt, payrec, mode_code,coinsurance_code,class_cd,it_remarks) values('22Oct240201','040000182541','8800',(select max(to_number(i.premium_rcv_detail_code))+1
from ins_premium_det i),'8800','8800','02', '11000003','00','Request by Mr. Omair Ali 22-Oct-2024 allocation 22Oct240201');</v>
      </c>
    </row>
    <row r="802" spans="1:8" ht="105" x14ac:dyDescent="0.25">
      <c r="A802" t="s">
        <v>930</v>
      </c>
      <c r="B802" s="51" t="str">
        <f>VLOOKUP(A802,policy!B:C,2,0)</f>
        <v>040000182542</v>
      </c>
      <c r="C802" s="46">
        <v>8800</v>
      </c>
      <c r="D802" s="46">
        <v>8800</v>
      </c>
      <c r="E802" s="50" t="s">
        <v>3673</v>
      </c>
      <c r="F802" s="52" t="str">
        <f t="shared" si="36"/>
        <v>insert into ins_premium_det (premium_rcv_code,assorted_code, rec_amount,premium_rcv_detail_code,remaining_amt, payrec, mode_code,coinsurance_code,class_cd,it_remarks) values</v>
      </c>
      <c r="G802" s="53" t="str">
        <f t="shared" si="37"/>
        <v>('22Oct240201','040000182542','8800',(select max(to_number(i.premium_rcv_detail_code))+1
from ins_premium_det i),'8800','8800','02', '11000003','00','Request by Mr. Omair Ali 22-Oct-2024 allocation 22Oct240201');</v>
      </c>
      <c r="H802" s="54" t="str">
        <f t="shared" si="38"/>
        <v>insert into ins_premium_det (premium_rcv_code,assorted_code, rec_amount,premium_rcv_detail_code,remaining_amt, payrec, mode_code,coinsurance_code,class_cd,it_remarks) values('22Oct240201','040000182542','8800',(select max(to_number(i.premium_rcv_detail_code))+1
from ins_premium_det i),'8800','8800','02', '11000003','00','Request by Mr. Omair Ali 22-Oct-2024 allocation 22Oct240201');</v>
      </c>
    </row>
    <row r="803" spans="1:8" ht="105" x14ac:dyDescent="0.25">
      <c r="A803" t="s">
        <v>931</v>
      </c>
      <c r="B803" s="51" t="str">
        <f>VLOOKUP(A803,policy!B:C,2,0)</f>
        <v>040000182544</v>
      </c>
      <c r="C803" s="46">
        <v>8800</v>
      </c>
      <c r="D803" s="46">
        <v>8800</v>
      </c>
      <c r="E803" s="50" t="s">
        <v>3673</v>
      </c>
      <c r="F803" s="52" t="str">
        <f t="shared" si="36"/>
        <v>insert into ins_premium_det (premium_rcv_code,assorted_code, rec_amount,premium_rcv_detail_code,remaining_amt, payrec, mode_code,coinsurance_code,class_cd,it_remarks) values</v>
      </c>
      <c r="G803" s="53" t="str">
        <f t="shared" si="37"/>
        <v>('22Oct240201','040000182544','8800',(select max(to_number(i.premium_rcv_detail_code))+1
from ins_premium_det i),'8800','8800','02', '11000003','00','Request by Mr. Omair Ali 22-Oct-2024 allocation 22Oct240201');</v>
      </c>
      <c r="H803" s="54" t="str">
        <f t="shared" si="38"/>
        <v>insert into ins_premium_det (premium_rcv_code,assorted_code, rec_amount,premium_rcv_detail_code,remaining_amt, payrec, mode_code,coinsurance_code,class_cd,it_remarks) values('22Oct240201','040000182544','8800',(select max(to_number(i.premium_rcv_detail_code))+1
from ins_premium_det i),'8800','8800','02', '11000003','00','Request by Mr. Omair Ali 22-Oct-2024 allocation 22Oct240201');</v>
      </c>
    </row>
    <row r="804" spans="1:8" ht="105" x14ac:dyDescent="0.25">
      <c r="A804" t="s">
        <v>932</v>
      </c>
      <c r="B804" s="51" t="str">
        <f>VLOOKUP(A804,policy!B:C,2,0)</f>
        <v>040000182545</v>
      </c>
      <c r="C804" s="46">
        <v>9550</v>
      </c>
      <c r="D804" s="46">
        <v>9550</v>
      </c>
      <c r="E804" s="50" t="s">
        <v>3673</v>
      </c>
      <c r="F804" s="52" t="str">
        <f t="shared" si="36"/>
        <v>insert into ins_premium_det (premium_rcv_code,assorted_code, rec_amount,premium_rcv_detail_code,remaining_amt, payrec, mode_code,coinsurance_code,class_cd,it_remarks) values</v>
      </c>
      <c r="G804" s="53" t="str">
        <f t="shared" si="37"/>
        <v>('22Oct240201','040000182545','9550',(select max(to_number(i.premium_rcv_detail_code))+1
from ins_premium_det i),'9550','9550','02', '11000003','00','Request by Mr. Omair Ali 22-Oct-2024 allocation 22Oct240201');</v>
      </c>
      <c r="H804" s="54" t="str">
        <f t="shared" si="38"/>
        <v>insert into ins_premium_det (premium_rcv_code,assorted_code, rec_amount,premium_rcv_detail_code,remaining_amt, payrec, mode_code,coinsurance_code,class_cd,it_remarks) values('22Oct240201','040000182545','9550',(select max(to_number(i.premium_rcv_detail_code))+1
from ins_premium_det i),'9550','9550','02', '11000003','00','Request by Mr. Omair Ali 22-Oct-2024 allocation 22Oct240201');</v>
      </c>
    </row>
    <row r="805" spans="1:8" ht="105" x14ac:dyDescent="0.25">
      <c r="A805" t="s">
        <v>933</v>
      </c>
      <c r="B805" s="51" t="str">
        <f>VLOOKUP(A805,policy!B:C,2,0)</f>
        <v>040000182546</v>
      </c>
      <c r="C805" s="46">
        <v>14960</v>
      </c>
      <c r="D805" s="46">
        <v>14960</v>
      </c>
      <c r="E805" s="50" t="s">
        <v>3673</v>
      </c>
      <c r="F805" s="52" t="str">
        <f t="shared" si="36"/>
        <v>insert into ins_premium_det (premium_rcv_code,assorted_code, rec_amount,premium_rcv_detail_code,remaining_amt, payrec, mode_code,coinsurance_code,class_cd,it_remarks) values</v>
      </c>
      <c r="G805" s="53" t="str">
        <f t="shared" si="37"/>
        <v>('22Oct240201','040000182546','14960',(select max(to_number(i.premium_rcv_detail_code))+1
from ins_premium_det i),'14960','14960','02', '11000003','00','Request by Mr. Omair Ali 22-Oct-2024 allocation 22Oct240201');</v>
      </c>
      <c r="H805" s="54" t="str">
        <f t="shared" si="38"/>
        <v>insert into ins_premium_det (premium_rcv_code,assorted_code, rec_amount,premium_rcv_detail_code,remaining_amt, payrec, mode_code,coinsurance_code,class_cd,it_remarks) values('22Oct240201','040000182546','14960',(select max(to_number(i.premium_rcv_detail_code))+1
from ins_premium_det i),'14960','14960','02', '11000003','00','Request by Mr. Omair Ali 22-Oct-2024 allocation 22Oct240201');</v>
      </c>
    </row>
    <row r="806" spans="1:8" ht="105" x14ac:dyDescent="0.25">
      <c r="A806" t="s">
        <v>934</v>
      </c>
      <c r="B806" s="51" t="str">
        <f>VLOOKUP(A806,policy!B:C,2,0)</f>
        <v>040000182548</v>
      </c>
      <c r="C806" s="46">
        <v>8800</v>
      </c>
      <c r="D806" s="46">
        <v>8800</v>
      </c>
      <c r="E806" s="50" t="s">
        <v>3673</v>
      </c>
      <c r="F806" s="52" t="str">
        <f t="shared" si="36"/>
        <v>insert into ins_premium_det (premium_rcv_code,assorted_code, rec_amount,premium_rcv_detail_code,remaining_amt, payrec, mode_code,coinsurance_code,class_cd,it_remarks) values</v>
      </c>
      <c r="G806" s="53" t="str">
        <f t="shared" si="37"/>
        <v>('22Oct240201','040000182548','8800',(select max(to_number(i.premium_rcv_detail_code))+1
from ins_premium_det i),'8800','8800','02', '11000003','00','Request by Mr. Omair Ali 22-Oct-2024 allocation 22Oct240201');</v>
      </c>
      <c r="H806" s="54" t="str">
        <f t="shared" si="38"/>
        <v>insert into ins_premium_det (premium_rcv_code,assorted_code, rec_amount,premium_rcv_detail_code,remaining_amt, payrec, mode_code,coinsurance_code,class_cd,it_remarks) values('22Oct240201','040000182548','8800',(select max(to_number(i.premium_rcv_detail_code))+1
from ins_premium_det i),'8800','8800','02', '11000003','00','Request by Mr. Omair Ali 22-Oct-2024 allocation 22Oct240201');</v>
      </c>
    </row>
    <row r="807" spans="1:8" ht="105" x14ac:dyDescent="0.25">
      <c r="A807" t="s">
        <v>935</v>
      </c>
      <c r="B807" s="51" t="str">
        <f>VLOOKUP(A807,policy!B:C,2,0)</f>
        <v>040000182549</v>
      </c>
      <c r="C807" s="46">
        <v>8800</v>
      </c>
      <c r="D807" s="46">
        <v>8800</v>
      </c>
      <c r="E807" s="50" t="s">
        <v>3673</v>
      </c>
      <c r="F807" s="52" t="str">
        <f t="shared" si="36"/>
        <v>insert into ins_premium_det (premium_rcv_code,assorted_code, rec_amount,premium_rcv_detail_code,remaining_amt, payrec, mode_code,coinsurance_code,class_cd,it_remarks) values</v>
      </c>
      <c r="G807" s="53" t="str">
        <f t="shared" si="37"/>
        <v>('22Oct240201','040000182549','8800',(select max(to_number(i.premium_rcv_detail_code))+1
from ins_premium_det i),'8800','8800','02', '11000003','00','Request by Mr. Omair Ali 22-Oct-2024 allocation 22Oct240201');</v>
      </c>
      <c r="H807" s="54" t="str">
        <f t="shared" si="38"/>
        <v>insert into ins_premium_det (premium_rcv_code,assorted_code, rec_amount,premium_rcv_detail_code,remaining_amt, payrec, mode_code,coinsurance_code,class_cd,it_remarks) values('22Oct240201','040000182549','8800',(select max(to_number(i.premium_rcv_detail_code))+1
from ins_premium_det i),'8800','8800','02', '11000003','00','Request by Mr. Omair Ali 22-Oct-2024 allocation 22Oct240201');</v>
      </c>
    </row>
    <row r="808" spans="1:8" ht="105" x14ac:dyDescent="0.25">
      <c r="A808" t="s">
        <v>936</v>
      </c>
      <c r="B808" s="51" t="str">
        <f>VLOOKUP(A808,policy!B:C,2,0)</f>
        <v>040000182550</v>
      </c>
      <c r="C808" s="46">
        <v>14960</v>
      </c>
      <c r="D808" s="46">
        <v>14960</v>
      </c>
      <c r="E808" s="50" t="s">
        <v>3673</v>
      </c>
      <c r="F808" s="52" t="str">
        <f t="shared" si="36"/>
        <v>insert into ins_premium_det (premium_rcv_code,assorted_code, rec_amount,premium_rcv_detail_code,remaining_amt, payrec, mode_code,coinsurance_code,class_cd,it_remarks) values</v>
      </c>
      <c r="G808" s="53" t="str">
        <f t="shared" si="37"/>
        <v>('22Oct240201','040000182550','14960',(select max(to_number(i.premium_rcv_detail_code))+1
from ins_premium_det i),'14960','14960','02', '11000003','00','Request by Mr. Omair Ali 22-Oct-2024 allocation 22Oct240201');</v>
      </c>
      <c r="H808" s="54" t="str">
        <f t="shared" si="38"/>
        <v>insert into ins_premium_det (premium_rcv_code,assorted_code, rec_amount,premium_rcv_detail_code,remaining_amt, payrec, mode_code,coinsurance_code,class_cd,it_remarks) values('22Oct240201','040000182550','14960',(select max(to_number(i.premium_rcv_detail_code))+1
from ins_premium_det i),'14960','14960','02', '11000003','00','Request by Mr. Omair Ali 22-Oct-2024 allocation 22Oct240201');</v>
      </c>
    </row>
    <row r="809" spans="1:8" ht="105" x14ac:dyDescent="0.25">
      <c r="A809" t="s">
        <v>937</v>
      </c>
      <c r="B809" s="51" t="str">
        <f>VLOOKUP(A809,policy!B:C,2,0)</f>
        <v>040000182551</v>
      </c>
      <c r="C809" s="46">
        <v>8800</v>
      </c>
      <c r="D809" s="46">
        <v>8800</v>
      </c>
      <c r="E809" s="50" t="s">
        <v>3673</v>
      </c>
      <c r="F809" s="52" t="str">
        <f t="shared" si="36"/>
        <v>insert into ins_premium_det (premium_rcv_code,assorted_code, rec_amount,premium_rcv_detail_code,remaining_amt, payrec, mode_code,coinsurance_code,class_cd,it_remarks) values</v>
      </c>
      <c r="G809" s="53" t="str">
        <f t="shared" si="37"/>
        <v>('22Oct240201','040000182551','8800',(select max(to_number(i.premium_rcv_detail_code))+1
from ins_premium_det i),'8800','8800','02', '11000003','00','Request by Mr. Omair Ali 22-Oct-2024 allocation 22Oct240201');</v>
      </c>
      <c r="H809" s="54" t="str">
        <f t="shared" si="38"/>
        <v>insert into ins_premium_det (premium_rcv_code,assorted_code, rec_amount,premium_rcv_detail_code,remaining_amt, payrec, mode_code,coinsurance_code,class_cd,it_remarks) values('22Oct240201','040000182551','8800',(select max(to_number(i.premium_rcv_detail_code))+1
from ins_premium_det i),'8800','8800','02', '11000003','00','Request by Mr. Omair Ali 22-Oct-2024 allocation 22Oct240201');</v>
      </c>
    </row>
    <row r="810" spans="1:8" ht="105" x14ac:dyDescent="0.25">
      <c r="A810" t="s">
        <v>938</v>
      </c>
      <c r="B810" s="51" t="str">
        <f>VLOOKUP(A810,policy!B:C,2,0)</f>
        <v>040000182552</v>
      </c>
      <c r="C810" s="46">
        <v>9550</v>
      </c>
      <c r="D810" s="46">
        <v>9550</v>
      </c>
      <c r="E810" s="50" t="s">
        <v>3673</v>
      </c>
      <c r="F810" s="52" t="str">
        <f t="shared" si="36"/>
        <v>insert into ins_premium_det (premium_rcv_code,assorted_code, rec_amount,premium_rcv_detail_code,remaining_amt, payrec, mode_code,coinsurance_code,class_cd,it_remarks) values</v>
      </c>
      <c r="G810" s="53" t="str">
        <f t="shared" si="37"/>
        <v>('22Oct240201','040000182552','9550',(select max(to_number(i.premium_rcv_detail_code))+1
from ins_premium_det i),'9550','9550','02', '11000003','00','Request by Mr. Omair Ali 22-Oct-2024 allocation 22Oct240201');</v>
      </c>
      <c r="H810" s="54" t="str">
        <f t="shared" si="38"/>
        <v>insert into ins_premium_det (premium_rcv_code,assorted_code, rec_amount,premium_rcv_detail_code,remaining_amt, payrec, mode_code,coinsurance_code,class_cd,it_remarks) values('22Oct240201','040000182552','9550',(select max(to_number(i.premium_rcv_detail_code))+1
from ins_premium_det i),'9550','9550','02', '11000003','00','Request by Mr. Omair Ali 22-Oct-2024 allocation 22Oct240201');</v>
      </c>
    </row>
    <row r="811" spans="1:8" ht="105" x14ac:dyDescent="0.25">
      <c r="A811" t="s">
        <v>939</v>
      </c>
      <c r="B811" s="51" t="str">
        <f>VLOOKUP(A811,policy!B:C,2,0)</f>
        <v>040000182553</v>
      </c>
      <c r="C811" s="46">
        <v>8800</v>
      </c>
      <c r="D811" s="46">
        <v>8800</v>
      </c>
      <c r="E811" s="50" t="s">
        <v>3673</v>
      </c>
      <c r="F811" s="52" t="str">
        <f t="shared" si="36"/>
        <v>insert into ins_premium_det (premium_rcv_code,assorted_code, rec_amount,premium_rcv_detail_code,remaining_amt, payrec, mode_code,coinsurance_code,class_cd,it_remarks) values</v>
      </c>
      <c r="G811" s="53" t="str">
        <f t="shared" si="37"/>
        <v>('22Oct240201','040000182553','8800',(select max(to_number(i.premium_rcv_detail_code))+1
from ins_premium_det i),'8800','8800','02', '11000003','00','Request by Mr. Omair Ali 22-Oct-2024 allocation 22Oct240201');</v>
      </c>
      <c r="H811" s="54" t="str">
        <f t="shared" si="38"/>
        <v>insert into ins_premium_det (premium_rcv_code,assorted_code, rec_amount,premium_rcv_detail_code,remaining_amt, payrec, mode_code,coinsurance_code,class_cd,it_remarks) values('22Oct240201','040000182553','8800',(select max(to_number(i.premium_rcv_detail_code))+1
from ins_premium_det i),'8800','8800','02', '11000003','00','Request by Mr. Omair Ali 22-Oct-2024 allocation 22Oct240201');</v>
      </c>
    </row>
    <row r="812" spans="1:8" ht="105" x14ac:dyDescent="0.25">
      <c r="A812" t="s">
        <v>940</v>
      </c>
      <c r="B812" s="51" t="str">
        <f>VLOOKUP(A812,policy!B:C,2,0)</f>
        <v>040000182554</v>
      </c>
      <c r="C812" s="46">
        <v>8800</v>
      </c>
      <c r="D812" s="46">
        <v>8800</v>
      </c>
      <c r="E812" s="50" t="s">
        <v>3673</v>
      </c>
      <c r="F812" s="52" t="str">
        <f t="shared" si="36"/>
        <v>insert into ins_premium_det (premium_rcv_code,assorted_code, rec_amount,premium_rcv_detail_code,remaining_amt, payrec, mode_code,coinsurance_code,class_cd,it_remarks) values</v>
      </c>
      <c r="G812" s="53" t="str">
        <f t="shared" si="37"/>
        <v>('22Oct240201','040000182554','8800',(select max(to_number(i.premium_rcv_detail_code))+1
from ins_premium_det i),'8800','8800','02', '11000003','00','Request by Mr. Omair Ali 22-Oct-2024 allocation 22Oct240201');</v>
      </c>
      <c r="H812" s="54" t="str">
        <f t="shared" si="38"/>
        <v>insert into ins_premium_det (premium_rcv_code,assorted_code, rec_amount,premium_rcv_detail_code,remaining_amt, payrec, mode_code,coinsurance_code,class_cd,it_remarks) values('22Oct240201','040000182554','8800',(select max(to_number(i.premium_rcv_detail_code))+1
from ins_premium_det i),'8800','8800','02', '11000003','00','Request by Mr. Omair Ali 22-Oct-2024 allocation 22Oct240201');</v>
      </c>
    </row>
    <row r="813" spans="1:8" ht="105" x14ac:dyDescent="0.25">
      <c r="A813" t="s">
        <v>941</v>
      </c>
      <c r="B813" s="51" t="str">
        <f>VLOOKUP(A813,policy!B:C,2,0)</f>
        <v>040000182555</v>
      </c>
      <c r="C813" s="46">
        <v>9550</v>
      </c>
      <c r="D813" s="46">
        <v>9550</v>
      </c>
      <c r="E813" s="50" t="s">
        <v>3673</v>
      </c>
      <c r="F813" s="52" t="str">
        <f t="shared" si="36"/>
        <v>insert into ins_premium_det (premium_rcv_code,assorted_code, rec_amount,premium_rcv_detail_code,remaining_amt, payrec, mode_code,coinsurance_code,class_cd,it_remarks) values</v>
      </c>
      <c r="G813" s="53" t="str">
        <f t="shared" si="37"/>
        <v>('22Oct240201','040000182555','9550',(select max(to_number(i.premium_rcv_detail_code))+1
from ins_premium_det i),'9550','9550','02', '11000003','00','Request by Mr. Omair Ali 22-Oct-2024 allocation 22Oct240201');</v>
      </c>
      <c r="H813" s="54" t="str">
        <f t="shared" si="38"/>
        <v>insert into ins_premium_det (premium_rcv_code,assorted_code, rec_amount,premium_rcv_detail_code,remaining_amt, payrec, mode_code,coinsurance_code,class_cd,it_remarks) values('22Oct240201','040000182555','9550',(select max(to_number(i.premium_rcv_detail_code))+1
from ins_premium_det i),'9550','9550','02', '11000003','00','Request by Mr. Omair Ali 22-Oct-2024 allocation 22Oct240201');</v>
      </c>
    </row>
    <row r="814" spans="1:8" ht="105" x14ac:dyDescent="0.25">
      <c r="A814" t="s">
        <v>942</v>
      </c>
      <c r="B814" s="51" t="str">
        <f>VLOOKUP(A814,policy!B:C,2,0)</f>
        <v>040000182556</v>
      </c>
      <c r="C814" s="46">
        <v>9550</v>
      </c>
      <c r="D814" s="46">
        <v>9550</v>
      </c>
      <c r="E814" s="50" t="s">
        <v>3673</v>
      </c>
      <c r="F814" s="52" t="str">
        <f t="shared" si="36"/>
        <v>insert into ins_premium_det (premium_rcv_code,assorted_code, rec_amount,premium_rcv_detail_code,remaining_amt, payrec, mode_code,coinsurance_code,class_cd,it_remarks) values</v>
      </c>
      <c r="G814" s="53" t="str">
        <f t="shared" si="37"/>
        <v>('22Oct240201','040000182556','9550',(select max(to_number(i.premium_rcv_detail_code))+1
from ins_premium_det i),'9550','9550','02', '11000003','00','Request by Mr. Omair Ali 22-Oct-2024 allocation 22Oct240201');</v>
      </c>
      <c r="H814" s="54" t="str">
        <f t="shared" si="38"/>
        <v>insert into ins_premium_det (premium_rcv_code,assorted_code, rec_amount,premium_rcv_detail_code,remaining_amt, payrec, mode_code,coinsurance_code,class_cd,it_remarks) values('22Oct240201','040000182556','9550',(select max(to_number(i.premium_rcv_detail_code))+1
from ins_premium_det i),'9550','9550','02', '11000003','00','Request by Mr. Omair Ali 22-Oct-2024 allocation 22Oct240201');</v>
      </c>
    </row>
    <row r="815" spans="1:8" ht="105" x14ac:dyDescent="0.25">
      <c r="A815" t="s">
        <v>943</v>
      </c>
      <c r="B815" s="51" t="str">
        <f>VLOOKUP(A815,policy!B:C,2,0)</f>
        <v>040000182557</v>
      </c>
      <c r="C815" s="46">
        <v>8800</v>
      </c>
      <c r="D815" s="46">
        <v>8800</v>
      </c>
      <c r="E815" s="50" t="s">
        <v>3673</v>
      </c>
      <c r="F815" s="52" t="str">
        <f t="shared" si="36"/>
        <v>insert into ins_premium_det (premium_rcv_code,assorted_code, rec_amount,premium_rcv_detail_code,remaining_amt, payrec, mode_code,coinsurance_code,class_cd,it_remarks) values</v>
      </c>
      <c r="G815" s="53" t="str">
        <f t="shared" si="37"/>
        <v>('22Oct240201','040000182557','8800',(select max(to_number(i.premium_rcv_detail_code))+1
from ins_premium_det i),'8800','8800','02', '11000003','00','Request by Mr. Omair Ali 22-Oct-2024 allocation 22Oct240201');</v>
      </c>
      <c r="H815" s="54" t="str">
        <f t="shared" si="38"/>
        <v>insert into ins_premium_det (premium_rcv_code,assorted_code, rec_amount,premium_rcv_detail_code,remaining_amt, payrec, mode_code,coinsurance_code,class_cd,it_remarks) values('22Oct240201','040000182557','8800',(select max(to_number(i.premium_rcv_detail_code))+1
from ins_premium_det i),'8800','8800','02', '11000003','00','Request by Mr. Omair Ali 22-Oct-2024 allocation 22Oct240201');</v>
      </c>
    </row>
    <row r="816" spans="1:8" ht="105" x14ac:dyDescent="0.25">
      <c r="A816" t="s">
        <v>944</v>
      </c>
      <c r="B816" s="51" t="str">
        <f>VLOOKUP(A816,policy!B:C,2,0)</f>
        <v>040000182560</v>
      </c>
      <c r="C816" s="46">
        <v>12475</v>
      </c>
      <c r="D816" s="46">
        <v>12475</v>
      </c>
      <c r="E816" s="50" t="s">
        <v>3673</v>
      </c>
      <c r="F816" s="52" t="str">
        <f t="shared" si="36"/>
        <v>insert into ins_premium_det (premium_rcv_code,assorted_code, rec_amount,premium_rcv_detail_code,remaining_amt, payrec, mode_code,coinsurance_code,class_cd,it_remarks) values</v>
      </c>
      <c r="G816" s="53" t="str">
        <f t="shared" si="37"/>
        <v>('22Oct240201','040000182560','12475',(select max(to_number(i.premium_rcv_detail_code))+1
from ins_premium_det i),'12475','12475','02', '11000003','00','Request by Mr. Omair Ali 22-Oct-2024 allocation 22Oct240201');</v>
      </c>
      <c r="H816" s="54" t="str">
        <f t="shared" si="38"/>
        <v>insert into ins_premium_det (premium_rcv_code,assorted_code, rec_amount,premium_rcv_detail_code,remaining_amt, payrec, mode_code,coinsurance_code,class_cd,it_remarks) values('22Oct240201','040000182560','12475',(select max(to_number(i.premium_rcv_detail_code))+1
from ins_premium_det i),'12475','12475','02', '11000003','00','Request by Mr. Omair Ali 22-Oct-2024 allocation 22Oct240201');</v>
      </c>
    </row>
    <row r="817" spans="1:8" ht="105" x14ac:dyDescent="0.25">
      <c r="A817" t="s">
        <v>945</v>
      </c>
      <c r="B817" s="51" t="str">
        <f>VLOOKUP(A817,policy!B:C,2,0)</f>
        <v>040000182561</v>
      </c>
      <c r="C817" s="46">
        <v>12475</v>
      </c>
      <c r="D817" s="46">
        <v>12475</v>
      </c>
      <c r="E817" s="50" t="s">
        <v>3673</v>
      </c>
      <c r="F817" s="52" t="str">
        <f t="shared" si="36"/>
        <v>insert into ins_premium_det (premium_rcv_code,assorted_code, rec_amount,premium_rcv_detail_code,remaining_amt, payrec, mode_code,coinsurance_code,class_cd,it_remarks) values</v>
      </c>
      <c r="G817" s="53" t="str">
        <f t="shared" si="37"/>
        <v>('22Oct240201','040000182561','12475',(select max(to_number(i.premium_rcv_detail_code))+1
from ins_premium_det i),'12475','12475','02', '11000003','00','Request by Mr. Omair Ali 22-Oct-2024 allocation 22Oct240201');</v>
      </c>
      <c r="H817" s="54" t="str">
        <f t="shared" si="38"/>
        <v>insert into ins_premium_det (premium_rcv_code,assorted_code, rec_amount,premium_rcv_detail_code,remaining_amt, payrec, mode_code,coinsurance_code,class_cd,it_remarks) values('22Oct240201','040000182561','12475',(select max(to_number(i.premium_rcv_detail_code))+1
from ins_premium_det i),'12475','12475','02', '11000003','00','Request by Mr. Omair Ali 22-Oct-2024 allocation 22Oct240201');</v>
      </c>
    </row>
    <row r="818" spans="1:8" ht="105" x14ac:dyDescent="0.25">
      <c r="A818" t="s">
        <v>946</v>
      </c>
      <c r="B818" s="51" t="str">
        <f>VLOOKUP(A818,policy!B:C,2,0)</f>
        <v>040000182576</v>
      </c>
      <c r="C818" s="46">
        <v>14960</v>
      </c>
      <c r="D818" s="46">
        <v>14960</v>
      </c>
      <c r="E818" s="50" t="s">
        <v>3673</v>
      </c>
      <c r="F818" s="52" t="str">
        <f t="shared" si="36"/>
        <v>insert into ins_premium_det (premium_rcv_code,assorted_code, rec_amount,premium_rcv_detail_code,remaining_amt, payrec, mode_code,coinsurance_code,class_cd,it_remarks) values</v>
      </c>
      <c r="G818" s="53" t="str">
        <f t="shared" si="37"/>
        <v>('22Oct240201','040000182576','14960',(select max(to_number(i.premium_rcv_detail_code))+1
from ins_premium_det i),'14960','14960','02', '11000003','00','Request by Mr. Omair Ali 22-Oct-2024 allocation 22Oct240201');</v>
      </c>
      <c r="H818" s="54" t="str">
        <f t="shared" si="38"/>
        <v>insert into ins_premium_det (premium_rcv_code,assorted_code, rec_amount,premium_rcv_detail_code,remaining_amt, payrec, mode_code,coinsurance_code,class_cd,it_remarks) values('22Oct240201','040000182576','14960',(select max(to_number(i.premium_rcv_detail_code))+1
from ins_premium_det i),'14960','14960','02', '11000003','00','Request by Mr. Omair Ali 22-Oct-2024 allocation 22Oct240201');</v>
      </c>
    </row>
    <row r="819" spans="1:8" ht="105" x14ac:dyDescent="0.25">
      <c r="A819" t="s">
        <v>947</v>
      </c>
      <c r="B819" s="51" t="str">
        <f>VLOOKUP(A819,policy!B:C,2,0)</f>
        <v>040000182577</v>
      </c>
      <c r="C819" s="46">
        <v>14960</v>
      </c>
      <c r="D819" s="46">
        <v>14960</v>
      </c>
      <c r="E819" s="50" t="s">
        <v>3673</v>
      </c>
      <c r="F819" s="52" t="str">
        <f t="shared" si="36"/>
        <v>insert into ins_premium_det (premium_rcv_code,assorted_code, rec_amount,premium_rcv_detail_code,remaining_amt, payrec, mode_code,coinsurance_code,class_cd,it_remarks) values</v>
      </c>
      <c r="G819" s="53" t="str">
        <f t="shared" si="37"/>
        <v>('22Oct240201','040000182577','14960',(select max(to_number(i.premium_rcv_detail_code))+1
from ins_premium_det i),'14960','14960','02', '11000003','00','Request by Mr. Omair Ali 22-Oct-2024 allocation 22Oct240201');</v>
      </c>
      <c r="H819" s="54" t="str">
        <f t="shared" si="38"/>
        <v>insert into ins_premium_det (premium_rcv_code,assorted_code, rec_amount,premium_rcv_detail_code,remaining_amt, payrec, mode_code,coinsurance_code,class_cd,it_remarks) values('22Oct240201','040000182577','14960',(select max(to_number(i.premium_rcv_detail_code))+1
from ins_premium_det i),'14960','14960','02', '11000003','00','Request by Mr. Omair Ali 22-Oct-2024 allocation 22Oct240201');</v>
      </c>
    </row>
    <row r="820" spans="1:8" ht="105" x14ac:dyDescent="0.25">
      <c r="A820" t="s">
        <v>948</v>
      </c>
      <c r="B820" s="51" t="str">
        <f>VLOOKUP(A820,policy!B:C,2,0)</f>
        <v>040000182582</v>
      </c>
      <c r="C820" s="46">
        <v>16235</v>
      </c>
      <c r="D820" s="46">
        <v>16235</v>
      </c>
      <c r="E820" s="50" t="s">
        <v>3673</v>
      </c>
      <c r="F820" s="52" t="str">
        <f t="shared" si="36"/>
        <v>insert into ins_premium_det (premium_rcv_code,assorted_code, rec_amount,premium_rcv_detail_code,remaining_amt, payrec, mode_code,coinsurance_code,class_cd,it_remarks) values</v>
      </c>
      <c r="G820" s="53" t="str">
        <f t="shared" si="37"/>
        <v>('22Oct240201','040000182582','16235',(select max(to_number(i.premium_rcv_detail_code))+1
from ins_premium_det i),'16235','16235','02', '11000003','00','Request by Mr. Omair Ali 22-Oct-2024 allocation 22Oct240201');</v>
      </c>
      <c r="H820" s="54" t="str">
        <f t="shared" si="38"/>
        <v>insert into ins_premium_det (premium_rcv_code,assorted_code, rec_amount,premium_rcv_detail_code,remaining_amt, payrec, mode_code,coinsurance_code,class_cd,it_remarks) values('22Oct240201','040000182582','16235',(select max(to_number(i.premium_rcv_detail_code))+1
from ins_premium_det i),'16235','16235','02', '11000003','00','Request by Mr. Omair Ali 22-Oct-2024 allocation 22Oct240201');</v>
      </c>
    </row>
    <row r="821" spans="1:8" ht="105" x14ac:dyDescent="0.25">
      <c r="A821" t="s">
        <v>949</v>
      </c>
      <c r="B821" s="51" t="str">
        <f>VLOOKUP(A821,policy!B:C,2,0)</f>
        <v>040000182583</v>
      </c>
      <c r="C821" s="46">
        <v>16235</v>
      </c>
      <c r="D821" s="46">
        <v>16235</v>
      </c>
      <c r="E821" s="50" t="s">
        <v>3673</v>
      </c>
      <c r="F821" s="52" t="str">
        <f t="shared" si="36"/>
        <v>insert into ins_premium_det (premium_rcv_code,assorted_code, rec_amount,premium_rcv_detail_code,remaining_amt, payrec, mode_code,coinsurance_code,class_cd,it_remarks) values</v>
      </c>
      <c r="G821" s="53" t="str">
        <f t="shared" si="37"/>
        <v>('22Oct240201','040000182583','16235',(select max(to_number(i.premium_rcv_detail_code))+1
from ins_premium_det i),'16235','16235','02', '11000003','00','Request by Mr. Omair Ali 22-Oct-2024 allocation 22Oct240201');</v>
      </c>
      <c r="H821" s="54" t="str">
        <f t="shared" si="38"/>
        <v>insert into ins_premium_det (premium_rcv_code,assorted_code, rec_amount,premium_rcv_detail_code,remaining_amt, payrec, mode_code,coinsurance_code,class_cd,it_remarks) values('22Oct240201','040000182583','16235',(select max(to_number(i.premium_rcv_detail_code))+1
from ins_premium_det i),'16235','16235','02', '11000003','00','Request by Mr. Omair Ali 22-Oct-2024 allocation 22Oct240201');</v>
      </c>
    </row>
    <row r="822" spans="1:8" ht="105" x14ac:dyDescent="0.25">
      <c r="A822" t="s">
        <v>950</v>
      </c>
      <c r="B822" s="51" t="str">
        <f>VLOOKUP(A822,policy!B:C,2,0)</f>
        <v>040000182590</v>
      </c>
      <c r="C822" s="46">
        <v>16235</v>
      </c>
      <c r="D822" s="46">
        <v>16235</v>
      </c>
      <c r="E822" s="50" t="s">
        <v>3673</v>
      </c>
      <c r="F822" s="52" t="str">
        <f t="shared" si="36"/>
        <v>insert into ins_premium_det (premium_rcv_code,assorted_code, rec_amount,premium_rcv_detail_code,remaining_amt, payrec, mode_code,coinsurance_code,class_cd,it_remarks) values</v>
      </c>
      <c r="G822" s="53" t="str">
        <f t="shared" si="37"/>
        <v>('22Oct240201','040000182590','16235',(select max(to_number(i.premium_rcv_detail_code))+1
from ins_premium_det i),'16235','16235','02', '11000003','00','Request by Mr. Omair Ali 22-Oct-2024 allocation 22Oct240201');</v>
      </c>
      <c r="H822" s="54" t="str">
        <f t="shared" si="38"/>
        <v>insert into ins_premium_det (premium_rcv_code,assorted_code, rec_amount,premium_rcv_detail_code,remaining_amt, payrec, mode_code,coinsurance_code,class_cd,it_remarks) values('22Oct240201','040000182590','16235',(select max(to_number(i.premium_rcv_detail_code))+1
from ins_premium_det i),'16235','16235','02', '11000003','00','Request by Mr. Omair Ali 22-Oct-2024 allocation 22Oct240201');</v>
      </c>
    </row>
    <row r="823" spans="1:8" ht="105" x14ac:dyDescent="0.25">
      <c r="A823" t="s">
        <v>951</v>
      </c>
      <c r="B823" s="51" t="str">
        <f>VLOOKUP(A823,policy!B:C,2,0)</f>
        <v>040000182594</v>
      </c>
      <c r="C823" s="46">
        <v>12475</v>
      </c>
      <c r="D823" s="46">
        <v>12475</v>
      </c>
      <c r="E823" s="50" t="s">
        <v>3673</v>
      </c>
      <c r="F823" s="52" t="str">
        <f t="shared" si="36"/>
        <v>insert into ins_premium_det (premium_rcv_code,assorted_code, rec_amount,premium_rcv_detail_code,remaining_amt, payrec, mode_code,coinsurance_code,class_cd,it_remarks) values</v>
      </c>
      <c r="G823" s="53" t="str">
        <f t="shared" si="37"/>
        <v>('22Oct240201','040000182594','12475',(select max(to_number(i.premium_rcv_detail_code))+1
from ins_premium_det i),'12475','12475','02', '11000003','00','Request by Mr. Omair Ali 22-Oct-2024 allocation 22Oct240201');</v>
      </c>
      <c r="H823" s="54" t="str">
        <f t="shared" si="38"/>
        <v>insert into ins_premium_det (premium_rcv_code,assorted_code, rec_amount,premium_rcv_detail_code,remaining_amt, payrec, mode_code,coinsurance_code,class_cd,it_remarks) values('22Oct240201','040000182594','12475',(select max(to_number(i.premium_rcv_detail_code))+1
from ins_premium_det i),'12475','12475','02', '11000003','00','Request by Mr. Omair Ali 22-Oct-2024 allocation 22Oct240201');</v>
      </c>
    </row>
    <row r="824" spans="1:8" ht="105" x14ac:dyDescent="0.25">
      <c r="A824" t="s">
        <v>952</v>
      </c>
      <c r="B824" s="51" t="str">
        <f>VLOOKUP(A824,policy!B:C,2,0)</f>
        <v>040000182598</v>
      </c>
      <c r="C824" s="46">
        <v>14960</v>
      </c>
      <c r="D824" s="46">
        <v>14960</v>
      </c>
      <c r="E824" s="50" t="s">
        <v>3673</v>
      </c>
      <c r="F824" s="52" t="str">
        <f t="shared" si="36"/>
        <v>insert into ins_premium_det (premium_rcv_code,assorted_code, rec_amount,premium_rcv_detail_code,remaining_amt, payrec, mode_code,coinsurance_code,class_cd,it_remarks) values</v>
      </c>
      <c r="G824" s="53" t="str">
        <f t="shared" si="37"/>
        <v>('22Oct240201','040000182598','14960',(select max(to_number(i.premium_rcv_detail_code))+1
from ins_premium_det i),'14960','14960','02', '11000003','00','Request by Mr. Omair Ali 22-Oct-2024 allocation 22Oct240201');</v>
      </c>
      <c r="H824" s="54" t="str">
        <f t="shared" si="38"/>
        <v>insert into ins_premium_det (premium_rcv_code,assorted_code, rec_amount,premium_rcv_detail_code,remaining_amt, payrec, mode_code,coinsurance_code,class_cd,it_remarks) values('22Oct240201','040000182598','14960',(select max(to_number(i.premium_rcv_detail_code))+1
from ins_premium_det i),'14960','14960','02', '11000003','00','Request by Mr. Omair Ali 22-Oct-2024 allocation 22Oct240201');</v>
      </c>
    </row>
    <row r="825" spans="1:8" ht="105" x14ac:dyDescent="0.25">
      <c r="A825" t="s">
        <v>953</v>
      </c>
      <c r="B825" s="51" t="str">
        <f>VLOOKUP(A825,policy!B:C,2,0)</f>
        <v>040000182599</v>
      </c>
      <c r="C825" s="46">
        <v>14960</v>
      </c>
      <c r="D825" s="46">
        <v>14960</v>
      </c>
      <c r="E825" s="50" t="s">
        <v>3673</v>
      </c>
      <c r="F825" s="52" t="str">
        <f t="shared" si="36"/>
        <v>insert into ins_premium_det (premium_rcv_code,assorted_code, rec_amount,premium_rcv_detail_code,remaining_amt, payrec, mode_code,coinsurance_code,class_cd,it_remarks) values</v>
      </c>
      <c r="G825" s="53" t="str">
        <f t="shared" si="37"/>
        <v>('22Oct240201','040000182599','14960',(select max(to_number(i.premium_rcv_detail_code))+1
from ins_premium_det i),'14960','14960','02', '11000003','00','Request by Mr. Omair Ali 22-Oct-2024 allocation 22Oct240201');</v>
      </c>
      <c r="H825" s="54" t="str">
        <f t="shared" si="38"/>
        <v>insert into ins_premium_det (premium_rcv_code,assorted_code, rec_amount,premium_rcv_detail_code,remaining_amt, payrec, mode_code,coinsurance_code,class_cd,it_remarks) values('22Oct240201','040000182599','14960',(select max(to_number(i.premium_rcv_detail_code))+1
from ins_premium_det i),'14960','14960','02', '11000003','00','Request by Mr. Omair Ali 22-Oct-2024 allocation 22Oct240201');</v>
      </c>
    </row>
    <row r="826" spans="1:8" ht="105" x14ac:dyDescent="0.25">
      <c r="A826" t="s">
        <v>954</v>
      </c>
      <c r="B826" s="51" t="str">
        <f>VLOOKUP(A826,policy!B:C,2,0)</f>
        <v>040000182605</v>
      </c>
      <c r="C826" s="46">
        <v>14960</v>
      </c>
      <c r="D826" s="46">
        <v>14960</v>
      </c>
      <c r="E826" s="50" t="s">
        <v>3673</v>
      </c>
      <c r="F826" s="52" t="str">
        <f t="shared" si="36"/>
        <v>insert into ins_premium_det (premium_rcv_code,assorted_code, rec_amount,premium_rcv_detail_code,remaining_amt, payrec, mode_code,coinsurance_code,class_cd,it_remarks) values</v>
      </c>
      <c r="G826" s="53" t="str">
        <f t="shared" si="37"/>
        <v>('22Oct240201','040000182605','14960',(select max(to_number(i.premium_rcv_detail_code))+1
from ins_premium_det i),'14960','14960','02', '11000003','00','Request by Mr. Omair Ali 22-Oct-2024 allocation 22Oct240201');</v>
      </c>
      <c r="H826" s="54" t="str">
        <f t="shared" si="38"/>
        <v>insert into ins_premium_det (premium_rcv_code,assorted_code, rec_amount,premium_rcv_detail_code,remaining_amt, payrec, mode_code,coinsurance_code,class_cd,it_remarks) values('22Oct240201','040000182605','14960',(select max(to_number(i.premium_rcv_detail_code))+1
from ins_premium_det i),'14960','14960','02', '11000003','00','Request by Mr. Omair Ali 22-Oct-2024 allocation 22Oct240201');</v>
      </c>
    </row>
    <row r="827" spans="1:8" ht="105" x14ac:dyDescent="0.25">
      <c r="A827" t="s">
        <v>955</v>
      </c>
      <c r="B827" s="51" t="str">
        <f>VLOOKUP(A827,policy!B:C,2,0)</f>
        <v>040000182607</v>
      </c>
      <c r="C827" s="46">
        <v>14960</v>
      </c>
      <c r="D827" s="46">
        <v>14960</v>
      </c>
      <c r="E827" s="50" t="s">
        <v>3673</v>
      </c>
      <c r="F827" s="52" t="str">
        <f t="shared" si="36"/>
        <v>insert into ins_premium_det (premium_rcv_code,assorted_code, rec_amount,premium_rcv_detail_code,remaining_amt, payrec, mode_code,coinsurance_code,class_cd,it_remarks) values</v>
      </c>
      <c r="G827" s="53" t="str">
        <f t="shared" si="37"/>
        <v>('22Oct240201','040000182607','14960',(select max(to_number(i.premium_rcv_detail_code))+1
from ins_premium_det i),'14960','14960','02', '11000003','00','Request by Mr. Omair Ali 22-Oct-2024 allocation 22Oct240201');</v>
      </c>
      <c r="H827" s="54" t="str">
        <f t="shared" si="38"/>
        <v>insert into ins_premium_det (premium_rcv_code,assorted_code, rec_amount,premium_rcv_detail_code,remaining_amt, payrec, mode_code,coinsurance_code,class_cd,it_remarks) values('22Oct240201','040000182607','14960',(select max(to_number(i.premium_rcv_detail_code))+1
from ins_premium_det i),'14960','14960','02', '11000003','00','Request by Mr. Omair Ali 22-Oct-2024 allocation 22Oct240201');</v>
      </c>
    </row>
    <row r="828" spans="1:8" ht="105" x14ac:dyDescent="0.25">
      <c r="A828" t="s">
        <v>956</v>
      </c>
      <c r="B828" s="51" t="str">
        <f>VLOOKUP(A828,policy!B:C,2,0)</f>
        <v>040000182618</v>
      </c>
      <c r="C828" s="46">
        <v>14960</v>
      </c>
      <c r="D828" s="46">
        <v>14960</v>
      </c>
      <c r="E828" s="50" t="s">
        <v>3673</v>
      </c>
      <c r="F828" s="52" t="str">
        <f t="shared" si="36"/>
        <v>insert into ins_premium_det (premium_rcv_code,assorted_code, rec_amount,premium_rcv_detail_code,remaining_amt, payrec, mode_code,coinsurance_code,class_cd,it_remarks) values</v>
      </c>
      <c r="G828" s="53" t="str">
        <f t="shared" si="37"/>
        <v>('22Oct240201','040000182618','14960',(select max(to_number(i.premium_rcv_detail_code))+1
from ins_premium_det i),'14960','14960','02', '11000003','00','Request by Mr. Omair Ali 22-Oct-2024 allocation 22Oct240201');</v>
      </c>
      <c r="H828" s="54" t="str">
        <f t="shared" si="38"/>
        <v>insert into ins_premium_det (premium_rcv_code,assorted_code, rec_amount,premium_rcv_detail_code,remaining_amt, payrec, mode_code,coinsurance_code,class_cd,it_remarks) values('22Oct240201','040000182618','14960',(select max(to_number(i.premium_rcv_detail_code))+1
from ins_premium_det i),'14960','14960','02', '11000003','00','Request by Mr. Omair Ali 22-Oct-2024 allocation 22Oct240201');</v>
      </c>
    </row>
    <row r="829" spans="1:8" ht="105" x14ac:dyDescent="0.25">
      <c r="A829" t="s">
        <v>957</v>
      </c>
      <c r="B829" s="51" t="str">
        <f>VLOOKUP(A829,policy!B:C,2,0)</f>
        <v>040000182619</v>
      </c>
      <c r="C829" s="46">
        <v>14960</v>
      </c>
      <c r="D829" s="46">
        <v>14960</v>
      </c>
      <c r="E829" s="50" t="s">
        <v>3673</v>
      </c>
      <c r="F829" s="52" t="str">
        <f t="shared" si="36"/>
        <v>insert into ins_premium_det (premium_rcv_code,assorted_code, rec_amount,premium_rcv_detail_code,remaining_amt, payrec, mode_code,coinsurance_code,class_cd,it_remarks) values</v>
      </c>
      <c r="G829" s="53" t="str">
        <f t="shared" si="37"/>
        <v>('22Oct240201','040000182619','14960',(select max(to_number(i.premium_rcv_detail_code))+1
from ins_premium_det i),'14960','14960','02', '11000003','00','Request by Mr. Omair Ali 22-Oct-2024 allocation 22Oct240201');</v>
      </c>
      <c r="H829" s="54" t="str">
        <f t="shared" si="38"/>
        <v>insert into ins_premium_det (premium_rcv_code,assorted_code, rec_amount,premium_rcv_detail_code,remaining_amt, payrec, mode_code,coinsurance_code,class_cd,it_remarks) values('22Oct240201','040000182619','14960',(select max(to_number(i.premium_rcv_detail_code))+1
from ins_premium_det i),'14960','14960','02', '11000003','00','Request by Mr. Omair Ali 22-Oct-2024 allocation 22Oct240201');</v>
      </c>
    </row>
    <row r="830" spans="1:8" ht="105" x14ac:dyDescent="0.25">
      <c r="A830" t="s">
        <v>958</v>
      </c>
      <c r="B830" s="51" t="str">
        <f>VLOOKUP(A830,policy!B:C,2,0)</f>
        <v>040000182622</v>
      </c>
      <c r="C830" s="46">
        <v>16235</v>
      </c>
      <c r="D830" s="46">
        <v>16235</v>
      </c>
      <c r="E830" s="50" t="s">
        <v>3673</v>
      </c>
      <c r="F830" s="52" t="str">
        <f t="shared" si="36"/>
        <v>insert into ins_premium_det (premium_rcv_code,assorted_code, rec_amount,premium_rcv_detail_code,remaining_amt, payrec, mode_code,coinsurance_code,class_cd,it_remarks) values</v>
      </c>
      <c r="G830" s="53" t="str">
        <f t="shared" si="37"/>
        <v>('22Oct240201','040000182622','16235',(select max(to_number(i.premium_rcv_detail_code))+1
from ins_premium_det i),'16235','16235','02', '11000003','00','Request by Mr. Omair Ali 22-Oct-2024 allocation 22Oct240201');</v>
      </c>
      <c r="H830" s="54" t="str">
        <f t="shared" si="38"/>
        <v>insert into ins_premium_det (premium_rcv_code,assorted_code, rec_amount,premium_rcv_detail_code,remaining_amt, payrec, mode_code,coinsurance_code,class_cd,it_remarks) values('22Oct240201','040000182622','16235',(select max(to_number(i.premium_rcv_detail_code))+1
from ins_premium_det i),'16235','16235','02', '11000003','00','Request by Mr. Omair Ali 22-Oct-2024 allocation 22Oct240201');</v>
      </c>
    </row>
    <row r="831" spans="1:8" ht="105" x14ac:dyDescent="0.25">
      <c r="A831" t="s">
        <v>959</v>
      </c>
      <c r="B831" s="51" t="str">
        <f>VLOOKUP(A831,policy!B:C,2,0)</f>
        <v>040000182623</v>
      </c>
      <c r="C831" s="46">
        <v>16235</v>
      </c>
      <c r="D831" s="46">
        <v>16235</v>
      </c>
      <c r="E831" s="50" t="s">
        <v>3673</v>
      </c>
      <c r="F831" s="52" t="str">
        <f t="shared" si="36"/>
        <v>insert into ins_premium_det (premium_rcv_code,assorted_code, rec_amount,premium_rcv_detail_code,remaining_amt, payrec, mode_code,coinsurance_code,class_cd,it_remarks) values</v>
      </c>
      <c r="G831" s="53" t="str">
        <f t="shared" si="37"/>
        <v>('22Oct240201','040000182623','16235',(select max(to_number(i.premium_rcv_detail_code))+1
from ins_premium_det i),'16235','16235','02', '11000003','00','Request by Mr. Omair Ali 22-Oct-2024 allocation 22Oct240201');</v>
      </c>
      <c r="H831" s="54" t="str">
        <f t="shared" si="38"/>
        <v>insert into ins_premium_det (premium_rcv_code,assorted_code, rec_amount,premium_rcv_detail_code,remaining_amt, payrec, mode_code,coinsurance_code,class_cd,it_remarks) values('22Oct240201','040000182623','16235',(select max(to_number(i.premium_rcv_detail_code))+1
from ins_premium_det i),'16235','16235','02', '11000003','00','Request by Mr. Omair Ali 22-Oct-2024 allocation 22Oct240201');</v>
      </c>
    </row>
    <row r="832" spans="1:8" ht="105" x14ac:dyDescent="0.25">
      <c r="A832" t="s">
        <v>960</v>
      </c>
      <c r="B832" s="51" t="str">
        <f>VLOOKUP(A832,policy!B:C,2,0)</f>
        <v>040000182631</v>
      </c>
      <c r="C832" s="46">
        <v>14960</v>
      </c>
      <c r="D832" s="46">
        <v>14960</v>
      </c>
      <c r="E832" s="50" t="s">
        <v>3673</v>
      </c>
      <c r="F832" s="52" t="str">
        <f t="shared" si="36"/>
        <v>insert into ins_premium_det (premium_rcv_code,assorted_code, rec_amount,premium_rcv_detail_code,remaining_amt, payrec, mode_code,coinsurance_code,class_cd,it_remarks) values</v>
      </c>
      <c r="G832" s="53" t="str">
        <f t="shared" si="37"/>
        <v>('22Oct240201','040000182631','14960',(select max(to_number(i.premium_rcv_detail_code))+1
from ins_premium_det i),'14960','14960','02', '11000003','00','Request by Mr. Omair Ali 22-Oct-2024 allocation 22Oct240201');</v>
      </c>
      <c r="H832" s="54" t="str">
        <f t="shared" si="38"/>
        <v>insert into ins_premium_det (premium_rcv_code,assorted_code, rec_amount,premium_rcv_detail_code,remaining_amt, payrec, mode_code,coinsurance_code,class_cd,it_remarks) values('22Oct240201','040000182631','14960',(select max(to_number(i.premium_rcv_detail_code))+1
from ins_premium_det i),'14960','14960','02', '11000003','00','Request by Mr. Omair Ali 22-Oct-2024 allocation 22Oct240201');</v>
      </c>
    </row>
    <row r="833" spans="1:8" ht="105" x14ac:dyDescent="0.25">
      <c r="A833" t="s">
        <v>961</v>
      </c>
      <c r="B833" s="51" t="str">
        <f>VLOOKUP(A833,policy!B:C,2,0)</f>
        <v>040000182632</v>
      </c>
      <c r="C833" s="46">
        <v>16235</v>
      </c>
      <c r="D833" s="46">
        <v>16235</v>
      </c>
      <c r="E833" s="50" t="s">
        <v>3673</v>
      </c>
      <c r="F833" s="52" t="str">
        <f t="shared" si="36"/>
        <v>insert into ins_premium_det (premium_rcv_code,assorted_code, rec_amount,premium_rcv_detail_code,remaining_amt, payrec, mode_code,coinsurance_code,class_cd,it_remarks) values</v>
      </c>
      <c r="G833" s="53" t="str">
        <f t="shared" si="37"/>
        <v>('22Oct240201','040000182632','16235',(select max(to_number(i.premium_rcv_detail_code))+1
from ins_premium_det i),'16235','16235','02', '11000003','00','Request by Mr. Omair Ali 22-Oct-2024 allocation 22Oct240201');</v>
      </c>
      <c r="H833" s="54" t="str">
        <f t="shared" si="38"/>
        <v>insert into ins_premium_det (premium_rcv_code,assorted_code, rec_amount,premium_rcv_detail_code,remaining_amt, payrec, mode_code,coinsurance_code,class_cd,it_remarks) values('22Oct240201','040000182632','16235',(select max(to_number(i.premium_rcv_detail_code))+1
from ins_premium_det i),'16235','16235','02', '11000003','00','Request by Mr. Omair Ali 22-Oct-2024 allocation 22Oct240201');</v>
      </c>
    </row>
    <row r="834" spans="1:8" ht="105" x14ac:dyDescent="0.25">
      <c r="A834" t="s">
        <v>962</v>
      </c>
      <c r="B834" s="51" t="str">
        <f>VLOOKUP(A834,policy!B:C,2,0)</f>
        <v>040000182633</v>
      </c>
      <c r="C834" s="46">
        <v>16235</v>
      </c>
      <c r="D834" s="46">
        <v>16235</v>
      </c>
      <c r="E834" s="50" t="s">
        <v>3673</v>
      </c>
      <c r="F834" s="52" t="str">
        <f t="shared" ref="F834:F897" si="39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834" s="53" t="str">
        <f t="shared" si="37"/>
        <v>('22Oct240201','040000182633','16235',(select max(to_number(i.premium_rcv_detail_code))+1
from ins_premium_det i),'16235','16235','02', '11000003','00','Request by Mr. Omair Ali 22-Oct-2024 allocation 22Oct240201');</v>
      </c>
      <c r="H834" s="54" t="str">
        <f t="shared" si="38"/>
        <v>insert into ins_premium_det (premium_rcv_code,assorted_code, rec_amount,premium_rcv_detail_code,remaining_amt, payrec, mode_code,coinsurance_code,class_cd,it_remarks) values('22Oct240201','040000182633','16235',(select max(to_number(i.premium_rcv_detail_code))+1
from ins_premium_det i),'16235','16235','02', '11000003','00','Request by Mr. Omair Ali 22-Oct-2024 allocation 22Oct240201');</v>
      </c>
    </row>
    <row r="835" spans="1:8" ht="105" x14ac:dyDescent="0.25">
      <c r="A835" t="s">
        <v>963</v>
      </c>
      <c r="B835" s="51" t="str">
        <f>VLOOKUP(A835,policy!B:C,2,0)</f>
        <v>040000182634</v>
      </c>
      <c r="C835" s="46">
        <v>11725</v>
      </c>
      <c r="D835" s="46">
        <v>11725</v>
      </c>
      <c r="E835" s="50" t="s">
        <v>3673</v>
      </c>
      <c r="F835" s="52" t="str">
        <f t="shared" si="39"/>
        <v>insert into ins_premium_det (premium_rcv_code,assorted_code, rec_amount,premium_rcv_detail_code,remaining_amt, payrec, mode_code,coinsurance_code,class_cd,it_remarks) values</v>
      </c>
      <c r="G835" s="53" t="str">
        <f t="shared" ref="G835:G898" si="40">"('"&amp;E835&amp;"','"&amp;B835&amp;"','"&amp;D835&amp;"',(select max(to_number(i.premium_rcv_detail_code))+1
from ins_premium_det i),'"&amp;D835&amp;"','"&amp;D835&amp;"','02', '11000003','00','Request by Mr. Omair Ali 22-Oct-2024 allocation 22Oct240201');"</f>
        <v>('22Oct240201','040000182634','11725',(select max(to_number(i.premium_rcv_detail_code))+1
from ins_premium_det i),'11725','11725','02', '11000003','00','Request by Mr. Omair Ali 22-Oct-2024 allocation 22Oct240201');</v>
      </c>
      <c r="H835" s="54" t="str">
        <f t="shared" ref="H835:H898" si="41">F835&amp;G835</f>
        <v>insert into ins_premium_det (premium_rcv_code,assorted_code, rec_amount,premium_rcv_detail_code,remaining_amt, payrec, mode_code,coinsurance_code,class_cd,it_remarks) values('22Oct240201','040000182634','11725',(select max(to_number(i.premium_rcv_detail_code))+1
from ins_premium_det i),'11725','11725','02', '11000003','00','Request by Mr. Omair Ali 22-Oct-2024 allocation 22Oct240201');</v>
      </c>
    </row>
    <row r="836" spans="1:8" ht="105" x14ac:dyDescent="0.25">
      <c r="A836" t="s">
        <v>964</v>
      </c>
      <c r="B836" s="51" t="str">
        <f>VLOOKUP(A836,policy!B:C,2,0)</f>
        <v>040000182639</v>
      </c>
      <c r="C836" s="46">
        <v>11725</v>
      </c>
      <c r="D836" s="46">
        <v>11725</v>
      </c>
      <c r="E836" s="50" t="s">
        <v>3673</v>
      </c>
      <c r="F836" s="52" t="str">
        <f t="shared" si="39"/>
        <v>insert into ins_premium_det (premium_rcv_code,assorted_code, rec_amount,premium_rcv_detail_code,remaining_amt, payrec, mode_code,coinsurance_code,class_cd,it_remarks) values</v>
      </c>
      <c r="G836" s="53" t="str">
        <f t="shared" si="40"/>
        <v>('22Oct240201','040000182639','11725',(select max(to_number(i.premium_rcv_detail_code))+1
from ins_premium_det i),'11725','11725','02', '11000003','00','Request by Mr. Omair Ali 22-Oct-2024 allocation 22Oct240201');</v>
      </c>
      <c r="H836" s="54" t="str">
        <f t="shared" si="41"/>
        <v>insert into ins_premium_det (premium_rcv_code,assorted_code, rec_amount,premium_rcv_detail_code,remaining_amt, payrec, mode_code,coinsurance_code,class_cd,it_remarks) values('22Oct240201','040000182639','11725',(select max(to_number(i.premium_rcv_detail_code))+1
from ins_premium_det i),'11725','11725','02', '11000003','00','Request by Mr. Omair Ali 22-Oct-2024 allocation 22Oct240201');</v>
      </c>
    </row>
    <row r="837" spans="1:8" ht="105" x14ac:dyDescent="0.25">
      <c r="A837" t="s">
        <v>965</v>
      </c>
      <c r="B837" s="51" t="str">
        <f>VLOOKUP(A837,policy!B:C,2,0)</f>
        <v>040000182644</v>
      </c>
      <c r="C837" s="46">
        <v>12740</v>
      </c>
      <c r="D837" s="46">
        <v>12740</v>
      </c>
      <c r="E837" s="50" t="s">
        <v>3673</v>
      </c>
      <c r="F837" s="52" t="str">
        <f t="shared" si="39"/>
        <v>insert into ins_premium_det (premium_rcv_code,assorted_code, rec_amount,premium_rcv_detail_code,remaining_amt, payrec, mode_code,coinsurance_code,class_cd,it_remarks) values</v>
      </c>
      <c r="G837" s="53" t="str">
        <f t="shared" si="40"/>
        <v>('22Oct240201','040000182644','12740',(select max(to_number(i.premium_rcv_detail_code))+1
from ins_premium_det i),'12740','12740','02', '11000003','00','Request by Mr. Omair Ali 22-Oct-2024 allocation 22Oct240201');</v>
      </c>
      <c r="H837" s="54" t="str">
        <f t="shared" si="41"/>
        <v>insert into ins_premium_det (premium_rcv_code,assorted_code, rec_amount,premium_rcv_detail_code,remaining_amt, payrec, mode_code,coinsurance_code,class_cd,it_remarks) values('22Oct240201','040000182644','12740',(select max(to_number(i.premium_rcv_detail_code))+1
from ins_premium_det i),'12740','12740','02', '11000003','00','Request by Mr. Omair Ali 22-Oct-2024 allocation 22Oct240201');</v>
      </c>
    </row>
    <row r="838" spans="1:8" ht="105" x14ac:dyDescent="0.25">
      <c r="A838" t="s">
        <v>966</v>
      </c>
      <c r="B838" s="51" t="str">
        <f>VLOOKUP(A838,policy!B:C,2,0)</f>
        <v>040000182645</v>
      </c>
      <c r="C838" s="46">
        <v>9550</v>
      </c>
      <c r="D838" s="46">
        <v>9550</v>
      </c>
      <c r="E838" s="50" t="s">
        <v>3673</v>
      </c>
      <c r="F838" s="52" t="str">
        <f t="shared" si="39"/>
        <v>insert into ins_premium_det (premium_rcv_code,assorted_code, rec_amount,premium_rcv_detail_code,remaining_amt, payrec, mode_code,coinsurance_code,class_cd,it_remarks) values</v>
      </c>
      <c r="G838" s="53" t="str">
        <f t="shared" si="40"/>
        <v>('22Oct240201','040000182645','9550',(select max(to_number(i.premium_rcv_detail_code))+1
from ins_premium_det i),'9550','9550','02', '11000003','00','Request by Mr. Omair Ali 22-Oct-2024 allocation 22Oct240201');</v>
      </c>
      <c r="H838" s="54" t="str">
        <f t="shared" si="41"/>
        <v>insert into ins_premium_det (premium_rcv_code,assorted_code, rec_amount,premium_rcv_detail_code,remaining_amt, payrec, mode_code,coinsurance_code,class_cd,it_remarks) values('22Oct240201','040000182645','9550',(select max(to_number(i.premium_rcv_detail_code))+1
from ins_premium_det i),'9550','9550','02', '11000003','00','Request by Mr. Omair Ali 22-Oct-2024 allocation 22Oct240201');</v>
      </c>
    </row>
    <row r="839" spans="1:8" ht="105" x14ac:dyDescent="0.25">
      <c r="A839" t="s">
        <v>967</v>
      </c>
      <c r="B839" s="51" t="str">
        <f>VLOOKUP(A839,policy!B:C,2,0)</f>
        <v>040000182647</v>
      </c>
      <c r="C839" s="46">
        <v>12740</v>
      </c>
      <c r="D839" s="46">
        <v>12740</v>
      </c>
      <c r="E839" s="50" t="s">
        <v>3673</v>
      </c>
      <c r="F839" s="52" t="str">
        <f t="shared" si="39"/>
        <v>insert into ins_premium_det (premium_rcv_code,assorted_code, rec_amount,premium_rcv_detail_code,remaining_amt, payrec, mode_code,coinsurance_code,class_cd,it_remarks) values</v>
      </c>
      <c r="G839" s="53" t="str">
        <f t="shared" si="40"/>
        <v>('22Oct240201','040000182647','12740',(select max(to_number(i.premium_rcv_detail_code))+1
from ins_premium_det i),'12740','12740','02', '11000003','00','Request by Mr. Omair Ali 22-Oct-2024 allocation 22Oct240201');</v>
      </c>
      <c r="H839" s="54" t="str">
        <f t="shared" si="41"/>
        <v>insert into ins_premium_det (premium_rcv_code,assorted_code, rec_amount,premium_rcv_detail_code,remaining_amt, payrec, mode_code,coinsurance_code,class_cd,it_remarks) values('22Oct240201','040000182647','12740',(select max(to_number(i.premium_rcv_detail_code))+1
from ins_premium_det i),'12740','12740','02', '11000003','00','Request by Mr. Omair Ali 22-Oct-2024 allocation 22Oct240201');</v>
      </c>
    </row>
    <row r="840" spans="1:8" ht="105" x14ac:dyDescent="0.25">
      <c r="A840" t="s">
        <v>968</v>
      </c>
      <c r="B840" s="51" t="str">
        <f>VLOOKUP(A840,policy!B:C,2,0)</f>
        <v>040000182648</v>
      </c>
      <c r="C840" s="46">
        <v>11725</v>
      </c>
      <c r="D840" s="46">
        <v>11725</v>
      </c>
      <c r="E840" s="50" t="s">
        <v>3673</v>
      </c>
      <c r="F840" s="52" t="str">
        <f t="shared" si="39"/>
        <v>insert into ins_premium_det (premium_rcv_code,assorted_code, rec_amount,premium_rcv_detail_code,remaining_amt, payrec, mode_code,coinsurance_code,class_cd,it_remarks) values</v>
      </c>
      <c r="G840" s="53" t="str">
        <f t="shared" si="40"/>
        <v>('22Oct240201','040000182648','11725',(select max(to_number(i.premium_rcv_detail_code))+1
from ins_premium_det i),'11725','11725','02', '11000003','00','Request by Mr. Omair Ali 22-Oct-2024 allocation 22Oct240201');</v>
      </c>
      <c r="H840" s="54" t="str">
        <f t="shared" si="41"/>
        <v>insert into ins_premium_det (premium_rcv_code,assorted_code, rec_amount,premium_rcv_detail_code,remaining_amt, payrec, mode_code,coinsurance_code,class_cd,it_remarks) values('22Oct240201','040000182648','11725',(select max(to_number(i.premium_rcv_detail_code))+1
from ins_premium_det i),'11725','11725','02', '11000003','00','Request by Mr. Omair Ali 22-Oct-2024 allocation 22Oct240201');</v>
      </c>
    </row>
    <row r="841" spans="1:8" ht="105" x14ac:dyDescent="0.25">
      <c r="A841" t="s">
        <v>969</v>
      </c>
      <c r="B841" s="51" t="str">
        <f>VLOOKUP(A841,policy!B:C,2,0)</f>
        <v>040000182649</v>
      </c>
      <c r="C841" s="46">
        <v>8800</v>
      </c>
      <c r="D841" s="46">
        <v>8800</v>
      </c>
      <c r="E841" s="50" t="s">
        <v>3673</v>
      </c>
      <c r="F841" s="52" t="str">
        <f t="shared" si="39"/>
        <v>insert into ins_premium_det (premium_rcv_code,assorted_code, rec_amount,premium_rcv_detail_code,remaining_amt, payrec, mode_code,coinsurance_code,class_cd,it_remarks) values</v>
      </c>
      <c r="G841" s="53" t="str">
        <f t="shared" si="40"/>
        <v>('22Oct240201','040000182649','8800',(select max(to_number(i.premium_rcv_detail_code))+1
from ins_premium_det i),'8800','8800','02', '11000003','00','Request by Mr. Omair Ali 22-Oct-2024 allocation 22Oct240201');</v>
      </c>
      <c r="H841" s="54" t="str">
        <f t="shared" si="41"/>
        <v>insert into ins_premium_det (premium_rcv_code,assorted_code, rec_amount,premium_rcv_detail_code,remaining_amt, payrec, mode_code,coinsurance_code,class_cd,it_remarks) values('22Oct240201','040000182649','8800',(select max(to_number(i.premium_rcv_detail_code))+1
from ins_premium_det i),'8800','8800','02', '11000003','00','Request by Mr. Omair Ali 22-Oct-2024 allocation 22Oct240201');</v>
      </c>
    </row>
    <row r="842" spans="1:8" ht="105" x14ac:dyDescent="0.25">
      <c r="A842" t="s">
        <v>970</v>
      </c>
      <c r="B842" s="51" t="str">
        <f>VLOOKUP(A842,policy!B:C,2,0)</f>
        <v>040000182651</v>
      </c>
      <c r="C842" s="46">
        <v>12475</v>
      </c>
      <c r="D842" s="46">
        <v>12475</v>
      </c>
      <c r="E842" s="50" t="s">
        <v>3673</v>
      </c>
      <c r="F842" s="52" t="str">
        <f t="shared" si="39"/>
        <v>insert into ins_premium_det (premium_rcv_code,assorted_code, rec_amount,premium_rcv_detail_code,remaining_amt, payrec, mode_code,coinsurance_code,class_cd,it_remarks) values</v>
      </c>
      <c r="G842" s="53" t="str">
        <f t="shared" si="40"/>
        <v>('22Oct240201','040000182651','12475',(select max(to_number(i.premium_rcv_detail_code))+1
from ins_premium_det i),'12475','12475','02', '11000003','00','Request by Mr. Omair Ali 22-Oct-2024 allocation 22Oct240201');</v>
      </c>
      <c r="H842" s="54" t="str">
        <f t="shared" si="41"/>
        <v>insert into ins_premium_det (premium_rcv_code,assorted_code, rec_amount,premium_rcv_detail_code,remaining_amt, payrec, mode_code,coinsurance_code,class_cd,it_remarks) values('22Oct240201','040000182651','12475',(select max(to_number(i.premium_rcv_detail_code))+1
from ins_premium_det i),'12475','12475','02', '11000003','00','Request by Mr. Omair Ali 22-Oct-2024 allocation 22Oct240201');</v>
      </c>
    </row>
    <row r="843" spans="1:8" ht="105" x14ac:dyDescent="0.25">
      <c r="A843" t="s">
        <v>971</v>
      </c>
      <c r="B843" s="51" t="str">
        <f>VLOOKUP(A843,policy!B:C,2,0)</f>
        <v>040000182652</v>
      </c>
      <c r="C843" s="46">
        <v>9550</v>
      </c>
      <c r="D843" s="46">
        <v>9550</v>
      </c>
      <c r="E843" s="50" t="s">
        <v>3673</v>
      </c>
      <c r="F843" s="52" t="str">
        <f t="shared" si="39"/>
        <v>insert into ins_premium_det (premium_rcv_code,assorted_code, rec_amount,premium_rcv_detail_code,remaining_amt, payrec, mode_code,coinsurance_code,class_cd,it_remarks) values</v>
      </c>
      <c r="G843" s="53" t="str">
        <f t="shared" si="40"/>
        <v>('22Oct240201','040000182652','9550',(select max(to_number(i.premium_rcv_detail_code))+1
from ins_premium_det i),'9550','9550','02', '11000003','00','Request by Mr. Omair Ali 22-Oct-2024 allocation 22Oct240201');</v>
      </c>
      <c r="H843" s="54" t="str">
        <f t="shared" si="41"/>
        <v>insert into ins_premium_det (premium_rcv_code,assorted_code, rec_amount,premium_rcv_detail_code,remaining_amt, payrec, mode_code,coinsurance_code,class_cd,it_remarks) values('22Oct240201','040000182652','9550',(select max(to_number(i.premium_rcv_detail_code))+1
from ins_premium_det i),'9550','9550','02', '11000003','00','Request by Mr. Omair Ali 22-Oct-2024 allocation 22Oct240201');</v>
      </c>
    </row>
    <row r="844" spans="1:8" ht="105" x14ac:dyDescent="0.25">
      <c r="A844" t="s">
        <v>972</v>
      </c>
      <c r="B844" s="51" t="str">
        <f>VLOOKUP(A844,policy!B:C,2,0)</f>
        <v>040000182654</v>
      </c>
      <c r="C844" s="46">
        <v>8800</v>
      </c>
      <c r="D844" s="46">
        <v>8800</v>
      </c>
      <c r="E844" s="50" t="s">
        <v>3673</v>
      </c>
      <c r="F844" s="52" t="str">
        <f t="shared" si="39"/>
        <v>insert into ins_premium_det (premium_rcv_code,assorted_code, rec_amount,premium_rcv_detail_code,remaining_amt, payrec, mode_code,coinsurance_code,class_cd,it_remarks) values</v>
      </c>
      <c r="G844" s="53" t="str">
        <f t="shared" si="40"/>
        <v>('22Oct240201','040000182654','8800',(select max(to_number(i.premium_rcv_detail_code))+1
from ins_premium_det i),'8800','8800','02', '11000003','00','Request by Mr. Omair Ali 22-Oct-2024 allocation 22Oct240201');</v>
      </c>
      <c r="H844" s="54" t="str">
        <f t="shared" si="41"/>
        <v>insert into ins_premium_det (premium_rcv_code,assorted_code, rec_amount,premium_rcv_detail_code,remaining_amt, payrec, mode_code,coinsurance_code,class_cd,it_remarks) values('22Oct240201','040000182654','8800',(select max(to_number(i.premium_rcv_detail_code))+1
from ins_premium_det i),'8800','8800','02', '11000003','00','Request by Mr. Omair Ali 22-Oct-2024 allocation 22Oct240201');</v>
      </c>
    </row>
    <row r="845" spans="1:8" ht="105" x14ac:dyDescent="0.25">
      <c r="A845" t="s">
        <v>973</v>
      </c>
      <c r="B845" s="51" t="str">
        <f>VLOOKUP(A845,policy!B:C,2,0)</f>
        <v>040000182655</v>
      </c>
      <c r="C845" s="46">
        <v>14960</v>
      </c>
      <c r="D845" s="46">
        <v>14960</v>
      </c>
      <c r="E845" s="50" t="s">
        <v>3673</v>
      </c>
      <c r="F845" s="52" t="str">
        <f t="shared" si="39"/>
        <v>insert into ins_premium_det (premium_rcv_code,assorted_code, rec_amount,premium_rcv_detail_code,remaining_amt, payrec, mode_code,coinsurance_code,class_cd,it_remarks) values</v>
      </c>
      <c r="G845" s="53" t="str">
        <f t="shared" si="40"/>
        <v>('22Oct240201','040000182655','14960',(select max(to_number(i.premium_rcv_detail_code))+1
from ins_premium_det i),'14960','14960','02', '11000003','00','Request by Mr. Omair Ali 22-Oct-2024 allocation 22Oct240201');</v>
      </c>
      <c r="H845" s="54" t="str">
        <f t="shared" si="41"/>
        <v>insert into ins_premium_det (premium_rcv_code,assorted_code, rec_amount,premium_rcv_detail_code,remaining_amt, payrec, mode_code,coinsurance_code,class_cd,it_remarks) values('22Oct240201','040000182655','14960',(select max(to_number(i.premium_rcv_detail_code))+1
from ins_premium_det i),'14960','14960','02', '11000003','00','Request by Mr. Omair Ali 22-Oct-2024 allocation 22Oct240201');</v>
      </c>
    </row>
    <row r="846" spans="1:8" ht="105" x14ac:dyDescent="0.25">
      <c r="A846" t="s">
        <v>974</v>
      </c>
      <c r="B846" s="51" t="str">
        <f>VLOOKUP(A846,policy!B:C,2,0)</f>
        <v>040000182662</v>
      </c>
      <c r="C846" s="46">
        <v>8800</v>
      </c>
      <c r="D846" s="46">
        <v>8800</v>
      </c>
      <c r="E846" s="50" t="s">
        <v>3673</v>
      </c>
      <c r="F846" s="52" t="str">
        <f t="shared" si="39"/>
        <v>insert into ins_premium_det (premium_rcv_code,assorted_code, rec_amount,premium_rcv_detail_code,remaining_amt, payrec, mode_code,coinsurance_code,class_cd,it_remarks) values</v>
      </c>
      <c r="G846" s="53" t="str">
        <f t="shared" si="40"/>
        <v>('22Oct240201','040000182662','8800',(select max(to_number(i.premium_rcv_detail_code))+1
from ins_premium_det i),'8800','8800','02', '11000003','00','Request by Mr. Omair Ali 22-Oct-2024 allocation 22Oct240201');</v>
      </c>
      <c r="H846" s="54" t="str">
        <f t="shared" si="41"/>
        <v>insert into ins_premium_det (premium_rcv_code,assorted_code, rec_amount,premium_rcv_detail_code,remaining_amt, payrec, mode_code,coinsurance_code,class_cd,it_remarks) values('22Oct240201','040000182662','8800',(select max(to_number(i.premium_rcv_detail_code))+1
from ins_premium_det i),'8800','8800','02', '11000003','00','Request by Mr. Omair Ali 22-Oct-2024 allocation 22Oct240201');</v>
      </c>
    </row>
    <row r="847" spans="1:8" ht="105" x14ac:dyDescent="0.25">
      <c r="A847" t="s">
        <v>975</v>
      </c>
      <c r="B847" s="51" t="str">
        <f>VLOOKUP(A847,policy!B:C,2,0)</f>
        <v>040000182663</v>
      </c>
      <c r="C847" s="46">
        <v>14960</v>
      </c>
      <c r="D847" s="46">
        <v>14960</v>
      </c>
      <c r="E847" s="50" t="s">
        <v>3673</v>
      </c>
      <c r="F847" s="52" t="str">
        <f t="shared" si="39"/>
        <v>insert into ins_premium_det (premium_rcv_code,assorted_code, rec_amount,premium_rcv_detail_code,remaining_amt, payrec, mode_code,coinsurance_code,class_cd,it_remarks) values</v>
      </c>
      <c r="G847" s="53" t="str">
        <f t="shared" si="40"/>
        <v>('22Oct240201','040000182663','14960',(select max(to_number(i.premium_rcv_detail_code))+1
from ins_premium_det i),'14960','14960','02', '11000003','00','Request by Mr. Omair Ali 22-Oct-2024 allocation 22Oct240201');</v>
      </c>
      <c r="H847" s="54" t="str">
        <f t="shared" si="41"/>
        <v>insert into ins_premium_det (premium_rcv_code,assorted_code, rec_amount,premium_rcv_detail_code,remaining_amt, payrec, mode_code,coinsurance_code,class_cd,it_remarks) values('22Oct240201','040000182663','14960',(select max(to_number(i.premium_rcv_detail_code))+1
from ins_premium_det i),'14960','14960','02', '11000003','00','Request by Mr. Omair Ali 22-Oct-2024 allocation 22Oct240201');</v>
      </c>
    </row>
    <row r="848" spans="1:8" ht="105" x14ac:dyDescent="0.25">
      <c r="A848" t="s">
        <v>976</v>
      </c>
      <c r="B848" s="51" t="str">
        <f>VLOOKUP(A848,policy!B:C,2,0)</f>
        <v>040000182664</v>
      </c>
      <c r="C848" s="46">
        <v>14960</v>
      </c>
      <c r="D848" s="46">
        <v>14960</v>
      </c>
      <c r="E848" s="50" t="s">
        <v>3673</v>
      </c>
      <c r="F848" s="52" t="str">
        <f t="shared" si="39"/>
        <v>insert into ins_premium_det (premium_rcv_code,assorted_code, rec_amount,premium_rcv_detail_code,remaining_amt, payrec, mode_code,coinsurance_code,class_cd,it_remarks) values</v>
      </c>
      <c r="G848" s="53" t="str">
        <f t="shared" si="40"/>
        <v>('22Oct240201','040000182664','14960',(select max(to_number(i.premium_rcv_detail_code))+1
from ins_premium_det i),'14960','14960','02', '11000003','00','Request by Mr. Omair Ali 22-Oct-2024 allocation 22Oct240201');</v>
      </c>
      <c r="H848" s="54" t="str">
        <f t="shared" si="41"/>
        <v>insert into ins_premium_det (premium_rcv_code,assorted_code, rec_amount,premium_rcv_detail_code,remaining_amt, payrec, mode_code,coinsurance_code,class_cd,it_remarks) values('22Oct240201','040000182664','14960',(select max(to_number(i.premium_rcv_detail_code))+1
from ins_premium_det i),'14960','14960','02', '11000003','00','Request by Mr. Omair Ali 22-Oct-2024 allocation 22Oct240201');</v>
      </c>
    </row>
    <row r="849" spans="1:8" ht="105" x14ac:dyDescent="0.25">
      <c r="A849" t="s">
        <v>977</v>
      </c>
      <c r="B849" s="51" t="str">
        <f>VLOOKUP(A849,policy!B:C,2,0)</f>
        <v>040000182667</v>
      </c>
      <c r="C849" s="46">
        <v>8800</v>
      </c>
      <c r="D849" s="46">
        <v>8800</v>
      </c>
      <c r="E849" s="50" t="s">
        <v>3673</v>
      </c>
      <c r="F849" s="52" t="str">
        <f t="shared" si="39"/>
        <v>insert into ins_premium_det (premium_rcv_code,assorted_code, rec_amount,premium_rcv_detail_code,remaining_amt, payrec, mode_code,coinsurance_code,class_cd,it_remarks) values</v>
      </c>
      <c r="G849" s="53" t="str">
        <f t="shared" si="40"/>
        <v>('22Oct240201','040000182667','8800',(select max(to_number(i.premium_rcv_detail_code))+1
from ins_premium_det i),'8800','8800','02', '11000003','00','Request by Mr. Omair Ali 22-Oct-2024 allocation 22Oct240201');</v>
      </c>
      <c r="H849" s="54" t="str">
        <f t="shared" si="41"/>
        <v>insert into ins_premium_det (premium_rcv_code,assorted_code, rec_amount,premium_rcv_detail_code,remaining_amt, payrec, mode_code,coinsurance_code,class_cd,it_remarks) values('22Oct240201','040000182667','8800',(select max(to_number(i.premium_rcv_detail_code))+1
from ins_premium_det i),'8800','8800','02', '11000003','00','Request by Mr. Omair Ali 22-Oct-2024 allocation 22Oct240201');</v>
      </c>
    </row>
    <row r="850" spans="1:8" ht="105" x14ac:dyDescent="0.25">
      <c r="A850" t="s">
        <v>978</v>
      </c>
      <c r="B850" s="51" t="str">
        <f>VLOOKUP(A850,policy!B:C,2,0)</f>
        <v>040000182672</v>
      </c>
      <c r="C850" s="46">
        <v>13675</v>
      </c>
      <c r="D850" s="46">
        <v>13675</v>
      </c>
      <c r="E850" s="50" t="s">
        <v>3673</v>
      </c>
      <c r="F850" s="52" t="str">
        <f t="shared" si="39"/>
        <v>insert into ins_premium_det (premium_rcv_code,assorted_code, rec_amount,premium_rcv_detail_code,remaining_amt, payrec, mode_code,coinsurance_code,class_cd,it_remarks) values</v>
      </c>
      <c r="G850" s="53" t="str">
        <f t="shared" si="40"/>
        <v>('22Oct240201','040000182672','13675',(select max(to_number(i.premium_rcv_detail_code))+1
from ins_premium_det i),'13675','13675','02', '11000003','00','Request by Mr. Omair Ali 22-Oct-2024 allocation 22Oct240201');</v>
      </c>
      <c r="H850" s="54" t="str">
        <f t="shared" si="41"/>
        <v>insert into ins_premium_det (premium_rcv_code,assorted_code, rec_amount,premium_rcv_detail_code,remaining_amt, payrec, mode_code,coinsurance_code,class_cd,it_remarks) values('22Oct240201','040000182672','13675',(select max(to_number(i.premium_rcv_detail_code))+1
from ins_premium_det i),'13675','13675','02', '11000003','00','Request by Mr. Omair Ali 22-Oct-2024 allocation 22Oct240201');</v>
      </c>
    </row>
    <row r="851" spans="1:8" ht="105" x14ac:dyDescent="0.25">
      <c r="A851" t="s">
        <v>979</v>
      </c>
      <c r="B851" s="51" t="str">
        <f>VLOOKUP(A851,policy!B:C,2,0)</f>
        <v>040000182674</v>
      </c>
      <c r="C851" s="46">
        <v>8800</v>
      </c>
      <c r="D851" s="46">
        <v>8800</v>
      </c>
      <c r="E851" s="50" t="s">
        <v>3673</v>
      </c>
      <c r="F851" s="52" t="str">
        <f t="shared" si="39"/>
        <v>insert into ins_premium_det (premium_rcv_code,assorted_code, rec_amount,premium_rcv_detail_code,remaining_amt, payrec, mode_code,coinsurance_code,class_cd,it_remarks) values</v>
      </c>
      <c r="G851" s="53" t="str">
        <f t="shared" si="40"/>
        <v>('22Oct240201','040000182674','8800',(select max(to_number(i.premium_rcv_detail_code))+1
from ins_premium_det i),'8800','8800','02', '11000003','00','Request by Mr. Omair Ali 22-Oct-2024 allocation 22Oct240201');</v>
      </c>
      <c r="H851" s="54" t="str">
        <f t="shared" si="41"/>
        <v>insert into ins_premium_det (premium_rcv_code,assorted_code, rec_amount,premium_rcv_detail_code,remaining_amt, payrec, mode_code,coinsurance_code,class_cd,it_remarks) values('22Oct240201','040000182674','8800',(select max(to_number(i.premium_rcv_detail_code))+1
from ins_premium_det i),'8800','8800','02', '11000003','00','Request by Mr. Omair Ali 22-Oct-2024 allocation 22Oct240201');</v>
      </c>
    </row>
    <row r="852" spans="1:8" ht="105" x14ac:dyDescent="0.25">
      <c r="A852" t="s">
        <v>980</v>
      </c>
      <c r="B852" s="51" t="str">
        <f>VLOOKUP(A852,policy!B:C,2,0)</f>
        <v>040000182679</v>
      </c>
      <c r="C852" s="46">
        <v>8800</v>
      </c>
      <c r="D852" s="46">
        <v>8800</v>
      </c>
      <c r="E852" s="50" t="s">
        <v>3673</v>
      </c>
      <c r="F852" s="52" t="str">
        <f t="shared" si="39"/>
        <v>insert into ins_premium_det (premium_rcv_code,assorted_code, rec_amount,premium_rcv_detail_code,remaining_amt, payrec, mode_code,coinsurance_code,class_cd,it_remarks) values</v>
      </c>
      <c r="G852" s="53" t="str">
        <f t="shared" si="40"/>
        <v>('22Oct240201','040000182679','8800',(select max(to_number(i.premium_rcv_detail_code))+1
from ins_premium_det i),'8800','8800','02', '11000003','00','Request by Mr. Omair Ali 22-Oct-2024 allocation 22Oct240201');</v>
      </c>
      <c r="H852" s="54" t="str">
        <f t="shared" si="41"/>
        <v>insert into ins_premium_det (premium_rcv_code,assorted_code, rec_amount,premium_rcv_detail_code,remaining_amt, payrec, mode_code,coinsurance_code,class_cd,it_remarks) values('22Oct240201','040000182679','8800',(select max(to_number(i.premium_rcv_detail_code))+1
from ins_premium_det i),'8800','8800','02', '11000003','00','Request by Mr. Omair Ali 22-Oct-2024 allocation 22Oct240201');</v>
      </c>
    </row>
    <row r="853" spans="1:8" ht="105" x14ac:dyDescent="0.25">
      <c r="A853" t="s">
        <v>981</v>
      </c>
      <c r="B853" s="51" t="str">
        <f>VLOOKUP(A853,policy!B:C,2,0)</f>
        <v>040000182681</v>
      </c>
      <c r="C853" s="46">
        <v>23248</v>
      </c>
      <c r="D853" s="46">
        <v>23248</v>
      </c>
      <c r="E853" s="50" t="s">
        <v>3673</v>
      </c>
      <c r="F853" s="52" t="str">
        <f t="shared" si="39"/>
        <v>insert into ins_premium_det (premium_rcv_code,assorted_code, rec_amount,premium_rcv_detail_code,remaining_amt, payrec, mode_code,coinsurance_code,class_cd,it_remarks) values</v>
      </c>
      <c r="G853" s="53" t="str">
        <f t="shared" si="40"/>
        <v>('22Oct240201','040000182681','23248',(select max(to_number(i.premium_rcv_detail_code))+1
from ins_premium_det i),'23248','23248','02', '11000003','00','Request by Mr. Omair Ali 22-Oct-2024 allocation 22Oct240201');</v>
      </c>
      <c r="H853" s="54" t="str">
        <f t="shared" si="41"/>
        <v>insert into ins_premium_det (premium_rcv_code,assorted_code, rec_amount,premium_rcv_detail_code,remaining_amt, payrec, mode_code,coinsurance_code,class_cd,it_remarks) values('22Oct240201','040000182681','23248',(select max(to_number(i.premium_rcv_detail_code))+1
from ins_premium_det i),'23248','23248','02', '11000003','00','Request by Mr. Omair Ali 22-Oct-2024 allocation 22Oct240201');</v>
      </c>
    </row>
    <row r="854" spans="1:8" ht="105" x14ac:dyDescent="0.25">
      <c r="A854" t="s">
        <v>982</v>
      </c>
      <c r="B854" s="51" t="str">
        <f>VLOOKUP(A854,policy!B:C,2,0)</f>
        <v>040000182684</v>
      </c>
      <c r="C854" s="46">
        <v>14960</v>
      </c>
      <c r="D854" s="46">
        <v>14960</v>
      </c>
      <c r="E854" s="50" t="s">
        <v>3673</v>
      </c>
      <c r="F854" s="52" t="str">
        <f t="shared" si="39"/>
        <v>insert into ins_premium_det (premium_rcv_code,assorted_code, rec_amount,premium_rcv_detail_code,remaining_amt, payrec, mode_code,coinsurance_code,class_cd,it_remarks) values</v>
      </c>
      <c r="G854" s="53" t="str">
        <f t="shared" si="40"/>
        <v>('22Oct240201','040000182684','14960',(select max(to_number(i.premium_rcv_detail_code))+1
from ins_premium_det i),'14960','14960','02', '11000003','00','Request by Mr. Omair Ali 22-Oct-2024 allocation 22Oct240201');</v>
      </c>
      <c r="H854" s="54" t="str">
        <f t="shared" si="41"/>
        <v>insert into ins_premium_det (premium_rcv_code,assorted_code, rec_amount,premium_rcv_detail_code,remaining_amt, payrec, mode_code,coinsurance_code,class_cd,it_remarks) values('22Oct240201','040000182684','14960',(select max(to_number(i.premium_rcv_detail_code))+1
from ins_premium_det i),'14960','14960','02', '11000003','00','Request by Mr. Omair Ali 22-Oct-2024 allocation 22Oct240201');</v>
      </c>
    </row>
    <row r="855" spans="1:8" ht="105" x14ac:dyDescent="0.25">
      <c r="A855" t="s">
        <v>983</v>
      </c>
      <c r="B855" s="51" t="str">
        <f>VLOOKUP(A855,policy!B:C,2,0)</f>
        <v>040000182685</v>
      </c>
      <c r="C855" s="46">
        <v>14960</v>
      </c>
      <c r="D855" s="46">
        <v>14960</v>
      </c>
      <c r="E855" s="50" t="s">
        <v>3673</v>
      </c>
      <c r="F855" s="52" t="str">
        <f t="shared" si="39"/>
        <v>insert into ins_premium_det (premium_rcv_code,assorted_code, rec_amount,premium_rcv_detail_code,remaining_amt, payrec, mode_code,coinsurance_code,class_cd,it_remarks) values</v>
      </c>
      <c r="G855" s="53" t="str">
        <f t="shared" si="40"/>
        <v>('22Oct240201','040000182685','14960',(select max(to_number(i.premium_rcv_detail_code))+1
from ins_premium_det i),'14960','14960','02', '11000003','00','Request by Mr. Omair Ali 22-Oct-2024 allocation 22Oct240201');</v>
      </c>
      <c r="H855" s="54" t="str">
        <f t="shared" si="41"/>
        <v>insert into ins_premium_det (premium_rcv_code,assorted_code, rec_amount,premium_rcv_detail_code,remaining_amt, payrec, mode_code,coinsurance_code,class_cd,it_remarks) values('22Oct240201','040000182685','14960',(select max(to_number(i.premium_rcv_detail_code))+1
from ins_premium_det i),'14960','14960','02', '11000003','00','Request by Mr. Omair Ali 22-Oct-2024 allocation 22Oct240201');</v>
      </c>
    </row>
    <row r="856" spans="1:8" ht="105" x14ac:dyDescent="0.25">
      <c r="A856" t="s">
        <v>984</v>
      </c>
      <c r="B856" s="51" t="str">
        <f>VLOOKUP(A856,policy!B:C,2,0)</f>
        <v>040000182686</v>
      </c>
      <c r="C856" s="46">
        <v>14960</v>
      </c>
      <c r="D856" s="46">
        <v>14960</v>
      </c>
      <c r="E856" s="50" t="s">
        <v>3673</v>
      </c>
      <c r="F856" s="52" t="str">
        <f t="shared" si="39"/>
        <v>insert into ins_premium_det (premium_rcv_code,assorted_code, rec_amount,premium_rcv_detail_code,remaining_amt, payrec, mode_code,coinsurance_code,class_cd,it_remarks) values</v>
      </c>
      <c r="G856" s="53" t="str">
        <f t="shared" si="40"/>
        <v>('22Oct240201','040000182686','14960',(select max(to_number(i.premium_rcv_detail_code))+1
from ins_premium_det i),'14960','14960','02', '11000003','00','Request by Mr. Omair Ali 22-Oct-2024 allocation 22Oct240201');</v>
      </c>
      <c r="H856" s="54" t="str">
        <f t="shared" si="41"/>
        <v>insert into ins_premium_det (premium_rcv_code,assorted_code, rec_amount,premium_rcv_detail_code,remaining_amt, payrec, mode_code,coinsurance_code,class_cd,it_remarks) values('22Oct240201','040000182686','14960',(select max(to_number(i.premium_rcv_detail_code))+1
from ins_premium_det i),'14960','14960','02', '11000003','00','Request by Mr. Omair Ali 22-Oct-2024 allocation 22Oct240201');</v>
      </c>
    </row>
    <row r="857" spans="1:8" ht="105" x14ac:dyDescent="0.25">
      <c r="A857" t="s">
        <v>985</v>
      </c>
      <c r="B857" s="51" t="str">
        <f>VLOOKUP(A857,policy!B:C,2,0)</f>
        <v>040000182687</v>
      </c>
      <c r="C857" s="46">
        <v>16235</v>
      </c>
      <c r="D857" s="46">
        <v>16235</v>
      </c>
      <c r="E857" s="50" t="s">
        <v>3673</v>
      </c>
      <c r="F857" s="52" t="str">
        <f t="shared" si="39"/>
        <v>insert into ins_premium_det (premium_rcv_code,assorted_code, rec_amount,premium_rcv_detail_code,remaining_amt, payrec, mode_code,coinsurance_code,class_cd,it_remarks) values</v>
      </c>
      <c r="G857" s="53" t="str">
        <f t="shared" si="40"/>
        <v>('22Oct240201','040000182687','16235',(select max(to_number(i.premium_rcv_detail_code))+1
from ins_premium_det i),'16235','16235','02', '11000003','00','Request by Mr. Omair Ali 22-Oct-2024 allocation 22Oct240201');</v>
      </c>
      <c r="H857" s="54" t="str">
        <f t="shared" si="41"/>
        <v>insert into ins_premium_det (premium_rcv_code,assorted_code, rec_amount,premium_rcv_detail_code,remaining_amt, payrec, mode_code,coinsurance_code,class_cd,it_remarks) values('22Oct240201','040000182687','16235',(select max(to_number(i.premium_rcv_detail_code))+1
from ins_premium_det i),'16235','16235','02', '11000003','00','Request by Mr. Omair Ali 22-Oct-2024 allocation 22Oct240201');</v>
      </c>
    </row>
    <row r="858" spans="1:8" ht="105" x14ac:dyDescent="0.25">
      <c r="A858" t="s">
        <v>986</v>
      </c>
      <c r="B858" s="51" t="str">
        <f>VLOOKUP(A858,policy!B:C,2,0)</f>
        <v>040000182688</v>
      </c>
      <c r="C858" s="46">
        <v>16235</v>
      </c>
      <c r="D858" s="46">
        <v>16235</v>
      </c>
      <c r="E858" s="50" t="s">
        <v>3673</v>
      </c>
      <c r="F858" s="52" t="str">
        <f t="shared" si="39"/>
        <v>insert into ins_premium_det (premium_rcv_code,assorted_code, rec_amount,premium_rcv_detail_code,remaining_amt, payrec, mode_code,coinsurance_code,class_cd,it_remarks) values</v>
      </c>
      <c r="G858" s="53" t="str">
        <f t="shared" si="40"/>
        <v>('22Oct240201','040000182688','16235',(select max(to_number(i.premium_rcv_detail_code))+1
from ins_premium_det i),'16235','16235','02', '11000003','00','Request by Mr. Omair Ali 22-Oct-2024 allocation 22Oct240201');</v>
      </c>
      <c r="H858" s="54" t="str">
        <f t="shared" si="41"/>
        <v>insert into ins_premium_det (premium_rcv_code,assorted_code, rec_amount,premium_rcv_detail_code,remaining_amt, payrec, mode_code,coinsurance_code,class_cd,it_remarks) values('22Oct240201','040000182688','16235',(select max(to_number(i.premium_rcv_detail_code))+1
from ins_premium_det i),'16235','16235','02', '11000003','00','Request by Mr. Omair Ali 22-Oct-2024 allocation 22Oct240201');</v>
      </c>
    </row>
    <row r="859" spans="1:8" ht="105" x14ac:dyDescent="0.25">
      <c r="A859" t="s">
        <v>987</v>
      </c>
      <c r="B859" s="51" t="str">
        <f>VLOOKUP(A859,policy!B:C,2,0)</f>
        <v>040000182691</v>
      </c>
      <c r="C859" s="46">
        <v>16235</v>
      </c>
      <c r="D859" s="46">
        <v>16235</v>
      </c>
      <c r="E859" s="50" t="s">
        <v>3673</v>
      </c>
      <c r="F859" s="52" t="str">
        <f t="shared" si="39"/>
        <v>insert into ins_premium_det (premium_rcv_code,assorted_code, rec_amount,premium_rcv_detail_code,remaining_amt, payrec, mode_code,coinsurance_code,class_cd,it_remarks) values</v>
      </c>
      <c r="G859" s="53" t="str">
        <f t="shared" si="40"/>
        <v>('22Oct240201','040000182691','16235',(select max(to_number(i.premium_rcv_detail_code))+1
from ins_premium_det i),'16235','16235','02', '11000003','00','Request by Mr. Omair Ali 22-Oct-2024 allocation 22Oct240201');</v>
      </c>
      <c r="H859" s="54" t="str">
        <f t="shared" si="41"/>
        <v>insert into ins_premium_det (premium_rcv_code,assorted_code, rec_amount,premium_rcv_detail_code,remaining_amt, payrec, mode_code,coinsurance_code,class_cd,it_remarks) values('22Oct240201','040000182691','16235',(select max(to_number(i.premium_rcv_detail_code))+1
from ins_premium_det i),'16235','16235','02', '11000003','00','Request by Mr. Omair Ali 22-Oct-2024 allocation 22Oct240201');</v>
      </c>
    </row>
    <row r="860" spans="1:8" ht="105" x14ac:dyDescent="0.25">
      <c r="A860" t="s">
        <v>988</v>
      </c>
      <c r="B860" s="51" t="str">
        <f>VLOOKUP(A860,policy!B:C,2,0)</f>
        <v>040000182728</v>
      </c>
      <c r="C860" s="46">
        <v>16235</v>
      </c>
      <c r="D860" s="46">
        <v>16235</v>
      </c>
      <c r="E860" s="50" t="s">
        <v>3673</v>
      </c>
      <c r="F860" s="52" t="str">
        <f t="shared" si="39"/>
        <v>insert into ins_premium_det (premium_rcv_code,assorted_code, rec_amount,premium_rcv_detail_code,remaining_amt, payrec, mode_code,coinsurance_code,class_cd,it_remarks) values</v>
      </c>
      <c r="G860" s="53" t="str">
        <f t="shared" si="40"/>
        <v>('22Oct240201','040000182728','16235',(select max(to_number(i.premium_rcv_detail_code))+1
from ins_premium_det i),'16235','16235','02', '11000003','00','Request by Mr. Omair Ali 22-Oct-2024 allocation 22Oct240201');</v>
      </c>
      <c r="H860" s="54" t="str">
        <f t="shared" si="41"/>
        <v>insert into ins_premium_det (premium_rcv_code,assorted_code, rec_amount,premium_rcv_detail_code,remaining_amt, payrec, mode_code,coinsurance_code,class_cd,it_remarks) values('22Oct240201','040000182728','16235',(select max(to_number(i.premium_rcv_detail_code))+1
from ins_premium_det i),'16235','16235','02', '11000003','00','Request by Mr. Omair Ali 22-Oct-2024 allocation 22Oct240201');</v>
      </c>
    </row>
    <row r="861" spans="1:8" ht="105" x14ac:dyDescent="0.25">
      <c r="A861" t="s">
        <v>989</v>
      </c>
      <c r="B861" s="51" t="str">
        <f>VLOOKUP(A861,policy!B:C,2,0)</f>
        <v>040000182731</v>
      </c>
      <c r="C861" s="46">
        <v>16235</v>
      </c>
      <c r="D861" s="46">
        <v>16235</v>
      </c>
      <c r="E861" s="50" t="s">
        <v>3673</v>
      </c>
      <c r="F861" s="52" t="str">
        <f t="shared" si="39"/>
        <v>insert into ins_premium_det (premium_rcv_code,assorted_code, rec_amount,premium_rcv_detail_code,remaining_amt, payrec, mode_code,coinsurance_code,class_cd,it_remarks) values</v>
      </c>
      <c r="G861" s="53" t="str">
        <f t="shared" si="40"/>
        <v>('22Oct240201','040000182731','16235',(select max(to_number(i.premium_rcv_detail_code))+1
from ins_premium_det i),'16235','16235','02', '11000003','00','Request by Mr. Omair Ali 22-Oct-2024 allocation 22Oct240201');</v>
      </c>
      <c r="H861" s="54" t="str">
        <f t="shared" si="41"/>
        <v>insert into ins_premium_det (premium_rcv_code,assorted_code, rec_amount,premium_rcv_detail_code,remaining_amt, payrec, mode_code,coinsurance_code,class_cd,it_remarks) values('22Oct240201','040000182731','16235',(select max(to_number(i.premium_rcv_detail_code))+1
from ins_premium_det i),'16235','16235','02', '11000003','00','Request by Mr. Omair Ali 22-Oct-2024 allocation 22Oct240201');</v>
      </c>
    </row>
    <row r="862" spans="1:8" ht="105" x14ac:dyDescent="0.25">
      <c r="A862" t="s">
        <v>990</v>
      </c>
      <c r="B862" s="51" t="str">
        <f>VLOOKUP(A862,policy!B:C,2,0)</f>
        <v>040000182732</v>
      </c>
      <c r="C862" s="46">
        <v>16235</v>
      </c>
      <c r="D862" s="46">
        <v>16235</v>
      </c>
      <c r="E862" s="50" t="s">
        <v>3673</v>
      </c>
      <c r="F862" s="52" t="str">
        <f t="shared" si="39"/>
        <v>insert into ins_premium_det (premium_rcv_code,assorted_code, rec_amount,premium_rcv_detail_code,remaining_amt, payrec, mode_code,coinsurance_code,class_cd,it_remarks) values</v>
      </c>
      <c r="G862" s="53" t="str">
        <f t="shared" si="40"/>
        <v>('22Oct240201','040000182732','16235',(select max(to_number(i.premium_rcv_detail_code))+1
from ins_premium_det i),'16235','16235','02', '11000003','00','Request by Mr. Omair Ali 22-Oct-2024 allocation 22Oct240201');</v>
      </c>
      <c r="H862" s="54" t="str">
        <f t="shared" si="41"/>
        <v>insert into ins_premium_det (premium_rcv_code,assorted_code, rec_amount,premium_rcv_detail_code,remaining_amt, payrec, mode_code,coinsurance_code,class_cd,it_remarks) values('22Oct240201','040000182732','16235',(select max(to_number(i.premium_rcv_detail_code))+1
from ins_premium_det i),'16235','16235','02', '11000003','00','Request by Mr. Omair Ali 22-Oct-2024 allocation 22Oct240201');</v>
      </c>
    </row>
    <row r="863" spans="1:8" ht="105" x14ac:dyDescent="0.25">
      <c r="A863" t="s">
        <v>991</v>
      </c>
      <c r="B863" s="51" t="str">
        <f>VLOOKUP(A863,policy!B:C,2,0)</f>
        <v>040000182737</v>
      </c>
      <c r="C863" s="46">
        <v>16235</v>
      </c>
      <c r="D863" s="46">
        <v>16235</v>
      </c>
      <c r="E863" s="50" t="s">
        <v>3673</v>
      </c>
      <c r="F863" s="52" t="str">
        <f t="shared" si="39"/>
        <v>insert into ins_premium_det (premium_rcv_code,assorted_code, rec_amount,premium_rcv_detail_code,remaining_amt, payrec, mode_code,coinsurance_code,class_cd,it_remarks) values</v>
      </c>
      <c r="G863" s="53" t="str">
        <f t="shared" si="40"/>
        <v>('22Oct240201','040000182737','16235',(select max(to_number(i.premium_rcv_detail_code))+1
from ins_premium_det i),'16235','16235','02', '11000003','00','Request by Mr. Omair Ali 22-Oct-2024 allocation 22Oct240201');</v>
      </c>
      <c r="H863" s="54" t="str">
        <f t="shared" si="41"/>
        <v>insert into ins_premium_det (premium_rcv_code,assorted_code, rec_amount,premium_rcv_detail_code,remaining_amt, payrec, mode_code,coinsurance_code,class_cd,it_remarks) values('22Oct240201','040000182737','16235',(select max(to_number(i.premium_rcv_detail_code))+1
from ins_premium_det i),'16235','16235','02', '11000003','00','Request by Mr. Omair Ali 22-Oct-2024 allocation 22Oct240201');</v>
      </c>
    </row>
    <row r="864" spans="1:8" ht="105" x14ac:dyDescent="0.25">
      <c r="A864" t="s">
        <v>992</v>
      </c>
      <c r="B864" s="51" t="str">
        <f>VLOOKUP(A864,policy!B:C,2,0)</f>
        <v>040000182741</v>
      </c>
      <c r="C864" s="46">
        <v>13675</v>
      </c>
      <c r="D864" s="46">
        <v>13675</v>
      </c>
      <c r="E864" s="50" t="s">
        <v>3673</v>
      </c>
      <c r="F864" s="52" t="str">
        <f t="shared" si="39"/>
        <v>insert into ins_premium_det (premium_rcv_code,assorted_code, rec_amount,premium_rcv_detail_code,remaining_amt, payrec, mode_code,coinsurance_code,class_cd,it_remarks) values</v>
      </c>
      <c r="G864" s="53" t="str">
        <f t="shared" si="40"/>
        <v>('22Oct240201','040000182741','13675',(select max(to_number(i.premium_rcv_detail_code))+1
from ins_premium_det i),'13675','13675','02', '11000003','00','Request by Mr. Omair Ali 22-Oct-2024 allocation 22Oct240201');</v>
      </c>
      <c r="H864" s="54" t="str">
        <f t="shared" si="41"/>
        <v>insert into ins_premium_det (premium_rcv_code,assorted_code, rec_amount,premium_rcv_detail_code,remaining_amt, payrec, mode_code,coinsurance_code,class_cd,it_remarks) values('22Oct240201','040000182741','13675',(select max(to_number(i.premium_rcv_detail_code))+1
from ins_premium_det i),'13675','13675','02', '11000003','00','Request by Mr. Omair Ali 22-Oct-2024 allocation 22Oct240201');</v>
      </c>
    </row>
    <row r="865" spans="1:8" ht="105" x14ac:dyDescent="0.25">
      <c r="A865" t="s">
        <v>993</v>
      </c>
      <c r="B865" s="51" t="str">
        <f>VLOOKUP(A865,policy!B:C,2,0)</f>
        <v>040000182742</v>
      </c>
      <c r="C865" s="46">
        <v>16235</v>
      </c>
      <c r="D865" s="46">
        <v>16235</v>
      </c>
      <c r="E865" s="50" t="s">
        <v>3673</v>
      </c>
      <c r="F865" s="52" t="str">
        <f t="shared" si="39"/>
        <v>insert into ins_premium_det (premium_rcv_code,assorted_code, rec_amount,premium_rcv_detail_code,remaining_amt, payrec, mode_code,coinsurance_code,class_cd,it_remarks) values</v>
      </c>
      <c r="G865" s="53" t="str">
        <f t="shared" si="40"/>
        <v>('22Oct240201','040000182742','16235',(select max(to_number(i.premium_rcv_detail_code))+1
from ins_premium_det i),'16235','16235','02', '11000003','00','Request by Mr. Omair Ali 22-Oct-2024 allocation 22Oct240201');</v>
      </c>
      <c r="H865" s="54" t="str">
        <f t="shared" si="41"/>
        <v>insert into ins_premium_det (premium_rcv_code,assorted_code, rec_amount,premium_rcv_detail_code,remaining_amt, payrec, mode_code,coinsurance_code,class_cd,it_remarks) values('22Oct240201','040000182742','16235',(select max(to_number(i.premium_rcv_detail_code))+1
from ins_premium_det i),'16235','16235','02', '11000003','00','Request by Mr. Omair Ali 22-Oct-2024 allocation 22Oct240201');</v>
      </c>
    </row>
    <row r="866" spans="1:8" ht="105" x14ac:dyDescent="0.25">
      <c r="A866" t="s">
        <v>994</v>
      </c>
      <c r="B866" s="51" t="str">
        <f>VLOOKUP(A866,policy!B:C,2,0)</f>
        <v>040000182743</v>
      </c>
      <c r="C866" s="46">
        <v>16235</v>
      </c>
      <c r="D866" s="46">
        <v>16235</v>
      </c>
      <c r="E866" s="50" t="s">
        <v>3673</v>
      </c>
      <c r="F866" s="52" t="str">
        <f t="shared" si="39"/>
        <v>insert into ins_premium_det (premium_rcv_code,assorted_code, rec_amount,premium_rcv_detail_code,remaining_amt, payrec, mode_code,coinsurance_code,class_cd,it_remarks) values</v>
      </c>
      <c r="G866" s="53" t="str">
        <f t="shared" si="40"/>
        <v>('22Oct240201','040000182743','16235',(select max(to_number(i.premium_rcv_detail_code))+1
from ins_premium_det i),'16235','16235','02', '11000003','00','Request by Mr. Omair Ali 22-Oct-2024 allocation 22Oct240201');</v>
      </c>
      <c r="H866" s="54" t="str">
        <f t="shared" si="41"/>
        <v>insert into ins_premium_det (premium_rcv_code,assorted_code, rec_amount,premium_rcv_detail_code,remaining_amt, payrec, mode_code,coinsurance_code,class_cd,it_remarks) values('22Oct240201','040000182743','16235',(select max(to_number(i.premium_rcv_detail_code))+1
from ins_premium_det i),'16235','16235','02', '11000003','00','Request by Mr. Omair Ali 22-Oct-2024 allocation 22Oct240201');</v>
      </c>
    </row>
    <row r="867" spans="1:8" ht="105" x14ac:dyDescent="0.25">
      <c r="A867" t="s">
        <v>995</v>
      </c>
      <c r="B867" s="51" t="str">
        <f>VLOOKUP(A867,policy!B:C,2,0)</f>
        <v>040000182745</v>
      </c>
      <c r="C867" s="46">
        <v>16235</v>
      </c>
      <c r="D867" s="46">
        <v>16235</v>
      </c>
      <c r="E867" s="50" t="s">
        <v>3673</v>
      </c>
      <c r="F867" s="52" t="str">
        <f t="shared" si="39"/>
        <v>insert into ins_premium_det (premium_rcv_code,assorted_code, rec_amount,premium_rcv_detail_code,remaining_amt, payrec, mode_code,coinsurance_code,class_cd,it_remarks) values</v>
      </c>
      <c r="G867" s="53" t="str">
        <f t="shared" si="40"/>
        <v>('22Oct240201','040000182745','16235',(select max(to_number(i.premium_rcv_detail_code))+1
from ins_premium_det i),'16235','16235','02', '11000003','00','Request by Mr. Omair Ali 22-Oct-2024 allocation 22Oct240201');</v>
      </c>
      <c r="H867" s="54" t="str">
        <f t="shared" si="41"/>
        <v>insert into ins_premium_det (premium_rcv_code,assorted_code, rec_amount,premium_rcv_detail_code,remaining_amt, payrec, mode_code,coinsurance_code,class_cd,it_remarks) values('22Oct240201','040000182745','16235',(select max(to_number(i.premium_rcv_detail_code))+1
from ins_premium_det i),'16235','16235','02', '11000003','00','Request by Mr. Omair Ali 22-Oct-2024 allocation 22Oct240201');</v>
      </c>
    </row>
    <row r="868" spans="1:8" ht="105" x14ac:dyDescent="0.25">
      <c r="A868" t="s">
        <v>996</v>
      </c>
      <c r="B868" s="51" t="str">
        <f>VLOOKUP(A868,policy!B:C,2,0)</f>
        <v>040000182746</v>
      </c>
      <c r="C868" s="46">
        <v>16235</v>
      </c>
      <c r="D868" s="46">
        <v>16235</v>
      </c>
      <c r="E868" s="50" t="s">
        <v>3673</v>
      </c>
      <c r="F868" s="52" t="str">
        <f t="shared" si="39"/>
        <v>insert into ins_premium_det (premium_rcv_code,assorted_code, rec_amount,premium_rcv_detail_code,remaining_amt, payrec, mode_code,coinsurance_code,class_cd,it_remarks) values</v>
      </c>
      <c r="G868" s="53" t="str">
        <f t="shared" si="40"/>
        <v>('22Oct240201','040000182746','16235',(select max(to_number(i.premium_rcv_detail_code))+1
from ins_premium_det i),'16235','16235','02', '11000003','00','Request by Mr. Omair Ali 22-Oct-2024 allocation 22Oct240201');</v>
      </c>
      <c r="H868" s="54" t="str">
        <f t="shared" si="41"/>
        <v>insert into ins_premium_det (premium_rcv_code,assorted_code, rec_amount,premium_rcv_detail_code,remaining_amt, payrec, mode_code,coinsurance_code,class_cd,it_remarks) values('22Oct240201','040000182746','16235',(select max(to_number(i.premium_rcv_detail_code))+1
from ins_premium_det i),'16235','16235','02', '11000003','00','Request by Mr. Omair Ali 22-Oct-2024 allocation 22Oct240201');</v>
      </c>
    </row>
    <row r="869" spans="1:8" ht="105" x14ac:dyDescent="0.25">
      <c r="A869" t="s">
        <v>997</v>
      </c>
      <c r="B869" s="51" t="str">
        <f>VLOOKUP(A869,policy!B:C,2,0)</f>
        <v>040000182748</v>
      </c>
      <c r="C869" s="46">
        <v>16235</v>
      </c>
      <c r="D869" s="46">
        <v>16235</v>
      </c>
      <c r="E869" s="50" t="s">
        <v>3673</v>
      </c>
      <c r="F869" s="52" t="str">
        <f t="shared" si="39"/>
        <v>insert into ins_premium_det (premium_rcv_code,assorted_code, rec_amount,premium_rcv_detail_code,remaining_amt, payrec, mode_code,coinsurance_code,class_cd,it_remarks) values</v>
      </c>
      <c r="G869" s="53" t="str">
        <f t="shared" si="40"/>
        <v>('22Oct240201','040000182748','16235',(select max(to_number(i.premium_rcv_detail_code))+1
from ins_premium_det i),'16235','16235','02', '11000003','00','Request by Mr. Omair Ali 22-Oct-2024 allocation 22Oct240201');</v>
      </c>
      <c r="H869" s="54" t="str">
        <f t="shared" si="41"/>
        <v>insert into ins_premium_det (premium_rcv_code,assorted_code, rec_amount,premium_rcv_detail_code,remaining_amt, payrec, mode_code,coinsurance_code,class_cd,it_remarks) values('22Oct240201','040000182748','16235',(select max(to_number(i.premium_rcv_detail_code))+1
from ins_premium_det i),'16235','16235','02', '11000003','00','Request by Mr. Omair Ali 22-Oct-2024 allocation 22Oct240201');</v>
      </c>
    </row>
    <row r="870" spans="1:8" ht="105" x14ac:dyDescent="0.25">
      <c r="A870" t="s">
        <v>998</v>
      </c>
      <c r="B870" s="51" t="str">
        <f>VLOOKUP(A870,policy!B:C,2,0)</f>
        <v>040000182749</v>
      </c>
      <c r="C870" s="46">
        <v>16235</v>
      </c>
      <c r="D870" s="46">
        <v>16235</v>
      </c>
      <c r="E870" s="50" t="s">
        <v>3673</v>
      </c>
      <c r="F870" s="52" t="str">
        <f t="shared" si="39"/>
        <v>insert into ins_premium_det (premium_rcv_code,assorted_code, rec_amount,premium_rcv_detail_code,remaining_amt, payrec, mode_code,coinsurance_code,class_cd,it_remarks) values</v>
      </c>
      <c r="G870" s="53" t="str">
        <f t="shared" si="40"/>
        <v>('22Oct240201','040000182749','16235',(select max(to_number(i.premium_rcv_detail_code))+1
from ins_premium_det i),'16235','16235','02', '11000003','00','Request by Mr. Omair Ali 22-Oct-2024 allocation 22Oct240201');</v>
      </c>
      <c r="H870" s="54" t="str">
        <f t="shared" si="41"/>
        <v>insert into ins_premium_det (premium_rcv_code,assorted_code, rec_amount,premium_rcv_detail_code,remaining_amt, payrec, mode_code,coinsurance_code,class_cd,it_remarks) values('22Oct240201','040000182749','16235',(select max(to_number(i.premium_rcv_detail_code))+1
from ins_premium_det i),'16235','16235','02', '11000003','00','Request by Mr. Omair Ali 22-Oct-2024 allocation 22Oct240201');</v>
      </c>
    </row>
    <row r="871" spans="1:8" ht="105" x14ac:dyDescent="0.25">
      <c r="A871" t="s">
        <v>999</v>
      </c>
      <c r="B871" s="51" t="str">
        <f>VLOOKUP(A871,policy!B:C,2,0)</f>
        <v>040000182750</v>
      </c>
      <c r="C871" s="46">
        <v>14960</v>
      </c>
      <c r="D871" s="46">
        <v>14960</v>
      </c>
      <c r="E871" s="50" t="s">
        <v>3673</v>
      </c>
      <c r="F871" s="52" t="str">
        <f t="shared" si="39"/>
        <v>insert into ins_premium_det (premium_rcv_code,assorted_code, rec_amount,premium_rcv_detail_code,remaining_amt, payrec, mode_code,coinsurance_code,class_cd,it_remarks) values</v>
      </c>
      <c r="G871" s="53" t="str">
        <f t="shared" si="40"/>
        <v>('22Oct240201','040000182750','14960',(select max(to_number(i.premium_rcv_detail_code))+1
from ins_premium_det i),'14960','14960','02', '11000003','00','Request by Mr. Omair Ali 22-Oct-2024 allocation 22Oct240201');</v>
      </c>
      <c r="H871" s="54" t="str">
        <f t="shared" si="41"/>
        <v>insert into ins_premium_det (premium_rcv_code,assorted_code, rec_amount,premium_rcv_detail_code,remaining_amt, payrec, mode_code,coinsurance_code,class_cd,it_remarks) values('22Oct240201','040000182750','14960',(select max(to_number(i.premium_rcv_detail_code))+1
from ins_premium_det i),'14960','14960','02', '11000003','00','Request by Mr. Omair Ali 22-Oct-2024 allocation 22Oct240201');</v>
      </c>
    </row>
    <row r="872" spans="1:8" ht="105" x14ac:dyDescent="0.25">
      <c r="A872" t="s">
        <v>1000</v>
      </c>
      <c r="B872" s="51" t="str">
        <f>VLOOKUP(A872,policy!B:C,2,0)</f>
        <v>040000182751</v>
      </c>
      <c r="C872" s="46">
        <v>14960</v>
      </c>
      <c r="D872" s="46">
        <v>14960</v>
      </c>
      <c r="E872" s="50" t="s">
        <v>3673</v>
      </c>
      <c r="F872" s="52" t="str">
        <f t="shared" si="39"/>
        <v>insert into ins_premium_det (premium_rcv_code,assorted_code, rec_amount,premium_rcv_detail_code,remaining_amt, payrec, mode_code,coinsurance_code,class_cd,it_remarks) values</v>
      </c>
      <c r="G872" s="53" t="str">
        <f t="shared" si="40"/>
        <v>('22Oct240201','040000182751','14960',(select max(to_number(i.premium_rcv_detail_code))+1
from ins_premium_det i),'14960','14960','02', '11000003','00','Request by Mr. Omair Ali 22-Oct-2024 allocation 22Oct240201');</v>
      </c>
      <c r="H872" s="54" t="str">
        <f t="shared" si="41"/>
        <v>insert into ins_premium_det (premium_rcv_code,assorted_code, rec_amount,premium_rcv_detail_code,remaining_amt, payrec, mode_code,coinsurance_code,class_cd,it_remarks) values('22Oct240201','040000182751','14960',(select max(to_number(i.premium_rcv_detail_code))+1
from ins_premium_det i),'14960','14960','02', '11000003','00','Request by Mr. Omair Ali 22-Oct-2024 allocation 22Oct240201');</v>
      </c>
    </row>
    <row r="873" spans="1:8" ht="105" x14ac:dyDescent="0.25">
      <c r="A873" t="s">
        <v>1001</v>
      </c>
      <c r="B873" s="51" t="str">
        <f>VLOOKUP(A873,policy!B:C,2,0)</f>
        <v>040000182753</v>
      </c>
      <c r="C873" s="46">
        <v>23248</v>
      </c>
      <c r="D873" s="46">
        <v>23248</v>
      </c>
      <c r="E873" s="50" t="s">
        <v>3673</v>
      </c>
      <c r="F873" s="52" t="str">
        <f t="shared" si="39"/>
        <v>insert into ins_premium_det (premium_rcv_code,assorted_code, rec_amount,premium_rcv_detail_code,remaining_amt, payrec, mode_code,coinsurance_code,class_cd,it_remarks) values</v>
      </c>
      <c r="G873" s="53" t="str">
        <f t="shared" si="40"/>
        <v>('22Oct240201','040000182753','23248',(select max(to_number(i.premium_rcv_detail_code))+1
from ins_premium_det i),'23248','23248','02', '11000003','00','Request by Mr. Omair Ali 22-Oct-2024 allocation 22Oct240201');</v>
      </c>
      <c r="H873" s="54" t="str">
        <f t="shared" si="41"/>
        <v>insert into ins_premium_det (premium_rcv_code,assorted_code, rec_amount,premium_rcv_detail_code,remaining_amt, payrec, mode_code,coinsurance_code,class_cd,it_remarks) values('22Oct240201','040000182753','23248',(select max(to_number(i.premium_rcv_detail_code))+1
from ins_premium_det i),'23248','23248','02', '11000003','00','Request by Mr. Omair Ali 22-Oct-2024 allocation 22Oct240201');</v>
      </c>
    </row>
    <row r="874" spans="1:8" ht="105" x14ac:dyDescent="0.25">
      <c r="A874" t="s">
        <v>1002</v>
      </c>
      <c r="B874" s="51" t="str">
        <f>VLOOKUP(A874,policy!B:C,2,0)</f>
        <v>040000182754</v>
      </c>
      <c r="C874" s="46">
        <v>23248</v>
      </c>
      <c r="D874" s="46">
        <v>23248</v>
      </c>
      <c r="E874" s="50" t="s">
        <v>3673</v>
      </c>
      <c r="F874" s="52" t="str">
        <f t="shared" si="39"/>
        <v>insert into ins_premium_det (premium_rcv_code,assorted_code, rec_amount,premium_rcv_detail_code,remaining_amt, payrec, mode_code,coinsurance_code,class_cd,it_remarks) values</v>
      </c>
      <c r="G874" s="53" t="str">
        <f t="shared" si="40"/>
        <v>('22Oct240201','040000182754','23248',(select max(to_number(i.premium_rcv_detail_code))+1
from ins_premium_det i),'23248','23248','02', '11000003','00','Request by Mr. Omair Ali 22-Oct-2024 allocation 22Oct240201');</v>
      </c>
      <c r="H874" s="54" t="str">
        <f t="shared" si="41"/>
        <v>insert into ins_premium_det (premium_rcv_code,assorted_code, rec_amount,premium_rcv_detail_code,remaining_amt, payrec, mode_code,coinsurance_code,class_cd,it_remarks) values('22Oct240201','040000182754','23248',(select max(to_number(i.premium_rcv_detail_code))+1
from ins_premium_det i),'23248','23248','02', '11000003','00','Request by Mr. Omair Ali 22-Oct-2024 allocation 22Oct240201');</v>
      </c>
    </row>
    <row r="875" spans="1:8" ht="105" x14ac:dyDescent="0.25">
      <c r="A875" t="s">
        <v>1003</v>
      </c>
      <c r="B875" s="51" t="str">
        <f>VLOOKUP(A875,policy!B:C,2,0)</f>
        <v>040000182756</v>
      </c>
      <c r="C875" s="46">
        <v>16235</v>
      </c>
      <c r="D875" s="46">
        <v>16235</v>
      </c>
      <c r="E875" s="50" t="s">
        <v>3673</v>
      </c>
      <c r="F875" s="52" t="str">
        <f t="shared" si="39"/>
        <v>insert into ins_premium_det (premium_rcv_code,assorted_code, rec_amount,premium_rcv_detail_code,remaining_amt, payrec, mode_code,coinsurance_code,class_cd,it_remarks) values</v>
      </c>
      <c r="G875" s="53" t="str">
        <f t="shared" si="40"/>
        <v>('22Oct240201','040000182756','16235',(select max(to_number(i.premium_rcv_detail_code))+1
from ins_premium_det i),'16235','16235','02', '11000003','00','Request by Mr. Omair Ali 22-Oct-2024 allocation 22Oct240201');</v>
      </c>
      <c r="H875" s="54" t="str">
        <f t="shared" si="41"/>
        <v>insert into ins_premium_det (premium_rcv_code,assorted_code, rec_amount,premium_rcv_detail_code,remaining_amt, payrec, mode_code,coinsurance_code,class_cd,it_remarks) values('22Oct240201','040000182756','16235',(select max(to_number(i.premium_rcv_detail_code))+1
from ins_premium_det i),'16235','16235','02', '11000003','00','Request by Mr. Omair Ali 22-Oct-2024 allocation 22Oct240201');</v>
      </c>
    </row>
    <row r="876" spans="1:8" ht="105" x14ac:dyDescent="0.25">
      <c r="A876" t="s">
        <v>1004</v>
      </c>
      <c r="B876" s="51" t="str">
        <f>VLOOKUP(A876,policy!B:C,2,0)</f>
        <v>040000182757</v>
      </c>
      <c r="C876" s="46">
        <v>16235</v>
      </c>
      <c r="D876" s="46">
        <v>16235</v>
      </c>
      <c r="E876" s="50" t="s">
        <v>3673</v>
      </c>
      <c r="F876" s="52" t="str">
        <f t="shared" si="39"/>
        <v>insert into ins_premium_det (premium_rcv_code,assorted_code, rec_amount,premium_rcv_detail_code,remaining_amt, payrec, mode_code,coinsurance_code,class_cd,it_remarks) values</v>
      </c>
      <c r="G876" s="53" t="str">
        <f t="shared" si="40"/>
        <v>('22Oct240201','040000182757','16235',(select max(to_number(i.premium_rcv_detail_code))+1
from ins_premium_det i),'16235','16235','02', '11000003','00','Request by Mr. Omair Ali 22-Oct-2024 allocation 22Oct240201');</v>
      </c>
      <c r="H876" s="54" t="str">
        <f t="shared" si="41"/>
        <v>insert into ins_premium_det (premium_rcv_code,assorted_code, rec_amount,premium_rcv_detail_code,remaining_amt, payrec, mode_code,coinsurance_code,class_cd,it_remarks) values('22Oct240201','040000182757','16235',(select max(to_number(i.premium_rcv_detail_code))+1
from ins_premium_det i),'16235','16235','02', '11000003','00','Request by Mr. Omair Ali 22-Oct-2024 allocation 22Oct240201');</v>
      </c>
    </row>
    <row r="877" spans="1:8" ht="105" x14ac:dyDescent="0.25">
      <c r="A877" t="s">
        <v>1005</v>
      </c>
      <c r="B877" s="51" t="str">
        <f>VLOOKUP(A877,policy!B:C,2,0)</f>
        <v>040000182761</v>
      </c>
      <c r="C877" s="46">
        <v>13675</v>
      </c>
      <c r="D877" s="46">
        <v>13675</v>
      </c>
      <c r="E877" s="50" t="s">
        <v>3673</v>
      </c>
      <c r="F877" s="52" t="str">
        <f t="shared" si="39"/>
        <v>insert into ins_premium_det (premium_rcv_code,assorted_code, rec_amount,premium_rcv_detail_code,remaining_amt, payrec, mode_code,coinsurance_code,class_cd,it_remarks) values</v>
      </c>
      <c r="G877" s="53" t="str">
        <f t="shared" si="40"/>
        <v>('22Oct240201','040000182761','13675',(select max(to_number(i.premium_rcv_detail_code))+1
from ins_premium_det i),'13675','13675','02', '11000003','00','Request by Mr. Omair Ali 22-Oct-2024 allocation 22Oct240201');</v>
      </c>
      <c r="H877" s="54" t="str">
        <f t="shared" si="41"/>
        <v>insert into ins_premium_det (premium_rcv_code,assorted_code, rec_amount,premium_rcv_detail_code,remaining_amt, payrec, mode_code,coinsurance_code,class_cd,it_remarks) values('22Oct240201','040000182761','13675',(select max(to_number(i.premium_rcv_detail_code))+1
from ins_premium_det i),'13675','13675','02', '11000003','00','Request by Mr. Omair Ali 22-Oct-2024 allocation 22Oct240201');</v>
      </c>
    </row>
    <row r="878" spans="1:8" ht="105" x14ac:dyDescent="0.25">
      <c r="A878" t="s">
        <v>1006</v>
      </c>
      <c r="B878" s="51" t="str">
        <f>VLOOKUP(A878,policy!B:C,2,0)</f>
        <v>040000182762</v>
      </c>
      <c r="C878" s="46">
        <v>8800</v>
      </c>
      <c r="D878" s="46">
        <v>8800</v>
      </c>
      <c r="E878" s="50" t="s">
        <v>3673</v>
      </c>
      <c r="F878" s="52" t="str">
        <f t="shared" si="39"/>
        <v>insert into ins_premium_det (premium_rcv_code,assorted_code, rec_amount,premium_rcv_detail_code,remaining_amt, payrec, mode_code,coinsurance_code,class_cd,it_remarks) values</v>
      </c>
      <c r="G878" s="53" t="str">
        <f t="shared" si="40"/>
        <v>('22Oct240201','040000182762','8800',(select max(to_number(i.premium_rcv_detail_code))+1
from ins_premium_det i),'8800','8800','02', '11000003','00','Request by Mr. Omair Ali 22-Oct-2024 allocation 22Oct240201');</v>
      </c>
      <c r="H878" s="54" t="str">
        <f t="shared" si="41"/>
        <v>insert into ins_premium_det (premium_rcv_code,assorted_code, rec_amount,premium_rcv_detail_code,remaining_amt, payrec, mode_code,coinsurance_code,class_cd,it_remarks) values('22Oct240201','040000182762','8800',(select max(to_number(i.premium_rcv_detail_code))+1
from ins_premium_det i),'8800','8800','02', '11000003','00','Request by Mr. Omair Ali 22-Oct-2024 allocation 22Oct240201');</v>
      </c>
    </row>
    <row r="879" spans="1:8" ht="105" x14ac:dyDescent="0.25">
      <c r="A879" t="s">
        <v>1007</v>
      </c>
      <c r="B879" s="51" t="str">
        <f>VLOOKUP(A879,policy!B:C,2,0)</f>
        <v>040000182764</v>
      </c>
      <c r="C879" s="46">
        <v>8800</v>
      </c>
      <c r="D879" s="46">
        <v>8800</v>
      </c>
      <c r="E879" s="50" t="s">
        <v>3673</v>
      </c>
      <c r="F879" s="52" t="str">
        <f t="shared" si="39"/>
        <v>insert into ins_premium_det (premium_rcv_code,assorted_code, rec_amount,premium_rcv_detail_code,remaining_amt, payrec, mode_code,coinsurance_code,class_cd,it_remarks) values</v>
      </c>
      <c r="G879" s="53" t="str">
        <f t="shared" si="40"/>
        <v>('22Oct240201','040000182764','8800',(select max(to_number(i.premium_rcv_detail_code))+1
from ins_premium_det i),'8800','8800','02', '11000003','00','Request by Mr. Omair Ali 22-Oct-2024 allocation 22Oct240201');</v>
      </c>
      <c r="H879" s="54" t="str">
        <f t="shared" si="41"/>
        <v>insert into ins_premium_det (premium_rcv_code,assorted_code, rec_amount,premium_rcv_detail_code,remaining_amt, payrec, mode_code,coinsurance_code,class_cd,it_remarks) values('22Oct240201','040000182764','8800',(select max(to_number(i.premium_rcv_detail_code))+1
from ins_premium_det i),'8800','8800','02', '11000003','00','Request by Mr. Omair Ali 22-Oct-2024 allocation 22Oct240201');</v>
      </c>
    </row>
    <row r="880" spans="1:8" ht="105" x14ac:dyDescent="0.25">
      <c r="A880" t="s">
        <v>1008</v>
      </c>
      <c r="B880" s="51" t="str">
        <f>VLOOKUP(A880,policy!B:C,2,0)</f>
        <v>040000182767</v>
      </c>
      <c r="C880" s="46">
        <v>12475</v>
      </c>
      <c r="D880" s="46">
        <v>12475</v>
      </c>
      <c r="E880" s="50" t="s">
        <v>3673</v>
      </c>
      <c r="F880" s="52" t="str">
        <f t="shared" si="39"/>
        <v>insert into ins_premium_det (premium_rcv_code,assorted_code, rec_amount,premium_rcv_detail_code,remaining_amt, payrec, mode_code,coinsurance_code,class_cd,it_remarks) values</v>
      </c>
      <c r="G880" s="53" t="str">
        <f t="shared" si="40"/>
        <v>('22Oct240201','040000182767','12475',(select max(to_number(i.premium_rcv_detail_code))+1
from ins_premium_det i),'12475','12475','02', '11000003','00','Request by Mr. Omair Ali 22-Oct-2024 allocation 22Oct240201');</v>
      </c>
      <c r="H880" s="54" t="str">
        <f t="shared" si="41"/>
        <v>insert into ins_premium_det (premium_rcv_code,assorted_code, rec_amount,premium_rcv_detail_code,remaining_amt, payrec, mode_code,coinsurance_code,class_cd,it_remarks) values('22Oct240201','040000182767','12475',(select max(to_number(i.premium_rcv_detail_code))+1
from ins_premium_det i),'12475','12475','02', '11000003','00','Request by Mr. Omair Ali 22-Oct-2024 allocation 22Oct240201');</v>
      </c>
    </row>
    <row r="881" spans="1:8" ht="105" x14ac:dyDescent="0.25">
      <c r="A881" t="s">
        <v>1009</v>
      </c>
      <c r="B881" s="51" t="str">
        <f>VLOOKUP(A881,policy!B:C,2,0)</f>
        <v>040000182769</v>
      </c>
      <c r="C881" s="46">
        <v>9550</v>
      </c>
      <c r="D881" s="46">
        <v>9550</v>
      </c>
      <c r="E881" s="50" t="s">
        <v>3673</v>
      </c>
      <c r="F881" s="52" t="str">
        <f t="shared" si="39"/>
        <v>insert into ins_premium_det (premium_rcv_code,assorted_code, rec_amount,premium_rcv_detail_code,remaining_amt, payrec, mode_code,coinsurance_code,class_cd,it_remarks) values</v>
      </c>
      <c r="G881" s="53" t="str">
        <f t="shared" si="40"/>
        <v>('22Oct240201','040000182769','9550',(select max(to_number(i.premium_rcv_detail_code))+1
from ins_premium_det i),'9550','9550','02', '11000003','00','Request by Mr. Omair Ali 22-Oct-2024 allocation 22Oct240201');</v>
      </c>
      <c r="H881" s="54" t="str">
        <f t="shared" si="41"/>
        <v>insert into ins_premium_det (premium_rcv_code,assorted_code, rec_amount,premium_rcv_detail_code,remaining_amt, payrec, mode_code,coinsurance_code,class_cd,it_remarks) values('22Oct240201','040000182769','9550',(select max(to_number(i.premium_rcv_detail_code))+1
from ins_premium_det i),'9550','9550','02', '11000003','00','Request by Mr. Omair Ali 22-Oct-2024 allocation 22Oct240201');</v>
      </c>
    </row>
    <row r="882" spans="1:8" ht="105" x14ac:dyDescent="0.25">
      <c r="A882" t="s">
        <v>1010</v>
      </c>
      <c r="B882" s="51" t="str">
        <f>VLOOKUP(A882,policy!B:C,2,0)</f>
        <v>040000182772</v>
      </c>
      <c r="C882" s="46">
        <v>13675</v>
      </c>
      <c r="D882" s="46">
        <v>13675</v>
      </c>
      <c r="E882" s="50" t="s">
        <v>3673</v>
      </c>
      <c r="F882" s="52" t="str">
        <f t="shared" si="39"/>
        <v>insert into ins_premium_det (premium_rcv_code,assorted_code, rec_amount,premium_rcv_detail_code,remaining_amt, payrec, mode_code,coinsurance_code,class_cd,it_remarks) values</v>
      </c>
      <c r="G882" s="53" t="str">
        <f t="shared" si="40"/>
        <v>('22Oct240201','040000182772','13675',(select max(to_number(i.premium_rcv_detail_code))+1
from ins_premium_det i),'13675','13675','02', '11000003','00','Request by Mr. Omair Ali 22-Oct-2024 allocation 22Oct240201');</v>
      </c>
      <c r="H882" s="54" t="str">
        <f t="shared" si="41"/>
        <v>insert into ins_premium_det (premium_rcv_code,assorted_code, rec_amount,premium_rcv_detail_code,remaining_amt, payrec, mode_code,coinsurance_code,class_cd,it_remarks) values('22Oct240201','040000182772','13675',(select max(to_number(i.premium_rcv_detail_code))+1
from ins_premium_det i),'13675','13675','02', '11000003','00','Request by Mr. Omair Ali 22-Oct-2024 allocation 22Oct240201');</v>
      </c>
    </row>
    <row r="883" spans="1:8" ht="105" x14ac:dyDescent="0.25">
      <c r="A883" t="s">
        <v>1011</v>
      </c>
      <c r="B883" s="51" t="str">
        <f>VLOOKUP(A883,policy!B:C,2,0)</f>
        <v>040000182775</v>
      </c>
      <c r="C883" s="46">
        <v>16235</v>
      </c>
      <c r="D883" s="46">
        <v>16235</v>
      </c>
      <c r="E883" s="50" t="s">
        <v>3673</v>
      </c>
      <c r="F883" s="52" t="str">
        <f t="shared" si="39"/>
        <v>insert into ins_premium_det (premium_rcv_code,assorted_code, rec_amount,premium_rcv_detail_code,remaining_amt, payrec, mode_code,coinsurance_code,class_cd,it_remarks) values</v>
      </c>
      <c r="G883" s="53" t="str">
        <f t="shared" si="40"/>
        <v>('22Oct240201','040000182775','16235',(select max(to_number(i.premium_rcv_detail_code))+1
from ins_premium_det i),'16235','16235','02', '11000003','00','Request by Mr. Omair Ali 22-Oct-2024 allocation 22Oct240201');</v>
      </c>
      <c r="H883" s="54" t="str">
        <f t="shared" si="41"/>
        <v>insert into ins_premium_det (premium_rcv_code,assorted_code, rec_amount,premium_rcv_detail_code,remaining_amt, payrec, mode_code,coinsurance_code,class_cd,it_remarks) values('22Oct240201','040000182775','16235',(select max(to_number(i.premium_rcv_detail_code))+1
from ins_premium_det i),'16235','16235','02', '11000003','00','Request by Mr. Omair Ali 22-Oct-2024 allocation 22Oct240201');</v>
      </c>
    </row>
    <row r="884" spans="1:8" ht="105" x14ac:dyDescent="0.25">
      <c r="A884" t="s">
        <v>1012</v>
      </c>
      <c r="B884" s="51" t="str">
        <f>VLOOKUP(A884,policy!B:C,2,0)</f>
        <v>040000182776</v>
      </c>
      <c r="C884" s="46">
        <v>16235</v>
      </c>
      <c r="D884" s="46">
        <v>16235</v>
      </c>
      <c r="E884" s="50" t="s">
        <v>3673</v>
      </c>
      <c r="F884" s="52" t="str">
        <f t="shared" si="39"/>
        <v>insert into ins_premium_det (premium_rcv_code,assorted_code, rec_amount,premium_rcv_detail_code,remaining_amt, payrec, mode_code,coinsurance_code,class_cd,it_remarks) values</v>
      </c>
      <c r="G884" s="53" t="str">
        <f t="shared" si="40"/>
        <v>('22Oct240201','040000182776','16235',(select max(to_number(i.premium_rcv_detail_code))+1
from ins_premium_det i),'16235','16235','02', '11000003','00','Request by Mr. Omair Ali 22-Oct-2024 allocation 22Oct240201');</v>
      </c>
      <c r="H884" s="54" t="str">
        <f t="shared" si="41"/>
        <v>insert into ins_premium_det (premium_rcv_code,assorted_code, rec_amount,premium_rcv_detail_code,remaining_amt, payrec, mode_code,coinsurance_code,class_cd,it_remarks) values('22Oct240201','040000182776','16235',(select max(to_number(i.premium_rcv_detail_code))+1
from ins_premium_det i),'16235','16235','02', '11000003','00','Request by Mr. Omair Ali 22-Oct-2024 allocation 22Oct240201');</v>
      </c>
    </row>
    <row r="885" spans="1:8" ht="105" x14ac:dyDescent="0.25">
      <c r="A885" t="s">
        <v>1013</v>
      </c>
      <c r="B885" s="51" t="str">
        <f>VLOOKUP(A885,policy!B:C,2,0)</f>
        <v>040000182778</v>
      </c>
      <c r="C885" s="46">
        <v>9550</v>
      </c>
      <c r="D885" s="46">
        <v>9550</v>
      </c>
      <c r="E885" s="50" t="s">
        <v>3673</v>
      </c>
      <c r="F885" s="52" t="str">
        <f t="shared" si="39"/>
        <v>insert into ins_premium_det (premium_rcv_code,assorted_code, rec_amount,premium_rcv_detail_code,remaining_amt, payrec, mode_code,coinsurance_code,class_cd,it_remarks) values</v>
      </c>
      <c r="G885" s="53" t="str">
        <f t="shared" si="40"/>
        <v>('22Oct240201','040000182778','9550',(select max(to_number(i.premium_rcv_detail_code))+1
from ins_premium_det i),'9550','9550','02', '11000003','00','Request by Mr. Omair Ali 22-Oct-2024 allocation 22Oct240201');</v>
      </c>
      <c r="H885" s="54" t="str">
        <f t="shared" si="41"/>
        <v>insert into ins_premium_det (premium_rcv_code,assorted_code, rec_amount,premium_rcv_detail_code,remaining_amt, payrec, mode_code,coinsurance_code,class_cd,it_remarks) values('22Oct240201','040000182778','9550',(select max(to_number(i.premium_rcv_detail_code))+1
from ins_premium_det i),'9550','9550','02', '11000003','00','Request by Mr. Omair Ali 22-Oct-2024 allocation 22Oct240201');</v>
      </c>
    </row>
    <row r="886" spans="1:8" ht="105" x14ac:dyDescent="0.25">
      <c r="A886" t="s">
        <v>1014</v>
      </c>
      <c r="B886" s="51" t="str">
        <f>VLOOKUP(A886,policy!B:C,2,0)</f>
        <v>040000182782</v>
      </c>
      <c r="C886" s="46">
        <v>9550</v>
      </c>
      <c r="D886" s="46">
        <v>9550</v>
      </c>
      <c r="E886" s="50" t="s">
        <v>3673</v>
      </c>
      <c r="F886" s="52" t="str">
        <f t="shared" si="39"/>
        <v>insert into ins_premium_det (premium_rcv_code,assorted_code, rec_amount,premium_rcv_detail_code,remaining_amt, payrec, mode_code,coinsurance_code,class_cd,it_remarks) values</v>
      </c>
      <c r="G886" s="53" t="str">
        <f t="shared" si="40"/>
        <v>('22Oct240201','040000182782','9550',(select max(to_number(i.premium_rcv_detail_code))+1
from ins_premium_det i),'9550','9550','02', '11000003','00','Request by Mr. Omair Ali 22-Oct-2024 allocation 22Oct240201');</v>
      </c>
      <c r="H886" s="54" t="str">
        <f t="shared" si="41"/>
        <v>insert into ins_premium_det (premium_rcv_code,assorted_code, rec_amount,premium_rcv_detail_code,remaining_amt, payrec, mode_code,coinsurance_code,class_cd,it_remarks) values('22Oct240201','040000182782','9550',(select max(to_number(i.premium_rcv_detail_code))+1
from ins_premium_det i),'9550','9550','02', '11000003','00','Request by Mr. Omair Ali 22-Oct-2024 allocation 22Oct240201');</v>
      </c>
    </row>
    <row r="887" spans="1:8" ht="105" x14ac:dyDescent="0.25">
      <c r="A887" t="s">
        <v>1015</v>
      </c>
      <c r="B887" s="51" t="str">
        <f>VLOOKUP(A887,policy!B:C,2,0)</f>
        <v>040000182783</v>
      </c>
      <c r="C887" s="46">
        <v>9550</v>
      </c>
      <c r="D887" s="46">
        <v>9550</v>
      </c>
      <c r="E887" s="50" t="s">
        <v>3673</v>
      </c>
      <c r="F887" s="52" t="str">
        <f t="shared" si="39"/>
        <v>insert into ins_premium_det (premium_rcv_code,assorted_code, rec_amount,premium_rcv_detail_code,remaining_amt, payrec, mode_code,coinsurance_code,class_cd,it_remarks) values</v>
      </c>
      <c r="G887" s="53" t="str">
        <f t="shared" si="40"/>
        <v>('22Oct240201','040000182783','9550',(select max(to_number(i.premium_rcv_detail_code))+1
from ins_premium_det i),'9550','9550','02', '11000003','00','Request by Mr. Omair Ali 22-Oct-2024 allocation 22Oct240201');</v>
      </c>
      <c r="H887" s="54" t="str">
        <f t="shared" si="41"/>
        <v>insert into ins_premium_det (premium_rcv_code,assorted_code, rec_amount,premium_rcv_detail_code,remaining_amt, payrec, mode_code,coinsurance_code,class_cd,it_remarks) values('22Oct240201','040000182783','9550',(select max(to_number(i.premium_rcv_detail_code))+1
from ins_premium_det i),'9550','9550','02', '11000003','00','Request by Mr. Omair Ali 22-Oct-2024 allocation 22Oct240201');</v>
      </c>
    </row>
    <row r="888" spans="1:8" ht="105" x14ac:dyDescent="0.25">
      <c r="A888" t="s">
        <v>1016</v>
      </c>
      <c r="B888" s="51" t="str">
        <f>VLOOKUP(A888,policy!B:C,2,0)</f>
        <v>040000182785</v>
      </c>
      <c r="C888" s="46">
        <v>9550</v>
      </c>
      <c r="D888" s="46">
        <v>9550</v>
      </c>
      <c r="E888" s="50" t="s">
        <v>3673</v>
      </c>
      <c r="F888" s="52" t="str">
        <f t="shared" si="39"/>
        <v>insert into ins_premium_det (premium_rcv_code,assorted_code, rec_amount,premium_rcv_detail_code,remaining_amt, payrec, mode_code,coinsurance_code,class_cd,it_remarks) values</v>
      </c>
      <c r="G888" s="53" t="str">
        <f t="shared" si="40"/>
        <v>('22Oct240201','040000182785','9550',(select max(to_number(i.premium_rcv_detail_code))+1
from ins_premium_det i),'9550','9550','02', '11000003','00','Request by Mr. Omair Ali 22-Oct-2024 allocation 22Oct240201');</v>
      </c>
      <c r="H888" s="54" t="str">
        <f t="shared" si="41"/>
        <v>insert into ins_premium_det (premium_rcv_code,assorted_code, rec_amount,premium_rcv_detail_code,remaining_amt, payrec, mode_code,coinsurance_code,class_cd,it_remarks) values('22Oct240201','040000182785','9550',(select max(to_number(i.premium_rcv_detail_code))+1
from ins_premium_det i),'9550','9550','02', '11000003','00','Request by Mr. Omair Ali 22-Oct-2024 allocation 22Oct240201');</v>
      </c>
    </row>
    <row r="889" spans="1:8" ht="105" x14ac:dyDescent="0.25">
      <c r="A889" t="s">
        <v>1017</v>
      </c>
      <c r="B889" s="51" t="str">
        <f>VLOOKUP(A889,policy!B:C,2,0)</f>
        <v>040000182786</v>
      </c>
      <c r="C889" s="46">
        <v>9550</v>
      </c>
      <c r="D889" s="46">
        <v>9550</v>
      </c>
      <c r="E889" s="50" t="s">
        <v>3673</v>
      </c>
      <c r="F889" s="52" t="str">
        <f t="shared" si="39"/>
        <v>insert into ins_premium_det (premium_rcv_code,assorted_code, rec_amount,premium_rcv_detail_code,remaining_amt, payrec, mode_code,coinsurance_code,class_cd,it_remarks) values</v>
      </c>
      <c r="G889" s="53" t="str">
        <f t="shared" si="40"/>
        <v>('22Oct240201','040000182786','9550',(select max(to_number(i.premium_rcv_detail_code))+1
from ins_premium_det i),'9550','9550','02', '11000003','00','Request by Mr. Omair Ali 22-Oct-2024 allocation 22Oct240201');</v>
      </c>
      <c r="H889" s="54" t="str">
        <f t="shared" si="41"/>
        <v>insert into ins_premium_det (premium_rcv_code,assorted_code, rec_amount,premium_rcv_detail_code,remaining_amt, payrec, mode_code,coinsurance_code,class_cd,it_remarks) values('22Oct240201','040000182786','9550',(select max(to_number(i.premium_rcv_detail_code))+1
from ins_premium_det i),'9550','9550','02', '11000003','00','Request by Mr. Omair Ali 22-Oct-2024 allocation 22Oct240201');</v>
      </c>
    </row>
    <row r="890" spans="1:8" ht="105" x14ac:dyDescent="0.25">
      <c r="A890" t="s">
        <v>1018</v>
      </c>
      <c r="B890" s="51" t="str">
        <f>VLOOKUP(A890,policy!B:C,2,0)</f>
        <v>040000182787</v>
      </c>
      <c r="C890" s="46">
        <v>8800</v>
      </c>
      <c r="D890" s="46">
        <v>8800</v>
      </c>
      <c r="E890" s="50" t="s">
        <v>3673</v>
      </c>
      <c r="F890" s="52" t="str">
        <f t="shared" si="39"/>
        <v>insert into ins_premium_det (premium_rcv_code,assorted_code, rec_amount,premium_rcv_detail_code,remaining_amt, payrec, mode_code,coinsurance_code,class_cd,it_remarks) values</v>
      </c>
      <c r="G890" s="53" t="str">
        <f t="shared" si="40"/>
        <v>('22Oct240201','040000182787','8800',(select max(to_number(i.premium_rcv_detail_code))+1
from ins_premium_det i),'8800','8800','02', '11000003','00','Request by Mr. Omair Ali 22-Oct-2024 allocation 22Oct240201');</v>
      </c>
      <c r="H890" s="54" t="str">
        <f t="shared" si="41"/>
        <v>insert into ins_premium_det (premium_rcv_code,assorted_code, rec_amount,premium_rcv_detail_code,remaining_amt, payrec, mode_code,coinsurance_code,class_cd,it_remarks) values('22Oct240201','040000182787','8800',(select max(to_number(i.premium_rcv_detail_code))+1
from ins_premium_det i),'8800','8800','02', '11000003','00','Request by Mr. Omair Ali 22-Oct-2024 allocation 22Oct240201');</v>
      </c>
    </row>
    <row r="891" spans="1:8" ht="105" x14ac:dyDescent="0.25">
      <c r="A891" t="s">
        <v>1019</v>
      </c>
      <c r="B891" s="51" t="str">
        <f>VLOOKUP(A891,policy!B:C,2,0)</f>
        <v>040000182788</v>
      </c>
      <c r="C891" s="46">
        <v>9550</v>
      </c>
      <c r="D891" s="46">
        <v>9550</v>
      </c>
      <c r="E891" s="50" t="s">
        <v>3673</v>
      </c>
      <c r="F891" s="52" t="str">
        <f t="shared" si="39"/>
        <v>insert into ins_premium_det (premium_rcv_code,assorted_code, rec_amount,premium_rcv_detail_code,remaining_amt, payrec, mode_code,coinsurance_code,class_cd,it_remarks) values</v>
      </c>
      <c r="G891" s="53" t="str">
        <f t="shared" si="40"/>
        <v>('22Oct240201','040000182788','9550',(select max(to_number(i.premium_rcv_detail_code))+1
from ins_premium_det i),'9550','9550','02', '11000003','00','Request by Mr. Omair Ali 22-Oct-2024 allocation 22Oct240201');</v>
      </c>
      <c r="H891" s="54" t="str">
        <f t="shared" si="41"/>
        <v>insert into ins_premium_det (premium_rcv_code,assorted_code, rec_amount,premium_rcv_detail_code,remaining_amt, payrec, mode_code,coinsurance_code,class_cd,it_remarks) values('22Oct240201','040000182788','9550',(select max(to_number(i.premium_rcv_detail_code))+1
from ins_premium_det i),'9550','9550','02', '11000003','00','Request by Mr. Omair Ali 22-Oct-2024 allocation 22Oct240201');</v>
      </c>
    </row>
    <row r="892" spans="1:8" ht="105" x14ac:dyDescent="0.25">
      <c r="A892" t="s">
        <v>1020</v>
      </c>
      <c r="B892" s="51" t="str">
        <f>VLOOKUP(A892,policy!B:C,2,0)</f>
        <v>040000182790</v>
      </c>
      <c r="C892" s="46">
        <v>13675</v>
      </c>
      <c r="D892" s="46">
        <v>13675</v>
      </c>
      <c r="E892" s="50" t="s">
        <v>3673</v>
      </c>
      <c r="F892" s="52" t="str">
        <f t="shared" si="39"/>
        <v>insert into ins_premium_det (premium_rcv_code,assorted_code, rec_amount,premium_rcv_detail_code,remaining_amt, payrec, mode_code,coinsurance_code,class_cd,it_remarks) values</v>
      </c>
      <c r="G892" s="53" t="str">
        <f t="shared" si="40"/>
        <v>('22Oct240201','040000182790','13675',(select max(to_number(i.premium_rcv_detail_code))+1
from ins_premium_det i),'13675','13675','02', '11000003','00','Request by Mr. Omair Ali 22-Oct-2024 allocation 22Oct240201');</v>
      </c>
      <c r="H892" s="54" t="str">
        <f t="shared" si="41"/>
        <v>insert into ins_premium_det (premium_rcv_code,assorted_code, rec_amount,premium_rcv_detail_code,remaining_amt, payrec, mode_code,coinsurance_code,class_cd,it_remarks) values('22Oct240201','040000182790','13675',(select max(to_number(i.premium_rcv_detail_code))+1
from ins_premium_det i),'13675','13675','02', '11000003','00','Request by Mr. Omair Ali 22-Oct-2024 allocation 22Oct240201');</v>
      </c>
    </row>
    <row r="893" spans="1:8" ht="105" x14ac:dyDescent="0.25">
      <c r="A893" t="s">
        <v>1021</v>
      </c>
      <c r="B893" s="51" t="str">
        <f>VLOOKUP(A893,policy!B:C,2,0)</f>
        <v>040000182791</v>
      </c>
      <c r="C893" s="46">
        <v>8800</v>
      </c>
      <c r="D893" s="46">
        <v>8800</v>
      </c>
      <c r="E893" s="50" t="s">
        <v>3673</v>
      </c>
      <c r="F893" s="52" t="str">
        <f t="shared" si="39"/>
        <v>insert into ins_premium_det (premium_rcv_code,assorted_code, rec_amount,premium_rcv_detail_code,remaining_amt, payrec, mode_code,coinsurance_code,class_cd,it_remarks) values</v>
      </c>
      <c r="G893" s="53" t="str">
        <f t="shared" si="40"/>
        <v>('22Oct240201','040000182791','8800',(select max(to_number(i.premium_rcv_detail_code))+1
from ins_premium_det i),'8800','8800','02', '11000003','00','Request by Mr. Omair Ali 22-Oct-2024 allocation 22Oct240201');</v>
      </c>
      <c r="H893" s="54" t="str">
        <f t="shared" si="41"/>
        <v>insert into ins_premium_det (premium_rcv_code,assorted_code, rec_amount,premium_rcv_detail_code,remaining_amt, payrec, mode_code,coinsurance_code,class_cd,it_remarks) values('22Oct240201','040000182791','8800',(select max(to_number(i.premium_rcv_detail_code))+1
from ins_premium_det i),'8800','8800','02', '11000003','00','Request by Mr. Omair Ali 22-Oct-2024 allocation 22Oct240201');</v>
      </c>
    </row>
    <row r="894" spans="1:8" ht="105" x14ac:dyDescent="0.25">
      <c r="A894" t="s">
        <v>1022</v>
      </c>
      <c r="B894" s="51" t="str">
        <f>VLOOKUP(A894,policy!B:C,2,0)</f>
        <v>040000182793</v>
      </c>
      <c r="C894" s="46">
        <v>8800</v>
      </c>
      <c r="D894" s="46">
        <v>8800</v>
      </c>
      <c r="E894" s="50" t="s">
        <v>3673</v>
      </c>
      <c r="F894" s="52" t="str">
        <f t="shared" si="39"/>
        <v>insert into ins_premium_det (premium_rcv_code,assorted_code, rec_amount,premium_rcv_detail_code,remaining_amt, payrec, mode_code,coinsurance_code,class_cd,it_remarks) values</v>
      </c>
      <c r="G894" s="53" t="str">
        <f t="shared" si="40"/>
        <v>('22Oct240201','040000182793','8800',(select max(to_number(i.premium_rcv_detail_code))+1
from ins_premium_det i),'8800','8800','02', '11000003','00','Request by Mr. Omair Ali 22-Oct-2024 allocation 22Oct240201');</v>
      </c>
      <c r="H894" s="54" t="str">
        <f t="shared" si="41"/>
        <v>insert into ins_premium_det (premium_rcv_code,assorted_code, rec_amount,premium_rcv_detail_code,remaining_amt, payrec, mode_code,coinsurance_code,class_cd,it_remarks) values('22Oct240201','040000182793','8800',(select max(to_number(i.premium_rcv_detail_code))+1
from ins_premium_det i),'8800','8800','02', '11000003','00','Request by Mr. Omair Ali 22-Oct-2024 allocation 22Oct240201');</v>
      </c>
    </row>
    <row r="895" spans="1:8" ht="105" x14ac:dyDescent="0.25">
      <c r="A895" t="s">
        <v>1023</v>
      </c>
      <c r="B895" s="51" t="str">
        <f>VLOOKUP(A895,policy!B:C,2,0)</f>
        <v>040000182794</v>
      </c>
      <c r="C895" s="46">
        <v>9550</v>
      </c>
      <c r="D895" s="46">
        <v>9550</v>
      </c>
      <c r="E895" s="50" t="s">
        <v>3673</v>
      </c>
      <c r="F895" s="52" t="str">
        <f t="shared" si="39"/>
        <v>insert into ins_premium_det (premium_rcv_code,assorted_code, rec_amount,premium_rcv_detail_code,remaining_amt, payrec, mode_code,coinsurance_code,class_cd,it_remarks) values</v>
      </c>
      <c r="G895" s="53" t="str">
        <f t="shared" si="40"/>
        <v>('22Oct240201','040000182794','9550',(select max(to_number(i.premium_rcv_detail_code))+1
from ins_premium_det i),'9550','9550','02', '11000003','00','Request by Mr. Omair Ali 22-Oct-2024 allocation 22Oct240201');</v>
      </c>
      <c r="H895" s="54" t="str">
        <f t="shared" si="41"/>
        <v>insert into ins_premium_det (premium_rcv_code,assorted_code, rec_amount,premium_rcv_detail_code,remaining_amt, payrec, mode_code,coinsurance_code,class_cd,it_remarks) values('22Oct240201','040000182794','9550',(select max(to_number(i.premium_rcv_detail_code))+1
from ins_premium_det i),'9550','9550','02', '11000003','00','Request by Mr. Omair Ali 22-Oct-2024 allocation 22Oct240201');</v>
      </c>
    </row>
    <row r="896" spans="1:8" ht="105" x14ac:dyDescent="0.25">
      <c r="A896" t="s">
        <v>1024</v>
      </c>
      <c r="B896" s="51" t="str">
        <f>VLOOKUP(A896,policy!B:C,2,0)</f>
        <v>040000182796</v>
      </c>
      <c r="C896" s="46">
        <v>9550</v>
      </c>
      <c r="D896" s="46">
        <v>9550</v>
      </c>
      <c r="E896" s="50" t="s">
        <v>3673</v>
      </c>
      <c r="F896" s="52" t="str">
        <f t="shared" si="39"/>
        <v>insert into ins_premium_det (premium_rcv_code,assorted_code, rec_amount,premium_rcv_detail_code,remaining_amt, payrec, mode_code,coinsurance_code,class_cd,it_remarks) values</v>
      </c>
      <c r="G896" s="53" t="str">
        <f t="shared" si="40"/>
        <v>('22Oct240201','040000182796','9550',(select max(to_number(i.premium_rcv_detail_code))+1
from ins_premium_det i),'9550','9550','02', '11000003','00','Request by Mr. Omair Ali 22-Oct-2024 allocation 22Oct240201');</v>
      </c>
      <c r="H896" s="54" t="str">
        <f t="shared" si="41"/>
        <v>insert into ins_premium_det (premium_rcv_code,assorted_code, rec_amount,premium_rcv_detail_code,remaining_amt, payrec, mode_code,coinsurance_code,class_cd,it_remarks) values('22Oct240201','040000182796','9550',(select max(to_number(i.premium_rcv_detail_code))+1
from ins_premium_det i),'9550','9550','02', '11000003','00','Request by Mr. Omair Ali 22-Oct-2024 allocation 22Oct240201');</v>
      </c>
    </row>
    <row r="897" spans="1:8" ht="105" x14ac:dyDescent="0.25">
      <c r="A897" t="s">
        <v>1025</v>
      </c>
      <c r="B897" s="51" t="str">
        <f>VLOOKUP(A897,policy!B:C,2,0)</f>
        <v>040000182797</v>
      </c>
      <c r="C897" s="46">
        <v>9550</v>
      </c>
      <c r="D897" s="46">
        <v>9550</v>
      </c>
      <c r="E897" s="50" t="s">
        <v>3673</v>
      </c>
      <c r="F897" s="52" t="str">
        <f t="shared" si="39"/>
        <v>insert into ins_premium_det (premium_rcv_code,assorted_code, rec_amount,premium_rcv_detail_code,remaining_amt, payrec, mode_code,coinsurance_code,class_cd,it_remarks) values</v>
      </c>
      <c r="G897" s="53" t="str">
        <f t="shared" si="40"/>
        <v>('22Oct240201','040000182797','9550',(select max(to_number(i.premium_rcv_detail_code))+1
from ins_premium_det i),'9550','9550','02', '11000003','00','Request by Mr. Omair Ali 22-Oct-2024 allocation 22Oct240201');</v>
      </c>
      <c r="H897" s="54" t="str">
        <f t="shared" si="41"/>
        <v>insert into ins_premium_det (premium_rcv_code,assorted_code, rec_amount,premium_rcv_detail_code,remaining_amt, payrec, mode_code,coinsurance_code,class_cd,it_remarks) values('22Oct240201','040000182797','9550',(select max(to_number(i.premium_rcv_detail_code))+1
from ins_premium_det i),'9550','9550','02', '11000003','00','Request by Mr. Omair Ali 22-Oct-2024 allocation 22Oct240201');</v>
      </c>
    </row>
    <row r="898" spans="1:8" ht="105" x14ac:dyDescent="0.25">
      <c r="A898" t="s">
        <v>1026</v>
      </c>
      <c r="B898" s="51" t="str">
        <f>VLOOKUP(A898,policy!B:C,2,0)</f>
        <v>040000182799</v>
      </c>
      <c r="C898" s="46">
        <v>8800</v>
      </c>
      <c r="D898" s="46">
        <v>8800</v>
      </c>
      <c r="E898" s="50" t="s">
        <v>3673</v>
      </c>
      <c r="F898" s="52" t="str">
        <f t="shared" ref="F898:F961" si="4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898" s="53" t="str">
        <f t="shared" si="40"/>
        <v>('22Oct240201','040000182799','8800',(select max(to_number(i.premium_rcv_detail_code))+1
from ins_premium_det i),'8800','8800','02', '11000003','00','Request by Mr. Omair Ali 22-Oct-2024 allocation 22Oct240201');</v>
      </c>
      <c r="H898" s="54" t="str">
        <f t="shared" si="41"/>
        <v>insert into ins_premium_det (premium_rcv_code,assorted_code, rec_amount,premium_rcv_detail_code,remaining_amt, payrec, mode_code,coinsurance_code,class_cd,it_remarks) values('22Oct240201','040000182799','8800',(select max(to_number(i.premium_rcv_detail_code))+1
from ins_premium_det i),'8800','8800','02', '11000003','00','Request by Mr. Omair Ali 22-Oct-2024 allocation 22Oct240201');</v>
      </c>
    </row>
    <row r="899" spans="1:8" ht="105" x14ac:dyDescent="0.25">
      <c r="A899" t="s">
        <v>1027</v>
      </c>
      <c r="B899" s="51" t="str">
        <f>VLOOKUP(A899,policy!B:C,2,0)</f>
        <v>040000182801</v>
      </c>
      <c r="C899" s="46">
        <v>9550</v>
      </c>
      <c r="D899" s="46">
        <v>9550</v>
      </c>
      <c r="E899" s="50" t="s">
        <v>3673</v>
      </c>
      <c r="F899" s="52" t="str">
        <f t="shared" si="42"/>
        <v>insert into ins_premium_det (premium_rcv_code,assorted_code, rec_amount,premium_rcv_detail_code,remaining_amt, payrec, mode_code,coinsurance_code,class_cd,it_remarks) values</v>
      </c>
      <c r="G899" s="53" t="str">
        <f t="shared" ref="G899:G962" si="43">"('"&amp;E899&amp;"','"&amp;B899&amp;"','"&amp;D899&amp;"',(select max(to_number(i.premium_rcv_detail_code))+1
from ins_premium_det i),'"&amp;D899&amp;"','"&amp;D899&amp;"','02', '11000003','00','Request by Mr. Omair Ali 22-Oct-2024 allocation 22Oct240201');"</f>
        <v>('22Oct240201','040000182801','9550',(select max(to_number(i.premium_rcv_detail_code))+1
from ins_premium_det i),'9550','9550','02', '11000003','00','Request by Mr. Omair Ali 22-Oct-2024 allocation 22Oct240201');</v>
      </c>
      <c r="H899" s="54" t="str">
        <f t="shared" ref="H899:H962" si="44">F899&amp;G899</f>
        <v>insert into ins_premium_det (premium_rcv_code,assorted_code, rec_amount,premium_rcv_detail_code,remaining_amt, payrec, mode_code,coinsurance_code,class_cd,it_remarks) values('22Oct240201','040000182801','9550',(select max(to_number(i.premium_rcv_detail_code))+1
from ins_premium_det i),'9550','9550','02', '11000003','00','Request by Mr. Omair Ali 22-Oct-2024 allocation 22Oct240201');</v>
      </c>
    </row>
    <row r="900" spans="1:8" ht="105" x14ac:dyDescent="0.25">
      <c r="A900" t="s">
        <v>1028</v>
      </c>
      <c r="B900" s="51" t="str">
        <f>VLOOKUP(A900,policy!B:C,2,0)</f>
        <v>040000182802</v>
      </c>
      <c r="C900" s="46">
        <v>8800</v>
      </c>
      <c r="D900" s="46">
        <v>8800</v>
      </c>
      <c r="E900" s="50" t="s">
        <v>3673</v>
      </c>
      <c r="F900" s="52" t="str">
        <f t="shared" si="42"/>
        <v>insert into ins_premium_det (premium_rcv_code,assorted_code, rec_amount,premium_rcv_detail_code,remaining_amt, payrec, mode_code,coinsurance_code,class_cd,it_remarks) values</v>
      </c>
      <c r="G900" s="53" t="str">
        <f t="shared" si="43"/>
        <v>('22Oct240201','040000182802','8800',(select max(to_number(i.premium_rcv_detail_code))+1
from ins_premium_det i),'8800','8800','02', '11000003','00','Request by Mr. Omair Ali 22-Oct-2024 allocation 22Oct240201');</v>
      </c>
      <c r="H900" s="54" t="str">
        <f t="shared" si="44"/>
        <v>insert into ins_premium_det (premium_rcv_code,assorted_code, rec_amount,premium_rcv_detail_code,remaining_amt, payrec, mode_code,coinsurance_code,class_cd,it_remarks) values('22Oct240201','040000182802','8800',(select max(to_number(i.premium_rcv_detail_code))+1
from ins_premium_det i),'8800','8800','02', '11000003','00','Request by Mr. Omair Ali 22-Oct-2024 allocation 22Oct240201');</v>
      </c>
    </row>
    <row r="901" spans="1:8" ht="105" x14ac:dyDescent="0.25">
      <c r="A901" t="s">
        <v>1029</v>
      </c>
      <c r="B901" s="51" t="str">
        <f>VLOOKUP(A901,policy!B:C,2,0)</f>
        <v>040000182804</v>
      </c>
      <c r="C901" s="46">
        <v>9550</v>
      </c>
      <c r="D901" s="46">
        <v>9550</v>
      </c>
      <c r="E901" s="50" t="s">
        <v>3673</v>
      </c>
      <c r="F901" s="52" t="str">
        <f t="shared" si="42"/>
        <v>insert into ins_premium_det (premium_rcv_code,assorted_code, rec_amount,premium_rcv_detail_code,remaining_amt, payrec, mode_code,coinsurance_code,class_cd,it_remarks) values</v>
      </c>
      <c r="G901" s="53" t="str">
        <f t="shared" si="43"/>
        <v>('22Oct240201','040000182804','9550',(select max(to_number(i.premium_rcv_detail_code))+1
from ins_premium_det i),'9550','9550','02', '11000003','00','Request by Mr. Omair Ali 22-Oct-2024 allocation 22Oct240201');</v>
      </c>
      <c r="H901" s="54" t="str">
        <f t="shared" si="44"/>
        <v>insert into ins_premium_det (premium_rcv_code,assorted_code, rec_amount,premium_rcv_detail_code,remaining_amt, payrec, mode_code,coinsurance_code,class_cd,it_remarks) values('22Oct240201','040000182804','9550',(select max(to_number(i.premium_rcv_detail_code))+1
from ins_premium_det i),'9550','9550','02', '11000003','00','Request by Mr. Omair Ali 22-Oct-2024 allocation 22Oct240201');</v>
      </c>
    </row>
    <row r="902" spans="1:8" ht="105" x14ac:dyDescent="0.25">
      <c r="A902" t="s">
        <v>1030</v>
      </c>
      <c r="B902" s="51" t="str">
        <f>VLOOKUP(A902,policy!B:C,2,0)</f>
        <v>040000182805</v>
      </c>
      <c r="C902" s="46">
        <v>13675</v>
      </c>
      <c r="D902" s="46">
        <v>13675</v>
      </c>
      <c r="E902" s="50" t="s">
        <v>3673</v>
      </c>
      <c r="F902" s="52" t="str">
        <f t="shared" si="42"/>
        <v>insert into ins_premium_det (premium_rcv_code,assorted_code, rec_amount,premium_rcv_detail_code,remaining_amt, payrec, mode_code,coinsurance_code,class_cd,it_remarks) values</v>
      </c>
      <c r="G902" s="53" t="str">
        <f t="shared" si="43"/>
        <v>('22Oct240201','040000182805','13675',(select max(to_number(i.premium_rcv_detail_code))+1
from ins_premium_det i),'13675','13675','02', '11000003','00','Request by Mr. Omair Ali 22-Oct-2024 allocation 22Oct240201');</v>
      </c>
      <c r="H902" s="54" t="str">
        <f t="shared" si="44"/>
        <v>insert into ins_premium_det (premium_rcv_code,assorted_code, rec_amount,premium_rcv_detail_code,remaining_amt, payrec, mode_code,coinsurance_code,class_cd,it_remarks) values('22Oct240201','040000182805','13675',(select max(to_number(i.premium_rcv_detail_code))+1
from ins_premium_det i),'13675','13675','02', '11000003','00','Request by Mr. Omair Ali 22-Oct-2024 allocation 22Oct240201');</v>
      </c>
    </row>
    <row r="903" spans="1:8" ht="105" x14ac:dyDescent="0.25">
      <c r="A903" t="s">
        <v>1031</v>
      </c>
      <c r="B903" s="51" t="str">
        <f>VLOOKUP(A903,policy!B:C,2,0)</f>
        <v>040000182807</v>
      </c>
      <c r="C903" s="46">
        <v>8800</v>
      </c>
      <c r="D903" s="46">
        <v>8800</v>
      </c>
      <c r="E903" s="50" t="s">
        <v>3673</v>
      </c>
      <c r="F903" s="52" t="str">
        <f t="shared" si="42"/>
        <v>insert into ins_premium_det (premium_rcv_code,assorted_code, rec_amount,premium_rcv_detail_code,remaining_amt, payrec, mode_code,coinsurance_code,class_cd,it_remarks) values</v>
      </c>
      <c r="G903" s="53" t="str">
        <f t="shared" si="43"/>
        <v>('22Oct240201','040000182807','8800',(select max(to_number(i.premium_rcv_detail_code))+1
from ins_premium_det i),'8800','8800','02', '11000003','00','Request by Mr. Omair Ali 22-Oct-2024 allocation 22Oct240201');</v>
      </c>
      <c r="H903" s="54" t="str">
        <f t="shared" si="44"/>
        <v>insert into ins_premium_det (premium_rcv_code,assorted_code, rec_amount,premium_rcv_detail_code,remaining_amt, payrec, mode_code,coinsurance_code,class_cd,it_remarks) values('22Oct240201','040000182807','8800',(select max(to_number(i.premium_rcv_detail_code))+1
from ins_premium_det i),'8800','8800','02', '11000003','00','Request by Mr. Omair Ali 22-Oct-2024 allocation 22Oct240201');</v>
      </c>
    </row>
    <row r="904" spans="1:8" ht="105" x14ac:dyDescent="0.25">
      <c r="A904" t="s">
        <v>1032</v>
      </c>
      <c r="B904" s="51" t="str">
        <f>VLOOKUP(A904,policy!B:C,2,0)</f>
        <v>040000182809</v>
      </c>
      <c r="C904" s="46">
        <v>8800</v>
      </c>
      <c r="D904" s="46">
        <v>8800</v>
      </c>
      <c r="E904" s="50" t="s">
        <v>3673</v>
      </c>
      <c r="F904" s="52" t="str">
        <f t="shared" si="42"/>
        <v>insert into ins_premium_det (premium_rcv_code,assorted_code, rec_amount,premium_rcv_detail_code,remaining_amt, payrec, mode_code,coinsurance_code,class_cd,it_remarks) values</v>
      </c>
      <c r="G904" s="53" t="str">
        <f t="shared" si="43"/>
        <v>('22Oct240201','040000182809','8800',(select max(to_number(i.premium_rcv_detail_code))+1
from ins_premium_det i),'8800','8800','02', '11000003','00','Request by Mr. Omair Ali 22-Oct-2024 allocation 22Oct240201');</v>
      </c>
      <c r="H904" s="54" t="str">
        <f t="shared" si="44"/>
        <v>insert into ins_premium_det (premium_rcv_code,assorted_code, rec_amount,premium_rcv_detail_code,remaining_amt, payrec, mode_code,coinsurance_code,class_cd,it_remarks) values('22Oct240201','040000182809','8800',(select max(to_number(i.premium_rcv_detail_code))+1
from ins_premium_det i),'8800','8800','02', '11000003','00','Request by Mr. Omair Ali 22-Oct-2024 allocation 22Oct240201');</v>
      </c>
    </row>
    <row r="905" spans="1:8" ht="105" x14ac:dyDescent="0.25">
      <c r="A905" t="s">
        <v>1033</v>
      </c>
      <c r="B905" s="51" t="str">
        <f>VLOOKUP(A905,policy!B:C,2,0)</f>
        <v>040000182810</v>
      </c>
      <c r="C905" s="46">
        <v>8800</v>
      </c>
      <c r="D905" s="46">
        <v>8800</v>
      </c>
      <c r="E905" s="50" t="s">
        <v>3673</v>
      </c>
      <c r="F905" s="52" t="str">
        <f t="shared" si="42"/>
        <v>insert into ins_premium_det (premium_rcv_code,assorted_code, rec_amount,premium_rcv_detail_code,remaining_amt, payrec, mode_code,coinsurance_code,class_cd,it_remarks) values</v>
      </c>
      <c r="G905" s="53" t="str">
        <f t="shared" si="43"/>
        <v>('22Oct240201','040000182810','8800',(select max(to_number(i.premium_rcv_detail_code))+1
from ins_premium_det i),'8800','8800','02', '11000003','00','Request by Mr. Omair Ali 22-Oct-2024 allocation 22Oct240201');</v>
      </c>
      <c r="H905" s="54" t="str">
        <f t="shared" si="44"/>
        <v>insert into ins_premium_det (premium_rcv_code,assorted_code, rec_amount,premium_rcv_detail_code,remaining_amt, payrec, mode_code,coinsurance_code,class_cd,it_remarks) values('22Oct240201','040000182810','8800',(select max(to_number(i.premium_rcv_detail_code))+1
from ins_premium_det i),'8800','8800','02', '11000003','00','Request by Mr. Omair Ali 22-Oct-2024 allocation 22Oct240201');</v>
      </c>
    </row>
    <row r="906" spans="1:8" ht="105" x14ac:dyDescent="0.25">
      <c r="A906" t="s">
        <v>1034</v>
      </c>
      <c r="B906" s="51" t="str">
        <f>VLOOKUP(A906,policy!B:C,2,0)</f>
        <v>040000182812</v>
      </c>
      <c r="C906" s="46">
        <v>14960</v>
      </c>
      <c r="D906" s="46">
        <v>14960</v>
      </c>
      <c r="E906" s="50" t="s">
        <v>3673</v>
      </c>
      <c r="F906" s="52" t="str">
        <f t="shared" si="42"/>
        <v>insert into ins_premium_det (premium_rcv_code,assorted_code, rec_amount,premium_rcv_detail_code,remaining_amt, payrec, mode_code,coinsurance_code,class_cd,it_remarks) values</v>
      </c>
      <c r="G906" s="53" t="str">
        <f t="shared" si="43"/>
        <v>('22Oct240201','040000182812','14960',(select max(to_number(i.premium_rcv_detail_code))+1
from ins_premium_det i),'14960','14960','02', '11000003','00','Request by Mr. Omair Ali 22-Oct-2024 allocation 22Oct240201');</v>
      </c>
      <c r="H906" s="54" t="str">
        <f t="shared" si="44"/>
        <v>insert into ins_premium_det (premium_rcv_code,assorted_code, rec_amount,premium_rcv_detail_code,remaining_amt, payrec, mode_code,coinsurance_code,class_cd,it_remarks) values('22Oct240201','040000182812','14960',(select max(to_number(i.premium_rcv_detail_code))+1
from ins_premium_det i),'14960','14960','02', '11000003','00','Request by Mr. Omair Ali 22-Oct-2024 allocation 22Oct240201');</v>
      </c>
    </row>
    <row r="907" spans="1:8" ht="105" x14ac:dyDescent="0.25">
      <c r="A907" t="s">
        <v>1035</v>
      </c>
      <c r="B907" s="51" t="str">
        <f>VLOOKUP(A907,policy!B:C,2,0)</f>
        <v>040000182813</v>
      </c>
      <c r="C907" s="46">
        <v>14960</v>
      </c>
      <c r="D907" s="46">
        <v>14960</v>
      </c>
      <c r="E907" s="50" t="s">
        <v>3673</v>
      </c>
      <c r="F907" s="52" t="str">
        <f t="shared" si="42"/>
        <v>insert into ins_premium_det (premium_rcv_code,assorted_code, rec_amount,premium_rcv_detail_code,remaining_amt, payrec, mode_code,coinsurance_code,class_cd,it_remarks) values</v>
      </c>
      <c r="G907" s="53" t="str">
        <f t="shared" si="43"/>
        <v>('22Oct240201','040000182813','14960',(select max(to_number(i.premium_rcv_detail_code))+1
from ins_premium_det i),'14960','14960','02', '11000003','00','Request by Mr. Omair Ali 22-Oct-2024 allocation 22Oct240201');</v>
      </c>
      <c r="H907" s="54" t="str">
        <f t="shared" si="44"/>
        <v>insert into ins_premium_det (premium_rcv_code,assorted_code, rec_amount,premium_rcv_detail_code,remaining_amt, payrec, mode_code,coinsurance_code,class_cd,it_remarks) values('22Oct240201','040000182813','14960',(select max(to_number(i.premium_rcv_detail_code))+1
from ins_premium_det i),'14960','14960','02', '11000003','00','Request by Mr. Omair Ali 22-Oct-2024 allocation 22Oct240201');</v>
      </c>
    </row>
    <row r="908" spans="1:8" ht="105" x14ac:dyDescent="0.25">
      <c r="A908" t="s">
        <v>1036</v>
      </c>
      <c r="B908" s="51" t="str">
        <f>VLOOKUP(A908,policy!B:C,2,0)</f>
        <v>040000182828</v>
      </c>
      <c r="C908" s="46">
        <v>8800</v>
      </c>
      <c r="D908" s="46">
        <v>8800</v>
      </c>
      <c r="E908" s="50" t="s">
        <v>3673</v>
      </c>
      <c r="F908" s="52" t="str">
        <f t="shared" si="42"/>
        <v>insert into ins_premium_det (premium_rcv_code,assorted_code, rec_amount,premium_rcv_detail_code,remaining_amt, payrec, mode_code,coinsurance_code,class_cd,it_remarks) values</v>
      </c>
      <c r="G908" s="53" t="str">
        <f t="shared" si="43"/>
        <v>('22Oct240201','040000182828','8800',(select max(to_number(i.premium_rcv_detail_code))+1
from ins_premium_det i),'8800','8800','02', '11000003','00','Request by Mr. Omair Ali 22-Oct-2024 allocation 22Oct240201');</v>
      </c>
      <c r="H908" s="54" t="str">
        <f t="shared" si="44"/>
        <v>insert into ins_premium_det (premium_rcv_code,assorted_code, rec_amount,premium_rcv_detail_code,remaining_amt, payrec, mode_code,coinsurance_code,class_cd,it_remarks) values('22Oct240201','040000182828','8800',(select max(to_number(i.premium_rcv_detail_code))+1
from ins_premium_det i),'8800','8800','02', '11000003','00','Request by Mr. Omair Ali 22-Oct-2024 allocation 22Oct240201');</v>
      </c>
    </row>
    <row r="909" spans="1:8" ht="105" x14ac:dyDescent="0.25">
      <c r="A909" t="s">
        <v>1037</v>
      </c>
      <c r="B909" s="51" t="str">
        <f>VLOOKUP(A909,policy!B:C,2,0)</f>
        <v>040000182829</v>
      </c>
      <c r="C909" s="46">
        <v>16235</v>
      </c>
      <c r="D909" s="46">
        <v>16235</v>
      </c>
      <c r="E909" s="50" t="s">
        <v>3673</v>
      </c>
      <c r="F909" s="52" t="str">
        <f t="shared" si="42"/>
        <v>insert into ins_premium_det (premium_rcv_code,assorted_code, rec_amount,premium_rcv_detail_code,remaining_amt, payrec, mode_code,coinsurance_code,class_cd,it_remarks) values</v>
      </c>
      <c r="G909" s="53" t="str">
        <f t="shared" si="43"/>
        <v>('22Oct240201','040000182829','16235',(select max(to_number(i.premium_rcv_detail_code))+1
from ins_premium_det i),'16235','16235','02', '11000003','00','Request by Mr. Omair Ali 22-Oct-2024 allocation 22Oct240201');</v>
      </c>
      <c r="H909" s="54" t="str">
        <f t="shared" si="44"/>
        <v>insert into ins_premium_det (premium_rcv_code,assorted_code, rec_amount,premium_rcv_detail_code,remaining_amt, payrec, mode_code,coinsurance_code,class_cd,it_remarks) values('22Oct240201','040000182829','16235',(select max(to_number(i.premium_rcv_detail_code))+1
from ins_premium_det i),'16235','16235','02', '11000003','00','Request by Mr. Omair Ali 22-Oct-2024 allocation 22Oct240201');</v>
      </c>
    </row>
    <row r="910" spans="1:8" ht="105" x14ac:dyDescent="0.25">
      <c r="A910" t="s">
        <v>1038</v>
      </c>
      <c r="B910" s="51" t="str">
        <f>VLOOKUP(A910,policy!B:C,2,0)</f>
        <v>040000182831</v>
      </c>
      <c r="C910" s="46">
        <v>23248</v>
      </c>
      <c r="D910" s="46">
        <v>23248</v>
      </c>
      <c r="E910" s="50" t="s">
        <v>3673</v>
      </c>
      <c r="F910" s="52" t="str">
        <f t="shared" si="42"/>
        <v>insert into ins_premium_det (premium_rcv_code,assorted_code, rec_amount,premium_rcv_detail_code,remaining_amt, payrec, mode_code,coinsurance_code,class_cd,it_remarks) values</v>
      </c>
      <c r="G910" s="53" t="str">
        <f t="shared" si="43"/>
        <v>('22Oct240201','040000182831','23248',(select max(to_number(i.premium_rcv_detail_code))+1
from ins_premium_det i),'23248','23248','02', '11000003','00','Request by Mr. Omair Ali 22-Oct-2024 allocation 22Oct240201');</v>
      </c>
      <c r="H910" s="54" t="str">
        <f t="shared" si="44"/>
        <v>insert into ins_premium_det (premium_rcv_code,assorted_code, rec_amount,premium_rcv_detail_code,remaining_amt, payrec, mode_code,coinsurance_code,class_cd,it_remarks) values('22Oct240201','040000182831','23248',(select max(to_number(i.premium_rcv_detail_code))+1
from ins_premium_det i),'23248','23248','02', '11000003','00','Request by Mr. Omair Ali 22-Oct-2024 allocation 22Oct240201');</v>
      </c>
    </row>
    <row r="911" spans="1:8" ht="105" x14ac:dyDescent="0.25">
      <c r="A911" t="s">
        <v>1039</v>
      </c>
      <c r="B911" s="51" t="str">
        <f>VLOOKUP(A911,policy!B:C,2,0)</f>
        <v>040000182832</v>
      </c>
      <c r="C911" s="46">
        <v>23248</v>
      </c>
      <c r="D911" s="46">
        <v>23248</v>
      </c>
      <c r="E911" s="50" t="s">
        <v>3673</v>
      </c>
      <c r="F911" s="52" t="str">
        <f t="shared" si="42"/>
        <v>insert into ins_premium_det (premium_rcv_code,assorted_code, rec_amount,premium_rcv_detail_code,remaining_amt, payrec, mode_code,coinsurance_code,class_cd,it_remarks) values</v>
      </c>
      <c r="G911" s="53" t="str">
        <f t="shared" si="43"/>
        <v>('22Oct240201','040000182832','23248',(select max(to_number(i.premium_rcv_detail_code))+1
from ins_premium_det i),'23248','23248','02', '11000003','00','Request by Mr. Omair Ali 22-Oct-2024 allocation 22Oct240201');</v>
      </c>
      <c r="H911" s="54" t="str">
        <f t="shared" si="44"/>
        <v>insert into ins_premium_det (premium_rcv_code,assorted_code, rec_amount,premium_rcv_detail_code,remaining_amt, payrec, mode_code,coinsurance_code,class_cd,it_remarks) values('22Oct240201','040000182832','23248',(select max(to_number(i.premium_rcv_detail_code))+1
from ins_premium_det i),'23248','23248','02', '11000003','00','Request by Mr. Omair Ali 22-Oct-2024 allocation 22Oct240201');</v>
      </c>
    </row>
    <row r="912" spans="1:8" ht="105" x14ac:dyDescent="0.25">
      <c r="A912" t="s">
        <v>1040</v>
      </c>
      <c r="B912" s="51" t="str">
        <f>VLOOKUP(A912,policy!B:C,2,0)</f>
        <v>040000182833</v>
      </c>
      <c r="C912" s="46">
        <v>23248</v>
      </c>
      <c r="D912" s="46">
        <v>23248</v>
      </c>
      <c r="E912" s="50" t="s">
        <v>3673</v>
      </c>
      <c r="F912" s="52" t="str">
        <f t="shared" si="42"/>
        <v>insert into ins_premium_det (premium_rcv_code,assorted_code, rec_amount,premium_rcv_detail_code,remaining_amt, payrec, mode_code,coinsurance_code,class_cd,it_remarks) values</v>
      </c>
      <c r="G912" s="53" t="str">
        <f t="shared" si="43"/>
        <v>('22Oct240201','040000182833','23248',(select max(to_number(i.premium_rcv_detail_code))+1
from ins_premium_det i),'23248','23248','02', '11000003','00','Request by Mr. Omair Ali 22-Oct-2024 allocation 22Oct240201');</v>
      </c>
      <c r="H912" s="54" t="str">
        <f t="shared" si="44"/>
        <v>insert into ins_premium_det (premium_rcv_code,assorted_code, rec_amount,premium_rcv_detail_code,remaining_amt, payrec, mode_code,coinsurance_code,class_cd,it_remarks) values('22Oct240201','040000182833','23248',(select max(to_number(i.premium_rcv_detail_code))+1
from ins_premium_det i),'23248','23248','02', '11000003','00','Request by Mr. Omair Ali 22-Oct-2024 allocation 22Oct240201');</v>
      </c>
    </row>
    <row r="913" spans="1:8" ht="105" x14ac:dyDescent="0.25">
      <c r="A913" t="s">
        <v>1041</v>
      </c>
      <c r="B913" s="51" t="str">
        <f>VLOOKUP(A913,policy!B:C,2,0)</f>
        <v>040000182838</v>
      </c>
      <c r="C913" s="46">
        <v>23248</v>
      </c>
      <c r="D913" s="46">
        <v>23248</v>
      </c>
      <c r="E913" s="50" t="s">
        <v>3673</v>
      </c>
      <c r="F913" s="52" t="str">
        <f t="shared" si="42"/>
        <v>insert into ins_premium_det (premium_rcv_code,assorted_code, rec_amount,premium_rcv_detail_code,remaining_amt, payrec, mode_code,coinsurance_code,class_cd,it_remarks) values</v>
      </c>
      <c r="G913" s="53" t="str">
        <f t="shared" si="43"/>
        <v>('22Oct240201','040000182838','23248',(select max(to_number(i.premium_rcv_detail_code))+1
from ins_premium_det i),'23248','23248','02', '11000003','00','Request by Mr. Omair Ali 22-Oct-2024 allocation 22Oct240201');</v>
      </c>
      <c r="H913" s="54" t="str">
        <f t="shared" si="44"/>
        <v>insert into ins_premium_det (premium_rcv_code,assorted_code, rec_amount,premium_rcv_detail_code,remaining_amt, payrec, mode_code,coinsurance_code,class_cd,it_remarks) values('22Oct240201','040000182838','23248',(select max(to_number(i.premium_rcv_detail_code))+1
from ins_premium_det i),'23248','23248','02', '11000003','00','Request by Mr. Omair Ali 22-Oct-2024 allocation 22Oct240201');</v>
      </c>
    </row>
    <row r="914" spans="1:8" ht="105" x14ac:dyDescent="0.25">
      <c r="A914" t="s">
        <v>1042</v>
      </c>
      <c r="B914" s="51" t="str">
        <f>VLOOKUP(A914,policy!B:C,2,0)</f>
        <v>040000182839</v>
      </c>
      <c r="C914" s="46">
        <v>23248</v>
      </c>
      <c r="D914" s="46">
        <v>23248</v>
      </c>
      <c r="E914" s="50" t="s">
        <v>3673</v>
      </c>
      <c r="F914" s="52" t="str">
        <f t="shared" si="42"/>
        <v>insert into ins_premium_det (premium_rcv_code,assorted_code, rec_amount,premium_rcv_detail_code,remaining_amt, payrec, mode_code,coinsurance_code,class_cd,it_remarks) values</v>
      </c>
      <c r="G914" s="53" t="str">
        <f t="shared" si="43"/>
        <v>('22Oct240201','040000182839','23248',(select max(to_number(i.premium_rcv_detail_code))+1
from ins_premium_det i),'23248','23248','02', '11000003','00','Request by Mr. Omair Ali 22-Oct-2024 allocation 22Oct240201');</v>
      </c>
      <c r="H914" s="54" t="str">
        <f t="shared" si="44"/>
        <v>insert into ins_premium_det (premium_rcv_code,assorted_code, rec_amount,premium_rcv_detail_code,remaining_amt, payrec, mode_code,coinsurance_code,class_cd,it_remarks) values('22Oct240201','040000182839','23248',(select max(to_number(i.premium_rcv_detail_code))+1
from ins_premium_det i),'23248','23248','02', '11000003','00','Request by Mr. Omair Ali 22-Oct-2024 allocation 22Oct240201');</v>
      </c>
    </row>
    <row r="915" spans="1:8" ht="105" x14ac:dyDescent="0.25">
      <c r="A915" t="s">
        <v>1043</v>
      </c>
      <c r="B915" s="51" t="str">
        <f>VLOOKUP(A915,policy!B:C,2,0)</f>
        <v>040000182850</v>
      </c>
      <c r="C915" s="46">
        <v>23248</v>
      </c>
      <c r="D915" s="46">
        <v>23248</v>
      </c>
      <c r="E915" s="50" t="s">
        <v>3673</v>
      </c>
      <c r="F915" s="52" t="str">
        <f t="shared" si="42"/>
        <v>insert into ins_premium_det (premium_rcv_code,assorted_code, rec_amount,premium_rcv_detail_code,remaining_amt, payrec, mode_code,coinsurance_code,class_cd,it_remarks) values</v>
      </c>
      <c r="G915" s="53" t="str">
        <f t="shared" si="43"/>
        <v>('22Oct240201','040000182850','23248',(select max(to_number(i.premium_rcv_detail_code))+1
from ins_premium_det i),'23248','23248','02', '11000003','00','Request by Mr. Omair Ali 22-Oct-2024 allocation 22Oct240201');</v>
      </c>
      <c r="H915" s="54" t="str">
        <f t="shared" si="44"/>
        <v>insert into ins_premium_det (premium_rcv_code,assorted_code, rec_amount,premium_rcv_detail_code,remaining_amt, payrec, mode_code,coinsurance_code,class_cd,it_remarks) values('22Oct240201','040000182850','23248',(select max(to_number(i.premium_rcv_detail_code))+1
from ins_premium_det i),'23248','23248','02', '11000003','00','Request by Mr. Omair Ali 22-Oct-2024 allocation 22Oct240201');</v>
      </c>
    </row>
    <row r="916" spans="1:8" ht="105" x14ac:dyDescent="0.25">
      <c r="A916" t="s">
        <v>1044</v>
      </c>
      <c r="B916" s="51" t="str">
        <f>VLOOKUP(A916,policy!B:C,2,0)</f>
        <v>040000182851</v>
      </c>
      <c r="C916" s="46">
        <v>14960</v>
      </c>
      <c r="D916" s="46">
        <v>14960</v>
      </c>
      <c r="E916" s="50" t="s">
        <v>3673</v>
      </c>
      <c r="F916" s="52" t="str">
        <f t="shared" si="42"/>
        <v>insert into ins_premium_det (premium_rcv_code,assorted_code, rec_amount,premium_rcv_detail_code,remaining_amt, payrec, mode_code,coinsurance_code,class_cd,it_remarks) values</v>
      </c>
      <c r="G916" s="53" t="str">
        <f t="shared" si="43"/>
        <v>('22Oct240201','040000182851','14960',(select max(to_number(i.premium_rcv_detail_code))+1
from ins_premium_det i),'14960','14960','02', '11000003','00','Request by Mr. Omair Ali 22-Oct-2024 allocation 22Oct240201');</v>
      </c>
      <c r="H916" s="54" t="str">
        <f t="shared" si="44"/>
        <v>insert into ins_premium_det (premium_rcv_code,assorted_code, rec_amount,premium_rcv_detail_code,remaining_amt, payrec, mode_code,coinsurance_code,class_cd,it_remarks) values('22Oct240201','040000182851','14960',(select max(to_number(i.premium_rcv_detail_code))+1
from ins_premium_det i),'14960','14960','02', '11000003','00','Request by Mr. Omair Ali 22-Oct-2024 allocation 22Oct240201');</v>
      </c>
    </row>
    <row r="917" spans="1:8" ht="105" x14ac:dyDescent="0.25">
      <c r="A917" t="s">
        <v>1045</v>
      </c>
      <c r="B917" s="51" t="str">
        <f>VLOOKUP(A917,policy!B:C,2,0)</f>
        <v>040000182852</v>
      </c>
      <c r="C917" s="46">
        <v>14960</v>
      </c>
      <c r="D917" s="46">
        <v>14960</v>
      </c>
      <c r="E917" s="50" t="s">
        <v>3673</v>
      </c>
      <c r="F917" s="52" t="str">
        <f t="shared" si="42"/>
        <v>insert into ins_premium_det (premium_rcv_code,assorted_code, rec_amount,premium_rcv_detail_code,remaining_amt, payrec, mode_code,coinsurance_code,class_cd,it_remarks) values</v>
      </c>
      <c r="G917" s="53" t="str">
        <f t="shared" si="43"/>
        <v>('22Oct240201','040000182852','14960',(select max(to_number(i.premium_rcv_detail_code))+1
from ins_premium_det i),'14960','14960','02', '11000003','00','Request by Mr. Omair Ali 22-Oct-2024 allocation 22Oct240201');</v>
      </c>
      <c r="H917" s="54" t="str">
        <f t="shared" si="44"/>
        <v>insert into ins_premium_det (premium_rcv_code,assorted_code, rec_amount,premium_rcv_detail_code,remaining_amt, payrec, mode_code,coinsurance_code,class_cd,it_remarks) values('22Oct240201','040000182852','14960',(select max(to_number(i.premium_rcv_detail_code))+1
from ins_premium_det i),'14960','14960','02', '11000003','00','Request by Mr. Omair Ali 22-Oct-2024 allocation 22Oct240201');</v>
      </c>
    </row>
    <row r="918" spans="1:8" ht="105" x14ac:dyDescent="0.25">
      <c r="A918" t="s">
        <v>1046</v>
      </c>
      <c r="B918" s="51" t="str">
        <f>VLOOKUP(A918,policy!B:C,2,0)</f>
        <v>040000182858</v>
      </c>
      <c r="C918" s="46">
        <v>14960</v>
      </c>
      <c r="D918" s="46">
        <v>14960</v>
      </c>
      <c r="E918" s="50" t="s">
        <v>3673</v>
      </c>
      <c r="F918" s="52" t="str">
        <f t="shared" si="42"/>
        <v>insert into ins_premium_det (premium_rcv_code,assorted_code, rec_amount,premium_rcv_detail_code,remaining_amt, payrec, mode_code,coinsurance_code,class_cd,it_remarks) values</v>
      </c>
      <c r="G918" s="53" t="str">
        <f t="shared" si="43"/>
        <v>('22Oct240201','040000182858','14960',(select max(to_number(i.premium_rcv_detail_code))+1
from ins_premium_det i),'14960','14960','02', '11000003','00','Request by Mr. Omair Ali 22-Oct-2024 allocation 22Oct240201');</v>
      </c>
      <c r="H918" s="54" t="str">
        <f t="shared" si="44"/>
        <v>insert into ins_premium_det (premium_rcv_code,assorted_code, rec_amount,premium_rcv_detail_code,remaining_amt, payrec, mode_code,coinsurance_code,class_cd,it_remarks) values('22Oct240201','040000182858','14960',(select max(to_number(i.premium_rcv_detail_code))+1
from ins_premium_det i),'14960','14960','02', '11000003','00','Request by Mr. Omair Ali 22-Oct-2024 allocation 22Oct240201');</v>
      </c>
    </row>
    <row r="919" spans="1:8" ht="105" x14ac:dyDescent="0.25">
      <c r="A919" t="s">
        <v>1047</v>
      </c>
      <c r="B919" s="51" t="str">
        <f>VLOOKUP(A919,policy!B:C,2,0)</f>
        <v>040000182866</v>
      </c>
      <c r="C919" s="46">
        <v>14960</v>
      </c>
      <c r="D919" s="46">
        <v>14960</v>
      </c>
      <c r="E919" s="50" t="s">
        <v>3673</v>
      </c>
      <c r="F919" s="52" t="str">
        <f t="shared" si="42"/>
        <v>insert into ins_premium_det (premium_rcv_code,assorted_code, rec_amount,premium_rcv_detail_code,remaining_amt, payrec, mode_code,coinsurance_code,class_cd,it_remarks) values</v>
      </c>
      <c r="G919" s="53" t="str">
        <f t="shared" si="43"/>
        <v>('22Oct240201','040000182866','14960',(select max(to_number(i.premium_rcv_detail_code))+1
from ins_premium_det i),'14960','14960','02', '11000003','00','Request by Mr. Omair Ali 22-Oct-2024 allocation 22Oct240201');</v>
      </c>
      <c r="H919" s="54" t="str">
        <f t="shared" si="44"/>
        <v>insert into ins_premium_det (premium_rcv_code,assorted_code, rec_amount,premium_rcv_detail_code,remaining_amt, payrec, mode_code,coinsurance_code,class_cd,it_remarks) values('22Oct240201','040000182866','14960',(select max(to_number(i.premium_rcv_detail_code))+1
from ins_premium_det i),'14960','14960','02', '11000003','00','Request by Mr. Omair Ali 22-Oct-2024 allocation 22Oct240201');</v>
      </c>
    </row>
    <row r="920" spans="1:8" ht="105" x14ac:dyDescent="0.25">
      <c r="A920" t="s">
        <v>1048</v>
      </c>
      <c r="B920" s="51" t="str">
        <f>VLOOKUP(A920,policy!B:C,2,0)</f>
        <v>040000182867</v>
      </c>
      <c r="C920" s="46">
        <v>23248</v>
      </c>
      <c r="D920" s="46">
        <v>23248</v>
      </c>
      <c r="E920" s="50" t="s">
        <v>3673</v>
      </c>
      <c r="F920" s="52" t="str">
        <f t="shared" si="42"/>
        <v>insert into ins_premium_det (premium_rcv_code,assorted_code, rec_amount,premium_rcv_detail_code,remaining_amt, payrec, mode_code,coinsurance_code,class_cd,it_remarks) values</v>
      </c>
      <c r="G920" s="53" t="str">
        <f t="shared" si="43"/>
        <v>('22Oct240201','040000182867','23248',(select max(to_number(i.premium_rcv_detail_code))+1
from ins_premium_det i),'23248','23248','02', '11000003','00','Request by Mr. Omair Ali 22-Oct-2024 allocation 22Oct240201');</v>
      </c>
      <c r="H920" s="54" t="str">
        <f t="shared" si="44"/>
        <v>insert into ins_premium_det (premium_rcv_code,assorted_code, rec_amount,premium_rcv_detail_code,remaining_amt, payrec, mode_code,coinsurance_code,class_cd,it_remarks) values('22Oct240201','040000182867','23248',(select max(to_number(i.premium_rcv_detail_code))+1
from ins_premium_det i),'23248','23248','02', '11000003','00','Request by Mr. Omair Ali 22-Oct-2024 allocation 22Oct240201');</v>
      </c>
    </row>
    <row r="921" spans="1:8" ht="105" x14ac:dyDescent="0.25">
      <c r="A921" t="s">
        <v>1049</v>
      </c>
      <c r="B921" s="51" t="str">
        <f>VLOOKUP(A921,policy!B:C,2,0)</f>
        <v>040000182869</v>
      </c>
      <c r="C921" s="46">
        <v>14960</v>
      </c>
      <c r="D921" s="46">
        <v>14960</v>
      </c>
      <c r="E921" s="50" t="s">
        <v>3673</v>
      </c>
      <c r="F921" s="52" t="str">
        <f t="shared" si="42"/>
        <v>insert into ins_premium_det (premium_rcv_code,assorted_code, rec_amount,premium_rcv_detail_code,remaining_amt, payrec, mode_code,coinsurance_code,class_cd,it_remarks) values</v>
      </c>
      <c r="G921" s="53" t="str">
        <f t="shared" si="43"/>
        <v>('22Oct240201','040000182869','14960',(select max(to_number(i.premium_rcv_detail_code))+1
from ins_premium_det i),'14960','14960','02', '11000003','00','Request by Mr. Omair Ali 22-Oct-2024 allocation 22Oct240201');</v>
      </c>
      <c r="H921" s="54" t="str">
        <f t="shared" si="44"/>
        <v>insert into ins_premium_det (premium_rcv_code,assorted_code, rec_amount,premium_rcv_detail_code,remaining_amt, payrec, mode_code,coinsurance_code,class_cd,it_remarks) values('22Oct240201','040000182869','14960',(select max(to_number(i.premium_rcv_detail_code))+1
from ins_premium_det i),'14960','14960','02', '11000003','00','Request by Mr. Omair Ali 22-Oct-2024 allocation 22Oct240201');</v>
      </c>
    </row>
    <row r="922" spans="1:8" ht="105" x14ac:dyDescent="0.25">
      <c r="A922" t="s">
        <v>1050</v>
      </c>
      <c r="B922" s="51" t="str">
        <f>VLOOKUP(A922,policy!B:C,2,0)</f>
        <v>040000182873</v>
      </c>
      <c r="C922" s="46">
        <v>16235</v>
      </c>
      <c r="D922" s="46">
        <v>16235</v>
      </c>
      <c r="E922" s="50" t="s">
        <v>3673</v>
      </c>
      <c r="F922" s="52" t="str">
        <f t="shared" si="42"/>
        <v>insert into ins_premium_det (premium_rcv_code,assorted_code, rec_amount,premium_rcv_detail_code,remaining_amt, payrec, mode_code,coinsurance_code,class_cd,it_remarks) values</v>
      </c>
      <c r="G922" s="53" t="str">
        <f t="shared" si="43"/>
        <v>('22Oct240201','040000182873','16235',(select max(to_number(i.premium_rcv_detail_code))+1
from ins_premium_det i),'16235','16235','02', '11000003','00','Request by Mr. Omair Ali 22-Oct-2024 allocation 22Oct240201');</v>
      </c>
      <c r="H922" s="54" t="str">
        <f t="shared" si="44"/>
        <v>insert into ins_premium_det (premium_rcv_code,assorted_code, rec_amount,premium_rcv_detail_code,remaining_amt, payrec, mode_code,coinsurance_code,class_cd,it_remarks) values('22Oct240201','040000182873','16235',(select max(to_number(i.premium_rcv_detail_code))+1
from ins_premium_det i),'16235','16235','02', '11000003','00','Request by Mr. Omair Ali 22-Oct-2024 allocation 22Oct240201');</v>
      </c>
    </row>
    <row r="923" spans="1:8" ht="105" x14ac:dyDescent="0.25">
      <c r="A923" t="s">
        <v>1051</v>
      </c>
      <c r="B923" s="51" t="str">
        <f>VLOOKUP(A923,policy!B:C,2,0)</f>
        <v>040000182874</v>
      </c>
      <c r="C923" s="46">
        <v>16235</v>
      </c>
      <c r="D923" s="46">
        <v>16235</v>
      </c>
      <c r="E923" s="50" t="s">
        <v>3673</v>
      </c>
      <c r="F923" s="52" t="str">
        <f t="shared" si="42"/>
        <v>insert into ins_premium_det (premium_rcv_code,assorted_code, rec_amount,premium_rcv_detail_code,remaining_amt, payrec, mode_code,coinsurance_code,class_cd,it_remarks) values</v>
      </c>
      <c r="G923" s="53" t="str">
        <f t="shared" si="43"/>
        <v>('22Oct240201','040000182874','16235',(select max(to_number(i.premium_rcv_detail_code))+1
from ins_premium_det i),'16235','16235','02', '11000003','00','Request by Mr. Omair Ali 22-Oct-2024 allocation 22Oct240201');</v>
      </c>
      <c r="H923" s="54" t="str">
        <f t="shared" si="44"/>
        <v>insert into ins_premium_det (premium_rcv_code,assorted_code, rec_amount,premium_rcv_detail_code,remaining_amt, payrec, mode_code,coinsurance_code,class_cd,it_remarks) values('22Oct240201','040000182874','16235',(select max(to_number(i.premium_rcv_detail_code))+1
from ins_premium_det i),'16235','16235','02', '11000003','00','Request by Mr. Omair Ali 22-Oct-2024 allocation 22Oct240201');</v>
      </c>
    </row>
    <row r="924" spans="1:8" ht="105" x14ac:dyDescent="0.25">
      <c r="A924" t="s">
        <v>1052</v>
      </c>
      <c r="B924" s="51" t="str">
        <f>VLOOKUP(A924,policy!B:C,2,0)</f>
        <v>040000182875</v>
      </c>
      <c r="C924" s="46">
        <v>16235</v>
      </c>
      <c r="D924" s="46">
        <v>16235</v>
      </c>
      <c r="E924" s="50" t="s">
        <v>3673</v>
      </c>
      <c r="F924" s="52" t="str">
        <f t="shared" si="42"/>
        <v>insert into ins_premium_det (premium_rcv_code,assorted_code, rec_amount,premium_rcv_detail_code,remaining_amt, payrec, mode_code,coinsurance_code,class_cd,it_remarks) values</v>
      </c>
      <c r="G924" s="53" t="str">
        <f t="shared" si="43"/>
        <v>('22Oct240201','040000182875','16235',(select max(to_number(i.premium_rcv_detail_code))+1
from ins_premium_det i),'16235','16235','02', '11000003','00','Request by Mr. Omair Ali 22-Oct-2024 allocation 22Oct240201');</v>
      </c>
      <c r="H924" s="54" t="str">
        <f t="shared" si="44"/>
        <v>insert into ins_premium_det (premium_rcv_code,assorted_code, rec_amount,premium_rcv_detail_code,remaining_amt, payrec, mode_code,coinsurance_code,class_cd,it_remarks) values('22Oct240201','040000182875','16235',(select max(to_number(i.premium_rcv_detail_code))+1
from ins_premium_det i),'16235','16235','02', '11000003','00','Request by Mr. Omair Ali 22-Oct-2024 allocation 22Oct240201');</v>
      </c>
    </row>
    <row r="925" spans="1:8" ht="105" x14ac:dyDescent="0.25">
      <c r="A925" t="s">
        <v>1053</v>
      </c>
      <c r="B925" s="51" t="str">
        <f>VLOOKUP(A925,policy!B:C,2,0)</f>
        <v>040000182876</v>
      </c>
      <c r="C925" s="46">
        <v>16235</v>
      </c>
      <c r="D925" s="46">
        <v>16235</v>
      </c>
      <c r="E925" s="50" t="s">
        <v>3673</v>
      </c>
      <c r="F925" s="52" t="str">
        <f t="shared" si="42"/>
        <v>insert into ins_premium_det (premium_rcv_code,assorted_code, rec_amount,premium_rcv_detail_code,remaining_amt, payrec, mode_code,coinsurance_code,class_cd,it_remarks) values</v>
      </c>
      <c r="G925" s="53" t="str">
        <f t="shared" si="43"/>
        <v>('22Oct240201','040000182876','16235',(select max(to_number(i.premium_rcv_detail_code))+1
from ins_premium_det i),'16235','16235','02', '11000003','00','Request by Mr. Omair Ali 22-Oct-2024 allocation 22Oct240201');</v>
      </c>
      <c r="H925" s="54" t="str">
        <f t="shared" si="44"/>
        <v>insert into ins_premium_det (premium_rcv_code,assorted_code, rec_amount,premium_rcv_detail_code,remaining_amt, payrec, mode_code,coinsurance_code,class_cd,it_remarks) values('22Oct240201','040000182876','16235',(select max(to_number(i.premium_rcv_detail_code))+1
from ins_premium_det i),'16235','16235','02', '11000003','00','Request by Mr. Omair Ali 22-Oct-2024 allocation 22Oct240201');</v>
      </c>
    </row>
    <row r="926" spans="1:8" ht="105" x14ac:dyDescent="0.25">
      <c r="A926" t="s">
        <v>1054</v>
      </c>
      <c r="B926" s="51" t="str">
        <f>VLOOKUP(A926,policy!B:C,2,0)</f>
        <v>040000182877</v>
      </c>
      <c r="C926" s="46">
        <v>14960</v>
      </c>
      <c r="D926" s="46">
        <v>14960</v>
      </c>
      <c r="E926" s="50" t="s">
        <v>3673</v>
      </c>
      <c r="F926" s="52" t="str">
        <f t="shared" si="42"/>
        <v>insert into ins_premium_det (premium_rcv_code,assorted_code, rec_amount,premium_rcv_detail_code,remaining_amt, payrec, mode_code,coinsurance_code,class_cd,it_remarks) values</v>
      </c>
      <c r="G926" s="53" t="str">
        <f t="shared" si="43"/>
        <v>('22Oct240201','040000182877','14960',(select max(to_number(i.premium_rcv_detail_code))+1
from ins_premium_det i),'14960','14960','02', '11000003','00','Request by Mr. Omair Ali 22-Oct-2024 allocation 22Oct240201');</v>
      </c>
      <c r="H926" s="54" t="str">
        <f t="shared" si="44"/>
        <v>insert into ins_premium_det (premium_rcv_code,assorted_code, rec_amount,premium_rcv_detail_code,remaining_amt, payrec, mode_code,coinsurance_code,class_cd,it_remarks) values('22Oct240201','040000182877','14960',(select max(to_number(i.premium_rcv_detail_code))+1
from ins_premium_det i),'14960','14960','02', '11000003','00','Request by Mr. Omair Ali 22-Oct-2024 allocation 22Oct240201');</v>
      </c>
    </row>
    <row r="927" spans="1:8" ht="105" x14ac:dyDescent="0.25">
      <c r="A927" t="s">
        <v>1055</v>
      </c>
      <c r="B927" s="51" t="str">
        <f>VLOOKUP(A927,policy!B:C,2,0)</f>
        <v>040000182878</v>
      </c>
      <c r="C927" s="46">
        <v>23248</v>
      </c>
      <c r="D927" s="46">
        <v>23248</v>
      </c>
      <c r="E927" s="50" t="s">
        <v>3673</v>
      </c>
      <c r="F927" s="52" t="str">
        <f t="shared" si="42"/>
        <v>insert into ins_premium_det (premium_rcv_code,assorted_code, rec_amount,premium_rcv_detail_code,remaining_amt, payrec, mode_code,coinsurance_code,class_cd,it_remarks) values</v>
      </c>
      <c r="G927" s="53" t="str">
        <f t="shared" si="43"/>
        <v>('22Oct240201','040000182878','23248',(select max(to_number(i.premium_rcv_detail_code))+1
from ins_premium_det i),'23248','23248','02', '11000003','00','Request by Mr. Omair Ali 22-Oct-2024 allocation 22Oct240201');</v>
      </c>
      <c r="H927" s="54" t="str">
        <f t="shared" si="44"/>
        <v>insert into ins_premium_det (premium_rcv_code,assorted_code, rec_amount,premium_rcv_detail_code,remaining_amt, payrec, mode_code,coinsurance_code,class_cd,it_remarks) values('22Oct240201','040000182878','23248',(select max(to_number(i.premium_rcv_detail_code))+1
from ins_premium_det i),'23248','23248','02', '11000003','00','Request by Mr. Omair Ali 22-Oct-2024 allocation 22Oct240201');</v>
      </c>
    </row>
    <row r="928" spans="1:8" ht="105" x14ac:dyDescent="0.25">
      <c r="A928" t="s">
        <v>1056</v>
      </c>
      <c r="B928" s="51" t="str">
        <f>VLOOKUP(A928,policy!B:C,2,0)</f>
        <v>040000182879</v>
      </c>
      <c r="C928" s="46">
        <v>23248</v>
      </c>
      <c r="D928" s="46">
        <v>23248</v>
      </c>
      <c r="E928" s="50" t="s">
        <v>3673</v>
      </c>
      <c r="F928" s="52" t="str">
        <f t="shared" si="42"/>
        <v>insert into ins_premium_det (premium_rcv_code,assorted_code, rec_amount,premium_rcv_detail_code,remaining_amt, payrec, mode_code,coinsurance_code,class_cd,it_remarks) values</v>
      </c>
      <c r="G928" s="53" t="str">
        <f t="shared" si="43"/>
        <v>('22Oct240201','040000182879','23248',(select max(to_number(i.premium_rcv_detail_code))+1
from ins_premium_det i),'23248','23248','02', '11000003','00','Request by Mr. Omair Ali 22-Oct-2024 allocation 22Oct240201');</v>
      </c>
      <c r="H928" s="54" t="str">
        <f t="shared" si="44"/>
        <v>insert into ins_premium_det (premium_rcv_code,assorted_code, rec_amount,premium_rcv_detail_code,remaining_amt, payrec, mode_code,coinsurance_code,class_cd,it_remarks) values('22Oct240201','040000182879','23248',(select max(to_number(i.premium_rcv_detail_code))+1
from ins_premium_det i),'23248','23248','02', '11000003','00','Request by Mr. Omair Ali 22-Oct-2024 allocation 22Oct240201');</v>
      </c>
    </row>
    <row r="929" spans="1:8" ht="105" x14ac:dyDescent="0.25">
      <c r="A929" t="s">
        <v>1057</v>
      </c>
      <c r="B929" s="51" t="str">
        <f>VLOOKUP(A929,policy!B:C,2,0)</f>
        <v>040000182880</v>
      </c>
      <c r="C929" s="46">
        <v>23248</v>
      </c>
      <c r="D929" s="46">
        <v>23248</v>
      </c>
      <c r="E929" s="50" t="s">
        <v>3673</v>
      </c>
      <c r="F929" s="52" t="str">
        <f t="shared" si="42"/>
        <v>insert into ins_premium_det (premium_rcv_code,assorted_code, rec_amount,premium_rcv_detail_code,remaining_amt, payrec, mode_code,coinsurance_code,class_cd,it_remarks) values</v>
      </c>
      <c r="G929" s="53" t="str">
        <f t="shared" si="43"/>
        <v>('22Oct240201','040000182880','23248',(select max(to_number(i.premium_rcv_detail_code))+1
from ins_premium_det i),'23248','23248','02', '11000003','00','Request by Mr. Omair Ali 22-Oct-2024 allocation 22Oct240201');</v>
      </c>
      <c r="H929" s="54" t="str">
        <f t="shared" si="44"/>
        <v>insert into ins_premium_det (premium_rcv_code,assorted_code, rec_amount,premium_rcv_detail_code,remaining_amt, payrec, mode_code,coinsurance_code,class_cd,it_remarks) values('22Oct240201','040000182880','23248',(select max(to_number(i.premium_rcv_detail_code))+1
from ins_premium_det i),'23248','23248','02', '11000003','00','Request by Mr. Omair Ali 22-Oct-2024 allocation 22Oct240201');</v>
      </c>
    </row>
    <row r="930" spans="1:8" ht="105" x14ac:dyDescent="0.25">
      <c r="A930" t="s">
        <v>1058</v>
      </c>
      <c r="B930" s="51" t="str">
        <f>VLOOKUP(A930,policy!B:C,2,0)</f>
        <v>040000182881</v>
      </c>
      <c r="C930" s="46">
        <v>23248</v>
      </c>
      <c r="D930" s="46">
        <v>23248</v>
      </c>
      <c r="E930" s="50" t="s">
        <v>3673</v>
      </c>
      <c r="F930" s="52" t="str">
        <f t="shared" si="42"/>
        <v>insert into ins_premium_det (premium_rcv_code,assorted_code, rec_amount,premium_rcv_detail_code,remaining_amt, payrec, mode_code,coinsurance_code,class_cd,it_remarks) values</v>
      </c>
      <c r="G930" s="53" t="str">
        <f t="shared" si="43"/>
        <v>('22Oct240201','040000182881','23248',(select max(to_number(i.premium_rcv_detail_code))+1
from ins_premium_det i),'23248','23248','02', '11000003','00','Request by Mr. Omair Ali 22-Oct-2024 allocation 22Oct240201');</v>
      </c>
      <c r="H930" s="54" t="str">
        <f t="shared" si="44"/>
        <v>insert into ins_premium_det (premium_rcv_code,assorted_code, rec_amount,premium_rcv_detail_code,remaining_amt, payrec, mode_code,coinsurance_code,class_cd,it_remarks) values('22Oct240201','040000182881','23248',(select max(to_number(i.premium_rcv_detail_code))+1
from ins_premium_det i),'23248','23248','02', '11000003','00','Request by Mr. Omair Ali 22-Oct-2024 allocation 22Oct240201');</v>
      </c>
    </row>
    <row r="931" spans="1:8" ht="105" x14ac:dyDescent="0.25">
      <c r="A931" t="s">
        <v>1059</v>
      </c>
      <c r="B931" s="51" t="str">
        <f>VLOOKUP(A931,policy!B:C,2,0)</f>
        <v>040000182883</v>
      </c>
      <c r="C931" s="46">
        <v>16235</v>
      </c>
      <c r="D931" s="46">
        <v>16235</v>
      </c>
      <c r="E931" s="50" t="s">
        <v>3673</v>
      </c>
      <c r="F931" s="52" t="str">
        <f t="shared" si="42"/>
        <v>insert into ins_premium_det (premium_rcv_code,assorted_code, rec_amount,premium_rcv_detail_code,remaining_amt, payrec, mode_code,coinsurance_code,class_cd,it_remarks) values</v>
      </c>
      <c r="G931" s="53" t="str">
        <f t="shared" si="43"/>
        <v>('22Oct240201','040000182883','16235',(select max(to_number(i.premium_rcv_detail_code))+1
from ins_premium_det i),'16235','16235','02', '11000003','00','Request by Mr. Omair Ali 22-Oct-2024 allocation 22Oct240201');</v>
      </c>
      <c r="H931" s="54" t="str">
        <f t="shared" si="44"/>
        <v>insert into ins_premium_det (premium_rcv_code,assorted_code, rec_amount,premium_rcv_detail_code,remaining_amt, payrec, mode_code,coinsurance_code,class_cd,it_remarks) values('22Oct240201','040000182883','16235',(select max(to_number(i.premium_rcv_detail_code))+1
from ins_premium_det i),'16235','16235','02', '11000003','00','Request by Mr. Omair Ali 22-Oct-2024 allocation 22Oct240201');</v>
      </c>
    </row>
    <row r="932" spans="1:8" ht="105" x14ac:dyDescent="0.25">
      <c r="A932" t="s">
        <v>1060</v>
      </c>
      <c r="B932" s="51" t="str">
        <f>VLOOKUP(A932,policy!B:C,2,0)</f>
        <v>040000182900</v>
      </c>
      <c r="C932" s="46">
        <v>13675</v>
      </c>
      <c r="D932" s="46">
        <v>13675</v>
      </c>
      <c r="E932" s="50" t="s">
        <v>3673</v>
      </c>
      <c r="F932" s="52" t="str">
        <f t="shared" si="42"/>
        <v>insert into ins_premium_det (premium_rcv_code,assorted_code, rec_amount,premium_rcv_detail_code,remaining_amt, payrec, mode_code,coinsurance_code,class_cd,it_remarks) values</v>
      </c>
      <c r="G932" s="53" t="str">
        <f t="shared" si="43"/>
        <v>('22Oct240201','040000182900','13675',(select max(to_number(i.premium_rcv_detail_code))+1
from ins_premium_det i),'13675','13675','02', '11000003','00','Request by Mr. Omair Ali 22-Oct-2024 allocation 22Oct240201');</v>
      </c>
      <c r="H932" s="54" t="str">
        <f t="shared" si="44"/>
        <v>insert into ins_premium_det (premium_rcv_code,assorted_code, rec_amount,premium_rcv_detail_code,remaining_amt, payrec, mode_code,coinsurance_code,class_cd,it_remarks) values('22Oct240201','040000182900','13675',(select max(to_number(i.premium_rcv_detail_code))+1
from ins_premium_det i),'13675','13675','02', '11000003','00','Request by Mr. Omair Ali 22-Oct-2024 allocation 22Oct240201');</v>
      </c>
    </row>
    <row r="933" spans="1:8" ht="105" x14ac:dyDescent="0.25">
      <c r="A933" t="s">
        <v>1061</v>
      </c>
      <c r="B933" s="51" t="str">
        <f>VLOOKUP(A933,policy!B:C,2,0)</f>
        <v>040000182902</v>
      </c>
      <c r="C933" s="46">
        <v>9550</v>
      </c>
      <c r="D933" s="46">
        <v>9550</v>
      </c>
      <c r="E933" s="50" t="s">
        <v>3673</v>
      </c>
      <c r="F933" s="52" t="str">
        <f t="shared" si="42"/>
        <v>insert into ins_premium_det (premium_rcv_code,assorted_code, rec_amount,premium_rcv_detail_code,remaining_amt, payrec, mode_code,coinsurance_code,class_cd,it_remarks) values</v>
      </c>
      <c r="G933" s="53" t="str">
        <f t="shared" si="43"/>
        <v>('22Oct240201','040000182902','9550',(select max(to_number(i.premium_rcv_detail_code))+1
from ins_premium_det i),'9550','9550','02', '11000003','00','Request by Mr. Omair Ali 22-Oct-2024 allocation 22Oct240201');</v>
      </c>
      <c r="H933" s="54" t="str">
        <f t="shared" si="44"/>
        <v>insert into ins_premium_det (premium_rcv_code,assorted_code, rec_amount,premium_rcv_detail_code,remaining_amt, payrec, mode_code,coinsurance_code,class_cd,it_remarks) values('22Oct240201','040000182902','9550',(select max(to_number(i.premium_rcv_detail_code))+1
from ins_premium_det i),'9550','9550','02', '11000003','00','Request by Mr. Omair Ali 22-Oct-2024 allocation 22Oct240201');</v>
      </c>
    </row>
    <row r="934" spans="1:8" ht="105" x14ac:dyDescent="0.25">
      <c r="A934" t="s">
        <v>1062</v>
      </c>
      <c r="B934" s="51" t="str">
        <f>VLOOKUP(A934,policy!B:C,2,0)</f>
        <v>040000182904</v>
      </c>
      <c r="C934" s="46">
        <v>13675</v>
      </c>
      <c r="D934" s="46">
        <v>13675</v>
      </c>
      <c r="E934" s="50" t="s">
        <v>3673</v>
      </c>
      <c r="F934" s="52" t="str">
        <f t="shared" si="42"/>
        <v>insert into ins_premium_det (premium_rcv_code,assorted_code, rec_amount,premium_rcv_detail_code,remaining_amt, payrec, mode_code,coinsurance_code,class_cd,it_remarks) values</v>
      </c>
      <c r="G934" s="53" t="str">
        <f t="shared" si="43"/>
        <v>('22Oct240201','040000182904','13675',(select max(to_number(i.premium_rcv_detail_code))+1
from ins_premium_det i),'13675','13675','02', '11000003','00','Request by Mr. Omair Ali 22-Oct-2024 allocation 22Oct240201');</v>
      </c>
      <c r="H934" s="54" t="str">
        <f t="shared" si="44"/>
        <v>insert into ins_premium_det (premium_rcv_code,assorted_code, rec_amount,premium_rcv_detail_code,remaining_amt, payrec, mode_code,coinsurance_code,class_cd,it_remarks) values('22Oct240201','040000182904','13675',(select max(to_number(i.premium_rcv_detail_code))+1
from ins_premium_det i),'13675','13675','02', '11000003','00','Request by Mr. Omair Ali 22-Oct-2024 allocation 22Oct240201');</v>
      </c>
    </row>
    <row r="935" spans="1:8" ht="105" x14ac:dyDescent="0.25">
      <c r="A935" t="s">
        <v>1063</v>
      </c>
      <c r="B935" s="51" t="str">
        <f>VLOOKUP(A935,policy!B:C,2,0)</f>
        <v>040000182907</v>
      </c>
      <c r="C935" s="46">
        <v>16235</v>
      </c>
      <c r="D935" s="46">
        <v>16235</v>
      </c>
      <c r="E935" s="50" t="s">
        <v>3673</v>
      </c>
      <c r="F935" s="52" t="str">
        <f t="shared" si="42"/>
        <v>insert into ins_premium_det (premium_rcv_code,assorted_code, rec_amount,premium_rcv_detail_code,remaining_amt, payrec, mode_code,coinsurance_code,class_cd,it_remarks) values</v>
      </c>
      <c r="G935" s="53" t="str">
        <f t="shared" si="43"/>
        <v>('22Oct240201','040000182907','16235',(select max(to_number(i.premium_rcv_detail_code))+1
from ins_premium_det i),'16235','16235','02', '11000003','00','Request by Mr. Omair Ali 22-Oct-2024 allocation 22Oct240201');</v>
      </c>
      <c r="H935" s="54" t="str">
        <f t="shared" si="44"/>
        <v>insert into ins_premium_det (premium_rcv_code,assorted_code, rec_amount,premium_rcv_detail_code,remaining_amt, payrec, mode_code,coinsurance_code,class_cd,it_remarks) values('22Oct240201','040000182907','16235',(select max(to_number(i.premium_rcv_detail_code))+1
from ins_premium_det i),'16235','16235','02', '11000003','00','Request by Mr. Omair Ali 22-Oct-2024 allocation 22Oct240201');</v>
      </c>
    </row>
    <row r="936" spans="1:8" ht="105" x14ac:dyDescent="0.25">
      <c r="A936" t="s">
        <v>1064</v>
      </c>
      <c r="B936" s="51" t="str">
        <f>VLOOKUP(A936,policy!B:C,2,0)</f>
        <v>040000182909</v>
      </c>
      <c r="C936" s="46">
        <v>16235</v>
      </c>
      <c r="D936" s="46">
        <v>16235</v>
      </c>
      <c r="E936" s="50" t="s">
        <v>3673</v>
      </c>
      <c r="F936" s="52" t="str">
        <f t="shared" si="42"/>
        <v>insert into ins_premium_det (premium_rcv_code,assorted_code, rec_amount,premium_rcv_detail_code,remaining_amt, payrec, mode_code,coinsurance_code,class_cd,it_remarks) values</v>
      </c>
      <c r="G936" s="53" t="str">
        <f t="shared" si="43"/>
        <v>('22Oct240201','040000182909','16235',(select max(to_number(i.premium_rcv_detail_code))+1
from ins_premium_det i),'16235','16235','02', '11000003','00','Request by Mr. Omair Ali 22-Oct-2024 allocation 22Oct240201');</v>
      </c>
      <c r="H936" s="54" t="str">
        <f t="shared" si="44"/>
        <v>insert into ins_premium_det (premium_rcv_code,assorted_code, rec_amount,premium_rcv_detail_code,remaining_amt, payrec, mode_code,coinsurance_code,class_cd,it_remarks) values('22Oct240201','040000182909','16235',(select max(to_number(i.premium_rcv_detail_code))+1
from ins_premium_det i),'16235','16235','02', '11000003','00','Request by Mr. Omair Ali 22-Oct-2024 allocation 22Oct240201');</v>
      </c>
    </row>
    <row r="937" spans="1:8" ht="105" x14ac:dyDescent="0.25">
      <c r="A937" t="s">
        <v>1065</v>
      </c>
      <c r="B937" s="51" t="str">
        <f>VLOOKUP(A937,policy!B:C,2,0)</f>
        <v>040000182910</v>
      </c>
      <c r="C937" s="46">
        <v>16235</v>
      </c>
      <c r="D937" s="46">
        <v>16235</v>
      </c>
      <c r="E937" s="50" t="s">
        <v>3673</v>
      </c>
      <c r="F937" s="52" t="str">
        <f t="shared" si="42"/>
        <v>insert into ins_premium_det (premium_rcv_code,assorted_code, rec_amount,premium_rcv_detail_code,remaining_amt, payrec, mode_code,coinsurance_code,class_cd,it_remarks) values</v>
      </c>
      <c r="G937" s="53" t="str">
        <f t="shared" si="43"/>
        <v>('22Oct240201','040000182910','16235',(select max(to_number(i.premium_rcv_detail_code))+1
from ins_premium_det i),'16235','16235','02', '11000003','00','Request by Mr. Omair Ali 22-Oct-2024 allocation 22Oct240201');</v>
      </c>
      <c r="H937" s="54" t="str">
        <f t="shared" si="44"/>
        <v>insert into ins_premium_det (premium_rcv_code,assorted_code, rec_amount,premium_rcv_detail_code,remaining_amt, payrec, mode_code,coinsurance_code,class_cd,it_remarks) values('22Oct240201','040000182910','16235',(select max(to_number(i.premium_rcv_detail_code))+1
from ins_premium_det i),'16235','16235','02', '11000003','00','Request by Mr. Omair Ali 22-Oct-2024 allocation 22Oct240201');</v>
      </c>
    </row>
    <row r="938" spans="1:8" ht="105" x14ac:dyDescent="0.25">
      <c r="A938" t="s">
        <v>1066</v>
      </c>
      <c r="B938" s="51" t="str">
        <f>VLOOKUP(A938,policy!B:C,2,0)</f>
        <v>040000182911</v>
      </c>
      <c r="C938" s="46">
        <v>16235</v>
      </c>
      <c r="D938" s="46">
        <v>16235</v>
      </c>
      <c r="E938" s="50" t="s">
        <v>3673</v>
      </c>
      <c r="F938" s="52" t="str">
        <f t="shared" si="42"/>
        <v>insert into ins_premium_det (premium_rcv_code,assorted_code, rec_amount,premium_rcv_detail_code,remaining_amt, payrec, mode_code,coinsurance_code,class_cd,it_remarks) values</v>
      </c>
      <c r="G938" s="53" t="str">
        <f t="shared" si="43"/>
        <v>('22Oct240201','040000182911','16235',(select max(to_number(i.premium_rcv_detail_code))+1
from ins_premium_det i),'16235','16235','02', '11000003','00','Request by Mr. Omair Ali 22-Oct-2024 allocation 22Oct240201');</v>
      </c>
      <c r="H938" s="54" t="str">
        <f t="shared" si="44"/>
        <v>insert into ins_premium_det (premium_rcv_code,assorted_code, rec_amount,premium_rcv_detail_code,remaining_amt, payrec, mode_code,coinsurance_code,class_cd,it_remarks) values('22Oct240201','040000182911','16235',(select max(to_number(i.premium_rcv_detail_code))+1
from ins_premium_det i),'16235','16235','02', '11000003','00','Request by Mr. Omair Ali 22-Oct-2024 allocation 22Oct240201');</v>
      </c>
    </row>
    <row r="939" spans="1:8" ht="105" x14ac:dyDescent="0.25">
      <c r="A939" t="s">
        <v>1067</v>
      </c>
      <c r="B939" s="51" t="str">
        <f>VLOOKUP(A939,policy!B:C,2,0)</f>
        <v>040000182912</v>
      </c>
      <c r="C939" s="46">
        <v>16235</v>
      </c>
      <c r="D939" s="46">
        <v>16235</v>
      </c>
      <c r="E939" s="50" t="s">
        <v>3673</v>
      </c>
      <c r="F939" s="52" t="str">
        <f t="shared" si="42"/>
        <v>insert into ins_premium_det (premium_rcv_code,assorted_code, rec_amount,premium_rcv_detail_code,remaining_amt, payrec, mode_code,coinsurance_code,class_cd,it_remarks) values</v>
      </c>
      <c r="G939" s="53" t="str">
        <f t="shared" si="43"/>
        <v>('22Oct240201','040000182912','16235',(select max(to_number(i.premium_rcv_detail_code))+1
from ins_premium_det i),'16235','16235','02', '11000003','00','Request by Mr. Omair Ali 22-Oct-2024 allocation 22Oct240201');</v>
      </c>
      <c r="H939" s="54" t="str">
        <f t="shared" si="44"/>
        <v>insert into ins_premium_det (premium_rcv_code,assorted_code, rec_amount,premium_rcv_detail_code,remaining_amt, payrec, mode_code,coinsurance_code,class_cd,it_remarks) values('22Oct240201','040000182912','16235',(select max(to_number(i.premium_rcv_detail_code))+1
from ins_premium_det i),'16235','16235','02', '11000003','00','Request by Mr. Omair Ali 22-Oct-2024 allocation 22Oct240201');</v>
      </c>
    </row>
    <row r="940" spans="1:8" ht="105" x14ac:dyDescent="0.25">
      <c r="A940" t="s">
        <v>1068</v>
      </c>
      <c r="B940" s="51" t="str">
        <f>VLOOKUP(A940,policy!B:C,2,0)</f>
        <v>040000182914</v>
      </c>
      <c r="C940" s="46">
        <v>9550</v>
      </c>
      <c r="D940" s="46">
        <v>9550</v>
      </c>
      <c r="E940" s="50" t="s">
        <v>3673</v>
      </c>
      <c r="F940" s="52" t="str">
        <f t="shared" si="42"/>
        <v>insert into ins_premium_det (premium_rcv_code,assorted_code, rec_amount,premium_rcv_detail_code,remaining_amt, payrec, mode_code,coinsurance_code,class_cd,it_remarks) values</v>
      </c>
      <c r="G940" s="53" t="str">
        <f t="shared" si="43"/>
        <v>('22Oct240201','040000182914','9550',(select max(to_number(i.premium_rcv_detail_code))+1
from ins_premium_det i),'9550','9550','02', '11000003','00','Request by Mr. Omair Ali 22-Oct-2024 allocation 22Oct240201');</v>
      </c>
      <c r="H940" s="54" t="str">
        <f t="shared" si="44"/>
        <v>insert into ins_premium_det (premium_rcv_code,assorted_code, rec_amount,premium_rcv_detail_code,remaining_amt, payrec, mode_code,coinsurance_code,class_cd,it_remarks) values('22Oct240201','040000182914','9550',(select max(to_number(i.premium_rcv_detail_code))+1
from ins_premium_det i),'9550','9550','02', '11000003','00','Request by Mr. Omair Ali 22-Oct-2024 allocation 22Oct240201');</v>
      </c>
    </row>
    <row r="941" spans="1:8" ht="105" x14ac:dyDescent="0.25">
      <c r="A941" t="s">
        <v>1069</v>
      </c>
      <c r="B941" s="51" t="str">
        <f>VLOOKUP(A941,policy!B:C,2,0)</f>
        <v>040000182915</v>
      </c>
      <c r="C941" s="46">
        <v>9550</v>
      </c>
      <c r="D941" s="46">
        <v>9550</v>
      </c>
      <c r="E941" s="50" t="s">
        <v>3673</v>
      </c>
      <c r="F941" s="52" t="str">
        <f t="shared" si="42"/>
        <v>insert into ins_premium_det (premium_rcv_code,assorted_code, rec_amount,premium_rcv_detail_code,remaining_amt, payrec, mode_code,coinsurance_code,class_cd,it_remarks) values</v>
      </c>
      <c r="G941" s="53" t="str">
        <f t="shared" si="43"/>
        <v>('22Oct240201','040000182915','9550',(select max(to_number(i.premium_rcv_detail_code))+1
from ins_premium_det i),'9550','9550','02', '11000003','00','Request by Mr. Omair Ali 22-Oct-2024 allocation 22Oct240201');</v>
      </c>
      <c r="H941" s="54" t="str">
        <f t="shared" si="44"/>
        <v>insert into ins_premium_det (premium_rcv_code,assorted_code, rec_amount,premium_rcv_detail_code,remaining_amt, payrec, mode_code,coinsurance_code,class_cd,it_remarks) values('22Oct240201','040000182915','9550',(select max(to_number(i.premium_rcv_detail_code))+1
from ins_premium_det i),'9550','9550','02', '11000003','00','Request by Mr. Omair Ali 22-Oct-2024 allocation 22Oct240201');</v>
      </c>
    </row>
    <row r="942" spans="1:8" ht="105" x14ac:dyDescent="0.25">
      <c r="A942" t="s">
        <v>1070</v>
      </c>
      <c r="B942" s="51" t="str">
        <f>VLOOKUP(A942,policy!B:C,2,0)</f>
        <v>040000182921</v>
      </c>
      <c r="C942" s="46">
        <v>8800</v>
      </c>
      <c r="D942" s="46">
        <v>8800</v>
      </c>
      <c r="E942" s="50" t="s">
        <v>3673</v>
      </c>
      <c r="F942" s="52" t="str">
        <f t="shared" si="42"/>
        <v>insert into ins_premium_det (premium_rcv_code,assorted_code, rec_amount,premium_rcv_detail_code,remaining_amt, payrec, mode_code,coinsurance_code,class_cd,it_remarks) values</v>
      </c>
      <c r="G942" s="53" t="str">
        <f t="shared" si="43"/>
        <v>('22Oct240201','040000182921','8800',(select max(to_number(i.premium_rcv_detail_code))+1
from ins_premium_det i),'8800','8800','02', '11000003','00','Request by Mr. Omair Ali 22-Oct-2024 allocation 22Oct240201');</v>
      </c>
      <c r="H942" s="54" t="str">
        <f t="shared" si="44"/>
        <v>insert into ins_premium_det (premium_rcv_code,assorted_code, rec_amount,premium_rcv_detail_code,remaining_amt, payrec, mode_code,coinsurance_code,class_cd,it_remarks) values('22Oct240201','040000182921','8800',(select max(to_number(i.premium_rcv_detail_code))+1
from ins_premium_det i),'8800','8800','02', '11000003','00','Request by Mr. Omair Ali 22-Oct-2024 allocation 22Oct240201');</v>
      </c>
    </row>
    <row r="943" spans="1:8" ht="105" x14ac:dyDescent="0.25">
      <c r="A943" t="s">
        <v>1071</v>
      </c>
      <c r="B943" s="51" t="str">
        <f>VLOOKUP(A943,policy!B:C,2,0)</f>
        <v>040000182922</v>
      </c>
      <c r="C943" s="46">
        <v>16235</v>
      </c>
      <c r="D943" s="46">
        <v>16235</v>
      </c>
      <c r="E943" s="50" t="s">
        <v>3673</v>
      </c>
      <c r="F943" s="52" t="str">
        <f t="shared" si="42"/>
        <v>insert into ins_premium_det (premium_rcv_code,assorted_code, rec_amount,premium_rcv_detail_code,remaining_amt, payrec, mode_code,coinsurance_code,class_cd,it_remarks) values</v>
      </c>
      <c r="G943" s="53" t="str">
        <f t="shared" si="43"/>
        <v>('22Oct240201','040000182922','16235',(select max(to_number(i.premium_rcv_detail_code))+1
from ins_premium_det i),'16235','16235','02', '11000003','00','Request by Mr. Omair Ali 22-Oct-2024 allocation 22Oct240201');</v>
      </c>
      <c r="H943" s="54" t="str">
        <f t="shared" si="44"/>
        <v>insert into ins_premium_det (premium_rcv_code,assorted_code, rec_amount,premium_rcv_detail_code,remaining_amt, payrec, mode_code,coinsurance_code,class_cd,it_remarks) values('22Oct240201','040000182922','16235',(select max(to_number(i.premium_rcv_detail_code))+1
from ins_premium_det i),'16235','16235','02', '11000003','00','Request by Mr. Omair Ali 22-Oct-2024 allocation 22Oct240201');</v>
      </c>
    </row>
    <row r="944" spans="1:8" ht="105" x14ac:dyDescent="0.25">
      <c r="A944" t="s">
        <v>1072</v>
      </c>
      <c r="B944" s="51" t="str">
        <f>VLOOKUP(A944,policy!B:C,2,0)</f>
        <v>040000182924</v>
      </c>
      <c r="C944" s="46">
        <v>8800</v>
      </c>
      <c r="D944" s="46">
        <v>8800</v>
      </c>
      <c r="E944" s="50" t="s">
        <v>3673</v>
      </c>
      <c r="F944" s="52" t="str">
        <f t="shared" si="42"/>
        <v>insert into ins_premium_det (premium_rcv_code,assorted_code, rec_amount,premium_rcv_detail_code,remaining_amt, payrec, mode_code,coinsurance_code,class_cd,it_remarks) values</v>
      </c>
      <c r="G944" s="53" t="str">
        <f t="shared" si="43"/>
        <v>('22Oct240201','040000182924','8800',(select max(to_number(i.premium_rcv_detail_code))+1
from ins_premium_det i),'8800','8800','02', '11000003','00','Request by Mr. Omair Ali 22-Oct-2024 allocation 22Oct240201');</v>
      </c>
      <c r="H944" s="54" t="str">
        <f t="shared" si="44"/>
        <v>insert into ins_premium_det (premium_rcv_code,assorted_code, rec_amount,premium_rcv_detail_code,remaining_amt, payrec, mode_code,coinsurance_code,class_cd,it_remarks) values('22Oct240201','040000182924','8800',(select max(to_number(i.premium_rcv_detail_code))+1
from ins_premium_det i),'8800','8800','02', '11000003','00','Request by Mr. Omair Ali 22-Oct-2024 allocation 22Oct240201');</v>
      </c>
    </row>
    <row r="945" spans="1:8" ht="105" x14ac:dyDescent="0.25">
      <c r="A945" t="s">
        <v>1073</v>
      </c>
      <c r="B945" s="51" t="str">
        <f>VLOOKUP(A945,policy!B:C,2,0)</f>
        <v>040000182925</v>
      </c>
      <c r="C945" s="46">
        <v>16235</v>
      </c>
      <c r="D945" s="46">
        <v>16235</v>
      </c>
      <c r="E945" s="50" t="s">
        <v>3673</v>
      </c>
      <c r="F945" s="52" t="str">
        <f t="shared" si="42"/>
        <v>insert into ins_premium_det (premium_rcv_code,assorted_code, rec_amount,premium_rcv_detail_code,remaining_amt, payrec, mode_code,coinsurance_code,class_cd,it_remarks) values</v>
      </c>
      <c r="G945" s="53" t="str">
        <f t="shared" si="43"/>
        <v>('22Oct240201','040000182925','16235',(select max(to_number(i.premium_rcv_detail_code))+1
from ins_premium_det i),'16235','16235','02', '11000003','00','Request by Mr. Omair Ali 22-Oct-2024 allocation 22Oct240201');</v>
      </c>
      <c r="H945" s="54" t="str">
        <f t="shared" si="44"/>
        <v>insert into ins_premium_det (premium_rcv_code,assorted_code, rec_amount,premium_rcv_detail_code,remaining_amt, payrec, mode_code,coinsurance_code,class_cd,it_remarks) values('22Oct240201','040000182925','16235',(select max(to_number(i.premium_rcv_detail_code))+1
from ins_premium_det i),'16235','16235','02', '11000003','00','Request by Mr. Omair Ali 22-Oct-2024 allocation 22Oct240201');</v>
      </c>
    </row>
    <row r="946" spans="1:8" ht="105" x14ac:dyDescent="0.25">
      <c r="A946" t="s">
        <v>1074</v>
      </c>
      <c r="B946" s="51" t="str">
        <f>VLOOKUP(A946,policy!B:C,2,0)</f>
        <v>040000182928</v>
      </c>
      <c r="C946" s="46">
        <v>16235</v>
      </c>
      <c r="D946" s="46">
        <v>16235</v>
      </c>
      <c r="E946" s="50" t="s">
        <v>3673</v>
      </c>
      <c r="F946" s="52" t="str">
        <f t="shared" si="42"/>
        <v>insert into ins_premium_det (premium_rcv_code,assorted_code, rec_amount,premium_rcv_detail_code,remaining_amt, payrec, mode_code,coinsurance_code,class_cd,it_remarks) values</v>
      </c>
      <c r="G946" s="53" t="str">
        <f t="shared" si="43"/>
        <v>('22Oct240201','040000182928','16235',(select max(to_number(i.premium_rcv_detail_code))+1
from ins_premium_det i),'16235','16235','02', '11000003','00','Request by Mr. Omair Ali 22-Oct-2024 allocation 22Oct240201');</v>
      </c>
      <c r="H946" s="54" t="str">
        <f t="shared" si="44"/>
        <v>insert into ins_premium_det (premium_rcv_code,assorted_code, rec_amount,premium_rcv_detail_code,remaining_amt, payrec, mode_code,coinsurance_code,class_cd,it_remarks) values('22Oct240201','040000182928','16235',(select max(to_number(i.premium_rcv_detail_code))+1
from ins_premium_det i),'16235','16235','02', '11000003','00','Request by Mr. Omair Ali 22-Oct-2024 allocation 22Oct240201');</v>
      </c>
    </row>
    <row r="947" spans="1:8" ht="105" x14ac:dyDescent="0.25">
      <c r="A947" t="s">
        <v>1075</v>
      </c>
      <c r="B947" s="51" t="str">
        <f>VLOOKUP(A947,policy!B:C,2,0)</f>
        <v>040000182930</v>
      </c>
      <c r="C947" s="46">
        <v>8800</v>
      </c>
      <c r="D947" s="46">
        <v>8800</v>
      </c>
      <c r="E947" s="50" t="s">
        <v>3673</v>
      </c>
      <c r="F947" s="52" t="str">
        <f t="shared" si="42"/>
        <v>insert into ins_premium_det (premium_rcv_code,assorted_code, rec_amount,premium_rcv_detail_code,remaining_amt, payrec, mode_code,coinsurance_code,class_cd,it_remarks) values</v>
      </c>
      <c r="G947" s="53" t="str">
        <f t="shared" si="43"/>
        <v>('22Oct240201','040000182930','8800',(select max(to_number(i.premium_rcv_detail_code))+1
from ins_premium_det i),'8800','8800','02', '11000003','00','Request by Mr. Omair Ali 22-Oct-2024 allocation 22Oct240201');</v>
      </c>
      <c r="H947" s="54" t="str">
        <f t="shared" si="44"/>
        <v>insert into ins_premium_det (premium_rcv_code,assorted_code, rec_amount,premium_rcv_detail_code,remaining_amt, payrec, mode_code,coinsurance_code,class_cd,it_remarks) values('22Oct240201','040000182930','8800',(select max(to_number(i.premium_rcv_detail_code))+1
from ins_premium_det i),'8800','8800','02', '11000003','00','Request by Mr. Omair Ali 22-Oct-2024 allocation 22Oct240201');</v>
      </c>
    </row>
    <row r="948" spans="1:8" ht="105" x14ac:dyDescent="0.25">
      <c r="A948" t="s">
        <v>1076</v>
      </c>
      <c r="B948" s="51" t="str">
        <f>VLOOKUP(A948,policy!B:C,2,0)</f>
        <v>040000182932</v>
      </c>
      <c r="C948" s="46">
        <v>8800</v>
      </c>
      <c r="D948" s="46">
        <v>8800</v>
      </c>
      <c r="E948" s="50" t="s">
        <v>3673</v>
      </c>
      <c r="F948" s="52" t="str">
        <f t="shared" si="42"/>
        <v>insert into ins_premium_det (premium_rcv_code,assorted_code, rec_amount,premium_rcv_detail_code,remaining_amt, payrec, mode_code,coinsurance_code,class_cd,it_remarks) values</v>
      </c>
      <c r="G948" s="53" t="str">
        <f t="shared" si="43"/>
        <v>('22Oct240201','040000182932','8800',(select max(to_number(i.premium_rcv_detail_code))+1
from ins_premium_det i),'8800','8800','02', '11000003','00','Request by Mr. Omair Ali 22-Oct-2024 allocation 22Oct240201');</v>
      </c>
      <c r="H948" s="54" t="str">
        <f t="shared" si="44"/>
        <v>insert into ins_premium_det (premium_rcv_code,assorted_code, rec_amount,premium_rcv_detail_code,remaining_amt, payrec, mode_code,coinsurance_code,class_cd,it_remarks) values('22Oct240201','040000182932','8800',(select max(to_number(i.premium_rcv_detail_code))+1
from ins_premium_det i),'8800','8800','02', '11000003','00','Request by Mr. Omair Ali 22-Oct-2024 allocation 22Oct240201');</v>
      </c>
    </row>
    <row r="949" spans="1:8" ht="105" x14ac:dyDescent="0.25">
      <c r="A949" t="s">
        <v>1077</v>
      </c>
      <c r="B949" s="51" t="str">
        <f>VLOOKUP(A949,policy!B:C,2,0)</f>
        <v>040000182933</v>
      </c>
      <c r="C949" s="46">
        <v>14960</v>
      </c>
      <c r="D949" s="46">
        <v>14960</v>
      </c>
      <c r="E949" s="50" t="s">
        <v>3673</v>
      </c>
      <c r="F949" s="52" t="str">
        <f t="shared" si="42"/>
        <v>insert into ins_premium_det (premium_rcv_code,assorted_code, rec_amount,premium_rcv_detail_code,remaining_amt, payrec, mode_code,coinsurance_code,class_cd,it_remarks) values</v>
      </c>
      <c r="G949" s="53" t="str">
        <f t="shared" si="43"/>
        <v>('22Oct240201','040000182933','14960',(select max(to_number(i.premium_rcv_detail_code))+1
from ins_premium_det i),'14960','14960','02', '11000003','00','Request by Mr. Omair Ali 22-Oct-2024 allocation 22Oct240201');</v>
      </c>
      <c r="H949" s="54" t="str">
        <f t="shared" si="44"/>
        <v>insert into ins_premium_det (premium_rcv_code,assorted_code, rec_amount,premium_rcv_detail_code,remaining_amt, payrec, mode_code,coinsurance_code,class_cd,it_remarks) values('22Oct240201','040000182933','14960',(select max(to_number(i.premium_rcv_detail_code))+1
from ins_premium_det i),'14960','14960','02', '11000003','00','Request by Mr. Omair Ali 22-Oct-2024 allocation 22Oct240201');</v>
      </c>
    </row>
    <row r="950" spans="1:8" ht="105" x14ac:dyDescent="0.25">
      <c r="A950" t="s">
        <v>1078</v>
      </c>
      <c r="B950" s="51" t="str">
        <f>VLOOKUP(A950,policy!B:C,2,0)</f>
        <v>040000182934</v>
      </c>
      <c r="C950" s="46">
        <v>14960</v>
      </c>
      <c r="D950" s="46">
        <v>14960</v>
      </c>
      <c r="E950" s="50" t="s">
        <v>3673</v>
      </c>
      <c r="F950" s="52" t="str">
        <f t="shared" si="42"/>
        <v>insert into ins_premium_det (premium_rcv_code,assorted_code, rec_amount,premium_rcv_detail_code,remaining_amt, payrec, mode_code,coinsurance_code,class_cd,it_remarks) values</v>
      </c>
      <c r="G950" s="53" t="str">
        <f t="shared" si="43"/>
        <v>('22Oct240201','040000182934','14960',(select max(to_number(i.premium_rcv_detail_code))+1
from ins_premium_det i),'14960','14960','02', '11000003','00','Request by Mr. Omair Ali 22-Oct-2024 allocation 22Oct240201');</v>
      </c>
      <c r="H950" s="54" t="str">
        <f t="shared" si="44"/>
        <v>insert into ins_premium_det (premium_rcv_code,assorted_code, rec_amount,premium_rcv_detail_code,remaining_amt, payrec, mode_code,coinsurance_code,class_cd,it_remarks) values('22Oct240201','040000182934','14960',(select max(to_number(i.premium_rcv_detail_code))+1
from ins_premium_det i),'14960','14960','02', '11000003','00','Request by Mr. Omair Ali 22-Oct-2024 allocation 22Oct240201');</v>
      </c>
    </row>
    <row r="951" spans="1:8" ht="105" x14ac:dyDescent="0.25">
      <c r="A951" t="s">
        <v>1079</v>
      </c>
      <c r="B951" s="51" t="str">
        <f>VLOOKUP(A951,policy!B:C,2,0)</f>
        <v>040000182935</v>
      </c>
      <c r="C951" s="46">
        <v>8800</v>
      </c>
      <c r="D951" s="46">
        <v>8800</v>
      </c>
      <c r="E951" s="50" t="s">
        <v>3673</v>
      </c>
      <c r="F951" s="52" t="str">
        <f t="shared" si="42"/>
        <v>insert into ins_premium_det (premium_rcv_code,assorted_code, rec_amount,premium_rcv_detail_code,remaining_amt, payrec, mode_code,coinsurance_code,class_cd,it_remarks) values</v>
      </c>
      <c r="G951" s="53" t="str">
        <f t="shared" si="43"/>
        <v>('22Oct240201','040000182935','8800',(select max(to_number(i.premium_rcv_detail_code))+1
from ins_premium_det i),'8800','8800','02', '11000003','00','Request by Mr. Omair Ali 22-Oct-2024 allocation 22Oct240201');</v>
      </c>
      <c r="H951" s="54" t="str">
        <f t="shared" si="44"/>
        <v>insert into ins_premium_det (premium_rcv_code,assorted_code, rec_amount,premium_rcv_detail_code,remaining_amt, payrec, mode_code,coinsurance_code,class_cd,it_remarks) values('22Oct240201','040000182935','8800',(select max(to_number(i.premium_rcv_detail_code))+1
from ins_premium_det i),'8800','8800','02', '11000003','00','Request by Mr. Omair Ali 22-Oct-2024 allocation 22Oct240201');</v>
      </c>
    </row>
    <row r="952" spans="1:8" ht="105" x14ac:dyDescent="0.25">
      <c r="A952" t="s">
        <v>1080</v>
      </c>
      <c r="B952" s="51" t="str">
        <f>VLOOKUP(A952,policy!B:C,2,0)</f>
        <v>040000182938</v>
      </c>
      <c r="C952" s="46">
        <v>13675</v>
      </c>
      <c r="D952" s="46">
        <v>13675</v>
      </c>
      <c r="E952" s="50" t="s">
        <v>3673</v>
      </c>
      <c r="F952" s="52" t="str">
        <f t="shared" si="42"/>
        <v>insert into ins_premium_det (premium_rcv_code,assorted_code, rec_amount,premium_rcv_detail_code,remaining_amt, payrec, mode_code,coinsurance_code,class_cd,it_remarks) values</v>
      </c>
      <c r="G952" s="53" t="str">
        <f t="shared" si="43"/>
        <v>('22Oct240201','040000182938','13675',(select max(to_number(i.premium_rcv_detail_code))+1
from ins_premium_det i),'13675','13675','02', '11000003','00','Request by Mr. Omair Ali 22-Oct-2024 allocation 22Oct240201');</v>
      </c>
      <c r="H952" s="54" t="str">
        <f t="shared" si="44"/>
        <v>insert into ins_premium_det (premium_rcv_code,assorted_code, rec_amount,premium_rcv_detail_code,remaining_amt, payrec, mode_code,coinsurance_code,class_cd,it_remarks) values('22Oct240201','040000182938','13675',(select max(to_number(i.premium_rcv_detail_code))+1
from ins_premium_det i),'13675','13675','02', '11000003','00','Request by Mr. Omair Ali 22-Oct-2024 allocation 22Oct240201');</v>
      </c>
    </row>
    <row r="953" spans="1:8" ht="105" x14ac:dyDescent="0.25">
      <c r="A953" t="s">
        <v>1081</v>
      </c>
      <c r="B953" s="51" t="str">
        <f>VLOOKUP(A953,policy!B:C,2,0)</f>
        <v>040000182939</v>
      </c>
      <c r="C953" s="46">
        <v>23248</v>
      </c>
      <c r="D953" s="46">
        <v>23248</v>
      </c>
      <c r="E953" s="50" t="s">
        <v>3673</v>
      </c>
      <c r="F953" s="52" t="str">
        <f t="shared" si="42"/>
        <v>insert into ins_premium_det (premium_rcv_code,assorted_code, rec_amount,premium_rcv_detail_code,remaining_amt, payrec, mode_code,coinsurance_code,class_cd,it_remarks) values</v>
      </c>
      <c r="G953" s="53" t="str">
        <f t="shared" si="43"/>
        <v>('22Oct240201','040000182939','23248',(select max(to_number(i.premium_rcv_detail_code))+1
from ins_premium_det i),'23248','23248','02', '11000003','00','Request by Mr. Omair Ali 22-Oct-2024 allocation 22Oct240201');</v>
      </c>
      <c r="H953" s="54" t="str">
        <f t="shared" si="44"/>
        <v>insert into ins_premium_det (premium_rcv_code,assorted_code, rec_amount,premium_rcv_detail_code,remaining_amt, payrec, mode_code,coinsurance_code,class_cd,it_remarks) values('22Oct240201','040000182939','23248',(select max(to_number(i.premium_rcv_detail_code))+1
from ins_premium_det i),'23248','23248','02', '11000003','00','Request by Mr. Omair Ali 22-Oct-2024 allocation 22Oct240201');</v>
      </c>
    </row>
    <row r="954" spans="1:8" ht="105" x14ac:dyDescent="0.25">
      <c r="A954" t="s">
        <v>1082</v>
      </c>
      <c r="B954" s="51" t="str">
        <f>VLOOKUP(A954,policy!B:C,2,0)</f>
        <v>040000182940</v>
      </c>
      <c r="C954" s="46">
        <v>8800</v>
      </c>
      <c r="D954" s="46">
        <v>8800</v>
      </c>
      <c r="E954" s="50" t="s">
        <v>3673</v>
      </c>
      <c r="F954" s="52" t="str">
        <f t="shared" si="42"/>
        <v>insert into ins_premium_det (premium_rcv_code,assorted_code, rec_amount,premium_rcv_detail_code,remaining_amt, payrec, mode_code,coinsurance_code,class_cd,it_remarks) values</v>
      </c>
      <c r="G954" s="53" t="str">
        <f t="shared" si="43"/>
        <v>('22Oct240201','040000182940','8800',(select max(to_number(i.premium_rcv_detail_code))+1
from ins_premium_det i),'8800','8800','02', '11000003','00','Request by Mr. Omair Ali 22-Oct-2024 allocation 22Oct240201');</v>
      </c>
      <c r="H954" s="54" t="str">
        <f t="shared" si="44"/>
        <v>insert into ins_premium_det (premium_rcv_code,assorted_code, rec_amount,premium_rcv_detail_code,remaining_amt, payrec, mode_code,coinsurance_code,class_cd,it_remarks) values('22Oct240201','040000182940','8800',(select max(to_number(i.premium_rcv_detail_code))+1
from ins_premium_det i),'8800','8800','02', '11000003','00','Request by Mr. Omair Ali 22-Oct-2024 allocation 22Oct240201');</v>
      </c>
    </row>
    <row r="955" spans="1:8" ht="105" x14ac:dyDescent="0.25">
      <c r="A955" t="s">
        <v>1083</v>
      </c>
      <c r="B955" s="51" t="str">
        <f>VLOOKUP(A955,policy!B:C,2,0)</f>
        <v>040000182942</v>
      </c>
      <c r="C955" s="46">
        <v>8800</v>
      </c>
      <c r="D955" s="46">
        <v>8800</v>
      </c>
      <c r="E955" s="50" t="s">
        <v>3673</v>
      </c>
      <c r="F955" s="52" t="str">
        <f t="shared" si="42"/>
        <v>insert into ins_premium_det (premium_rcv_code,assorted_code, rec_amount,premium_rcv_detail_code,remaining_amt, payrec, mode_code,coinsurance_code,class_cd,it_remarks) values</v>
      </c>
      <c r="G955" s="53" t="str">
        <f t="shared" si="43"/>
        <v>('22Oct240201','040000182942','8800',(select max(to_number(i.premium_rcv_detail_code))+1
from ins_premium_det i),'8800','8800','02', '11000003','00','Request by Mr. Omair Ali 22-Oct-2024 allocation 22Oct240201');</v>
      </c>
      <c r="H955" s="54" t="str">
        <f t="shared" si="44"/>
        <v>insert into ins_premium_det (premium_rcv_code,assorted_code, rec_amount,premium_rcv_detail_code,remaining_amt, payrec, mode_code,coinsurance_code,class_cd,it_remarks) values('22Oct240201','040000182942','8800',(select max(to_number(i.premium_rcv_detail_code))+1
from ins_premium_det i),'8800','8800','02', '11000003','00','Request by Mr. Omair Ali 22-Oct-2024 allocation 22Oct240201');</v>
      </c>
    </row>
    <row r="956" spans="1:8" ht="105" x14ac:dyDescent="0.25">
      <c r="A956" t="s">
        <v>1084</v>
      </c>
      <c r="B956" s="51" t="str">
        <f>VLOOKUP(A956,policy!B:C,2,0)</f>
        <v>040000182943</v>
      </c>
      <c r="C956" s="46">
        <v>14960</v>
      </c>
      <c r="D956" s="46">
        <v>14960</v>
      </c>
      <c r="E956" s="50" t="s">
        <v>3673</v>
      </c>
      <c r="F956" s="52" t="str">
        <f t="shared" si="42"/>
        <v>insert into ins_premium_det (premium_rcv_code,assorted_code, rec_amount,premium_rcv_detail_code,remaining_amt, payrec, mode_code,coinsurance_code,class_cd,it_remarks) values</v>
      </c>
      <c r="G956" s="53" t="str">
        <f t="shared" si="43"/>
        <v>('22Oct240201','040000182943','14960',(select max(to_number(i.premium_rcv_detail_code))+1
from ins_premium_det i),'14960','14960','02', '11000003','00','Request by Mr. Omair Ali 22-Oct-2024 allocation 22Oct240201');</v>
      </c>
      <c r="H956" s="54" t="str">
        <f t="shared" si="44"/>
        <v>insert into ins_premium_det (premium_rcv_code,assorted_code, rec_amount,premium_rcv_detail_code,remaining_amt, payrec, mode_code,coinsurance_code,class_cd,it_remarks) values('22Oct240201','040000182943','14960',(select max(to_number(i.premium_rcv_detail_code))+1
from ins_premium_det i),'14960','14960','02', '11000003','00','Request by Mr. Omair Ali 22-Oct-2024 allocation 22Oct240201');</v>
      </c>
    </row>
    <row r="957" spans="1:8" ht="105" x14ac:dyDescent="0.25">
      <c r="A957" t="s">
        <v>1085</v>
      </c>
      <c r="B957" s="51" t="str">
        <f>VLOOKUP(A957,policy!B:C,2,0)</f>
        <v>040000182944</v>
      </c>
      <c r="C957" s="46">
        <v>14960</v>
      </c>
      <c r="D957" s="46">
        <v>14960</v>
      </c>
      <c r="E957" s="50" t="s">
        <v>3673</v>
      </c>
      <c r="F957" s="52" t="str">
        <f t="shared" si="42"/>
        <v>insert into ins_premium_det (premium_rcv_code,assorted_code, rec_amount,premium_rcv_detail_code,remaining_amt, payrec, mode_code,coinsurance_code,class_cd,it_remarks) values</v>
      </c>
      <c r="G957" s="53" t="str">
        <f t="shared" si="43"/>
        <v>('22Oct240201','040000182944','14960',(select max(to_number(i.premium_rcv_detail_code))+1
from ins_premium_det i),'14960','14960','02', '11000003','00','Request by Mr. Omair Ali 22-Oct-2024 allocation 22Oct240201');</v>
      </c>
      <c r="H957" s="54" t="str">
        <f t="shared" si="44"/>
        <v>insert into ins_premium_det (premium_rcv_code,assorted_code, rec_amount,premium_rcv_detail_code,remaining_amt, payrec, mode_code,coinsurance_code,class_cd,it_remarks) values('22Oct240201','040000182944','14960',(select max(to_number(i.premium_rcv_detail_code))+1
from ins_premium_det i),'14960','14960','02', '11000003','00','Request by Mr. Omair Ali 22-Oct-2024 allocation 22Oct240201');</v>
      </c>
    </row>
    <row r="958" spans="1:8" ht="105" x14ac:dyDescent="0.25">
      <c r="A958" t="s">
        <v>1086</v>
      </c>
      <c r="B958" s="51" t="str">
        <f>VLOOKUP(A958,policy!B:C,2,0)</f>
        <v>040000182945</v>
      </c>
      <c r="C958" s="46">
        <v>13675</v>
      </c>
      <c r="D958" s="46">
        <v>13675</v>
      </c>
      <c r="E958" s="50" t="s">
        <v>3673</v>
      </c>
      <c r="F958" s="52" t="str">
        <f t="shared" si="42"/>
        <v>insert into ins_premium_det (premium_rcv_code,assorted_code, rec_amount,premium_rcv_detail_code,remaining_amt, payrec, mode_code,coinsurance_code,class_cd,it_remarks) values</v>
      </c>
      <c r="G958" s="53" t="str">
        <f t="shared" si="43"/>
        <v>('22Oct240201','040000182945','13675',(select max(to_number(i.premium_rcv_detail_code))+1
from ins_premium_det i),'13675','13675','02', '11000003','00','Request by Mr. Omair Ali 22-Oct-2024 allocation 22Oct240201');</v>
      </c>
      <c r="H958" s="54" t="str">
        <f t="shared" si="44"/>
        <v>insert into ins_premium_det (premium_rcv_code,assorted_code, rec_amount,premium_rcv_detail_code,remaining_amt, payrec, mode_code,coinsurance_code,class_cd,it_remarks) values('22Oct240201','040000182945','13675',(select max(to_number(i.premium_rcv_detail_code))+1
from ins_premium_det i),'13675','13675','02', '11000003','00','Request by Mr. Omair Ali 22-Oct-2024 allocation 22Oct240201');</v>
      </c>
    </row>
    <row r="959" spans="1:8" ht="105" x14ac:dyDescent="0.25">
      <c r="A959" t="s">
        <v>1087</v>
      </c>
      <c r="B959" s="51" t="str">
        <f>VLOOKUP(A959,policy!B:C,2,0)</f>
        <v>040000182946</v>
      </c>
      <c r="C959" s="46">
        <v>8800</v>
      </c>
      <c r="D959" s="46">
        <v>8800</v>
      </c>
      <c r="E959" s="50" t="s">
        <v>3673</v>
      </c>
      <c r="F959" s="52" t="str">
        <f t="shared" si="42"/>
        <v>insert into ins_premium_det (premium_rcv_code,assorted_code, rec_amount,premium_rcv_detail_code,remaining_amt, payrec, mode_code,coinsurance_code,class_cd,it_remarks) values</v>
      </c>
      <c r="G959" s="53" t="str">
        <f t="shared" si="43"/>
        <v>('22Oct240201','040000182946','8800',(select max(to_number(i.premium_rcv_detail_code))+1
from ins_premium_det i),'8800','8800','02', '11000003','00','Request by Mr. Omair Ali 22-Oct-2024 allocation 22Oct240201');</v>
      </c>
      <c r="H959" s="54" t="str">
        <f t="shared" si="44"/>
        <v>insert into ins_premium_det (premium_rcv_code,assorted_code, rec_amount,premium_rcv_detail_code,remaining_amt, payrec, mode_code,coinsurance_code,class_cd,it_remarks) values('22Oct240201','040000182946','8800',(select max(to_number(i.premium_rcv_detail_code))+1
from ins_premium_det i),'8800','8800','02', '11000003','00','Request by Mr. Omair Ali 22-Oct-2024 allocation 22Oct240201');</v>
      </c>
    </row>
    <row r="960" spans="1:8" ht="105" x14ac:dyDescent="0.25">
      <c r="A960" t="s">
        <v>1088</v>
      </c>
      <c r="B960" s="51" t="str">
        <f>VLOOKUP(A960,policy!B:C,2,0)</f>
        <v>040000182947</v>
      </c>
      <c r="C960" s="46">
        <v>23248</v>
      </c>
      <c r="D960" s="46">
        <v>23248</v>
      </c>
      <c r="E960" s="50" t="s">
        <v>3673</v>
      </c>
      <c r="F960" s="52" t="str">
        <f t="shared" si="42"/>
        <v>insert into ins_premium_det (premium_rcv_code,assorted_code, rec_amount,premium_rcv_detail_code,remaining_amt, payrec, mode_code,coinsurance_code,class_cd,it_remarks) values</v>
      </c>
      <c r="G960" s="53" t="str">
        <f t="shared" si="43"/>
        <v>('22Oct240201','040000182947','23248',(select max(to_number(i.premium_rcv_detail_code))+1
from ins_premium_det i),'23248','23248','02', '11000003','00','Request by Mr. Omair Ali 22-Oct-2024 allocation 22Oct240201');</v>
      </c>
      <c r="H960" s="54" t="str">
        <f t="shared" si="44"/>
        <v>insert into ins_premium_det (premium_rcv_code,assorted_code, rec_amount,premium_rcv_detail_code,remaining_amt, payrec, mode_code,coinsurance_code,class_cd,it_remarks) values('22Oct240201','040000182947','23248',(select max(to_number(i.premium_rcv_detail_code))+1
from ins_premium_det i),'23248','23248','02', '11000003','00','Request by Mr. Omair Ali 22-Oct-2024 allocation 22Oct240201');</v>
      </c>
    </row>
    <row r="961" spans="1:8" ht="105" x14ac:dyDescent="0.25">
      <c r="A961" t="s">
        <v>1089</v>
      </c>
      <c r="B961" s="51" t="str">
        <f>VLOOKUP(A961,policy!B:C,2,0)</f>
        <v>040000182948</v>
      </c>
      <c r="C961" s="46">
        <v>23248</v>
      </c>
      <c r="D961" s="46">
        <v>23248</v>
      </c>
      <c r="E961" s="50" t="s">
        <v>3673</v>
      </c>
      <c r="F961" s="52" t="str">
        <f t="shared" si="42"/>
        <v>insert into ins_premium_det (premium_rcv_code,assorted_code, rec_amount,premium_rcv_detail_code,remaining_amt, payrec, mode_code,coinsurance_code,class_cd,it_remarks) values</v>
      </c>
      <c r="G961" s="53" t="str">
        <f t="shared" si="43"/>
        <v>('22Oct240201','040000182948','23248',(select max(to_number(i.premium_rcv_detail_code))+1
from ins_premium_det i),'23248','23248','02', '11000003','00','Request by Mr. Omair Ali 22-Oct-2024 allocation 22Oct240201');</v>
      </c>
      <c r="H961" s="54" t="str">
        <f t="shared" si="44"/>
        <v>insert into ins_premium_det (premium_rcv_code,assorted_code, rec_amount,premium_rcv_detail_code,remaining_amt, payrec, mode_code,coinsurance_code,class_cd,it_remarks) values('22Oct240201','040000182948','23248',(select max(to_number(i.premium_rcv_detail_code))+1
from ins_premium_det i),'23248','23248','02', '11000003','00','Request by Mr. Omair Ali 22-Oct-2024 allocation 22Oct240201');</v>
      </c>
    </row>
    <row r="962" spans="1:8" ht="105" x14ac:dyDescent="0.25">
      <c r="A962" t="s">
        <v>1090</v>
      </c>
      <c r="B962" s="51" t="str">
        <f>VLOOKUP(A962,policy!B:C,2,0)</f>
        <v>040000182950</v>
      </c>
      <c r="C962" s="46">
        <v>16235</v>
      </c>
      <c r="D962" s="46">
        <v>16235</v>
      </c>
      <c r="E962" s="50" t="s">
        <v>3673</v>
      </c>
      <c r="F962" s="52" t="str">
        <f t="shared" ref="F962:F1017" si="45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962" s="53" t="str">
        <f t="shared" si="43"/>
        <v>('22Oct240201','040000182950','16235',(select max(to_number(i.premium_rcv_detail_code))+1
from ins_premium_det i),'16235','16235','02', '11000003','00','Request by Mr. Omair Ali 22-Oct-2024 allocation 22Oct240201');</v>
      </c>
      <c r="H962" s="54" t="str">
        <f t="shared" si="44"/>
        <v>insert into ins_premium_det (premium_rcv_code,assorted_code, rec_amount,premium_rcv_detail_code,remaining_amt, payrec, mode_code,coinsurance_code,class_cd,it_remarks) values('22Oct240201','040000182950','16235',(select max(to_number(i.premium_rcv_detail_code))+1
from ins_premium_det i),'16235','16235','02', '11000003','00','Request by Mr. Omair Ali 22-Oct-2024 allocation 22Oct240201');</v>
      </c>
    </row>
    <row r="963" spans="1:8" ht="105" x14ac:dyDescent="0.25">
      <c r="A963" t="s">
        <v>1091</v>
      </c>
      <c r="B963" s="51" t="str">
        <f>VLOOKUP(A963,policy!B:C,2,0)</f>
        <v>040000182952</v>
      </c>
      <c r="C963" s="46">
        <v>14960</v>
      </c>
      <c r="D963" s="46">
        <v>14960</v>
      </c>
      <c r="E963" s="50" t="s">
        <v>3673</v>
      </c>
      <c r="F963" s="52" t="str">
        <f t="shared" si="45"/>
        <v>insert into ins_premium_det (premium_rcv_code,assorted_code, rec_amount,premium_rcv_detail_code,remaining_amt, payrec, mode_code,coinsurance_code,class_cd,it_remarks) values</v>
      </c>
      <c r="G963" s="53" t="str">
        <f t="shared" ref="G963:G1017" si="46">"('"&amp;E963&amp;"','"&amp;B963&amp;"','"&amp;D963&amp;"',(select max(to_number(i.premium_rcv_detail_code))+1
from ins_premium_det i),'"&amp;D963&amp;"','"&amp;D963&amp;"','02', '11000003','00','Request by Mr. Omair Ali 22-Oct-2024 allocation 22Oct240201');"</f>
        <v>('22Oct240201','040000182952','14960',(select max(to_number(i.premium_rcv_detail_code))+1
from ins_premium_det i),'14960','14960','02', '11000003','00','Request by Mr. Omair Ali 22-Oct-2024 allocation 22Oct240201');</v>
      </c>
      <c r="H963" s="54" t="str">
        <f t="shared" ref="H963:H1017" si="47">F963&amp;G963</f>
        <v>insert into ins_premium_det (premium_rcv_code,assorted_code, rec_amount,premium_rcv_detail_code,remaining_amt, payrec, mode_code,coinsurance_code,class_cd,it_remarks) values('22Oct240201','040000182952','14960',(select max(to_number(i.premium_rcv_detail_code))+1
from ins_premium_det i),'14960','14960','02', '11000003','00','Request by Mr. Omair Ali 22-Oct-2024 allocation 22Oct240201');</v>
      </c>
    </row>
    <row r="964" spans="1:8" ht="105" x14ac:dyDescent="0.25">
      <c r="A964" t="s">
        <v>1092</v>
      </c>
      <c r="B964" s="51" t="str">
        <f>VLOOKUP(A964,policy!B:C,2,0)</f>
        <v>040000182953</v>
      </c>
      <c r="C964" s="46">
        <v>14960</v>
      </c>
      <c r="D964" s="46">
        <v>14960</v>
      </c>
      <c r="E964" s="50" t="s">
        <v>3673</v>
      </c>
      <c r="F964" s="52" t="str">
        <f t="shared" si="45"/>
        <v>insert into ins_premium_det (premium_rcv_code,assorted_code, rec_amount,premium_rcv_detail_code,remaining_amt, payrec, mode_code,coinsurance_code,class_cd,it_remarks) values</v>
      </c>
      <c r="G964" s="53" t="str">
        <f t="shared" si="46"/>
        <v>('22Oct240201','040000182953','14960',(select max(to_number(i.premium_rcv_detail_code))+1
from ins_premium_det i),'14960','14960','02', '11000003','00','Request by Mr. Omair Ali 22-Oct-2024 allocation 22Oct240201');</v>
      </c>
      <c r="H964" s="54" t="str">
        <f t="shared" si="47"/>
        <v>insert into ins_premium_det (premium_rcv_code,assorted_code, rec_amount,premium_rcv_detail_code,remaining_amt, payrec, mode_code,coinsurance_code,class_cd,it_remarks) values('22Oct240201','040000182953','14960',(select max(to_number(i.premium_rcv_detail_code))+1
from ins_premium_det i),'14960','14960','02', '11000003','00','Request by Mr. Omair Ali 22-Oct-2024 allocation 22Oct240201');</v>
      </c>
    </row>
    <row r="965" spans="1:8" ht="105" x14ac:dyDescent="0.25">
      <c r="A965" t="s">
        <v>1093</v>
      </c>
      <c r="B965" s="51" t="str">
        <f>VLOOKUP(A965,policy!B:C,2,0)</f>
        <v>040000182954</v>
      </c>
      <c r="C965" s="46">
        <v>16235</v>
      </c>
      <c r="D965" s="46">
        <v>16235</v>
      </c>
      <c r="E965" s="50" t="s">
        <v>3673</v>
      </c>
      <c r="F965" s="52" t="str">
        <f t="shared" si="45"/>
        <v>insert into ins_premium_det (premium_rcv_code,assorted_code, rec_amount,premium_rcv_detail_code,remaining_amt, payrec, mode_code,coinsurance_code,class_cd,it_remarks) values</v>
      </c>
      <c r="G965" s="53" t="str">
        <f t="shared" si="46"/>
        <v>('22Oct240201','040000182954','16235',(select max(to_number(i.premium_rcv_detail_code))+1
from ins_premium_det i),'16235','16235','02', '11000003','00','Request by Mr. Omair Ali 22-Oct-2024 allocation 22Oct240201');</v>
      </c>
      <c r="H965" s="54" t="str">
        <f t="shared" si="47"/>
        <v>insert into ins_premium_det (premium_rcv_code,assorted_code, rec_amount,premium_rcv_detail_code,remaining_amt, payrec, mode_code,coinsurance_code,class_cd,it_remarks) values('22Oct240201','040000182954','16235',(select max(to_number(i.premium_rcv_detail_code))+1
from ins_premium_det i),'16235','16235','02', '11000003','00','Request by Mr. Omair Ali 22-Oct-2024 allocation 22Oct240201');</v>
      </c>
    </row>
    <row r="966" spans="1:8" ht="105" x14ac:dyDescent="0.25">
      <c r="A966" t="s">
        <v>1094</v>
      </c>
      <c r="B966" s="51" t="str">
        <f>VLOOKUP(A966,policy!B:C,2,0)</f>
        <v>040000182955</v>
      </c>
      <c r="C966" s="46">
        <v>16235</v>
      </c>
      <c r="D966" s="46">
        <v>16235</v>
      </c>
      <c r="E966" s="50" t="s">
        <v>3673</v>
      </c>
      <c r="F966" s="52" t="str">
        <f t="shared" si="45"/>
        <v>insert into ins_premium_det (premium_rcv_code,assorted_code, rec_amount,premium_rcv_detail_code,remaining_amt, payrec, mode_code,coinsurance_code,class_cd,it_remarks) values</v>
      </c>
      <c r="G966" s="53" t="str">
        <f t="shared" si="46"/>
        <v>('22Oct240201','040000182955','16235',(select max(to_number(i.premium_rcv_detail_code))+1
from ins_premium_det i),'16235','16235','02', '11000003','00','Request by Mr. Omair Ali 22-Oct-2024 allocation 22Oct240201');</v>
      </c>
      <c r="H966" s="54" t="str">
        <f t="shared" si="47"/>
        <v>insert into ins_premium_det (premium_rcv_code,assorted_code, rec_amount,premium_rcv_detail_code,remaining_amt, payrec, mode_code,coinsurance_code,class_cd,it_remarks) values('22Oct240201','040000182955','16235',(select max(to_number(i.premium_rcv_detail_code))+1
from ins_premium_det i),'16235','16235','02', '11000003','00','Request by Mr. Omair Ali 22-Oct-2024 allocation 22Oct240201');</v>
      </c>
    </row>
    <row r="967" spans="1:8" ht="105" x14ac:dyDescent="0.25">
      <c r="A967" t="s">
        <v>1095</v>
      </c>
      <c r="B967" s="51" t="str">
        <f>VLOOKUP(A967,policy!B:C,2,0)</f>
        <v>040000182956</v>
      </c>
      <c r="C967" s="46">
        <v>14960</v>
      </c>
      <c r="D967" s="46">
        <v>14960</v>
      </c>
      <c r="E967" s="50" t="s">
        <v>3673</v>
      </c>
      <c r="F967" s="52" t="str">
        <f t="shared" si="45"/>
        <v>insert into ins_premium_det (premium_rcv_code,assorted_code, rec_amount,premium_rcv_detail_code,remaining_amt, payrec, mode_code,coinsurance_code,class_cd,it_remarks) values</v>
      </c>
      <c r="G967" s="53" t="str">
        <f t="shared" si="46"/>
        <v>('22Oct240201','040000182956','14960',(select max(to_number(i.premium_rcv_detail_code))+1
from ins_premium_det i),'14960','14960','02', '11000003','00','Request by Mr. Omair Ali 22-Oct-2024 allocation 22Oct240201');</v>
      </c>
      <c r="H967" s="54" t="str">
        <f t="shared" si="47"/>
        <v>insert into ins_premium_det (premium_rcv_code,assorted_code, rec_amount,premium_rcv_detail_code,remaining_amt, payrec, mode_code,coinsurance_code,class_cd,it_remarks) values('22Oct240201','040000182956','14960',(select max(to_number(i.premium_rcv_detail_code))+1
from ins_premium_det i),'14960','14960','02', '11000003','00','Request by Mr. Omair Ali 22-Oct-2024 allocation 22Oct240201');</v>
      </c>
    </row>
    <row r="968" spans="1:8" ht="105" x14ac:dyDescent="0.25">
      <c r="A968" t="s">
        <v>1096</v>
      </c>
      <c r="B968" s="51" t="str">
        <f>VLOOKUP(A968,policy!B:C,2,0)</f>
        <v>040000182957</v>
      </c>
      <c r="C968" s="46">
        <v>14960</v>
      </c>
      <c r="D968" s="46">
        <v>14960</v>
      </c>
      <c r="E968" s="50" t="s">
        <v>3673</v>
      </c>
      <c r="F968" s="52" t="str">
        <f t="shared" si="45"/>
        <v>insert into ins_premium_det (premium_rcv_code,assorted_code, rec_amount,premium_rcv_detail_code,remaining_amt, payrec, mode_code,coinsurance_code,class_cd,it_remarks) values</v>
      </c>
      <c r="G968" s="53" t="str">
        <f t="shared" si="46"/>
        <v>('22Oct240201','040000182957','14960',(select max(to_number(i.premium_rcv_detail_code))+1
from ins_premium_det i),'14960','14960','02', '11000003','00','Request by Mr. Omair Ali 22-Oct-2024 allocation 22Oct240201');</v>
      </c>
      <c r="H968" s="54" t="str">
        <f t="shared" si="47"/>
        <v>insert into ins_premium_det (premium_rcv_code,assorted_code, rec_amount,premium_rcv_detail_code,remaining_amt, payrec, mode_code,coinsurance_code,class_cd,it_remarks) values('22Oct240201','040000182957','14960',(select max(to_number(i.premium_rcv_detail_code))+1
from ins_premium_det i),'14960','14960','02', '11000003','00','Request by Mr. Omair Ali 22-Oct-2024 allocation 22Oct240201');</v>
      </c>
    </row>
    <row r="969" spans="1:8" ht="105" x14ac:dyDescent="0.25">
      <c r="A969" t="s">
        <v>1097</v>
      </c>
      <c r="B969" s="51" t="str">
        <f>VLOOKUP(A969,policy!B:C,2,0)</f>
        <v>040000182958</v>
      </c>
      <c r="C969" s="46">
        <v>14960</v>
      </c>
      <c r="D969" s="46">
        <v>14960</v>
      </c>
      <c r="E969" s="50" t="s">
        <v>3673</v>
      </c>
      <c r="F969" s="52" t="str">
        <f t="shared" si="45"/>
        <v>insert into ins_premium_det (premium_rcv_code,assorted_code, rec_amount,premium_rcv_detail_code,remaining_amt, payrec, mode_code,coinsurance_code,class_cd,it_remarks) values</v>
      </c>
      <c r="G969" s="53" t="str">
        <f t="shared" si="46"/>
        <v>('22Oct240201','040000182958','14960',(select max(to_number(i.premium_rcv_detail_code))+1
from ins_premium_det i),'14960','14960','02', '11000003','00','Request by Mr. Omair Ali 22-Oct-2024 allocation 22Oct240201');</v>
      </c>
      <c r="H969" s="54" t="str">
        <f t="shared" si="47"/>
        <v>insert into ins_premium_det (premium_rcv_code,assorted_code, rec_amount,premium_rcv_detail_code,remaining_amt, payrec, mode_code,coinsurance_code,class_cd,it_remarks) values('22Oct240201','040000182958','14960',(select max(to_number(i.premium_rcv_detail_code))+1
from ins_premium_det i),'14960','14960','02', '11000003','00','Request by Mr. Omair Ali 22-Oct-2024 allocation 22Oct240201');</v>
      </c>
    </row>
    <row r="970" spans="1:8" ht="105" x14ac:dyDescent="0.25">
      <c r="A970" t="s">
        <v>1098</v>
      </c>
      <c r="B970" s="51" t="str">
        <f>VLOOKUP(A970,policy!B:C,2,0)</f>
        <v>040000182959</v>
      </c>
      <c r="C970" s="46">
        <v>14960</v>
      </c>
      <c r="D970" s="46">
        <v>14960</v>
      </c>
      <c r="E970" s="50" t="s">
        <v>3673</v>
      </c>
      <c r="F970" s="52" t="str">
        <f t="shared" si="45"/>
        <v>insert into ins_premium_det (premium_rcv_code,assorted_code, rec_amount,premium_rcv_detail_code,remaining_amt, payrec, mode_code,coinsurance_code,class_cd,it_remarks) values</v>
      </c>
      <c r="G970" s="53" t="str">
        <f t="shared" si="46"/>
        <v>('22Oct240201','040000182959','14960',(select max(to_number(i.premium_rcv_detail_code))+1
from ins_premium_det i),'14960','14960','02', '11000003','00','Request by Mr. Omair Ali 22-Oct-2024 allocation 22Oct240201');</v>
      </c>
      <c r="H970" s="54" t="str">
        <f t="shared" si="47"/>
        <v>insert into ins_premium_det (premium_rcv_code,assorted_code, rec_amount,premium_rcv_detail_code,remaining_amt, payrec, mode_code,coinsurance_code,class_cd,it_remarks) values('22Oct240201','040000182959','14960',(select max(to_number(i.premium_rcv_detail_code))+1
from ins_premium_det i),'14960','14960','02', '11000003','00','Request by Mr. Omair Ali 22-Oct-2024 allocation 22Oct240201');</v>
      </c>
    </row>
    <row r="971" spans="1:8" ht="105" x14ac:dyDescent="0.25">
      <c r="A971" t="s">
        <v>1099</v>
      </c>
      <c r="B971" s="51" t="str">
        <f>VLOOKUP(A971,policy!B:C,2,0)</f>
        <v>040000182971</v>
      </c>
      <c r="C971" s="46">
        <v>14960</v>
      </c>
      <c r="D971" s="46">
        <v>14960</v>
      </c>
      <c r="E971" s="50" t="s">
        <v>3673</v>
      </c>
      <c r="F971" s="52" t="str">
        <f t="shared" si="45"/>
        <v>insert into ins_premium_det (premium_rcv_code,assorted_code, rec_amount,premium_rcv_detail_code,remaining_amt, payrec, mode_code,coinsurance_code,class_cd,it_remarks) values</v>
      </c>
      <c r="G971" s="53" t="str">
        <f t="shared" si="46"/>
        <v>('22Oct240201','040000182971','14960',(select max(to_number(i.premium_rcv_detail_code))+1
from ins_premium_det i),'14960','14960','02', '11000003','00','Request by Mr. Omair Ali 22-Oct-2024 allocation 22Oct240201');</v>
      </c>
      <c r="H971" s="54" t="str">
        <f t="shared" si="47"/>
        <v>insert into ins_premium_det (premium_rcv_code,assorted_code, rec_amount,premium_rcv_detail_code,remaining_amt, payrec, mode_code,coinsurance_code,class_cd,it_remarks) values('22Oct240201','040000182971','14960',(select max(to_number(i.premium_rcv_detail_code))+1
from ins_premium_det i),'14960','14960','02', '11000003','00','Request by Mr. Omair Ali 22-Oct-2024 allocation 22Oct240201');</v>
      </c>
    </row>
    <row r="972" spans="1:8" ht="105" x14ac:dyDescent="0.25">
      <c r="A972" t="s">
        <v>1100</v>
      </c>
      <c r="B972" s="51" t="str">
        <f>VLOOKUP(A972,policy!B:C,2,0)</f>
        <v>040000182972</v>
      </c>
      <c r="C972" s="46">
        <v>14960</v>
      </c>
      <c r="D972" s="46">
        <v>14960</v>
      </c>
      <c r="E972" s="50" t="s">
        <v>3673</v>
      </c>
      <c r="F972" s="52" t="str">
        <f t="shared" si="45"/>
        <v>insert into ins_premium_det (premium_rcv_code,assorted_code, rec_amount,premium_rcv_detail_code,remaining_amt, payrec, mode_code,coinsurance_code,class_cd,it_remarks) values</v>
      </c>
      <c r="G972" s="53" t="str">
        <f t="shared" si="46"/>
        <v>('22Oct240201','040000182972','14960',(select max(to_number(i.premium_rcv_detail_code))+1
from ins_premium_det i),'14960','14960','02', '11000003','00','Request by Mr. Omair Ali 22-Oct-2024 allocation 22Oct240201');</v>
      </c>
      <c r="H972" s="54" t="str">
        <f t="shared" si="47"/>
        <v>insert into ins_premium_det (premium_rcv_code,assorted_code, rec_amount,premium_rcv_detail_code,remaining_amt, payrec, mode_code,coinsurance_code,class_cd,it_remarks) values('22Oct240201','040000182972','14960',(select max(to_number(i.premium_rcv_detail_code))+1
from ins_premium_det i),'14960','14960','02', '11000003','00','Request by Mr. Omair Ali 22-Oct-2024 allocation 22Oct240201');</v>
      </c>
    </row>
    <row r="973" spans="1:8" ht="105" x14ac:dyDescent="0.25">
      <c r="A973" t="s">
        <v>1101</v>
      </c>
      <c r="B973" s="51" t="str">
        <f>VLOOKUP(A973,policy!B:C,2,0)</f>
        <v>040000182981</v>
      </c>
      <c r="C973" s="46">
        <v>23248</v>
      </c>
      <c r="D973" s="46">
        <v>23248</v>
      </c>
      <c r="E973" s="50" t="s">
        <v>3673</v>
      </c>
      <c r="F973" s="52" t="str">
        <f t="shared" si="45"/>
        <v>insert into ins_premium_det (premium_rcv_code,assorted_code, rec_amount,premium_rcv_detail_code,remaining_amt, payrec, mode_code,coinsurance_code,class_cd,it_remarks) values</v>
      </c>
      <c r="G973" s="53" t="str">
        <f t="shared" si="46"/>
        <v>('22Oct240201','040000182981','23248',(select max(to_number(i.premium_rcv_detail_code))+1
from ins_premium_det i),'23248','23248','02', '11000003','00','Request by Mr. Omair Ali 22-Oct-2024 allocation 22Oct240201');</v>
      </c>
      <c r="H973" s="54" t="str">
        <f t="shared" si="47"/>
        <v>insert into ins_premium_det (premium_rcv_code,assorted_code, rec_amount,premium_rcv_detail_code,remaining_amt, payrec, mode_code,coinsurance_code,class_cd,it_remarks) values('22Oct240201','040000182981','23248',(select max(to_number(i.premium_rcv_detail_code))+1
from ins_premium_det i),'23248','23248','02', '11000003','00','Request by Mr. Omair Ali 22-Oct-2024 allocation 22Oct240201');</v>
      </c>
    </row>
    <row r="974" spans="1:8" ht="105" x14ac:dyDescent="0.25">
      <c r="A974" t="s">
        <v>1102</v>
      </c>
      <c r="B974" s="51" t="str">
        <f>VLOOKUP(A974,policy!B:C,2,0)</f>
        <v>040000182982</v>
      </c>
      <c r="C974" s="46">
        <v>23248</v>
      </c>
      <c r="D974" s="46">
        <v>23248</v>
      </c>
      <c r="E974" s="50" t="s">
        <v>3673</v>
      </c>
      <c r="F974" s="52" t="str">
        <f t="shared" si="45"/>
        <v>insert into ins_premium_det (premium_rcv_code,assorted_code, rec_amount,premium_rcv_detail_code,remaining_amt, payrec, mode_code,coinsurance_code,class_cd,it_remarks) values</v>
      </c>
      <c r="G974" s="53" t="str">
        <f t="shared" si="46"/>
        <v>('22Oct240201','040000182982','23248',(select max(to_number(i.premium_rcv_detail_code))+1
from ins_premium_det i),'23248','23248','02', '11000003','00','Request by Mr. Omair Ali 22-Oct-2024 allocation 22Oct240201');</v>
      </c>
      <c r="H974" s="54" t="str">
        <f t="shared" si="47"/>
        <v>insert into ins_premium_det (premium_rcv_code,assorted_code, rec_amount,premium_rcv_detail_code,remaining_amt, payrec, mode_code,coinsurance_code,class_cd,it_remarks) values('22Oct240201','040000182982','23248',(select max(to_number(i.premium_rcv_detail_code))+1
from ins_premium_det i),'23248','23248','02', '11000003','00','Request by Mr. Omair Ali 22-Oct-2024 allocation 22Oct240201');</v>
      </c>
    </row>
    <row r="975" spans="1:8" ht="105" x14ac:dyDescent="0.25">
      <c r="A975" t="s">
        <v>1103</v>
      </c>
      <c r="B975" s="51" t="str">
        <f>VLOOKUP(A975,policy!B:C,2,0)</f>
        <v>040000182983</v>
      </c>
      <c r="C975" s="46">
        <v>23248</v>
      </c>
      <c r="D975" s="46">
        <v>23248</v>
      </c>
      <c r="E975" s="50" t="s">
        <v>3673</v>
      </c>
      <c r="F975" s="52" t="str">
        <f t="shared" si="45"/>
        <v>insert into ins_premium_det (premium_rcv_code,assorted_code, rec_amount,premium_rcv_detail_code,remaining_amt, payrec, mode_code,coinsurance_code,class_cd,it_remarks) values</v>
      </c>
      <c r="G975" s="53" t="str">
        <f t="shared" si="46"/>
        <v>('22Oct240201','040000182983','23248',(select max(to_number(i.premium_rcv_detail_code))+1
from ins_premium_det i),'23248','23248','02', '11000003','00','Request by Mr. Omair Ali 22-Oct-2024 allocation 22Oct240201');</v>
      </c>
      <c r="H975" s="54" t="str">
        <f t="shared" si="47"/>
        <v>insert into ins_premium_det (premium_rcv_code,assorted_code, rec_amount,premium_rcv_detail_code,remaining_amt, payrec, mode_code,coinsurance_code,class_cd,it_remarks) values('22Oct240201','040000182983','23248',(select max(to_number(i.premium_rcv_detail_code))+1
from ins_premium_det i),'23248','23248','02', '11000003','00','Request by Mr. Omair Ali 22-Oct-2024 allocation 22Oct240201');</v>
      </c>
    </row>
    <row r="976" spans="1:8" ht="105" x14ac:dyDescent="0.25">
      <c r="A976" t="s">
        <v>1104</v>
      </c>
      <c r="B976" s="51" t="str">
        <f>VLOOKUP(A976,policy!B:C,2,0)</f>
        <v>040000182984</v>
      </c>
      <c r="C976" s="46">
        <v>14960</v>
      </c>
      <c r="D976" s="46">
        <v>14960</v>
      </c>
      <c r="E976" s="50" t="s">
        <v>3673</v>
      </c>
      <c r="F976" s="52" t="str">
        <f t="shared" si="45"/>
        <v>insert into ins_premium_det (premium_rcv_code,assorted_code, rec_amount,premium_rcv_detail_code,remaining_amt, payrec, mode_code,coinsurance_code,class_cd,it_remarks) values</v>
      </c>
      <c r="G976" s="53" t="str">
        <f t="shared" si="46"/>
        <v>('22Oct240201','040000182984','14960',(select max(to_number(i.premium_rcv_detail_code))+1
from ins_premium_det i),'14960','14960','02', '11000003','00','Request by Mr. Omair Ali 22-Oct-2024 allocation 22Oct240201');</v>
      </c>
      <c r="H976" s="54" t="str">
        <f t="shared" si="47"/>
        <v>insert into ins_premium_det (premium_rcv_code,assorted_code, rec_amount,premium_rcv_detail_code,remaining_amt, payrec, mode_code,coinsurance_code,class_cd,it_remarks) values('22Oct240201','040000182984','14960',(select max(to_number(i.premium_rcv_detail_code))+1
from ins_premium_det i),'14960','14960','02', '11000003','00','Request by Mr. Omair Ali 22-Oct-2024 allocation 22Oct240201');</v>
      </c>
    </row>
    <row r="977" spans="1:8" ht="105" x14ac:dyDescent="0.25">
      <c r="A977" t="s">
        <v>1105</v>
      </c>
      <c r="B977" s="51" t="str">
        <f>VLOOKUP(A977,policy!B:C,2,0)</f>
        <v>040000182987</v>
      </c>
      <c r="C977" s="46">
        <v>14960</v>
      </c>
      <c r="D977" s="46">
        <v>14960</v>
      </c>
      <c r="E977" s="50" t="s">
        <v>3673</v>
      </c>
      <c r="F977" s="52" t="str">
        <f t="shared" si="45"/>
        <v>insert into ins_premium_det (premium_rcv_code,assorted_code, rec_amount,premium_rcv_detail_code,remaining_amt, payrec, mode_code,coinsurance_code,class_cd,it_remarks) values</v>
      </c>
      <c r="G977" s="53" t="str">
        <f t="shared" si="46"/>
        <v>('22Oct240201','040000182987','14960',(select max(to_number(i.premium_rcv_detail_code))+1
from ins_premium_det i),'14960','14960','02', '11000003','00','Request by Mr. Omair Ali 22-Oct-2024 allocation 22Oct240201');</v>
      </c>
      <c r="H977" s="54" t="str">
        <f t="shared" si="47"/>
        <v>insert into ins_premium_det (premium_rcv_code,assorted_code, rec_amount,premium_rcv_detail_code,remaining_amt, payrec, mode_code,coinsurance_code,class_cd,it_remarks) values('22Oct240201','040000182987','14960',(select max(to_number(i.premium_rcv_detail_code))+1
from ins_premium_det i),'14960','14960','02', '11000003','00','Request by Mr. Omair Ali 22-Oct-2024 allocation 22Oct240201');</v>
      </c>
    </row>
    <row r="978" spans="1:8" ht="105" x14ac:dyDescent="0.25">
      <c r="A978" t="s">
        <v>1106</v>
      </c>
      <c r="B978" s="51" t="str">
        <f>VLOOKUP(A978,policy!B:C,2,0)</f>
        <v>040000182989</v>
      </c>
      <c r="C978" s="46">
        <v>14960</v>
      </c>
      <c r="D978" s="46">
        <v>14960</v>
      </c>
      <c r="E978" s="50" t="s">
        <v>3673</v>
      </c>
      <c r="F978" s="52" t="str">
        <f t="shared" si="45"/>
        <v>insert into ins_premium_det (premium_rcv_code,assorted_code, rec_amount,premium_rcv_detail_code,remaining_amt, payrec, mode_code,coinsurance_code,class_cd,it_remarks) values</v>
      </c>
      <c r="G978" s="53" t="str">
        <f t="shared" si="46"/>
        <v>('22Oct240201','040000182989','14960',(select max(to_number(i.premium_rcv_detail_code))+1
from ins_premium_det i),'14960','14960','02', '11000003','00','Request by Mr. Omair Ali 22-Oct-2024 allocation 22Oct240201');</v>
      </c>
      <c r="H978" s="54" t="str">
        <f t="shared" si="47"/>
        <v>insert into ins_premium_det (premium_rcv_code,assorted_code, rec_amount,premium_rcv_detail_code,remaining_amt, payrec, mode_code,coinsurance_code,class_cd,it_remarks) values('22Oct240201','040000182989','14960',(select max(to_number(i.premium_rcv_detail_code))+1
from ins_premium_det i),'14960','14960','02', '11000003','00','Request by Mr. Omair Ali 22-Oct-2024 allocation 22Oct240201');</v>
      </c>
    </row>
    <row r="979" spans="1:8" ht="105" x14ac:dyDescent="0.25">
      <c r="A979" t="s">
        <v>1107</v>
      </c>
      <c r="B979" s="51" t="str">
        <f>VLOOKUP(A979,policy!B:C,2,0)</f>
        <v>040000182992</v>
      </c>
      <c r="C979" s="46">
        <v>16235</v>
      </c>
      <c r="D979" s="46">
        <v>16235</v>
      </c>
      <c r="E979" s="50" t="s">
        <v>3673</v>
      </c>
      <c r="F979" s="52" t="str">
        <f t="shared" si="45"/>
        <v>insert into ins_premium_det (premium_rcv_code,assorted_code, rec_amount,premium_rcv_detail_code,remaining_amt, payrec, mode_code,coinsurance_code,class_cd,it_remarks) values</v>
      </c>
      <c r="G979" s="53" t="str">
        <f t="shared" si="46"/>
        <v>('22Oct240201','040000182992','16235',(select max(to_number(i.premium_rcv_detail_code))+1
from ins_premium_det i),'16235','16235','02', '11000003','00','Request by Mr. Omair Ali 22-Oct-2024 allocation 22Oct240201');</v>
      </c>
      <c r="H979" s="54" t="str">
        <f t="shared" si="47"/>
        <v>insert into ins_premium_det (premium_rcv_code,assorted_code, rec_amount,premium_rcv_detail_code,remaining_amt, payrec, mode_code,coinsurance_code,class_cd,it_remarks) values('22Oct240201','040000182992','16235',(select max(to_number(i.premium_rcv_detail_code))+1
from ins_premium_det i),'16235','16235','02', '11000003','00','Request by Mr. Omair Ali 22-Oct-2024 allocation 22Oct240201');</v>
      </c>
    </row>
    <row r="980" spans="1:8" ht="105" x14ac:dyDescent="0.25">
      <c r="A980" t="s">
        <v>1108</v>
      </c>
      <c r="B980" s="51" t="str">
        <f>VLOOKUP(A980,policy!B:C,2,0)</f>
        <v>040000182993</v>
      </c>
      <c r="C980" s="46">
        <v>16235</v>
      </c>
      <c r="D980" s="46">
        <v>16235</v>
      </c>
      <c r="E980" s="50" t="s">
        <v>3673</v>
      </c>
      <c r="F980" s="52" t="str">
        <f t="shared" si="45"/>
        <v>insert into ins_premium_det (premium_rcv_code,assorted_code, rec_amount,premium_rcv_detail_code,remaining_amt, payrec, mode_code,coinsurance_code,class_cd,it_remarks) values</v>
      </c>
      <c r="G980" s="53" t="str">
        <f t="shared" si="46"/>
        <v>('22Oct240201','040000182993','16235',(select max(to_number(i.premium_rcv_detail_code))+1
from ins_premium_det i),'16235','16235','02', '11000003','00','Request by Mr. Omair Ali 22-Oct-2024 allocation 22Oct240201');</v>
      </c>
      <c r="H980" s="54" t="str">
        <f t="shared" si="47"/>
        <v>insert into ins_premium_det (premium_rcv_code,assorted_code, rec_amount,premium_rcv_detail_code,remaining_amt, payrec, mode_code,coinsurance_code,class_cd,it_remarks) values('22Oct240201','040000182993','16235',(select max(to_number(i.premium_rcv_detail_code))+1
from ins_premium_det i),'16235','16235','02', '11000003','00','Request by Mr. Omair Ali 22-Oct-2024 allocation 22Oct240201');</v>
      </c>
    </row>
    <row r="981" spans="1:8" ht="105" x14ac:dyDescent="0.25">
      <c r="A981" t="s">
        <v>1109</v>
      </c>
      <c r="B981" s="51" t="str">
        <f>VLOOKUP(A981,policy!B:C,2,0)</f>
        <v>040000182996</v>
      </c>
      <c r="C981" s="46">
        <v>8800</v>
      </c>
      <c r="D981" s="46">
        <v>8800</v>
      </c>
      <c r="E981" s="50" t="s">
        <v>3673</v>
      </c>
      <c r="F981" s="52" t="str">
        <f t="shared" si="45"/>
        <v>insert into ins_premium_det (premium_rcv_code,assorted_code, rec_amount,premium_rcv_detail_code,remaining_amt, payrec, mode_code,coinsurance_code,class_cd,it_remarks) values</v>
      </c>
      <c r="G981" s="53" t="str">
        <f t="shared" si="46"/>
        <v>('22Oct240201','040000182996','8800',(select max(to_number(i.premium_rcv_detail_code))+1
from ins_premium_det i),'8800','8800','02', '11000003','00','Request by Mr. Omair Ali 22-Oct-2024 allocation 22Oct240201');</v>
      </c>
      <c r="H981" s="54" t="str">
        <f t="shared" si="47"/>
        <v>insert into ins_premium_det (premium_rcv_code,assorted_code, rec_amount,premium_rcv_detail_code,remaining_amt, payrec, mode_code,coinsurance_code,class_cd,it_remarks) values('22Oct240201','040000182996','8800',(select max(to_number(i.premium_rcv_detail_code))+1
from ins_premium_det i),'8800','8800','02', '11000003','00','Request by Mr. Omair Ali 22-Oct-2024 allocation 22Oct240201');</v>
      </c>
    </row>
    <row r="982" spans="1:8" ht="105" x14ac:dyDescent="0.25">
      <c r="A982" t="s">
        <v>1110</v>
      </c>
      <c r="B982" s="51" t="str">
        <f>VLOOKUP(A982,policy!B:C,2,0)</f>
        <v>040000182998</v>
      </c>
      <c r="C982" s="46">
        <v>8800</v>
      </c>
      <c r="D982" s="46">
        <v>8800</v>
      </c>
      <c r="E982" s="50" t="s">
        <v>3673</v>
      </c>
      <c r="F982" s="52" t="str">
        <f t="shared" si="45"/>
        <v>insert into ins_premium_det (premium_rcv_code,assorted_code, rec_amount,premium_rcv_detail_code,remaining_amt, payrec, mode_code,coinsurance_code,class_cd,it_remarks) values</v>
      </c>
      <c r="G982" s="53" t="str">
        <f t="shared" si="46"/>
        <v>('22Oct240201','040000182998','8800',(select max(to_number(i.premium_rcv_detail_code))+1
from ins_premium_det i),'8800','8800','02', '11000003','00','Request by Mr. Omair Ali 22-Oct-2024 allocation 22Oct240201');</v>
      </c>
      <c r="H982" s="54" t="str">
        <f t="shared" si="47"/>
        <v>insert into ins_premium_det (premium_rcv_code,assorted_code, rec_amount,premium_rcv_detail_code,remaining_amt, payrec, mode_code,coinsurance_code,class_cd,it_remarks) values('22Oct240201','040000182998','8800',(select max(to_number(i.premium_rcv_detail_code))+1
from ins_premium_det i),'8800','8800','02', '11000003','00','Request by Mr. Omair Ali 22-Oct-2024 allocation 22Oct240201');</v>
      </c>
    </row>
    <row r="983" spans="1:8" ht="105" x14ac:dyDescent="0.25">
      <c r="A983" t="s">
        <v>1111</v>
      </c>
      <c r="B983" s="51" t="str">
        <f>VLOOKUP(A983,policy!B:C,2,0)</f>
        <v>040000183000</v>
      </c>
      <c r="C983" s="46">
        <v>12475</v>
      </c>
      <c r="D983" s="46">
        <v>12475</v>
      </c>
      <c r="E983" s="50" t="s">
        <v>3673</v>
      </c>
      <c r="F983" s="52" t="str">
        <f t="shared" si="45"/>
        <v>insert into ins_premium_det (premium_rcv_code,assorted_code, rec_amount,premium_rcv_detail_code,remaining_amt, payrec, mode_code,coinsurance_code,class_cd,it_remarks) values</v>
      </c>
      <c r="G983" s="53" t="str">
        <f t="shared" si="46"/>
        <v>('22Oct240201','040000183000','12475',(select max(to_number(i.premium_rcv_detail_code))+1
from ins_premium_det i),'12475','12475','02', '11000003','00','Request by Mr. Omair Ali 22-Oct-2024 allocation 22Oct240201');</v>
      </c>
      <c r="H983" s="54" t="str">
        <f t="shared" si="47"/>
        <v>insert into ins_premium_det (premium_rcv_code,assorted_code, rec_amount,premium_rcv_detail_code,remaining_amt, payrec, mode_code,coinsurance_code,class_cd,it_remarks) values('22Oct240201','040000183000','12475',(select max(to_number(i.premium_rcv_detail_code))+1
from ins_premium_det i),'12475','12475','02', '11000003','00','Request by Mr. Omair Ali 22-Oct-2024 allocation 22Oct240201');</v>
      </c>
    </row>
    <row r="984" spans="1:8" ht="105" x14ac:dyDescent="0.25">
      <c r="A984" t="s">
        <v>1112</v>
      </c>
      <c r="B984" s="51" t="str">
        <f>VLOOKUP(A984,policy!B:C,2,0)</f>
        <v>040000183011</v>
      </c>
      <c r="C984" s="46">
        <v>14960</v>
      </c>
      <c r="D984" s="46">
        <v>14960</v>
      </c>
      <c r="E984" s="50" t="s">
        <v>3673</v>
      </c>
      <c r="F984" s="52" t="str">
        <f t="shared" si="45"/>
        <v>insert into ins_premium_det (premium_rcv_code,assorted_code, rec_amount,premium_rcv_detail_code,remaining_amt, payrec, mode_code,coinsurance_code,class_cd,it_remarks) values</v>
      </c>
      <c r="G984" s="53" t="str">
        <f t="shared" si="46"/>
        <v>('22Oct240201','040000183011','14960',(select max(to_number(i.premium_rcv_detail_code))+1
from ins_premium_det i),'14960','14960','02', '11000003','00','Request by Mr. Omair Ali 22-Oct-2024 allocation 22Oct240201');</v>
      </c>
      <c r="H984" s="54" t="str">
        <f t="shared" si="47"/>
        <v>insert into ins_premium_det (premium_rcv_code,assorted_code, rec_amount,premium_rcv_detail_code,remaining_amt, payrec, mode_code,coinsurance_code,class_cd,it_remarks) values('22Oct240201','040000183011','14960',(select max(to_number(i.premium_rcv_detail_code))+1
from ins_premium_det i),'14960','14960','02', '11000003','00','Request by Mr. Omair Ali 22-Oct-2024 allocation 22Oct240201');</v>
      </c>
    </row>
    <row r="985" spans="1:8" ht="105" x14ac:dyDescent="0.25">
      <c r="A985" t="s">
        <v>1113</v>
      </c>
      <c r="B985" s="51" t="str">
        <f>VLOOKUP(A985,policy!B:C,2,0)</f>
        <v>040000183012</v>
      </c>
      <c r="C985" s="46">
        <v>14960</v>
      </c>
      <c r="D985" s="46">
        <v>14960</v>
      </c>
      <c r="E985" s="50" t="s">
        <v>3673</v>
      </c>
      <c r="F985" s="52" t="str">
        <f t="shared" si="45"/>
        <v>insert into ins_premium_det (premium_rcv_code,assorted_code, rec_amount,premium_rcv_detail_code,remaining_amt, payrec, mode_code,coinsurance_code,class_cd,it_remarks) values</v>
      </c>
      <c r="G985" s="53" t="str">
        <f t="shared" si="46"/>
        <v>('22Oct240201','040000183012','14960',(select max(to_number(i.premium_rcv_detail_code))+1
from ins_premium_det i),'14960','14960','02', '11000003','00','Request by Mr. Omair Ali 22-Oct-2024 allocation 22Oct240201');</v>
      </c>
      <c r="H985" s="54" t="str">
        <f t="shared" si="47"/>
        <v>insert into ins_premium_det (premium_rcv_code,assorted_code, rec_amount,premium_rcv_detail_code,remaining_amt, payrec, mode_code,coinsurance_code,class_cd,it_remarks) values('22Oct240201','040000183012','14960',(select max(to_number(i.premium_rcv_detail_code))+1
from ins_premium_det i),'14960','14960','02', '11000003','00','Request by Mr. Omair Ali 22-Oct-2024 allocation 22Oct240201');</v>
      </c>
    </row>
    <row r="986" spans="1:8" ht="105" x14ac:dyDescent="0.25">
      <c r="A986" t="s">
        <v>1114</v>
      </c>
      <c r="B986" s="51" t="str">
        <f>VLOOKUP(A986,policy!B:C,2,0)</f>
        <v>040000183018</v>
      </c>
      <c r="C986" s="46">
        <v>14960</v>
      </c>
      <c r="D986" s="46">
        <v>14960</v>
      </c>
      <c r="E986" s="50" t="s">
        <v>3673</v>
      </c>
      <c r="F986" s="52" t="str">
        <f t="shared" si="45"/>
        <v>insert into ins_premium_det (premium_rcv_code,assorted_code, rec_amount,premium_rcv_detail_code,remaining_amt, payrec, mode_code,coinsurance_code,class_cd,it_remarks) values</v>
      </c>
      <c r="G986" s="53" t="str">
        <f t="shared" si="46"/>
        <v>('22Oct240201','040000183018','14960',(select max(to_number(i.premium_rcv_detail_code))+1
from ins_premium_det i),'14960','14960','02', '11000003','00','Request by Mr. Omair Ali 22-Oct-2024 allocation 22Oct240201');</v>
      </c>
      <c r="H986" s="54" t="str">
        <f t="shared" si="47"/>
        <v>insert into ins_premium_det (premium_rcv_code,assorted_code, rec_amount,premium_rcv_detail_code,remaining_amt, payrec, mode_code,coinsurance_code,class_cd,it_remarks) values('22Oct240201','040000183018','14960',(select max(to_number(i.premium_rcv_detail_code))+1
from ins_premium_det i),'14960','14960','02', '11000003','00','Request by Mr. Omair Ali 22-Oct-2024 allocation 22Oct240201');</v>
      </c>
    </row>
    <row r="987" spans="1:8" ht="105" x14ac:dyDescent="0.25">
      <c r="A987" t="s">
        <v>1115</v>
      </c>
      <c r="B987" s="51" t="str">
        <f>VLOOKUP(A987,policy!B:C,2,0)</f>
        <v>040000183019</v>
      </c>
      <c r="C987" s="46">
        <v>14960</v>
      </c>
      <c r="D987" s="46">
        <v>14960</v>
      </c>
      <c r="E987" s="50" t="s">
        <v>3673</v>
      </c>
      <c r="F987" s="52" t="str">
        <f t="shared" si="45"/>
        <v>insert into ins_premium_det (premium_rcv_code,assorted_code, rec_amount,premium_rcv_detail_code,remaining_amt, payrec, mode_code,coinsurance_code,class_cd,it_remarks) values</v>
      </c>
      <c r="G987" s="53" t="str">
        <f t="shared" si="46"/>
        <v>('22Oct240201','040000183019','14960',(select max(to_number(i.premium_rcv_detail_code))+1
from ins_premium_det i),'14960','14960','02', '11000003','00','Request by Mr. Omair Ali 22-Oct-2024 allocation 22Oct240201');</v>
      </c>
      <c r="H987" s="54" t="str">
        <f t="shared" si="47"/>
        <v>insert into ins_premium_det (premium_rcv_code,assorted_code, rec_amount,premium_rcv_detail_code,remaining_amt, payrec, mode_code,coinsurance_code,class_cd,it_remarks) values('22Oct240201','040000183019','14960',(select max(to_number(i.premium_rcv_detail_code))+1
from ins_premium_det i),'14960','14960','02', '11000003','00','Request by Mr. Omair Ali 22-Oct-2024 allocation 22Oct240201');</v>
      </c>
    </row>
    <row r="988" spans="1:8" ht="105" x14ac:dyDescent="0.25">
      <c r="A988" t="s">
        <v>1116</v>
      </c>
      <c r="B988" s="51" t="str">
        <f>VLOOKUP(A988,policy!B:C,2,0)</f>
        <v>040000183024</v>
      </c>
      <c r="C988" s="46">
        <v>14960</v>
      </c>
      <c r="D988" s="46">
        <v>14960</v>
      </c>
      <c r="E988" s="50" t="s">
        <v>3673</v>
      </c>
      <c r="F988" s="52" t="str">
        <f t="shared" si="45"/>
        <v>insert into ins_premium_det (premium_rcv_code,assorted_code, rec_amount,premium_rcv_detail_code,remaining_amt, payrec, mode_code,coinsurance_code,class_cd,it_remarks) values</v>
      </c>
      <c r="G988" s="53" t="str">
        <f t="shared" si="46"/>
        <v>('22Oct240201','040000183024','14960',(select max(to_number(i.premium_rcv_detail_code))+1
from ins_premium_det i),'14960','14960','02', '11000003','00','Request by Mr. Omair Ali 22-Oct-2024 allocation 22Oct240201');</v>
      </c>
      <c r="H988" s="54" t="str">
        <f t="shared" si="47"/>
        <v>insert into ins_premium_det (premium_rcv_code,assorted_code, rec_amount,premium_rcv_detail_code,remaining_amt, payrec, mode_code,coinsurance_code,class_cd,it_remarks) values('22Oct240201','040000183024','14960',(select max(to_number(i.premium_rcv_detail_code))+1
from ins_premium_det i),'14960','14960','02', '11000003','00','Request by Mr. Omair Ali 22-Oct-2024 allocation 22Oct240201');</v>
      </c>
    </row>
    <row r="989" spans="1:8" ht="105" x14ac:dyDescent="0.25">
      <c r="A989" t="s">
        <v>1117</v>
      </c>
      <c r="B989" s="51" t="str">
        <f>VLOOKUP(A989,policy!B:C,2,0)</f>
        <v>040000183025</v>
      </c>
      <c r="C989" s="46">
        <v>14960</v>
      </c>
      <c r="D989" s="46">
        <v>14960</v>
      </c>
      <c r="E989" s="50" t="s">
        <v>3673</v>
      </c>
      <c r="F989" s="52" t="str">
        <f t="shared" si="45"/>
        <v>insert into ins_premium_det (premium_rcv_code,assorted_code, rec_amount,premium_rcv_detail_code,remaining_amt, payrec, mode_code,coinsurance_code,class_cd,it_remarks) values</v>
      </c>
      <c r="G989" s="53" t="str">
        <f t="shared" si="46"/>
        <v>('22Oct240201','040000183025','14960',(select max(to_number(i.premium_rcv_detail_code))+1
from ins_premium_det i),'14960','14960','02', '11000003','00','Request by Mr. Omair Ali 22-Oct-2024 allocation 22Oct240201');</v>
      </c>
      <c r="H989" s="54" t="str">
        <f t="shared" si="47"/>
        <v>insert into ins_premium_det (premium_rcv_code,assorted_code, rec_amount,premium_rcv_detail_code,remaining_amt, payrec, mode_code,coinsurance_code,class_cd,it_remarks) values('22Oct240201','040000183025','14960',(select max(to_number(i.premium_rcv_detail_code))+1
from ins_premium_det i),'14960','14960','02', '11000003','00','Request by Mr. Omair Ali 22-Oct-2024 allocation 22Oct240201');</v>
      </c>
    </row>
    <row r="990" spans="1:8" ht="105" x14ac:dyDescent="0.25">
      <c r="A990" t="s">
        <v>1118</v>
      </c>
      <c r="B990" s="51" t="str">
        <f>VLOOKUP(A990,policy!B:C,2,0)</f>
        <v>040000183027</v>
      </c>
      <c r="C990" s="46">
        <v>16235</v>
      </c>
      <c r="D990" s="46">
        <v>16235</v>
      </c>
      <c r="E990" s="50" t="s">
        <v>3673</v>
      </c>
      <c r="F990" s="52" t="str">
        <f t="shared" si="45"/>
        <v>insert into ins_premium_det (premium_rcv_code,assorted_code, rec_amount,premium_rcv_detail_code,remaining_amt, payrec, mode_code,coinsurance_code,class_cd,it_remarks) values</v>
      </c>
      <c r="G990" s="53" t="str">
        <f t="shared" si="46"/>
        <v>('22Oct240201','040000183027','16235',(select max(to_number(i.premium_rcv_detail_code))+1
from ins_premium_det i),'16235','16235','02', '11000003','00','Request by Mr. Omair Ali 22-Oct-2024 allocation 22Oct240201');</v>
      </c>
      <c r="H990" s="54" t="str">
        <f t="shared" si="47"/>
        <v>insert into ins_premium_det (premium_rcv_code,assorted_code, rec_amount,premium_rcv_detail_code,remaining_amt, payrec, mode_code,coinsurance_code,class_cd,it_remarks) values('22Oct240201','040000183027','16235',(select max(to_number(i.premium_rcv_detail_code))+1
from ins_premium_det i),'16235','16235','02', '11000003','00','Request by Mr. Omair Ali 22-Oct-2024 allocation 22Oct240201');</v>
      </c>
    </row>
    <row r="991" spans="1:8" ht="105" x14ac:dyDescent="0.25">
      <c r="A991" t="s">
        <v>1119</v>
      </c>
      <c r="B991" s="51" t="str">
        <f>VLOOKUP(A991,policy!B:C,2,0)</f>
        <v>040000183028</v>
      </c>
      <c r="C991" s="46">
        <v>16235</v>
      </c>
      <c r="D991" s="46">
        <v>16235</v>
      </c>
      <c r="E991" s="50" t="s">
        <v>3673</v>
      </c>
      <c r="F991" s="52" t="str">
        <f t="shared" si="45"/>
        <v>insert into ins_premium_det (premium_rcv_code,assorted_code, rec_amount,premium_rcv_detail_code,remaining_amt, payrec, mode_code,coinsurance_code,class_cd,it_remarks) values</v>
      </c>
      <c r="G991" s="53" t="str">
        <f t="shared" si="46"/>
        <v>('22Oct240201','040000183028','16235',(select max(to_number(i.premium_rcv_detail_code))+1
from ins_premium_det i),'16235','16235','02', '11000003','00','Request by Mr. Omair Ali 22-Oct-2024 allocation 22Oct240201');</v>
      </c>
      <c r="H991" s="54" t="str">
        <f t="shared" si="47"/>
        <v>insert into ins_premium_det (premium_rcv_code,assorted_code, rec_amount,premium_rcv_detail_code,remaining_amt, payrec, mode_code,coinsurance_code,class_cd,it_remarks) values('22Oct240201','040000183028','16235',(select max(to_number(i.premium_rcv_detail_code))+1
from ins_premium_det i),'16235','16235','02', '11000003','00','Request by Mr. Omair Ali 22-Oct-2024 allocation 22Oct240201');</v>
      </c>
    </row>
    <row r="992" spans="1:8" ht="105" x14ac:dyDescent="0.25">
      <c r="A992" t="s">
        <v>1120</v>
      </c>
      <c r="B992" s="51" t="str">
        <f>VLOOKUP(A992,policy!B:C,2,0)</f>
        <v>040000183029</v>
      </c>
      <c r="C992" s="46">
        <v>13675</v>
      </c>
      <c r="D992" s="46">
        <v>13675</v>
      </c>
      <c r="E992" s="50" t="s">
        <v>3673</v>
      </c>
      <c r="F992" s="52" t="str">
        <f t="shared" si="45"/>
        <v>insert into ins_premium_det (premium_rcv_code,assorted_code, rec_amount,premium_rcv_detail_code,remaining_amt, payrec, mode_code,coinsurance_code,class_cd,it_remarks) values</v>
      </c>
      <c r="G992" s="53" t="str">
        <f t="shared" si="46"/>
        <v>('22Oct240201','040000183029','13675',(select max(to_number(i.premium_rcv_detail_code))+1
from ins_premium_det i),'13675','13675','02', '11000003','00','Request by Mr. Omair Ali 22-Oct-2024 allocation 22Oct240201');</v>
      </c>
      <c r="H992" s="54" t="str">
        <f t="shared" si="47"/>
        <v>insert into ins_premium_det (premium_rcv_code,assorted_code, rec_amount,premium_rcv_detail_code,remaining_amt, payrec, mode_code,coinsurance_code,class_cd,it_remarks) values('22Oct240201','040000183029','13675',(select max(to_number(i.premium_rcv_detail_code))+1
from ins_premium_det i),'13675','13675','02', '11000003','00','Request by Mr. Omair Ali 22-Oct-2024 allocation 22Oct240201');</v>
      </c>
    </row>
    <row r="993" spans="1:8" ht="105" x14ac:dyDescent="0.25">
      <c r="A993" t="s">
        <v>1121</v>
      </c>
      <c r="B993" s="51" t="str">
        <f>VLOOKUP(A993,policy!B:C,2,0)</f>
        <v>040000183032</v>
      </c>
      <c r="C993" s="46">
        <v>8800</v>
      </c>
      <c r="D993" s="46">
        <v>8800</v>
      </c>
      <c r="E993" s="50" t="s">
        <v>3673</v>
      </c>
      <c r="F993" s="52" t="str">
        <f t="shared" si="45"/>
        <v>insert into ins_premium_det (premium_rcv_code,assorted_code, rec_amount,premium_rcv_detail_code,remaining_amt, payrec, mode_code,coinsurance_code,class_cd,it_remarks) values</v>
      </c>
      <c r="G993" s="53" t="str">
        <f t="shared" si="46"/>
        <v>('22Oct240201','040000183032','8800',(select max(to_number(i.premium_rcv_detail_code))+1
from ins_premium_det i),'8800','8800','02', '11000003','00','Request by Mr. Omair Ali 22-Oct-2024 allocation 22Oct240201');</v>
      </c>
      <c r="H993" s="54" t="str">
        <f t="shared" si="47"/>
        <v>insert into ins_premium_det (premium_rcv_code,assorted_code, rec_amount,premium_rcv_detail_code,remaining_amt, payrec, mode_code,coinsurance_code,class_cd,it_remarks) values('22Oct240201','040000183032','8800',(select max(to_number(i.premium_rcv_detail_code))+1
from ins_premium_det i),'8800','8800','02', '11000003','00','Request by Mr. Omair Ali 22-Oct-2024 allocation 22Oct240201');</v>
      </c>
    </row>
    <row r="994" spans="1:8" ht="105" x14ac:dyDescent="0.25">
      <c r="A994" t="s">
        <v>1122</v>
      </c>
      <c r="B994" s="51" t="str">
        <f>VLOOKUP(A994,policy!B:C,2,0)</f>
        <v>040000183033</v>
      </c>
      <c r="C994" s="46">
        <v>14960</v>
      </c>
      <c r="D994" s="46">
        <v>14960</v>
      </c>
      <c r="E994" s="50" t="s">
        <v>3673</v>
      </c>
      <c r="F994" s="52" t="str">
        <f t="shared" si="45"/>
        <v>insert into ins_premium_det (premium_rcv_code,assorted_code, rec_amount,premium_rcv_detail_code,remaining_amt, payrec, mode_code,coinsurance_code,class_cd,it_remarks) values</v>
      </c>
      <c r="G994" s="53" t="str">
        <f t="shared" si="46"/>
        <v>('22Oct240201','040000183033','14960',(select max(to_number(i.premium_rcv_detail_code))+1
from ins_premium_det i),'14960','14960','02', '11000003','00','Request by Mr. Omair Ali 22-Oct-2024 allocation 22Oct240201');</v>
      </c>
      <c r="H994" s="54" t="str">
        <f t="shared" si="47"/>
        <v>insert into ins_premium_det (premium_rcv_code,assorted_code, rec_amount,premium_rcv_detail_code,remaining_amt, payrec, mode_code,coinsurance_code,class_cd,it_remarks) values('22Oct240201','040000183033','14960',(select max(to_number(i.premium_rcv_detail_code))+1
from ins_premium_det i),'14960','14960','02', '11000003','00','Request by Mr. Omair Ali 22-Oct-2024 allocation 22Oct240201');</v>
      </c>
    </row>
    <row r="995" spans="1:8" ht="105" x14ac:dyDescent="0.25">
      <c r="A995" t="s">
        <v>1123</v>
      </c>
      <c r="B995" s="51" t="str">
        <f>VLOOKUP(A995,policy!B:C,2,0)</f>
        <v>040000183034</v>
      </c>
      <c r="C995" s="46">
        <v>14960</v>
      </c>
      <c r="D995" s="46">
        <v>14960</v>
      </c>
      <c r="E995" s="50" t="s">
        <v>3673</v>
      </c>
      <c r="F995" s="52" t="str">
        <f t="shared" si="45"/>
        <v>insert into ins_premium_det (premium_rcv_code,assorted_code, rec_amount,premium_rcv_detail_code,remaining_amt, payrec, mode_code,coinsurance_code,class_cd,it_remarks) values</v>
      </c>
      <c r="G995" s="53" t="str">
        <f t="shared" si="46"/>
        <v>('22Oct240201','040000183034','14960',(select max(to_number(i.premium_rcv_detail_code))+1
from ins_premium_det i),'14960','14960','02', '11000003','00','Request by Mr. Omair Ali 22-Oct-2024 allocation 22Oct240201');</v>
      </c>
      <c r="H995" s="54" t="str">
        <f t="shared" si="47"/>
        <v>insert into ins_premium_det (premium_rcv_code,assorted_code, rec_amount,premium_rcv_detail_code,remaining_amt, payrec, mode_code,coinsurance_code,class_cd,it_remarks) values('22Oct240201','040000183034','14960',(select max(to_number(i.premium_rcv_detail_code))+1
from ins_premium_det i),'14960','14960','02', '11000003','00','Request by Mr. Omair Ali 22-Oct-2024 allocation 22Oct240201');</v>
      </c>
    </row>
    <row r="996" spans="1:8" ht="105" x14ac:dyDescent="0.25">
      <c r="A996" t="s">
        <v>1124</v>
      </c>
      <c r="B996" s="51" t="str">
        <f>VLOOKUP(A996,policy!B:C,2,0)</f>
        <v>040000183046</v>
      </c>
      <c r="C996" s="46">
        <v>16235</v>
      </c>
      <c r="D996" s="46">
        <v>16235</v>
      </c>
      <c r="E996" s="50" t="s">
        <v>3673</v>
      </c>
      <c r="F996" s="52" t="str">
        <f t="shared" si="45"/>
        <v>insert into ins_premium_det (premium_rcv_code,assorted_code, rec_amount,premium_rcv_detail_code,remaining_amt, payrec, mode_code,coinsurance_code,class_cd,it_remarks) values</v>
      </c>
      <c r="G996" s="53" t="str">
        <f t="shared" si="46"/>
        <v>('22Oct240201','040000183046','16235',(select max(to_number(i.premium_rcv_detail_code))+1
from ins_premium_det i),'16235','16235','02', '11000003','00','Request by Mr. Omair Ali 22-Oct-2024 allocation 22Oct240201');</v>
      </c>
      <c r="H996" s="54" t="str">
        <f t="shared" si="47"/>
        <v>insert into ins_premium_det (premium_rcv_code,assorted_code, rec_amount,premium_rcv_detail_code,remaining_amt, payrec, mode_code,coinsurance_code,class_cd,it_remarks) values('22Oct240201','040000183046','16235',(select max(to_number(i.premium_rcv_detail_code))+1
from ins_premium_det i),'16235','16235','02', '11000003','00','Request by Mr. Omair Ali 22-Oct-2024 allocation 22Oct240201');</v>
      </c>
    </row>
    <row r="997" spans="1:8" ht="105" x14ac:dyDescent="0.25">
      <c r="A997" t="s">
        <v>1125</v>
      </c>
      <c r="B997" s="51" t="str">
        <f>VLOOKUP(A997,policy!B:C,2,0)</f>
        <v>040000183048</v>
      </c>
      <c r="C997" s="46">
        <v>14960</v>
      </c>
      <c r="D997" s="46">
        <v>14960</v>
      </c>
      <c r="E997" s="50" t="s">
        <v>3673</v>
      </c>
      <c r="F997" s="52" t="str">
        <f t="shared" si="45"/>
        <v>insert into ins_premium_det (premium_rcv_code,assorted_code, rec_amount,premium_rcv_detail_code,remaining_amt, payrec, mode_code,coinsurance_code,class_cd,it_remarks) values</v>
      </c>
      <c r="G997" s="53" t="str">
        <f t="shared" si="46"/>
        <v>('22Oct240201','040000183048','14960',(select max(to_number(i.premium_rcv_detail_code))+1
from ins_premium_det i),'14960','14960','02', '11000003','00','Request by Mr. Omair Ali 22-Oct-2024 allocation 22Oct240201');</v>
      </c>
      <c r="H997" s="54" t="str">
        <f t="shared" si="47"/>
        <v>insert into ins_premium_det (premium_rcv_code,assorted_code, rec_amount,premium_rcv_detail_code,remaining_amt, payrec, mode_code,coinsurance_code,class_cd,it_remarks) values('22Oct240201','040000183048','14960',(select max(to_number(i.premium_rcv_detail_code))+1
from ins_premium_det i),'14960','14960','02', '11000003','00','Request by Mr. Omair Ali 22-Oct-2024 allocation 22Oct240201');</v>
      </c>
    </row>
    <row r="998" spans="1:8" ht="105" x14ac:dyDescent="0.25">
      <c r="A998" t="s">
        <v>1126</v>
      </c>
      <c r="B998" s="51" t="str">
        <f>VLOOKUP(A998,policy!B:C,2,0)</f>
        <v>040000183049</v>
      </c>
      <c r="C998" s="46">
        <v>16235</v>
      </c>
      <c r="D998" s="46">
        <v>16235</v>
      </c>
      <c r="E998" s="50" t="s">
        <v>3673</v>
      </c>
      <c r="F998" s="52" t="str">
        <f t="shared" si="45"/>
        <v>insert into ins_premium_det (premium_rcv_code,assorted_code, rec_amount,premium_rcv_detail_code,remaining_amt, payrec, mode_code,coinsurance_code,class_cd,it_remarks) values</v>
      </c>
      <c r="G998" s="53" t="str">
        <f t="shared" si="46"/>
        <v>('22Oct240201','040000183049','16235',(select max(to_number(i.premium_rcv_detail_code))+1
from ins_premium_det i),'16235','16235','02', '11000003','00','Request by Mr. Omair Ali 22-Oct-2024 allocation 22Oct240201');</v>
      </c>
      <c r="H998" s="54" t="str">
        <f t="shared" si="47"/>
        <v>insert into ins_premium_det (premium_rcv_code,assorted_code, rec_amount,premium_rcv_detail_code,remaining_amt, payrec, mode_code,coinsurance_code,class_cd,it_remarks) values('22Oct240201','040000183049','16235',(select max(to_number(i.premium_rcv_detail_code))+1
from ins_premium_det i),'16235','16235','02', '11000003','00','Request by Mr. Omair Ali 22-Oct-2024 allocation 22Oct240201');</v>
      </c>
    </row>
    <row r="999" spans="1:8" ht="105" x14ac:dyDescent="0.25">
      <c r="A999" t="s">
        <v>1127</v>
      </c>
      <c r="B999" s="51" t="str">
        <f>VLOOKUP(A999,policy!B:C,2,0)</f>
        <v>040000183050</v>
      </c>
      <c r="C999" s="46">
        <v>16235</v>
      </c>
      <c r="D999" s="46">
        <v>16235</v>
      </c>
      <c r="E999" s="50" t="s">
        <v>3673</v>
      </c>
      <c r="F999" s="52" t="str">
        <f t="shared" si="45"/>
        <v>insert into ins_premium_det (premium_rcv_code,assorted_code, rec_amount,premium_rcv_detail_code,remaining_amt, payrec, mode_code,coinsurance_code,class_cd,it_remarks) values</v>
      </c>
      <c r="G999" s="53" t="str">
        <f t="shared" si="46"/>
        <v>('22Oct240201','040000183050','16235',(select max(to_number(i.premium_rcv_detail_code))+1
from ins_premium_det i),'16235','16235','02', '11000003','00','Request by Mr. Omair Ali 22-Oct-2024 allocation 22Oct240201');</v>
      </c>
      <c r="H999" s="54" t="str">
        <f t="shared" si="47"/>
        <v>insert into ins_premium_det (premium_rcv_code,assorted_code, rec_amount,premium_rcv_detail_code,remaining_amt, payrec, mode_code,coinsurance_code,class_cd,it_remarks) values('22Oct240201','040000183050','16235',(select max(to_number(i.premium_rcv_detail_code))+1
from ins_premium_det i),'16235','16235','02', '11000003','00','Request by Mr. Omair Ali 22-Oct-2024 allocation 22Oct240201');</v>
      </c>
    </row>
    <row r="1000" spans="1:8" ht="105" x14ac:dyDescent="0.25">
      <c r="A1000" t="s">
        <v>1128</v>
      </c>
      <c r="B1000" s="51" t="str">
        <f>VLOOKUP(A1000,policy!B:C,2,0)</f>
        <v>040000183051</v>
      </c>
      <c r="C1000" s="46">
        <v>16235</v>
      </c>
      <c r="D1000" s="46">
        <v>16235</v>
      </c>
      <c r="E1000" s="50" t="s">
        <v>3673</v>
      </c>
      <c r="F1000" s="52" t="str">
        <f t="shared" si="45"/>
        <v>insert into ins_premium_det (premium_rcv_code,assorted_code, rec_amount,premium_rcv_detail_code,remaining_amt, payrec, mode_code,coinsurance_code,class_cd,it_remarks) values</v>
      </c>
      <c r="G1000" s="53" t="str">
        <f t="shared" si="46"/>
        <v>('22Oct240201','040000183051','16235',(select max(to_number(i.premium_rcv_detail_code))+1
from ins_premium_det i),'16235','16235','02', '11000003','00','Request by Mr. Omair Ali 22-Oct-2024 allocation 22Oct240201');</v>
      </c>
      <c r="H1000" s="54" t="str">
        <f t="shared" si="47"/>
        <v>insert into ins_premium_det (premium_rcv_code,assorted_code, rec_amount,premium_rcv_detail_code,remaining_amt, payrec, mode_code,coinsurance_code,class_cd,it_remarks) values('22Oct240201','040000183051','16235',(select max(to_number(i.premium_rcv_detail_code))+1
from ins_premium_det i),'16235','16235','02', '11000003','00','Request by Mr. Omair Ali 22-Oct-2024 allocation 22Oct240201');</v>
      </c>
    </row>
    <row r="1001" spans="1:8" ht="105" x14ac:dyDescent="0.25">
      <c r="A1001" t="s">
        <v>1129</v>
      </c>
      <c r="B1001" s="51" t="str">
        <f>VLOOKUP(A1001,policy!B:C,2,0)</f>
        <v>040000183052</v>
      </c>
      <c r="C1001" s="46">
        <v>21208</v>
      </c>
      <c r="D1001" s="46">
        <v>21208</v>
      </c>
      <c r="E1001" s="50" t="s">
        <v>3673</v>
      </c>
      <c r="F1001" s="52" t="str">
        <f t="shared" si="45"/>
        <v>insert into ins_premium_det (premium_rcv_code,assorted_code, rec_amount,premium_rcv_detail_code,remaining_amt, payrec, mode_code,coinsurance_code,class_cd,it_remarks) values</v>
      </c>
      <c r="G1001" s="53" t="str">
        <f t="shared" si="46"/>
        <v>('22Oct240201','040000183052','21208',(select max(to_number(i.premium_rcv_detail_code))+1
from ins_premium_det i),'21208','21208','02', '11000003','00','Request by Mr. Omair Ali 22-Oct-2024 allocation 22Oct240201');</v>
      </c>
      <c r="H1001" s="54" t="str">
        <f t="shared" si="47"/>
        <v>insert into ins_premium_det (premium_rcv_code,assorted_code, rec_amount,premium_rcv_detail_code,remaining_amt, payrec, mode_code,coinsurance_code,class_cd,it_remarks) values('22Oct240201','040000183052','21208',(select max(to_number(i.premium_rcv_detail_code))+1
from ins_premium_det i),'21208','21208','02', '11000003','00','Request by Mr. Omair Ali 22-Oct-2024 allocation 22Oct240201');</v>
      </c>
    </row>
    <row r="1002" spans="1:8" ht="105" x14ac:dyDescent="0.25">
      <c r="A1002" t="s">
        <v>1130</v>
      </c>
      <c r="B1002" s="51" t="str">
        <f>VLOOKUP(A1002,policy!B:C,2,0)</f>
        <v>040000183053</v>
      </c>
      <c r="C1002" s="46">
        <v>21208</v>
      </c>
      <c r="D1002" s="46">
        <v>21208</v>
      </c>
      <c r="E1002" s="50" t="s">
        <v>3673</v>
      </c>
      <c r="F1002" s="52" t="str">
        <f t="shared" si="45"/>
        <v>insert into ins_premium_det (premium_rcv_code,assorted_code, rec_amount,premium_rcv_detail_code,remaining_amt, payrec, mode_code,coinsurance_code,class_cd,it_remarks) values</v>
      </c>
      <c r="G1002" s="53" t="str">
        <f t="shared" si="46"/>
        <v>('22Oct240201','040000183053','21208',(select max(to_number(i.premium_rcv_detail_code))+1
from ins_premium_det i),'21208','21208','02', '11000003','00','Request by Mr. Omair Ali 22-Oct-2024 allocation 22Oct240201');</v>
      </c>
      <c r="H1002" s="54" t="str">
        <f t="shared" si="47"/>
        <v>insert into ins_premium_det (premium_rcv_code,assorted_code, rec_amount,premium_rcv_detail_code,remaining_amt, payrec, mode_code,coinsurance_code,class_cd,it_remarks) values('22Oct240201','040000183053','21208',(select max(to_number(i.premium_rcv_detail_code))+1
from ins_premium_det i),'21208','21208','02', '11000003','00','Request by Mr. Omair Ali 22-Oct-2024 allocation 22Oct240201');</v>
      </c>
    </row>
    <row r="1003" spans="1:8" ht="105" x14ac:dyDescent="0.25">
      <c r="A1003" t="s">
        <v>1131</v>
      </c>
      <c r="B1003" s="51" t="str">
        <f>VLOOKUP(A1003,policy!B:C,2,0)</f>
        <v>040000183054</v>
      </c>
      <c r="C1003" s="46">
        <v>14960</v>
      </c>
      <c r="D1003" s="46">
        <v>14960</v>
      </c>
      <c r="E1003" s="50" t="s">
        <v>3673</v>
      </c>
      <c r="F1003" s="52" t="str">
        <f t="shared" si="45"/>
        <v>insert into ins_premium_det (premium_rcv_code,assorted_code, rec_amount,premium_rcv_detail_code,remaining_amt, payrec, mode_code,coinsurance_code,class_cd,it_remarks) values</v>
      </c>
      <c r="G1003" s="53" t="str">
        <f t="shared" si="46"/>
        <v>('22Oct240201','040000183054','14960',(select max(to_number(i.premium_rcv_detail_code))+1
from ins_premium_det i),'14960','14960','02', '11000003','00','Request by Mr. Omair Ali 22-Oct-2024 allocation 22Oct240201');</v>
      </c>
      <c r="H1003" s="54" t="str">
        <f t="shared" si="47"/>
        <v>insert into ins_premium_det (premium_rcv_code,assorted_code, rec_amount,premium_rcv_detail_code,remaining_amt, payrec, mode_code,coinsurance_code,class_cd,it_remarks) values('22Oct240201','040000183054','14960',(select max(to_number(i.premium_rcv_detail_code))+1
from ins_premium_det i),'14960','14960','02', '11000003','00','Request by Mr. Omair Ali 22-Oct-2024 allocation 22Oct240201');</v>
      </c>
    </row>
    <row r="1004" spans="1:8" ht="105" x14ac:dyDescent="0.25">
      <c r="A1004" t="s">
        <v>1132</v>
      </c>
      <c r="B1004" s="51" t="str">
        <f>VLOOKUP(A1004,policy!B:C,2,0)</f>
        <v>040000183055</v>
      </c>
      <c r="C1004" s="46">
        <v>14960</v>
      </c>
      <c r="D1004" s="46">
        <v>14960</v>
      </c>
      <c r="E1004" s="50" t="s">
        <v>3673</v>
      </c>
      <c r="F1004" s="52" t="str">
        <f t="shared" si="45"/>
        <v>insert into ins_premium_det (premium_rcv_code,assorted_code, rec_amount,premium_rcv_detail_code,remaining_amt, payrec, mode_code,coinsurance_code,class_cd,it_remarks) values</v>
      </c>
      <c r="G1004" s="53" t="str">
        <f t="shared" si="46"/>
        <v>('22Oct240201','040000183055','14960',(select max(to_number(i.premium_rcv_detail_code))+1
from ins_premium_det i),'14960','14960','02', '11000003','00','Request by Mr. Omair Ali 22-Oct-2024 allocation 22Oct240201');</v>
      </c>
      <c r="H1004" s="54" t="str">
        <f t="shared" si="47"/>
        <v>insert into ins_premium_det (premium_rcv_code,assorted_code, rec_amount,premium_rcv_detail_code,remaining_amt, payrec, mode_code,coinsurance_code,class_cd,it_remarks) values('22Oct240201','040000183055','14960',(select max(to_number(i.premium_rcv_detail_code))+1
from ins_premium_det i),'14960','14960','02', '11000003','00','Request by Mr. Omair Ali 22-Oct-2024 allocation 22Oct240201');</v>
      </c>
    </row>
    <row r="1005" spans="1:8" ht="105" x14ac:dyDescent="0.25">
      <c r="A1005" t="s">
        <v>1133</v>
      </c>
      <c r="B1005" s="51" t="str">
        <f>VLOOKUP(A1005,policy!B:C,2,0)</f>
        <v>040000183056</v>
      </c>
      <c r="C1005" s="46">
        <v>12475</v>
      </c>
      <c r="D1005" s="46">
        <v>12475</v>
      </c>
      <c r="E1005" s="50" t="s">
        <v>3673</v>
      </c>
      <c r="F1005" s="52" t="str">
        <f t="shared" si="45"/>
        <v>insert into ins_premium_det (premium_rcv_code,assorted_code, rec_amount,premium_rcv_detail_code,remaining_amt, payrec, mode_code,coinsurance_code,class_cd,it_remarks) values</v>
      </c>
      <c r="G1005" s="53" t="str">
        <f t="shared" si="46"/>
        <v>('22Oct240201','040000183056','12475',(select max(to_number(i.premium_rcv_detail_code))+1
from ins_premium_det i),'12475','12475','02', '11000003','00','Request by Mr. Omair Ali 22-Oct-2024 allocation 22Oct240201');</v>
      </c>
      <c r="H1005" s="54" t="str">
        <f t="shared" si="47"/>
        <v>insert into ins_premium_det (premium_rcv_code,assorted_code, rec_amount,premium_rcv_detail_code,remaining_amt, payrec, mode_code,coinsurance_code,class_cd,it_remarks) values('22Oct240201','040000183056','12475',(select max(to_number(i.premium_rcv_detail_code))+1
from ins_premium_det i),'12475','12475','02', '11000003','00','Request by Mr. Omair Ali 22-Oct-2024 allocation 22Oct240201');</v>
      </c>
    </row>
    <row r="1006" spans="1:8" ht="105" x14ac:dyDescent="0.25">
      <c r="A1006" t="s">
        <v>1134</v>
      </c>
      <c r="B1006" s="51" t="str">
        <f>VLOOKUP(A1006,policy!B:C,2,0)</f>
        <v>040000183057</v>
      </c>
      <c r="C1006" s="46">
        <v>9550</v>
      </c>
      <c r="D1006" s="46">
        <v>9550</v>
      </c>
      <c r="E1006" s="50" t="s">
        <v>3673</v>
      </c>
      <c r="F1006" s="52" t="str">
        <f t="shared" si="45"/>
        <v>insert into ins_premium_det (premium_rcv_code,assorted_code, rec_amount,premium_rcv_detail_code,remaining_amt, payrec, mode_code,coinsurance_code,class_cd,it_remarks) values</v>
      </c>
      <c r="G1006" s="53" t="str">
        <f t="shared" si="46"/>
        <v>('22Oct240201','040000183057','9550',(select max(to_number(i.premium_rcv_detail_code))+1
from ins_premium_det i),'9550','9550','02', '11000003','00','Request by Mr. Omair Ali 22-Oct-2024 allocation 22Oct240201');</v>
      </c>
      <c r="H1006" s="54" t="str">
        <f t="shared" si="47"/>
        <v>insert into ins_premium_det (premium_rcv_code,assorted_code, rec_amount,premium_rcv_detail_code,remaining_amt, payrec, mode_code,coinsurance_code,class_cd,it_remarks) values('22Oct240201','040000183057','9550',(select max(to_number(i.premium_rcv_detail_code))+1
from ins_premium_det i),'9550','9550','02', '11000003','00','Request by Mr. Omair Ali 22-Oct-2024 allocation 22Oct240201');</v>
      </c>
    </row>
    <row r="1007" spans="1:8" ht="105" x14ac:dyDescent="0.25">
      <c r="A1007" t="s">
        <v>1135</v>
      </c>
      <c r="B1007" s="51" t="str">
        <f>VLOOKUP(A1007,policy!B:C,2,0)</f>
        <v>040000183059</v>
      </c>
      <c r="C1007" s="46">
        <v>14960</v>
      </c>
      <c r="D1007" s="46">
        <v>14960</v>
      </c>
      <c r="E1007" s="50" t="s">
        <v>3673</v>
      </c>
      <c r="F1007" s="52" t="str">
        <f t="shared" si="45"/>
        <v>insert into ins_premium_det (premium_rcv_code,assorted_code, rec_amount,premium_rcv_detail_code,remaining_amt, payrec, mode_code,coinsurance_code,class_cd,it_remarks) values</v>
      </c>
      <c r="G1007" s="53" t="str">
        <f t="shared" si="46"/>
        <v>('22Oct240201','040000183059','14960',(select max(to_number(i.premium_rcv_detail_code))+1
from ins_premium_det i),'14960','14960','02', '11000003','00','Request by Mr. Omair Ali 22-Oct-2024 allocation 22Oct240201');</v>
      </c>
      <c r="H1007" s="54" t="str">
        <f t="shared" si="47"/>
        <v>insert into ins_premium_det (premium_rcv_code,assorted_code, rec_amount,premium_rcv_detail_code,remaining_amt, payrec, mode_code,coinsurance_code,class_cd,it_remarks) values('22Oct240201','040000183059','14960',(select max(to_number(i.premium_rcv_detail_code))+1
from ins_premium_det i),'14960','14960','02', '11000003','00','Request by Mr. Omair Ali 22-Oct-2024 allocation 22Oct240201');</v>
      </c>
    </row>
    <row r="1008" spans="1:8" ht="105" x14ac:dyDescent="0.25">
      <c r="A1008" t="s">
        <v>1136</v>
      </c>
      <c r="B1008" s="51" t="str">
        <f>VLOOKUP(A1008,policy!B:C,2,0)</f>
        <v>040000183060</v>
      </c>
      <c r="C1008" s="46">
        <v>14960</v>
      </c>
      <c r="D1008" s="46">
        <v>14960</v>
      </c>
      <c r="E1008" s="50" t="s">
        <v>3673</v>
      </c>
      <c r="F1008" s="52" t="str">
        <f t="shared" si="45"/>
        <v>insert into ins_premium_det (premium_rcv_code,assorted_code, rec_amount,premium_rcv_detail_code,remaining_amt, payrec, mode_code,coinsurance_code,class_cd,it_remarks) values</v>
      </c>
      <c r="G1008" s="53" t="str">
        <f t="shared" si="46"/>
        <v>('22Oct240201','040000183060','14960',(select max(to_number(i.premium_rcv_detail_code))+1
from ins_premium_det i),'14960','14960','02', '11000003','00','Request by Mr. Omair Ali 22-Oct-2024 allocation 22Oct240201');</v>
      </c>
      <c r="H1008" s="54" t="str">
        <f t="shared" si="47"/>
        <v>insert into ins_premium_det (premium_rcv_code,assorted_code, rec_amount,premium_rcv_detail_code,remaining_amt, payrec, mode_code,coinsurance_code,class_cd,it_remarks) values('22Oct240201','040000183060','14960',(select max(to_number(i.premium_rcv_detail_code))+1
from ins_premium_det i),'14960','14960','02', '11000003','00','Request by Mr. Omair Ali 22-Oct-2024 allocation 22Oct240201');</v>
      </c>
    </row>
    <row r="1009" spans="1:8" ht="105" x14ac:dyDescent="0.25">
      <c r="A1009" t="s">
        <v>1137</v>
      </c>
      <c r="B1009" s="51" t="str">
        <f>VLOOKUP(A1009,policy!B:C,2,0)</f>
        <v>040000183062</v>
      </c>
      <c r="C1009" s="46">
        <v>14960</v>
      </c>
      <c r="D1009" s="46">
        <v>14960</v>
      </c>
      <c r="E1009" s="50" t="s">
        <v>3673</v>
      </c>
      <c r="F1009" s="52" t="str">
        <f t="shared" si="45"/>
        <v>insert into ins_premium_det (premium_rcv_code,assorted_code, rec_amount,premium_rcv_detail_code,remaining_amt, payrec, mode_code,coinsurance_code,class_cd,it_remarks) values</v>
      </c>
      <c r="G1009" s="53" t="str">
        <f t="shared" si="46"/>
        <v>('22Oct240201','040000183062','14960',(select max(to_number(i.premium_rcv_detail_code))+1
from ins_premium_det i),'14960','14960','02', '11000003','00','Request by Mr. Omair Ali 22-Oct-2024 allocation 22Oct240201');</v>
      </c>
      <c r="H1009" s="54" t="str">
        <f t="shared" si="47"/>
        <v>insert into ins_premium_det (premium_rcv_code,assorted_code, rec_amount,premium_rcv_detail_code,remaining_amt, payrec, mode_code,coinsurance_code,class_cd,it_remarks) values('22Oct240201','040000183062','14960',(select max(to_number(i.premium_rcv_detail_code))+1
from ins_premium_det i),'14960','14960','02', '11000003','00','Request by Mr. Omair Ali 22-Oct-2024 allocation 22Oct240201');</v>
      </c>
    </row>
    <row r="1010" spans="1:8" ht="105" x14ac:dyDescent="0.25">
      <c r="A1010" t="s">
        <v>1138</v>
      </c>
      <c r="B1010" s="51" t="str">
        <f>VLOOKUP(A1010,policy!B:C,2,0)</f>
        <v>040000183063</v>
      </c>
      <c r="C1010" s="46">
        <v>14960</v>
      </c>
      <c r="D1010" s="46">
        <v>14960</v>
      </c>
      <c r="E1010" s="50" t="s">
        <v>3673</v>
      </c>
      <c r="F1010" s="52" t="str">
        <f t="shared" si="45"/>
        <v>insert into ins_premium_det (premium_rcv_code,assorted_code, rec_amount,premium_rcv_detail_code,remaining_amt, payrec, mode_code,coinsurance_code,class_cd,it_remarks) values</v>
      </c>
      <c r="G1010" s="53" t="str">
        <f t="shared" si="46"/>
        <v>('22Oct240201','040000183063','14960',(select max(to_number(i.premium_rcv_detail_code))+1
from ins_premium_det i),'14960','14960','02', '11000003','00','Request by Mr. Omair Ali 22-Oct-2024 allocation 22Oct240201');</v>
      </c>
      <c r="H1010" s="54" t="str">
        <f t="shared" si="47"/>
        <v>insert into ins_premium_det (premium_rcv_code,assorted_code, rec_amount,premium_rcv_detail_code,remaining_amt, payrec, mode_code,coinsurance_code,class_cd,it_remarks) values('22Oct240201','040000183063','14960',(select max(to_number(i.premium_rcv_detail_code))+1
from ins_premium_det i),'14960','14960','02', '11000003','00','Request by Mr. Omair Ali 22-Oct-2024 allocation 22Oct240201');</v>
      </c>
    </row>
    <row r="1011" spans="1:8" ht="105" x14ac:dyDescent="0.25">
      <c r="A1011" t="s">
        <v>1139</v>
      </c>
      <c r="B1011" s="51" t="str">
        <f>VLOOKUP(A1011,policy!B:C,2,0)</f>
        <v>040000183064</v>
      </c>
      <c r="C1011" s="46">
        <v>23248</v>
      </c>
      <c r="D1011" s="46">
        <v>23248</v>
      </c>
      <c r="E1011" s="50" t="s">
        <v>3673</v>
      </c>
      <c r="F1011" s="52" t="str">
        <f t="shared" si="45"/>
        <v>insert into ins_premium_det (premium_rcv_code,assorted_code, rec_amount,premium_rcv_detail_code,remaining_amt, payrec, mode_code,coinsurance_code,class_cd,it_remarks) values</v>
      </c>
      <c r="G1011" s="53" t="str">
        <f t="shared" si="46"/>
        <v>('22Oct240201','040000183064','23248',(select max(to_number(i.premium_rcv_detail_code))+1
from ins_premium_det i),'23248','23248','02', '11000003','00','Request by Mr. Omair Ali 22-Oct-2024 allocation 22Oct240201');</v>
      </c>
      <c r="H1011" s="54" t="str">
        <f t="shared" si="47"/>
        <v>insert into ins_premium_det (premium_rcv_code,assorted_code, rec_amount,premium_rcv_detail_code,remaining_amt, payrec, mode_code,coinsurance_code,class_cd,it_remarks) values('22Oct240201','040000183064','23248',(select max(to_number(i.premium_rcv_detail_code))+1
from ins_premium_det i),'23248','23248','02', '11000003','00','Request by Mr. Omair Ali 22-Oct-2024 allocation 22Oct240201');</v>
      </c>
    </row>
    <row r="1012" spans="1:8" ht="105" x14ac:dyDescent="0.25">
      <c r="A1012" t="s">
        <v>1140</v>
      </c>
      <c r="B1012" s="51" t="str">
        <f>VLOOKUP(A1012,policy!B:C,2,0)</f>
        <v>040000183065</v>
      </c>
      <c r="C1012" s="46">
        <v>23248</v>
      </c>
      <c r="D1012" s="46">
        <v>23248</v>
      </c>
      <c r="E1012" s="50" t="s">
        <v>3673</v>
      </c>
      <c r="F1012" s="52" t="str">
        <f t="shared" si="45"/>
        <v>insert into ins_premium_det (premium_rcv_code,assorted_code, rec_amount,premium_rcv_detail_code,remaining_amt, payrec, mode_code,coinsurance_code,class_cd,it_remarks) values</v>
      </c>
      <c r="G1012" s="53" t="str">
        <f t="shared" si="46"/>
        <v>('22Oct240201','040000183065','23248',(select max(to_number(i.premium_rcv_detail_code))+1
from ins_premium_det i),'23248','23248','02', '11000003','00','Request by Mr. Omair Ali 22-Oct-2024 allocation 22Oct240201');</v>
      </c>
      <c r="H1012" s="54" t="str">
        <f t="shared" si="47"/>
        <v>insert into ins_premium_det (premium_rcv_code,assorted_code, rec_amount,premium_rcv_detail_code,remaining_amt, payrec, mode_code,coinsurance_code,class_cd,it_remarks) values('22Oct240201','040000183065','23248',(select max(to_number(i.premium_rcv_detail_code))+1
from ins_premium_det i),'23248','23248','02', '11000003','00','Request by Mr. Omair Ali 22-Oct-2024 allocation 22Oct240201');</v>
      </c>
    </row>
    <row r="1013" spans="1:8" ht="105" x14ac:dyDescent="0.25">
      <c r="A1013" t="s">
        <v>1141</v>
      </c>
      <c r="B1013" s="51" t="str">
        <f>VLOOKUP(A1013,policy!B:C,2,0)</f>
        <v>040000183066</v>
      </c>
      <c r="C1013" s="46">
        <v>14960</v>
      </c>
      <c r="D1013" s="46">
        <v>14960</v>
      </c>
      <c r="E1013" s="50" t="s">
        <v>3673</v>
      </c>
      <c r="F1013" s="52" t="str">
        <f t="shared" si="45"/>
        <v>insert into ins_premium_det (premium_rcv_code,assorted_code, rec_amount,premium_rcv_detail_code,remaining_amt, payrec, mode_code,coinsurance_code,class_cd,it_remarks) values</v>
      </c>
      <c r="G1013" s="53" t="str">
        <f t="shared" si="46"/>
        <v>('22Oct240201','040000183066','14960',(select max(to_number(i.premium_rcv_detail_code))+1
from ins_premium_det i),'14960','14960','02', '11000003','00','Request by Mr. Omair Ali 22-Oct-2024 allocation 22Oct240201');</v>
      </c>
      <c r="H1013" s="54" t="str">
        <f t="shared" si="47"/>
        <v>insert into ins_premium_det (premium_rcv_code,assorted_code, rec_amount,premium_rcv_detail_code,remaining_amt, payrec, mode_code,coinsurance_code,class_cd,it_remarks) values('22Oct240201','040000183066','14960',(select max(to_number(i.premium_rcv_detail_code))+1
from ins_premium_det i),'14960','14960','02', '11000003','00','Request by Mr. Omair Ali 22-Oct-2024 allocation 22Oct240201');</v>
      </c>
    </row>
    <row r="1014" spans="1:8" ht="105" x14ac:dyDescent="0.25">
      <c r="A1014" t="s">
        <v>1142</v>
      </c>
      <c r="B1014" s="51" t="str">
        <f>VLOOKUP(A1014,policy!B:C,2,0)</f>
        <v>040000183067</v>
      </c>
      <c r="C1014" s="46">
        <v>16235</v>
      </c>
      <c r="D1014" s="46">
        <v>16235</v>
      </c>
      <c r="E1014" s="50" t="s">
        <v>3673</v>
      </c>
      <c r="F1014" s="52" t="str">
        <f t="shared" si="45"/>
        <v>insert into ins_premium_det (premium_rcv_code,assorted_code, rec_amount,premium_rcv_detail_code,remaining_amt, payrec, mode_code,coinsurance_code,class_cd,it_remarks) values</v>
      </c>
      <c r="G1014" s="53" t="str">
        <f t="shared" si="46"/>
        <v>('22Oct240201','040000183067','16235',(select max(to_number(i.premium_rcv_detail_code))+1
from ins_premium_det i),'16235','16235','02', '11000003','00','Request by Mr. Omair Ali 22-Oct-2024 allocation 22Oct240201');</v>
      </c>
      <c r="H1014" s="54" t="str">
        <f t="shared" si="47"/>
        <v>insert into ins_premium_det (premium_rcv_code,assorted_code, rec_amount,premium_rcv_detail_code,remaining_amt, payrec, mode_code,coinsurance_code,class_cd,it_remarks) values('22Oct240201','040000183067','16235',(select max(to_number(i.premium_rcv_detail_code))+1
from ins_premium_det i),'16235','16235','02', '11000003','00','Request by Mr. Omair Ali 22-Oct-2024 allocation 22Oct240201');</v>
      </c>
    </row>
    <row r="1015" spans="1:8" ht="105" x14ac:dyDescent="0.25">
      <c r="A1015" t="s">
        <v>1143</v>
      </c>
      <c r="B1015" s="51" t="str">
        <f>VLOOKUP(A1015,policy!B:C,2,0)</f>
        <v>040000183068</v>
      </c>
      <c r="C1015" s="46">
        <v>16235</v>
      </c>
      <c r="D1015" s="46">
        <v>16235</v>
      </c>
      <c r="E1015" s="50" t="s">
        <v>3673</v>
      </c>
      <c r="F1015" s="52" t="str">
        <f t="shared" si="45"/>
        <v>insert into ins_premium_det (premium_rcv_code,assorted_code, rec_amount,premium_rcv_detail_code,remaining_amt, payrec, mode_code,coinsurance_code,class_cd,it_remarks) values</v>
      </c>
      <c r="G1015" s="53" t="str">
        <f t="shared" si="46"/>
        <v>('22Oct240201','040000183068','16235',(select max(to_number(i.premium_rcv_detail_code))+1
from ins_premium_det i),'16235','16235','02', '11000003','00','Request by Mr. Omair Ali 22-Oct-2024 allocation 22Oct240201');</v>
      </c>
      <c r="H1015" s="54" t="str">
        <f t="shared" si="47"/>
        <v>insert into ins_premium_det (premium_rcv_code,assorted_code, rec_amount,premium_rcv_detail_code,remaining_amt, payrec, mode_code,coinsurance_code,class_cd,it_remarks) values('22Oct240201','040000183068','16235',(select max(to_number(i.premium_rcv_detail_code))+1
from ins_premium_det i),'16235','16235','02', '11000003','00','Request by Mr. Omair Ali 22-Oct-2024 allocation 22Oct240201');</v>
      </c>
    </row>
    <row r="1016" spans="1:8" ht="105" x14ac:dyDescent="0.25">
      <c r="A1016" t="s">
        <v>1144</v>
      </c>
      <c r="B1016" s="51" t="str">
        <f>VLOOKUP(A1016,policy!B:C,2,0)</f>
        <v>040000183069</v>
      </c>
      <c r="C1016" s="46">
        <v>16235</v>
      </c>
      <c r="D1016" s="46">
        <v>16235</v>
      </c>
      <c r="E1016" s="50" t="s">
        <v>3673</v>
      </c>
      <c r="F1016" s="52" t="str">
        <f t="shared" si="45"/>
        <v>insert into ins_premium_det (premium_rcv_code,assorted_code, rec_amount,premium_rcv_detail_code,remaining_amt, payrec, mode_code,coinsurance_code,class_cd,it_remarks) values</v>
      </c>
      <c r="G1016" s="53" t="str">
        <f t="shared" si="46"/>
        <v>('22Oct240201','040000183069','16235',(select max(to_number(i.premium_rcv_detail_code))+1
from ins_premium_det i),'16235','16235','02', '11000003','00','Request by Mr. Omair Ali 22-Oct-2024 allocation 22Oct240201');</v>
      </c>
      <c r="H1016" s="54" t="str">
        <f t="shared" si="47"/>
        <v>insert into ins_premium_det (premium_rcv_code,assorted_code, rec_amount,premium_rcv_detail_code,remaining_amt, payrec, mode_code,coinsurance_code,class_cd,it_remarks) values('22Oct240201','040000183069','16235',(select max(to_number(i.premium_rcv_detail_code))+1
from ins_premium_det i),'16235','16235','02', '11000003','00','Request by Mr. Omair Ali 22-Oct-2024 allocation 22Oct240201');</v>
      </c>
    </row>
    <row r="1017" spans="1:8" ht="105" x14ac:dyDescent="0.25">
      <c r="A1017" t="s">
        <v>1145</v>
      </c>
      <c r="B1017" s="51" t="str">
        <f>VLOOKUP(A1017,policy!B:C,2,0)</f>
        <v>040000183070</v>
      </c>
      <c r="C1017" s="46">
        <v>16235</v>
      </c>
      <c r="D1017" s="46">
        <v>16235</v>
      </c>
      <c r="E1017" s="50" t="s">
        <v>3673</v>
      </c>
      <c r="F1017" s="52" t="str">
        <f t="shared" si="45"/>
        <v>insert into ins_premium_det (premium_rcv_code,assorted_code, rec_amount,premium_rcv_detail_code,remaining_amt, payrec, mode_code,coinsurance_code,class_cd,it_remarks) values</v>
      </c>
      <c r="G1017" s="53" t="str">
        <f t="shared" si="46"/>
        <v>('22Oct240201','040000183070','16235',(select max(to_number(i.premium_rcv_detail_code))+1
from ins_premium_det i),'16235','16235','02', '11000003','00','Request by Mr. Omair Ali 22-Oct-2024 allocation 22Oct240201');</v>
      </c>
      <c r="H1017" s="54" t="str">
        <f t="shared" si="47"/>
        <v>insert into ins_premium_det (premium_rcv_code,assorted_code, rec_amount,premium_rcv_detail_code,remaining_amt, payrec, mode_code,coinsurance_code,class_cd,it_remarks) values('22Oct240201','040000183070','16235',(select max(to_number(i.premium_rcv_detail_code))+1
from ins_premium_det i),'16235','16235','02', '11000003','00','Request by Mr. Omair Ali 22-Oct-2024 allocation 22Oct240201');</v>
      </c>
    </row>
    <row r="1019" spans="1:8" x14ac:dyDescent="0.25">
      <c r="C1019" s="55">
        <f>SUM(C2:C1017)</f>
        <v>14053879</v>
      </c>
      <c r="D1019" s="55">
        <f>SUM(D2:D1017)</f>
        <v>14053879</v>
      </c>
      <c r="E1019" s="55">
        <f>D1019-C1019</f>
        <v>0</v>
      </c>
    </row>
  </sheetData>
  <conditionalFormatting sqref="A1">
    <cfRule type="duplicateValues" dxfId="3" priority="1"/>
  </conditionalFormatting>
  <conditionalFormatting sqref="A2:B2 B3:B1017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9C0A-206F-45B6-A447-6BC42628B582}">
  <dimension ref="A1:E1016"/>
  <sheetViews>
    <sheetView workbookViewId="0">
      <selection activeCell="A22" sqref="A22"/>
    </sheetView>
  </sheetViews>
  <sheetFormatPr defaultRowHeight="15" x14ac:dyDescent="0.25"/>
  <cols>
    <col min="1" max="1" width="39.85546875" bestFit="1" customWidth="1"/>
  </cols>
  <sheetData>
    <row r="1" spans="1:5" x14ac:dyDescent="0.25">
      <c r="A1" t="s">
        <v>130</v>
      </c>
      <c r="B1" t="s">
        <v>2640</v>
      </c>
      <c r="D1">
        <v>94363</v>
      </c>
      <c r="E1" t="str">
        <f>"ia.assorted_string like '%"&amp;D1&amp;B1&amp;"%' or"</f>
        <v>ia.assorted_string like '%94363-08-2024%' or</v>
      </c>
    </row>
    <row r="2" spans="1:5" x14ac:dyDescent="0.25">
      <c r="A2" t="s">
        <v>131</v>
      </c>
      <c r="B2" t="s">
        <v>2640</v>
      </c>
      <c r="D2">
        <v>94364</v>
      </c>
      <c r="E2" t="str">
        <f t="shared" ref="E2:E65" si="0">"ia.assorted_string like '%"&amp;D2&amp;B2&amp;"%' or"</f>
        <v>ia.assorted_string like '%94364-08-2024%' or</v>
      </c>
    </row>
    <row r="3" spans="1:5" x14ac:dyDescent="0.25">
      <c r="A3" t="s">
        <v>132</v>
      </c>
      <c r="B3" t="s">
        <v>2640</v>
      </c>
      <c r="D3">
        <v>94373</v>
      </c>
      <c r="E3" t="str">
        <f t="shared" si="0"/>
        <v>ia.assorted_string like '%94373-08-2024%' or</v>
      </c>
    </row>
    <row r="4" spans="1:5" x14ac:dyDescent="0.25">
      <c r="A4" t="s">
        <v>133</v>
      </c>
      <c r="B4" t="s">
        <v>2640</v>
      </c>
      <c r="D4">
        <v>94374</v>
      </c>
      <c r="E4" t="str">
        <f t="shared" si="0"/>
        <v>ia.assorted_string like '%94374-08-2024%' or</v>
      </c>
    </row>
    <row r="5" spans="1:5" x14ac:dyDescent="0.25">
      <c r="A5" t="s">
        <v>134</v>
      </c>
      <c r="B5" t="s">
        <v>2640</v>
      </c>
      <c r="D5">
        <v>94375</v>
      </c>
      <c r="E5" t="str">
        <f t="shared" si="0"/>
        <v>ia.assorted_string like '%94375-08-2024%' or</v>
      </c>
    </row>
    <row r="6" spans="1:5" x14ac:dyDescent="0.25">
      <c r="A6" t="s">
        <v>135</v>
      </c>
      <c r="B6" t="s">
        <v>2640</v>
      </c>
      <c r="D6">
        <v>94379</v>
      </c>
      <c r="E6" t="str">
        <f t="shared" si="0"/>
        <v>ia.assorted_string like '%94379-08-2024%' or</v>
      </c>
    </row>
    <row r="7" spans="1:5" x14ac:dyDescent="0.25">
      <c r="A7" t="s">
        <v>136</v>
      </c>
      <c r="B7" t="s">
        <v>2640</v>
      </c>
      <c r="D7">
        <v>94380</v>
      </c>
      <c r="E7" t="str">
        <f t="shared" si="0"/>
        <v>ia.assorted_string like '%94380-08-2024%' or</v>
      </c>
    </row>
    <row r="8" spans="1:5" x14ac:dyDescent="0.25">
      <c r="A8" t="s">
        <v>137</v>
      </c>
      <c r="B8" t="s">
        <v>2640</v>
      </c>
      <c r="D8">
        <v>94382</v>
      </c>
      <c r="E8" t="str">
        <f t="shared" si="0"/>
        <v>ia.assorted_string like '%94382-08-2024%' or</v>
      </c>
    </row>
    <row r="9" spans="1:5" x14ac:dyDescent="0.25">
      <c r="A9" t="s">
        <v>138</v>
      </c>
      <c r="B9" t="s">
        <v>2640</v>
      </c>
      <c r="D9">
        <v>94383</v>
      </c>
      <c r="E9" t="str">
        <f t="shared" si="0"/>
        <v>ia.assorted_string like '%94383-08-2024%' or</v>
      </c>
    </row>
    <row r="10" spans="1:5" x14ac:dyDescent="0.25">
      <c r="A10" t="s">
        <v>139</v>
      </c>
      <c r="B10" t="s">
        <v>2640</v>
      </c>
      <c r="D10">
        <v>94385</v>
      </c>
      <c r="E10" t="str">
        <f t="shared" si="0"/>
        <v>ia.assorted_string like '%94385-08-2024%' or</v>
      </c>
    </row>
    <row r="11" spans="1:5" x14ac:dyDescent="0.25">
      <c r="A11" t="s">
        <v>140</v>
      </c>
      <c r="B11" t="s">
        <v>2640</v>
      </c>
      <c r="D11">
        <v>94386</v>
      </c>
      <c r="E11" t="str">
        <f t="shared" si="0"/>
        <v>ia.assorted_string like '%94386-08-2024%' or</v>
      </c>
    </row>
    <row r="12" spans="1:5" x14ac:dyDescent="0.25">
      <c r="A12" t="s">
        <v>141</v>
      </c>
      <c r="B12" t="s">
        <v>2640</v>
      </c>
      <c r="D12">
        <v>94388</v>
      </c>
      <c r="E12" t="str">
        <f t="shared" si="0"/>
        <v>ia.assorted_string like '%94388-08-2024%' or</v>
      </c>
    </row>
    <row r="13" spans="1:5" x14ac:dyDescent="0.25">
      <c r="A13" t="s">
        <v>142</v>
      </c>
      <c r="B13" t="s">
        <v>2640</v>
      </c>
      <c r="D13">
        <v>94389</v>
      </c>
      <c r="E13" t="str">
        <f t="shared" si="0"/>
        <v>ia.assorted_string like '%94389-08-2024%' or</v>
      </c>
    </row>
    <row r="14" spans="1:5" x14ac:dyDescent="0.25">
      <c r="A14" t="s">
        <v>143</v>
      </c>
      <c r="B14" t="s">
        <v>2640</v>
      </c>
      <c r="D14">
        <v>94391</v>
      </c>
      <c r="E14" t="str">
        <f t="shared" si="0"/>
        <v>ia.assorted_string like '%94391-08-2024%' or</v>
      </c>
    </row>
    <row r="15" spans="1:5" x14ac:dyDescent="0.25">
      <c r="A15" t="s">
        <v>144</v>
      </c>
      <c r="B15" t="s">
        <v>2640</v>
      </c>
      <c r="D15">
        <v>94392</v>
      </c>
      <c r="E15" t="str">
        <f t="shared" si="0"/>
        <v>ia.assorted_string like '%94392-08-2024%' or</v>
      </c>
    </row>
    <row r="16" spans="1:5" x14ac:dyDescent="0.25">
      <c r="A16" t="s">
        <v>145</v>
      </c>
      <c r="B16" t="s">
        <v>2640</v>
      </c>
      <c r="D16">
        <v>94396</v>
      </c>
      <c r="E16" t="str">
        <f t="shared" si="0"/>
        <v>ia.assorted_string like '%94396-08-2024%' or</v>
      </c>
    </row>
    <row r="17" spans="1:5" x14ac:dyDescent="0.25">
      <c r="A17" t="s">
        <v>146</v>
      </c>
      <c r="B17" t="s">
        <v>2640</v>
      </c>
      <c r="D17">
        <v>94397</v>
      </c>
      <c r="E17" t="str">
        <f t="shared" si="0"/>
        <v>ia.assorted_string like '%94397-08-2024%' or</v>
      </c>
    </row>
    <row r="18" spans="1:5" x14ac:dyDescent="0.25">
      <c r="A18" t="s">
        <v>147</v>
      </c>
      <c r="B18" t="s">
        <v>2640</v>
      </c>
      <c r="D18">
        <v>94398</v>
      </c>
      <c r="E18" t="str">
        <f t="shared" si="0"/>
        <v>ia.assorted_string like '%94398-08-2024%' or</v>
      </c>
    </row>
    <row r="19" spans="1:5" x14ac:dyDescent="0.25">
      <c r="A19" t="s">
        <v>148</v>
      </c>
      <c r="B19" t="s">
        <v>2640</v>
      </c>
      <c r="D19">
        <v>94405</v>
      </c>
      <c r="E19" t="str">
        <f t="shared" si="0"/>
        <v>ia.assorted_string like '%94405-08-2024%' or</v>
      </c>
    </row>
    <row r="20" spans="1:5" x14ac:dyDescent="0.25">
      <c r="A20" t="s">
        <v>149</v>
      </c>
      <c r="B20" t="s">
        <v>2640</v>
      </c>
      <c r="D20">
        <v>94411</v>
      </c>
      <c r="E20" t="str">
        <f t="shared" si="0"/>
        <v>ia.assorted_string like '%94411-08-2024%' or</v>
      </c>
    </row>
    <row r="21" spans="1:5" x14ac:dyDescent="0.25">
      <c r="A21" t="s">
        <v>150</v>
      </c>
      <c r="B21" t="s">
        <v>2640</v>
      </c>
      <c r="D21">
        <v>94412</v>
      </c>
      <c r="E21" t="str">
        <f t="shared" si="0"/>
        <v>ia.assorted_string like '%94412-08-2024%' or</v>
      </c>
    </row>
    <row r="22" spans="1:5" x14ac:dyDescent="0.25">
      <c r="A22" t="s">
        <v>151</v>
      </c>
      <c r="B22" t="s">
        <v>2640</v>
      </c>
      <c r="D22">
        <v>94416</v>
      </c>
      <c r="E22" t="str">
        <f t="shared" si="0"/>
        <v>ia.assorted_string like '%94416-08-2024%' or</v>
      </c>
    </row>
    <row r="23" spans="1:5" x14ac:dyDescent="0.25">
      <c r="A23" t="s">
        <v>152</v>
      </c>
      <c r="B23" t="s">
        <v>2640</v>
      </c>
      <c r="D23">
        <v>94417</v>
      </c>
      <c r="E23" t="str">
        <f t="shared" si="0"/>
        <v>ia.assorted_string like '%94417-08-2024%' or</v>
      </c>
    </row>
    <row r="24" spans="1:5" x14ac:dyDescent="0.25">
      <c r="A24" t="s">
        <v>153</v>
      </c>
      <c r="B24" t="s">
        <v>2640</v>
      </c>
      <c r="D24">
        <v>94422</v>
      </c>
      <c r="E24" t="str">
        <f t="shared" si="0"/>
        <v>ia.assorted_string like '%94422-08-2024%' or</v>
      </c>
    </row>
    <row r="25" spans="1:5" x14ac:dyDescent="0.25">
      <c r="A25" t="s">
        <v>154</v>
      </c>
      <c r="B25" t="s">
        <v>2640</v>
      </c>
      <c r="D25">
        <v>94423</v>
      </c>
      <c r="E25" t="str">
        <f t="shared" si="0"/>
        <v>ia.assorted_string like '%94423-08-2024%' or</v>
      </c>
    </row>
    <row r="26" spans="1:5" x14ac:dyDescent="0.25">
      <c r="A26" t="s">
        <v>155</v>
      </c>
      <c r="B26" t="s">
        <v>2640</v>
      </c>
      <c r="D26">
        <v>94432</v>
      </c>
      <c r="E26" t="str">
        <f t="shared" si="0"/>
        <v>ia.assorted_string like '%94432-08-2024%' or</v>
      </c>
    </row>
    <row r="27" spans="1:5" x14ac:dyDescent="0.25">
      <c r="A27" t="s">
        <v>156</v>
      </c>
      <c r="B27" t="s">
        <v>2640</v>
      </c>
      <c r="D27">
        <v>94433</v>
      </c>
      <c r="E27" t="str">
        <f t="shared" si="0"/>
        <v>ia.assorted_string like '%94433-08-2024%' or</v>
      </c>
    </row>
    <row r="28" spans="1:5" x14ac:dyDescent="0.25">
      <c r="A28" t="s">
        <v>157</v>
      </c>
      <c r="B28" t="s">
        <v>2640</v>
      </c>
      <c r="D28">
        <v>94437</v>
      </c>
      <c r="E28" t="str">
        <f t="shared" si="0"/>
        <v>ia.assorted_string like '%94437-08-2024%' or</v>
      </c>
    </row>
    <row r="29" spans="1:5" x14ac:dyDescent="0.25">
      <c r="A29" t="s">
        <v>158</v>
      </c>
      <c r="B29" t="s">
        <v>2640</v>
      </c>
      <c r="D29">
        <v>94438</v>
      </c>
      <c r="E29" t="str">
        <f t="shared" si="0"/>
        <v>ia.assorted_string like '%94438-08-2024%' or</v>
      </c>
    </row>
    <row r="30" spans="1:5" x14ac:dyDescent="0.25">
      <c r="A30" t="s">
        <v>159</v>
      </c>
      <c r="B30" t="s">
        <v>2640</v>
      </c>
      <c r="D30">
        <v>94439</v>
      </c>
      <c r="E30" t="str">
        <f t="shared" si="0"/>
        <v>ia.assorted_string like '%94439-08-2024%' or</v>
      </c>
    </row>
    <row r="31" spans="1:5" x14ac:dyDescent="0.25">
      <c r="A31" t="s">
        <v>160</v>
      </c>
      <c r="B31" t="s">
        <v>2640</v>
      </c>
      <c r="D31">
        <v>94461</v>
      </c>
      <c r="E31" t="str">
        <f t="shared" si="0"/>
        <v>ia.assorted_string like '%94461-08-2024%' or</v>
      </c>
    </row>
    <row r="32" spans="1:5" x14ac:dyDescent="0.25">
      <c r="A32" t="s">
        <v>161</v>
      </c>
      <c r="B32" t="s">
        <v>2640</v>
      </c>
      <c r="D32">
        <v>94462</v>
      </c>
      <c r="E32" t="str">
        <f t="shared" si="0"/>
        <v>ia.assorted_string like '%94462-08-2024%' or</v>
      </c>
    </row>
    <row r="33" spans="1:5" x14ac:dyDescent="0.25">
      <c r="A33" t="s">
        <v>162</v>
      </c>
      <c r="B33" t="s">
        <v>2640</v>
      </c>
      <c r="D33">
        <v>94463</v>
      </c>
      <c r="E33" t="str">
        <f t="shared" si="0"/>
        <v>ia.assorted_string like '%94463-08-2024%' or</v>
      </c>
    </row>
    <row r="34" spans="1:5" x14ac:dyDescent="0.25">
      <c r="A34" t="s">
        <v>163</v>
      </c>
      <c r="B34" t="s">
        <v>2640</v>
      </c>
      <c r="D34">
        <v>94464</v>
      </c>
      <c r="E34" t="str">
        <f t="shared" si="0"/>
        <v>ia.assorted_string like '%94464-08-2024%' or</v>
      </c>
    </row>
    <row r="35" spans="1:5" x14ac:dyDescent="0.25">
      <c r="A35" t="s">
        <v>164</v>
      </c>
      <c r="B35" t="s">
        <v>2640</v>
      </c>
      <c r="D35">
        <v>94465</v>
      </c>
      <c r="E35" t="str">
        <f t="shared" si="0"/>
        <v>ia.assorted_string like '%94465-08-2024%' or</v>
      </c>
    </row>
    <row r="36" spans="1:5" x14ac:dyDescent="0.25">
      <c r="A36" t="s">
        <v>165</v>
      </c>
      <c r="B36" t="s">
        <v>2640</v>
      </c>
      <c r="D36">
        <v>94467</v>
      </c>
      <c r="E36" t="str">
        <f t="shared" si="0"/>
        <v>ia.assorted_string like '%94467-08-2024%' or</v>
      </c>
    </row>
    <row r="37" spans="1:5" x14ac:dyDescent="0.25">
      <c r="A37" t="s">
        <v>166</v>
      </c>
      <c r="B37" t="s">
        <v>2640</v>
      </c>
      <c r="D37">
        <v>94468</v>
      </c>
      <c r="E37" t="str">
        <f t="shared" si="0"/>
        <v>ia.assorted_string like '%94468-08-2024%' or</v>
      </c>
    </row>
    <row r="38" spans="1:5" x14ac:dyDescent="0.25">
      <c r="A38" t="s">
        <v>167</v>
      </c>
      <c r="B38" t="s">
        <v>2640</v>
      </c>
      <c r="D38">
        <v>94469</v>
      </c>
      <c r="E38" t="str">
        <f t="shared" si="0"/>
        <v>ia.assorted_string like '%94469-08-2024%' or</v>
      </c>
    </row>
    <row r="39" spans="1:5" x14ac:dyDescent="0.25">
      <c r="A39" t="s">
        <v>168</v>
      </c>
      <c r="B39" t="s">
        <v>2640</v>
      </c>
      <c r="D39">
        <v>94470</v>
      </c>
      <c r="E39" t="str">
        <f t="shared" si="0"/>
        <v>ia.assorted_string like '%94470-08-2024%' or</v>
      </c>
    </row>
    <row r="40" spans="1:5" x14ac:dyDescent="0.25">
      <c r="A40" t="s">
        <v>169</v>
      </c>
      <c r="B40" t="s">
        <v>2640</v>
      </c>
      <c r="D40">
        <v>94472</v>
      </c>
      <c r="E40" t="str">
        <f t="shared" si="0"/>
        <v>ia.assorted_string like '%94472-08-2024%' or</v>
      </c>
    </row>
    <row r="41" spans="1:5" x14ac:dyDescent="0.25">
      <c r="A41" t="s">
        <v>170</v>
      </c>
      <c r="B41" t="s">
        <v>2640</v>
      </c>
      <c r="D41">
        <v>94473</v>
      </c>
      <c r="E41" t="str">
        <f t="shared" si="0"/>
        <v>ia.assorted_string like '%94473-08-2024%' or</v>
      </c>
    </row>
    <row r="42" spans="1:5" x14ac:dyDescent="0.25">
      <c r="A42" t="s">
        <v>171</v>
      </c>
      <c r="B42" t="s">
        <v>2640</v>
      </c>
      <c r="D42">
        <v>94474</v>
      </c>
      <c r="E42" t="str">
        <f t="shared" si="0"/>
        <v>ia.assorted_string like '%94474-08-2024%' or</v>
      </c>
    </row>
    <row r="43" spans="1:5" x14ac:dyDescent="0.25">
      <c r="A43" t="s">
        <v>172</v>
      </c>
      <c r="B43" t="s">
        <v>2640</v>
      </c>
      <c r="D43">
        <v>94475</v>
      </c>
      <c r="E43" t="str">
        <f t="shared" si="0"/>
        <v>ia.assorted_string like '%94475-08-2024%' or</v>
      </c>
    </row>
    <row r="44" spans="1:5" x14ac:dyDescent="0.25">
      <c r="A44" t="s">
        <v>173</v>
      </c>
      <c r="B44" t="s">
        <v>2640</v>
      </c>
      <c r="D44">
        <v>94476</v>
      </c>
      <c r="E44" t="str">
        <f t="shared" si="0"/>
        <v>ia.assorted_string like '%94476-08-2024%' or</v>
      </c>
    </row>
    <row r="45" spans="1:5" x14ac:dyDescent="0.25">
      <c r="A45" t="s">
        <v>174</v>
      </c>
      <c r="B45" t="s">
        <v>2640</v>
      </c>
      <c r="D45">
        <v>94486</v>
      </c>
      <c r="E45" t="str">
        <f t="shared" si="0"/>
        <v>ia.assorted_string like '%94486-08-2024%' or</v>
      </c>
    </row>
    <row r="46" spans="1:5" x14ac:dyDescent="0.25">
      <c r="A46" t="s">
        <v>175</v>
      </c>
      <c r="B46" t="s">
        <v>2640</v>
      </c>
      <c r="D46">
        <v>94492</v>
      </c>
      <c r="E46" t="str">
        <f t="shared" si="0"/>
        <v>ia.assorted_string like '%94492-08-2024%' or</v>
      </c>
    </row>
    <row r="47" spans="1:5" x14ac:dyDescent="0.25">
      <c r="A47" t="s">
        <v>176</v>
      </c>
      <c r="B47" t="s">
        <v>2640</v>
      </c>
      <c r="D47">
        <v>94493</v>
      </c>
      <c r="E47" t="str">
        <f t="shared" si="0"/>
        <v>ia.assorted_string like '%94493-08-2024%' or</v>
      </c>
    </row>
    <row r="48" spans="1:5" x14ac:dyDescent="0.25">
      <c r="A48" t="s">
        <v>177</v>
      </c>
      <c r="B48" t="s">
        <v>2640</v>
      </c>
      <c r="D48">
        <v>94497</v>
      </c>
      <c r="E48" t="str">
        <f t="shared" si="0"/>
        <v>ia.assorted_string like '%94497-08-2024%' or</v>
      </c>
    </row>
    <row r="49" spans="1:5" x14ac:dyDescent="0.25">
      <c r="A49" t="s">
        <v>178</v>
      </c>
      <c r="B49" t="s">
        <v>2640</v>
      </c>
      <c r="D49">
        <v>94498</v>
      </c>
      <c r="E49" t="str">
        <f t="shared" si="0"/>
        <v>ia.assorted_string like '%94498-08-2024%' or</v>
      </c>
    </row>
    <row r="50" spans="1:5" x14ac:dyDescent="0.25">
      <c r="A50" t="s">
        <v>179</v>
      </c>
      <c r="B50" t="s">
        <v>2640</v>
      </c>
      <c r="D50">
        <v>94510</v>
      </c>
      <c r="E50" t="str">
        <f t="shared" si="0"/>
        <v>ia.assorted_string like '%94510-08-2024%' or</v>
      </c>
    </row>
    <row r="51" spans="1:5" x14ac:dyDescent="0.25">
      <c r="A51" t="s">
        <v>180</v>
      </c>
      <c r="B51" t="s">
        <v>2640</v>
      </c>
      <c r="D51">
        <v>94511</v>
      </c>
      <c r="E51" t="str">
        <f t="shared" si="0"/>
        <v>ia.assorted_string like '%94511-08-2024%' or</v>
      </c>
    </row>
    <row r="52" spans="1:5" x14ac:dyDescent="0.25">
      <c r="A52" t="s">
        <v>181</v>
      </c>
      <c r="B52" t="s">
        <v>2640</v>
      </c>
      <c r="D52">
        <v>94515</v>
      </c>
      <c r="E52" t="str">
        <f t="shared" si="0"/>
        <v>ia.assorted_string like '%94515-08-2024%' or</v>
      </c>
    </row>
    <row r="53" spans="1:5" x14ac:dyDescent="0.25">
      <c r="A53" t="s">
        <v>182</v>
      </c>
      <c r="B53" t="s">
        <v>2640</v>
      </c>
      <c r="D53">
        <v>94516</v>
      </c>
      <c r="E53" t="str">
        <f t="shared" si="0"/>
        <v>ia.assorted_string like '%94516-08-2024%' or</v>
      </c>
    </row>
    <row r="54" spans="1:5" x14ac:dyDescent="0.25">
      <c r="A54" t="s">
        <v>183</v>
      </c>
      <c r="B54" t="s">
        <v>2640</v>
      </c>
      <c r="D54">
        <v>94517</v>
      </c>
      <c r="E54" t="str">
        <f t="shared" si="0"/>
        <v>ia.assorted_string like '%94517-08-2024%' or</v>
      </c>
    </row>
    <row r="55" spans="1:5" x14ac:dyDescent="0.25">
      <c r="A55" t="s">
        <v>184</v>
      </c>
      <c r="B55" t="s">
        <v>2640</v>
      </c>
      <c r="D55">
        <v>94518</v>
      </c>
      <c r="E55" t="str">
        <f t="shared" si="0"/>
        <v>ia.assorted_string like '%94518-08-2024%' or</v>
      </c>
    </row>
    <row r="56" spans="1:5" x14ac:dyDescent="0.25">
      <c r="A56" t="s">
        <v>185</v>
      </c>
      <c r="B56" t="s">
        <v>2640</v>
      </c>
      <c r="D56">
        <v>94519</v>
      </c>
      <c r="E56" t="str">
        <f t="shared" si="0"/>
        <v>ia.assorted_string like '%94519-08-2024%' or</v>
      </c>
    </row>
    <row r="57" spans="1:5" x14ac:dyDescent="0.25">
      <c r="A57" t="s">
        <v>186</v>
      </c>
      <c r="B57" t="s">
        <v>2640</v>
      </c>
      <c r="D57">
        <v>94520</v>
      </c>
      <c r="E57" t="str">
        <f t="shared" si="0"/>
        <v>ia.assorted_string like '%94520-08-2024%' or</v>
      </c>
    </row>
    <row r="58" spans="1:5" x14ac:dyDescent="0.25">
      <c r="A58" t="s">
        <v>187</v>
      </c>
      <c r="B58" t="s">
        <v>2640</v>
      </c>
      <c r="D58">
        <v>94521</v>
      </c>
      <c r="E58" t="str">
        <f t="shared" si="0"/>
        <v>ia.assorted_string like '%94521-08-2024%' or</v>
      </c>
    </row>
    <row r="59" spans="1:5" x14ac:dyDescent="0.25">
      <c r="A59" t="s">
        <v>188</v>
      </c>
      <c r="B59" t="s">
        <v>2640</v>
      </c>
      <c r="D59">
        <v>94522</v>
      </c>
      <c r="E59" t="str">
        <f t="shared" si="0"/>
        <v>ia.assorted_string like '%94522-08-2024%' or</v>
      </c>
    </row>
    <row r="60" spans="1:5" x14ac:dyDescent="0.25">
      <c r="A60" t="s">
        <v>189</v>
      </c>
      <c r="B60" t="s">
        <v>2640</v>
      </c>
      <c r="D60">
        <v>94523</v>
      </c>
      <c r="E60" t="str">
        <f t="shared" si="0"/>
        <v>ia.assorted_string like '%94523-08-2024%' or</v>
      </c>
    </row>
    <row r="61" spans="1:5" x14ac:dyDescent="0.25">
      <c r="A61" t="s">
        <v>190</v>
      </c>
      <c r="B61" t="s">
        <v>2640</v>
      </c>
      <c r="D61">
        <v>94524</v>
      </c>
      <c r="E61" t="str">
        <f t="shared" si="0"/>
        <v>ia.assorted_string like '%94524-08-2024%' or</v>
      </c>
    </row>
    <row r="62" spans="1:5" x14ac:dyDescent="0.25">
      <c r="A62" t="s">
        <v>191</v>
      </c>
      <c r="B62" t="s">
        <v>2640</v>
      </c>
      <c r="D62">
        <v>94525</v>
      </c>
      <c r="E62" t="str">
        <f t="shared" si="0"/>
        <v>ia.assorted_string like '%94525-08-2024%' or</v>
      </c>
    </row>
    <row r="63" spans="1:5" x14ac:dyDescent="0.25">
      <c r="A63" t="s">
        <v>192</v>
      </c>
      <c r="B63" t="s">
        <v>2640</v>
      </c>
      <c r="D63">
        <v>94526</v>
      </c>
      <c r="E63" t="str">
        <f t="shared" si="0"/>
        <v>ia.assorted_string like '%94526-08-2024%' or</v>
      </c>
    </row>
    <row r="64" spans="1:5" x14ac:dyDescent="0.25">
      <c r="A64" t="s">
        <v>193</v>
      </c>
      <c r="B64" t="s">
        <v>2640</v>
      </c>
      <c r="D64">
        <v>94527</v>
      </c>
      <c r="E64" t="str">
        <f t="shared" si="0"/>
        <v>ia.assorted_string like '%94527-08-2024%' or</v>
      </c>
    </row>
    <row r="65" spans="1:5" x14ac:dyDescent="0.25">
      <c r="A65" t="s">
        <v>194</v>
      </c>
      <c r="B65" t="s">
        <v>2640</v>
      </c>
      <c r="D65">
        <v>94528</v>
      </c>
      <c r="E65" t="str">
        <f t="shared" si="0"/>
        <v>ia.assorted_string like '%94528-08-2024%' or</v>
      </c>
    </row>
    <row r="66" spans="1:5" x14ac:dyDescent="0.25">
      <c r="A66" t="s">
        <v>195</v>
      </c>
      <c r="B66" t="s">
        <v>2640</v>
      </c>
      <c r="D66">
        <v>94529</v>
      </c>
      <c r="E66" t="str">
        <f t="shared" ref="E66:E129" si="1">"ia.assorted_string like '%"&amp;D66&amp;B66&amp;"%' or"</f>
        <v>ia.assorted_string like '%94529-08-2024%' or</v>
      </c>
    </row>
    <row r="67" spans="1:5" x14ac:dyDescent="0.25">
      <c r="A67" t="s">
        <v>196</v>
      </c>
      <c r="B67" t="s">
        <v>2640</v>
      </c>
      <c r="D67">
        <v>94530</v>
      </c>
      <c r="E67" t="str">
        <f t="shared" si="1"/>
        <v>ia.assorted_string like '%94530-08-2024%' or</v>
      </c>
    </row>
    <row r="68" spans="1:5" x14ac:dyDescent="0.25">
      <c r="A68" t="s">
        <v>197</v>
      </c>
      <c r="B68" t="s">
        <v>2640</v>
      </c>
      <c r="D68">
        <v>94531</v>
      </c>
      <c r="E68" t="str">
        <f t="shared" si="1"/>
        <v>ia.assorted_string like '%94531-08-2024%' or</v>
      </c>
    </row>
    <row r="69" spans="1:5" x14ac:dyDescent="0.25">
      <c r="A69" t="s">
        <v>198</v>
      </c>
      <c r="B69" t="s">
        <v>2640</v>
      </c>
      <c r="D69">
        <v>94532</v>
      </c>
      <c r="E69" t="str">
        <f t="shared" si="1"/>
        <v>ia.assorted_string like '%94532-08-2024%' or</v>
      </c>
    </row>
    <row r="70" spans="1:5" x14ac:dyDescent="0.25">
      <c r="A70" t="s">
        <v>199</v>
      </c>
      <c r="B70" t="s">
        <v>2640</v>
      </c>
      <c r="D70">
        <v>94533</v>
      </c>
      <c r="E70" t="str">
        <f t="shared" si="1"/>
        <v>ia.assorted_string like '%94533-08-2024%' or</v>
      </c>
    </row>
    <row r="71" spans="1:5" x14ac:dyDescent="0.25">
      <c r="A71" t="s">
        <v>200</v>
      </c>
      <c r="B71" t="s">
        <v>2640</v>
      </c>
      <c r="D71">
        <v>94536</v>
      </c>
      <c r="E71" t="str">
        <f t="shared" si="1"/>
        <v>ia.assorted_string like '%94536-08-2024%' or</v>
      </c>
    </row>
    <row r="72" spans="1:5" x14ac:dyDescent="0.25">
      <c r="A72" t="s">
        <v>201</v>
      </c>
      <c r="B72" t="s">
        <v>2640</v>
      </c>
      <c r="D72">
        <v>94537</v>
      </c>
      <c r="E72" t="str">
        <f t="shared" si="1"/>
        <v>ia.assorted_string like '%94537-08-2024%' or</v>
      </c>
    </row>
    <row r="73" spans="1:5" x14ac:dyDescent="0.25">
      <c r="A73" t="s">
        <v>202</v>
      </c>
      <c r="B73" t="s">
        <v>2640</v>
      </c>
      <c r="D73">
        <v>94538</v>
      </c>
      <c r="E73" t="str">
        <f t="shared" si="1"/>
        <v>ia.assorted_string like '%94538-08-2024%' or</v>
      </c>
    </row>
    <row r="74" spans="1:5" x14ac:dyDescent="0.25">
      <c r="A74" t="s">
        <v>203</v>
      </c>
      <c r="B74" t="s">
        <v>2640</v>
      </c>
      <c r="D74">
        <v>94539</v>
      </c>
      <c r="E74" t="str">
        <f t="shared" si="1"/>
        <v>ia.assorted_string like '%94539-08-2024%' or</v>
      </c>
    </row>
    <row r="75" spans="1:5" x14ac:dyDescent="0.25">
      <c r="A75" t="s">
        <v>204</v>
      </c>
      <c r="B75" t="s">
        <v>2640</v>
      </c>
      <c r="D75">
        <v>94541</v>
      </c>
      <c r="E75" t="str">
        <f t="shared" si="1"/>
        <v>ia.assorted_string like '%94541-08-2024%' or</v>
      </c>
    </row>
    <row r="76" spans="1:5" x14ac:dyDescent="0.25">
      <c r="A76" t="s">
        <v>205</v>
      </c>
      <c r="B76" t="s">
        <v>2640</v>
      </c>
      <c r="D76">
        <v>94542</v>
      </c>
      <c r="E76" t="str">
        <f t="shared" si="1"/>
        <v>ia.assorted_string like '%94542-08-2024%' or</v>
      </c>
    </row>
    <row r="77" spans="1:5" x14ac:dyDescent="0.25">
      <c r="A77" t="s">
        <v>206</v>
      </c>
      <c r="B77" t="s">
        <v>2640</v>
      </c>
      <c r="D77">
        <v>94543</v>
      </c>
      <c r="E77" t="str">
        <f t="shared" si="1"/>
        <v>ia.assorted_string like '%94543-08-2024%' or</v>
      </c>
    </row>
    <row r="78" spans="1:5" x14ac:dyDescent="0.25">
      <c r="A78" t="s">
        <v>207</v>
      </c>
      <c r="B78" t="s">
        <v>2640</v>
      </c>
      <c r="D78">
        <v>94544</v>
      </c>
      <c r="E78" t="str">
        <f t="shared" si="1"/>
        <v>ia.assorted_string like '%94544-08-2024%' or</v>
      </c>
    </row>
    <row r="79" spans="1:5" x14ac:dyDescent="0.25">
      <c r="A79" t="s">
        <v>208</v>
      </c>
      <c r="B79" t="s">
        <v>2640</v>
      </c>
      <c r="D79">
        <v>94545</v>
      </c>
      <c r="E79" t="str">
        <f t="shared" si="1"/>
        <v>ia.assorted_string like '%94545-08-2024%' or</v>
      </c>
    </row>
    <row r="80" spans="1:5" x14ac:dyDescent="0.25">
      <c r="A80" t="s">
        <v>209</v>
      </c>
      <c r="B80" t="s">
        <v>2640</v>
      </c>
      <c r="D80">
        <v>94546</v>
      </c>
      <c r="E80" t="str">
        <f t="shared" si="1"/>
        <v>ia.assorted_string like '%94546-08-2024%' or</v>
      </c>
    </row>
    <row r="81" spans="1:5" x14ac:dyDescent="0.25">
      <c r="A81" t="s">
        <v>210</v>
      </c>
      <c r="B81" t="s">
        <v>2640</v>
      </c>
      <c r="D81">
        <v>94547</v>
      </c>
      <c r="E81" t="str">
        <f t="shared" si="1"/>
        <v>ia.assorted_string like '%94547-08-2024%' or</v>
      </c>
    </row>
    <row r="82" spans="1:5" x14ac:dyDescent="0.25">
      <c r="A82" t="s">
        <v>211</v>
      </c>
      <c r="B82" t="s">
        <v>2640</v>
      </c>
      <c r="D82">
        <v>94548</v>
      </c>
      <c r="E82" t="str">
        <f t="shared" si="1"/>
        <v>ia.assorted_string like '%94548-08-2024%' or</v>
      </c>
    </row>
    <row r="83" spans="1:5" x14ac:dyDescent="0.25">
      <c r="A83" t="s">
        <v>212</v>
      </c>
      <c r="B83" t="s">
        <v>2640</v>
      </c>
      <c r="D83">
        <v>94549</v>
      </c>
      <c r="E83" t="str">
        <f t="shared" si="1"/>
        <v>ia.assorted_string like '%94549-08-2024%' or</v>
      </c>
    </row>
    <row r="84" spans="1:5" x14ac:dyDescent="0.25">
      <c r="A84" t="s">
        <v>213</v>
      </c>
      <c r="B84" t="s">
        <v>2640</v>
      </c>
      <c r="D84">
        <v>94550</v>
      </c>
      <c r="E84" t="str">
        <f t="shared" si="1"/>
        <v>ia.assorted_string like '%94550-08-2024%' or</v>
      </c>
    </row>
    <row r="85" spans="1:5" x14ac:dyDescent="0.25">
      <c r="A85" t="s">
        <v>214</v>
      </c>
      <c r="B85" t="s">
        <v>2640</v>
      </c>
      <c r="D85">
        <v>94551</v>
      </c>
      <c r="E85" t="str">
        <f t="shared" si="1"/>
        <v>ia.assorted_string like '%94551-08-2024%' or</v>
      </c>
    </row>
    <row r="86" spans="1:5" x14ac:dyDescent="0.25">
      <c r="A86" t="s">
        <v>215</v>
      </c>
      <c r="B86" t="s">
        <v>2640</v>
      </c>
      <c r="D86">
        <v>94552</v>
      </c>
      <c r="E86" t="str">
        <f t="shared" si="1"/>
        <v>ia.assorted_string like '%94552-08-2024%' or</v>
      </c>
    </row>
    <row r="87" spans="1:5" x14ac:dyDescent="0.25">
      <c r="A87" t="s">
        <v>216</v>
      </c>
      <c r="B87" t="s">
        <v>2640</v>
      </c>
      <c r="D87">
        <v>94553</v>
      </c>
      <c r="E87" t="str">
        <f t="shared" si="1"/>
        <v>ia.assorted_string like '%94553-08-2024%' or</v>
      </c>
    </row>
    <row r="88" spans="1:5" x14ac:dyDescent="0.25">
      <c r="A88" t="s">
        <v>217</v>
      </c>
      <c r="B88" t="s">
        <v>2640</v>
      </c>
      <c r="D88">
        <v>94554</v>
      </c>
      <c r="E88" t="str">
        <f t="shared" si="1"/>
        <v>ia.assorted_string like '%94554-08-2024%' or</v>
      </c>
    </row>
    <row r="89" spans="1:5" x14ac:dyDescent="0.25">
      <c r="A89" t="s">
        <v>218</v>
      </c>
      <c r="B89" t="s">
        <v>2640</v>
      </c>
      <c r="D89">
        <v>94555</v>
      </c>
      <c r="E89" t="str">
        <f t="shared" si="1"/>
        <v>ia.assorted_string like '%94555-08-2024%' or</v>
      </c>
    </row>
    <row r="90" spans="1:5" x14ac:dyDescent="0.25">
      <c r="A90" t="s">
        <v>219</v>
      </c>
      <c r="B90" t="s">
        <v>2640</v>
      </c>
      <c r="D90">
        <v>94556</v>
      </c>
      <c r="E90" t="str">
        <f t="shared" si="1"/>
        <v>ia.assorted_string like '%94556-08-2024%' or</v>
      </c>
    </row>
    <row r="91" spans="1:5" x14ac:dyDescent="0.25">
      <c r="A91" t="s">
        <v>220</v>
      </c>
      <c r="B91" t="s">
        <v>2640</v>
      </c>
      <c r="D91">
        <v>94557</v>
      </c>
      <c r="E91" t="str">
        <f t="shared" si="1"/>
        <v>ia.assorted_string like '%94557-08-2024%' or</v>
      </c>
    </row>
    <row r="92" spans="1:5" x14ac:dyDescent="0.25">
      <c r="A92" t="s">
        <v>221</v>
      </c>
      <c r="B92" t="s">
        <v>2640</v>
      </c>
      <c r="D92">
        <v>94558</v>
      </c>
      <c r="E92" t="str">
        <f t="shared" si="1"/>
        <v>ia.assorted_string like '%94558-08-2024%' or</v>
      </c>
    </row>
    <row r="93" spans="1:5" x14ac:dyDescent="0.25">
      <c r="A93" t="s">
        <v>222</v>
      </c>
      <c r="B93" t="s">
        <v>2640</v>
      </c>
      <c r="D93">
        <v>94559</v>
      </c>
      <c r="E93" t="str">
        <f t="shared" si="1"/>
        <v>ia.assorted_string like '%94559-08-2024%' or</v>
      </c>
    </row>
    <row r="94" spans="1:5" x14ac:dyDescent="0.25">
      <c r="A94" t="s">
        <v>223</v>
      </c>
      <c r="B94" t="s">
        <v>2640</v>
      </c>
      <c r="D94">
        <v>94560</v>
      </c>
      <c r="E94" t="str">
        <f t="shared" si="1"/>
        <v>ia.assorted_string like '%94560-08-2024%' or</v>
      </c>
    </row>
    <row r="95" spans="1:5" x14ac:dyDescent="0.25">
      <c r="A95" t="s">
        <v>224</v>
      </c>
      <c r="B95" t="s">
        <v>2640</v>
      </c>
      <c r="D95">
        <v>94561</v>
      </c>
      <c r="E95" t="str">
        <f t="shared" si="1"/>
        <v>ia.assorted_string like '%94561-08-2024%' or</v>
      </c>
    </row>
    <row r="96" spans="1:5" x14ac:dyDescent="0.25">
      <c r="A96" t="s">
        <v>225</v>
      </c>
      <c r="B96" t="s">
        <v>2640</v>
      </c>
      <c r="D96">
        <v>94591</v>
      </c>
      <c r="E96" t="str">
        <f t="shared" si="1"/>
        <v>ia.assorted_string like '%94591-08-2024%' or</v>
      </c>
    </row>
    <row r="97" spans="1:5" x14ac:dyDescent="0.25">
      <c r="A97" t="s">
        <v>226</v>
      </c>
      <c r="B97" t="s">
        <v>2640</v>
      </c>
      <c r="D97">
        <v>94592</v>
      </c>
      <c r="E97" t="str">
        <f t="shared" si="1"/>
        <v>ia.assorted_string like '%94592-08-2024%' or</v>
      </c>
    </row>
    <row r="98" spans="1:5" x14ac:dyDescent="0.25">
      <c r="A98" t="s">
        <v>227</v>
      </c>
      <c r="B98" t="s">
        <v>2640</v>
      </c>
      <c r="D98">
        <v>94593</v>
      </c>
      <c r="E98" t="str">
        <f t="shared" si="1"/>
        <v>ia.assorted_string like '%94593-08-2024%' or</v>
      </c>
    </row>
    <row r="99" spans="1:5" x14ac:dyDescent="0.25">
      <c r="A99" t="s">
        <v>228</v>
      </c>
      <c r="B99" t="s">
        <v>2640</v>
      </c>
      <c r="D99">
        <v>94594</v>
      </c>
      <c r="E99" t="str">
        <f t="shared" si="1"/>
        <v>ia.assorted_string like '%94594-08-2024%' or</v>
      </c>
    </row>
    <row r="100" spans="1:5" x14ac:dyDescent="0.25">
      <c r="A100" t="s">
        <v>229</v>
      </c>
      <c r="B100" t="s">
        <v>2640</v>
      </c>
      <c r="D100">
        <v>94595</v>
      </c>
      <c r="E100" t="str">
        <f t="shared" si="1"/>
        <v>ia.assorted_string like '%94595-08-2024%' or</v>
      </c>
    </row>
    <row r="101" spans="1:5" x14ac:dyDescent="0.25">
      <c r="A101" t="s">
        <v>230</v>
      </c>
      <c r="B101" t="s">
        <v>2640</v>
      </c>
      <c r="D101">
        <v>94598</v>
      </c>
      <c r="E101" t="str">
        <f t="shared" si="1"/>
        <v>ia.assorted_string like '%94598-08-2024%' or</v>
      </c>
    </row>
    <row r="102" spans="1:5" x14ac:dyDescent="0.25">
      <c r="A102" t="s">
        <v>231</v>
      </c>
      <c r="B102" t="s">
        <v>2640</v>
      </c>
      <c r="D102">
        <v>94599</v>
      </c>
      <c r="E102" t="str">
        <f t="shared" si="1"/>
        <v>ia.assorted_string like '%94599-08-2024%' or</v>
      </c>
    </row>
    <row r="103" spans="1:5" x14ac:dyDescent="0.25">
      <c r="A103" t="s">
        <v>232</v>
      </c>
      <c r="B103" t="s">
        <v>2640</v>
      </c>
      <c r="D103">
        <v>94601</v>
      </c>
      <c r="E103" t="str">
        <f t="shared" si="1"/>
        <v>ia.assorted_string like '%94601-08-2024%' or</v>
      </c>
    </row>
    <row r="104" spans="1:5" x14ac:dyDescent="0.25">
      <c r="A104" t="s">
        <v>233</v>
      </c>
      <c r="B104" t="s">
        <v>2640</v>
      </c>
      <c r="D104">
        <v>94604</v>
      </c>
      <c r="E104" t="str">
        <f t="shared" si="1"/>
        <v>ia.assorted_string like '%94604-08-2024%' or</v>
      </c>
    </row>
    <row r="105" spans="1:5" x14ac:dyDescent="0.25">
      <c r="A105" t="s">
        <v>234</v>
      </c>
      <c r="B105" t="s">
        <v>2640</v>
      </c>
      <c r="D105">
        <v>94618</v>
      </c>
      <c r="E105" t="str">
        <f t="shared" si="1"/>
        <v>ia.assorted_string like '%94618-08-2024%' or</v>
      </c>
    </row>
    <row r="106" spans="1:5" x14ac:dyDescent="0.25">
      <c r="A106" t="s">
        <v>235</v>
      </c>
      <c r="B106" t="s">
        <v>2640</v>
      </c>
      <c r="D106">
        <v>94623</v>
      </c>
      <c r="E106" t="str">
        <f t="shared" si="1"/>
        <v>ia.assorted_string like '%94623-08-2024%' or</v>
      </c>
    </row>
    <row r="107" spans="1:5" x14ac:dyDescent="0.25">
      <c r="A107" t="s">
        <v>236</v>
      </c>
      <c r="B107" t="s">
        <v>2640</v>
      </c>
      <c r="D107">
        <v>94625</v>
      </c>
      <c r="E107" t="str">
        <f t="shared" si="1"/>
        <v>ia.assorted_string like '%94625-08-2024%' or</v>
      </c>
    </row>
    <row r="108" spans="1:5" x14ac:dyDescent="0.25">
      <c r="A108" t="s">
        <v>237</v>
      </c>
      <c r="B108" t="s">
        <v>2640</v>
      </c>
      <c r="D108">
        <v>94627</v>
      </c>
      <c r="E108" t="str">
        <f t="shared" si="1"/>
        <v>ia.assorted_string like '%94627-08-2024%' or</v>
      </c>
    </row>
    <row r="109" spans="1:5" x14ac:dyDescent="0.25">
      <c r="A109" t="s">
        <v>238</v>
      </c>
      <c r="B109" t="s">
        <v>2640</v>
      </c>
      <c r="D109">
        <v>94628</v>
      </c>
      <c r="E109" t="str">
        <f t="shared" si="1"/>
        <v>ia.assorted_string like '%94628-08-2024%' or</v>
      </c>
    </row>
    <row r="110" spans="1:5" x14ac:dyDescent="0.25">
      <c r="A110" t="s">
        <v>239</v>
      </c>
      <c r="B110" t="s">
        <v>2640</v>
      </c>
      <c r="D110">
        <v>94629</v>
      </c>
      <c r="E110" t="str">
        <f t="shared" si="1"/>
        <v>ia.assorted_string like '%94629-08-2024%' or</v>
      </c>
    </row>
    <row r="111" spans="1:5" x14ac:dyDescent="0.25">
      <c r="A111" t="s">
        <v>240</v>
      </c>
      <c r="B111" t="s">
        <v>2640</v>
      </c>
      <c r="D111">
        <v>94631</v>
      </c>
      <c r="E111" t="str">
        <f t="shared" si="1"/>
        <v>ia.assorted_string like '%94631-08-2024%' or</v>
      </c>
    </row>
    <row r="112" spans="1:5" x14ac:dyDescent="0.25">
      <c r="A112" t="s">
        <v>241</v>
      </c>
      <c r="B112" t="s">
        <v>2640</v>
      </c>
      <c r="D112">
        <v>94633</v>
      </c>
      <c r="E112" t="str">
        <f t="shared" si="1"/>
        <v>ia.assorted_string like '%94633-08-2024%' or</v>
      </c>
    </row>
    <row r="113" spans="1:5" x14ac:dyDescent="0.25">
      <c r="A113" t="s">
        <v>242</v>
      </c>
      <c r="B113" t="s">
        <v>2640</v>
      </c>
      <c r="D113">
        <v>94634</v>
      </c>
      <c r="E113" t="str">
        <f t="shared" si="1"/>
        <v>ia.assorted_string like '%94634-08-2024%' or</v>
      </c>
    </row>
    <row r="114" spans="1:5" x14ac:dyDescent="0.25">
      <c r="A114" t="s">
        <v>243</v>
      </c>
      <c r="B114" t="s">
        <v>2640</v>
      </c>
      <c r="D114">
        <v>94636</v>
      </c>
      <c r="E114" t="str">
        <f t="shared" si="1"/>
        <v>ia.assorted_string like '%94636-08-2024%' or</v>
      </c>
    </row>
    <row r="115" spans="1:5" x14ac:dyDescent="0.25">
      <c r="A115" t="s">
        <v>244</v>
      </c>
      <c r="B115" t="s">
        <v>2640</v>
      </c>
      <c r="D115">
        <v>94638</v>
      </c>
      <c r="E115" t="str">
        <f t="shared" si="1"/>
        <v>ia.assorted_string like '%94638-08-2024%' or</v>
      </c>
    </row>
    <row r="116" spans="1:5" x14ac:dyDescent="0.25">
      <c r="A116" t="s">
        <v>245</v>
      </c>
      <c r="B116" t="s">
        <v>2640</v>
      </c>
      <c r="D116">
        <v>94641</v>
      </c>
      <c r="E116" t="str">
        <f t="shared" si="1"/>
        <v>ia.assorted_string like '%94641-08-2024%' or</v>
      </c>
    </row>
    <row r="117" spans="1:5" x14ac:dyDescent="0.25">
      <c r="A117" t="s">
        <v>246</v>
      </c>
      <c r="B117" t="s">
        <v>2640</v>
      </c>
      <c r="D117">
        <v>94646</v>
      </c>
      <c r="E117" t="str">
        <f t="shared" si="1"/>
        <v>ia.assorted_string like '%94646-08-2024%' or</v>
      </c>
    </row>
    <row r="118" spans="1:5" x14ac:dyDescent="0.25">
      <c r="A118" t="s">
        <v>247</v>
      </c>
      <c r="B118" t="s">
        <v>2640</v>
      </c>
      <c r="D118">
        <v>94650</v>
      </c>
      <c r="E118" t="str">
        <f t="shared" si="1"/>
        <v>ia.assorted_string like '%94650-08-2024%' or</v>
      </c>
    </row>
    <row r="119" spans="1:5" x14ac:dyDescent="0.25">
      <c r="A119" t="s">
        <v>248</v>
      </c>
      <c r="B119" t="s">
        <v>2640</v>
      </c>
      <c r="D119">
        <v>94653</v>
      </c>
      <c r="E119" t="str">
        <f t="shared" si="1"/>
        <v>ia.assorted_string like '%94653-08-2024%' or</v>
      </c>
    </row>
    <row r="120" spans="1:5" x14ac:dyDescent="0.25">
      <c r="A120" t="s">
        <v>249</v>
      </c>
      <c r="B120" t="s">
        <v>2640</v>
      </c>
      <c r="D120">
        <v>94658</v>
      </c>
      <c r="E120" t="str">
        <f t="shared" si="1"/>
        <v>ia.assorted_string like '%94658-08-2024%' or</v>
      </c>
    </row>
    <row r="121" spans="1:5" x14ac:dyDescent="0.25">
      <c r="A121" t="s">
        <v>250</v>
      </c>
      <c r="B121" t="s">
        <v>2640</v>
      </c>
      <c r="D121">
        <v>94659</v>
      </c>
      <c r="E121" t="str">
        <f t="shared" si="1"/>
        <v>ia.assorted_string like '%94659-08-2024%' or</v>
      </c>
    </row>
    <row r="122" spans="1:5" x14ac:dyDescent="0.25">
      <c r="A122" t="s">
        <v>251</v>
      </c>
      <c r="B122" t="s">
        <v>2640</v>
      </c>
      <c r="D122">
        <v>94660</v>
      </c>
      <c r="E122" t="str">
        <f t="shared" si="1"/>
        <v>ia.assorted_string like '%94660-08-2024%' or</v>
      </c>
    </row>
    <row r="123" spans="1:5" x14ac:dyDescent="0.25">
      <c r="A123" t="s">
        <v>252</v>
      </c>
      <c r="B123" t="s">
        <v>2640</v>
      </c>
      <c r="D123">
        <v>94661</v>
      </c>
      <c r="E123" t="str">
        <f t="shared" si="1"/>
        <v>ia.assorted_string like '%94661-08-2024%' or</v>
      </c>
    </row>
    <row r="124" spans="1:5" x14ac:dyDescent="0.25">
      <c r="A124" t="s">
        <v>253</v>
      </c>
      <c r="B124" t="s">
        <v>2640</v>
      </c>
      <c r="D124">
        <v>94662</v>
      </c>
      <c r="E124" t="str">
        <f t="shared" si="1"/>
        <v>ia.assorted_string like '%94662-08-2024%' or</v>
      </c>
    </row>
    <row r="125" spans="1:5" x14ac:dyDescent="0.25">
      <c r="A125" t="s">
        <v>254</v>
      </c>
      <c r="B125" t="s">
        <v>2640</v>
      </c>
      <c r="D125">
        <v>94663</v>
      </c>
      <c r="E125" t="str">
        <f t="shared" si="1"/>
        <v>ia.assorted_string like '%94663-08-2024%' or</v>
      </c>
    </row>
    <row r="126" spans="1:5" x14ac:dyDescent="0.25">
      <c r="A126" t="s">
        <v>255</v>
      </c>
      <c r="B126" t="s">
        <v>2640</v>
      </c>
      <c r="D126">
        <v>94664</v>
      </c>
      <c r="E126" t="str">
        <f t="shared" si="1"/>
        <v>ia.assorted_string like '%94664-08-2024%' or</v>
      </c>
    </row>
    <row r="127" spans="1:5" x14ac:dyDescent="0.25">
      <c r="A127" t="s">
        <v>256</v>
      </c>
      <c r="B127" t="s">
        <v>2640</v>
      </c>
      <c r="D127">
        <v>94665</v>
      </c>
      <c r="E127" t="str">
        <f t="shared" si="1"/>
        <v>ia.assorted_string like '%94665-08-2024%' or</v>
      </c>
    </row>
    <row r="128" spans="1:5" x14ac:dyDescent="0.25">
      <c r="A128" t="s">
        <v>257</v>
      </c>
      <c r="B128" t="s">
        <v>2640</v>
      </c>
      <c r="D128">
        <v>94666</v>
      </c>
      <c r="E128" t="str">
        <f t="shared" si="1"/>
        <v>ia.assorted_string like '%94666-08-2024%' or</v>
      </c>
    </row>
    <row r="129" spans="1:5" x14ac:dyDescent="0.25">
      <c r="A129" t="s">
        <v>258</v>
      </c>
      <c r="B129" t="s">
        <v>2640</v>
      </c>
      <c r="D129">
        <v>94668</v>
      </c>
      <c r="E129" t="str">
        <f t="shared" si="1"/>
        <v>ia.assorted_string like '%94668-08-2024%' or</v>
      </c>
    </row>
    <row r="130" spans="1:5" x14ac:dyDescent="0.25">
      <c r="A130" t="s">
        <v>259</v>
      </c>
      <c r="B130" t="s">
        <v>2640</v>
      </c>
      <c r="D130">
        <v>94669</v>
      </c>
      <c r="E130" t="str">
        <f t="shared" ref="E130:E193" si="2">"ia.assorted_string like '%"&amp;D130&amp;B130&amp;"%' or"</f>
        <v>ia.assorted_string like '%94669-08-2024%' or</v>
      </c>
    </row>
    <row r="131" spans="1:5" x14ac:dyDescent="0.25">
      <c r="A131" t="s">
        <v>260</v>
      </c>
      <c r="B131" t="s">
        <v>2640</v>
      </c>
      <c r="D131">
        <v>94670</v>
      </c>
      <c r="E131" t="str">
        <f t="shared" si="2"/>
        <v>ia.assorted_string like '%94670-08-2024%' or</v>
      </c>
    </row>
    <row r="132" spans="1:5" x14ac:dyDescent="0.25">
      <c r="A132" t="s">
        <v>261</v>
      </c>
      <c r="B132" t="s">
        <v>2640</v>
      </c>
      <c r="D132">
        <v>94671</v>
      </c>
      <c r="E132" t="str">
        <f t="shared" si="2"/>
        <v>ia.assorted_string like '%94671-08-2024%' or</v>
      </c>
    </row>
    <row r="133" spans="1:5" x14ac:dyDescent="0.25">
      <c r="A133" t="s">
        <v>262</v>
      </c>
      <c r="B133" t="s">
        <v>2640</v>
      </c>
      <c r="D133">
        <v>94672</v>
      </c>
      <c r="E133" t="str">
        <f t="shared" si="2"/>
        <v>ia.assorted_string like '%94672-08-2024%' or</v>
      </c>
    </row>
    <row r="134" spans="1:5" x14ac:dyDescent="0.25">
      <c r="A134" t="s">
        <v>263</v>
      </c>
      <c r="B134" t="s">
        <v>2640</v>
      </c>
      <c r="D134">
        <v>94673</v>
      </c>
      <c r="E134" t="str">
        <f t="shared" si="2"/>
        <v>ia.assorted_string like '%94673-08-2024%' or</v>
      </c>
    </row>
    <row r="135" spans="1:5" x14ac:dyDescent="0.25">
      <c r="A135" t="s">
        <v>264</v>
      </c>
      <c r="B135" t="s">
        <v>2640</v>
      </c>
      <c r="D135">
        <v>94674</v>
      </c>
      <c r="E135" t="str">
        <f t="shared" si="2"/>
        <v>ia.assorted_string like '%94674-08-2024%' or</v>
      </c>
    </row>
    <row r="136" spans="1:5" x14ac:dyDescent="0.25">
      <c r="A136" t="s">
        <v>265</v>
      </c>
      <c r="B136" t="s">
        <v>2640</v>
      </c>
      <c r="D136">
        <v>94675</v>
      </c>
      <c r="E136" t="str">
        <f t="shared" si="2"/>
        <v>ia.assorted_string like '%94675-08-2024%' or</v>
      </c>
    </row>
    <row r="137" spans="1:5" x14ac:dyDescent="0.25">
      <c r="A137" t="s">
        <v>266</v>
      </c>
      <c r="B137" t="s">
        <v>2640</v>
      </c>
      <c r="D137">
        <v>94676</v>
      </c>
      <c r="E137" t="str">
        <f t="shared" si="2"/>
        <v>ia.assorted_string like '%94676-08-2024%' or</v>
      </c>
    </row>
    <row r="138" spans="1:5" x14ac:dyDescent="0.25">
      <c r="A138" t="s">
        <v>267</v>
      </c>
      <c r="B138" t="s">
        <v>2640</v>
      </c>
      <c r="D138">
        <v>94677</v>
      </c>
      <c r="E138" t="str">
        <f t="shared" si="2"/>
        <v>ia.assorted_string like '%94677-08-2024%' or</v>
      </c>
    </row>
    <row r="139" spans="1:5" x14ac:dyDescent="0.25">
      <c r="A139" t="s">
        <v>268</v>
      </c>
      <c r="B139" t="s">
        <v>2640</v>
      </c>
      <c r="D139">
        <v>94678</v>
      </c>
      <c r="E139" t="str">
        <f t="shared" si="2"/>
        <v>ia.assorted_string like '%94678-08-2024%' or</v>
      </c>
    </row>
    <row r="140" spans="1:5" x14ac:dyDescent="0.25">
      <c r="A140" t="s">
        <v>269</v>
      </c>
      <c r="B140" t="s">
        <v>2640</v>
      </c>
      <c r="D140">
        <v>94679</v>
      </c>
      <c r="E140" t="str">
        <f t="shared" si="2"/>
        <v>ia.assorted_string like '%94679-08-2024%' or</v>
      </c>
    </row>
    <row r="141" spans="1:5" x14ac:dyDescent="0.25">
      <c r="A141" t="s">
        <v>270</v>
      </c>
      <c r="B141" t="s">
        <v>2640</v>
      </c>
      <c r="D141">
        <v>94680</v>
      </c>
      <c r="E141" t="str">
        <f t="shared" si="2"/>
        <v>ia.assorted_string like '%94680-08-2024%' or</v>
      </c>
    </row>
    <row r="142" spans="1:5" x14ac:dyDescent="0.25">
      <c r="A142" t="s">
        <v>271</v>
      </c>
      <c r="B142" t="s">
        <v>2640</v>
      </c>
      <c r="D142">
        <v>94681</v>
      </c>
      <c r="E142" t="str">
        <f t="shared" si="2"/>
        <v>ia.assorted_string like '%94681-08-2024%' or</v>
      </c>
    </row>
    <row r="143" spans="1:5" x14ac:dyDescent="0.25">
      <c r="A143" t="s">
        <v>272</v>
      </c>
      <c r="B143" t="s">
        <v>2640</v>
      </c>
      <c r="D143">
        <v>94682</v>
      </c>
      <c r="E143" t="str">
        <f t="shared" si="2"/>
        <v>ia.assorted_string like '%94682-08-2024%' or</v>
      </c>
    </row>
    <row r="144" spans="1:5" x14ac:dyDescent="0.25">
      <c r="A144" t="s">
        <v>273</v>
      </c>
      <c r="B144" t="s">
        <v>2640</v>
      </c>
      <c r="D144">
        <v>94683</v>
      </c>
      <c r="E144" t="str">
        <f t="shared" si="2"/>
        <v>ia.assorted_string like '%94683-08-2024%' or</v>
      </c>
    </row>
    <row r="145" spans="1:5" x14ac:dyDescent="0.25">
      <c r="A145" t="s">
        <v>274</v>
      </c>
      <c r="B145" t="s">
        <v>2640</v>
      </c>
      <c r="D145">
        <v>94684</v>
      </c>
      <c r="E145" t="str">
        <f t="shared" si="2"/>
        <v>ia.assorted_string like '%94684-08-2024%' or</v>
      </c>
    </row>
    <row r="146" spans="1:5" x14ac:dyDescent="0.25">
      <c r="A146" t="s">
        <v>275</v>
      </c>
      <c r="B146" t="s">
        <v>2640</v>
      </c>
      <c r="D146">
        <v>94685</v>
      </c>
      <c r="E146" t="str">
        <f t="shared" si="2"/>
        <v>ia.assorted_string like '%94685-08-2024%' or</v>
      </c>
    </row>
    <row r="147" spans="1:5" x14ac:dyDescent="0.25">
      <c r="A147" t="s">
        <v>276</v>
      </c>
      <c r="B147" t="s">
        <v>2640</v>
      </c>
      <c r="D147">
        <v>94686</v>
      </c>
      <c r="E147" t="str">
        <f t="shared" si="2"/>
        <v>ia.assorted_string like '%94686-08-2024%' or</v>
      </c>
    </row>
    <row r="148" spans="1:5" x14ac:dyDescent="0.25">
      <c r="A148" t="s">
        <v>277</v>
      </c>
      <c r="B148" t="s">
        <v>2640</v>
      </c>
      <c r="D148">
        <v>94687</v>
      </c>
      <c r="E148" t="str">
        <f t="shared" si="2"/>
        <v>ia.assorted_string like '%94687-08-2024%' or</v>
      </c>
    </row>
    <row r="149" spans="1:5" x14ac:dyDescent="0.25">
      <c r="A149" t="s">
        <v>278</v>
      </c>
      <c r="B149" t="s">
        <v>2640</v>
      </c>
      <c r="D149">
        <v>94688</v>
      </c>
      <c r="E149" t="str">
        <f t="shared" si="2"/>
        <v>ia.assorted_string like '%94688-08-2024%' or</v>
      </c>
    </row>
    <row r="150" spans="1:5" x14ac:dyDescent="0.25">
      <c r="A150" t="s">
        <v>279</v>
      </c>
      <c r="B150" t="s">
        <v>2640</v>
      </c>
      <c r="D150">
        <v>94689</v>
      </c>
      <c r="E150" t="str">
        <f t="shared" si="2"/>
        <v>ia.assorted_string like '%94689-08-2024%' or</v>
      </c>
    </row>
    <row r="151" spans="1:5" x14ac:dyDescent="0.25">
      <c r="A151" t="s">
        <v>280</v>
      </c>
      <c r="B151" t="s">
        <v>2640</v>
      </c>
      <c r="D151">
        <v>94690</v>
      </c>
      <c r="E151" t="str">
        <f t="shared" si="2"/>
        <v>ia.assorted_string like '%94690-08-2024%' or</v>
      </c>
    </row>
    <row r="152" spans="1:5" x14ac:dyDescent="0.25">
      <c r="A152" t="s">
        <v>281</v>
      </c>
      <c r="B152" t="s">
        <v>2640</v>
      </c>
      <c r="D152">
        <v>94691</v>
      </c>
      <c r="E152" t="str">
        <f t="shared" si="2"/>
        <v>ia.assorted_string like '%94691-08-2024%' or</v>
      </c>
    </row>
    <row r="153" spans="1:5" x14ac:dyDescent="0.25">
      <c r="A153" t="s">
        <v>282</v>
      </c>
      <c r="B153" t="s">
        <v>2640</v>
      </c>
      <c r="D153">
        <v>94692</v>
      </c>
      <c r="E153" t="str">
        <f t="shared" si="2"/>
        <v>ia.assorted_string like '%94692-08-2024%' or</v>
      </c>
    </row>
    <row r="154" spans="1:5" x14ac:dyDescent="0.25">
      <c r="A154" t="s">
        <v>283</v>
      </c>
      <c r="B154" t="s">
        <v>2640</v>
      </c>
      <c r="D154">
        <v>94693</v>
      </c>
      <c r="E154" t="str">
        <f t="shared" si="2"/>
        <v>ia.assorted_string like '%94693-08-2024%' or</v>
      </c>
    </row>
    <row r="155" spans="1:5" x14ac:dyDescent="0.25">
      <c r="A155" t="s">
        <v>284</v>
      </c>
      <c r="B155" t="s">
        <v>2640</v>
      </c>
      <c r="D155">
        <v>94706</v>
      </c>
      <c r="E155" t="str">
        <f t="shared" si="2"/>
        <v>ia.assorted_string like '%94706-08-2024%' or</v>
      </c>
    </row>
    <row r="156" spans="1:5" x14ac:dyDescent="0.25">
      <c r="A156" t="s">
        <v>285</v>
      </c>
      <c r="B156" t="s">
        <v>2640</v>
      </c>
      <c r="D156">
        <v>94711</v>
      </c>
      <c r="E156" t="str">
        <f t="shared" si="2"/>
        <v>ia.assorted_string like '%94711-08-2024%' or</v>
      </c>
    </row>
    <row r="157" spans="1:5" x14ac:dyDescent="0.25">
      <c r="A157" t="s">
        <v>286</v>
      </c>
      <c r="B157" t="s">
        <v>2640</v>
      </c>
      <c r="D157">
        <v>94715</v>
      </c>
      <c r="E157" t="str">
        <f t="shared" si="2"/>
        <v>ia.assorted_string like '%94715-08-2024%' or</v>
      </c>
    </row>
    <row r="158" spans="1:5" x14ac:dyDescent="0.25">
      <c r="A158" t="s">
        <v>287</v>
      </c>
      <c r="B158" t="s">
        <v>2640</v>
      </c>
      <c r="D158">
        <v>94717</v>
      </c>
      <c r="E158" t="str">
        <f t="shared" si="2"/>
        <v>ia.assorted_string like '%94717-08-2024%' or</v>
      </c>
    </row>
    <row r="159" spans="1:5" x14ac:dyDescent="0.25">
      <c r="A159" t="s">
        <v>288</v>
      </c>
      <c r="B159" t="s">
        <v>2640</v>
      </c>
      <c r="D159">
        <v>94718</v>
      </c>
      <c r="E159" t="str">
        <f t="shared" si="2"/>
        <v>ia.assorted_string like '%94718-08-2024%' or</v>
      </c>
    </row>
    <row r="160" spans="1:5" x14ac:dyDescent="0.25">
      <c r="A160" t="s">
        <v>289</v>
      </c>
      <c r="B160" t="s">
        <v>2640</v>
      </c>
      <c r="D160">
        <v>94721</v>
      </c>
      <c r="E160" t="str">
        <f t="shared" si="2"/>
        <v>ia.assorted_string like '%94721-08-2024%' or</v>
      </c>
    </row>
    <row r="161" spans="1:5" x14ac:dyDescent="0.25">
      <c r="A161" t="s">
        <v>290</v>
      </c>
      <c r="B161" t="s">
        <v>2640</v>
      </c>
      <c r="D161">
        <v>94724</v>
      </c>
      <c r="E161" t="str">
        <f t="shared" si="2"/>
        <v>ia.assorted_string like '%94724-08-2024%' or</v>
      </c>
    </row>
    <row r="162" spans="1:5" x14ac:dyDescent="0.25">
      <c r="A162" t="s">
        <v>291</v>
      </c>
      <c r="B162" t="s">
        <v>2640</v>
      </c>
      <c r="D162">
        <v>94727</v>
      </c>
      <c r="E162" t="str">
        <f t="shared" si="2"/>
        <v>ia.assorted_string like '%94727-08-2024%' or</v>
      </c>
    </row>
    <row r="163" spans="1:5" x14ac:dyDescent="0.25">
      <c r="A163" t="s">
        <v>292</v>
      </c>
      <c r="B163" t="s">
        <v>2640</v>
      </c>
      <c r="D163">
        <v>94728</v>
      </c>
      <c r="E163" t="str">
        <f t="shared" si="2"/>
        <v>ia.assorted_string like '%94728-08-2024%' or</v>
      </c>
    </row>
    <row r="164" spans="1:5" x14ac:dyDescent="0.25">
      <c r="A164" t="s">
        <v>293</v>
      </c>
      <c r="B164" t="s">
        <v>2640</v>
      </c>
      <c r="D164">
        <v>94729</v>
      </c>
      <c r="E164" t="str">
        <f t="shared" si="2"/>
        <v>ia.assorted_string like '%94729-08-2024%' or</v>
      </c>
    </row>
    <row r="165" spans="1:5" x14ac:dyDescent="0.25">
      <c r="A165" t="s">
        <v>294</v>
      </c>
      <c r="B165" t="s">
        <v>2640</v>
      </c>
      <c r="D165">
        <v>94730</v>
      </c>
      <c r="E165" t="str">
        <f t="shared" si="2"/>
        <v>ia.assorted_string like '%94730-08-2024%' or</v>
      </c>
    </row>
    <row r="166" spans="1:5" x14ac:dyDescent="0.25">
      <c r="A166" t="s">
        <v>295</v>
      </c>
      <c r="B166" t="s">
        <v>2640</v>
      </c>
      <c r="D166">
        <v>94732</v>
      </c>
      <c r="E166" t="str">
        <f t="shared" si="2"/>
        <v>ia.assorted_string like '%94732-08-2024%' or</v>
      </c>
    </row>
    <row r="167" spans="1:5" x14ac:dyDescent="0.25">
      <c r="A167" t="s">
        <v>296</v>
      </c>
      <c r="B167" t="s">
        <v>2640</v>
      </c>
      <c r="D167">
        <v>94733</v>
      </c>
      <c r="E167" t="str">
        <f t="shared" si="2"/>
        <v>ia.assorted_string like '%94733-08-2024%' or</v>
      </c>
    </row>
    <row r="168" spans="1:5" x14ac:dyDescent="0.25">
      <c r="A168" t="s">
        <v>297</v>
      </c>
      <c r="B168" t="s">
        <v>2640</v>
      </c>
      <c r="D168">
        <v>94734</v>
      </c>
      <c r="E168" t="str">
        <f t="shared" si="2"/>
        <v>ia.assorted_string like '%94734-08-2024%' or</v>
      </c>
    </row>
    <row r="169" spans="1:5" x14ac:dyDescent="0.25">
      <c r="A169" t="s">
        <v>298</v>
      </c>
      <c r="B169" t="s">
        <v>2640</v>
      </c>
      <c r="D169">
        <v>94735</v>
      </c>
      <c r="E169" t="str">
        <f t="shared" si="2"/>
        <v>ia.assorted_string like '%94735-08-2024%' or</v>
      </c>
    </row>
    <row r="170" spans="1:5" x14ac:dyDescent="0.25">
      <c r="A170" t="s">
        <v>299</v>
      </c>
      <c r="B170" t="s">
        <v>2640</v>
      </c>
      <c r="D170">
        <v>94737</v>
      </c>
      <c r="E170" t="str">
        <f t="shared" si="2"/>
        <v>ia.assorted_string like '%94737-08-2024%' or</v>
      </c>
    </row>
    <row r="171" spans="1:5" x14ac:dyDescent="0.25">
      <c r="A171" t="s">
        <v>300</v>
      </c>
      <c r="B171" t="s">
        <v>2640</v>
      </c>
      <c r="D171">
        <v>94738</v>
      </c>
      <c r="E171" t="str">
        <f t="shared" si="2"/>
        <v>ia.assorted_string like '%94738-08-2024%' or</v>
      </c>
    </row>
    <row r="172" spans="1:5" x14ac:dyDescent="0.25">
      <c r="A172" t="s">
        <v>301</v>
      </c>
      <c r="B172" t="s">
        <v>2640</v>
      </c>
      <c r="D172">
        <v>94740</v>
      </c>
      <c r="E172" t="str">
        <f t="shared" si="2"/>
        <v>ia.assorted_string like '%94740-08-2024%' or</v>
      </c>
    </row>
    <row r="173" spans="1:5" x14ac:dyDescent="0.25">
      <c r="A173" t="s">
        <v>302</v>
      </c>
      <c r="B173" t="s">
        <v>2640</v>
      </c>
      <c r="D173">
        <v>94741</v>
      </c>
      <c r="E173" t="str">
        <f t="shared" si="2"/>
        <v>ia.assorted_string like '%94741-08-2024%' or</v>
      </c>
    </row>
    <row r="174" spans="1:5" x14ac:dyDescent="0.25">
      <c r="A174" t="s">
        <v>303</v>
      </c>
      <c r="B174" t="s">
        <v>2640</v>
      </c>
      <c r="D174">
        <v>94742</v>
      </c>
      <c r="E174" t="str">
        <f t="shared" si="2"/>
        <v>ia.assorted_string like '%94742-08-2024%' or</v>
      </c>
    </row>
    <row r="175" spans="1:5" x14ac:dyDescent="0.25">
      <c r="A175" t="s">
        <v>304</v>
      </c>
      <c r="B175" t="s">
        <v>2640</v>
      </c>
      <c r="D175">
        <v>94744</v>
      </c>
      <c r="E175" t="str">
        <f t="shared" si="2"/>
        <v>ia.assorted_string like '%94744-08-2024%' or</v>
      </c>
    </row>
    <row r="176" spans="1:5" x14ac:dyDescent="0.25">
      <c r="A176" t="s">
        <v>305</v>
      </c>
      <c r="B176" t="s">
        <v>2640</v>
      </c>
      <c r="D176">
        <v>94745</v>
      </c>
      <c r="E176" t="str">
        <f t="shared" si="2"/>
        <v>ia.assorted_string like '%94745-08-2024%' or</v>
      </c>
    </row>
    <row r="177" spans="1:5" x14ac:dyDescent="0.25">
      <c r="A177" t="s">
        <v>306</v>
      </c>
      <c r="B177" t="s">
        <v>2640</v>
      </c>
      <c r="D177">
        <v>94749</v>
      </c>
      <c r="E177" t="str">
        <f t="shared" si="2"/>
        <v>ia.assorted_string like '%94749-08-2024%' or</v>
      </c>
    </row>
    <row r="178" spans="1:5" x14ac:dyDescent="0.25">
      <c r="A178" t="s">
        <v>307</v>
      </c>
      <c r="B178" t="s">
        <v>2640</v>
      </c>
      <c r="D178">
        <v>94752</v>
      </c>
      <c r="E178" t="str">
        <f t="shared" si="2"/>
        <v>ia.assorted_string like '%94752-08-2024%' or</v>
      </c>
    </row>
    <row r="179" spans="1:5" x14ac:dyDescent="0.25">
      <c r="A179" t="s">
        <v>308</v>
      </c>
      <c r="B179" t="s">
        <v>2640</v>
      </c>
      <c r="D179">
        <v>94758</v>
      </c>
      <c r="E179" t="str">
        <f t="shared" si="2"/>
        <v>ia.assorted_string like '%94758-08-2024%' or</v>
      </c>
    </row>
    <row r="180" spans="1:5" x14ac:dyDescent="0.25">
      <c r="A180" t="s">
        <v>309</v>
      </c>
      <c r="B180" t="s">
        <v>2640</v>
      </c>
      <c r="D180">
        <v>94766</v>
      </c>
      <c r="E180" t="str">
        <f t="shared" si="2"/>
        <v>ia.assorted_string like '%94766-08-2024%' or</v>
      </c>
    </row>
    <row r="181" spans="1:5" x14ac:dyDescent="0.25">
      <c r="A181" t="s">
        <v>310</v>
      </c>
      <c r="B181" t="s">
        <v>2640</v>
      </c>
      <c r="D181">
        <v>94767</v>
      </c>
      <c r="E181" t="str">
        <f t="shared" si="2"/>
        <v>ia.assorted_string like '%94767-08-2024%' or</v>
      </c>
    </row>
    <row r="182" spans="1:5" x14ac:dyDescent="0.25">
      <c r="A182" t="s">
        <v>311</v>
      </c>
      <c r="B182" t="s">
        <v>2640</v>
      </c>
      <c r="D182">
        <v>94768</v>
      </c>
      <c r="E182" t="str">
        <f t="shared" si="2"/>
        <v>ia.assorted_string like '%94768-08-2024%' or</v>
      </c>
    </row>
    <row r="183" spans="1:5" x14ac:dyDescent="0.25">
      <c r="A183" t="s">
        <v>312</v>
      </c>
      <c r="B183" t="s">
        <v>2640</v>
      </c>
      <c r="D183">
        <v>94769</v>
      </c>
      <c r="E183" t="str">
        <f t="shared" si="2"/>
        <v>ia.assorted_string like '%94769-08-2024%' or</v>
      </c>
    </row>
    <row r="184" spans="1:5" x14ac:dyDescent="0.25">
      <c r="A184" t="s">
        <v>313</v>
      </c>
      <c r="B184" t="s">
        <v>2640</v>
      </c>
      <c r="D184">
        <v>94775</v>
      </c>
      <c r="E184" t="str">
        <f t="shared" si="2"/>
        <v>ia.assorted_string like '%94775-08-2024%' or</v>
      </c>
    </row>
    <row r="185" spans="1:5" x14ac:dyDescent="0.25">
      <c r="A185" t="s">
        <v>314</v>
      </c>
      <c r="B185" t="s">
        <v>2640</v>
      </c>
      <c r="D185">
        <v>94776</v>
      </c>
      <c r="E185" t="str">
        <f t="shared" si="2"/>
        <v>ia.assorted_string like '%94776-08-2024%' or</v>
      </c>
    </row>
    <row r="186" spans="1:5" x14ac:dyDescent="0.25">
      <c r="A186" t="s">
        <v>315</v>
      </c>
      <c r="B186" t="s">
        <v>2640</v>
      </c>
      <c r="D186">
        <v>94777</v>
      </c>
      <c r="E186" t="str">
        <f t="shared" si="2"/>
        <v>ia.assorted_string like '%94777-08-2024%' or</v>
      </c>
    </row>
    <row r="187" spans="1:5" x14ac:dyDescent="0.25">
      <c r="A187" t="s">
        <v>316</v>
      </c>
      <c r="B187" t="s">
        <v>2640</v>
      </c>
      <c r="D187">
        <v>94778</v>
      </c>
      <c r="E187" t="str">
        <f t="shared" si="2"/>
        <v>ia.assorted_string like '%94778-08-2024%' or</v>
      </c>
    </row>
    <row r="188" spans="1:5" x14ac:dyDescent="0.25">
      <c r="A188" t="s">
        <v>317</v>
      </c>
      <c r="B188" t="s">
        <v>2640</v>
      </c>
      <c r="D188">
        <v>94797</v>
      </c>
      <c r="E188" t="str">
        <f t="shared" si="2"/>
        <v>ia.assorted_string like '%94797-08-2024%' or</v>
      </c>
    </row>
    <row r="189" spans="1:5" x14ac:dyDescent="0.25">
      <c r="A189" t="s">
        <v>318</v>
      </c>
      <c r="B189" t="s">
        <v>2640</v>
      </c>
      <c r="D189">
        <v>94800</v>
      </c>
      <c r="E189" t="str">
        <f t="shared" si="2"/>
        <v>ia.assorted_string like '%94800-08-2024%' or</v>
      </c>
    </row>
    <row r="190" spans="1:5" x14ac:dyDescent="0.25">
      <c r="A190" t="s">
        <v>319</v>
      </c>
      <c r="B190" t="s">
        <v>2640</v>
      </c>
      <c r="D190">
        <v>94802</v>
      </c>
      <c r="E190" t="str">
        <f t="shared" si="2"/>
        <v>ia.assorted_string like '%94802-08-2024%' or</v>
      </c>
    </row>
    <row r="191" spans="1:5" x14ac:dyDescent="0.25">
      <c r="A191" t="s">
        <v>320</v>
      </c>
      <c r="B191" t="s">
        <v>2640</v>
      </c>
      <c r="D191">
        <v>94803</v>
      </c>
      <c r="E191" t="str">
        <f t="shared" si="2"/>
        <v>ia.assorted_string like '%94803-08-2024%' or</v>
      </c>
    </row>
    <row r="192" spans="1:5" x14ac:dyDescent="0.25">
      <c r="A192" t="s">
        <v>321</v>
      </c>
      <c r="B192" t="s">
        <v>2640</v>
      </c>
      <c r="D192">
        <v>94805</v>
      </c>
      <c r="E192" t="str">
        <f t="shared" si="2"/>
        <v>ia.assorted_string like '%94805-08-2024%' or</v>
      </c>
    </row>
    <row r="193" spans="1:5" x14ac:dyDescent="0.25">
      <c r="A193" t="s">
        <v>322</v>
      </c>
      <c r="B193" t="s">
        <v>2640</v>
      </c>
      <c r="D193">
        <v>94806</v>
      </c>
      <c r="E193" t="str">
        <f t="shared" si="2"/>
        <v>ia.assorted_string like '%94806-08-2024%' or</v>
      </c>
    </row>
    <row r="194" spans="1:5" x14ac:dyDescent="0.25">
      <c r="A194" t="s">
        <v>323</v>
      </c>
      <c r="B194" t="s">
        <v>2640</v>
      </c>
      <c r="D194">
        <v>94810</v>
      </c>
      <c r="E194" t="str">
        <f t="shared" ref="E194:E257" si="3">"ia.assorted_string like '%"&amp;D194&amp;B194&amp;"%' or"</f>
        <v>ia.assorted_string like '%94810-08-2024%' or</v>
      </c>
    </row>
    <row r="195" spans="1:5" x14ac:dyDescent="0.25">
      <c r="A195" t="s">
        <v>324</v>
      </c>
      <c r="B195" t="s">
        <v>2640</v>
      </c>
      <c r="D195">
        <v>94811</v>
      </c>
      <c r="E195" t="str">
        <f t="shared" si="3"/>
        <v>ia.assorted_string like '%94811-08-2024%' or</v>
      </c>
    </row>
    <row r="196" spans="1:5" x14ac:dyDescent="0.25">
      <c r="A196" t="s">
        <v>325</v>
      </c>
      <c r="B196" t="s">
        <v>2640</v>
      </c>
      <c r="D196">
        <v>94812</v>
      </c>
      <c r="E196" t="str">
        <f t="shared" si="3"/>
        <v>ia.assorted_string like '%94812-08-2024%' or</v>
      </c>
    </row>
    <row r="197" spans="1:5" x14ac:dyDescent="0.25">
      <c r="A197" t="s">
        <v>326</v>
      </c>
      <c r="B197" t="s">
        <v>2640</v>
      </c>
      <c r="D197">
        <v>94813</v>
      </c>
      <c r="E197" t="str">
        <f t="shared" si="3"/>
        <v>ia.assorted_string like '%94813-08-2024%' or</v>
      </c>
    </row>
    <row r="198" spans="1:5" x14ac:dyDescent="0.25">
      <c r="A198" t="s">
        <v>327</v>
      </c>
      <c r="B198" t="s">
        <v>2640</v>
      </c>
      <c r="D198">
        <v>94814</v>
      </c>
      <c r="E198" t="str">
        <f t="shared" si="3"/>
        <v>ia.assorted_string like '%94814-08-2024%' or</v>
      </c>
    </row>
    <row r="199" spans="1:5" x14ac:dyDescent="0.25">
      <c r="A199" t="s">
        <v>328</v>
      </c>
      <c r="B199" t="s">
        <v>2640</v>
      </c>
      <c r="D199">
        <v>94815</v>
      </c>
      <c r="E199" t="str">
        <f t="shared" si="3"/>
        <v>ia.assorted_string like '%94815-08-2024%' or</v>
      </c>
    </row>
    <row r="200" spans="1:5" x14ac:dyDescent="0.25">
      <c r="A200" t="s">
        <v>329</v>
      </c>
      <c r="B200" t="s">
        <v>2640</v>
      </c>
      <c r="D200">
        <v>94816</v>
      </c>
      <c r="E200" t="str">
        <f t="shared" si="3"/>
        <v>ia.assorted_string like '%94816-08-2024%' or</v>
      </c>
    </row>
    <row r="201" spans="1:5" x14ac:dyDescent="0.25">
      <c r="A201" t="s">
        <v>330</v>
      </c>
      <c r="B201" t="s">
        <v>2640</v>
      </c>
      <c r="D201">
        <v>94827</v>
      </c>
      <c r="E201" t="str">
        <f t="shared" si="3"/>
        <v>ia.assorted_string like '%94827-08-2024%' or</v>
      </c>
    </row>
    <row r="202" spans="1:5" x14ac:dyDescent="0.25">
      <c r="A202" t="s">
        <v>331</v>
      </c>
      <c r="B202" t="s">
        <v>2640</v>
      </c>
      <c r="D202">
        <v>94829</v>
      </c>
      <c r="E202" t="str">
        <f t="shared" si="3"/>
        <v>ia.assorted_string like '%94829-08-2024%' or</v>
      </c>
    </row>
    <row r="203" spans="1:5" x14ac:dyDescent="0.25">
      <c r="A203" t="s">
        <v>332</v>
      </c>
      <c r="B203" t="s">
        <v>2640</v>
      </c>
      <c r="D203">
        <v>94833</v>
      </c>
      <c r="E203" t="str">
        <f t="shared" si="3"/>
        <v>ia.assorted_string like '%94833-08-2024%' or</v>
      </c>
    </row>
    <row r="204" spans="1:5" x14ac:dyDescent="0.25">
      <c r="A204" t="s">
        <v>333</v>
      </c>
      <c r="B204" t="s">
        <v>2640</v>
      </c>
      <c r="D204">
        <v>94834</v>
      </c>
      <c r="E204" t="str">
        <f t="shared" si="3"/>
        <v>ia.assorted_string like '%94834-08-2024%' or</v>
      </c>
    </row>
    <row r="205" spans="1:5" x14ac:dyDescent="0.25">
      <c r="A205" t="s">
        <v>334</v>
      </c>
      <c r="B205" t="s">
        <v>2640</v>
      </c>
      <c r="D205">
        <v>94835</v>
      </c>
      <c r="E205" t="str">
        <f t="shared" si="3"/>
        <v>ia.assorted_string like '%94835-08-2024%' or</v>
      </c>
    </row>
    <row r="206" spans="1:5" x14ac:dyDescent="0.25">
      <c r="A206" t="s">
        <v>335</v>
      </c>
      <c r="B206" t="s">
        <v>2640</v>
      </c>
      <c r="D206">
        <v>94837</v>
      </c>
      <c r="E206" t="str">
        <f t="shared" si="3"/>
        <v>ia.assorted_string like '%94837-08-2024%' or</v>
      </c>
    </row>
    <row r="207" spans="1:5" x14ac:dyDescent="0.25">
      <c r="A207" t="s">
        <v>336</v>
      </c>
      <c r="B207" t="s">
        <v>2640</v>
      </c>
      <c r="D207">
        <v>94840</v>
      </c>
      <c r="E207" t="str">
        <f t="shared" si="3"/>
        <v>ia.assorted_string like '%94840-08-2024%' or</v>
      </c>
    </row>
    <row r="208" spans="1:5" x14ac:dyDescent="0.25">
      <c r="A208" t="s">
        <v>337</v>
      </c>
      <c r="B208" t="s">
        <v>2640</v>
      </c>
      <c r="D208">
        <v>94846</v>
      </c>
      <c r="E208" t="str">
        <f t="shared" si="3"/>
        <v>ia.assorted_string like '%94846-08-2024%' or</v>
      </c>
    </row>
    <row r="209" spans="1:5" x14ac:dyDescent="0.25">
      <c r="A209" t="s">
        <v>338</v>
      </c>
      <c r="B209" t="s">
        <v>2640</v>
      </c>
      <c r="D209">
        <v>94847</v>
      </c>
      <c r="E209" t="str">
        <f t="shared" si="3"/>
        <v>ia.assorted_string like '%94847-08-2024%' or</v>
      </c>
    </row>
    <row r="210" spans="1:5" x14ac:dyDescent="0.25">
      <c r="A210" t="s">
        <v>339</v>
      </c>
      <c r="B210" t="s">
        <v>2640</v>
      </c>
      <c r="D210">
        <v>94858</v>
      </c>
      <c r="E210" t="str">
        <f t="shared" si="3"/>
        <v>ia.assorted_string like '%94858-08-2024%' or</v>
      </c>
    </row>
    <row r="211" spans="1:5" x14ac:dyDescent="0.25">
      <c r="A211" t="s">
        <v>340</v>
      </c>
      <c r="B211" t="s">
        <v>2640</v>
      </c>
      <c r="D211">
        <v>94859</v>
      </c>
      <c r="E211" t="str">
        <f t="shared" si="3"/>
        <v>ia.assorted_string like '%94859-08-2024%' or</v>
      </c>
    </row>
    <row r="212" spans="1:5" x14ac:dyDescent="0.25">
      <c r="A212" t="s">
        <v>341</v>
      </c>
      <c r="B212" t="s">
        <v>2640</v>
      </c>
      <c r="D212">
        <v>94860</v>
      </c>
      <c r="E212" t="str">
        <f t="shared" si="3"/>
        <v>ia.assorted_string like '%94860-08-2024%' or</v>
      </c>
    </row>
    <row r="213" spans="1:5" x14ac:dyDescent="0.25">
      <c r="A213" t="s">
        <v>342</v>
      </c>
      <c r="B213" t="s">
        <v>2640</v>
      </c>
      <c r="D213">
        <v>94861</v>
      </c>
      <c r="E213" t="str">
        <f t="shared" si="3"/>
        <v>ia.assorted_string like '%94861-08-2024%' or</v>
      </c>
    </row>
    <row r="214" spans="1:5" x14ac:dyDescent="0.25">
      <c r="A214" t="s">
        <v>343</v>
      </c>
      <c r="B214" t="s">
        <v>2640</v>
      </c>
      <c r="D214">
        <v>94862</v>
      </c>
      <c r="E214" t="str">
        <f t="shared" si="3"/>
        <v>ia.assorted_string like '%94862-08-2024%' or</v>
      </c>
    </row>
    <row r="215" spans="1:5" x14ac:dyDescent="0.25">
      <c r="A215" t="s">
        <v>344</v>
      </c>
      <c r="B215" t="s">
        <v>2640</v>
      </c>
      <c r="D215">
        <v>94873</v>
      </c>
      <c r="E215" t="str">
        <f t="shared" si="3"/>
        <v>ia.assorted_string like '%94873-08-2024%' or</v>
      </c>
    </row>
    <row r="216" spans="1:5" x14ac:dyDescent="0.25">
      <c r="A216" t="s">
        <v>345</v>
      </c>
      <c r="B216" t="s">
        <v>2640</v>
      </c>
      <c r="D216">
        <v>94874</v>
      </c>
      <c r="E216" t="str">
        <f t="shared" si="3"/>
        <v>ia.assorted_string like '%94874-08-2024%' or</v>
      </c>
    </row>
    <row r="217" spans="1:5" x14ac:dyDescent="0.25">
      <c r="A217" t="s">
        <v>346</v>
      </c>
      <c r="B217" t="s">
        <v>2640</v>
      </c>
      <c r="D217">
        <v>94875</v>
      </c>
      <c r="E217" t="str">
        <f t="shared" si="3"/>
        <v>ia.assorted_string like '%94875-08-2024%' or</v>
      </c>
    </row>
    <row r="218" spans="1:5" x14ac:dyDescent="0.25">
      <c r="A218" t="s">
        <v>347</v>
      </c>
      <c r="B218" t="s">
        <v>2640</v>
      </c>
      <c r="D218">
        <v>94878</v>
      </c>
      <c r="E218" t="str">
        <f t="shared" si="3"/>
        <v>ia.assorted_string like '%94878-08-2024%' or</v>
      </c>
    </row>
    <row r="219" spans="1:5" x14ac:dyDescent="0.25">
      <c r="A219" t="s">
        <v>348</v>
      </c>
      <c r="B219" t="s">
        <v>2640</v>
      </c>
      <c r="D219">
        <v>94881</v>
      </c>
      <c r="E219" t="str">
        <f t="shared" si="3"/>
        <v>ia.assorted_string like '%94881-08-2024%' or</v>
      </c>
    </row>
    <row r="220" spans="1:5" x14ac:dyDescent="0.25">
      <c r="A220" t="s">
        <v>349</v>
      </c>
      <c r="B220" t="s">
        <v>2640</v>
      </c>
      <c r="D220">
        <v>94882</v>
      </c>
      <c r="E220" t="str">
        <f t="shared" si="3"/>
        <v>ia.assorted_string like '%94882-08-2024%' or</v>
      </c>
    </row>
    <row r="221" spans="1:5" x14ac:dyDescent="0.25">
      <c r="A221" t="s">
        <v>350</v>
      </c>
      <c r="B221" t="s">
        <v>2640</v>
      </c>
      <c r="D221">
        <v>94884</v>
      </c>
      <c r="E221" t="str">
        <f t="shared" si="3"/>
        <v>ia.assorted_string like '%94884-08-2024%' or</v>
      </c>
    </row>
    <row r="222" spans="1:5" x14ac:dyDescent="0.25">
      <c r="A222" t="s">
        <v>351</v>
      </c>
      <c r="B222" t="s">
        <v>2640</v>
      </c>
      <c r="D222">
        <v>94885</v>
      </c>
      <c r="E222" t="str">
        <f t="shared" si="3"/>
        <v>ia.assorted_string like '%94885-08-2024%' or</v>
      </c>
    </row>
    <row r="223" spans="1:5" x14ac:dyDescent="0.25">
      <c r="A223" t="s">
        <v>352</v>
      </c>
      <c r="B223" t="s">
        <v>2640</v>
      </c>
      <c r="D223">
        <v>94887</v>
      </c>
      <c r="E223" t="str">
        <f t="shared" si="3"/>
        <v>ia.assorted_string like '%94887-08-2024%' or</v>
      </c>
    </row>
    <row r="224" spans="1:5" x14ac:dyDescent="0.25">
      <c r="A224" t="s">
        <v>353</v>
      </c>
      <c r="B224" t="s">
        <v>2640</v>
      </c>
      <c r="D224">
        <v>94890</v>
      </c>
      <c r="E224" t="str">
        <f t="shared" si="3"/>
        <v>ia.assorted_string like '%94890-08-2024%' or</v>
      </c>
    </row>
    <row r="225" spans="1:5" x14ac:dyDescent="0.25">
      <c r="A225" t="s">
        <v>354</v>
      </c>
      <c r="B225" t="s">
        <v>2640</v>
      </c>
      <c r="D225">
        <v>94895</v>
      </c>
      <c r="E225" t="str">
        <f t="shared" si="3"/>
        <v>ia.assorted_string like '%94895-08-2024%' or</v>
      </c>
    </row>
    <row r="226" spans="1:5" x14ac:dyDescent="0.25">
      <c r="A226" t="s">
        <v>355</v>
      </c>
      <c r="B226" t="s">
        <v>2640</v>
      </c>
      <c r="D226">
        <v>94896</v>
      </c>
      <c r="E226" t="str">
        <f t="shared" si="3"/>
        <v>ia.assorted_string like '%94896-08-2024%' or</v>
      </c>
    </row>
    <row r="227" spans="1:5" x14ac:dyDescent="0.25">
      <c r="A227" t="s">
        <v>356</v>
      </c>
      <c r="B227" t="s">
        <v>2640</v>
      </c>
      <c r="D227">
        <v>94897</v>
      </c>
      <c r="E227" t="str">
        <f t="shared" si="3"/>
        <v>ia.assorted_string like '%94897-08-2024%' or</v>
      </c>
    </row>
    <row r="228" spans="1:5" x14ac:dyDescent="0.25">
      <c r="A228" t="s">
        <v>357</v>
      </c>
      <c r="B228" t="s">
        <v>2640</v>
      </c>
      <c r="D228">
        <v>94898</v>
      </c>
      <c r="E228" t="str">
        <f t="shared" si="3"/>
        <v>ia.assorted_string like '%94898-08-2024%' or</v>
      </c>
    </row>
    <row r="229" spans="1:5" x14ac:dyDescent="0.25">
      <c r="A229" t="s">
        <v>358</v>
      </c>
      <c r="B229" t="s">
        <v>2640</v>
      </c>
      <c r="D229">
        <v>94899</v>
      </c>
      <c r="E229" t="str">
        <f t="shared" si="3"/>
        <v>ia.assorted_string like '%94899-08-2024%' or</v>
      </c>
    </row>
    <row r="230" spans="1:5" x14ac:dyDescent="0.25">
      <c r="A230" t="s">
        <v>359</v>
      </c>
      <c r="B230" t="s">
        <v>2640</v>
      </c>
      <c r="D230">
        <v>94900</v>
      </c>
      <c r="E230" t="str">
        <f t="shared" si="3"/>
        <v>ia.assorted_string like '%94900-08-2024%' or</v>
      </c>
    </row>
    <row r="231" spans="1:5" x14ac:dyDescent="0.25">
      <c r="A231" t="s">
        <v>360</v>
      </c>
      <c r="B231" t="s">
        <v>2640</v>
      </c>
      <c r="D231">
        <v>94901</v>
      </c>
      <c r="E231" t="str">
        <f t="shared" si="3"/>
        <v>ia.assorted_string like '%94901-08-2024%' or</v>
      </c>
    </row>
    <row r="232" spans="1:5" x14ac:dyDescent="0.25">
      <c r="A232" t="s">
        <v>361</v>
      </c>
      <c r="B232" t="s">
        <v>2640</v>
      </c>
      <c r="D232">
        <v>94902</v>
      </c>
      <c r="E232" t="str">
        <f t="shared" si="3"/>
        <v>ia.assorted_string like '%94902-08-2024%' or</v>
      </c>
    </row>
    <row r="233" spans="1:5" x14ac:dyDescent="0.25">
      <c r="A233" t="s">
        <v>362</v>
      </c>
      <c r="B233" t="s">
        <v>2640</v>
      </c>
      <c r="D233">
        <v>94903</v>
      </c>
      <c r="E233" t="str">
        <f t="shared" si="3"/>
        <v>ia.assorted_string like '%94903-08-2024%' or</v>
      </c>
    </row>
    <row r="234" spans="1:5" x14ac:dyDescent="0.25">
      <c r="A234" t="s">
        <v>363</v>
      </c>
      <c r="B234" t="s">
        <v>2640</v>
      </c>
      <c r="D234">
        <v>94906</v>
      </c>
      <c r="E234" t="str">
        <f t="shared" si="3"/>
        <v>ia.assorted_string like '%94906-08-2024%' or</v>
      </c>
    </row>
    <row r="235" spans="1:5" x14ac:dyDescent="0.25">
      <c r="A235" t="s">
        <v>364</v>
      </c>
      <c r="B235" t="s">
        <v>2640</v>
      </c>
      <c r="D235">
        <v>94907</v>
      </c>
      <c r="E235" t="str">
        <f t="shared" si="3"/>
        <v>ia.assorted_string like '%94907-08-2024%' or</v>
      </c>
    </row>
    <row r="236" spans="1:5" x14ac:dyDescent="0.25">
      <c r="A236" t="s">
        <v>365</v>
      </c>
      <c r="B236" t="s">
        <v>2640</v>
      </c>
      <c r="D236">
        <v>94908</v>
      </c>
      <c r="E236" t="str">
        <f t="shared" si="3"/>
        <v>ia.assorted_string like '%94908-08-2024%' or</v>
      </c>
    </row>
    <row r="237" spans="1:5" x14ac:dyDescent="0.25">
      <c r="A237" t="s">
        <v>366</v>
      </c>
      <c r="B237" t="s">
        <v>2640</v>
      </c>
      <c r="D237">
        <v>94914</v>
      </c>
      <c r="E237" t="str">
        <f t="shared" si="3"/>
        <v>ia.assorted_string like '%94914-08-2024%' or</v>
      </c>
    </row>
    <row r="238" spans="1:5" x14ac:dyDescent="0.25">
      <c r="A238" t="s">
        <v>367</v>
      </c>
      <c r="B238" t="s">
        <v>2640</v>
      </c>
      <c r="D238">
        <v>94921</v>
      </c>
      <c r="E238" t="str">
        <f t="shared" si="3"/>
        <v>ia.assorted_string like '%94921-08-2024%' or</v>
      </c>
    </row>
    <row r="239" spans="1:5" x14ac:dyDescent="0.25">
      <c r="A239" t="s">
        <v>368</v>
      </c>
      <c r="B239" t="s">
        <v>2640</v>
      </c>
      <c r="D239">
        <v>94924</v>
      </c>
      <c r="E239" t="str">
        <f t="shared" si="3"/>
        <v>ia.assorted_string like '%94924-08-2024%' or</v>
      </c>
    </row>
    <row r="240" spans="1:5" x14ac:dyDescent="0.25">
      <c r="A240" t="s">
        <v>369</v>
      </c>
      <c r="B240" t="s">
        <v>2640</v>
      </c>
      <c r="D240">
        <v>94927</v>
      </c>
      <c r="E240" t="str">
        <f t="shared" si="3"/>
        <v>ia.assorted_string like '%94927-08-2024%' or</v>
      </c>
    </row>
    <row r="241" spans="1:5" x14ac:dyDescent="0.25">
      <c r="A241" t="s">
        <v>370</v>
      </c>
      <c r="B241" t="s">
        <v>2640</v>
      </c>
      <c r="D241">
        <v>94928</v>
      </c>
      <c r="E241" t="str">
        <f t="shared" si="3"/>
        <v>ia.assorted_string like '%94928-08-2024%' or</v>
      </c>
    </row>
    <row r="242" spans="1:5" x14ac:dyDescent="0.25">
      <c r="A242" t="s">
        <v>371</v>
      </c>
      <c r="B242" t="s">
        <v>2640</v>
      </c>
      <c r="D242">
        <v>94930</v>
      </c>
      <c r="E242" t="str">
        <f t="shared" si="3"/>
        <v>ia.assorted_string like '%94930-08-2024%' or</v>
      </c>
    </row>
    <row r="243" spans="1:5" x14ac:dyDescent="0.25">
      <c r="A243" t="s">
        <v>372</v>
      </c>
      <c r="B243" t="s">
        <v>2640</v>
      </c>
      <c r="D243">
        <v>94931</v>
      </c>
      <c r="E243" t="str">
        <f t="shared" si="3"/>
        <v>ia.assorted_string like '%94931-08-2024%' or</v>
      </c>
    </row>
    <row r="244" spans="1:5" x14ac:dyDescent="0.25">
      <c r="A244" t="s">
        <v>373</v>
      </c>
      <c r="B244" t="s">
        <v>2640</v>
      </c>
      <c r="D244">
        <v>94932</v>
      </c>
      <c r="E244" t="str">
        <f t="shared" si="3"/>
        <v>ia.assorted_string like '%94932-08-2024%' or</v>
      </c>
    </row>
    <row r="245" spans="1:5" x14ac:dyDescent="0.25">
      <c r="A245" t="s">
        <v>374</v>
      </c>
      <c r="B245" t="s">
        <v>2640</v>
      </c>
      <c r="D245">
        <v>94933</v>
      </c>
      <c r="E245" t="str">
        <f t="shared" si="3"/>
        <v>ia.assorted_string like '%94933-08-2024%' or</v>
      </c>
    </row>
    <row r="246" spans="1:5" x14ac:dyDescent="0.25">
      <c r="A246" t="s">
        <v>375</v>
      </c>
      <c r="B246" t="s">
        <v>2640</v>
      </c>
      <c r="D246">
        <v>94934</v>
      </c>
      <c r="E246" t="str">
        <f t="shared" si="3"/>
        <v>ia.assorted_string like '%94934-08-2024%' or</v>
      </c>
    </row>
    <row r="247" spans="1:5" x14ac:dyDescent="0.25">
      <c r="A247" t="s">
        <v>376</v>
      </c>
      <c r="B247" t="s">
        <v>2640</v>
      </c>
      <c r="D247">
        <v>94937</v>
      </c>
      <c r="E247" t="str">
        <f t="shared" si="3"/>
        <v>ia.assorted_string like '%94937-08-2024%' or</v>
      </c>
    </row>
    <row r="248" spans="1:5" x14ac:dyDescent="0.25">
      <c r="A248" t="s">
        <v>377</v>
      </c>
      <c r="B248" t="s">
        <v>2640</v>
      </c>
      <c r="D248">
        <v>94939</v>
      </c>
      <c r="E248" t="str">
        <f t="shared" si="3"/>
        <v>ia.assorted_string like '%94939-08-2024%' or</v>
      </c>
    </row>
    <row r="249" spans="1:5" x14ac:dyDescent="0.25">
      <c r="A249" t="s">
        <v>378</v>
      </c>
      <c r="B249" t="s">
        <v>2640</v>
      </c>
      <c r="D249">
        <v>94940</v>
      </c>
      <c r="E249" t="str">
        <f t="shared" si="3"/>
        <v>ia.assorted_string like '%94940-08-2024%' or</v>
      </c>
    </row>
    <row r="250" spans="1:5" x14ac:dyDescent="0.25">
      <c r="A250" t="s">
        <v>379</v>
      </c>
      <c r="B250" t="s">
        <v>2640</v>
      </c>
      <c r="D250">
        <v>94941</v>
      </c>
      <c r="E250" t="str">
        <f t="shared" si="3"/>
        <v>ia.assorted_string like '%94941-08-2024%' or</v>
      </c>
    </row>
    <row r="251" spans="1:5" x14ac:dyDescent="0.25">
      <c r="A251" t="s">
        <v>380</v>
      </c>
      <c r="B251" t="s">
        <v>2640</v>
      </c>
      <c r="D251">
        <v>94943</v>
      </c>
      <c r="E251" t="str">
        <f t="shared" si="3"/>
        <v>ia.assorted_string like '%94943-08-2024%' or</v>
      </c>
    </row>
    <row r="252" spans="1:5" x14ac:dyDescent="0.25">
      <c r="A252" t="s">
        <v>381</v>
      </c>
      <c r="B252" t="s">
        <v>2640</v>
      </c>
      <c r="D252">
        <v>94945</v>
      </c>
      <c r="E252" t="str">
        <f t="shared" si="3"/>
        <v>ia.assorted_string like '%94945-08-2024%' or</v>
      </c>
    </row>
    <row r="253" spans="1:5" x14ac:dyDescent="0.25">
      <c r="A253" t="s">
        <v>382</v>
      </c>
      <c r="B253" t="s">
        <v>2640</v>
      </c>
      <c r="D253">
        <v>94947</v>
      </c>
      <c r="E253" t="str">
        <f t="shared" si="3"/>
        <v>ia.assorted_string like '%94947-08-2024%' or</v>
      </c>
    </row>
    <row r="254" spans="1:5" x14ac:dyDescent="0.25">
      <c r="A254" t="s">
        <v>383</v>
      </c>
      <c r="B254" t="s">
        <v>2640</v>
      </c>
      <c r="D254">
        <v>94948</v>
      </c>
      <c r="E254" t="str">
        <f t="shared" si="3"/>
        <v>ia.assorted_string like '%94948-08-2024%' or</v>
      </c>
    </row>
    <row r="255" spans="1:5" x14ac:dyDescent="0.25">
      <c r="A255" t="s">
        <v>384</v>
      </c>
      <c r="B255" t="s">
        <v>2640</v>
      </c>
      <c r="D255">
        <v>94949</v>
      </c>
      <c r="E255" t="str">
        <f t="shared" si="3"/>
        <v>ia.assorted_string like '%94949-08-2024%' or</v>
      </c>
    </row>
    <row r="256" spans="1:5" x14ac:dyDescent="0.25">
      <c r="A256" t="s">
        <v>385</v>
      </c>
      <c r="B256" t="s">
        <v>2640</v>
      </c>
      <c r="D256">
        <v>94950</v>
      </c>
      <c r="E256" t="str">
        <f t="shared" si="3"/>
        <v>ia.assorted_string like '%94950-08-2024%' or</v>
      </c>
    </row>
    <row r="257" spans="1:5" x14ac:dyDescent="0.25">
      <c r="A257" t="s">
        <v>386</v>
      </c>
      <c r="B257" t="s">
        <v>2640</v>
      </c>
      <c r="D257">
        <v>94951</v>
      </c>
      <c r="E257" t="str">
        <f t="shared" si="3"/>
        <v>ia.assorted_string like '%94951-08-2024%' or</v>
      </c>
    </row>
    <row r="258" spans="1:5" x14ac:dyDescent="0.25">
      <c r="A258" t="s">
        <v>387</v>
      </c>
      <c r="B258" t="s">
        <v>2640</v>
      </c>
      <c r="D258">
        <v>94952</v>
      </c>
      <c r="E258" t="str">
        <f t="shared" ref="E258:E321" si="4">"ia.assorted_string like '%"&amp;D258&amp;B258&amp;"%' or"</f>
        <v>ia.assorted_string like '%94952-08-2024%' or</v>
      </c>
    </row>
    <row r="259" spans="1:5" x14ac:dyDescent="0.25">
      <c r="A259" t="s">
        <v>388</v>
      </c>
      <c r="B259" t="s">
        <v>2640</v>
      </c>
      <c r="D259">
        <v>94953</v>
      </c>
      <c r="E259" t="str">
        <f t="shared" si="4"/>
        <v>ia.assorted_string like '%94953-08-2024%' or</v>
      </c>
    </row>
    <row r="260" spans="1:5" x14ac:dyDescent="0.25">
      <c r="A260" t="s">
        <v>389</v>
      </c>
      <c r="B260" t="s">
        <v>2640</v>
      </c>
      <c r="D260">
        <v>94972</v>
      </c>
      <c r="E260" t="str">
        <f t="shared" si="4"/>
        <v>ia.assorted_string like '%94972-08-2024%' or</v>
      </c>
    </row>
    <row r="261" spans="1:5" x14ac:dyDescent="0.25">
      <c r="A261" t="s">
        <v>390</v>
      </c>
      <c r="B261" t="s">
        <v>2640</v>
      </c>
      <c r="D261">
        <v>94973</v>
      </c>
      <c r="E261" t="str">
        <f t="shared" si="4"/>
        <v>ia.assorted_string like '%94973-08-2024%' or</v>
      </c>
    </row>
    <row r="262" spans="1:5" x14ac:dyDescent="0.25">
      <c r="A262" t="s">
        <v>391</v>
      </c>
      <c r="B262" t="s">
        <v>2640</v>
      </c>
      <c r="D262">
        <v>94975</v>
      </c>
      <c r="E262" t="str">
        <f t="shared" si="4"/>
        <v>ia.assorted_string like '%94975-08-2024%' or</v>
      </c>
    </row>
    <row r="263" spans="1:5" x14ac:dyDescent="0.25">
      <c r="A263" t="s">
        <v>392</v>
      </c>
      <c r="B263" t="s">
        <v>2640</v>
      </c>
      <c r="D263">
        <v>94976</v>
      </c>
      <c r="E263" t="str">
        <f t="shared" si="4"/>
        <v>ia.assorted_string like '%94976-08-2024%' or</v>
      </c>
    </row>
    <row r="264" spans="1:5" x14ac:dyDescent="0.25">
      <c r="A264" t="s">
        <v>393</v>
      </c>
      <c r="B264" t="s">
        <v>2640</v>
      </c>
      <c r="D264">
        <v>94977</v>
      </c>
      <c r="E264" t="str">
        <f t="shared" si="4"/>
        <v>ia.assorted_string like '%94977-08-2024%' or</v>
      </c>
    </row>
    <row r="265" spans="1:5" x14ac:dyDescent="0.25">
      <c r="A265" t="s">
        <v>394</v>
      </c>
      <c r="B265" t="s">
        <v>2640</v>
      </c>
      <c r="D265">
        <v>94978</v>
      </c>
      <c r="E265" t="str">
        <f t="shared" si="4"/>
        <v>ia.assorted_string like '%94978-08-2024%' or</v>
      </c>
    </row>
    <row r="266" spans="1:5" x14ac:dyDescent="0.25">
      <c r="A266" t="s">
        <v>395</v>
      </c>
      <c r="B266" t="s">
        <v>2640</v>
      </c>
      <c r="D266">
        <v>94980</v>
      </c>
      <c r="E266" t="str">
        <f t="shared" si="4"/>
        <v>ia.assorted_string like '%94980-08-2024%' or</v>
      </c>
    </row>
    <row r="267" spans="1:5" x14ac:dyDescent="0.25">
      <c r="A267" t="s">
        <v>396</v>
      </c>
      <c r="B267" t="s">
        <v>2640</v>
      </c>
      <c r="D267">
        <v>94981</v>
      </c>
      <c r="E267" t="str">
        <f t="shared" si="4"/>
        <v>ia.assorted_string like '%94981-08-2024%' or</v>
      </c>
    </row>
    <row r="268" spans="1:5" x14ac:dyDescent="0.25">
      <c r="A268" t="s">
        <v>397</v>
      </c>
      <c r="B268" t="s">
        <v>2640</v>
      </c>
      <c r="D268">
        <v>94982</v>
      </c>
      <c r="E268" t="str">
        <f t="shared" si="4"/>
        <v>ia.assorted_string like '%94982-08-2024%' or</v>
      </c>
    </row>
    <row r="269" spans="1:5" x14ac:dyDescent="0.25">
      <c r="A269" t="s">
        <v>398</v>
      </c>
      <c r="B269" t="s">
        <v>2640</v>
      </c>
      <c r="D269">
        <v>94983</v>
      </c>
      <c r="E269" t="str">
        <f t="shared" si="4"/>
        <v>ia.assorted_string like '%94983-08-2024%' or</v>
      </c>
    </row>
    <row r="270" spans="1:5" x14ac:dyDescent="0.25">
      <c r="A270" t="s">
        <v>399</v>
      </c>
      <c r="B270" t="s">
        <v>2640</v>
      </c>
      <c r="D270">
        <v>94984</v>
      </c>
      <c r="E270" t="str">
        <f t="shared" si="4"/>
        <v>ia.assorted_string like '%94984-08-2024%' or</v>
      </c>
    </row>
    <row r="271" spans="1:5" x14ac:dyDescent="0.25">
      <c r="A271" t="s">
        <v>400</v>
      </c>
      <c r="B271" t="s">
        <v>2640</v>
      </c>
      <c r="D271">
        <v>94985</v>
      </c>
      <c r="E271" t="str">
        <f t="shared" si="4"/>
        <v>ia.assorted_string like '%94985-08-2024%' or</v>
      </c>
    </row>
    <row r="272" spans="1:5" x14ac:dyDescent="0.25">
      <c r="A272" t="s">
        <v>401</v>
      </c>
      <c r="B272" t="s">
        <v>2640</v>
      </c>
      <c r="D272">
        <v>94986</v>
      </c>
      <c r="E272" t="str">
        <f t="shared" si="4"/>
        <v>ia.assorted_string like '%94986-08-2024%' or</v>
      </c>
    </row>
    <row r="273" spans="1:5" x14ac:dyDescent="0.25">
      <c r="A273" t="s">
        <v>402</v>
      </c>
      <c r="B273" t="s">
        <v>2640</v>
      </c>
      <c r="D273">
        <v>94987</v>
      </c>
      <c r="E273" t="str">
        <f t="shared" si="4"/>
        <v>ia.assorted_string like '%94987-08-2024%' or</v>
      </c>
    </row>
    <row r="274" spans="1:5" x14ac:dyDescent="0.25">
      <c r="A274" t="s">
        <v>403</v>
      </c>
      <c r="B274" t="s">
        <v>2640</v>
      </c>
      <c r="D274">
        <v>94988</v>
      </c>
      <c r="E274" t="str">
        <f t="shared" si="4"/>
        <v>ia.assorted_string like '%94988-08-2024%' or</v>
      </c>
    </row>
    <row r="275" spans="1:5" x14ac:dyDescent="0.25">
      <c r="A275" t="s">
        <v>404</v>
      </c>
      <c r="B275" t="s">
        <v>2640</v>
      </c>
      <c r="D275">
        <v>94989</v>
      </c>
      <c r="E275" t="str">
        <f t="shared" si="4"/>
        <v>ia.assorted_string like '%94989-08-2024%' or</v>
      </c>
    </row>
    <row r="276" spans="1:5" x14ac:dyDescent="0.25">
      <c r="A276" t="s">
        <v>405</v>
      </c>
      <c r="B276" t="s">
        <v>2640</v>
      </c>
      <c r="D276">
        <v>94990</v>
      </c>
      <c r="E276" t="str">
        <f t="shared" si="4"/>
        <v>ia.assorted_string like '%94990-08-2024%' or</v>
      </c>
    </row>
    <row r="277" spans="1:5" x14ac:dyDescent="0.25">
      <c r="A277" t="s">
        <v>406</v>
      </c>
      <c r="B277" t="s">
        <v>2640</v>
      </c>
      <c r="D277">
        <v>94991</v>
      </c>
      <c r="E277" t="str">
        <f t="shared" si="4"/>
        <v>ia.assorted_string like '%94991-08-2024%' or</v>
      </c>
    </row>
    <row r="278" spans="1:5" x14ac:dyDescent="0.25">
      <c r="A278" t="s">
        <v>407</v>
      </c>
      <c r="B278" t="s">
        <v>2640</v>
      </c>
      <c r="D278">
        <v>94993</v>
      </c>
      <c r="E278" t="str">
        <f t="shared" si="4"/>
        <v>ia.assorted_string like '%94993-08-2024%' or</v>
      </c>
    </row>
    <row r="279" spans="1:5" x14ac:dyDescent="0.25">
      <c r="A279" t="s">
        <v>408</v>
      </c>
      <c r="B279" t="s">
        <v>2640</v>
      </c>
      <c r="D279">
        <v>94999</v>
      </c>
      <c r="E279" t="str">
        <f t="shared" si="4"/>
        <v>ia.assorted_string like '%94999-08-2024%' or</v>
      </c>
    </row>
    <row r="280" spans="1:5" x14ac:dyDescent="0.25">
      <c r="A280" t="s">
        <v>409</v>
      </c>
      <c r="B280" t="s">
        <v>2640</v>
      </c>
      <c r="D280">
        <v>95000</v>
      </c>
      <c r="E280" t="str">
        <f t="shared" si="4"/>
        <v>ia.assorted_string like '%95000-08-2024%' or</v>
      </c>
    </row>
    <row r="281" spans="1:5" x14ac:dyDescent="0.25">
      <c r="A281" t="s">
        <v>410</v>
      </c>
      <c r="B281" t="s">
        <v>2640</v>
      </c>
      <c r="D281">
        <v>95002</v>
      </c>
      <c r="E281" t="str">
        <f t="shared" si="4"/>
        <v>ia.assorted_string like '%95002-08-2024%' or</v>
      </c>
    </row>
    <row r="282" spans="1:5" x14ac:dyDescent="0.25">
      <c r="A282" t="s">
        <v>411</v>
      </c>
      <c r="B282" t="s">
        <v>2640</v>
      </c>
      <c r="D282">
        <v>95003</v>
      </c>
      <c r="E282" t="str">
        <f t="shared" si="4"/>
        <v>ia.assorted_string like '%95003-08-2024%' or</v>
      </c>
    </row>
    <row r="283" spans="1:5" x14ac:dyDescent="0.25">
      <c r="A283" t="s">
        <v>412</v>
      </c>
      <c r="B283" t="s">
        <v>2640</v>
      </c>
      <c r="D283">
        <v>95007</v>
      </c>
      <c r="E283" t="str">
        <f t="shared" si="4"/>
        <v>ia.assorted_string like '%95007-08-2024%' or</v>
      </c>
    </row>
    <row r="284" spans="1:5" x14ac:dyDescent="0.25">
      <c r="A284" t="s">
        <v>413</v>
      </c>
      <c r="B284" t="s">
        <v>2640</v>
      </c>
      <c r="D284">
        <v>95008</v>
      </c>
      <c r="E284" t="str">
        <f t="shared" si="4"/>
        <v>ia.assorted_string like '%95008-08-2024%' or</v>
      </c>
    </row>
    <row r="285" spans="1:5" x14ac:dyDescent="0.25">
      <c r="A285" t="s">
        <v>414</v>
      </c>
      <c r="B285" t="s">
        <v>2640</v>
      </c>
      <c r="D285">
        <v>95010</v>
      </c>
      <c r="E285" t="str">
        <f t="shared" si="4"/>
        <v>ia.assorted_string like '%95010-08-2024%' or</v>
      </c>
    </row>
    <row r="286" spans="1:5" x14ac:dyDescent="0.25">
      <c r="A286" t="s">
        <v>415</v>
      </c>
      <c r="B286" t="s">
        <v>2640</v>
      </c>
      <c r="D286">
        <v>95011</v>
      </c>
      <c r="E286" t="str">
        <f t="shared" si="4"/>
        <v>ia.assorted_string like '%95011-08-2024%' or</v>
      </c>
    </row>
    <row r="287" spans="1:5" x14ac:dyDescent="0.25">
      <c r="A287" t="s">
        <v>416</v>
      </c>
      <c r="B287" t="s">
        <v>2640</v>
      </c>
      <c r="D287">
        <v>95014</v>
      </c>
      <c r="E287" t="str">
        <f t="shared" si="4"/>
        <v>ia.assorted_string like '%95014-08-2024%' or</v>
      </c>
    </row>
    <row r="288" spans="1:5" x14ac:dyDescent="0.25">
      <c r="A288" t="s">
        <v>417</v>
      </c>
      <c r="B288" t="s">
        <v>2640</v>
      </c>
      <c r="D288">
        <v>95015</v>
      </c>
      <c r="E288" t="str">
        <f t="shared" si="4"/>
        <v>ia.assorted_string like '%95015-08-2024%' or</v>
      </c>
    </row>
    <row r="289" spans="1:5" x14ac:dyDescent="0.25">
      <c r="A289" t="s">
        <v>418</v>
      </c>
      <c r="B289" t="s">
        <v>2640</v>
      </c>
      <c r="D289">
        <v>95016</v>
      </c>
      <c r="E289" t="str">
        <f t="shared" si="4"/>
        <v>ia.assorted_string like '%95016-08-2024%' or</v>
      </c>
    </row>
    <row r="290" spans="1:5" x14ac:dyDescent="0.25">
      <c r="A290" t="s">
        <v>419</v>
      </c>
      <c r="B290" t="s">
        <v>2640</v>
      </c>
      <c r="D290">
        <v>95018</v>
      </c>
      <c r="E290" t="str">
        <f t="shared" si="4"/>
        <v>ia.assorted_string like '%95018-08-2024%' or</v>
      </c>
    </row>
    <row r="291" spans="1:5" x14ac:dyDescent="0.25">
      <c r="A291" t="s">
        <v>420</v>
      </c>
      <c r="B291" t="s">
        <v>2640</v>
      </c>
      <c r="D291">
        <v>95019</v>
      </c>
      <c r="E291" t="str">
        <f t="shared" si="4"/>
        <v>ia.assorted_string like '%95019-08-2024%' or</v>
      </c>
    </row>
    <row r="292" spans="1:5" x14ac:dyDescent="0.25">
      <c r="A292" t="s">
        <v>421</v>
      </c>
      <c r="B292" t="s">
        <v>2640</v>
      </c>
      <c r="D292">
        <v>95020</v>
      </c>
      <c r="E292" t="str">
        <f t="shared" si="4"/>
        <v>ia.assorted_string like '%95020-08-2024%' or</v>
      </c>
    </row>
    <row r="293" spans="1:5" x14ac:dyDescent="0.25">
      <c r="A293" t="s">
        <v>422</v>
      </c>
      <c r="B293" t="s">
        <v>2640</v>
      </c>
      <c r="D293">
        <v>95022</v>
      </c>
      <c r="E293" t="str">
        <f t="shared" si="4"/>
        <v>ia.assorted_string like '%95022-08-2024%' or</v>
      </c>
    </row>
    <row r="294" spans="1:5" x14ac:dyDescent="0.25">
      <c r="A294" t="s">
        <v>423</v>
      </c>
      <c r="B294" t="s">
        <v>2640</v>
      </c>
      <c r="D294">
        <v>95023</v>
      </c>
      <c r="E294" t="str">
        <f t="shared" si="4"/>
        <v>ia.assorted_string like '%95023-08-2024%' or</v>
      </c>
    </row>
    <row r="295" spans="1:5" x14ac:dyDescent="0.25">
      <c r="A295" t="s">
        <v>424</v>
      </c>
      <c r="B295" t="s">
        <v>2640</v>
      </c>
      <c r="D295">
        <v>95028</v>
      </c>
      <c r="E295" t="str">
        <f t="shared" si="4"/>
        <v>ia.assorted_string like '%95028-08-2024%' or</v>
      </c>
    </row>
    <row r="296" spans="1:5" x14ac:dyDescent="0.25">
      <c r="A296" t="s">
        <v>425</v>
      </c>
      <c r="B296" t="s">
        <v>2640</v>
      </c>
      <c r="D296">
        <v>95029</v>
      </c>
      <c r="E296" t="str">
        <f t="shared" si="4"/>
        <v>ia.assorted_string like '%95029-08-2024%' or</v>
      </c>
    </row>
    <row r="297" spans="1:5" x14ac:dyDescent="0.25">
      <c r="A297" t="s">
        <v>426</v>
      </c>
      <c r="B297" t="s">
        <v>2640</v>
      </c>
      <c r="D297">
        <v>95030</v>
      </c>
      <c r="E297" t="str">
        <f t="shared" si="4"/>
        <v>ia.assorted_string like '%95030-08-2024%' or</v>
      </c>
    </row>
    <row r="298" spans="1:5" x14ac:dyDescent="0.25">
      <c r="A298" t="s">
        <v>427</v>
      </c>
      <c r="B298" t="s">
        <v>2640</v>
      </c>
      <c r="D298">
        <v>95032</v>
      </c>
      <c r="E298" t="str">
        <f t="shared" si="4"/>
        <v>ia.assorted_string like '%95032-08-2024%' or</v>
      </c>
    </row>
    <row r="299" spans="1:5" x14ac:dyDescent="0.25">
      <c r="A299" t="s">
        <v>428</v>
      </c>
      <c r="B299" t="s">
        <v>2640</v>
      </c>
      <c r="D299">
        <v>95033</v>
      </c>
      <c r="E299" t="str">
        <f t="shared" si="4"/>
        <v>ia.assorted_string like '%95033-08-2024%' or</v>
      </c>
    </row>
    <row r="300" spans="1:5" x14ac:dyDescent="0.25">
      <c r="A300" t="s">
        <v>429</v>
      </c>
      <c r="B300" t="s">
        <v>2640</v>
      </c>
      <c r="D300">
        <v>95034</v>
      </c>
      <c r="E300" t="str">
        <f t="shared" si="4"/>
        <v>ia.assorted_string like '%95034-08-2024%' or</v>
      </c>
    </row>
    <row r="301" spans="1:5" x14ac:dyDescent="0.25">
      <c r="A301" t="s">
        <v>430</v>
      </c>
      <c r="B301" t="s">
        <v>2640</v>
      </c>
      <c r="D301">
        <v>95035</v>
      </c>
      <c r="E301" t="str">
        <f t="shared" si="4"/>
        <v>ia.assorted_string like '%95035-08-2024%' or</v>
      </c>
    </row>
    <row r="302" spans="1:5" x14ac:dyDescent="0.25">
      <c r="A302" t="s">
        <v>431</v>
      </c>
      <c r="B302" t="s">
        <v>2640</v>
      </c>
      <c r="D302">
        <v>95036</v>
      </c>
      <c r="E302" t="str">
        <f t="shared" si="4"/>
        <v>ia.assorted_string like '%95036-08-2024%' or</v>
      </c>
    </row>
    <row r="303" spans="1:5" x14ac:dyDescent="0.25">
      <c r="A303" t="s">
        <v>432</v>
      </c>
      <c r="B303" t="s">
        <v>2640</v>
      </c>
      <c r="D303">
        <v>95037</v>
      </c>
      <c r="E303" t="str">
        <f t="shared" si="4"/>
        <v>ia.assorted_string like '%95037-08-2024%' or</v>
      </c>
    </row>
    <row r="304" spans="1:5" x14ac:dyDescent="0.25">
      <c r="A304" t="s">
        <v>433</v>
      </c>
      <c r="B304" t="s">
        <v>2640</v>
      </c>
      <c r="D304">
        <v>95038</v>
      </c>
      <c r="E304" t="str">
        <f t="shared" si="4"/>
        <v>ia.assorted_string like '%95038-08-2024%' or</v>
      </c>
    </row>
    <row r="305" spans="1:5" x14ac:dyDescent="0.25">
      <c r="A305" t="s">
        <v>434</v>
      </c>
      <c r="B305" t="s">
        <v>2640</v>
      </c>
      <c r="D305">
        <v>95039</v>
      </c>
      <c r="E305" t="str">
        <f t="shared" si="4"/>
        <v>ia.assorted_string like '%95039-08-2024%' or</v>
      </c>
    </row>
    <row r="306" spans="1:5" x14ac:dyDescent="0.25">
      <c r="A306" t="s">
        <v>435</v>
      </c>
      <c r="B306" t="s">
        <v>2640</v>
      </c>
      <c r="D306">
        <v>95040</v>
      </c>
      <c r="E306" t="str">
        <f t="shared" si="4"/>
        <v>ia.assorted_string like '%95040-08-2024%' or</v>
      </c>
    </row>
    <row r="307" spans="1:5" x14ac:dyDescent="0.25">
      <c r="A307" t="s">
        <v>436</v>
      </c>
      <c r="B307" t="s">
        <v>2640</v>
      </c>
      <c r="D307">
        <v>95041</v>
      </c>
      <c r="E307" t="str">
        <f t="shared" si="4"/>
        <v>ia.assorted_string like '%95041-08-2024%' or</v>
      </c>
    </row>
    <row r="308" spans="1:5" x14ac:dyDescent="0.25">
      <c r="A308" t="s">
        <v>437</v>
      </c>
      <c r="B308" t="s">
        <v>2640</v>
      </c>
      <c r="D308">
        <v>95042</v>
      </c>
      <c r="E308" t="str">
        <f t="shared" si="4"/>
        <v>ia.assorted_string like '%95042-08-2024%' or</v>
      </c>
    </row>
    <row r="309" spans="1:5" x14ac:dyDescent="0.25">
      <c r="A309" t="s">
        <v>438</v>
      </c>
      <c r="B309" t="s">
        <v>2640</v>
      </c>
      <c r="D309">
        <v>95043</v>
      </c>
      <c r="E309" t="str">
        <f t="shared" si="4"/>
        <v>ia.assorted_string like '%95043-08-2024%' or</v>
      </c>
    </row>
    <row r="310" spans="1:5" x14ac:dyDescent="0.25">
      <c r="A310" t="s">
        <v>439</v>
      </c>
      <c r="B310" t="s">
        <v>2640</v>
      </c>
      <c r="D310">
        <v>95044</v>
      </c>
      <c r="E310" t="str">
        <f t="shared" si="4"/>
        <v>ia.assorted_string like '%95044-08-2024%' or</v>
      </c>
    </row>
    <row r="311" spans="1:5" x14ac:dyDescent="0.25">
      <c r="A311" t="s">
        <v>440</v>
      </c>
      <c r="B311" t="s">
        <v>2640</v>
      </c>
      <c r="D311">
        <v>95045</v>
      </c>
      <c r="E311" t="str">
        <f t="shared" si="4"/>
        <v>ia.assorted_string like '%95045-08-2024%' or</v>
      </c>
    </row>
    <row r="312" spans="1:5" x14ac:dyDescent="0.25">
      <c r="A312" t="s">
        <v>441</v>
      </c>
      <c r="B312" t="s">
        <v>2640</v>
      </c>
      <c r="D312">
        <v>95046</v>
      </c>
      <c r="E312" t="str">
        <f t="shared" si="4"/>
        <v>ia.assorted_string like '%95046-08-2024%' or</v>
      </c>
    </row>
    <row r="313" spans="1:5" x14ac:dyDescent="0.25">
      <c r="A313" t="s">
        <v>442</v>
      </c>
      <c r="B313" t="s">
        <v>2640</v>
      </c>
      <c r="D313">
        <v>95047</v>
      </c>
      <c r="E313" t="str">
        <f t="shared" si="4"/>
        <v>ia.assorted_string like '%95047-08-2024%' or</v>
      </c>
    </row>
    <row r="314" spans="1:5" x14ac:dyDescent="0.25">
      <c r="A314" t="s">
        <v>443</v>
      </c>
      <c r="B314" t="s">
        <v>2640</v>
      </c>
      <c r="D314">
        <v>95048</v>
      </c>
      <c r="E314" t="str">
        <f t="shared" si="4"/>
        <v>ia.assorted_string like '%95048-08-2024%' or</v>
      </c>
    </row>
    <row r="315" spans="1:5" x14ac:dyDescent="0.25">
      <c r="A315" t="s">
        <v>444</v>
      </c>
      <c r="B315" t="s">
        <v>2640</v>
      </c>
      <c r="D315">
        <v>95049</v>
      </c>
      <c r="E315" t="str">
        <f t="shared" si="4"/>
        <v>ia.assorted_string like '%95049-08-2024%' or</v>
      </c>
    </row>
    <row r="316" spans="1:5" x14ac:dyDescent="0.25">
      <c r="A316" t="s">
        <v>445</v>
      </c>
      <c r="B316" t="s">
        <v>2640</v>
      </c>
      <c r="D316">
        <v>95050</v>
      </c>
      <c r="E316" t="str">
        <f t="shared" si="4"/>
        <v>ia.assorted_string like '%95050-08-2024%' or</v>
      </c>
    </row>
    <row r="317" spans="1:5" x14ac:dyDescent="0.25">
      <c r="A317" t="s">
        <v>446</v>
      </c>
      <c r="B317" t="s">
        <v>2640</v>
      </c>
      <c r="D317">
        <v>95051</v>
      </c>
      <c r="E317" t="str">
        <f t="shared" si="4"/>
        <v>ia.assorted_string like '%95051-08-2024%' or</v>
      </c>
    </row>
    <row r="318" spans="1:5" x14ac:dyDescent="0.25">
      <c r="A318" t="s">
        <v>447</v>
      </c>
      <c r="B318" t="s">
        <v>2640</v>
      </c>
      <c r="D318">
        <v>95053</v>
      </c>
      <c r="E318" t="str">
        <f t="shared" si="4"/>
        <v>ia.assorted_string like '%95053-08-2024%' or</v>
      </c>
    </row>
    <row r="319" spans="1:5" x14ac:dyDescent="0.25">
      <c r="A319" t="s">
        <v>448</v>
      </c>
      <c r="B319" t="s">
        <v>2640</v>
      </c>
      <c r="D319">
        <v>95055</v>
      </c>
      <c r="E319" t="str">
        <f t="shared" si="4"/>
        <v>ia.assorted_string like '%95055-08-2024%' or</v>
      </c>
    </row>
    <row r="320" spans="1:5" x14ac:dyDescent="0.25">
      <c r="A320" t="s">
        <v>449</v>
      </c>
      <c r="B320" t="s">
        <v>2640</v>
      </c>
      <c r="D320">
        <v>95056</v>
      </c>
      <c r="E320" t="str">
        <f t="shared" si="4"/>
        <v>ia.assorted_string like '%95056-08-2024%' or</v>
      </c>
    </row>
    <row r="321" spans="1:5" x14ac:dyDescent="0.25">
      <c r="A321" t="s">
        <v>450</v>
      </c>
      <c r="B321" t="s">
        <v>2640</v>
      </c>
      <c r="D321">
        <v>95057</v>
      </c>
      <c r="E321" t="str">
        <f t="shared" si="4"/>
        <v>ia.assorted_string like '%95057-08-2024%' or</v>
      </c>
    </row>
    <row r="322" spans="1:5" x14ac:dyDescent="0.25">
      <c r="A322" t="s">
        <v>451</v>
      </c>
      <c r="B322" t="s">
        <v>2640</v>
      </c>
      <c r="D322">
        <v>95058</v>
      </c>
      <c r="E322" t="str">
        <f t="shared" ref="E322:E385" si="5">"ia.assorted_string like '%"&amp;D322&amp;B322&amp;"%' or"</f>
        <v>ia.assorted_string like '%95058-08-2024%' or</v>
      </c>
    </row>
    <row r="323" spans="1:5" x14ac:dyDescent="0.25">
      <c r="A323" t="s">
        <v>452</v>
      </c>
      <c r="B323" t="s">
        <v>2640</v>
      </c>
      <c r="D323">
        <v>95060</v>
      </c>
      <c r="E323" t="str">
        <f t="shared" si="5"/>
        <v>ia.assorted_string like '%95060-08-2024%' or</v>
      </c>
    </row>
    <row r="324" spans="1:5" x14ac:dyDescent="0.25">
      <c r="A324" t="s">
        <v>453</v>
      </c>
      <c r="B324" t="s">
        <v>2640</v>
      </c>
      <c r="D324">
        <v>95062</v>
      </c>
      <c r="E324" t="str">
        <f t="shared" si="5"/>
        <v>ia.assorted_string like '%95062-08-2024%' or</v>
      </c>
    </row>
    <row r="325" spans="1:5" x14ac:dyDescent="0.25">
      <c r="A325" t="s">
        <v>454</v>
      </c>
      <c r="B325" t="s">
        <v>2640</v>
      </c>
      <c r="D325">
        <v>95063</v>
      </c>
      <c r="E325" t="str">
        <f t="shared" si="5"/>
        <v>ia.assorted_string like '%95063-08-2024%' or</v>
      </c>
    </row>
    <row r="326" spans="1:5" x14ac:dyDescent="0.25">
      <c r="A326" t="s">
        <v>455</v>
      </c>
      <c r="B326" t="s">
        <v>2640</v>
      </c>
      <c r="D326">
        <v>95064</v>
      </c>
      <c r="E326" t="str">
        <f t="shared" si="5"/>
        <v>ia.assorted_string like '%95064-08-2024%' or</v>
      </c>
    </row>
    <row r="327" spans="1:5" x14ac:dyDescent="0.25">
      <c r="A327" t="s">
        <v>456</v>
      </c>
      <c r="B327" t="s">
        <v>2640</v>
      </c>
      <c r="D327">
        <v>95065</v>
      </c>
      <c r="E327" t="str">
        <f t="shared" si="5"/>
        <v>ia.assorted_string like '%95065-08-2024%' or</v>
      </c>
    </row>
    <row r="328" spans="1:5" x14ac:dyDescent="0.25">
      <c r="A328" t="s">
        <v>457</v>
      </c>
      <c r="B328" t="s">
        <v>2640</v>
      </c>
      <c r="D328">
        <v>95066</v>
      </c>
      <c r="E328" t="str">
        <f t="shared" si="5"/>
        <v>ia.assorted_string like '%95066-08-2024%' or</v>
      </c>
    </row>
    <row r="329" spans="1:5" x14ac:dyDescent="0.25">
      <c r="A329" t="s">
        <v>458</v>
      </c>
      <c r="B329" t="s">
        <v>2640</v>
      </c>
      <c r="D329">
        <v>95067</v>
      </c>
      <c r="E329" t="str">
        <f t="shared" si="5"/>
        <v>ia.assorted_string like '%95067-08-2024%' or</v>
      </c>
    </row>
    <row r="330" spans="1:5" x14ac:dyDescent="0.25">
      <c r="A330" t="s">
        <v>459</v>
      </c>
      <c r="B330" t="s">
        <v>2640</v>
      </c>
      <c r="D330">
        <v>95070</v>
      </c>
      <c r="E330" t="str">
        <f t="shared" si="5"/>
        <v>ia.assorted_string like '%95070-08-2024%' or</v>
      </c>
    </row>
    <row r="331" spans="1:5" x14ac:dyDescent="0.25">
      <c r="A331" t="s">
        <v>460</v>
      </c>
      <c r="B331" t="s">
        <v>2640</v>
      </c>
      <c r="D331">
        <v>95071</v>
      </c>
      <c r="E331" t="str">
        <f t="shared" si="5"/>
        <v>ia.assorted_string like '%95071-08-2024%' or</v>
      </c>
    </row>
    <row r="332" spans="1:5" x14ac:dyDescent="0.25">
      <c r="A332" t="s">
        <v>461</v>
      </c>
      <c r="B332" t="s">
        <v>2640</v>
      </c>
      <c r="D332">
        <v>95072</v>
      </c>
      <c r="E332" t="str">
        <f t="shared" si="5"/>
        <v>ia.assorted_string like '%95072-08-2024%' or</v>
      </c>
    </row>
    <row r="333" spans="1:5" x14ac:dyDescent="0.25">
      <c r="A333" t="s">
        <v>462</v>
      </c>
      <c r="B333" t="s">
        <v>2640</v>
      </c>
      <c r="D333">
        <v>95073</v>
      </c>
      <c r="E333" t="str">
        <f t="shared" si="5"/>
        <v>ia.assorted_string like '%95073-08-2024%' or</v>
      </c>
    </row>
    <row r="334" spans="1:5" x14ac:dyDescent="0.25">
      <c r="A334" t="s">
        <v>463</v>
      </c>
      <c r="B334" t="s">
        <v>2640</v>
      </c>
      <c r="D334">
        <v>95074</v>
      </c>
      <c r="E334" t="str">
        <f t="shared" si="5"/>
        <v>ia.assorted_string like '%95074-08-2024%' or</v>
      </c>
    </row>
    <row r="335" spans="1:5" x14ac:dyDescent="0.25">
      <c r="A335" t="s">
        <v>464</v>
      </c>
      <c r="B335" t="s">
        <v>2640</v>
      </c>
      <c r="D335">
        <v>95075</v>
      </c>
      <c r="E335" t="str">
        <f t="shared" si="5"/>
        <v>ia.assorted_string like '%95075-08-2024%' or</v>
      </c>
    </row>
    <row r="336" spans="1:5" x14ac:dyDescent="0.25">
      <c r="A336" t="s">
        <v>465</v>
      </c>
      <c r="B336" t="s">
        <v>2640</v>
      </c>
      <c r="D336">
        <v>95076</v>
      </c>
      <c r="E336" t="str">
        <f t="shared" si="5"/>
        <v>ia.assorted_string like '%95076-08-2024%' or</v>
      </c>
    </row>
    <row r="337" spans="1:5" x14ac:dyDescent="0.25">
      <c r="A337" t="s">
        <v>466</v>
      </c>
      <c r="B337" t="s">
        <v>2640</v>
      </c>
      <c r="D337">
        <v>95077</v>
      </c>
      <c r="E337" t="str">
        <f t="shared" si="5"/>
        <v>ia.assorted_string like '%95077-08-2024%' or</v>
      </c>
    </row>
    <row r="338" spans="1:5" x14ac:dyDescent="0.25">
      <c r="A338" t="s">
        <v>467</v>
      </c>
      <c r="B338" t="s">
        <v>2640</v>
      </c>
      <c r="D338">
        <v>95078</v>
      </c>
      <c r="E338" t="str">
        <f t="shared" si="5"/>
        <v>ia.assorted_string like '%95078-08-2024%' or</v>
      </c>
    </row>
    <row r="339" spans="1:5" x14ac:dyDescent="0.25">
      <c r="A339" t="s">
        <v>468</v>
      </c>
      <c r="B339" t="s">
        <v>2640</v>
      </c>
      <c r="D339">
        <v>95079</v>
      </c>
      <c r="E339" t="str">
        <f t="shared" si="5"/>
        <v>ia.assorted_string like '%95079-08-2024%' or</v>
      </c>
    </row>
    <row r="340" spans="1:5" x14ac:dyDescent="0.25">
      <c r="A340" t="s">
        <v>469</v>
      </c>
      <c r="B340" t="s">
        <v>2640</v>
      </c>
      <c r="D340">
        <v>95080</v>
      </c>
      <c r="E340" t="str">
        <f t="shared" si="5"/>
        <v>ia.assorted_string like '%95080-08-2024%' or</v>
      </c>
    </row>
    <row r="341" spans="1:5" x14ac:dyDescent="0.25">
      <c r="A341" t="s">
        <v>470</v>
      </c>
      <c r="B341" t="s">
        <v>2640</v>
      </c>
      <c r="D341">
        <v>95081</v>
      </c>
      <c r="E341" t="str">
        <f t="shared" si="5"/>
        <v>ia.assorted_string like '%95081-08-2024%' or</v>
      </c>
    </row>
    <row r="342" spans="1:5" x14ac:dyDescent="0.25">
      <c r="A342" t="s">
        <v>471</v>
      </c>
      <c r="B342" t="s">
        <v>2640</v>
      </c>
      <c r="D342">
        <v>95082</v>
      </c>
      <c r="E342" t="str">
        <f t="shared" si="5"/>
        <v>ia.assorted_string like '%95082-08-2024%' or</v>
      </c>
    </row>
    <row r="343" spans="1:5" x14ac:dyDescent="0.25">
      <c r="A343" t="s">
        <v>472</v>
      </c>
      <c r="B343" t="s">
        <v>2640</v>
      </c>
      <c r="D343">
        <v>95083</v>
      </c>
      <c r="E343" t="str">
        <f t="shared" si="5"/>
        <v>ia.assorted_string like '%95083-08-2024%' or</v>
      </c>
    </row>
    <row r="344" spans="1:5" x14ac:dyDescent="0.25">
      <c r="A344" t="s">
        <v>473</v>
      </c>
      <c r="B344" t="s">
        <v>2640</v>
      </c>
      <c r="D344">
        <v>95084</v>
      </c>
      <c r="E344" t="str">
        <f t="shared" si="5"/>
        <v>ia.assorted_string like '%95084-08-2024%' or</v>
      </c>
    </row>
    <row r="345" spans="1:5" x14ac:dyDescent="0.25">
      <c r="A345" t="s">
        <v>474</v>
      </c>
      <c r="B345" t="s">
        <v>2640</v>
      </c>
      <c r="D345">
        <v>95085</v>
      </c>
      <c r="E345" t="str">
        <f t="shared" si="5"/>
        <v>ia.assorted_string like '%95085-08-2024%' or</v>
      </c>
    </row>
    <row r="346" spans="1:5" x14ac:dyDescent="0.25">
      <c r="A346" t="s">
        <v>475</v>
      </c>
      <c r="B346" t="s">
        <v>2640</v>
      </c>
      <c r="D346">
        <v>95086</v>
      </c>
      <c r="E346" t="str">
        <f t="shared" si="5"/>
        <v>ia.assorted_string like '%95086-08-2024%' or</v>
      </c>
    </row>
    <row r="347" spans="1:5" x14ac:dyDescent="0.25">
      <c r="A347" t="s">
        <v>476</v>
      </c>
      <c r="B347" t="s">
        <v>2640</v>
      </c>
      <c r="D347">
        <v>95087</v>
      </c>
      <c r="E347" t="str">
        <f t="shared" si="5"/>
        <v>ia.assorted_string like '%95087-08-2024%' or</v>
      </c>
    </row>
    <row r="348" spans="1:5" x14ac:dyDescent="0.25">
      <c r="A348" t="s">
        <v>477</v>
      </c>
      <c r="B348" t="s">
        <v>2640</v>
      </c>
      <c r="D348">
        <v>95088</v>
      </c>
      <c r="E348" t="str">
        <f t="shared" si="5"/>
        <v>ia.assorted_string like '%95088-08-2024%' or</v>
      </c>
    </row>
    <row r="349" spans="1:5" x14ac:dyDescent="0.25">
      <c r="A349" t="s">
        <v>478</v>
      </c>
      <c r="B349" t="s">
        <v>2640</v>
      </c>
      <c r="D349">
        <v>95089</v>
      </c>
      <c r="E349" t="str">
        <f t="shared" si="5"/>
        <v>ia.assorted_string like '%95089-08-2024%' or</v>
      </c>
    </row>
    <row r="350" spans="1:5" x14ac:dyDescent="0.25">
      <c r="A350" t="s">
        <v>479</v>
      </c>
      <c r="B350" t="s">
        <v>2640</v>
      </c>
      <c r="D350">
        <v>95090</v>
      </c>
      <c r="E350" t="str">
        <f t="shared" si="5"/>
        <v>ia.assorted_string like '%95090-08-2024%' or</v>
      </c>
    </row>
    <row r="351" spans="1:5" x14ac:dyDescent="0.25">
      <c r="A351" t="s">
        <v>480</v>
      </c>
      <c r="B351" t="s">
        <v>2640</v>
      </c>
      <c r="D351">
        <v>95109</v>
      </c>
      <c r="E351" t="str">
        <f t="shared" si="5"/>
        <v>ia.assorted_string like '%95109-08-2024%' or</v>
      </c>
    </row>
    <row r="352" spans="1:5" x14ac:dyDescent="0.25">
      <c r="A352" t="s">
        <v>481</v>
      </c>
      <c r="B352" t="s">
        <v>2640</v>
      </c>
      <c r="D352">
        <v>95110</v>
      </c>
      <c r="E352" t="str">
        <f t="shared" si="5"/>
        <v>ia.assorted_string like '%95110-08-2024%' or</v>
      </c>
    </row>
    <row r="353" spans="1:5" x14ac:dyDescent="0.25">
      <c r="A353" t="s">
        <v>482</v>
      </c>
      <c r="B353" t="s">
        <v>2640</v>
      </c>
      <c r="D353">
        <v>95117</v>
      </c>
      <c r="E353" t="str">
        <f t="shared" si="5"/>
        <v>ia.assorted_string like '%95117-08-2024%' or</v>
      </c>
    </row>
    <row r="354" spans="1:5" x14ac:dyDescent="0.25">
      <c r="A354" t="s">
        <v>483</v>
      </c>
      <c r="B354" t="s">
        <v>2640</v>
      </c>
      <c r="D354">
        <v>95118</v>
      </c>
      <c r="E354" t="str">
        <f t="shared" si="5"/>
        <v>ia.assorted_string like '%95118-08-2024%' or</v>
      </c>
    </row>
    <row r="355" spans="1:5" x14ac:dyDescent="0.25">
      <c r="A355" t="s">
        <v>484</v>
      </c>
      <c r="B355" t="s">
        <v>2640</v>
      </c>
      <c r="D355">
        <v>95120</v>
      </c>
      <c r="E355" t="str">
        <f t="shared" si="5"/>
        <v>ia.assorted_string like '%95120-08-2024%' or</v>
      </c>
    </row>
    <row r="356" spans="1:5" x14ac:dyDescent="0.25">
      <c r="A356" t="s">
        <v>485</v>
      </c>
      <c r="B356" t="s">
        <v>2640</v>
      </c>
      <c r="D356">
        <v>95121</v>
      </c>
      <c r="E356" t="str">
        <f t="shared" si="5"/>
        <v>ia.assorted_string like '%95121-08-2024%' or</v>
      </c>
    </row>
    <row r="357" spans="1:5" x14ac:dyDescent="0.25">
      <c r="A357" t="s">
        <v>486</v>
      </c>
      <c r="B357" t="s">
        <v>2640</v>
      </c>
      <c r="D357">
        <v>95122</v>
      </c>
      <c r="E357" t="str">
        <f t="shared" si="5"/>
        <v>ia.assorted_string like '%95122-08-2024%' or</v>
      </c>
    </row>
    <row r="358" spans="1:5" x14ac:dyDescent="0.25">
      <c r="A358" t="s">
        <v>487</v>
      </c>
      <c r="B358" t="s">
        <v>2640</v>
      </c>
      <c r="D358">
        <v>95123</v>
      </c>
      <c r="E358" t="str">
        <f t="shared" si="5"/>
        <v>ia.assorted_string like '%95123-08-2024%' or</v>
      </c>
    </row>
    <row r="359" spans="1:5" x14ac:dyDescent="0.25">
      <c r="A359" t="s">
        <v>488</v>
      </c>
      <c r="B359" t="s">
        <v>2640</v>
      </c>
      <c r="D359">
        <v>95124</v>
      </c>
      <c r="E359" t="str">
        <f t="shared" si="5"/>
        <v>ia.assorted_string like '%95124-08-2024%' or</v>
      </c>
    </row>
    <row r="360" spans="1:5" x14ac:dyDescent="0.25">
      <c r="A360" t="s">
        <v>489</v>
      </c>
      <c r="B360" t="s">
        <v>2640</v>
      </c>
      <c r="D360">
        <v>95125</v>
      </c>
      <c r="E360" t="str">
        <f t="shared" si="5"/>
        <v>ia.assorted_string like '%95125-08-2024%' or</v>
      </c>
    </row>
    <row r="361" spans="1:5" x14ac:dyDescent="0.25">
      <c r="A361" t="s">
        <v>490</v>
      </c>
      <c r="B361" t="s">
        <v>2640</v>
      </c>
      <c r="D361">
        <v>95126</v>
      </c>
      <c r="E361" t="str">
        <f t="shared" si="5"/>
        <v>ia.assorted_string like '%95126-08-2024%' or</v>
      </c>
    </row>
    <row r="362" spans="1:5" x14ac:dyDescent="0.25">
      <c r="A362" t="s">
        <v>491</v>
      </c>
      <c r="B362" t="s">
        <v>2640</v>
      </c>
      <c r="D362">
        <v>95128</v>
      </c>
      <c r="E362" t="str">
        <f t="shared" si="5"/>
        <v>ia.assorted_string like '%95128-08-2024%' or</v>
      </c>
    </row>
    <row r="363" spans="1:5" x14ac:dyDescent="0.25">
      <c r="A363" t="s">
        <v>492</v>
      </c>
      <c r="B363" t="s">
        <v>2640</v>
      </c>
      <c r="D363">
        <v>95130</v>
      </c>
      <c r="E363" t="str">
        <f t="shared" si="5"/>
        <v>ia.assorted_string like '%95130-08-2024%' or</v>
      </c>
    </row>
    <row r="364" spans="1:5" x14ac:dyDescent="0.25">
      <c r="A364" t="s">
        <v>493</v>
      </c>
      <c r="B364" t="s">
        <v>2640</v>
      </c>
      <c r="D364">
        <v>95133</v>
      </c>
      <c r="E364" t="str">
        <f t="shared" si="5"/>
        <v>ia.assorted_string like '%95133-08-2024%' or</v>
      </c>
    </row>
    <row r="365" spans="1:5" x14ac:dyDescent="0.25">
      <c r="A365" t="s">
        <v>494</v>
      </c>
      <c r="B365" t="s">
        <v>2640</v>
      </c>
      <c r="D365">
        <v>95134</v>
      </c>
      <c r="E365" t="str">
        <f t="shared" si="5"/>
        <v>ia.assorted_string like '%95134-08-2024%' or</v>
      </c>
    </row>
    <row r="366" spans="1:5" x14ac:dyDescent="0.25">
      <c r="A366" t="s">
        <v>495</v>
      </c>
      <c r="B366" t="s">
        <v>2640</v>
      </c>
      <c r="D366">
        <v>95135</v>
      </c>
      <c r="E366" t="str">
        <f t="shared" si="5"/>
        <v>ia.assorted_string like '%95135-08-2024%' or</v>
      </c>
    </row>
    <row r="367" spans="1:5" x14ac:dyDescent="0.25">
      <c r="A367" t="s">
        <v>496</v>
      </c>
      <c r="B367" t="s">
        <v>2640</v>
      </c>
      <c r="D367">
        <v>95136</v>
      </c>
      <c r="E367" t="str">
        <f t="shared" si="5"/>
        <v>ia.assorted_string like '%95136-08-2024%' or</v>
      </c>
    </row>
    <row r="368" spans="1:5" x14ac:dyDescent="0.25">
      <c r="A368" t="s">
        <v>497</v>
      </c>
      <c r="B368" t="s">
        <v>2640</v>
      </c>
      <c r="D368">
        <v>95137</v>
      </c>
      <c r="E368" t="str">
        <f t="shared" si="5"/>
        <v>ia.assorted_string like '%95137-08-2024%' or</v>
      </c>
    </row>
    <row r="369" spans="1:5" x14ac:dyDescent="0.25">
      <c r="A369" t="s">
        <v>498</v>
      </c>
      <c r="B369" t="s">
        <v>2640</v>
      </c>
      <c r="D369">
        <v>95141</v>
      </c>
      <c r="E369" t="str">
        <f t="shared" si="5"/>
        <v>ia.assorted_string like '%95141-08-2024%' or</v>
      </c>
    </row>
    <row r="370" spans="1:5" x14ac:dyDescent="0.25">
      <c r="A370" t="s">
        <v>499</v>
      </c>
      <c r="B370" t="s">
        <v>2640</v>
      </c>
      <c r="D370">
        <v>95142</v>
      </c>
      <c r="E370" t="str">
        <f t="shared" si="5"/>
        <v>ia.assorted_string like '%95142-08-2024%' or</v>
      </c>
    </row>
    <row r="371" spans="1:5" x14ac:dyDescent="0.25">
      <c r="A371" t="s">
        <v>500</v>
      </c>
      <c r="B371" t="s">
        <v>2640</v>
      </c>
      <c r="D371">
        <v>95149</v>
      </c>
      <c r="E371" t="str">
        <f t="shared" si="5"/>
        <v>ia.assorted_string like '%95149-08-2024%' or</v>
      </c>
    </row>
    <row r="372" spans="1:5" x14ac:dyDescent="0.25">
      <c r="A372" t="s">
        <v>501</v>
      </c>
      <c r="B372" t="s">
        <v>2640</v>
      </c>
      <c r="D372">
        <v>95150</v>
      </c>
      <c r="E372" t="str">
        <f t="shared" si="5"/>
        <v>ia.assorted_string like '%95150-08-2024%' or</v>
      </c>
    </row>
    <row r="373" spans="1:5" x14ac:dyDescent="0.25">
      <c r="A373" t="s">
        <v>502</v>
      </c>
      <c r="B373" t="s">
        <v>2640</v>
      </c>
      <c r="D373">
        <v>95151</v>
      </c>
      <c r="E373" t="str">
        <f t="shared" si="5"/>
        <v>ia.assorted_string like '%95151-08-2024%' or</v>
      </c>
    </row>
    <row r="374" spans="1:5" x14ac:dyDescent="0.25">
      <c r="A374" t="s">
        <v>503</v>
      </c>
      <c r="B374" t="s">
        <v>2640</v>
      </c>
      <c r="D374">
        <v>95152</v>
      </c>
      <c r="E374" t="str">
        <f t="shared" si="5"/>
        <v>ia.assorted_string like '%95152-08-2024%' or</v>
      </c>
    </row>
    <row r="375" spans="1:5" x14ac:dyDescent="0.25">
      <c r="A375" t="s">
        <v>504</v>
      </c>
      <c r="B375" t="s">
        <v>2640</v>
      </c>
      <c r="D375">
        <v>95167</v>
      </c>
      <c r="E375" t="str">
        <f t="shared" si="5"/>
        <v>ia.assorted_string like '%95167-08-2024%' or</v>
      </c>
    </row>
    <row r="376" spans="1:5" x14ac:dyDescent="0.25">
      <c r="A376" t="s">
        <v>505</v>
      </c>
      <c r="B376" t="s">
        <v>2640</v>
      </c>
      <c r="D376">
        <v>95172</v>
      </c>
      <c r="E376" t="str">
        <f t="shared" si="5"/>
        <v>ia.assorted_string like '%95172-08-2024%' or</v>
      </c>
    </row>
    <row r="377" spans="1:5" x14ac:dyDescent="0.25">
      <c r="A377" t="s">
        <v>506</v>
      </c>
      <c r="B377" t="s">
        <v>2640</v>
      </c>
      <c r="D377">
        <v>95175</v>
      </c>
      <c r="E377" t="str">
        <f t="shared" si="5"/>
        <v>ia.assorted_string like '%95175-08-2024%' or</v>
      </c>
    </row>
    <row r="378" spans="1:5" x14ac:dyDescent="0.25">
      <c r="A378" t="s">
        <v>507</v>
      </c>
      <c r="B378" t="s">
        <v>2640</v>
      </c>
      <c r="D378">
        <v>95176</v>
      </c>
      <c r="E378" t="str">
        <f t="shared" si="5"/>
        <v>ia.assorted_string like '%95176-08-2024%' or</v>
      </c>
    </row>
    <row r="379" spans="1:5" x14ac:dyDescent="0.25">
      <c r="A379" t="s">
        <v>508</v>
      </c>
      <c r="B379" t="s">
        <v>2640</v>
      </c>
      <c r="D379">
        <v>95177</v>
      </c>
      <c r="E379" t="str">
        <f t="shared" si="5"/>
        <v>ia.assorted_string like '%95177-08-2024%' or</v>
      </c>
    </row>
    <row r="380" spans="1:5" x14ac:dyDescent="0.25">
      <c r="A380" t="s">
        <v>509</v>
      </c>
      <c r="B380" t="s">
        <v>2640</v>
      </c>
      <c r="D380">
        <v>95178</v>
      </c>
      <c r="E380" t="str">
        <f t="shared" si="5"/>
        <v>ia.assorted_string like '%95178-08-2024%' or</v>
      </c>
    </row>
    <row r="381" spans="1:5" x14ac:dyDescent="0.25">
      <c r="A381" t="s">
        <v>510</v>
      </c>
      <c r="B381" t="s">
        <v>2640</v>
      </c>
      <c r="D381">
        <v>95179</v>
      </c>
      <c r="E381" t="str">
        <f t="shared" si="5"/>
        <v>ia.assorted_string like '%95179-08-2024%' or</v>
      </c>
    </row>
    <row r="382" spans="1:5" x14ac:dyDescent="0.25">
      <c r="A382" t="s">
        <v>511</v>
      </c>
      <c r="B382" t="s">
        <v>2640</v>
      </c>
      <c r="D382">
        <v>95180</v>
      </c>
      <c r="E382" t="str">
        <f t="shared" si="5"/>
        <v>ia.assorted_string like '%95180-08-2024%' or</v>
      </c>
    </row>
    <row r="383" spans="1:5" x14ac:dyDescent="0.25">
      <c r="A383" t="s">
        <v>512</v>
      </c>
      <c r="B383" t="s">
        <v>2640</v>
      </c>
      <c r="D383">
        <v>95181</v>
      </c>
      <c r="E383" t="str">
        <f t="shared" si="5"/>
        <v>ia.assorted_string like '%95181-08-2024%' or</v>
      </c>
    </row>
    <row r="384" spans="1:5" x14ac:dyDescent="0.25">
      <c r="A384" t="s">
        <v>513</v>
      </c>
      <c r="B384" t="s">
        <v>2640</v>
      </c>
      <c r="D384">
        <v>95182</v>
      </c>
      <c r="E384" t="str">
        <f t="shared" si="5"/>
        <v>ia.assorted_string like '%95182-08-2024%' or</v>
      </c>
    </row>
    <row r="385" spans="1:5" x14ac:dyDescent="0.25">
      <c r="A385" t="s">
        <v>514</v>
      </c>
      <c r="B385" t="s">
        <v>2640</v>
      </c>
      <c r="D385">
        <v>95183</v>
      </c>
      <c r="E385" t="str">
        <f t="shared" si="5"/>
        <v>ia.assorted_string like '%95183-08-2024%' or</v>
      </c>
    </row>
    <row r="386" spans="1:5" x14ac:dyDescent="0.25">
      <c r="A386" t="s">
        <v>515</v>
      </c>
      <c r="B386" t="s">
        <v>2640</v>
      </c>
      <c r="D386">
        <v>95184</v>
      </c>
      <c r="E386" t="str">
        <f t="shared" ref="E386:E449" si="6">"ia.assorted_string like '%"&amp;D386&amp;B386&amp;"%' or"</f>
        <v>ia.assorted_string like '%95184-08-2024%' or</v>
      </c>
    </row>
    <row r="387" spans="1:5" x14ac:dyDescent="0.25">
      <c r="A387" t="s">
        <v>516</v>
      </c>
      <c r="B387" t="s">
        <v>2640</v>
      </c>
      <c r="D387">
        <v>95185</v>
      </c>
      <c r="E387" t="str">
        <f t="shared" si="6"/>
        <v>ia.assorted_string like '%95185-08-2024%' or</v>
      </c>
    </row>
    <row r="388" spans="1:5" x14ac:dyDescent="0.25">
      <c r="A388" t="s">
        <v>517</v>
      </c>
      <c r="B388" t="s">
        <v>2640</v>
      </c>
      <c r="D388">
        <v>95186</v>
      </c>
      <c r="E388" t="str">
        <f t="shared" si="6"/>
        <v>ia.assorted_string like '%95186-08-2024%' or</v>
      </c>
    </row>
    <row r="389" spans="1:5" x14ac:dyDescent="0.25">
      <c r="A389" t="s">
        <v>518</v>
      </c>
      <c r="B389" t="s">
        <v>2640</v>
      </c>
      <c r="D389">
        <v>95187</v>
      </c>
      <c r="E389" t="str">
        <f t="shared" si="6"/>
        <v>ia.assorted_string like '%95187-08-2024%' or</v>
      </c>
    </row>
    <row r="390" spans="1:5" x14ac:dyDescent="0.25">
      <c r="A390" t="s">
        <v>519</v>
      </c>
      <c r="B390" t="s">
        <v>2640</v>
      </c>
      <c r="D390">
        <v>95188</v>
      </c>
      <c r="E390" t="str">
        <f t="shared" si="6"/>
        <v>ia.assorted_string like '%95188-08-2024%' or</v>
      </c>
    </row>
    <row r="391" spans="1:5" x14ac:dyDescent="0.25">
      <c r="A391" t="s">
        <v>520</v>
      </c>
      <c r="B391" t="s">
        <v>2640</v>
      </c>
      <c r="D391">
        <v>95189</v>
      </c>
      <c r="E391" t="str">
        <f t="shared" si="6"/>
        <v>ia.assorted_string like '%95189-08-2024%' or</v>
      </c>
    </row>
    <row r="392" spans="1:5" x14ac:dyDescent="0.25">
      <c r="A392" t="s">
        <v>521</v>
      </c>
      <c r="B392" t="s">
        <v>2640</v>
      </c>
      <c r="D392">
        <v>95194</v>
      </c>
      <c r="E392" t="str">
        <f t="shared" si="6"/>
        <v>ia.assorted_string like '%95194-08-2024%' or</v>
      </c>
    </row>
    <row r="393" spans="1:5" x14ac:dyDescent="0.25">
      <c r="A393" t="s">
        <v>522</v>
      </c>
      <c r="B393" t="s">
        <v>2640</v>
      </c>
      <c r="D393">
        <v>95195</v>
      </c>
      <c r="E393" t="str">
        <f t="shared" si="6"/>
        <v>ia.assorted_string like '%95195-08-2024%' or</v>
      </c>
    </row>
    <row r="394" spans="1:5" x14ac:dyDescent="0.25">
      <c r="A394" t="s">
        <v>523</v>
      </c>
      <c r="B394" t="s">
        <v>2640</v>
      </c>
      <c r="D394">
        <v>95198</v>
      </c>
      <c r="E394" t="str">
        <f t="shared" si="6"/>
        <v>ia.assorted_string like '%95198-08-2024%' or</v>
      </c>
    </row>
    <row r="395" spans="1:5" x14ac:dyDescent="0.25">
      <c r="A395" t="s">
        <v>524</v>
      </c>
      <c r="B395" t="s">
        <v>2640</v>
      </c>
      <c r="D395">
        <v>95199</v>
      </c>
      <c r="E395" t="str">
        <f t="shared" si="6"/>
        <v>ia.assorted_string like '%95199-08-2024%' or</v>
      </c>
    </row>
    <row r="396" spans="1:5" x14ac:dyDescent="0.25">
      <c r="A396" t="s">
        <v>525</v>
      </c>
      <c r="B396" t="s">
        <v>2640</v>
      </c>
      <c r="D396">
        <v>95204</v>
      </c>
      <c r="E396" t="str">
        <f t="shared" si="6"/>
        <v>ia.assorted_string like '%95204-08-2024%' or</v>
      </c>
    </row>
    <row r="397" spans="1:5" x14ac:dyDescent="0.25">
      <c r="A397" t="s">
        <v>526</v>
      </c>
      <c r="B397" t="s">
        <v>2640</v>
      </c>
      <c r="D397">
        <v>95205</v>
      </c>
      <c r="E397" t="str">
        <f t="shared" si="6"/>
        <v>ia.assorted_string like '%95205-08-2024%' or</v>
      </c>
    </row>
    <row r="398" spans="1:5" x14ac:dyDescent="0.25">
      <c r="A398" t="s">
        <v>527</v>
      </c>
      <c r="B398" t="s">
        <v>2640</v>
      </c>
      <c r="D398">
        <v>95209</v>
      </c>
      <c r="E398" t="str">
        <f t="shared" si="6"/>
        <v>ia.assorted_string like '%95209-08-2024%' or</v>
      </c>
    </row>
    <row r="399" spans="1:5" x14ac:dyDescent="0.25">
      <c r="A399" t="s">
        <v>528</v>
      </c>
      <c r="B399" t="s">
        <v>2640</v>
      </c>
      <c r="D399">
        <v>95210</v>
      </c>
      <c r="E399" t="str">
        <f t="shared" si="6"/>
        <v>ia.assorted_string like '%95210-08-2024%' or</v>
      </c>
    </row>
    <row r="400" spans="1:5" x14ac:dyDescent="0.25">
      <c r="A400" t="s">
        <v>529</v>
      </c>
      <c r="B400" t="s">
        <v>2640</v>
      </c>
      <c r="D400">
        <v>95217</v>
      </c>
      <c r="E400" t="str">
        <f t="shared" si="6"/>
        <v>ia.assorted_string like '%95217-08-2024%' or</v>
      </c>
    </row>
    <row r="401" spans="1:5" x14ac:dyDescent="0.25">
      <c r="A401" t="s">
        <v>530</v>
      </c>
      <c r="B401" t="s">
        <v>2640</v>
      </c>
      <c r="D401">
        <v>95218</v>
      </c>
      <c r="E401" t="str">
        <f t="shared" si="6"/>
        <v>ia.assorted_string like '%95218-08-2024%' or</v>
      </c>
    </row>
    <row r="402" spans="1:5" x14ac:dyDescent="0.25">
      <c r="A402" t="s">
        <v>531</v>
      </c>
      <c r="B402" t="s">
        <v>2640</v>
      </c>
      <c r="D402">
        <v>95219</v>
      </c>
      <c r="E402" t="str">
        <f t="shared" si="6"/>
        <v>ia.assorted_string like '%95219-08-2024%' or</v>
      </c>
    </row>
    <row r="403" spans="1:5" x14ac:dyDescent="0.25">
      <c r="A403" t="s">
        <v>532</v>
      </c>
      <c r="B403" t="s">
        <v>2640</v>
      </c>
      <c r="D403">
        <v>95220</v>
      </c>
      <c r="E403" t="str">
        <f t="shared" si="6"/>
        <v>ia.assorted_string like '%95220-08-2024%' or</v>
      </c>
    </row>
    <row r="404" spans="1:5" x14ac:dyDescent="0.25">
      <c r="A404" t="s">
        <v>533</v>
      </c>
      <c r="B404" t="s">
        <v>2640</v>
      </c>
      <c r="D404">
        <v>95221</v>
      </c>
      <c r="E404" t="str">
        <f t="shared" si="6"/>
        <v>ia.assorted_string like '%95221-08-2024%' or</v>
      </c>
    </row>
    <row r="405" spans="1:5" x14ac:dyDescent="0.25">
      <c r="A405" t="s">
        <v>534</v>
      </c>
      <c r="B405" t="s">
        <v>2640</v>
      </c>
      <c r="D405">
        <v>95222</v>
      </c>
      <c r="E405" t="str">
        <f t="shared" si="6"/>
        <v>ia.assorted_string like '%95222-08-2024%' or</v>
      </c>
    </row>
    <row r="406" spans="1:5" x14ac:dyDescent="0.25">
      <c r="A406" t="s">
        <v>535</v>
      </c>
      <c r="B406" t="s">
        <v>2640</v>
      </c>
      <c r="D406">
        <v>95247</v>
      </c>
      <c r="E406" t="str">
        <f t="shared" si="6"/>
        <v>ia.assorted_string like '%95247-08-2024%' or</v>
      </c>
    </row>
    <row r="407" spans="1:5" x14ac:dyDescent="0.25">
      <c r="A407" t="s">
        <v>536</v>
      </c>
      <c r="B407" t="s">
        <v>2640</v>
      </c>
      <c r="D407">
        <v>95248</v>
      </c>
      <c r="E407" t="str">
        <f t="shared" si="6"/>
        <v>ia.assorted_string like '%95248-08-2024%' or</v>
      </c>
    </row>
    <row r="408" spans="1:5" x14ac:dyDescent="0.25">
      <c r="A408" t="s">
        <v>537</v>
      </c>
      <c r="B408" t="s">
        <v>2640</v>
      </c>
      <c r="D408">
        <v>95249</v>
      </c>
      <c r="E408" t="str">
        <f t="shared" si="6"/>
        <v>ia.assorted_string like '%95249-08-2024%' or</v>
      </c>
    </row>
    <row r="409" spans="1:5" x14ac:dyDescent="0.25">
      <c r="A409" t="s">
        <v>538</v>
      </c>
      <c r="B409" t="s">
        <v>2640</v>
      </c>
      <c r="D409">
        <v>95251</v>
      </c>
      <c r="E409" t="str">
        <f t="shared" si="6"/>
        <v>ia.assorted_string like '%95251-08-2024%' or</v>
      </c>
    </row>
    <row r="410" spans="1:5" x14ac:dyDescent="0.25">
      <c r="A410" t="s">
        <v>539</v>
      </c>
      <c r="B410" t="s">
        <v>2640</v>
      </c>
      <c r="D410">
        <v>95252</v>
      </c>
      <c r="E410" t="str">
        <f t="shared" si="6"/>
        <v>ia.assorted_string like '%95252-08-2024%' or</v>
      </c>
    </row>
    <row r="411" spans="1:5" x14ac:dyDescent="0.25">
      <c r="A411" t="s">
        <v>540</v>
      </c>
      <c r="B411" t="s">
        <v>2640</v>
      </c>
      <c r="D411">
        <v>95254</v>
      </c>
      <c r="E411" t="str">
        <f t="shared" si="6"/>
        <v>ia.assorted_string like '%95254-08-2024%' or</v>
      </c>
    </row>
    <row r="412" spans="1:5" x14ac:dyDescent="0.25">
      <c r="A412" t="s">
        <v>541</v>
      </c>
      <c r="B412" t="s">
        <v>2640</v>
      </c>
      <c r="D412">
        <v>95255</v>
      </c>
      <c r="E412" t="str">
        <f t="shared" si="6"/>
        <v>ia.assorted_string like '%95255-08-2024%' or</v>
      </c>
    </row>
    <row r="413" spans="1:5" x14ac:dyDescent="0.25">
      <c r="A413" t="s">
        <v>542</v>
      </c>
      <c r="B413" t="s">
        <v>2640</v>
      </c>
      <c r="D413">
        <v>95256</v>
      </c>
      <c r="E413" t="str">
        <f t="shared" si="6"/>
        <v>ia.assorted_string like '%95256-08-2024%' or</v>
      </c>
    </row>
    <row r="414" spans="1:5" x14ac:dyDescent="0.25">
      <c r="A414" t="s">
        <v>543</v>
      </c>
      <c r="B414" t="s">
        <v>2640</v>
      </c>
      <c r="D414">
        <v>95258</v>
      </c>
      <c r="E414" t="str">
        <f t="shared" si="6"/>
        <v>ia.assorted_string like '%95258-08-2024%' or</v>
      </c>
    </row>
    <row r="415" spans="1:5" x14ac:dyDescent="0.25">
      <c r="A415" t="s">
        <v>544</v>
      </c>
      <c r="B415" t="s">
        <v>2640</v>
      </c>
      <c r="D415">
        <v>95260</v>
      </c>
      <c r="E415" t="str">
        <f t="shared" si="6"/>
        <v>ia.assorted_string like '%95260-08-2024%' or</v>
      </c>
    </row>
    <row r="416" spans="1:5" x14ac:dyDescent="0.25">
      <c r="A416" t="s">
        <v>545</v>
      </c>
      <c r="B416" t="s">
        <v>2640</v>
      </c>
      <c r="D416">
        <v>95262</v>
      </c>
      <c r="E416" t="str">
        <f t="shared" si="6"/>
        <v>ia.assorted_string like '%95262-08-2024%' or</v>
      </c>
    </row>
    <row r="417" spans="1:5" x14ac:dyDescent="0.25">
      <c r="A417" t="s">
        <v>546</v>
      </c>
      <c r="B417" t="s">
        <v>2640</v>
      </c>
      <c r="D417">
        <v>95263</v>
      </c>
      <c r="E417" t="str">
        <f t="shared" si="6"/>
        <v>ia.assorted_string like '%95263-08-2024%' or</v>
      </c>
    </row>
    <row r="418" spans="1:5" x14ac:dyDescent="0.25">
      <c r="A418" t="s">
        <v>547</v>
      </c>
      <c r="B418" t="s">
        <v>2640</v>
      </c>
      <c r="D418">
        <v>95264</v>
      </c>
      <c r="E418" t="str">
        <f t="shared" si="6"/>
        <v>ia.assorted_string like '%95264-08-2024%' or</v>
      </c>
    </row>
    <row r="419" spans="1:5" x14ac:dyDescent="0.25">
      <c r="A419" t="s">
        <v>548</v>
      </c>
      <c r="B419" t="s">
        <v>2640</v>
      </c>
      <c r="D419">
        <v>95265</v>
      </c>
      <c r="E419" t="str">
        <f t="shared" si="6"/>
        <v>ia.assorted_string like '%95265-08-2024%' or</v>
      </c>
    </row>
    <row r="420" spans="1:5" x14ac:dyDescent="0.25">
      <c r="A420" t="s">
        <v>549</v>
      </c>
      <c r="B420" t="s">
        <v>2640</v>
      </c>
      <c r="D420">
        <v>95266</v>
      </c>
      <c r="E420" t="str">
        <f t="shared" si="6"/>
        <v>ia.assorted_string like '%95266-08-2024%' or</v>
      </c>
    </row>
    <row r="421" spans="1:5" x14ac:dyDescent="0.25">
      <c r="A421" t="s">
        <v>550</v>
      </c>
      <c r="B421" t="s">
        <v>2640</v>
      </c>
      <c r="D421">
        <v>95267</v>
      </c>
      <c r="E421" t="str">
        <f t="shared" si="6"/>
        <v>ia.assorted_string like '%95267-08-2024%' or</v>
      </c>
    </row>
    <row r="422" spans="1:5" x14ac:dyDescent="0.25">
      <c r="A422" t="s">
        <v>551</v>
      </c>
      <c r="B422" t="s">
        <v>2640</v>
      </c>
      <c r="D422">
        <v>95271</v>
      </c>
      <c r="E422" t="str">
        <f t="shared" si="6"/>
        <v>ia.assorted_string like '%95271-08-2024%' or</v>
      </c>
    </row>
    <row r="423" spans="1:5" x14ac:dyDescent="0.25">
      <c r="A423" t="s">
        <v>552</v>
      </c>
      <c r="B423" t="s">
        <v>2640</v>
      </c>
      <c r="D423">
        <v>95272</v>
      </c>
      <c r="E423" t="str">
        <f t="shared" si="6"/>
        <v>ia.assorted_string like '%95272-08-2024%' or</v>
      </c>
    </row>
    <row r="424" spans="1:5" x14ac:dyDescent="0.25">
      <c r="A424" t="s">
        <v>553</v>
      </c>
      <c r="B424" t="s">
        <v>2640</v>
      </c>
      <c r="D424">
        <v>95273</v>
      </c>
      <c r="E424" t="str">
        <f t="shared" si="6"/>
        <v>ia.assorted_string like '%95273-08-2024%' or</v>
      </c>
    </row>
    <row r="425" spans="1:5" x14ac:dyDescent="0.25">
      <c r="A425" t="s">
        <v>554</v>
      </c>
      <c r="B425" t="s">
        <v>2640</v>
      </c>
      <c r="D425">
        <v>95277</v>
      </c>
      <c r="E425" t="str">
        <f t="shared" si="6"/>
        <v>ia.assorted_string like '%95277-08-2024%' or</v>
      </c>
    </row>
    <row r="426" spans="1:5" x14ac:dyDescent="0.25">
      <c r="A426" t="s">
        <v>555</v>
      </c>
      <c r="B426" t="s">
        <v>2640</v>
      </c>
      <c r="D426">
        <v>95278</v>
      </c>
      <c r="E426" t="str">
        <f t="shared" si="6"/>
        <v>ia.assorted_string like '%95278-08-2024%' or</v>
      </c>
    </row>
    <row r="427" spans="1:5" x14ac:dyDescent="0.25">
      <c r="A427" t="s">
        <v>556</v>
      </c>
      <c r="B427" t="s">
        <v>2640</v>
      </c>
      <c r="D427">
        <v>95279</v>
      </c>
      <c r="E427" t="str">
        <f t="shared" si="6"/>
        <v>ia.assorted_string like '%95279-08-2024%' or</v>
      </c>
    </row>
    <row r="428" spans="1:5" x14ac:dyDescent="0.25">
      <c r="A428" t="s">
        <v>557</v>
      </c>
      <c r="B428" t="s">
        <v>2640</v>
      </c>
      <c r="D428">
        <v>95280</v>
      </c>
      <c r="E428" t="str">
        <f t="shared" si="6"/>
        <v>ia.assorted_string like '%95280-08-2024%' or</v>
      </c>
    </row>
    <row r="429" spans="1:5" x14ac:dyDescent="0.25">
      <c r="A429" t="s">
        <v>558</v>
      </c>
      <c r="B429" t="s">
        <v>2640</v>
      </c>
      <c r="D429">
        <v>95286</v>
      </c>
      <c r="E429" t="str">
        <f t="shared" si="6"/>
        <v>ia.assorted_string like '%95286-08-2024%' or</v>
      </c>
    </row>
    <row r="430" spans="1:5" x14ac:dyDescent="0.25">
      <c r="A430" t="s">
        <v>559</v>
      </c>
      <c r="B430" t="s">
        <v>2640</v>
      </c>
      <c r="D430">
        <v>95287</v>
      </c>
      <c r="E430" t="str">
        <f t="shared" si="6"/>
        <v>ia.assorted_string like '%95287-08-2024%' or</v>
      </c>
    </row>
    <row r="431" spans="1:5" x14ac:dyDescent="0.25">
      <c r="A431" t="s">
        <v>560</v>
      </c>
      <c r="B431" t="s">
        <v>2640</v>
      </c>
      <c r="D431">
        <v>95289</v>
      </c>
      <c r="E431" t="str">
        <f t="shared" si="6"/>
        <v>ia.assorted_string like '%95289-08-2024%' or</v>
      </c>
    </row>
    <row r="432" spans="1:5" x14ac:dyDescent="0.25">
      <c r="A432" t="s">
        <v>561</v>
      </c>
      <c r="B432" t="s">
        <v>2640</v>
      </c>
      <c r="D432">
        <v>95290</v>
      </c>
      <c r="E432" t="str">
        <f t="shared" si="6"/>
        <v>ia.assorted_string like '%95290-08-2024%' or</v>
      </c>
    </row>
    <row r="433" spans="1:5" x14ac:dyDescent="0.25">
      <c r="A433" t="s">
        <v>562</v>
      </c>
      <c r="B433" t="s">
        <v>2640</v>
      </c>
      <c r="D433">
        <v>95301</v>
      </c>
      <c r="E433" t="str">
        <f t="shared" si="6"/>
        <v>ia.assorted_string like '%95301-08-2024%' or</v>
      </c>
    </row>
    <row r="434" spans="1:5" x14ac:dyDescent="0.25">
      <c r="A434" t="s">
        <v>563</v>
      </c>
      <c r="B434" t="s">
        <v>2640</v>
      </c>
      <c r="D434">
        <v>95303</v>
      </c>
      <c r="E434" t="str">
        <f t="shared" si="6"/>
        <v>ia.assorted_string like '%95303-08-2024%' or</v>
      </c>
    </row>
    <row r="435" spans="1:5" x14ac:dyDescent="0.25">
      <c r="A435" t="s">
        <v>564</v>
      </c>
      <c r="B435" t="s">
        <v>2640</v>
      </c>
      <c r="D435">
        <v>95304</v>
      </c>
      <c r="E435" t="str">
        <f t="shared" si="6"/>
        <v>ia.assorted_string like '%95304-08-2024%' or</v>
      </c>
    </row>
    <row r="436" spans="1:5" x14ac:dyDescent="0.25">
      <c r="A436" t="s">
        <v>565</v>
      </c>
      <c r="B436" t="s">
        <v>2640</v>
      </c>
      <c r="D436">
        <v>95305</v>
      </c>
      <c r="E436" t="str">
        <f t="shared" si="6"/>
        <v>ia.assorted_string like '%95305-08-2024%' or</v>
      </c>
    </row>
    <row r="437" spans="1:5" x14ac:dyDescent="0.25">
      <c r="A437" t="s">
        <v>566</v>
      </c>
      <c r="B437" t="s">
        <v>2640</v>
      </c>
      <c r="D437">
        <v>95306</v>
      </c>
      <c r="E437" t="str">
        <f t="shared" si="6"/>
        <v>ia.assorted_string like '%95306-08-2024%' or</v>
      </c>
    </row>
    <row r="438" spans="1:5" x14ac:dyDescent="0.25">
      <c r="A438" t="s">
        <v>567</v>
      </c>
      <c r="B438" t="s">
        <v>2640</v>
      </c>
      <c r="D438">
        <v>95329</v>
      </c>
      <c r="E438" t="str">
        <f t="shared" si="6"/>
        <v>ia.assorted_string like '%95329-08-2024%' or</v>
      </c>
    </row>
    <row r="439" spans="1:5" x14ac:dyDescent="0.25">
      <c r="A439" t="s">
        <v>568</v>
      </c>
      <c r="B439" t="s">
        <v>2640</v>
      </c>
      <c r="D439">
        <v>95330</v>
      </c>
      <c r="E439" t="str">
        <f t="shared" si="6"/>
        <v>ia.assorted_string like '%95330-08-2024%' or</v>
      </c>
    </row>
    <row r="440" spans="1:5" x14ac:dyDescent="0.25">
      <c r="A440" t="s">
        <v>569</v>
      </c>
      <c r="B440" t="s">
        <v>2640</v>
      </c>
      <c r="D440">
        <v>95347</v>
      </c>
      <c r="E440" t="str">
        <f t="shared" si="6"/>
        <v>ia.assorted_string like '%95347-08-2024%' or</v>
      </c>
    </row>
    <row r="441" spans="1:5" x14ac:dyDescent="0.25">
      <c r="A441" t="s">
        <v>570</v>
      </c>
      <c r="B441" t="s">
        <v>2640</v>
      </c>
      <c r="D441">
        <v>95348</v>
      </c>
      <c r="E441" t="str">
        <f t="shared" si="6"/>
        <v>ia.assorted_string like '%95348-08-2024%' or</v>
      </c>
    </row>
    <row r="442" spans="1:5" x14ac:dyDescent="0.25">
      <c r="A442" t="s">
        <v>571</v>
      </c>
      <c r="B442" t="s">
        <v>2640</v>
      </c>
      <c r="D442">
        <v>95351</v>
      </c>
      <c r="E442" t="str">
        <f t="shared" si="6"/>
        <v>ia.assorted_string like '%95351-08-2024%' or</v>
      </c>
    </row>
    <row r="443" spans="1:5" x14ac:dyDescent="0.25">
      <c r="A443" t="s">
        <v>572</v>
      </c>
      <c r="B443" t="s">
        <v>2640</v>
      </c>
      <c r="D443">
        <v>95352</v>
      </c>
      <c r="E443" t="str">
        <f t="shared" si="6"/>
        <v>ia.assorted_string like '%95352-08-2024%' or</v>
      </c>
    </row>
    <row r="444" spans="1:5" x14ac:dyDescent="0.25">
      <c r="A444" t="s">
        <v>573</v>
      </c>
      <c r="B444" t="s">
        <v>2640</v>
      </c>
      <c r="D444">
        <v>95354</v>
      </c>
      <c r="E444" t="str">
        <f t="shared" si="6"/>
        <v>ia.assorted_string like '%95354-08-2024%' or</v>
      </c>
    </row>
    <row r="445" spans="1:5" x14ac:dyDescent="0.25">
      <c r="A445" t="s">
        <v>574</v>
      </c>
      <c r="B445" t="s">
        <v>2640</v>
      </c>
      <c r="D445">
        <v>95357</v>
      </c>
      <c r="E445" t="str">
        <f t="shared" si="6"/>
        <v>ia.assorted_string like '%95357-08-2024%' or</v>
      </c>
    </row>
    <row r="446" spans="1:5" x14ac:dyDescent="0.25">
      <c r="A446" t="s">
        <v>575</v>
      </c>
      <c r="B446" t="s">
        <v>2640</v>
      </c>
      <c r="D446">
        <v>95359</v>
      </c>
      <c r="E446" t="str">
        <f t="shared" si="6"/>
        <v>ia.assorted_string like '%95359-08-2024%' or</v>
      </c>
    </row>
    <row r="447" spans="1:5" x14ac:dyDescent="0.25">
      <c r="A447" t="s">
        <v>576</v>
      </c>
      <c r="B447" t="s">
        <v>2640</v>
      </c>
      <c r="D447">
        <v>95360</v>
      </c>
      <c r="E447" t="str">
        <f t="shared" si="6"/>
        <v>ia.assorted_string like '%95360-08-2024%' or</v>
      </c>
    </row>
    <row r="448" spans="1:5" x14ac:dyDescent="0.25">
      <c r="A448" t="s">
        <v>577</v>
      </c>
      <c r="B448" t="s">
        <v>2640</v>
      </c>
      <c r="D448">
        <v>95362</v>
      </c>
      <c r="E448" t="str">
        <f t="shared" si="6"/>
        <v>ia.assorted_string like '%95362-08-2024%' or</v>
      </c>
    </row>
    <row r="449" spans="1:5" x14ac:dyDescent="0.25">
      <c r="A449" t="s">
        <v>578</v>
      </c>
      <c r="B449" t="s">
        <v>2640</v>
      </c>
      <c r="D449">
        <v>95364</v>
      </c>
      <c r="E449" t="str">
        <f t="shared" si="6"/>
        <v>ia.assorted_string like '%95364-08-2024%' or</v>
      </c>
    </row>
    <row r="450" spans="1:5" x14ac:dyDescent="0.25">
      <c r="A450" t="s">
        <v>579</v>
      </c>
      <c r="B450" t="s">
        <v>2640</v>
      </c>
      <c r="D450">
        <v>95366</v>
      </c>
      <c r="E450" t="str">
        <f t="shared" ref="E450:E513" si="7">"ia.assorted_string like '%"&amp;D450&amp;B450&amp;"%' or"</f>
        <v>ia.assorted_string like '%95366-08-2024%' or</v>
      </c>
    </row>
    <row r="451" spans="1:5" x14ac:dyDescent="0.25">
      <c r="A451" t="s">
        <v>580</v>
      </c>
      <c r="B451" t="s">
        <v>2640</v>
      </c>
      <c r="D451">
        <v>95367</v>
      </c>
      <c r="E451" t="str">
        <f t="shared" si="7"/>
        <v>ia.assorted_string like '%95367-08-2024%' or</v>
      </c>
    </row>
    <row r="452" spans="1:5" x14ac:dyDescent="0.25">
      <c r="A452" t="s">
        <v>581</v>
      </c>
      <c r="B452" t="s">
        <v>2640</v>
      </c>
      <c r="D452">
        <v>95368</v>
      </c>
      <c r="E452" t="str">
        <f t="shared" si="7"/>
        <v>ia.assorted_string like '%95368-08-2024%' or</v>
      </c>
    </row>
    <row r="453" spans="1:5" x14ac:dyDescent="0.25">
      <c r="A453" t="s">
        <v>582</v>
      </c>
      <c r="B453" t="s">
        <v>2640</v>
      </c>
      <c r="D453">
        <v>95370</v>
      </c>
      <c r="E453" t="str">
        <f t="shared" si="7"/>
        <v>ia.assorted_string like '%95370-08-2024%' or</v>
      </c>
    </row>
    <row r="454" spans="1:5" x14ac:dyDescent="0.25">
      <c r="A454" t="s">
        <v>583</v>
      </c>
      <c r="B454" t="s">
        <v>2640</v>
      </c>
      <c r="D454">
        <v>95378</v>
      </c>
      <c r="E454" t="str">
        <f t="shared" si="7"/>
        <v>ia.assorted_string like '%95378-08-2024%' or</v>
      </c>
    </row>
    <row r="455" spans="1:5" x14ac:dyDescent="0.25">
      <c r="A455" t="s">
        <v>584</v>
      </c>
      <c r="B455" t="s">
        <v>2640</v>
      </c>
      <c r="D455">
        <v>95379</v>
      </c>
      <c r="E455" t="str">
        <f t="shared" si="7"/>
        <v>ia.assorted_string like '%95379-08-2024%' or</v>
      </c>
    </row>
    <row r="456" spans="1:5" x14ac:dyDescent="0.25">
      <c r="A456" t="s">
        <v>585</v>
      </c>
      <c r="B456" t="s">
        <v>2640</v>
      </c>
      <c r="D456">
        <v>95380</v>
      </c>
      <c r="E456" t="str">
        <f t="shared" si="7"/>
        <v>ia.assorted_string like '%95380-08-2024%' or</v>
      </c>
    </row>
    <row r="457" spans="1:5" x14ac:dyDescent="0.25">
      <c r="A457" t="s">
        <v>586</v>
      </c>
      <c r="B457" t="s">
        <v>2640</v>
      </c>
      <c r="D457">
        <v>95381</v>
      </c>
      <c r="E457" t="str">
        <f t="shared" si="7"/>
        <v>ia.assorted_string like '%95381-08-2024%' or</v>
      </c>
    </row>
    <row r="458" spans="1:5" x14ac:dyDescent="0.25">
      <c r="A458" t="s">
        <v>587</v>
      </c>
      <c r="B458" t="s">
        <v>2640</v>
      </c>
      <c r="D458">
        <v>95385</v>
      </c>
      <c r="E458" t="str">
        <f t="shared" si="7"/>
        <v>ia.assorted_string like '%95385-08-2024%' or</v>
      </c>
    </row>
    <row r="459" spans="1:5" x14ac:dyDescent="0.25">
      <c r="A459" t="s">
        <v>588</v>
      </c>
      <c r="B459" t="s">
        <v>2640</v>
      </c>
      <c r="D459">
        <v>95386</v>
      </c>
      <c r="E459" t="str">
        <f t="shared" si="7"/>
        <v>ia.assorted_string like '%95386-08-2024%' or</v>
      </c>
    </row>
    <row r="460" spans="1:5" x14ac:dyDescent="0.25">
      <c r="A460" t="s">
        <v>589</v>
      </c>
      <c r="B460" t="s">
        <v>2640</v>
      </c>
      <c r="D460">
        <v>95387</v>
      </c>
      <c r="E460" t="str">
        <f t="shared" si="7"/>
        <v>ia.assorted_string like '%95387-08-2024%' or</v>
      </c>
    </row>
    <row r="461" spans="1:5" x14ac:dyDescent="0.25">
      <c r="A461" t="s">
        <v>590</v>
      </c>
      <c r="B461" t="s">
        <v>2640</v>
      </c>
      <c r="D461">
        <v>95391</v>
      </c>
      <c r="E461" t="str">
        <f t="shared" si="7"/>
        <v>ia.assorted_string like '%95391-08-2024%' or</v>
      </c>
    </row>
    <row r="462" spans="1:5" x14ac:dyDescent="0.25">
      <c r="A462" t="s">
        <v>591</v>
      </c>
      <c r="B462" t="s">
        <v>2640</v>
      </c>
      <c r="D462">
        <v>95400</v>
      </c>
      <c r="E462" t="str">
        <f t="shared" si="7"/>
        <v>ia.assorted_string like '%95400-08-2024%' or</v>
      </c>
    </row>
    <row r="463" spans="1:5" x14ac:dyDescent="0.25">
      <c r="A463" t="s">
        <v>592</v>
      </c>
      <c r="B463" t="s">
        <v>2640</v>
      </c>
      <c r="D463">
        <v>95403</v>
      </c>
      <c r="E463" t="str">
        <f t="shared" si="7"/>
        <v>ia.assorted_string like '%95403-08-2024%' or</v>
      </c>
    </row>
    <row r="464" spans="1:5" x14ac:dyDescent="0.25">
      <c r="A464" t="s">
        <v>593</v>
      </c>
      <c r="B464" t="s">
        <v>2640</v>
      </c>
      <c r="D464">
        <v>95406</v>
      </c>
      <c r="E464" t="str">
        <f t="shared" si="7"/>
        <v>ia.assorted_string like '%95406-08-2024%' or</v>
      </c>
    </row>
    <row r="465" spans="1:5" x14ac:dyDescent="0.25">
      <c r="A465" t="s">
        <v>594</v>
      </c>
      <c r="B465" t="s">
        <v>2640</v>
      </c>
      <c r="D465">
        <v>95407</v>
      </c>
      <c r="E465" t="str">
        <f t="shared" si="7"/>
        <v>ia.assorted_string like '%95407-08-2024%' or</v>
      </c>
    </row>
    <row r="466" spans="1:5" x14ac:dyDescent="0.25">
      <c r="A466" t="s">
        <v>595</v>
      </c>
      <c r="B466" t="s">
        <v>2640</v>
      </c>
      <c r="D466">
        <v>95408</v>
      </c>
      <c r="E466" t="str">
        <f t="shared" si="7"/>
        <v>ia.assorted_string like '%95408-08-2024%' or</v>
      </c>
    </row>
    <row r="467" spans="1:5" x14ac:dyDescent="0.25">
      <c r="A467" t="s">
        <v>596</v>
      </c>
      <c r="B467" t="s">
        <v>2640</v>
      </c>
      <c r="D467">
        <v>95409</v>
      </c>
      <c r="E467" t="str">
        <f t="shared" si="7"/>
        <v>ia.assorted_string like '%95409-08-2024%' or</v>
      </c>
    </row>
    <row r="468" spans="1:5" x14ac:dyDescent="0.25">
      <c r="A468" t="s">
        <v>597</v>
      </c>
      <c r="B468" t="s">
        <v>2640</v>
      </c>
      <c r="D468">
        <v>95410</v>
      </c>
      <c r="E468" t="str">
        <f t="shared" si="7"/>
        <v>ia.assorted_string like '%95410-08-2024%' or</v>
      </c>
    </row>
    <row r="469" spans="1:5" x14ac:dyDescent="0.25">
      <c r="A469" t="s">
        <v>598</v>
      </c>
      <c r="B469" t="s">
        <v>2640</v>
      </c>
      <c r="D469">
        <v>95411</v>
      </c>
      <c r="E469" t="str">
        <f t="shared" si="7"/>
        <v>ia.assorted_string like '%95411-08-2024%' or</v>
      </c>
    </row>
    <row r="470" spans="1:5" x14ac:dyDescent="0.25">
      <c r="A470" t="s">
        <v>599</v>
      </c>
      <c r="B470" t="s">
        <v>2640</v>
      </c>
      <c r="D470">
        <v>95412</v>
      </c>
      <c r="E470" t="str">
        <f t="shared" si="7"/>
        <v>ia.assorted_string like '%95412-08-2024%' or</v>
      </c>
    </row>
    <row r="471" spans="1:5" x14ac:dyDescent="0.25">
      <c r="A471" t="s">
        <v>600</v>
      </c>
      <c r="B471" t="s">
        <v>2640</v>
      </c>
      <c r="D471">
        <v>95413</v>
      </c>
      <c r="E471" t="str">
        <f t="shared" si="7"/>
        <v>ia.assorted_string like '%95413-08-2024%' or</v>
      </c>
    </row>
    <row r="472" spans="1:5" x14ac:dyDescent="0.25">
      <c r="A472" t="s">
        <v>601</v>
      </c>
      <c r="B472" t="s">
        <v>2640</v>
      </c>
      <c r="D472">
        <v>95414</v>
      </c>
      <c r="E472" t="str">
        <f t="shared" si="7"/>
        <v>ia.assorted_string like '%95414-08-2024%' or</v>
      </c>
    </row>
    <row r="473" spans="1:5" x14ac:dyDescent="0.25">
      <c r="A473" t="s">
        <v>602</v>
      </c>
      <c r="B473" t="s">
        <v>2640</v>
      </c>
      <c r="D473">
        <v>95416</v>
      </c>
      <c r="E473" t="str">
        <f t="shared" si="7"/>
        <v>ia.assorted_string like '%95416-08-2024%' or</v>
      </c>
    </row>
    <row r="474" spans="1:5" x14ac:dyDescent="0.25">
      <c r="A474" t="s">
        <v>603</v>
      </c>
      <c r="B474" t="s">
        <v>2640</v>
      </c>
      <c r="D474">
        <v>95417</v>
      </c>
      <c r="E474" t="str">
        <f t="shared" si="7"/>
        <v>ia.assorted_string like '%95417-08-2024%' or</v>
      </c>
    </row>
    <row r="475" spans="1:5" x14ac:dyDescent="0.25">
      <c r="A475" t="s">
        <v>604</v>
      </c>
      <c r="B475" t="s">
        <v>2640</v>
      </c>
      <c r="D475">
        <v>95418</v>
      </c>
      <c r="E475" t="str">
        <f t="shared" si="7"/>
        <v>ia.assorted_string like '%95418-08-2024%' or</v>
      </c>
    </row>
    <row r="476" spans="1:5" x14ac:dyDescent="0.25">
      <c r="A476" t="s">
        <v>605</v>
      </c>
      <c r="B476" t="s">
        <v>2640</v>
      </c>
      <c r="D476">
        <v>95420</v>
      </c>
      <c r="E476" t="str">
        <f t="shared" si="7"/>
        <v>ia.assorted_string like '%95420-08-2024%' or</v>
      </c>
    </row>
    <row r="477" spans="1:5" x14ac:dyDescent="0.25">
      <c r="A477" t="s">
        <v>606</v>
      </c>
      <c r="B477" t="s">
        <v>2640</v>
      </c>
      <c r="D477">
        <v>95421</v>
      </c>
      <c r="E477" t="str">
        <f t="shared" si="7"/>
        <v>ia.assorted_string like '%95421-08-2024%' or</v>
      </c>
    </row>
    <row r="478" spans="1:5" x14ac:dyDescent="0.25">
      <c r="A478" t="s">
        <v>607</v>
      </c>
      <c r="B478" t="s">
        <v>2640</v>
      </c>
      <c r="D478">
        <v>95422</v>
      </c>
      <c r="E478" t="str">
        <f t="shared" si="7"/>
        <v>ia.assorted_string like '%95422-08-2024%' or</v>
      </c>
    </row>
    <row r="479" spans="1:5" x14ac:dyDescent="0.25">
      <c r="A479" t="s">
        <v>608</v>
      </c>
      <c r="B479" t="s">
        <v>2640</v>
      </c>
      <c r="D479">
        <v>95423</v>
      </c>
      <c r="E479" t="str">
        <f t="shared" si="7"/>
        <v>ia.assorted_string like '%95423-08-2024%' or</v>
      </c>
    </row>
    <row r="480" spans="1:5" x14ac:dyDescent="0.25">
      <c r="A480" t="s">
        <v>609</v>
      </c>
      <c r="B480" t="s">
        <v>2640</v>
      </c>
      <c r="D480">
        <v>95424</v>
      </c>
      <c r="E480" t="str">
        <f t="shared" si="7"/>
        <v>ia.assorted_string like '%95424-08-2024%' or</v>
      </c>
    </row>
    <row r="481" spans="1:5" x14ac:dyDescent="0.25">
      <c r="A481" t="s">
        <v>610</v>
      </c>
      <c r="B481" t="s">
        <v>2640</v>
      </c>
      <c r="D481">
        <v>95425</v>
      </c>
      <c r="E481" t="str">
        <f t="shared" si="7"/>
        <v>ia.assorted_string like '%95425-08-2024%' or</v>
      </c>
    </row>
    <row r="482" spans="1:5" x14ac:dyDescent="0.25">
      <c r="A482" t="s">
        <v>611</v>
      </c>
      <c r="B482" t="s">
        <v>2640</v>
      </c>
      <c r="D482">
        <v>95426</v>
      </c>
      <c r="E482" t="str">
        <f t="shared" si="7"/>
        <v>ia.assorted_string like '%95426-08-2024%' or</v>
      </c>
    </row>
    <row r="483" spans="1:5" x14ac:dyDescent="0.25">
      <c r="A483" t="s">
        <v>612</v>
      </c>
      <c r="B483" t="s">
        <v>2640</v>
      </c>
      <c r="D483">
        <v>95427</v>
      </c>
      <c r="E483" t="str">
        <f t="shared" si="7"/>
        <v>ia.assorted_string like '%95427-08-2024%' or</v>
      </c>
    </row>
    <row r="484" spans="1:5" x14ac:dyDescent="0.25">
      <c r="A484" t="s">
        <v>613</v>
      </c>
      <c r="B484" t="s">
        <v>2640</v>
      </c>
      <c r="D484">
        <v>95430</v>
      </c>
      <c r="E484" t="str">
        <f t="shared" si="7"/>
        <v>ia.assorted_string like '%95430-08-2024%' or</v>
      </c>
    </row>
    <row r="485" spans="1:5" x14ac:dyDescent="0.25">
      <c r="A485" t="s">
        <v>614</v>
      </c>
      <c r="B485" t="s">
        <v>2640</v>
      </c>
      <c r="D485">
        <v>95431</v>
      </c>
      <c r="E485" t="str">
        <f t="shared" si="7"/>
        <v>ia.assorted_string like '%95431-08-2024%' or</v>
      </c>
    </row>
    <row r="486" spans="1:5" x14ac:dyDescent="0.25">
      <c r="A486" t="s">
        <v>615</v>
      </c>
      <c r="B486" t="s">
        <v>2640</v>
      </c>
      <c r="D486">
        <v>95432</v>
      </c>
      <c r="E486" t="str">
        <f t="shared" si="7"/>
        <v>ia.assorted_string like '%95432-08-2024%' or</v>
      </c>
    </row>
    <row r="487" spans="1:5" x14ac:dyDescent="0.25">
      <c r="A487" t="s">
        <v>616</v>
      </c>
      <c r="B487" t="s">
        <v>2640</v>
      </c>
      <c r="D487">
        <v>95433</v>
      </c>
      <c r="E487" t="str">
        <f t="shared" si="7"/>
        <v>ia.assorted_string like '%95433-08-2024%' or</v>
      </c>
    </row>
    <row r="488" spans="1:5" x14ac:dyDescent="0.25">
      <c r="A488" t="s">
        <v>617</v>
      </c>
      <c r="B488" t="s">
        <v>2640</v>
      </c>
      <c r="D488">
        <v>95434</v>
      </c>
      <c r="E488" t="str">
        <f t="shared" si="7"/>
        <v>ia.assorted_string like '%95434-08-2024%' or</v>
      </c>
    </row>
    <row r="489" spans="1:5" x14ac:dyDescent="0.25">
      <c r="A489" t="s">
        <v>618</v>
      </c>
      <c r="B489" t="s">
        <v>2640</v>
      </c>
      <c r="D489">
        <v>95435</v>
      </c>
      <c r="E489" t="str">
        <f t="shared" si="7"/>
        <v>ia.assorted_string like '%95435-08-2024%' or</v>
      </c>
    </row>
    <row r="490" spans="1:5" x14ac:dyDescent="0.25">
      <c r="A490" t="s">
        <v>619</v>
      </c>
      <c r="B490" t="s">
        <v>2640</v>
      </c>
      <c r="D490">
        <v>95436</v>
      </c>
      <c r="E490" t="str">
        <f t="shared" si="7"/>
        <v>ia.assorted_string like '%95436-08-2024%' or</v>
      </c>
    </row>
    <row r="491" spans="1:5" x14ac:dyDescent="0.25">
      <c r="A491" t="s">
        <v>620</v>
      </c>
      <c r="B491" t="s">
        <v>2640</v>
      </c>
      <c r="D491">
        <v>95437</v>
      </c>
      <c r="E491" t="str">
        <f t="shared" si="7"/>
        <v>ia.assorted_string like '%95437-08-2024%' or</v>
      </c>
    </row>
    <row r="492" spans="1:5" x14ac:dyDescent="0.25">
      <c r="A492" t="s">
        <v>621</v>
      </c>
      <c r="B492" t="s">
        <v>2640</v>
      </c>
      <c r="D492">
        <v>95438</v>
      </c>
      <c r="E492" t="str">
        <f t="shared" si="7"/>
        <v>ia.assorted_string like '%95438-08-2024%' or</v>
      </c>
    </row>
    <row r="493" spans="1:5" x14ac:dyDescent="0.25">
      <c r="A493" t="s">
        <v>622</v>
      </c>
      <c r="B493" t="s">
        <v>2640</v>
      </c>
      <c r="D493">
        <v>95439</v>
      </c>
      <c r="E493" t="str">
        <f t="shared" si="7"/>
        <v>ia.assorted_string like '%95439-08-2024%' or</v>
      </c>
    </row>
    <row r="494" spans="1:5" x14ac:dyDescent="0.25">
      <c r="A494" t="s">
        <v>623</v>
      </c>
      <c r="B494" t="s">
        <v>2640</v>
      </c>
      <c r="D494">
        <v>95440</v>
      </c>
      <c r="E494" t="str">
        <f t="shared" si="7"/>
        <v>ia.assorted_string like '%95440-08-2024%' or</v>
      </c>
    </row>
    <row r="495" spans="1:5" x14ac:dyDescent="0.25">
      <c r="A495" t="s">
        <v>624</v>
      </c>
      <c r="B495" t="s">
        <v>2640</v>
      </c>
      <c r="D495">
        <v>95441</v>
      </c>
      <c r="E495" t="str">
        <f t="shared" si="7"/>
        <v>ia.assorted_string like '%95441-08-2024%' or</v>
      </c>
    </row>
    <row r="496" spans="1:5" x14ac:dyDescent="0.25">
      <c r="A496" t="s">
        <v>625</v>
      </c>
      <c r="B496" t="s">
        <v>2640</v>
      </c>
      <c r="D496">
        <v>95442</v>
      </c>
      <c r="E496" t="str">
        <f t="shared" si="7"/>
        <v>ia.assorted_string like '%95442-08-2024%' or</v>
      </c>
    </row>
    <row r="497" spans="1:5" x14ac:dyDescent="0.25">
      <c r="A497" t="s">
        <v>626</v>
      </c>
      <c r="B497" t="s">
        <v>2640</v>
      </c>
      <c r="D497">
        <v>95443</v>
      </c>
      <c r="E497" t="str">
        <f t="shared" si="7"/>
        <v>ia.assorted_string like '%95443-08-2024%' or</v>
      </c>
    </row>
    <row r="498" spans="1:5" x14ac:dyDescent="0.25">
      <c r="A498" t="s">
        <v>627</v>
      </c>
      <c r="B498" t="s">
        <v>2640</v>
      </c>
      <c r="D498">
        <v>95444</v>
      </c>
      <c r="E498" t="str">
        <f t="shared" si="7"/>
        <v>ia.assorted_string like '%95444-08-2024%' or</v>
      </c>
    </row>
    <row r="499" spans="1:5" x14ac:dyDescent="0.25">
      <c r="A499" t="s">
        <v>628</v>
      </c>
      <c r="B499" t="s">
        <v>2640</v>
      </c>
      <c r="D499">
        <v>95445</v>
      </c>
      <c r="E499" t="str">
        <f t="shared" si="7"/>
        <v>ia.assorted_string like '%95445-08-2024%' or</v>
      </c>
    </row>
    <row r="500" spans="1:5" x14ac:dyDescent="0.25">
      <c r="A500" t="s">
        <v>629</v>
      </c>
      <c r="B500" t="s">
        <v>2640</v>
      </c>
      <c r="D500">
        <v>95447</v>
      </c>
      <c r="E500" t="str">
        <f t="shared" si="7"/>
        <v>ia.assorted_string like '%95447-08-2024%' or</v>
      </c>
    </row>
    <row r="501" spans="1:5" x14ac:dyDescent="0.25">
      <c r="A501" t="s">
        <v>630</v>
      </c>
      <c r="B501" t="s">
        <v>2640</v>
      </c>
      <c r="D501">
        <v>95448</v>
      </c>
      <c r="E501" t="str">
        <f t="shared" si="7"/>
        <v>ia.assorted_string like '%95448-08-2024%' or</v>
      </c>
    </row>
    <row r="502" spans="1:5" x14ac:dyDescent="0.25">
      <c r="A502" t="s">
        <v>631</v>
      </c>
      <c r="B502" t="s">
        <v>2640</v>
      </c>
      <c r="D502">
        <v>95449</v>
      </c>
      <c r="E502" t="str">
        <f t="shared" si="7"/>
        <v>ia.assorted_string like '%95449-08-2024%' or</v>
      </c>
    </row>
    <row r="503" spans="1:5" x14ac:dyDescent="0.25">
      <c r="A503" t="s">
        <v>632</v>
      </c>
      <c r="B503" t="s">
        <v>2640</v>
      </c>
      <c r="D503">
        <v>95450</v>
      </c>
      <c r="E503" t="str">
        <f t="shared" si="7"/>
        <v>ia.assorted_string like '%95450-08-2024%' or</v>
      </c>
    </row>
    <row r="504" spans="1:5" x14ac:dyDescent="0.25">
      <c r="A504" t="s">
        <v>633</v>
      </c>
      <c r="B504" t="s">
        <v>2640</v>
      </c>
      <c r="D504">
        <v>95451</v>
      </c>
      <c r="E504" t="str">
        <f t="shared" si="7"/>
        <v>ia.assorted_string like '%95451-08-2024%' or</v>
      </c>
    </row>
    <row r="505" spans="1:5" x14ac:dyDescent="0.25">
      <c r="A505" t="s">
        <v>634</v>
      </c>
      <c r="B505" t="s">
        <v>2640</v>
      </c>
      <c r="D505">
        <v>95452</v>
      </c>
      <c r="E505" t="str">
        <f t="shared" si="7"/>
        <v>ia.assorted_string like '%95452-08-2024%' or</v>
      </c>
    </row>
    <row r="506" spans="1:5" x14ac:dyDescent="0.25">
      <c r="A506" t="s">
        <v>635</v>
      </c>
      <c r="B506" t="s">
        <v>2640</v>
      </c>
      <c r="D506">
        <v>95453</v>
      </c>
      <c r="E506" t="str">
        <f t="shared" si="7"/>
        <v>ia.assorted_string like '%95453-08-2024%' or</v>
      </c>
    </row>
    <row r="507" spans="1:5" x14ac:dyDescent="0.25">
      <c r="A507" t="s">
        <v>636</v>
      </c>
      <c r="B507" t="s">
        <v>2640</v>
      </c>
      <c r="D507">
        <v>95454</v>
      </c>
      <c r="E507" t="str">
        <f t="shared" si="7"/>
        <v>ia.assorted_string like '%95454-08-2024%' or</v>
      </c>
    </row>
    <row r="508" spans="1:5" x14ac:dyDescent="0.25">
      <c r="A508" t="s">
        <v>637</v>
      </c>
      <c r="B508" t="s">
        <v>2640</v>
      </c>
      <c r="D508">
        <v>95455</v>
      </c>
      <c r="E508" t="str">
        <f t="shared" si="7"/>
        <v>ia.assorted_string like '%95455-08-2024%' or</v>
      </c>
    </row>
    <row r="509" spans="1:5" x14ac:dyDescent="0.25">
      <c r="A509" t="s">
        <v>638</v>
      </c>
      <c r="B509" t="s">
        <v>2640</v>
      </c>
      <c r="D509">
        <v>95456</v>
      </c>
      <c r="E509" t="str">
        <f t="shared" si="7"/>
        <v>ia.assorted_string like '%95456-08-2024%' or</v>
      </c>
    </row>
    <row r="510" spans="1:5" x14ac:dyDescent="0.25">
      <c r="A510" t="s">
        <v>639</v>
      </c>
      <c r="B510" t="s">
        <v>2640</v>
      </c>
      <c r="D510">
        <v>95461</v>
      </c>
      <c r="E510" t="str">
        <f t="shared" si="7"/>
        <v>ia.assorted_string like '%95461-08-2024%' or</v>
      </c>
    </row>
    <row r="511" spans="1:5" x14ac:dyDescent="0.25">
      <c r="A511" t="s">
        <v>640</v>
      </c>
      <c r="B511" t="s">
        <v>2640</v>
      </c>
      <c r="D511">
        <v>95462</v>
      </c>
      <c r="E511" t="str">
        <f t="shared" si="7"/>
        <v>ia.assorted_string like '%95462-08-2024%' or</v>
      </c>
    </row>
    <row r="512" spans="1:5" x14ac:dyDescent="0.25">
      <c r="A512" t="s">
        <v>641</v>
      </c>
      <c r="B512" t="s">
        <v>2640</v>
      </c>
      <c r="D512">
        <v>95465</v>
      </c>
      <c r="E512" t="str">
        <f t="shared" si="7"/>
        <v>ia.assorted_string like '%95465-08-2024%' or</v>
      </c>
    </row>
    <row r="513" spans="1:5" x14ac:dyDescent="0.25">
      <c r="A513" t="s">
        <v>642</v>
      </c>
      <c r="B513" t="s">
        <v>2640</v>
      </c>
      <c r="D513">
        <v>95474</v>
      </c>
      <c r="E513" t="str">
        <f t="shared" si="7"/>
        <v>ia.assorted_string like '%95474-08-2024%' or</v>
      </c>
    </row>
    <row r="514" spans="1:5" x14ac:dyDescent="0.25">
      <c r="A514" t="s">
        <v>643</v>
      </c>
      <c r="B514" t="s">
        <v>2640</v>
      </c>
      <c r="D514">
        <v>95476</v>
      </c>
      <c r="E514" t="str">
        <f t="shared" ref="E514:E577" si="8">"ia.assorted_string like '%"&amp;D514&amp;B514&amp;"%' or"</f>
        <v>ia.assorted_string like '%95476-08-2024%' or</v>
      </c>
    </row>
    <row r="515" spans="1:5" x14ac:dyDescent="0.25">
      <c r="A515" t="s">
        <v>644</v>
      </c>
      <c r="B515" t="s">
        <v>2640</v>
      </c>
      <c r="D515">
        <v>95477</v>
      </c>
      <c r="E515" t="str">
        <f t="shared" si="8"/>
        <v>ia.assorted_string like '%95477-08-2024%' or</v>
      </c>
    </row>
    <row r="516" spans="1:5" x14ac:dyDescent="0.25">
      <c r="A516" t="s">
        <v>645</v>
      </c>
      <c r="B516" t="s">
        <v>2640</v>
      </c>
      <c r="D516">
        <v>95478</v>
      </c>
      <c r="E516" t="str">
        <f t="shared" si="8"/>
        <v>ia.assorted_string like '%95478-08-2024%' or</v>
      </c>
    </row>
    <row r="517" spans="1:5" x14ac:dyDescent="0.25">
      <c r="A517" t="s">
        <v>646</v>
      </c>
      <c r="B517" t="s">
        <v>2640</v>
      </c>
      <c r="D517">
        <v>95479</v>
      </c>
      <c r="E517" t="str">
        <f t="shared" si="8"/>
        <v>ia.assorted_string like '%95479-08-2024%' or</v>
      </c>
    </row>
    <row r="518" spans="1:5" x14ac:dyDescent="0.25">
      <c r="A518" t="s">
        <v>647</v>
      </c>
      <c r="B518" t="s">
        <v>2640</v>
      </c>
      <c r="D518">
        <v>95480</v>
      </c>
      <c r="E518" t="str">
        <f t="shared" si="8"/>
        <v>ia.assorted_string like '%95480-08-2024%' or</v>
      </c>
    </row>
    <row r="519" spans="1:5" x14ac:dyDescent="0.25">
      <c r="A519" t="s">
        <v>648</v>
      </c>
      <c r="B519" t="s">
        <v>2640</v>
      </c>
      <c r="D519">
        <v>95483</v>
      </c>
      <c r="E519" t="str">
        <f t="shared" si="8"/>
        <v>ia.assorted_string like '%95483-08-2024%' or</v>
      </c>
    </row>
    <row r="520" spans="1:5" x14ac:dyDescent="0.25">
      <c r="A520" t="s">
        <v>649</v>
      </c>
      <c r="B520" t="s">
        <v>2640</v>
      </c>
      <c r="D520">
        <v>95484</v>
      </c>
      <c r="E520" t="str">
        <f t="shared" si="8"/>
        <v>ia.assorted_string like '%95484-08-2024%' or</v>
      </c>
    </row>
    <row r="521" spans="1:5" x14ac:dyDescent="0.25">
      <c r="A521" t="s">
        <v>650</v>
      </c>
      <c r="B521" t="s">
        <v>2640</v>
      </c>
      <c r="D521">
        <v>95487</v>
      </c>
      <c r="E521" t="str">
        <f t="shared" si="8"/>
        <v>ia.assorted_string like '%95487-08-2024%' or</v>
      </c>
    </row>
    <row r="522" spans="1:5" x14ac:dyDescent="0.25">
      <c r="A522" t="s">
        <v>651</v>
      </c>
      <c r="B522" t="s">
        <v>2640</v>
      </c>
      <c r="D522">
        <v>95488</v>
      </c>
      <c r="E522" t="str">
        <f t="shared" si="8"/>
        <v>ia.assorted_string like '%95488-08-2024%' or</v>
      </c>
    </row>
    <row r="523" spans="1:5" x14ac:dyDescent="0.25">
      <c r="A523" t="s">
        <v>652</v>
      </c>
      <c r="B523" t="s">
        <v>2640</v>
      </c>
      <c r="D523">
        <v>95489</v>
      </c>
      <c r="E523" t="str">
        <f t="shared" si="8"/>
        <v>ia.assorted_string like '%95489-08-2024%' or</v>
      </c>
    </row>
    <row r="524" spans="1:5" x14ac:dyDescent="0.25">
      <c r="A524" t="s">
        <v>653</v>
      </c>
      <c r="B524" t="s">
        <v>2640</v>
      </c>
      <c r="D524">
        <v>95491</v>
      </c>
      <c r="E524" t="str">
        <f t="shared" si="8"/>
        <v>ia.assorted_string like '%95491-08-2024%' or</v>
      </c>
    </row>
    <row r="525" spans="1:5" x14ac:dyDescent="0.25">
      <c r="A525" t="s">
        <v>654</v>
      </c>
      <c r="B525" t="s">
        <v>2640</v>
      </c>
      <c r="D525">
        <v>95492</v>
      </c>
      <c r="E525" t="str">
        <f t="shared" si="8"/>
        <v>ia.assorted_string like '%95492-08-2024%' or</v>
      </c>
    </row>
    <row r="526" spans="1:5" x14ac:dyDescent="0.25">
      <c r="A526" t="s">
        <v>655</v>
      </c>
      <c r="B526" t="s">
        <v>2640</v>
      </c>
      <c r="D526">
        <v>95493</v>
      </c>
      <c r="E526" t="str">
        <f t="shared" si="8"/>
        <v>ia.assorted_string like '%95493-08-2024%' or</v>
      </c>
    </row>
    <row r="527" spans="1:5" x14ac:dyDescent="0.25">
      <c r="A527" t="s">
        <v>656</v>
      </c>
      <c r="B527" t="s">
        <v>2640</v>
      </c>
      <c r="D527">
        <v>95494</v>
      </c>
      <c r="E527" t="str">
        <f t="shared" si="8"/>
        <v>ia.assorted_string like '%95494-08-2024%' or</v>
      </c>
    </row>
    <row r="528" spans="1:5" x14ac:dyDescent="0.25">
      <c r="A528" t="s">
        <v>657</v>
      </c>
      <c r="B528" t="s">
        <v>2640</v>
      </c>
      <c r="D528">
        <v>95495</v>
      </c>
      <c r="E528" t="str">
        <f t="shared" si="8"/>
        <v>ia.assorted_string like '%95495-08-2024%' or</v>
      </c>
    </row>
    <row r="529" spans="1:5" x14ac:dyDescent="0.25">
      <c r="A529" t="s">
        <v>658</v>
      </c>
      <c r="B529" t="s">
        <v>2640</v>
      </c>
      <c r="D529">
        <v>95498</v>
      </c>
      <c r="E529" t="str">
        <f t="shared" si="8"/>
        <v>ia.assorted_string like '%95498-08-2024%' or</v>
      </c>
    </row>
    <row r="530" spans="1:5" x14ac:dyDescent="0.25">
      <c r="A530" t="s">
        <v>659</v>
      </c>
      <c r="B530" t="s">
        <v>2640</v>
      </c>
      <c r="D530">
        <v>95499</v>
      </c>
      <c r="E530" t="str">
        <f t="shared" si="8"/>
        <v>ia.assorted_string like '%95499-08-2024%' or</v>
      </c>
    </row>
    <row r="531" spans="1:5" x14ac:dyDescent="0.25">
      <c r="A531" t="s">
        <v>660</v>
      </c>
      <c r="B531" t="s">
        <v>2640</v>
      </c>
      <c r="D531">
        <v>95500</v>
      </c>
      <c r="E531" t="str">
        <f t="shared" si="8"/>
        <v>ia.assorted_string like '%95500-08-2024%' or</v>
      </c>
    </row>
    <row r="532" spans="1:5" x14ac:dyDescent="0.25">
      <c r="A532" t="s">
        <v>661</v>
      </c>
      <c r="B532" t="s">
        <v>2640</v>
      </c>
      <c r="D532">
        <v>95503</v>
      </c>
      <c r="E532" t="str">
        <f t="shared" si="8"/>
        <v>ia.assorted_string like '%95503-08-2024%' or</v>
      </c>
    </row>
    <row r="533" spans="1:5" x14ac:dyDescent="0.25">
      <c r="A533" t="s">
        <v>662</v>
      </c>
      <c r="B533" t="s">
        <v>2640</v>
      </c>
      <c r="D533">
        <v>95504</v>
      </c>
      <c r="E533" t="str">
        <f t="shared" si="8"/>
        <v>ia.assorted_string like '%95504-08-2024%' or</v>
      </c>
    </row>
    <row r="534" spans="1:5" x14ac:dyDescent="0.25">
      <c r="A534" t="s">
        <v>663</v>
      </c>
      <c r="B534" t="s">
        <v>2640</v>
      </c>
      <c r="D534">
        <v>95505</v>
      </c>
      <c r="E534" t="str">
        <f t="shared" si="8"/>
        <v>ia.assorted_string like '%95505-08-2024%' or</v>
      </c>
    </row>
    <row r="535" spans="1:5" x14ac:dyDescent="0.25">
      <c r="A535" t="s">
        <v>664</v>
      </c>
      <c r="B535" t="s">
        <v>2640</v>
      </c>
      <c r="D535">
        <v>95506</v>
      </c>
      <c r="E535" t="str">
        <f t="shared" si="8"/>
        <v>ia.assorted_string like '%95506-08-2024%' or</v>
      </c>
    </row>
    <row r="536" spans="1:5" x14ac:dyDescent="0.25">
      <c r="A536" t="s">
        <v>665</v>
      </c>
      <c r="B536" t="s">
        <v>2640</v>
      </c>
      <c r="D536">
        <v>95507</v>
      </c>
      <c r="E536" t="str">
        <f t="shared" si="8"/>
        <v>ia.assorted_string like '%95507-08-2024%' or</v>
      </c>
    </row>
    <row r="537" spans="1:5" x14ac:dyDescent="0.25">
      <c r="A537" t="s">
        <v>666</v>
      </c>
      <c r="B537" t="s">
        <v>2640</v>
      </c>
      <c r="D537">
        <v>95508</v>
      </c>
      <c r="E537" t="str">
        <f t="shared" si="8"/>
        <v>ia.assorted_string like '%95508-08-2024%' or</v>
      </c>
    </row>
    <row r="538" spans="1:5" x14ac:dyDescent="0.25">
      <c r="A538" t="s">
        <v>667</v>
      </c>
      <c r="B538" t="s">
        <v>2640</v>
      </c>
      <c r="D538">
        <v>95509</v>
      </c>
      <c r="E538" t="str">
        <f t="shared" si="8"/>
        <v>ia.assorted_string like '%95509-08-2024%' or</v>
      </c>
    </row>
    <row r="539" spans="1:5" x14ac:dyDescent="0.25">
      <c r="A539" t="s">
        <v>668</v>
      </c>
      <c r="B539" t="s">
        <v>2640</v>
      </c>
      <c r="D539">
        <v>95510</v>
      </c>
      <c r="E539" t="str">
        <f t="shared" si="8"/>
        <v>ia.assorted_string like '%95510-08-2024%' or</v>
      </c>
    </row>
    <row r="540" spans="1:5" x14ac:dyDescent="0.25">
      <c r="A540" t="s">
        <v>669</v>
      </c>
      <c r="B540" t="s">
        <v>2640</v>
      </c>
      <c r="D540">
        <v>95511</v>
      </c>
      <c r="E540" t="str">
        <f t="shared" si="8"/>
        <v>ia.assorted_string like '%95511-08-2024%' or</v>
      </c>
    </row>
    <row r="541" spans="1:5" x14ac:dyDescent="0.25">
      <c r="A541" t="s">
        <v>670</v>
      </c>
      <c r="B541" t="s">
        <v>2640</v>
      </c>
      <c r="D541">
        <v>95512</v>
      </c>
      <c r="E541" t="str">
        <f t="shared" si="8"/>
        <v>ia.assorted_string like '%95512-08-2024%' or</v>
      </c>
    </row>
    <row r="542" spans="1:5" x14ac:dyDescent="0.25">
      <c r="A542" t="s">
        <v>671</v>
      </c>
      <c r="B542" t="s">
        <v>2640</v>
      </c>
      <c r="D542">
        <v>95514</v>
      </c>
      <c r="E542" t="str">
        <f t="shared" si="8"/>
        <v>ia.assorted_string like '%95514-08-2024%' or</v>
      </c>
    </row>
    <row r="543" spans="1:5" x14ac:dyDescent="0.25">
      <c r="A543" t="s">
        <v>672</v>
      </c>
      <c r="B543" t="s">
        <v>2640</v>
      </c>
      <c r="D543">
        <v>95520</v>
      </c>
      <c r="E543" t="str">
        <f t="shared" si="8"/>
        <v>ia.assorted_string like '%95520-08-2024%' or</v>
      </c>
    </row>
    <row r="544" spans="1:5" x14ac:dyDescent="0.25">
      <c r="A544" t="s">
        <v>673</v>
      </c>
      <c r="B544" t="s">
        <v>2640</v>
      </c>
      <c r="D544">
        <v>95521</v>
      </c>
      <c r="E544" t="str">
        <f t="shared" si="8"/>
        <v>ia.assorted_string like '%95521-08-2024%' or</v>
      </c>
    </row>
    <row r="545" spans="1:5" x14ac:dyDescent="0.25">
      <c r="A545" t="s">
        <v>674</v>
      </c>
      <c r="B545" t="s">
        <v>2640</v>
      </c>
      <c r="D545">
        <v>95522</v>
      </c>
      <c r="E545" t="str">
        <f t="shared" si="8"/>
        <v>ia.assorted_string like '%95522-08-2024%' or</v>
      </c>
    </row>
    <row r="546" spans="1:5" x14ac:dyDescent="0.25">
      <c r="A546" t="s">
        <v>675</v>
      </c>
      <c r="B546" t="s">
        <v>2640</v>
      </c>
      <c r="D546">
        <v>95523</v>
      </c>
      <c r="E546" t="str">
        <f t="shared" si="8"/>
        <v>ia.assorted_string like '%95523-08-2024%' or</v>
      </c>
    </row>
    <row r="547" spans="1:5" x14ac:dyDescent="0.25">
      <c r="A547" t="s">
        <v>676</v>
      </c>
      <c r="B547" t="s">
        <v>2640</v>
      </c>
      <c r="D547">
        <v>95524</v>
      </c>
      <c r="E547" t="str">
        <f t="shared" si="8"/>
        <v>ia.assorted_string like '%95524-08-2024%' or</v>
      </c>
    </row>
    <row r="548" spans="1:5" x14ac:dyDescent="0.25">
      <c r="A548" t="s">
        <v>677</v>
      </c>
      <c r="B548" t="s">
        <v>2640</v>
      </c>
      <c r="D548">
        <v>95527</v>
      </c>
      <c r="E548" t="str">
        <f t="shared" si="8"/>
        <v>ia.assorted_string like '%95527-08-2024%' or</v>
      </c>
    </row>
    <row r="549" spans="1:5" x14ac:dyDescent="0.25">
      <c r="A549" t="s">
        <v>678</v>
      </c>
      <c r="B549" t="s">
        <v>2640</v>
      </c>
      <c r="D549">
        <v>95528</v>
      </c>
      <c r="E549" t="str">
        <f t="shared" si="8"/>
        <v>ia.assorted_string like '%95528-08-2024%' or</v>
      </c>
    </row>
    <row r="550" spans="1:5" x14ac:dyDescent="0.25">
      <c r="A550" t="s">
        <v>679</v>
      </c>
      <c r="B550" t="s">
        <v>2640</v>
      </c>
      <c r="D550">
        <v>95529</v>
      </c>
      <c r="E550" t="str">
        <f t="shared" si="8"/>
        <v>ia.assorted_string like '%95529-08-2024%' or</v>
      </c>
    </row>
    <row r="551" spans="1:5" x14ac:dyDescent="0.25">
      <c r="A551" t="s">
        <v>680</v>
      </c>
      <c r="B551" t="s">
        <v>2640</v>
      </c>
      <c r="D551">
        <v>95530</v>
      </c>
      <c r="E551" t="str">
        <f t="shared" si="8"/>
        <v>ia.assorted_string like '%95530-08-2024%' or</v>
      </c>
    </row>
    <row r="552" spans="1:5" x14ac:dyDescent="0.25">
      <c r="A552" t="s">
        <v>681</v>
      </c>
      <c r="B552" t="s">
        <v>2640</v>
      </c>
      <c r="D552">
        <v>95532</v>
      </c>
      <c r="E552" t="str">
        <f t="shared" si="8"/>
        <v>ia.assorted_string like '%95532-08-2024%' or</v>
      </c>
    </row>
    <row r="553" spans="1:5" x14ac:dyDescent="0.25">
      <c r="A553" t="s">
        <v>682</v>
      </c>
      <c r="B553" t="s">
        <v>2640</v>
      </c>
      <c r="D553">
        <v>95533</v>
      </c>
      <c r="E553" t="str">
        <f t="shared" si="8"/>
        <v>ia.assorted_string like '%95533-08-2024%' or</v>
      </c>
    </row>
    <row r="554" spans="1:5" x14ac:dyDescent="0.25">
      <c r="A554" t="s">
        <v>683</v>
      </c>
      <c r="B554" t="s">
        <v>2640</v>
      </c>
      <c r="D554">
        <v>95534</v>
      </c>
      <c r="E554" t="str">
        <f t="shared" si="8"/>
        <v>ia.assorted_string like '%95534-08-2024%' or</v>
      </c>
    </row>
    <row r="555" spans="1:5" x14ac:dyDescent="0.25">
      <c r="A555" t="s">
        <v>684</v>
      </c>
      <c r="B555" t="s">
        <v>2640</v>
      </c>
      <c r="D555">
        <v>95537</v>
      </c>
      <c r="E555" t="str">
        <f t="shared" si="8"/>
        <v>ia.assorted_string like '%95537-08-2024%' or</v>
      </c>
    </row>
    <row r="556" spans="1:5" x14ac:dyDescent="0.25">
      <c r="A556" t="s">
        <v>685</v>
      </c>
      <c r="B556" t="s">
        <v>2640</v>
      </c>
      <c r="D556">
        <v>95538</v>
      </c>
      <c r="E556" t="str">
        <f t="shared" si="8"/>
        <v>ia.assorted_string like '%95538-08-2024%' or</v>
      </c>
    </row>
    <row r="557" spans="1:5" x14ac:dyDescent="0.25">
      <c r="A557" t="s">
        <v>686</v>
      </c>
      <c r="B557" t="s">
        <v>2640</v>
      </c>
      <c r="D557">
        <v>95541</v>
      </c>
      <c r="E557" t="str">
        <f t="shared" si="8"/>
        <v>ia.assorted_string like '%95541-08-2024%' or</v>
      </c>
    </row>
    <row r="558" spans="1:5" x14ac:dyDescent="0.25">
      <c r="A558" t="s">
        <v>687</v>
      </c>
      <c r="B558" t="s">
        <v>2640</v>
      </c>
      <c r="D558">
        <v>95542</v>
      </c>
      <c r="E558" t="str">
        <f t="shared" si="8"/>
        <v>ia.assorted_string like '%95542-08-2024%' or</v>
      </c>
    </row>
    <row r="559" spans="1:5" x14ac:dyDescent="0.25">
      <c r="A559" t="s">
        <v>688</v>
      </c>
      <c r="B559" t="s">
        <v>2640</v>
      </c>
      <c r="D559">
        <v>95543</v>
      </c>
      <c r="E559" t="str">
        <f t="shared" si="8"/>
        <v>ia.assorted_string like '%95543-08-2024%' or</v>
      </c>
    </row>
    <row r="560" spans="1:5" x14ac:dyDescent="0.25">
      <c r="A560" t="s">
        <v>689</v>
      </c>
      <c r="B560" t="s">
        <v>2640</v>
      </c>
      <c r="D560">
        <v>95549</v>
      </c>
      <c r="E560" t="str">
        <f t="shared" si="8"/>
        <v>ia.assorted_string like '%95549-08-2024%' or</v>
      </c>
    </row>
    <row r="561" spans="1:5" x14ac:dyDescent="0.25">
      <c r="A561" t="s">
        <v>690</v>
      </c>
      <c r="B561" t="s">
        <v>2640</v>
      </c>
      <c r="D561">
        <v>95550</v>
      </c>
      <c r="E561" t="str">
        <f t="shared" si="8"/>
        <v>ia.assorted_string like '%95550-08-2024%' or</v>
      </c>
    </row>
    <row r="562" spans="1:5" x14ac:dyDescent="0.25">
      <c r="A562" t="s">
        <v>691</v>
      </c>
      <c r="B562" t="s">
        <v>2640</v>
      </c>
      <c r="D562">
        <v>95551</v>
      </c>
      <c r="E562" t="str">
        <f t="shared" si="8"/>
        <v>ia.assorted_string like '%95551-08-2024%' or</v>
      </c>
    </row>
    <row r="563" spans="1:5" x14ac:dyDescent="0.25">
      <c r="A563" t="s">
        <v>692</v>
      </c>
      <c r="B563" t="s">
        <v>2640</v>
      </c>
      <c r="D563">
        <v>95552</v>
      </c>
      <c r="E563" t="str">
        <f t="shared" si="8"/>
        <v>ia.assorted_string like '%95552-08-2024%' or</v>
      </c>
    </row>
    <row r="564" spans="1:5" x14ac:dyDescent="0.25">
      <c r="A564" t="s">
        <v>693</v>
      </c>
      <c r="B564" t="s">
        <v>2640</v>
      </c>
      <c r="D564">
        <v>95553</v>
      </c>
      <c r="E564" t="str">
        <f t="shared" si="8"/>
        <v>ia.assorted_string like '%95553-08-2024%' or</v>
      </c>
    </row>
    <row r="565" spans="1:5" x14ac:dyDescent="0.25">
      <c r="A565" t="s">
        <v>694</v>
      </c>
      <c r="B565" t="s">
        <v>2640</v>
      </c>
      <c r="D565">
        <v>95554</v>
      </c>
      <c r="E565" t="str">
        <f t="shared" si="8"/>
        <v>ia.assorted_string like '%95554-08-2024%' or</v>
      </c>
    </row>
    <row r="566" spans="1:5" x14ac:dyDescent="0.25">
      <c r="A566" t="s">
        <v>695</v>
      </c>
      <c r="B566" t="s">
        <v>2640</v>
      </c>
      <c r="D566">
        <v>95555</v>
      </c>
      <c r="E566" t="str">
        <f t="shared" si="8"/>
        <v>ia.assorted_string like '%95555-08-2024%' or</v>
      </c>
    </row>
    <row r="567" spans="1:5" x14ac:dyDescent="0.25">
      <c r="A567" t="s">
        <v>696</v>
      </c>
      <c r="B567" t="s">
        <v>2640</v>
      </c>
      <c r="D567">
        <v>95558</v>
      </c>
      <c r="E567" t="str">
        <f t="shared" si="8"/>
        <v>ia.assorted_string like '%95558-08-2024%' or</v>
      </c>
    </row>
    <row r="568" spans="1:5" x14ac:dyDescent="0.25">
      <c r="A568" t="s">
        <v>697</v>
      </c>
      <c r="B568" t="s">
        <v>2640</v>
      </c>
      <c r="D568">
        <v>95559</v>
      </c>
      <c r="E568" t="str">
        <f t="shared" si="8"/>
        <v>ia.assorted_string like '%95559-08-2024%' or</v>
      </c>
    </row>
    <row r="569" spans="1:5" x14ac:dyDescent="0.25">
      <c r="A569" t="s">
        <v>698</v>
      </c>
      <c r="B569" t="s">
        <v>2640</v>
      </c>
      <c r="D569">
        <v>95560</v>
      </c>
      <c r="E569" t="str">
        <f t="shared" si="8"/>
        <v>ia.assorted_string like '%95560-08-2024%' or</v>
      </c>
    </row>
    <row r="570" spans="1:5" x14ac:dyDescent="0.25">
      <c r="A570" t="s">
        <v>699</v>
      </c>
      <c r="B570" t="s">
        <v>2640</v>
      </c>
      <c r="D570">
        <v>95561</v>
      </c>
      <c r="E570" t="str">
        <f t="shared" si="8"/>
        <v>ia.assorted_string like '%95561-08-2024%' or</v>
      </c>
    </row>
    <row r="571" spans="1:5" x14ac:dyDescent="0.25">
      <c r="A571" t="s">
        <v>700</v>
      </c>
      <c r="B571" t="s">
        <v>2640</v>
      </c>
      <c r="D571">
        <v>95562</v>
      </c>
      <c r="E571" t="str">
        <f t="shared" si="8"/>
        <v>ia.assorted_string like '%95562-08-2024%' or</v>
      </c>
    </row>
    <row r="572" spans="1:5" x14ac:dyDescent="0.25">
      <c r="A572" t="s">
        <v>701</v>
      </c>
      <c r="B572" t="s">
        <v>2640</v>
      </c>
      <c r="D572">
        <v>95563</v>
      </c>
      <c r="E572" t="str">
        <f t="shared" si="8"/>
        <v>ia.assorted_string like '%95563-08-2024%' or</v>
      </c>
    </row>
    <row r="573" spans="1:5" x14ac:dyDescent="0.25">
      <c r="A573" t="s">
        <v>702</v>
      </c>
      <c r="B573" t="s">
        <v>2640</v>
      </c>
      <c r="D573">
        <v>95564</v>
      </c>
      <c r="E573" t="str">
        <f t="shared" si="8"/>
        <v>ia.assorted_string like '%95564-08-2024%' or</v>
      </c>
    </row>
    <row r="574" spans="1:5" x14ac:dyDescent="0.25">
      <c r="A574" t="s">
        <v>703</v>
      </c>
      <c r="B574" t="s">
        <v>2640</v>
      </c>
      <c r="D574">
        <v>95566</v>
      </c>
      <c r="E574" t="str">
        <f t="shared" si="8"/>
        <v>ia.assorted_string like '%95566-08-2024%' or</v>
      </c>
    </row>
    <row r="575" spans="1:5" x14ac:dyDescent="0.25">
      <c r="A575" t="s">
        <v>704</v>
      </c>
      <c r="B575" t="s">
        <v>2640</v>
      </c>
      <c r="D575">
        <v>95588</v>
      </c>
      <c r="E575" t="str">
        <f t="shared" si="8"/>
        <v>ia.assorted_string like '%95588-08-2024%' or</v>
      </c>
    </row>
    <row r="576" spans="1:5" x14ac:dyDescent="0.25">
      <c r="A576" t="s">
        <v>705</v>
      </c>
      <c r="B576" t="s">
        <v>2640</v>
      </c>
      <c r="D576">
        <v>95589</v>
      </c>
      <c r="E576" t="str">
        <f t="shared" si="8"/>
        <v>ia.assorted_string like '%95589-08-2024%' or</v>
      </c>
    </row>
    <row r="577" spans="1:5" x14ac:dyDescent="0.25">
      <c r="A577" t="s">
        <v>706</v>
      </c>
      <c r="B577" t="s">
        <v>2640</v>
      </c>
      <c r="D577">
        <v>95608</v>
      </c>
      <c r="E577" t="str">
        <f t="shared" si="8"/>
        <v>ia.assorted_string like '%95608-08-2024%' or</v>
      </c>
    </row>
    <row r="578" spans="1:5" x14ac:dyDescent="0.25">
      <c r="A578" t="s">
        <v>707</v>
      </c>
      <c r="B578" t="s">
        <v>2640</v>
      </c>
      <c r="D578">
        <v>95613</v>
      </c>
      <c r="E578" t="str">
        <f t="shared" ref="E578:E641" si="9">"ia.assorted_string like '%"&amp;D578&amp;B578&amp;"%' or"</f>
        <v>ia.assorted_string like '%95613-08-2024%' or</v>
      </c>
    </row>
    <row r="579" spans="1:5" x14ac:dyDescent="0.25">
      <c r="A579" t="s">
        <v>708</v>
      </c>
      <c r="B579" t="s">
        <v>2640</v>
      </c>
      <c r="D579">
        <v>95615</v>
      </c>
      <c r="E579" t="str">
        <f t="shared" si="9"/>
        <v>ia.assorted_string like '%95615-08-2024%' or</v>
      </c>
    </row>
    <row r="580" spans="1:5" x14ac:dyDescent="0.25">
      <c r="A580" t="s">
        <v>709</v>
      </c>
      <c r="B580" t="s">
        <v>2640</v>
      </c>
      <c r="D580">
        <v>95616</v>
      </c>
      <c r="E580" t="str">
        <f t="shared" si="9"/>
        <v>ia.assorted_string like '%95616-08-2024%' or</v>
      </c>
    </row>
    <row r="581" spans="1:5" x14ac:dyDescent="0.25">
      <c r="A581" t="s">
        <v>710</v>
      </c>
      <c r="B581" t="s">
        <v>2640</v>
      </c>
      <c r="D581">
        <v>95618</v>
      </c>
      <c r="E581" t="str">
        <f t="shared" si="9"/>
        <v>ia.assorted_string like '%95618-08-2024%' or</v>
      </c>
    </row>
    <row r="582" spans="1:5" x14ac:dyDescent="0.25">
      <c r="A582" t="s">
        <v>711</v>
      </c>
      <c r="B582" t="s">
        <v>2640</v>
      </c>
      <c r="D582">
        <v>95619</v>
      </c>
      <c r="E582" t="str">
        <f t="shared" si="9"/>
        <v>ia.assorted_string like '%95619-08-2024%' or</v>
      </c>
    </row>
    <row r="583" spans="1:5" x14ac:dyDescent="0.25">
      <c r="A583" t="s">
        <v>712</v>
      </c>
      <c r="B583" t="s">
        <v>2640</v>
      </c>
      <c r="D583">
        <v>95620</v>
      </c>
      <c r="E583" t="str">
        <f t="shared" si="9"/>
        <v>ia.assorted_string like '%95620-08-2024%' or</v>
      </c>
    </row>
    <row r="584" spans="1:5" x14ac:dyDescent="0.25">
      <c r="A584" t="s">
        <v>713</v>
      </c>
      <c r="B584" t="s">
        <v>2640</v>
      </c>
      <c r="D584">
        <v>95622</v>
      </c>
      <c r="E584" t="str">
        <f t="shared" si="9"/>
        <v>ia.assorted_string like '%95622-08-2024%' or</v>
      </c>
    </row>
    <row r="585" spans="1:5" x14ac:dyDescent="0.25">
      <c r="A585" t="s">
        <v>714</v>
      </c>
      <c r="B585" t="s">
        <v>2640</v>
      </c>
      <c r="D585">
        <v>95623</v>
      </c>
      <c r="E585" t="str">
        <f t="shared" si="9"/>
        <v>ia.assorted_string like '%95623-08-2024%' or</v>
      </c>
    </row>
    <row r="586" spans="1:5" x14ac:dyDescent="0.25">
      <c r="A586" t="s">
        <v>715</v>
      </c>
      <c r="B586" t="s">
        <v>2640</v>
      </c>
      <c r="D586">
        <v>95624</v>
      </c>
      <c r="E586" t="str">
        <f t="shared" si="9"/>
        <v>ia.assorted_string like '%95624-08-2024%' or</v>
      </c>
    </row>
    <row r="587" spans="1:5" x14ac:dyDescent="0.25">
      <c r="A587" t="s">
        <v>716</v>
      </c>
      <c r="B587" t="s">
        <v>2640</v>
      </c>
      <c r="D587">
        <v>95625</v>
      </c>
      <c r="E587" t="str">
        <f t="shared" si="9"/>
        <v>ia.assorted_string like '%95625-08-2024%' or</v>
      </c>
    </row>
    <row r="588" spans="1:5" x14ac:dyDescent="0.25">
      <c r="A588" t="s">
        <v>717</v>
      </c>
      <c r="B588" t="s">
        <v>2640</v>
      </c>
      <c r="D588">
        <v>95627</v>
      </c>
      <c r="E588" t="str">
        <f t="shared" si="9"/>
        <v>ia.assorted_string like '%95627-08-2024%' or</v>
      </c>
    </row>
    <row r="589" spans="1:5" x14ac:dyDescent="0.25">
      <c r="A589" t="s">
        <v>718</v>
      </c>
      <c r="B589" t="s">
        <v>2640</v>
      </c>
      <c r="D589">
        <v>95628</v>
      </c>
      <c r="E589" t="str">
        <f t="shared" si="9"/>
        <v>ia.assorted_string like '%95628-08-2024%' or</v>
      </c>
    </row>
    <row r="590" spans="1:5" x14ac:dyDescent="0.25">
      <c r="A590" t="s">
        <v>719</v>
      </c>
      <c r="B590" t="s">
        <v>2640</v>
      </c>
      <c r="D590">
        <v>95630</v>
      </c>
      <c r="E590" t="str">
        <f t="shared" si="9"/>
        <v>ia.assorted_string like '%95630-08-2024%' or</v>
      </c>
    </row>
    <row r="591" spans="1:5" x14ac:dyDescent="0.25">
      <c r="A591" t="s">
        <v>720</v>
      </c>
      <c r="B591" t="s">
        <v>2640</v>
      </c>
      <c r="D591">
        <v>95631</v>
      </c>
      <c r="E591" t="str">
        <f t="shared" si="9"/>
        <v>ia.assorted_string like '%95631-08-2024%' or</v>
      </c>
    </row>
    <row r="592" spans="1:5" x14ac:dyDescent="0.25">
      <c r="A592" t="s">
        <v>721</v>
      </c>
      <c r="B592" t="s">
        <v>2640</v>
      </c>
      <c r="D592">
        <v>95632</v>
      </c>
      <c r="E592" t="str">
        <f t="shared" si="9"/>
        <v>ia.assorted_string like '%95632-08-2024%' or</v>
      </c>
    </row>
    <row r="593" spans="1:5" x14ac:dyDescent="0.25">
      <c r="A593" t="s">
        <v>722</v>
      </c>
      <c r="B593" t="s">
        <v>2640</v>
      </c>
      <c r="D593">
        <v>95633</v>
      </c>
      <c r="E593" t="str">
        <f t="shared" si="9"/>
        <v>ia.assorted_string like '%95633-08-2024%' or</v>
      </c>
    </row>
    <row r="594" spans="1:5" x14ac:dyDescent="0.25">
      <c r="A594" t="s">
        <v>723</v>
      </c>
      <c r="B594" t="s">
        <v>2640</v>
      </c>
      <c r="D594">
        <v>95634</v>
      </c>
      <c r="E594" t="str">
        <f t="shared" si="9"/>
        <v>ia.assorted_string like '%95634-08-2024%' or</v>
      </c>
    </row>
    <row r="595" spans="1:5" x14ac:dyDescent="0.25">
      <c r="A595" t="s">
        <v>724</v>
      </c>
      <c r="B595" t="s">
        <v>2640</v>
      </c>
      <c r="D595">
        <v>95635</v>
      </c>
      <c r="E595" t="str">
        <f t="shared" si="9"/>
        <v>ia.assorted_string like '%95635-08-2024%' or</v>
      </c>
    </row>
    <row r="596" spans="1:5" x14ac:dyDescent="0.25">
      <c r="A596" t="s">
        <v>725</v>
      </c>
      <c r="B596" t="s">
        <v>2640</v>
      </c>
      <c r="D596">
        <v>95652</v>
      </c>
      <c r="E596" t="str">
        <f t="shared" si="9"/>
        <v>ia.assorted_string like '%95652-08-2024%' or</v>
      </c>
    </row>
    <row r="597" spans="1:5" x14ac:dyDescent="0.25">
      <c r="A597" t="s">
        <v>726</v>
      </c>
      <c r="B597" t="s">
        <v>2640</v>
      </c>
      <c r="D597">
        <v>95653</v>
      </c>
      <c r="E597" t="str">
        <f t="shared" si="9"/>
        <v>ia.assorted_string like '%95653-08-2024%' or</v>
      </c>
    </row>
    <row r="598" spans="1:5" x14ac:dyDescent="0.25">
      <c r="A598" t="s">
        <v>727</v>
      </c>
      <c r="B598" t="s">
        <v>2640</v>
      </c>
      <c r="D598">
        <v>95654</v>
      </c>
      <c r="E598" t="str">
        <f t="shared" si="9"/>
        <v>ia.assorted_string like '%95654-08-2024%' or</v>
      </c>
    </row>
    <row r="599" spans="1:5" x14ac:dyDescent="0.25">
      <c r="A599" t="s">
        <v>728</v>
      </c>
      <c r="B599" t="s">
        <v>2640</v>
      </c>
      <c r="D599">
        <v>95655</v>
      </c>
      <c r="E599" t="str">
        <f t="shared" si="9"/>
        <v>ia.assorted_string like '%95655-08-2024%' or</v>
      </c>
    </row>
    <row r="600" spans="1:5" x14ac:dyDescent="0.25">
      <c r="A600" t="s">
        <v>729</v>
      </c>
      <c r="B600" t="s">
        <v>2640</v>
      </c>
      <c r="D600">
        <v>95658</v>
      </c>
      <c r="E600" t="str">
        <f t="shared" si="9"/>
        <v>ia.assorted_string like '%95658-08-2024%' or</v>
      </c>
    </row>
    <row r="601" spans="1:5" x14ac:dyDescent="0.25">
      <c r="A601" t="s">
        <v>730</v>
      </c>
      <c r="B601" t="s">
        <v>2640</v>
      </c>
      <c r="D601">
        <v>95661</v>
      </c>
      <c r="E601" t="str">
        <f t="shared" si="9"/>
        <v>ia.assorted_string like '%95661-08-2024%' or</v>
      </c>
    </row>
    <row r="602" spans="1:5" x14ac:dyDescent="0.25">
      <c r="A602" t="s">
        <v>731</v>
      </c>
      <c r="B602" t="s">
        <v>2640</v>
      </c>
      <c r="D602">
        <v>95664</v>
      </c>
      <c r="E602" t="str">
        <f t="shared" si="9"/>
        <v>ia.assorted_string like '%95664-08-2024%' or</v>
      </c>
    </row>
    <row r="603" spans="1:5" x14ac:dyDescent="0.25">
      <c r="A603" t="s">
        <v>732</v>
      </c>
      <c r="B603" t="s">
        <v>2640</v>
      </c>
      <c r="D603">
        <v>95669</v>
      </c>
      <c r="E603" t="str">
        <f t="shared" si="9"/>
        <v>ia.assorted_string like '%95669-08-2024%' or</v>
      </c>
    </row>
    <row r="604" spans="1:5" x14ac:dyDescent="0.25">
      <c r="A604" t="s">
        <v>733</v>
      </c>
      <c r="B604" t="s">
        <v>2640</v>
      </c>
      <c r="D604">
        <v>95670</v>
      </c>
      <c r="E604" t="str">
        <f t="shared" si="9"/>
        <v>ia.assorted_string like '%95670-08-2024%' or</v>
      </c>
    </row>
    <row r="605" spans="1:5" x14ac:dyDescent="0.25">
      <c r="A605" t="s">
        <v>734</v>
      </c>
      <c r="B605" t="s">
        <v>2640</v>
      </c>
      <c r="D605">
        <v>95671</v>
      </c>
      <c r="E605" t="str">
        <f t="shared" si="9"/>
        <v>ia.assorted_string like '%95671-08-2024%' or</v>
      </c>
    </row>
    <row r="606" spans="1:5" x14ac:dyDescent="0.25">
      <c r="A606" t="s">
        <v>735</v>
      </c>
      <c r="B606" t="s">
        <v>2640</v>
      </c>
      <c r="D606">
        <v>95673</v>
      </c>
      <c r="E606" t="str">
        <f t="shared" si="9"/>
        <v>ia.assorted_string like '%95673-08-2024%' or</v>
      </c>
    </row>
    <row r="607" spans="1:5" x14ac:dyDescent="0.25">
      <c r="A607" t="s">
        <v>736</v>
      </c>
      <c r="B607" t="s">
        <v>2640</v>
      </c>
      <c r="D607">
        <v>95674</v>
      </c>
      <c r="E607" t="str">
        <f t="shared" si="9"/>
        <v>ia.assorted_string like '%95674-08-2024%' or</v>
      </c>
    </row>
    <row r="608" spans="1:5" x14ac:dyDescent="0.25">
      <c r="A608" t="s">
        <v>737</v>
      </c>
      <c r="B608" t="s">
        <v>2640</v>
      </c>
      <c r="D608">
        <v>95675</v>
      </c>
      <c r="E608" t="str">
        <f t="shared" si="9"/>
        <v>ia.assorted_string like '%95675-08-2024%' or</v>
      </c>
    </row>
    <row r="609" spans="1:5" x14ac:dyDescent="0.25">
      <c r="A609" t="s">
        <v>738</v>
      </c>
      <c r="B609" t="s">
        <v>2640</v>
      </c>
      <c r="D609">
        <v>95676</v>
      </c>
      <c r="E609" t="str">
        <f t="shared" si="9"/>
        <v>ia.assorted_string like '%95676-08-2024%' or</v>
      </c>
    </row>
    <row r="610" spans="1:5" x14ac:dyDescent="0.25">
      <c r="A610" t="s">
        <v>739</v>
      </c>
      <c r="B610" t="s">
        <v>2640</v>
      </c>
      <c r="D610">
        <v>95679</v>
      </c>
      <c r="E610" t="str">
        <f t="shared" si="9"/>
        <v>ia.assorted_string like '%95679-08-2024%' or</v>
      </c>
    </row>
    <row r="611" spans="1:5" x14ac:dyDescent="0.25">
      <c r="A611" t="s">
        <v>740</v>
      </c>
      <c r="B611" t="s">
        <v>2640</v>
      </c>
      <c r="D611">
        <v>95681</v>
      </c>
      <c r="E611" t="str">
        <f t="shared" si="9"/>
        <v>ia.assorted_string like '%95681-08-2024%' or</v>
      </c>
    </row>
    <row r="612" spans="1:5" x14ac:dyDescent="0.25">
      <c r="A612" t="s">
        <v>741</v>
      </c>
      <c r="B612" t="s">
        <v>2640</v>
      </c>
      <c r="D612">
        <v>95683</v>
      </c>
      <c r="E612" t="str">
        <f t="shared" si="9"/>
        <v>ia.assorted_string like '%95683-08-2024%' or</v>
      </c>
    </row>
    <row r="613" spans="1:5" x14ac:dyDescent="0.25">
      <c r="A613" t="s">
        <v>742</v>
      </c>
      <c r="B613" t="s">
        <v>2640</v>
      </c>
      <c r="D613">
        <v>95685</v>
      </c>
      <c r="E613" t="str">
        <f t="shared" si="9"/>
        <v>ia.assorted_string like '%95685-08-2024%' or</v>
      </c>
    </row>
    <row r="614" spans="1:5" x14ac:dyDescent="0.25">
      <c r="A614" t="s">
        <v>743</v>
      </c>
      <c r="B614" t="s">
        <v>2640</v>
      </c>
      <c r="D614">
        <v>95686</v>
      </c>
      <c r="E614" t="str">
        <f t="shared" si="9"/>
        <v>ia.assorted_string like '%95686-08-2024%' or</v>
      </c>
    </row>
    <row r="615" spans="1:5" x14ac:dyDescent="0.25">
      <c r="A615" t="s">
        <v>744</v>
      </c>
      <c r="B615" t="s">
        <v>2640</v>
      </c>
      <c r="D615">
        <v>95687</v>
      </c>
      <c r="E615" t="str">
        <f t="shared" si="9"/>
        <v>ia.assorted_string like '%95687-08-2024%' or</v>
      </c>
    </row>
    <row r="616" spans="1:5" x14ac:dyDescent="0.25">
      <c r="A616" t="s">
        <v>745</v>
      </c>
      <c r="B616" t="s">
        <v>2640</v>
      </c>
      <c r="D616">
        <v>95688</v>
      </c>
      <c r="E616" t="str">
        <f t="shared" si="9"/>
        <v>ia.assorted_string like '%95688-08-2024%' or</v>
      </c>
    </row>
    <row r="617" spans="1:5" x14ac:dyDescent="0.25">
      <c r="A617" t="s">
        <v>746</v>
      </c>
      <c r="B617" t="s">
        <v>2640</v>
      </c>
      <c r="D617">
        <v>95690</v>
      </c>
      <c r="E617" t="str">
        <f t="shared" si="9"/>
        <v>ia.assorted_string like '%95690-08-2024%' or</v>
      </c>
    </row>
    <row r="618" spans="1:5" x14ac:dyDescent="0.25">
      <c r="A618" t="s">
        <v>747</v>
      </c>
      <c r="B618" t="s">
        <v>2640</v>
      </c>
      <c r="D618">
        <v>95691</v>
      </c>
      <c r="E618" t="str">
        <f t="shared" si="9"/>
        <v>ia.assorted_string like '%95691-08-2024%' or</v>
      </c>
    </row>
    <row r="619" spans="1:5" x14ac:dyDescent="0.25">
      <c r="A619" t="s">
        <v>748</v>
      </c>
      <c r="B619" t="s">
        <v>2640</v>
      </c>
      <c r="D619">
        <v>95694</v>
      </c>
      <c r="E619" t="str">
        <f t="shared" si="9"/>
        <v>ia.assorted_string like '%95694-08-2024%' or</v>
      </c>
    </row>
    <row r="620" spans="1:5" x14ac:dyDescent="0.25">
      <c r="A620" t="s">
        <v>749</v>
      </c>
      <c r="B620" t="s">
        <v>2640</v>
      </c>
      <c r="D620">
        <v>95695</v>
      </c>
      <c r="E620" t="str">
        <f t="shared" si="9"/>
        <v>ia.assorted_string like '%95695-08-2024%' or</v>
      </c>
    </row>
    <row r="621" spans="1:5" x14ac:dyDescent="0.25">
      <c r="A621" t="s">
        <v>750</v>
      </c>
      <c r="B621" t="s">
        <v>2640</v>
      </c>
      <c r="D621">
        <v>95698</v>
      </c>
      <c r="E621" t="str">
        <f t="shared" si="9"/>
        <v>ia.assorted_string like '%95698-08-2024%' or</v>
      </c>
    </row>
    <row r="622" spans="1:5" x14ac:dyDescent="0.25">
      <c r="A622" t="s">
        <v>751</v>
      </c>
      <c r="B622" t="s">
        <v>2640</v>
      </c>
      <c r="D622">
        <v>95699</v>
      </c>
      <c r="E622" t="str">
        <f t="shared" si="9"/>
        <v>ia.assorted_string like '%95699-08-2024%' or</v>
      </c>
    </row>
    <row r="623" spans="1:5" x14ac:dyDescent="0.25">
      <c r="A623" t="s">
        <v>752</v>
      </c>
      <c r="B623" t="s">
        <v>2640</v>
      </c>
      <c r="D623">
        <v>95701</v>
      </c>
      <c r="E623" t="str">
        <f t="shared" si="9"/>
        <v>ia.assorted_string like '%95701-08-2024%' or</v>
      </c>
    </row>
    <row r="624" spans="1:5" x14ac:dyDescent="0.25">
      <c r="A624" t="s">
        <v>753</v>
      </c>
      <c r="B624" t="s">
        <v>2640</v>
      </c>
      <c r="D624">
        <v>95702</v>
      </c>
      <c r="E624" t="str">
        <f t="shared" si="9"/>
        <v>ia.assorted_string like '%95702-08-2024%' or</v>
      </c>
    </row>
    <row r="625" spans="1:5" x14ac:dyDescent="0.25">
      <c r="A625" t="s">
        <v>754</v>
      </c>
      <c r="B625" t="s">
        <v>2640</v>
      </c>
      <c r="D625">
        <v>95703</v>
      </c>
      <c r="E625" t="str">
        <f t="shared" si="9"/>
        <v>ia.assorted_string like '%95703-08-2024%' or</v>
      </c>
    </row>
    <row r="626" spans="1:5" x14ac:dyDescent="0.25">
      <c r="A626" t="s">
        <v>755</v>
      </c>
      <c r="B626" t="s">
        <v>2640</v>
      </c>
      <c r="D626">
        <v>95704</v>
      </c>
      <c r="E626" t="str">
        <f t="shared" si="9"/>
        <v>ia.assorted_string like '%95704-08-2024%' or</v>
      </c>
    </row>
    <row r="627" spans="1:5" x14ac:dyDescent="0.25">
      <c r="A627" t="s">
        <v>756</v>
      </c>
      <c r="B627" t="s">
        <v>2640</v>
      </c>
      <c r="D627">
        <v>95710</v>
      </c>
      <c r="E627" t="str">
        <f t="shared" si="9"/>
        <v>ia.assorted_string like '%95710-08-2024%' or</v>
      </c>
    </row>
    <row r="628" spans="1:5" x14ac:dyDescent="0.25">
      <c r="A628" t="s">
        <v>757</v>
      </c>
      <c r="B628" t="s">
        <v>2640</v>
      </c>
      <c r="D628">
        <v>95712</v>
      </c>
      <c r="E628" t="str">
        <f t="shared" si="9"/>
        <v>ia.assorted_string like '%95712-08-2024%' or</v>
      </c>
    </row>
    <row r="629" spans="1:5" x14ac:dyDescent="0.25">
      <c r="A629" t="s">
        <v>758</v>
      </c>
      <c r="B629" t="s">
        <v>2640</v>
      </c>
      <c r="D629">
        <v>95716</v>
      </c>
      <c r="E629" t="str">
        <f t="shared" si="9"/>
        <v>ia.assorted_string like '%95716-08-2024%' or</v>
      </c>
    </row>
    <row r="630" spans="1:5" x14ac:dyDescent="0.25">
      <c r="A630" t="s">
        <v>759</v>
      </c>
      <c r="B630" t="s">
        <v>2640</v>
      </c>
      <c r="D630">
        <v>95719</v>
      </c>
      <c r="E630" t="str">
        <f t="shared" si="9"/>
        <v>ia.assorted_string like '%95719-08-2024%' or</v>
      </c>
    </row>
    <row r="631" spans="1:5" x14ac:dyDescent="0.25">
      <c r="A631" t="s">
        <v>760</v>
      </c>
      <c r="B631" t="s">
        <v>2640</v>
      </c>
      <c r="D631">
        <v>95722</v>
      </c>
      <c r="E631" t="str">
        <f t="shared" si="9"/>
        <v>ia.assorted_string like '%95722-08-2024%' or</v>
      </c>
    </row>
    <row r="632" spans="1:5" x14ac:dyDescent="0.25">
      <c r="A632" t="s">
        <v>761</v>
      </c>
      <c r="B632" t="s">
        <v>2640</v>
      </c>
      <c r="D632">
        <v>95724</v>
      </c>
      <c r="E632" t="str">
        <f t="shared" si="9"/>
        <v>ia.assorted_string like '%95724-08-2024%' or</v>
      </c>
    </row>
    <row r="633" spans="1:5" x14ac:dyDescent="0.25">
      <c r="A633" t="s">
        <v>762</v>
      </c>
      <c r="B633" t="s">
        <v>2640</v>
      </c>
      <c r="D633">
        <v>95725</v>
      </c>
      <c r="E633" t="str">
        <f t="shared" si="9"/>
        <v>ia.assorted_string like '%95725-08-2024%' or</v>
      </c>
    </row>
    <row r="634" spans="1:5" x14ac:dyDescent="0.25">
      <c r="A634" t="s">
        <v>763</v>
      </c>
      <c r="B634" t="s">
        <v>2640</v>
      </c>
      <c r="D634">
        <v>95726</v>
      </c>
      <c r="E634" t="str">
        <f t="shared" si="9"/>
        <v>ia.assorted_string like '%95726-08-2024%' or</v>
      </c>
    </row>
    <row r="635" spans="1:5" x14ac:dyDescent="0.25">
      <c r="A635" t="s">
        <v>764</v>
      </c>
      <c r="B635" t="s">
        <v>2640</v>
      </c>
      <c r="D635">
        <v>95727</v>
      </c>
      <c r="E635" t="str">
        <f t="shared" si="9"/>
        <v>ia.assorted_string like '%95727-08-2024%' or</v>
      </c>
    </row>
    <row r="636" spans="1:5" x14ac:dyDescent="0.25">
      <c r="A636" t="s">
        <v>765</v>
      </c>
      <c r="B636" t="s">
        <v>2640</v>
      </c>
      <c r="D636">
        <v>95728</v>
      </c>
      <c r="E636" t="str">
        <f t="shared" si="9"/>
        <v>ia.assorted_string like '%95728-08-2024%' or</v>
      </c>
    </row>
    <row r="637" spans="1:5" x14ac:dyDescent="0.25">
      <c r="A637" t="s">
        <v>766</v>
      </c>
      <c r="B637" t="s">
        <v>2640</v>
      </c>
      <c r="D637">
        <v>95729</v>
      </c>
      <c r="E637" t="str">
        <f t="shared" si="9"/>
        <v>ia.assorted_string like '%95729-08-2024%' or</v>
      </c>
    </row>
    <row r="638" spans="1:5" x14ac:dyDescent="0.25">
      <c r="A638" t="s">
        <v>767</v>
      </c>
      <c r="B638" t="s">
        <v>2640</v>
      </c>
      <c r="D638">
        <v>95730</v>
      </c>
      <c r="E638" t="str">
        <f t="shared" si="9"/>
        <v>ia.assorted_string like '%95730-08-2024%' or</v>
      </c>
    </row>
    <row r="639" spans="1:5" x14ac:dyDescent="0.25">
      <c r="A639" t="s">
        <v>768</v>
      </c>
      <c r="B639" t="s">
        <v>2640</v>
      </c>
      <c r="D639">
        <v>95731</v>
      </c>
      <c r="E639" t="str">
        <f t="shared" si="9"/>
        <v>ia.assorted_string like '%95731-08-2024%' or</v>
      </c>
    </row>
    <row r="640" spans="1:5" x14ac:dyDescent="0.25">
      <c r="A640" t="s">
        <v>769</v>
      </c>
      <c r="B640" t="s">
        <v>2640</v>
      </c>
      <c r="D640">
        <v>95732</v>
      </c>
      <c r="E640" t="str">
        <f t="shared" si="9"/>
        <v>ia.assorted_string like '%95732-08-2024%' or</v>
      </c>
    </row>
    <row r="641" spans="1:5" x14ac:dyDescent="0.25">
      <c r="A641" t="s">
        <v>770</v>
      </c>
      <c r="B641" t="s">
        <v>2640</v>
      </c>
      <c r="D641">
        <v>95733</v>
      </c>
      <c r="E641" t="str">
        <f t="shared" si="9"/>
        <v>ia.assorted_string like '%95733-08-2024%' or</v>
      </c>
    </row>
    <row r="642" spans="1:5" x14ac:dyDescent="0.25">
      <c r="A642" t="s">
        <v>771</v>
      </c>
      <c r="B642" t="s">
        <v>2640</v>
      </c>
      <c r="D642">
        <v>95734</v>
      </c>
      <c r="E642" t="str">
        <f t="shared" ref="E642:E705" si="10">"ia.assorted_string like '%"&amp;D642&amp;B642&amp;"%' or"</f>
        <v>ia.assorted_string like '%95734-08-2024%' or</v>
      </c>
    </row>
    <row r="643" spans="1:5" x14ac:dyDescent="0.25">
      <c r="A643" t="s">
        <v>772</v>
      </c>
      <c r="B643" t="s">
        <v>2640</v>
      </c>
      <c r="D643">
        <v>95735</v>
      </c>
      <c r="E643" t="str">
        <f t="shared" si="10"/>
        <v>ia.assorted_string like '%95735-08-2024%' or</v>
      </c>
    </row>
    <row r="644" spans="1:5" x14ac:dyDescent="0.25">
      <c r="A644" t="s">
        <v>773</v>
      </c>
      <c r="B644" t="s">
        <v>2640</v>
      </c>
      <c r="D644">
        <v>95753</v>
      </c>
      <c r="E644" t="str">
        <f t="shared" si="10"/>
        <v>ia.assorted_string like '%95753-08-2024%' or</v>
      </c>
    </row>
    <row r="645" spans="1:5" x14ac:dyDescent="0.25">
      <c r="A645" t="s">
        <v>774</v>
      </c>
      <c r="B645" t="s">
        <v>2640</v>
      </c>
      <c r="D645">
        <v>95756</v>
      </c>
      <c r="E645" t="str">
        <f t="shared" si="10"/>
        <v>ia.assorted_string like '%95756-08-2024%' or</v>
      </c>
    </row>
    <row r="646" spans="1:5" x14ac:dyDescent="0.25">
      <c r="A646" t="s">
        <v>775</v>
      </c>
      <c r="B646" t="s">
        <v>2640</v>
      </c>
      <c r="D646">
        <v>95757</v>
      </c>
      <c r="E646" t="str">
        <f t="shared" si="10"/>
        <v>ia.assorted_string like '%95757-08-2024%' or</v>
      </c>
    </row>
    <row r="647" spans="1:5" x14ac:dyDescent="0.25">
      <c r="A647" t="s">
        <v>776</v>
      </c>
      <c r="B647" t="s">
        <v>2640</v>
      </c>
      <c r="D647">
        <v>95760</v>
      </c>
      <c r="E647" t="str">
        <f t="shared" si="10"/>
        <v>ia.assorted_string like '%95760-08-2024%' or</v>
      </c>
    </row>
    <row r="648" spans="1:5" x14ac:dyDescent="0.25">
      <c r="A648" t="s">
        <v>777</v>
      </c>
      <c r="B648" t="s">
        <v>2640</v>
      </c>
      <c r="D648">
        <v>95761</v>
      </c>
      <c r="E648" t="str">
        <f t="shared" si="10"/>
        <v>ia.assorted_string like '%95761-08-2024%' or</v>
      </c>
    </row>
    <row r="649" spans="1:5" x14ac:dyDescent="0.25">
      <c r="A649" t="s">
        <v>778</v>
      </c>
      <c r="B649" t="s">
        <v>2640</v>
      </c>
      <c r="D649">
        <v>95763</v>
      </c>
      <c r="E649" t="str">
        <f t="shared" si="10"/>
        <v>ia.assorted_string like '%95763-08-2024%' or</v>
      </c>
    </row>
    <row r="650" spans="1:5" x14ac:dyDescent="0.25">
      <c r="A650" t="s">
        <v>779</v>
      </c>
      <c r="B650" t="s">
        <v>2640</v>
      </c>
      <c r="D650">
        <v>95764</v>
      </c>
      <c r="E650" t="str">
        <f t="shared" si="10"/>
        <v>ia.assorted_string like '%95764-08-2024%' or</v>
      </c>
    </row>
    <row r="651" spans="1:5" x14ac:dyDescent="0.25">
      <c r="A651" t="s">
        <v>780</v>
      </c>
      <c r="B651" t="s">
        <v>2640</v>
      </c>
      <c r="D651">
        <v>95765</v>
      </c>
      <c r="E651" t="str">
        <f t="shared" si="10"/>
        <v>ia.assorted_string like '%95765-08-2024%' or</v>
      </c>
    </row>
    <row r="652" spans="1:5" x14ac:dyDescent="0.25">
      <c r="A652" t="s">
        <v>781</v>
      </c>
      <c r="B652" t="s">
        <v>2640</v>
      </c>
      <c r="D652">
        <v>95766</v>
      </c>
      <c r="E652" t="str">
        <f t="shared" si="10"/>
        <v>ia.assorted_string like '%95766-08-2024%' or</v>
      </c>
    </row>
    <row r="653" spans="1:5" x14ac:dyDescent="0.25">
      <c r="A653" t="s">
        <v>782</v>
      </c>
      <c r="B653" t="s">
        <v>2640</v>
      </c>
      <c r="D653">
        <v>95767</v>
      </c>
      <c r="E653" t="str">
        <f t="shared" si="10"/>
        <v>ia.assorted_string like '%95767-08-2024%' or</v>
      </c>
    </row>
    <row r="654" spans="1:5" x14ac:dyDescent="0.25">
      <c r="A654" t="s">
        <v>783</v>
      </c>
      <c r="B654" t="s">
        <v>2640</v>
      </c>
      <c r="D654">
        <v>95768</v>
      </c>
      <c r="E654" t="str">
        <f t="shared" si="10"/>
        <v>ia.assorted_string like '%95768-08-2024%' or</v>
      </c>
    </row>
    <row r="655" spans="1:5" x14ac:dyDescent="0.25">
      <c r="A655" t="s">
        <v>784</v>
      </c>
      <c r="B655" t="s">
        <v>2640</v>
      </c>
      <c r="D655">
        <v>95769</v>
      </c>
      <c r="E655" t="str">
        <f t="shared" si="10"/>
        <v>ia.assorted_string like '%95769-08-2024%' or</v>
      </c>
    </row>
    <row r="656" spans="1:5" x14ac:dyDescent="0.25">
      <c r="A656" t="s">
        <v>785</v>
      </c>
      <c r="B656" t="s">
        <v>2640</v>
      </c>
      <c r="D656">
        <v>95770</v>
      </c>
      <c r="E656" t="str">
        <f t="shared" si="10"/>
        <v>ia.assorted_string like '%95770-08-2024%' or</v>
      </c>
    </row>
    <row r="657" spans="1:5" x14ac:dyDescent="0.25">
      <c r="A657" t="s">
        <v>786</v>
      </c>
      <c r="B657" t="s">
        <v>2640</v>
      </c>
      <c r="D657">
        <v>95771</v>
      </c>
      <c r="E657" t="str">
        <f t="shared" si="10"/>
        <v>ia.assorted_string like '%95771-08-2024%' or</v>
      </c>
    </row>
    <row r="658" spans="1:5" x14ac:dyDescent="0.25">
      <c r="A658" t="s">
        <v>787</v>
      </c>
      <c r="B658" t="s">
        <v>2640</v>
      </c>
      <c r="D658">
        <v>95772</v>
      </c>
      <c r="E658" t="str">
        <f t="shared" si="10"/>
        <v>ia.assorted_string like '%95772-08-2024%' or</v>
      </c>
    </row>
    <row r="659" spans="1:5" x14ac:dyDescent="0.25">
      <c r="A659" t="s">
        <v>788</v>
      </c>
      <c r="B659" t="s">
        <v>2640</v>
      </c>
      <c r="D659">
        <v>95773</v>
      </c>
      <c r="E659" t="str">
        <f t="shared" si="10"/>
        <v>ia.assorted_string like '%95773-08-2024%' or</v>
      </c>
    </row>
    <row r="660" spans="1:5" x14ac:dyDescent="0.25">
      <c r="A660" t="s">
        <v>789</v>
      </c>
      <c r="B660" t="s">
        <v>2640</v>
      </c>
      <c r="D660">
        <v>95774</v>
      </c>
      <c r="E660" t="str">
        <f t="shared" si="10"/>
        <v>ia.assorted_string like '%95774-08-2024%' or</v>
      </c>
    </row>
    <row r="661" spans="1:5" x14ac:dyDescent="0.25">
      <c r="A661" t="s">
        <v>790</v>
      </c>
      <c r="B661" t="s">
        <v>2640</v>
      </c>
      <c r="D661">
        <v>95775</v>
      </c>
      <c r="E661" t="str">
        <f t="shared" si="10"/>
        <v>ia.assorted_string like '%95775-08-2024%' or</v>
      </c>
    </row>
    <row r="662" spans="1:5" x14ac:dyDescent="0.25">
      <c r="A662" t="s">
        <v>791</v>
      </c>
      <c r="B662" t="s">
        <v>2640</v>
      </c>
      <c r="D662">
        <v>95776</v>
      </c>
      <c r="E662" t="str">
        <f t="shared" si="10"/>
        <v>ia.assorted_string like '%95776-08-2024%' or</v>
      </c>
    </row>
    <row r="663" spans="1:5" x14ac:dyDescent="0.25">
      <c r="A663" t="s">
        <v>792</v>
      </c>
      <c r="B663" t="s">
        <v>2640</v>
      </c>
      <c r="D663">
        <v>95777</v>
      </c>
      <c r="E663" t="str">
        <f t="shared" si="10"/>
        <v>ia.assorted_string like '%95777-08-2024%' or</v>
      </c>
    </row>
    <row r="664" spans="1:5" x14ac:dyDescent="0.25">
      <c r="A664" t="s">
        <v>793</v>
      </c>
      <c r="B664" t="s">
        <v>2640</v>
      </c>
      <c r="D664">
        <v>95784</v>
      </c>
      <c r="E664" t="str">
        <f t="shared" si="10"/>
        <v>ia.assorted_string like '%95784-08-2024%' or</v>
      </c>
    </row>
    <row r="665" spans="1:5" x14ac:dyDescent="0.25">
      <c r="A665" t="s">
        <v>794</v>
      </c>
      <c r="B665" t="s">
        <v>2640</v>
      </c>
      <c r="D665">
        <v>95790</v>
      </c>
      <c r="E665" t="str">
        <f t="shared" si="10"/>
        <v>ia.assorted_string like '%95790-08-2024%' or</v>
      </c>
    </row>
    <row r="666" spans="1:5" x14ac:dyDescent="0.25">
      <c r="A666" t="s">
        <v>795</v>
      </c>
      <c r="B666" t="s">
        <v>2640</v>
      </c>
      <c r="D666">
        <v>95796</v>
      </c>
      <c r="E666" t="str">
        <f t="shared" si="10"/>
        <v>ia.assorted_string like '%95796-08-2024%' or</v>
      </c>
    </row>
    <row r="667" spans="1:5" x14ac:dyDescent="0.25">
      <c r="A667" t="s">
        <v>796</v>
      </c>
      <c r="B667" t="s">
        <v>2640</v>
      </c>
      <c r="D667">
        <v>95810</v>
      </c>
      <c r="E667" t="str">
        <f t="shared" si="10"/>
        <v>ia.assorted_string like '%95810-08-2024%' or</v>
      </c>
    </row>
    <row r="668" spans="1:5" x14ac:dyDescent="0.25">
      <c r="A668" t="s">
        <v>797</v>
      </c>
      <c r="B668" t="s">
        <v>2640</v>
      </c>
      <c r="D668">
        <v>95811</v>
      </c>
      <c r="E668" t="str">
        <f t="shared" si="10"/>
        <v>ia.assorted_string like '%95811-08-2024%' or</v>
      </c>
    </row>
    <row r="669" spans="1:5" x14ac:dyDescent="0.25">
      <c r="A669" t="s">
        <v>798</v>
      </c>
      <c r="B669" t="s">
        <v>2640</v>
      </c>
      <c r="D669">
        <v>95814</v>
      </c>
      <c r="E669" t="str">
        <f t="shared" si="10"/>
        <v>ia.assorted_string like '%95814-08-2024%' or</v>
      </c>
    </row>
    <row r="670" spans="1:5" x14ac:dyDescent="0.25">
      <c r="A670" t="s">
        <v>799</v>
      </c>
      <c r="B670" t="s">
        <v>2640</v>
      </c>
      <c r="D670">
        <v>95815</v>
      </c>
      <c r="E670" t="str">
        <f t="shared" si="10"/>
        <v>ia.assorted_string like '%95815-08-2024%' or</v>
      </c>
    </row>
    <row r="671" spans="1:5" x14ac:dyDescent="0.25">
      <c r="A671" t="s">
        <v>800</v>
      </c>
      <c r="B671" t="s">
        <v>2640</v>
      </c>
      <c r="D671">
        <v>95819</v>
      </c>
      <c r="E671" t="str">
        <f t="shared" si="10"/>
        <v>ia.assorted_string like '%95819-08-2024%' or</v>
      </c>
    </row>
    <row r="672" spans="1:5" x14ac:dyDescent="0.25">
      <c r="A672" t="s">
        <v>801</v>
      </c>
      <c r="B672" t="s">
        <v>2640</v>
      </c>
      <c r="D672">
        <v>95822</v>
      </c>
      <c r="E672" t="str">
        <f t="shared" si="10"/>
        <v>ia.assorted_string like '%95822-08-2024%' or</v>
      </c>
    </row>
    <row r="673" spans="1:5" x14ac:dyDescent="0.25">
      <c r="A673" t="s">
        <v>802</v>
      </c>
      <c r="B673" t="s">
        <v>2640</v>
      </c>
      <c r="D673">
        <v>95827</v>
      </c>
      <c r="E673" t="str">
        <f t="shared" si="10"/>
        <v>ia.assorted_string like '%95827-08-2024%' or</v>
      </c>
    </row>
    <row r="674" spans="1:5" x14ac:dyDescent="0.25">
      <c r="A674" t="s">
        <v>803</v>
      </c>
      <c r="B674" t="s">
        <v>2640</v>
      </c>
      <c r="D674">
        <v>95828</v>
      </c>
      <c r="E674" t="str">
        <f t="shared" si="10"/>
        <v>ia.assorted_string like '%95828-08-2024%' or</v>
      </c>
    </row>
    <row r="675" spans="1:5" x14ac:dyDescent="0.25">
      <c r="A675" t="s">
        <v>804</v>
      </c>
      <c r="B675" t="s">
        <v>2640</v>
      </c>
      <c r="D675">
        <v>95830</v>
      </c>
      <c r="E675" t="str">
        <f t="shared" si="10"/>
        <v>ia.assorted_string like '%95830-08-2024%' or</v>
      </c>
    </row>
    <row r="676" spans="1:5" x14ac:dyDescent="0.25">
      <c r="A676" t="s">
        <v>805</v>
      </c>
      <c r="B676" t="s">
        <v>2640</v>
      </c>
      <c r="D676">
        <v>95831</v>
      </c>
      <c r="E676" t="str">
        <f t="shared" si="10"/>
        <v>ia.assorted_string like '%95831-08-2024%' or</v>
      </c>
    </row>
    <row r="677" spans="1:5" x14ac:dyDescent="0.25">
      <c r="A677" t="s">
        <v>806</v>
      </c>
      <c r="B677" t="s">
        <v>2640</v>
      </c>
      <c r="D677">
        <v>95832</v>
      </c>
      <c r="E677" t="str">
        <f t="shared" si="10"/>
        <v>ia.assorted_string like '%95832-08-2024%' or</v>
      </c>
    </row>
    <row r="678" spans="1:5" x14ac:dyDescent="0.25">
      <c r="A678" t="s">
        <v>807</v>
      </c>
      <c r="B678" t="s">
        <v>2640</v>
      </c>
      <c r="D678">
        <v>95833</v>
      </c>
      <c r="E678" t="str">
        <f t="shared" si="10"/>
        <v>ia.assorted_string like '%95833-08-2024%' or</v>
      </c>
    </row>
    <row r="679" spans="1:5" x14ac:dyDescent="0.25">
      <c r="A679" t="s">
        <v>808</v>
      </c>
      <c r="B679" t="s">
        <v>2640</v>
      </c>
      <c r="D679">
        <v>95834</v>
      </c>
      <c r="E679" t="str">
        <f t="shared" si="10"/>
        <v>ia.assorted_string like '%95834-08-2024%' or</v>
      </c>
    </row>
    <row r="680" spans="1:5" x14ac:dyDescent="0.25">
      <c r="A680" t="s">
        <v>809</v>
      </c>
      <c r="B680" t="s">
        <v>2640</v>
      </c>
      <c r="D680">
        <v>95837</v>
      </c>
      <c r="E680" t="str">
        <f t="shared" si="10"/>
        <v>ia.assorted_string like '%95837-08-2024%' or</v>
      </c>
    </row>
    <row r="681" spans="1:5" x14ac:dyDescent="0.25">
      <c r="A681" t="s">
        <v>810</v>
      </c>
      <c r="B681" t="s">
        <v>2640</v>
      </c>
      <c r="D681">
        <v>95859</v>
      </c>
      <c r="E681" t="str">
        <f t="shared" si="10"/>
        <v>ia.assorted_string like '%95859-08-2024%' or</v>
      </c>
    </row>
    <row r="682" spans="1:5" x14ac:dyDescent="0.25">
      <c r="A682" t="s">
        <v>811</v>
      </c>
      <c r="B682" t="s">
        <v>2640</v>
      </c>
      <c r="D682">
        <v>95860</v>
      </c>
      <c r="E682" t="str">
        <f t="shared" si="10"/>
        <v>ia.assorted_string like '%95860-08-2024%' or</v>
      </c>
    </row>
    <row r="683" spans="1:5" x14ac:dyDescent="0.25">
      <c r="A683" t="s">
        <v>812</v>
      </c>
      <c r="B683" t="s">
        <v>2640</v>
      </c>
      <c r="D683">
        <v>95866</v>
      </c>
      <c r="E683" t="str">
        <f t="shared" si="10"/>
        <v>ia.assorted_string like '%95866-08-2024%' or</v>
      </c>
    </row>
    <row r="684" spans="1:5" x14ac:dyDescent="0.25">
      <c r="A684" t="s">
        <v>813</v>
      </c>
      <c r="B684" t="s">
        <v>2640</v>
      </c>
      <c r="D684">
        <v>95867</v>
      </c>
      <c r="E684" t="str">
        <f t="shared" si="10"/>
        <v>ia.assorted_string like '%95867-08-2024%' or</v>
      </c>
    </row>
    <row r="685" spans="1:5" x14ac:dyDescent="0.25">
      <c r="A685" t="s">
        <v>814</v>
      </c>
      <c r="B685" t="s">
        <v>2640</v>
      </c>
      <c r="D685">
        <v>95868</v>
      </c>
      <c r="E685" t="str">
        <f t="shared" si="10"/>
        <v>ia.assorted_string like '%95868-08-2024%' or</v>
      </c>
    </row>
    <row r="686" spans="1:5" x14ac:dyDescent="0.25">
      <c r="A686" t="s">
        <v>815</v>
      </c>
      <c r="B686" t="s">
        <v>2640</v>
      </c>
      <c r="D686">
        <v>95869</v>
      </c>
      <c r="E686" t="str">
        <f t="shared" si="10"/>
        <v>ia.assorted_string like '%95869-08-2024%' or</v>
      </c>
    </row>
    <row r="687" spans="1:5" x14ac:dyDescent="0.25">
      <c r="A687" t="s">
        <v>816</v>
      </c>
      <c r="B687" t="s">
        <v>2640</v>
      </c>
      <c r="D687">
        <v>95870</v>
      </c>
      <c r="E687" t="str">
        <f t="shared" si="10"/>
        <v>ia.assorted_string like '%95870-08-2024%' or</v>
      </c>
    </row>
    <row r="688" spans="1:5" x14ac:dyDescent="0.25">
      <c r="A688" t="s">
        <v>817</v>
      </c>
      <c r="B688" t="s">
        <v>2640</v>
      </c>
      <c r="D688">
        <v>95871</v>
      </c>
      <c r="E688" t="str">
        <f t="shared" si="10"/>
        <v>ia.assorted_string like '%95871-08-2024%' or</v>
      </c>
    </row>
    <row r="689" spans="1:5" x14ac:dyDescent="0.25">
      <c r="A689" t="s">
        <v>818</v>
      </c>
      <c r="B689" t="s">
        <v>2640</v>
      </c>
      <c r="D689">
        <v>95872</v>
      </c>
      <c r="E689" t="str">
        <f t="shared" si="10"/>
        <v>ia.assorted_string like '%95872-08-2024%' or</v>
      </c>
    </row>
    <row r="690" spans="1:5" x14ac:dyDescent="0.25">
      <c r="A690" t="s">
        <v>819</v>
      </c>
      <c r="B690" t="s">
        <v>2640</v>
      </c>
      <c r="D690">
        <v>95873</v>
      </c>
      <c r="E690" t="str">
        <f t="shared" si="10"/>
        <v>ia.assorted_string like '%95873-08-2024%' or</v>
      </c>
    </row>
    <row r="691" spans="1:5" x14ac:dyDescent="0.25">
      <c r="A691" t="s">
        <v>820</v>
      </c>
      <c r="B691" t="s">
        <v>2640</v>
      </c>
      <c r="D691">
        <v>95878</v>
      </c>
      <c r="E691" t="str">
        <f t="shared" si="10"/>
        <v>ia.assorted_string like '%95878-08-2024%' or</v>
      </c>
    </row>
    <row r="692" spans="1:5" x14ac:dyDescent="0.25">
      <c r="A692" t="s">
        <v>821</v>
      </c>
      <c r="B692" t="s">
        <v>2640</v>
      </c>
      <c r="D692">
        <v>95879</v>
      </c>
      <c r="E692" t="str">
        <f t="shared" si="10"/>
        <v>ia.assorted_string like '%95879-08-2024%' or</v>
      </c>
    </row>
    <row r="693" spans="1:5" x14ac:dyDescent="0.25">
      <c r="A693" t="s">
        <v>822</v>
      </c>
      <c r="B693" t="s">
        <v>2640</v>
      </c>
      <c r="D693">
        <v>95880</v>
      </c>
      <c r="E693" t="str">
        <f t="shared" si="10"/>
        <v>ia.assorted_string like '%95880-08-2024%' or</v>
      </c>
    </row>
    <row r="694" spans="1:5" x14ac:dyDescent="0.25">
      <c r="A694" t="s">
        <v>823</v>
      </c>
      <c r="B694" t="s">
        <v>2640</v>
      </c>
      <c r="D694">
        <v>95884</v>
      </c>
      <c r="E694" t="str">
        <f t="shared" si="10"/>
        <v>ia.assorted_string like '%95884-08-2024%' or</v>
      </c>
    </row>
    <row r="695" spans="1:5" x14ac:dyDescent="0.25">
      <c r="A695" t="s">
        <v>824</v>
      </c>
      <c r="B695" t="s">
        <v>2640</v>
      </c>
      <c r="D695">
        <v>95885</v>
      </c>
      <c r="E695" t="str">
        <f t="shared" si="10"/>
        <v>ia.assorted_string like '%95885-08-2024%' or</v>
      </c>
    </row>
    <row r="696" spans="1:5" x14ac:dyDescent="0.25">
      <c r="A696" t="s">
        <v>825</v>
      </c>
      <c r="B696" t="s">
        <v>2640</v>
      </c>
      <c r="D696">
        <v>95888</v>
      </c>
      <c r="E696" t="str">
        <f t="shared" si="10"/>
        <v>ia.assorted_string like '%95888-08-2024%' or</v>
      </c>
    </row>
    <row r="697" spans="1:5" x14ac:dyDescent="0.25">
      <c r="A697" t="s">
        <v>826</v>
      </c>
      <c r="B697" t="s">
        <v>2640</v>
      </c>
      <c r="D697">
        <v>95889</v>
      </c>
      <c r="E697" t="str">
        <f t="shared" si="10"/>
        <v>ia.assorted_string like '%95889-08-2024%' or</v>
      </c>
    </row>
    <row r="698" spans="1:5" x14ac:dyDescent="0.25">
      <c r="A698" t="s">
        <v>827</v>
      </c>
      <c r="B698" t="s">
        <v>2640</v>
      </c>
      <c r="D698">
        <v>95892</v>
      </c>
      <c r="E698" t="str">
        <f t="shared" si="10"/>
        <v>ia.assorted_string like '%95892-08-2024%' or</v>
      </c>
    </row>
    <row r="699" spans="1:5" x14ac:dyDescent="0.25">
      <c r="A699" t="s">
        <v>828</v>
      </c>
      <c r="B699" t="s">
        <v>2640</v>
      </c>
      <c r="D699">
        <v>95893</v>
      </c>
      <c r="E699" t="str">
        <f t="shared" si="10"/>
        <v>ia.assorted_string like '%95893-08-2024%' or</v>
      </c>
    </row>
    <row r="700" spans="1:5" x14ac:dyDescent="0.25">
      <c r="A700" t="s">
        <v>829</v>
      </c>
      <c r="B700" t="s">
        <v>2640</v>
      </c>
      <c r="D700">
        <v>95895</v>
      </c>
      <c r="E700" t="str">
        <f t="shared" si="10"/>
        <v>ia.assorted_string like '%95895-08-2024%' or</v>
      </c>
    </row>
    <row r="701" spans="1:5" x14ac:dyDescent="0.25">
      <c r="A701" t="s">
        <v>830</v>
      </c>
      <c r="B701" t="s">
        <v>2640</v>
      </c>
      <c r="D701">
        <v>95896</v>
      </c>
      <c r="E701" t="str">
        <f t="shared" si="10"/>
        <v>ia.assorted_string like '%95896-08-2024%' or</v>
      </c>
    </row>
    <row r="702" spans="1:5" x14ac:dyDescent="0.25">
      <c r="A702" t="s">
        <v>831</v>
      </c>
      <c r="B702" t="s">
        <v>2640</v>
      </c>
      <c r="D702">
        <v>95898</v>
      </c>
      <c r="E702" t="str">
        <f t="shared" si="10"/>
        <v>ia.assorted_string like '%95898-08-2024%' or</v>
      </c>
    </row>
    <row r="703" spans="1:5" x14ac:dyDescent="0.25">
      <c r="A703" t="s">
        <v>832</v>
      </c>
      <c r="B703" t="s">
        <v>2640</v>
      </c>
      <c r="D703">
        <v>95904</v>
      </c>
      <c r="E703" t="str">
        <f t="shared" si="10"/>
        <v>ia.assorted_string like '%95904-08-2024%' or</v>
      </c>
    </row>
    <row r="704" spans="1:5" x14ac:dyDescent="0.25">
      <c r="A704" t="s">
        <v>833</v>
      </c>
      <c r="B704" t="s">
        <v>2640</v>
      </c>
      <c r="D704">
        <v>95905</v>
      </c>
      <c r="E704" t="str">
        <f t="shared" si="10"/>
        <v>ia.assorted_string like '%95905-08-2024%' or</v>
      </c>
    </row>
    <row r="705" spans="1:5" x14ac:dyDescent="0.25">
      <c r="A705" t="s">
        <v>834</v>
      </c>
      <c r="B705" t="s">
        <v>2640</v>
      </c>
      <c r="D705">
        <v>95906</v>
      </c>
      <c r="E705" t="str">
        <f t="shared" si="10"/>
        <v>ia.assorted_string like '%95906-08-2024%' or</v>
      </c>
    </row>
    <row r="706" spans="1:5" x14ac:dyDescent="0.25">
      <c r="A706" t="s">
        <v>835</v>
      </c>
      <c r="B706" t="s">
        <v>2640</v>
      </c>
      <c r="D706">
        <v>95907</v>
      </c>
      <c r="E706" t="str">
        <f t="shared" ref="E706:E769" si="11">"ia.assorted_string like '%"&amp;D706&amp;B706&amp;"%' or"</f>
        <v>ia.assorted_string like '%95907-08-2024%' or</v>
      </c>
    </row>
    <row r="707" spans="1:5" x14ac:dyDescent="0.25">
      <c r="A707" t="s">
        <v>836</v>
      </c>
      <c r="B707" t="s">
        <v>2640</v>
      </c>
      <c r="D707">
        <v>95908</v>
      </c>
      <c r="E707" t="str">
        <f t="shared" si="11"/>
        <v>ia.assorted_string like '%95908-08-2024%' or</v>
      </c>
    </row>
    <row r="708" spans="1:5" x14ac:dyDescent="0.25">
      <c r="A708" t="s">
        <v>837</v>
      </c>
      <c r="B708" t="s">
        <v>2640</v>
      </c>
      <c r="D708">
        <v>95909</v>
      </c>
      <c r="E708" t="str">
        <f t="shared" si="11"/>
        <v>ia.assorted_string like '%95909-08-2024%' or</v>
      </c>
    </row>
    <row r="709" spans="1:5" x14ac:dyDescent="0.25">
      <c r="A709" t="s">
        <v>838</v>
      </c>
      <c r="B709" t="s">
        <v>2640</v>
      </c>
      <c r="D709">
        <v>95910</v>
      </c>
      <c r="E709" t="str">
        <f t="shared" si="11"/>
        <v>ia.assorted_string like '%95910-08-2024%' or</v>
      </c>
    </row>
    <row r="710" spans="1:5" x14ac:dyDescent="0.25">
      <c r="A710" t="s">
        <v>839</v>
      </c>
      <c r="B710" t="s">
        <v>2640</v>
      </c>
      <c r="D710">
        <v>95912</v>
      </c>
      <c r="E710" t="str">
        <f t="shared" si="11"/>
        <v>ia.assorted_string like '%95912-08-2024%' or</v>
      </c>
    </row>
    <row r="711" spans="1:5" x14ac:dyDescent="0.25">
      <c r="A711" t="s">
        <v>840</v>
      </c>
      <c r="B711" t="s">
        <v>2640</v>
      </c>
      <c r="D711">
        <v>95916</v>
      </c>
      <c r="E711" t="str">
        <f t="shared" si="11"/>
        <v>ia.assorted_string like '%95916-08-2024%' or</v>
      </c>
    </row>
    <row r="712" spans="1:5" x14ac:dyDescent="0.25">
      <c r="A712" t="s">
        <v>841</v>
      </c>
      <c r="B712" t="s">
        <v>2640</v>
      </c>
      <c r="D712">
        <v>95917</v>
      </c>
      <c r="E712" t="str">
        <f t="shared" si="11"/>
        <v>ia.assorted_string like '%95917-08-2024%' or</v>
      </c>
    </row>
    <row r="713" spans="1:5" x14ac:dyDescent="0.25">
      <c r="A713" t="s">
        <v>842</v>
      </c>
      <c r="B713" t="s">
        <v>2640</v>
      </c>
      <c r="D713">
        <v>95918</v>
      </c>
      <c r="E713" t="str">
        <f t="shared" si="11"/>
        <v>ia.assorted_string like '%95918-08-2024%' or</v>
      </c>
    </row>
    <row r="714" spans="1:5" x14ac:dyDescent="0.25">
      <c r="A714" t="s">
        <v>843</v>
      </c>
      <c r="B714" t="s">
        <v>2640</v>
      </c>
      <c r="D714">
        <v>95919</v>
      </c>
      <c r="E714" t="str">
        <f t="shared" si="11"/>
        <v>ia.assorted_string like '%95919-08-2024%' or</v>
      </c>
    </row>
    <row r="715" spans="1:5" x14ac:dyDescent="0.25">
      <c r="A715" t="s">
        <v>844</v>
      </c>
      <c r="B715" t="s">
        <v>2640</v>
      </c>
      <c r="D715">
        <v>95920</v>
      </c>
      <c r="E715" t="str">
        <f t="shared" si="11"/>
        <v>ia.assorted_string like '%95920-08-2024%' or</v>
      </c>
    </row>
    <row r="716" spans="1:5" x14ac:dyDescent="0.25">
      <c r="A716" t="s">
        <v>845</v>
      </c>
      <c r="B716" t="s">
        <v>2640</v>
      </c>
      <c r="D716">
        <v>95921</v>
      </c>
      <c r="E716" t="str">
        <f t="shared" si="11"/>
        <v>ia.assorted_string like '%95921-08-2024%' or</v>
      </c>
    </row>
    <row r="717" spans="1:5" x14ac:dyDescent="0.25">
      <c r="A717" t="s">
        <v>846</v>
      </c>
      <c r="B717" t="s">
        <v>2640</v>
      </c>
      <c r="D717">
        <v>95923</v>
      </c>
      <c r="E717" t="str">
        <f t="shared" si="11"/>
        <v>ia.assorted_string like '%95923-08-2024%' or</v>
      </c>
    </row>
    <row r="718" spans="1:5" x14ac:dyDescent="0.25">
      <c r="A718" t="s">
        <v>847</v>
      </c>
      <c r="B718" t="s">
        <v>2640</v>
      </c>
      <c r="D718">
        <v>95928</v>
      </c>
      <c r="E718" t="str">
        <f t="shared" si="11"/>
        <v>ia.assorted_string like '%95928-08-2024%' or</v>
      </c>
    </row>
    <row r="719" spans="1:5" x14ac:dyDescent="0.25">
      <c r="A719" t="s">
        <v>848</v>
      </c>
      <c r="B719" t="s">
        <v>2640</v>
      </c>
      <c r="D719">
        <v>95930</v>
      </c>
      <c r="E719" t="str">
        <f t="shared" si="11"/>
        <v>ia.assorted_string like '%95930-08-2024%' or</v>
      </c>
    </row>
    <row r="720" spans="1:5" x14ac:dyDescent="0.25">
      <c r="A720" t="s">
        <v>849</v>
      </c>
      <c r="B720" t="s">
        <v>2640</v>
      </c>
      <c r="D720">
        <v>95931</v>
      </c>
      <c r="E720" t="str">
        <f t="shared" si="11"/>
        <v>ia.assorted_string like '%95931-08-2024%' or</v>
      </c>
    </row>
    <row r="721" spans="1:5" x14ac:dyDescent="0.25">
      <c r="A721" t="s">
        <v>850</v>
      </c>
      <c r="B721" t="s">
        <v>2640</v>
      </c>
      <c r="D721">
        <v>95932</v>
      </c>
      <c r="E721" t="str">
        <f t="shared" si="11"/>
        <v>ia.assorted_string like '%95932-08-2024%' or</v>
      </c>
    </row>
    <row r="722" spans="1:5" x14ac:dyDescent="0.25">
      <c r="A722" t="s">
        <v>851</v>
      </c>
      <c r="B722" t="s">
        <v>2640</v>
      </c>
      <c r="D722">
        <v>95933</v>
      </c>
      <c r="E722" t="str">
        <f t="shared" si="11"/>
        <v>ia.assorted_string like '%95933-08-2024%' or</v>
      </c>
    </row>
    <row r="723" spans="1:5" x14ac:dyDescent="0.25">
      <c r="A723" t="s">
        <v>852</v>
      </c>
      <c r="B723" t="s">
        <v>2640</v>
      </c>
      <c r="D723">
        <v>95935</v>
      </c>
      <c r="E723" t="str">
        <f t="shared" si="11"/>
        <v>ia.assorted_string like '%95935-08-2024%' or</v>
      </c>
    </row>
    <row r="724" spans="1:5" x14ac:dyDescent="0.25">
      <c r="A724" t="s">
        <v>853</v>
      </c>
      <c r="B724" t="s">
        <v>2640</v>
      </c>
      <c r="D724">
        <v>95936</v>
      </c>
      <c r="E724" t="str">
        <f t="shared" si="11"/>
        <v>ia.assorted_string like '%95936-08-2024%' or</v>
      </c>
    </row>
    <row r="725" spans="1:5" x14ac:dyDescent="0.25">
      <c r="A725" t="s">
        <v>854</v>
      </c>
      <c r="B725" t="s">
        <v>2640</v>
      </c>
      <c r="D725">
        <v>95937</v>
      </c>
      <c r="E725" t="str">
        <f t="shared" si="11"/>
        <v>ia.assorted_string like '%95937-08-2024%' or</v>
      </c>
    </row>
    <row r="726" spans="1:5" x14ac:dyDescent="0.25">
      <c r="A726" t="s">
        <v>855</v>
      </c>
      <c r="B726" t="s">
        <v>2640</v>
      </c>
      <c r="D726">
        <v>95942</v>
      </c>
      <c r="E726" t="str">
        <f t="shared" si="11"/>
        <v>ia.assorted_string like '%95942-08-2024%' or</v>
      </c>
    </row>
    <row r="727" spans="1:5" x14ac:dyDescent="0.25">
      <c r="A727" t="s">
        <v>856</v>
      </c>
      <c r="B727" t="s">
        <v>2640</v>
      </c>
      <c r="D727">
        <v>95943</v>
      </c>
      <c r="E727" t="str">
        <f t="shared" si="11"/>
        <v>ia.assorted_string like '%95943-08-2024%' or</v>
      </c>
    </row>
    <row r="728" spans="1:5" x14ac:dyDescent="0.25">
      <c r="A728" t="s">
        <v>857</v>
      </c>
      <c r="B728" t="s">
        <v>2640</v>
      </c>
      <c r="D728">
        <v>95944</v>
      </c>
      <c r="E728" t="str">
        <f t="shared" si="11"/>
        <v>ia.assorted_string like '%95944-08-2024%' or</v>
      </c>
    </row>
    <row r="729" spans="1:5" x14ac:dyDescent="0.25">
      <c r="A729" t="s">
        <v>858</v>
      </c>
      <c r="B729" t="s">
        <v>2640</v>
      </c>
      <c r="D729">
        <v>95945</v>
      </c>
      <c r="E729" t="str">
        <f t="shared" si="11"/>
        <v>ia.assorted_string like '%95945-08-2024%' or</v>
      </c>
    </row>
    <row r="730" spans="1:5" x14ac:dyDescent="0.25">
      <c r="A730" t="s">
        <v>859</v>
      </c>
      <c r="B730" t="s">
        <v>2640</v>
      </c>
      <c r="D730">
        <v>95946</v>
      </c>
      <c r="E730" t="str">
        <f t="shared" si="11"/>
        <v>ia.assorted_string like '%95946-08-2024%' or</v>
      </c>
    </row>
    <row r="731" spans="1:5" x14ac:dyDescent="0.25">
      <c r="A731" t="s">
        <v>860</v>
      </c>
      <c r="B731" t="s">
        <v>2640</v>
      </c>
      <c r="D731">
        <v>95947</v>
      </c>
      <c r="E731" t="str">
        <f t="shared" si="11"/>
        <v>ia.assorted_string like '%95947-08-2024%' or</v>
      </c>
    </row>
    <row r="732" spans="1:5" x14ac:dyDescent="0.25">
      <c r="A732" t="s">
        <v>861</v>
      </c>
      <c r="B732" t="s">
        <v>2640</v>
      </c>
      <c r="D732">
        <v>95948</v>
      </c>
      <c r="E732" t="str">
        <f t="shared" si="11"/>
        <v>ia.assorted_string like '%95948-08-2024%' or</v>
      </c>
    </row>
    <row r="733" spans="1:5" x14ac:dyDescent="0.25">
      <c r="A733" t="s">
        <v>862</v>
      </c>
      <c r="B733" t="s">
        <v>2640</v>
      </c>
      <c r="D733">
        <v>95949</v>
      </c>
      <c r="E733" t="str">
        <f t="shared" si="11"/>
        <v>ia.assorted_string like '%95949-08-2024%' or</v>
      </c>
    </row>
    <row r="734" spans="1:5" x14ac:dyDescent="0.25">
      <c r="A734" t="s">
        <v>863</v>
      </c>
      <c r="B734" t="s">
        <v>2640</v>
      </c>
      <c r="D734">
        <v>95950</v>
      </c>
      <c r="E734" t="str">
        <f t="shared" si="11"/>
        <v>ia.assorted_string like '%95950-08-2024%' or</v>
      </c>
    </row>
    <row r="735" spans="1:5" x14ac:dyDescent="0.25">
      <c r="A735" t="s">
        <v>864</v>
      </c>
      <c r="B735" t="s">
        <v>2640</v>
      </c>
      <c r="D735">
        <v>95951</v>
      </c>
      <c r="E735" t="str">
        <f t="shared" si="11"/>
        <v>ia.assorted_string like '%95951-08-2024%' or</v>
      </c>
    </row>
    <row r="736" spans="1:5" x14ac:dyDescent="0.25">
      <c r="A736" t="s">
        <v>865</v>
      </c>
      <c r="B736" t="s">
        <v>2640</v>
      </c>
      <c r="D736">
        <v>95952</v>
      </c>
      <c r="E736" t="str">
        <f t="shared" si="11"/>
        <v>ia.assorted_string like '%95952-08-2024%' or</v>
      </c>
    </row>
    <row r="737" spans="1:5" x14ac:dyDescent="0.25">
      <c r="A737" t="s">
        <v>866</v>
      </c>
      <c r="B737" t="s">
        <v>2640</v>
      </c>
      <c r="D737">
        <v>95953</v>
      </c>
      <c r="E737" t="str">
        <f t="shared" si="11"/>
        <v>ia.assorted_string like '%95953-08-2024%' or</v>
      </c>
    </row>
    <row r="738" spans="1:5" x14ac:dyDescent="0.25">
      <c r="A738" t="s">
        <v>867</v>
      </c>
      <c r="B738" t="s">
        <v>2640</v>
      </c>
      <c r="D738">
        <v>95954</v>
      </c>
      <c r="E738" t="str">
        <f t="shared" si="11"/>
        <v>ia.assorted_string like '%95954-08-2024%' or</v>
      </c>
    </row>
    <row r="739" spans="1:5" x14ac:dyDescent="0.25">
      <c r="A739" t="s">
        <v>868</v>
      </c>
      <c r="B739" t="s">
        <v>2640</v>
      </c>
      <c r="D739">
        <v>95955</v>
      </c>
      <c r="E739" t="str">
        <f t="shared" si="11"/>
        <v>ia.assorted_string like '%95955-08-2024%' or</v>
      </c>
    </row>
    <row r="740" spans="1:5" x14ac:dyDescent="0.25">
      <c r="A740" t="s">
        <v>869</v>
      </c>
      <c r="B740" t="s">
        <v>2640</v>
      </c>
      <c r="D740">
        <v>95956</v>
      </c>
      <c r="E740" t="str">
        <f t="shared" si="11"/>
        <v>ia.assorted_string like '%95956-08-2024%' or</v>
      </c>
    </row>
    <row r="741" spans="1:5" x14ac:dyDescent="0.25">
      <c r="A741" t="s">
        <v>870</v>
      </c>
      <c r="B741" t="s">
        <v>2640</v>
      </c>
      <c r="D741">
        <v>95958</v>
      </c>
      <c r="E741" t="str">
        <f t="shared" si="11"/>
        <v>ia.assorted_string like '%95958-08-2024%' or</v>
      </c>
    </row>
    <row r="742" spans="1:5" x14ac:dyDescent="0.25">
      <c r="A742" t="s">
        <v>871</v>
      </c>
      <c r="B742" t="s">
        <v>2640</v>
      </c>
      <c r="D742">
        <v>95959</v>
      </c>
      <c r="E742" t="str">
        <f t="shared" si="11"/>
        <v>ia.assorted_string like '%95959-08-2024%' or</v>
      </c>
    </row>
    <row r="743" spans="1:5" x14ac:dyDescent="0.25">
      <c r="A743" t="s">
        <v>872</v>
      </c>
      <c r="B743" t="s">
        <v>2640</v>
      </c>
      <c r="D743">
        <v>95960</v>
      </c>
      <c r="E743" t="str">
        <f t="shared" si="11"/>
        <v>ia.assorted_string like '%95960-08-2024%' or</v>
      </c>
    </row>
    <row r="744" spans="1:5" x14ac:dyDescent="0.25">
      <c r="A744" t="s">
        <v>873</v>
      </c>
      <c r="B744" t="s">
        <v>2640</v>
      </c>
      <c r="D744">
        <v>95961</v>
      </c>
      <c r="E744" t="str">
        <f t="shared" si="11"/>
        <v>ia.assorted_string like '%95961-08-2024%' or</v>
      </c>
    </row>
    <row r="745" spans="1:5" x14ac:dyDescent="0.25">
      <c r="A745" t="s">
        <v>874</v>
      </c>
      <c r="B745" t="s">
        <v>2640</v>
      </c>
      <c r="D745">
        <v>95962</v>
      </c>
      <c r="E745" t="str">
        <f t="shared" si="11"/>
        <v>ia.assorted_string like '%95962-08-2024%' or</v>
      </c>
    </row>
    <row r="746" spans="1:5" x14ac:dyDescent="0.25">
      <c r="A746" t="s">
        <v>875</v>
      </c>
      <c r="B746" t="s">
        <v>2640</v>
      </c>
      <c r="D746">
        <v>95963</v>
      </c>
      <c r="E746" t="str">
        <f t="shared" si="11"/>
        <v>ia.assorted_string like '%95963-08-2024%' or</v>
      </c>
    </row>
    <row r="747" spans="1:5" x14ac:dyDescent="0.25">
      <c r="A747" t="s">
        <v>876</v>
      </c>
      <c r="B747" t="s">
        <v>2640</v>
      </c>
      <c r="D747">
        <v>95964</v>
      </c>
      <c r="E747" t="str">
        <f t="shared" si="11"/>
        <v>ia.assorted_string like '%95964-08-2024%' or</v>
      </c>
    </row>
    <row r="748" spans="1:5" x14ac:dyDescent="0.25">
      <c r="A748" t="s">
        <v>877</v>
      </c>
      <c r="B748" t="s">
        <v>2640</v>
      </c>
      <c r="D748">
        <v>95965</v>
      </c>
      <c r="E748" t="str">
        <f t="shared" si="11"/>
        <v>ia.assorted_string like '%95965-08-2024%' or</v>
      </c>
    </row>
    <row r="749" spans="1:5" x14ac:dyDescent="0.25">
      <c r="A749" t="s">
        <v>878</v>
      </c>
      <c r="B749" t="s">
        <v>2640</v>
      </c>
      <c r="D749">
        <v>95966</v>
      </c>
      <c r="E749" t="str">
        <f t="shared" si="11"/>
        <v>ia.assorted_string like '%95966-08-2024%' or</v>
      </c>
    </row>
    <row r="750" spans="1:5" x14ac:dyDescent="0.25">
      <c r="A750" t="s">
        <v>879</v>
      </c>
      <c r="B750" t="s">
        <v>2640</v>
      </c>
      <c r="D750">
        <v>95967</v>
      </c>
      <c r="E750" t="str">
        <f t="shared" si="11"/>
        <v>ia.assorted_string like '%95967-08-2024%' or</v>
      </c>
    </row>
    <row r="751" spans="1:5" x14ac:dyDescent="0.25">
      <c r="A751" t="s">
        <v>880</v>
      </c>
      <c r="B751" t="s">
        <v>2640</v>
      </c>
      <c r="D751">
        <v>95968</v>
      </c>
      <c r="E751" t="str">
        <f t="shared" si="11"/>
        <v>ia.assorted_string like '%95968-08-2024%' or</v>
      </c>
    </row>
    <row r="752" spans="1:5" x14ac:dyDescent="0.25">
      <c r="A752" t="s">
        <v>881</v>
      </c>
      <c r="B752" t="s">
        <v>2640</v>
      </c>
      <c r="D752">
        <v>95969</v>
      </c>
      <c r="E752" t="str">
        <f t="shared" si="11"/>
        <v>ia.assorted_string like '%95969-08-2024%' or</v>
      </c>
    </row>
    <row r="753" spans="1:5" x14ac:dyDescent="0.25">
      <c r="A753" t="s">
        <v>882</v>
      </c>
      <c r="B753" t="s">
        <v>2640</v>
      </c>
      <c r="D753">
        <v>95970</v>
      </c>
      <c r="E753" t="str">
        <f t="shared" si="11"/>
        <v>ia.assorted_string like '%95970-08-2024%' or</v>
      </c>
    </row>
    <row r="754" spans="1:5" x14ac:dyDescent="0.25">
      <c r="A754" t="s">
        <v>883</v>
      </c>
      <c r="B754" t="s">
        <v>2640</v>
      </c>
      <c r="D754">
        <v>95971</v>
      </c>
      <c r="E754" t="str">
        <f t="shared" si="11"/>
        <v>ia.assorted_string like '%95971-08-2024%' or</v>
      </c>
    </row>
    <row r="755" spans="1:5" x14ac:dyDescent="0.25">
      <c r="A755" t="s">
        <v>884</v>
      </c>
      <c r="B755" t="s">
        <v>2640</v>
      </c>
      <c r="D755">
        <v>95972</v>
      </c>
      <c r="E755" t="str">
        <f t="shared" si="11"/>
        <v>ia.assorted_string like '%95972-08-2024%' or</v>
      </c>
    </row>
    <row r="756" spans="1:5" x14ac:dyDescent="0.25">
      <c r="A756" t="s">
        <v>885</v>
      </c>
      <c r="B756" t="s">
        <v>2640</v>
      </c>
      <c r="D756">
        <v>95973</v>
      </c>
      <c r="E756" t="str">
        <f t="shared" si="11"/>
        <v>ia.assorted_string like '%95973-08-2024%' or</v>
      </c>
    </row>
    <row r="757" spans="1:5" x14ac:dyDescent="0.25">
      <c r="A757" t="s">
        <v>886</v>
      </c>
      <c r="B757" t="s">
        <v>2640</v>
      </c>
      <c r="D757">
        <v>95974</v>
      </c>
      <c r="E757" t="str">
        <f t="shared" si="11"/>
        <v>ia.assorted_string like '%95974-08-2024%' or</v>
      </c>
    </row>
    <row r="758" spans="1:5" x14ac:dyDescent="0.25">
      <c r="A758" t="s">
        <v>887</v>
      </c>
      <c r="B758" t="s">
        <v>2640</v>
      </c>
      <c r="D758">
        <v>95975</v>
      </c>
      <c r="E758" t="str">
        <f t="shared" si="11"/>
        <v>ia.assorted_string like '%95975-08-2024%' or</v>
      </c>
    </row>
    <row r="759" spans="1:5" x14ac:dyDescent="0.25">
      <c r="A759" t="s">
        <v>888</v>
      </c>
      <c r="B759" t="s">
        <v>2640</v>
      </c>
      <c r="D759">
        <v>95976</v>
      </c>
      <c r="E759" t="str">
        <f t="shared" si="11"/>
        <v>ia.assorted_string like '%95976-08-2024%' or</v>
      </c>
    </row>
    <row r="760" spans="1:5" x14ac:dyDescent="0.25">
      <c r="A760" t="s">
        <v>889</v>
      </c>
      <c r="B760" t="s">
        <v>2640</v>
      </c>
      <c r="D760">
        <v>95977</v>
      </c>
      <c r="E760" t="str">
        <f t="shared" si="11"/>
        <v>ia.assorted_string like '%95977-08-2024%' or</v>
      </c>
    </row>
    <row r="761" spans="1:5" x14ac:dyDescent="0.25">
      <c r="A761" t="s">
        <v>890</v>
      </c>
      <c r="B761" t="s">
        <v>2640</v>
      </c>
      <c r="D761">
        <v>95978</v>
      </c>
      <c r="E761" t="str">
        <f t="shared" si="11"/>
        <v>ia.assorted_string like '%95978-08-2024%' or</v>
      </c>
    </row>
    <row r="762" spans="1:5" x14ac:dyDescent="0.25">
      <c r="A762" t="s">
        <v>891</v>
      </c>
      <c r="B762" t="s">
        <v>2640</v>
      </c>
      <c r="D762">
        <v>95979</v>
      </c>
      <c r="E762" t="str">
        <f t="shared" si="11"/>
        <v>ia.assorted_string like '%95979-08-2024%' or</v>
      </c>
    </row>
    <row r="763" spans="1:5" x14ac:dyDescent="0.25">
      <c r="A763" t="s">
        <v>892</v>
      </c>
      <c r="B763" t="s">
        <v>2640</v>
      </c>
      <c r="D763">
        <v>95980</v>
      </c>
      <c r="E763" t="str">
        <f t="shared" si="11"/>
        <v>ia.assorted_string like '%95980-08-2024%' or</v>
      </c>
    </row>
    <row r="764" spans="1:5" x14ac:dyDescent="0.25">
      <c r="A764" t="s">
        <v>893</v>
      </c>
      <c r="B764" t="s">
        <v>2640</v>
      </c>
      <c r="D764">
        <v>95981</v>
      </c>
      <c r="E764" t="str">
        <f t="shared" si="11"/>
        <v>ia.assorted_string like '%95981-08-2024%' or</v>
      </c>
    </row>
    <row r="765" spans="1:5" x14ac:dyDescent="0.25">
      <c r="A765" t="s">
        <v>894</v>
      </c>
      <c r="B765" t="s">
        <v>2640</v>
      </c>
      <c r="D765">
        <v>95982</v>
      </c>
      <c r="E765" t="str">
        <f t="shared" si="11"/>
        <v>ia.assorted_string like '%95982-08-2024%' or</v>
      </c>
    </row>
    <row r="766" spans="1:5" x14ac:dyDescent="0.25">
      <c r="A766" t="s">
        <v>895</v>
      </c>
      <c r="B766" t="s">
        <v>2640</v>
      </c>
      <c r="D766">
        <v>95983</v>
      </c>
      <c r="E766" t="str">
        <f t="shared" si="11"/>
        <v>ia.assorted_string like '%95983-08-2024%' or</v>
      </c>
    </row>
    <row r="767" spans="1:5" x14ac:dyDescent="0.25">
      <c r="A767" t="s">
        <v>896</v>
      </c>
      <c r="B767" t="s">
        <v>2640</v>
      </c>
      <c r="D767">
        <v>95989</v>
      </c>
      <c r="E767" t="str">
        <f t="shared" si="11"/>
        <v>ia.assorted_string like '%95989-08-2024%' or</v>
      </c>
    </row>
    <row r="768" spans="1:5" x14ac:dyDescent="0.25">
      <c r="A768" t="s">
        <v>897</v>
      </c>
      <c r="B768" t="s">
        <v>2640</v>
      </c>
      <c r="D768">
        <v>95990</v>
      </c>
      <c r="E768" t="str">
        <f t="shared" si="11"/>
        <v>ia.assorted_string like '%95990-08-2024%' or</v>
      </c>
    </row>
    <row r="769" spans="1:5" x14ac:dyDescent="0.25">
      <c r="A769" t="s">
        <v>898</v>
      </c>
      <c r="B769" t="s">
        <v>2640</v>
      </c>
      <c r="D769">
        <v>95991</v>
      </c>
      <c r="E769" t="str">
        <f t="shared" si="11"/>
        <v>ia.assorted_string like '%95991-08-2024%' or</v>
      </c>
    </row>
    <row r="770" spans="1:5" x14ac:dyDescent="0.25">
      <c r="A770" t="s">
        <v>899</v>
      </c>
      <c r="B770" t="s">
        <v>2640</v>
      </c>
      <c r="D770">
        <v>95992</v>
      </c>
      <c r="E770" t="str">
        <f t="shared" ref="E770:E833" si="12">"ia.assorted_string like '%"&amp;D770&amp;B770&amp;"%' or"</f>
        <v>ia.assorted_string like '%95992-08-2024%' or</v>
      </c>
    </row>
    <row r="771" spans="1:5" x14ac:dyDescent="0.25">
      <c r="A771" t="s">
        <v>900</v>
      </c>
      <c r="B771" t="s">
        <v>2640</v>
      </c>
      <c r="D771">
        <v>95993</v>
      </c>
      <c r="E771" t="str">
        <f t="shared" si="12"/>
        <v>ia.assorted_string like '%95993-08-2024%' or</v>
      </c>
    </row>
    <row r="772" spans="1:5" x14ac:dyDescent="0.25">
      <c r="A772" t="s">
        <v>901</v>
      </c>
      <c r="B772" t="s">
        <v>2640</v>
      </c>
      <c r="D772">
        <v>95995</v>
      </c>
      <c r="E772" t="str">
        <f t="shared" si="12"/>
        <v>ia.assorted_string like '%95995-08-2024%' or</v>
      </c>
    </row>
    <row r="773" spans="1:5" x14ac:dyDescent="0.25">
      <c r="A773" t="s">
        <v>902</v>
      </c>
      <c r="B773" t="s">
        <v>2640</v>
      </c>
      <c r="D773">
        <v>95996</v>
      </c>
      <c r="E773" t="str">
        <f t="shared" si="12"/>
        <v>ia.assorted_string like '%95996-08-2024%' or</v>
      </c>
    </row>
    <row r="774" spans="1:5" x14ac:dyDescent="0.25">
      <c r="A774" t="s">
        <v>903</v>
      </c>
      <c r="B774" t="s">
        <v>2640</v>
      </c>
      <c r="D774">
        <v>95997</v>
      </c>
      <c r="E774" t="str">
        <f t="shared" si="12"/>
        <v>ia.assorted_string like '%95997-08-2024%' or</v>
      </c>
    </row>
    <row r="775" spans="1:5" x14ac:dyDescent="0.25">
      <c r="A775" t="s">
        <v>904</v>
      </c>
      <c r="B775" t="s">
        <v>2640</v>
      </c>
      <c r="D775">
        <v>95998</v>
      </c>
      <c r="E775" t="str">
        <f t="shared" si="12"/>
        <v>ia.assorted_string like '%95998-08-2024%' or</v>
      </c>
    </row>
    <row r="776" spans="1:5" x14ac:dyDescent="0.25">
      <c r="A776" t="s">
        <v>905</v>
      </c>
      <c r="B776" t="s">
        <v>2640</v>
      </c>
      <c r="D776">
        <v>95999</v>
      </c>
      <c r="E776" t="str">
        <f t="shared" si="12"/>
        <v>ia.assorted_string like '%95999-08-2024%' or</v>
      </c>
    </row>
    <row r="777" spans="1:5" x14ac:dyDescent="0.25">
      <c r="A777" t="s">
        <v>906</v>
      </c>
      <c r="B777" t="s">
        <v>2640</v>
      </c>
      <c r="D777">
        <v>96018</v>
      </c>
      <c r="E777" t="str">
        <f t="shared" si="12"/>
        <v>ia.assorted_string like '%96018-08-2024%' or</v>
      </c>
    </row>
    <row r="778" spans="1:5" x14ac:dyDescent="0.25">
      <c r="A778" t="s">
        <v>907</v>
      </c>
      <c r="B778" t="s">
        <v>2640</v>
      </c>
      <c r="D778">
        <v>96022</v>
      </c>
      <c r="E778" t="str">
        <f t="shared" si="12"/>
        <v>ia.assorted_string like '%96022-08-2024%' or</v>
      </c>
    </row>
    <row r="779" spans="1:5" x14ac:dyDescent="0.25">
      <c r="A779" t="s">
        <v>908</v>
      </c>
      <c r="B779" t="s">
        <v>2640</v>
      </c>
      <c r="D779">
        <v>96023</v>
      </c>
      <c r="E779" t="str">
        <f t="shared" si="12"/>
        <v>ia.assorted_string like '%96023-08-2024%' or</v>
      </c>
    </row>
    <row r="780" spans="1:5" x14ac:dyDescent="0.25">
      <c r="A780" t="s">
        <v>909</v>
      </c>
      <c r="B780" t="s">
        <v>2640</v>
      </c>
      <c r="D780">
        <v>96024</v>
      </c>
      <c r="E780" t="str">
        <f t="shared" si="12"/>
        <v>ia.assorted_string like '%96024-08-2024%' or</v>
      </c>
    </row>
    <row r="781" spans="1:5" x14ac:dyDescent="0.25">
      <c r="A781" t="s">
        <v>910</v>
      </c>
      <c r="B781" t="s">
        <v>2640</v>
      </c>
      <c r="D781">
        <v>96026</v>
      </c>
      <c r="E781" t="str">
        <f t="shared" si="12"/>
        <v>ia.assorted_string like '%96026-08-2024%' or</v>
      </c>
    </row>
    <row r="782" spans="1:5" x14ac:dyDescent="0.25">
      <c r="A782" t="s">
        <v>911</v>
      </c>
      <c r="B782" t="s">
        <v>2640</v>
      </c>
      <c r="D782">
        <v>96027</v>
      </c>
      <c r="E782" t="str">
        <f t="shared" si="12"/>
        <v>ia.assorted_string like '%96027-08-2024%' or</v>
      </c>
    </row>
    <row r="783" spans="1:5" x14ac:dyDescent="0.25">
      <c r="A783" t="s">
        <v>912</v>
      </c>
      <c r="B783" t="s">
        <v>2640</v>
      </c>
      <c r="D783">
        <v>96029</v>
      </c>
      <c r="E783" t="str">
        <f t="shared" si="12"/>
        <v>ia.assorted_string like '%96029-08-2024%' or</v>
      </c>
    </row>
    <row r="784" spans="1:5" x14ac:dyDescent="0.25">
      <c r="A784" t="s">
        <v>913</v>
      </c>
      <c r="B784" t="s">
        <v>2640</v>
      </c>
      <c r="D784">
        <v>96031</v>
      </c>
      <c r="E784" t="str">
        <f t="shared" si="12"/>
        <v>ia.assorted_string like '%96031-08-2024%' or</v>
      </c>
    </row>
    <row r="785" spans="1:5" x14ac:dyDescent="0.25">
      <c r="A785" t="s">
        <v>914</v>
      </c>
      <c r="B785" t="s">
        <v>2640</v>
      </c>
      <c r="D785">
        <v>96033</v>
      </c>
      <c r="E785" t="str">
        <f t="shared" si="12"/>
        <v>ia.assorted_string like '%96033-08-2024%' or</v>
      </c>
    </row>
    <row r="786" spans="1:5" x14ac:dyDescent="0.25">
      <c r="A786" t="s">
        <v>915</v>
      </c>
      <c r="B786" t="s">
        <v>2640</v>
      </c>
      <c r="D786">
        <v>96034</v>
      </c>
      <c r="E786" t="str">
        <f t="shared" si="12"/>
        <v>ia.assorted_string like '%96034-08-2024%' or</v>
      </c>
    </row>
    <row r="787" spans="1:5" x14ac:dyDescent="0.25">
      <c r="A787" t="s">
        <v>916</v>
      </c>
      <c r="B787" t="s">
        <v>2640</v>
      </c>
      <c r="D787">
        <v>96036</v>
      </c>
      <c r="E787" t="str">
        <f t="shared" si="12"/>
        <v>ia.assorted_string like '%96036-08-2024%' or</v>
      </c>
    </row>
    <row r="788" spans="1:5" x14ac:dyDescent="0.25">
      <c r="A788" t="s">
        <v>917</v>
      </c>
      <c r="B788" t="s">
        <v>2640</v>
      </c>
      <c r="D788">
        <v>96037</v>
      </c>
      <c r="E788" t="str">
        <f t="shared" si="12"/>
        <v>ia.assorted_string like '%96037-08-2024%' or</v>
      </c>
    </row>
    <row r="789" spans="1:5" x14ac:dyDescent="0.25">
      <c r="A789" t="s">
        <v>918</v>
      </c>
      <c r="B789" t="s">
        <v>2640</v>
      </c>
      <c r="D789">
        <v>96038</v>
      </c>
      <c r="E789" t="str">
        <f t="shared" si="12"/>
        <v>ia.assorted_string like '%96038-08-2024%' or</v>
      </c>
    </row>
    <row r="790" spans="1:5" x14ac:dyDescent="0.25">
      <c r="A790" t="s">
        <v>919</v>
      </c>
      <c r="B790" t="s">
        <v>2640</v>
      </c>
      <c r="D790">
        <v>96039</v>
      </c>
      <c r="E790" t="str">
        <f t="shared" si="12"/>
        <v>ia.assorted_string like '%96039-08-2024%' or</v>
      </c>
    </row>
    <row r="791" spans="1:5" x14ac:dyDescent="0.25">
      <c r="A791" t="s">
        <v>920</v>
      </c>
      <c r="B791" t="s">
        <v>2640</v>
      </c>
      <c r="D791">
        <v>96040</v>
      </c>
      <c r="E791" t="str">
        <f t="shared" si="12"/>
        <v>ia.assorted_string like '%96040-08-2024%' or</v>
      </c>
    </row>
    <row r="792" spans="1:5" x14ac:dyDescent="0.25">
      <c r="A792" t="s">
        <v>921</v>
      </c>
      <c r="B792" t="s">
        <v>2640</v>
      </c>
      <c r="D792">
        <v>96041</v>
      </c>
      <c r="E792" t="str">
        <f t="shared" si="12"/>
        <v>ia.assorted_string like '%96041-08-2024%' or</v>
      </c>
    </row>
    <row r="793" spans="1:5" x14ac:dyDescent="0.25">
      <c r="A793" t="s">
        <v>922</v>
      </c>
      <c r="B793" t="s">
        <v>2640</v>
      </c>
      <c r="D793">
        <v>96042</v>
      </c>
      <c r="E793" t="str">
        <f t="shared" si="12"/>
        <v>ia.assorted_string like '%96042-08-2024%' or</v>
      </c>
    </row>
    <row r="794" spans="1:5" x14ac:dyDescent="0.25">
      <c r="A794" t="s">
        <v>923</v>
      </c>
      <c r="B794" t="s">
        <v>2640</v>
      </c>
      <c r="D794">
        <v>96043</v>
      </c>
      <c r="E794" t="str">
        <f t="shared" si="12"/>
        <v>ia.assorted_string like '%96043-08-2024%' or</v>
      </c>
    </row>
    <row r="795" spans="1:5" x14ac:dyDescent="0.25">
      <c r="A795" t="s">
        <v>924</v>
      </c>
      <c r="B795" t="s">
        <v>2640</v>
      </c>
      <c r="D795">
        <v>96045</v>
      </c>
      <c r="E795" t="str">
        <f t="shared" si="12"/>
        <v>ia.assorted_string like '%96045-08-2024%' or</v>
      </c>
    </row>
    <row r="796" spans="1:5" x14ac:dyDescent="0.25">
      <c r="A796" t="s">
        <v>925</v>
      </c>
      <c r="B796" t="s">
        <v>2640</v>
      </c>
      <c r="D796">
        <v>96046</v>
      </c>
      <c r="E796" t="str">
        <f t="shared" si="12"/>
        <v>ia.assorted_string like '%96046-08-2024%' or</v>
      </c>
    </row>
    <row r="797" spans="1:5" x14ac:dyDescent="0.25">
      <c r="A797" t="s">
        <v>926</v>
      </c>
      <c r="B797" t="s">
        <v>2640</v>
      </c>
      <c r="D797">
        <v>96047</v>
      </c>
      <c r="E797" t="str">
        <f t="shared" si="12"/>
        <v>ia.assorted_string like '%96047-08-2024%' or</v>
      </c>
    </row>
    <row r="798" spans="1:5" x14ac:dyDescent="0.25">
      <c r="A798" t="s">
        <v>927</v>
      </c>
      <c r="B798" t="s">
        <v>2640</v>
      </c>
      <c r="D798">
        <v>96049</v>
      </c>
      <c r="E798" t="str">
        <f t="shared" si="12"/>
        <v>ia.assorted_string like '%96049-08-2024%' or</v>
      </c>
    </row>
    <row r="799" spans="1:5" x14ac:dyDescent="0.25">
      <c r="A799" t="s">
        <v>928</v>
      </c>
      <c r="B799" t="s">
        <v>2640</v>
      </c>
      <c r="D799">
        <v>96052</v>
      </c>
      <c r="E799" t="str">
        <f t="shared" si="12"/>
        <v>ia.assorted_string like '%96052-08-2024%' or</v>
      </c>
    </row>
    <row r="800" spans="1:5" x14ac:dyDescent="0.25">
      <c r="A800" t="s">
        <v>929</v>
      </c>
      <c r="B800" t="s">
        <v>2640</v>
      </c>
      <c r="D800">
        <v>96055</v>
      </c>
      <c r="E800" t="str">
        <f t="shared" si="12"/>
        <v>ia.assorted_string like '%96055-08-2024%' or</v>
      </c>
    </row>
    <row r="801" spans="1:5" x14ac:dyDescent="0.25">
      <c r="A801" t="s">
        <v>930</v>
      </c>
      <c r="B801" t="s">
        <v>2640</v>
      </c>
      <c r="D801">
        <v>96056</v>
      </c>
      <c r="E801" t="str">
        <f t="shared" si="12"/>
        <v>ia.assorted_string like '%96056-08-2024%' or</v>
      </c>
    </row>
    <row r="802" spans="1:5" x14ac:dyDescent="0.25">
      <c r="A802" t="s">
        <v>931</v>
      </c>
      <c r="B802" t="s">
        <v>2640</v>
      </c>
      <c r="D802">
        <v>96058</v>
      </c>
      <c r="E802" t="str">
        <f t="shared" si="12"/>
        <v>ia.assorted_string like '%96058-08-2024%' or</v>
      </c>
    </row>
    <row r="803" spans="1:5" x14ac:dyDescent="0.25">
      <c r="A803" t="s">
        <v>932</v>
      </c>
      <c r="B803" t="s">
        <v>2640</v>
      </c>
      <c r="D803">
        <v>96059</v>
      </c>
      <c r="E803" t="str">
        <f t="shared" si="12"/>
        <v>ia.assorted_string like '%96059-08-2024%' or</v>
      </c>
    </row>
    <row r="804" spans="1:5" x14ac:dyDescent="0.25">
      <c r="A804" t="s">
        <v>933</v>
      </c>
      <c r="B804" t="s">
        <v>2640</v>
      </c>
      <c r="D804">
        <v>96060</v>
      </c>
      <c r="E804" t="str">
        <f t="shared" si="12"/>
        <v>ia.assorted_string like '%96060-08-2024%' or</v>
      </c>
    </row>
    <row r="805" spans="1:5" x14ac:dyDescent="0.25">
      <c r="A805" t="s">
        <v>934</v>
      </c>
      <c r="B805" t="s">
        <v>2640</v>
      </c>
      <c r="D805">
        <v>96062</v>
      </c>
      <c r="E805" t="str">
        <f t="shared" si="12"/>
        <v>ia.assorted_string like '%96062-08-2024%' or</v>
      </c>
    </row>
    <row r="806" spans="1:5" x14ac:dyDescent="0.25">
      <c r="A806" t="s">
        <v>935</v>
      </c>
      <c r="B806" t="s">
        <v>2640</v>
      </c>
      <c r="D806">
        <v>96063</v>
      </c>
      <c r="E806" t="str">
        <f t="shared" si="12"/>
        <v>ia.assorted_string like '%96063-08-2024%' or</v>
      </c>
    </row>
    <row r="807" spans="1:5" x14ac:dyDescent="0.25">
      <c r="A807" t="s">
        <v>936</v>
      </c>
      <c r="B807" t="s">
        <v>2640</v>
      </c>
      <c r="D807">
        <v>96064</v>
      </c>
      <c r="E807" t="str">
        <f t="shared" si="12"/>
        <v>ia.assorted_string like '%96064-08-2024%' or</v>
      </c>
    </row>
    <row r="808" spans="1:5" x14ac:dyDescent="0.25">
      <c r="A808" t="s">
        <v>937</v>
      </c>
      <c r="B808" t="s">
        <v>2640</v>
      </c>
      <c r="D808">
        <v>96065</v>
      </c>
      <c r="E808" t="str">
        <f t="shared" si="12"/>
        <v>ia.assorted_string like '%96065-08-2024%' or</v>
      </c>
    </row>
    <row r="809" spans="1:5" x14ac:dyDescent="0.25">
      <c r="A809" t="s">
        <v>938</v>
      </c>
      <c r="B809" t="s">
        <v>2640</v>
      </c>
      <c r="D809">
        <v>96066</v>
      </c>
      <c r="E809" t="str">
        <f t="shared" si="12"/>
        <v>ia.assorted_string like '%96066-08-2024%' or</v>
      </c>
    </row>
    <row r="810" spans="1:5" x14ac:dyDescent="0.25">
      <c r="A810" t="s">
        <v>939</v>
      </c>
      <c r="B810" t="s">
        <v>2640</v>
      </c>
      <c r="D810">
        <v>96067</v>
      </c>
      <c r="E810" t="str">
        <f t="shared" si="12"/>
        <v>ia.assorted_string like '%96067-08-2024%' or</v>
      </c>
    </row>
    <row r="811" spans="1:5" x14ac:dyDescent="0.25">
      <c r="A811" t="s">
        <v>940</v>
      </c>
      <c r="B811" t="s">
        <v>2640</v>
      </c>
      <c r="D811">
        <v>96068</v>
      </c>
      <c r="E811" t="str">
        <f t="shared" si="12"/>
        <v>ia.assorted_string like '%96068-08-2024%' or</v>
      </c>
    </row>
    <row r="812" spans="1:5" x14ac:dyDescent="0.25">
      <c r="A812" t="s">
        <v>941</v>
      </c>
      <c r="B812" t="s">
        <v>2640</v>
      </c>
      <c r="D812">
        <v>96069</v>
      </c>
      <c r="E812" t="str">
        <f t="shared" si="12"/>
        <v>ia.assorted_string like '%96069-08-2024%' or</v>
      </c>
    </row>
    <row r="813" spans="1:5" x14ac:dyDescent="0.25">
      <c r="A813" t="s">
        <v>942</v>
      </c>
      <c r="B813" t="s">
        <v>2640</v>
      </c>
      <c r="D813">
        <v>96070</v>
      </c>
      <c r="E813" t="str">
        <f t="shared" si="12"/>
        <v>ia.assorted_string like '%96070-08-2024%' or</v>
      </c>
    </row>
    <row r="814" spans="1:5" x14ac:dyDescent="0.25">
      <c r="A814" t="s">
        <v>943</v>
      </c>
      <c r="B814" t="s">
        <v>2640</v>
      </c>
      <c r="D814">
        <v>96071</v>
      </c>
      <c r="E814" t="str">
        <f t="shared" si="12"/>
        <v>ia.assorted_string like '%96071-08-2024%' or</v>
      </c>
    </row>
    <row r="815" spans="1:5" x14ac:dyDescent="0.25">
      <c r="A815" t="s">
        <v>944</v>
      </c>
      <c r="B815" t="s">
        <v>2640</v>
      </c>
      <c r="D815">
        <v>96074</v>
      </c>
      <c r="E815" t="str">
        <f t="shared" si="12"/>
        <v>ia.assorted_string like '%96074-08-2024%' or</v>
      </c>
    </row>
    <row r="816" spans="1:5" x14ac:dyDescent="0.25">
      <c r="A816" t="s">
        <v>945</v>
      </c>
      <c r="B816" t="s">
        <v>2640</v>
      </c>
      <c r="D816">
        <v>96075</v>
      </c>
      <c r="E816" t="str">
        <f t="shared" si="12"/>
        <v>ia.assorted_string like '%96075-08-2024%' or</v>
      </c>
    </row>
    <row r="817" spans="1:5" x14ac:dyDescent="0.25">
      <c r="A817" t="s">
        <v>946</v>
      </c>
      <c r="B817" t="s">
        <v>2640</v>
      </c>
      <c r="D817">
        <v>96087</v>
      </c>
      <c r="E817" t="str">
        <f t="shared" si="12"/>
        <v>ia.assorted_string like '%96087-08-2024%' or</v>
      </c>
    </row>
    <row r="818" spans="1:5" x14ac:dyDescent="0.25">
      <c r="A818" t="s">
        <v>947</v>
      </c>
      <c r="B818" t="s">
        <v>2640</v>
      </c>
      <c r="D818">
        <v>96088</v>
      </c>
      <c r="E818" t="str">
        <f t="shared" si="12"/>
        <v>ia.assorted_string like '%96088-08-2024%' or</v>
      </c>
    </row>
    <row r="819" spans="1:5" x14ac:dyDescent="0.25">
      <c r="A819" t="s">
        <v>948</v>
      </c>
      <c r="B819" t="s">
        <v>2640</v>
      </c>
      <c r="D819">
        <v>96092</v>
      </c>
      <c r="E819" t="str">
        <f t="shared" si="12"/>
        <v>ia.assorted_string like '%96092-08-2024%' or</v>
      </c>
    </row>
    <row r="820" spans="1:5" x14ac:dyDescent="0.25">
      <c r="A820" t="s">
        <v>949</v>
      </c>
      <c r="B820" t="s">
        <v>2640</v>
      </c>
      <c r="D820">
        <v>96093</v>
      </c>
      <c r="E820" t="str">
        <f t="shared" si="12"/>
        <v>ia.assorted_string like '%96093-08-2024%' or</v>
      </c>
    </row>
    <row r="821" spans="1:5" x14ac:dyDescent="0.25">
      <c r="A821" t="s">
        <v>950</v>
      </c>
      <c r="B821" t="s">
        <v>2640</v>
      </c>
      <c r="D821">
        <v>96100</v>
      </c>
      <c r="E821" t="str">
        <f t="shared" si="12"/>
        <v>ia.assorted_string like '%96100-08-2024%' or</v>
      </c>
    </row>
    <row r="822" spans="1:5" x14ac:dyDescent="0.25">
      <c r="A822" t="s">
        <v>951</v>
      </c>
      <c r="B822" t="s">
        <v>2640</v>
      </c>
      <c r="D822">
        <v>96104</v>
      </c>
      <c r="E822" t="str">
        <f t="shared" si="12"/>
        <v>ia.assorted_string like '%96104-08-2024%' or</v>
      </c>
    </row>
    <row r="823" spans="1:5" x14ac:dyDescent="0.25">
      <c r="A823" t="s">
        <v>952</v>
      </c>
      <c r="B823" t="s">
        <v>2640</v>
      </c>
      <c r="D823">
        <v>96108</v>
      </c>
      <c r="E823" t="str">
        <f t="shared" si="12"/>
        <v>ia.assorted_string like '%96108-08-2024%' or</v>
      </c>
    </row>
    <row r="824" spans="1:5" x14ac:dyDescent="0.25">
      <c r="A824" t="s">
        <v>953</v>
      </c>
      <c r="B824" t="s">
        <v>2640</v>
      </c>
      <c r="D824">
        <v>96109</v>
      </c>
      <c r="E824" t="str">
        <f t="shared" si="12"/>
        <v>ia.assorted_string like '%96109-08-2024%' or</v>
      </c>
    </row>
    <row r="825" spans="1:5" x14ac:dyDescent="0.25">
      <c r="A825" t="s">
        <v>954</v>
      </c>
      <c r="B825" t="s">
        <v>2640</v>
      </c>
      <c r="D825">
        <v>96114</v>
      </c>
      <c r="E825" t="str">
        <f t="shared" si="12"/>
        <v>ia.assorted_string like '%96114-08-2024%' or</v>
      </c>
    </row>
    <row r="826" spans="1:5" x14ac:dyDescent="0.25">
      <c r="A826" t="s">
        <v>955</v>
      </c>
      <c r="B826" t="s">
        <v>2640</v>
      </c>
      <c r="D826">
        <v>96116</v>
      </c>
      <c r="E826" t="str">
        <f t="shared" si="12"/>
        <v>ia.assorted_string like '%96116-08-2024%' or</v>
      </c>
    </row>
    <row r="827" spans="1:5" x14ac:dyDescent="0.25">
      <c r="A827" t="s">
        <v>956</v>
      </c>
      <c r="B827" t="s">
        <v>2640</v>
      </c>
      <c r="D827">
        <v>96126</v>
      </c>
      <c r="E827" t="str">
        <f t="shared" si="12"/>
        <v>ia.assorted_string like '%96126-08-2024%' or</v>
      </c>
    </row>
    <row r="828" spans="1:5" x14ac:dyDescent="0.25">
      <c r="A828" t="s">
        <v>957</v>
      </c>
      <c r="B828" t="s">
        <v>2640</v>
      </c>
      <c r="D828">
        <v>96127</v>
      </c>
      <c r="E828" t="str">
        <f t="shared" si="12"/>
        <v>ia.assorted_string like '%96127-08-2024%' or</v>
      </c>
    </row>
    <row r="829" spans="1:5" x14ac:dyDescent="0.25">
      <c r="A829" t="s">
        <v>958</v>
      </c>
      <c r="B829" t="s">
        <v>2640</v>
      </c>
      <c r="D829">
        <v>96129</v>
      </c>
      <c r="E829" t="str">
        <f t="shared" si="12"/>
        <v>ia.assorted_string like '%96129-08-2024%' or</v>
      </c>
    </row>
    <row r="830" spans="1:5" x14ac:dyDescent="0.25">
      <c r="A830" t="s">
        <v>959</v>
      </c>
      <c r="B830" t="s">
        <v>2640</v>
      </c>
      <c r="D830">
        <v>96130</v>
      </c>
      <c r="E830" t="str">
        <f t="shared" si="12"/>
        <v>ia.assorted_string like '%96130-08-2024%' or</v>
      </c>
    </row>
    <row r="831" spans="1:5" x14ac:dyDescent="0.25">
      <c r="A831" t="s">
        <v>960</v>
      </c>
      <c r="B831" t="s">
        <v>2640</v>
      </c>
      <c r="D831">
        <v>96137</v>
      </c>
      <c r="E831" t="str">
        <f t="shared" si="12"/>
        <v>ia.assorted_string like '%96137-08-2024%' or</v>
      </c>
    </row>
    <row r="832" spans="1:5" x14ac:dyDescent="0.25">
      <c r="A832" t="s">
        <v>961</v>
      </c>
      <c r="B832" t="s">
        <v>2640</v>
      </c>
      <c r="D832">
        <v>96138</v>
      </c>
      <c r="E832" t="str">
        <f t="shared" si="12"/>
        <v>ia.assorted_string like '%96138-08-2024%' or</v>
      </c>
    </row>
    <row r="833" spans="1:5" x14ac:dyDescent="0.25">
      <c r="A833" t="s">
        <v>962</v>
      </c>
      <c r="B833" t="s">
        <v>2640</v>
      </c>
      <c r="D833">
        <v>96139</v>
      </c>
      <c r="E833" t="str">
        <f t="shared" si="12"/>
        <v>ia.assorted_string like '%96139-08-2024%' or</v>
      </c>
    </row>
    <row r="834" spans="1:5" x14ac:dyDescent="0.25">
      <c r="A834" t="s">
        <v>963</v>
      </c>
      <c r="B834" t="s">
        <v>2640</v>
      </c>
      <c r="D834">
        <v>96140</v>
      </c>
      <c r="E834" t="str">
        <f t="shared" ref="E834:E897" si="13">"ia.assorted_string like '%"&amp;D834&amp;B834&amp;"%' or"</f>
        <v>ia.assorted_string like '%96140-08-2024%' or</v>
      </c>
    </row>
    <row r="835" spans="1:5" x14ac:dyDescent="0.25">
      <c r="A835" t="s">
        <v>964</v>
      </c>
      <c r="B835" t="s">
        <v>2640</v>
      </c>
      <c r="D835">
        <v>96144</v>
      </c>
      <c r="E835" t="str">
        <f t="shared" si="13"/>
        <v>ia.assorted_string like '%96144-08-2024%' or</v>
      </c>
    </row>
    <row r="836" spans="1:5" x14ac:dyDescent="0.25">
      <c r="A836" t="s">
        <v>965</v>
      </c>
      <c r="B836" t="s">
        <v>2640</v>
      </c>
      <c r="D836">
        <v>96149</v>
      </c>
      <c r="E836" t="str">
        <f t="shared" si="13"/>
        <v>ia.assorted_string like '%96149-08-2024%' or</v>
      </c>
    </row>
    <row r="837" spans="1:5" x14ac:dyDescent="0.25">
      <c r="A837" t="s">
        <v>966</v>
      </c>
      <c r="B837" t="s">
        <v>2640</v>
      </c>
      <c r="D837">
        <v>96150</v>
      </c>
      <c r="E837" t="str">
        <f t="shared" si="13"/>
        <v>ia.assorted_string like '%96150-08-2024%' or</v>
      </c>
    </row>
    <row r="838" spans="1:5" x14ac:dyDescent="0.25">
      <c r="A838" t="s">
        <v>967</v>
      </c>
      <c r="B838" t="s">
        <v>2640</v>
      </c>
      <c r="D838">
        <v>96152</v>
      </c>
      <c r="E838" t="str">
        <f t="shared" si="13"/>
        <v>ia.assorted_string like '%96152-08-2024%' or</v>
      </c>
    </row>
    <row r="839" spans="1:5" x14ac:dyDescent="0.25">
      <c r="A839" t="s">
        <v>968</v>
      </c>
      <c r="B839" t="s">
        <v>2640</v>
      </c>
      <c r="D839">
        <v>96153</v>
      </c>
      <c r="E839" t="str">
        <f t="shared" si="13"/>
        <v>ia.assorted_string like '%96153-08-2024%' or</v>
      </c>
    </row>
    <row r="840" spans="1:5" x14ac:dyDescent="0.25">
      <c r="A840" t="s">
        <v>969</v>
      </c>
      <c r="B840" t="s">
        <v>2640</v>
      </c>
      <c r="D840">
        <v>96154</v>
      </c>
      <c r="E840" t="str">
        <f t="shared" si="13"/>
        <v>ia.assorted_string like '%96154-08-2024%' or</v>
      </c>
    </row>
    <row r="841" spans="1:5" x14ac:dyDescent="0.25">
      <c r="A841" t="s">
        <v>970</v>
      </c>
      <c r="B841" t="s">
        <v>2640</v>
      </c>
      <c r="D841">
        <v>96156</v>
      </c>
      <c r="E841" t="str">
        <f t="shared" si="13"/>
        <v>ia.assorted_string like '%96156-08-2024%' or</v>
      </c>
    </row>
    <row r="842" spans="1:5" x14ac:dyDescent="0.25">
      <c r="A842" t="s">
        <v>971</v>
      </c>
      <c r="B842" t="s">
        <v>2640</v>
      </c>
      <c r="D842">
        <v>96157</v>
      </c>
      <c r="E842" t="str">
        <f t="shared" si="13"/>
        <v>ia.assorted_string like '%96157-08-2024%' or</v>
      </c>
    </row>
    <row r="843" spans="1:5" x14ac:dyDescent="0.25">
      <c r="A843" t="s">
        <v>972</v>
      </c>
      <c r="B843" t="s">
        <v>2640</v>
      </c>
      <c r="D843">
        <v>96159</v>
      </c>
      <c r="E843" t="str">
        <f t="shared" si="13"/>
        <v>ia.assorted_string like '%96159-08-2024%' or</v>
      </c>
    </row>
    <row r="844" spans="1:5" x14ac:dyDescent="0.25">
      <c r="A844" t="s">
        <v>973</v>
      </c>
      <c r="B844" t="s">
        <v>2640</v>
      </c>
      <c r="D844">
        <v>96160</v>
      </c>
      <c r="E844" t="str">
        <f t="shared" si="13"/>
        <v>ia.assorted_string like '%96160-08-2024%' or</v>
      </c>
    </row>
    <row r="845" spans="1:5" x14ac:dyDescent="0.25">
      <c r="A845" t="s">
        <v>974</v>
      </c>
      <c r="B845" t="s">
        <v>2640</v>
      </c>
      <c r="D845">
        <v>96166</v>
      </c>
      <c r="E845" t="str">
        <f t="shared" si="13"/>
        <v>ia.assorted_string like '%96166-08-2024%' or</v>
      </c>
    </row>
    <row r="846" spans="1:5" x14ac:dyDescent="0.25">
      <c r="A846" t="s">
        <v>975</v>
      </c>
      <c r="B846" t="s">
        <v>2640</v>
      </c>
      <c r="D846">
        <v>96167</v>
      </c>
      <c r="E846" t="str">
        <f t="shared" si="13"/>
        <v>ia.assorted_string like '%96167-08-2024%' or</v>
      </c>
    </row>
    <row r="847" spans="1:5" x14ac:dyDescent="0.25">
      <c r="A847" t="s">
        <v>976</v>
      </c>
      <c r="B847" t="s">
        <v>2640</v>
      </c>
      <c r="D847">
        <v>96168</v>
      </c>
      <c r="E847" t="str">
        <f t="shared" si="13"/>
        <v>ia.assorted_string like '%96168-08-2024%' or</v>
      </c>
    </row>
    <row r="848" spans="1:5" x14ac:dyDescent="0.25">
      <c r="A848" t="s">
        <v>977</v>
      </c>
      <c r="B848" t="s">
        <v>2640</v>
      </c>
      <c r="D848">
        <v>96171</v>
      </c>
      <c r="E848" t="str">
        <f t="shared" si="13"/>
        <v>ia.assorted_string like '%96171-08-2024%' or</v>
      </c>
    </row>
    <row r="849" spans="1:5" x14ac:dyDescent="0.25">
      <c r="A849" t="s">
        <v>978</v>
      </c>
      <c r="B849" t="s">
        <v>2640</v>
      </c>
      <c r="D849">
        <v>96175</v>
      </c>
      <c r="E849" t="str">
        <f t="shared" si="13"/>
        <v>ia.assorted_string like '%96175-08-2024%' or</v>
      </c>
    </row>
    <row r="850" spans="1:5" x14ac:dyDescent="0.25">
      <c r="A850" t="s">
        <v>979</v>
      </c>
      <c r="B850" t="s">
        <v>2640</v>
      </c>
      <c r="D850">
        <v>96177</v>
      </c>
      <c r="E850" t="str">
        <f t="shared" si="13"/>
        <v>ia.assorted_string like '%96177-08-2024%' or</v>
      </c>
    </row>
    <row r="851" spans="1:5" x14ac:dyDescent="0.25">
      <c r="A851" t="s">
        <v>980</v>
      </c>
      <c r="B851" t="s">
        <v>2640</v>
      </c>
      <c r="D851">
        <v>96181</v>
      </c>
      <c r="E851" t="str">
        <f t="shared" si="13"/>
        <v>ia.assorted_string like '%96181-08-2024%' or</v>
      </c>
    </row>
    <row r="852" spans="1:5" x14ac:dyDescent="0.25">
      <c r="A852" t="s">
        <v>981</v>
      </c>
      <c r="B852" t="s">
        <v>2640</v>
      </c>
      <c r="D852">
        <v>96183</v>
      </c>
      <c r="E852" t="str">
        <f t="shared" si="13"/>
        <v>ia.assorted_string like '%96183-08-2024%' or</v>
      </c>
    </row>
    <row r="853" spans="1:5" x14ac:dyDescent="0.25">
      <c r="A853" t="s">
        <v>982</v>
      </c>
      <c r="B853" t="s">
        <v>2640</v>
      </c>
      <c r="D853">
        <v>96186</v>
      </c>
      <c r="E853" t="str">
        <f t="shared" si="13"/>
        <v>ia.assorted_string like '%96186-08-2024%' or</v>
      </c>
    </row>
    <row r="854" spans="1:5" x14ac:dyDescent="0.25">
      <c r="A854" t="s">
        <v>983</v>
      </c>
      <c r="B854" t="s">
        <v>2640</v>
      </c>
      <c r="D854">
        <v>96187</v>
      </c>
      <c r="E854" t="str">
        <f t="shared" si="13"/>
        <v>ia.assorted_string like '%96187-08-2024%' or</v>
      </c>
    </row>
    <row r="855" spans="1:5" x14ac:dyDescent="0.25">
      <c r="A855" t="s">
        <v>984</v>
      </c>
      <c r="B855" t="s">
        <v>2640</v>
      </c>
      <c r="D855">
        <v>96188</v>
      </c>
      <c r="E855" t="str">
        <f t="shared" si="13"/>
        <v>ia.assorted_string like '%96188-08-2024%' or</v>
      </c>
    </row>
    <row r="856" spans="1:5" x14ac:dyDescent="0.25">
      <c r="A856" t="s">
        <v>985</v>
      </c>
      <c r="B856" t="s">
        <v>2640</v>
      </c>
      <c r="D856">
        <v>96189</v>
      </c>
      <c r="E856" t="str">
        <f t="shared" si="13"/>
        <v>ia.assorted_string like '%96189-08-2024%' or</v>
      </c>
    </row>
    <row r="857" spans="1:5" x14ac:dyDescent="0.25">
      <c r="A857" t="s">
        <v>986</v>
      </c>
      <c r="B857" t="s">
        <v>2640</v>
      </c>
      <c r="D857">
        <v>96190</v>
      </c>
      <c r="E857" t="str">
        <f t="shared" si="13"/>
        <v>ia.assorted_string like '%96190-08-2024%' or</v>
      </c>
    </row>
    <row r="858" spans="1:5" x14ac:dyDescent="0.25">
      <c r="A858" t="s">
        <v>987</v>
      </c>
      <c r="B858" t="s">
        <v>2640</v>
      </c>
      <c r="D858">
        <v>96192</v>
      </c>
      <c r="E858" t="str">
        <f t="shared" si="13"/>
        <v>ia.assorted_string like '%96192-08-2024%' or</v>
      </c>
    </row>
    <row r="859" spans="1:5" x14ac:dyDescent="0.25">
      <c r="A859" t="s">
        <v>988</v>
      </c>
      <c r="B859" t="s">
        <v>2640</v>
      </c>
      <c r="D859">
        <v>96222</v>
      </c>
      <c r="E859" t="str">
        <f t="shared" si="13"/>
        <v>ia.assorted_string like '%96222-08-2024%' or</v>
      </c>
    </row>
    <row r="860" spans="1:5" x14ac:dyDescent="0.25">
      <c r="A860" t="s">
        <v>989</v>
      </c>
      <c r="B860" t="s">
        <v>2640</v>
      </c>
      <c r="D860">
        <v>96225</v>
      </c>
      <c r="E860" t="str">
        <f t="shared" si="13"/>
        <v>ia.assorted_string like '%96225-08-2024%' or</v>
      </c>
    </row>
    <row r="861" spans="1:5" x14ac:dyDescent="0.25">
      <c r="A861" t="s">
        <v>990</v>
      </c>
      <c r="B861" t="s">
        <v>2640</v>
      </c>
      <c r="D861">
        <v>96226</v>
      </c>
      <c r="E861" t="str">
        <f t="shared" si="13"/>
        <v>ia.assorted_string like '%96226-08-2024%' or</v>
      </c>
    </row>
    <row r="862" spans="1:5" x14ac:dyDescent="0.25">
      <c r="A862" t="s">
        <v>991</v>
      </c>
      <c r="B862" t="s">
        <v>2640</v>
      </c>
      <c r="D862">
        <v>96231</v>
      </c>
      <c r="E862" t="str">
        <f t="shared" si="13"/>
        <v>ia.assorted_string like '%96231-08-2024%' or</v>
      </c>
    </row>
    <row r="863" spans="1:5" x14ac:dyDescent="0.25">
      <c r="A863" t="s">
        <v>992</v>
      </c>
      <c r="B863" t="s">
        <v>2640</v>
      </c>
      <c r="D863">
        <v>96235</v>
      </c>
      <c r="E863" t="str">
        <f t="shared" si="13"/>
        <v>ia.assorted_string like '%96235-08-2024%' or</v>
      </c>
    </row>
    <row r="864" spans="1:5" x14ac:dyDescent="0.25">
      <c r="A864" t="s">
        <v>993</v>
      </c>
      <c r="B864" t="s">
        <v>2640</v>
      </c>
      <c r="D864">
        <v>96236</v>
      </c>
      <c r="E864" t="str">
        <f t="shared" si="13"/>
        <v>ia.assorted_string like '%96236-08-2024%' or</v>
      </c>
    </row>
    <row r="865" spans="1:5" x14ac:dyDescent="0.25">
      <c r="A865" t="s">
        <v>994</v>
      </c>
      <c r="B865" t="s">
        <v>2640</v>
      </c>
      <c r="D865">
        <v>96237</v>
      </c>
      <c r="E865" t="str">
        <f t="shared" si="13"/>
        <v>ia.assorted_string like '%96237-08-2024%' or</v>
      </c>
    </row>
    <row r="866" spans="1:5" x14ac:dyDescent="0.25">
      <c r="A866" t="s">
        <v>995</v>
      </c>
      <c r="B866" t="s">
        <v>2640</v>
      </c>
      <c r="D866">
        <v>96238</v>
      </c>
      <c r="E866" t="str">
        <f t="shared" si="13"/>
        <v>ia.assorted_string like '%96238-08-2024%' or</v>
      </c>
    </row>
    <row r="867" spans="1:5" x14ac:dyDescent="0.25">
      <c r="A867" t="s">
        <v>996</v>
      </c>
      <c r="B867" t="s">
        <v>2640</v>
      </c>
      <c r="D867">
        <v>96239</v>
      </c>
      <c r="E867" t="str">
        <f t="shared" si="13"/>
        <v>ia.assorted_string like '%96239-08-2024%' or</v>
      </c>
    </row>
    <row r="868" spans="1:5" x14ac:dyDescent="0.25">
      <c r="A868" t="s">
        <v>997</v>
      </c>
      <c r="B868" t="s">
        <v>2640</v>
      </c>
      <c r="D868">
        <v>96241</v>
      </c>
      <c r="E868" t="str">
        <f t="shared" si="13"/>
        <v>ia.assorted_string like '%96241-08-2024%' or</v>
      </c>
    </row>
    <row r="869" spans="1:5" x14ac:dyDescent="0.25">
      <c r="A869" t="s">
        <v>998</v>
      </c>
      <c r="B869" t="s">
        <v>2640</v>
      </c>
      <c r="D869">
        <v>96242</v>
      </c>
      <c r="E869" t="str">
        <f t="shared" si="13"/>
        <v>ia.assorted_string like '%96242-08-2024%' or</v>
      </c>
    </row>
    <row r="870" spans="1:5" x14ac:dyDescent="0.25">
      <c r="A870" t="s">
        <v>999</v>
      </c>
      <c r="B870" t="s">
        <v>2640</v>
      </c>
      <c r="D870">
        <v>96243</v>
      </c>
      <c r="E870" t="str">
        <f t="shared" si="13"/>
        <v>ia.assorted_string like '%96243-08-2024%' or</v>
      </c>
    </row>
    <row r="871" spans="1:5" x14ac:dyDescent="0.25">
      <c r="A871" t="s">
        <v>1000</v>
      </c>
      <c r="B871" t="s">
        <v>2640</v>
      </c>
      <c r="D871">
        <v>96244</v>
      </c>
      <c r="E871" t="str">
        <f t="shared" si="13"/>
        <v>ia.assorted_string like '%96244-08-2024%' or</v>
      </c>
    </row>
    <row r="872" spans="1:5" x14ac:dyDescent="0.25">
      <c r="A872" t="s">
        <v>1001</v>
      </c>
      <c r="B872" t="s">
        <v>2640</v>
      </c>
      <c r="D872">
        <v>96245</v>
      </c>
      <c r="E872" t="str">
        <f t="shared" si="13"/>
        <v>ia.assorted_string like '%96245-08-2024%' or</v>
      </c>
    </row>
    <row r="873" spans="1:5" x14ac:dyDescent="0.25">
      <c r="A873" t="s">
        <v>1002</v>
      </c>
      <c r="B873" t="s">
        <v>2640</v>
      </c>
      <c r="D873">
        <v>96246</v>
      </c>
      <c r="E873" t="str">
        <f t="shared" si="13"/>
        <v>ia.assorted_string like '%96246-08-2024%' or</v>
      </c>
    </row>
    <row r="874" spans="1:5" x14ac:dyDescent="0.25">
      <c r="A874" t="s">
        <v>1003</v>
      </c>
      <c r="B874" t="s">
        <v>2640</v>
      </c>
      <c r="D874">
        <v>96247</v>
      </c>
      <c r="E874" t="str">
        <f t="shared" si="13"/>
        <v>ia.assorted_string like '%96247-08-2024%' or</v>
      </c>
    </row>
    <row r="875" spans="1:5" x14ac:dyDescent="0.25">
      <c r="A875" t="s">
        <v>1004</v>
      </c>
      <c r="B875" t="s">
        <v>2640</v>
      </c>
      <c r="D875">
        <v>96248</v>
      </c>
      <c r="E875" t="str">
        <f t="shared" si="13"/>
        <v>ia.assorted_string like '%96248-08-2024%' or</v>
      </c>
    </row>
    <row r="876" spans="1:5" x14ac:dyDescent="0.25">
      <c r="A876" t="s">
        <v>1005</v>
      </c>
      <c r="B876" t="s">
        <v>2640</v>
      </c>
      <c r="D876">
        <v>96252</v>
      </c>
      <c r="E876" t="str">
        <f t="shared" si="13"/>
        <v>ia.assorted_string like '%96252-08-2024%' or</v>
      </c>
    </row>
    <row r="877" spans="1:5" x14ac:dyDescent="0.25">
      <c r="A877" t="s">
        <v>1006</v>
      </c>
      <c r="B877" t="s">
        <v>2640</v>
      </c>
      <c r="D877">
        <v>96253</v>
      </c>
      <c r="E877" t="str">
        <f t="shared" si="13"/>
        <v>ia.assorted_string like '%96253-08-2024%' or</v>
      </c>
    </row>
    <row r="878" spans="1:5" x14ac:dyDescent="0.25">
      <c r="A878" t="s">
        <v>1007</v>
      </c>
      <c r="B878" t="s">
        <v>2640</v>
      </c>
      <c r="D878">
        <v>96255</v>
      </c>
      <c r="E878" t="str">
        <f t="shared" si="13"/>
        <v>ia.assorted_string like '%96255-08-2024%' or</v>
      </c>
    </row>
    <row r="879" spans="1:5" x14ac:dyDescent="0.25">
      <c r="A879" t="s">
        <v>1008</v>
      </c>
      <c r="B879" t="s">
        <v>2640</v>
      </c>
      <c r="D879">
        <v>96257</v>
      </c>
      <c r="E879" t="str">
        <f t="shared" si="13"/>
        <v>ia.assorted_string like '%96257-08-2024%' or</v>
      </c>
    </row>
    <row r="880" spans="1:5" x14ac:dyDescent="0.25">
      <c r="A880" t="s">
        <v>1009</v>
      </c>
      <c r="B880" t="s">
        <v>2640</v>
      </c>
      <c r="D880">
        <v>96259</v>
      </c>
      <c r="E880" t="str">
        <f t="shared" si="13"/>
        <v>ia.assorted_string like '%96259-08-2024%' or</v>
      </c>
    </row>
    <row r="881" spans="1:5" x14ac:dyDescent="0.25">
      <c r="A881" t="s">
        <v>1010</v>
      </c>
      <c r="B881" t="s">
        <v>2640</v>
      </c>
      <c r="D881">
        <v>96262</v>
      </c>
      <c r="E881" t="str">
        <f t="shared" si="13"/>
        <v>ia.assorted_string like '%96262-08-2024%' or</v>
      </c>
    </row>
    <row r="882" spans="1:5" x14ac:dyDescent="0.25">
      <c r="A882" t="s">
        <v>1011</v>
      </c>
      <c r="B882" t="s">
        <v>2640</v>
      </c>
      <c r="D882">
        <v>96264</v>
      </c>
      <c r="E882" t="str">
        <f t="shared" si="13"/>
        <v>ia.assorted_string like '%96264-08-2024%' or</v>
      </c>
    </row>
    <row r="883" spans="1:5" x14ac:dyDescent="0.25">
      <c r="A883" t="s">
        <v>1012</v>
      </c>
      <c r="B883" t="s">
        <v>2640</v>
      </c>
      <c r="D883">
        <v>96265</v>
      </c>
      <c r="E883" t="str">
        <f t="shared" si="13"/>
        <v>ia.assorted_string like '%96265-08-2024%' or</v>
      </c>
    </row>
    <row r="884" spans="1:5" x14ac:dyDescent="0.25">
      <c r="A884" t="s">
        <v>1013</v>
      </c>
      <c r="B884" t="s">
        <v>2640</v>
      </c>
      <c r="D884">
        <v>96266</v>
      </c>
      <c r="E884" t="str">
        <f t="shared" si="13"/>
        <v>ia.assorted_string like '%96266-08-2024%' or</v>
      </c>
    </row>
    <row r="885" spans="1:5" x14ac:dyDescent="0.25">
      <c r="A885" t="s">
        <v>1014</v>
      </c>
      <c r="B885" t="s">
        <v>2640</v>
      </c>
      <c r="D885">
        <v>96267</v>
      </c>
      <c r="E885" t="str">
        <f t="shared" si="13"/>
        <v>ia.assorted_string like '%96267-08-2024%' or</v>
      </c>
    </row>
    <row r="886" spans="1:5" x14ac:dyDescent="0.25">
      <c r="A886" t="s">
        <v>1015</v>
      </c>
      <c r="B886" t="s">
        <v>2640</v>
      </c>
      <c r="D886">
        <v>96268</v>
      </c>
      <c r="E886" t="str">
        <f t="shared" si="13"/>
        <v>ia.assorted_string like '%96268-08-2024%' or</v>
      </c>
    </row>
    <row r="887" spans="1:5" x14ac:dyDescent="0.25">
      <c r="A887" t="s">
        <v>1016</v>
      </c>
      <c r="B887" t="s">
        <v>2640</v>
      </c>
      <c r="D887">
        <v>96270</v>
      </c>
      <c r="E887" t="str">
        <f t="shared" si="13"/>
        <v>ia.assorted_string like '%96270-08-2024%' or</v>
      </c>
    </row>
    <row r="888" spans="1:5" x14ac:dyDescent="0.25">
      <c r="A888" t="s">
        <v>1017</v>
      </c>
      <c r="B888" t="s">
        <v>2640</v>
      </c>
      <c r="D888">
        <v>96271</v>
      </c>
      <c r="E888" t="str">
        <f t="shared" si="13"/>
        <v>ia.assorted_string like '%96271-08-2024%' or</v>
      </c>
    </row>
    <row r="889" spans="1:5" x14ac:dyDescent="0.25">
      <c r="A889" t="s">
        <v>1018</v>
      </c>
      <c r="B889" t="s">
        <v>2640</v>
      </c>
      <c r="D889">
        <v>96272</v>
      </c>
      <c r="E889" t="str">
        <f t="shared" si="13"/>
        <v>ia.assorted_string like '%96272-08-2024%' or</v>
      </c>
    </row>
    <row r="890" spans="1:5" x14ac:dyDescent="0.25">
      <c r="A890" t="s">
        <v>1019</v>
      </c>
      <c r="B890" t="s">
        <v>2640</v>
      </c>
      <c r="D890">
        <v>96273</v>
      </c>
      <c r="E890" t="str">
        <f t="shared" si="13"/>
        <v>ia.assorted_string like '%96273-08-2024%' or</v>
      </c>
    </row>
    <row r="891" spans="1:5" x14ac:dyDescent="0.25">
      <c r="A891" t="s">
        <v>1020</v>
      </c>
      <c r="B891" t="s">
        <v>2640</v>
      </c>
      <c r="D891">
        <v>96275</v>
      </c>
      <c r="E891" t="str">
        <f t="shared" si="13"/>
        <v>ia.assorted_string like '%96275-08-2024%' or</v>
      </c>
    </row>
    <row r="892" spans="1:5" x14ac:dyDescent="0.25">
      <c r="A892" t="s">
        <v>1021</v>
      </c>
      <c r="B892" t="s">
        <v>2640</v>
      </c>
      <c r="D892">
        <v>96276</v>
      </c>
      <c r="E892" t="str">
        <f t="shared" si="13"/>
        <v>ia.assorted_string like '%96276-08-2024%' or</v>
      </c>
    </row>
    <row r="893" spans="1:5" x14ac:dyDescent="0.25">
      <c r="A893" t="s">
        <v>1022</v>
      </c>
      <c r="B893" t="s">
        <v>2640</v>
      </c>
      <c r="D893">
        <v>96278</v>
      </c>
      <c r="E893" t="str">
        <f t="shared" si="13"/>
        <v>ia.assorted_string like '%96278-08-2024%' or</v>
      </c>
    </row>
    <row r="894" spans="1:5" x14ac:dyDescent="0.25">
      <c r="A894" t="s">
        <v>1023</v>
      </c>
      <c r="B894" t="s">
        <v>2640</v>
      </c>
      <c r="D894">
        <v>96279</v>
      </c>
      <c r="E894" t="str">
        <f t="shared" si="13"/>
        <v>ia.assorted_string like '%96279-08-2024%' or</v>
      </c>
    </row>
    <row r="895" spans="1:5" x14ac:dyDescent="0.25">
      <c r="A895" t="s">
        <v>1024</v>
      </c>
      <c r="B895" t="s">
        <v>2640</v>
      </c>
      <c r="D895">
        <v>96281</v>
      </c>
      <c r="E895" t="str">
        <f t="shared" si="13"/>
        <v>ia.assorted_string like '%96281-08-2024%' or</v>
      </c>
    </row>
    <row r="896" spans="1:5" x14ac:dyDescent="0.25">
      <c r="A896" t="s">
        <v>1025</v>
      </c>
      <c r="B896" t="s">
        <v>2640</v>
      </c>
      <c r="D896">
        <v>96282</v>
      </c>
      <c r="E896" t="str">
        <f t="shared" si="13"/>
        <v>ia.assorted_string like '%96282-08-2024%' or</v>
      </c>
    </row>
    <row r="897" spans="1:5" x14ac:dyDescent="0.25">
      <c r="A897" t="s">
        <v>1026</v>
      </c>
      <c r="B897" t="s">
        <v>2640</v>
      </c>
      <c r="D897">
        <v>96284</v>
      </c>
      <c r="E897" t="str">
        <f t="shared" si="13"/>
        <v>ia.assorted_string like '%96284-08-2024%' or</v>
      </c>
    </row>
    <row r="898" spans="1:5" x14ac:dyDescent="0.25">
      <c r="A898" t="s">
        <v>1027</v>
      </c>
      <c r="B898" t="s">
        <v>2640</v>
      </c>
      <c r="D898">
        <v>96286</v>
      </c>
      <c r="E898" t="str">
        <f t="shared" ref="E898:E961" si="14">"ia.assorted_string like '%"&amp;D898&amp;B898&amp;"%' or"</f>
        <v>ia.assorted_string like '%96286-08-2024%' or</v>
      </c>
    </row>
    <row r="899" spans="1:5" x14ac:dyDescent="0.25">
      <c r="A899" t="s">
        <v>1028</v>
      </c>
      <c r="B899" t="s">
        <v>2640</v>
      </c>
      <c r="D899">
        <v>96287</v>
      </c>
      <c r="E899" t="str">
        <f t="shared" si="14"/>
        <v>ia.assorted_string like '%96287-08-2024%' or</v>
      </c>
    </row>
    <row r="900" spans="1:5" x14ac:dyDescent="0.25">
      <c r="A900" t="s">
        <v>1029</v>
      </c>
      <c r="B900" t="s">
        <v>2640</v>
      </c>
      <c r="D900">
        <v>96289</v>
      </c>
      <c r="E900" t="str">
        <f t="shared" si="14"/>
        <v>ia.assorted_string like '%96289-08-2024%' or</v>
      </c>
    </row>
    <row r="901" spans="1:5" x14ac:dyDescent="0.25">
      <c r="A901" t="s">
        <v>1030</v>
      </c>
      <c r="B901" t="s">
        <v>2640</v>
      </c>
      <c r="D901">
        <v>96290</v>
      </c>
      <c r="E901" t="str">
        <f t="shared" si="14"/>
        <v>ia.assorted_string like '%96290-08-2024%' or</v>
      </c>
    </row>
    <row r="902" spans="1:5" x14ac:dyDescent="0.25">
      <c r="A902" t="s">
        <v>1031</v>
      </c>
      <c r="B902" t="s">
        <v>2640</v>
      </c>
      <c r="D902">
        <v>96292</v>
      </c>
      <c r="E902" t="str">
        <f t="shared" si="14"/>
        <v>ia.assorted_string like '%96292-08-2024%' or</v>
      </c>
    </row>
    <row r="903" spans="1:5" x14ac:dyDescent="0.25">
      <c r="A903" t="s">
        <v>1032</v>
      </c>
      <c r="B903" t="s">
        <v>2640</v>
      </c>
      <c r="D903">
        <v>96294</v>
      </c>
      <c r="E903" t="str">
        <f t="shared" si="14"/>
        <v>ia.assorted_string like '%96294-08-2024%' or</v>
      </c>
    </row>
    <row r="904" spans="1:5" x14ac:dyDescent="0.25">
      <c r="A904" t="s">
        <v>1033</v>
      </c>
      <c r="B904" t="s">
        <v>2640</v>
      </c>
      <c r="D904">
        <v>96295</v>
      </c>
      <c r="E904" t="str">
        <f t="shared" si="14"/>
        <v>ia.assorted_string like '%96295-08-2024%' or</v>
      </c>
    </row>
    <row r="905" spans="1:5" x14ac:dyDescent="0.25">
      <c r="A905" t="s">
        <v>1034</v>
      </c>
      <c r="B905" t="s">
        <v>2640</v>
      </c>
      <c r="D905">
        <v>96297</v>
      </c>
      <c r="E905" t="str">
        <f t="shared" si="14"/>
        <v>ia.assorted_string like '%96297-08-2024%' or</v>
      </c>
    </row>
    <row r="906" spans="1:5" x14ac:dyDescent="0.25">
      <c r="A906" t="s">
        <v>1035</v>
      </c>
      <c r="B906" t="s">
        <v>2640</v>
      </c>
      <c r="D906">
        <v>96298</v>
      </c>
      <c r="E906" t="str">
        <f t="shared" si="14"/>
        <v>ia.assorted_string like '%96298-08-2024%' or</v>
      </c>
    </row>
    <row r="907" spans="1:5" x14ac:dyDescent="0.25">
      <c r="A907" t="s">
        <v>1036</v>
      </c>
      <c r="B907" t="s">
        <v>2640</v>
      </c>
      <c r="D907">
        <v>96312</v>
      </c>
      <c r="E907" t="str">
        <f t="shared" si="14"/>
        <v>ia.assorted_string like '%96312-08-2024%' or</v>
      </c>
    </row>
    <row r="908" spans="1:5" x14ac:dyDescent="0.25">
      <c r="A908" t="s">
        <v>1037</v>
      </c>
      <c r="B908" t="s">
        <v>2640</v>
      </c>
      <c r="D908">
        <v>96313</v>
      </c>
      <c r="E908" t="str">
        <f t="shared" si="14"/>
        <v>ia.assorted_string like '%96313-08-2024%' or</v>
      </c>
    </row>
    <row r="909" spans="1:5" x14ac:dyDescent="0.25">
      <c r="A909" t="s">
        <v>1038</v>
      </c>
      <c r="B909" t="s">
        <v>2640</v>
      </c>
      <c r="D909">
        <v>96315</v>
      </c>
      <c r="E909" t="str">
        <f t="shared" si="14"/>
        <v>ia.assorted_string like '%96315-08-2024%' or</v>
      </c>
    </row>
    <row r="910" spans="1:5" x14ac:dyDescent="0.25">
      <c r="A910" t="s">
        <v>1039</v>
      </c>
      <c r="B910" t="s">
        <v>2640</v>
      </c>
      <c r="D910">
        <v>96316</v>
      </c>
      <c r="E910" t="str">
        <f t="shared" si="14"/>
        <v>ia.assorted_string like '%96316-08-2024%' or</v>
      </c>
    </row>
    <row r="911" spans="1:5" x14ac:dyDescent="0.25">
      <c r="A911" t="s">
        <v>1040</v>
      </c>
      <c r="B911" t="s">
        <v>2640</v>
      </c>
      <c r="D911">
        <v>96317</v>
      </c>
      <c r="E911" t="str">
        <f t="shared" si="14"/>
        <v>ia.assorted_string like '%96317-08-2024%' or</v>
      </c>
    </row>
    <row r="912" spans="1:5" x14ac:dyDescent="0.25">
      <c r="A912" t="s">
        <v>1041</v>
      </c>
      <c r="B912" t="s">
        <v>2640</v>
      </c>
      <c r="D912">
        <v>96321</v>
      </c>
      <c r="E912" t="str">
        <f t="shared" si="14"/>
        <v>ia.assorted_string like '%96321-08-2024%' or</v>
      </c>
    </row>
    <row r="913" spans="1:5" x14ac:dyDescent="0.25">
      <c r="A913" t="s">
        <v>1042</v>
      </c>
      <c r="B913" t="s">
        <v>2640</v>
      </c>
      <c r="D913">
        <v>96322</v>
      </c>
      <c r="E913" t="str">
        <f t="shared" si="14"/>
        <v>ia.assorted_string like '%96322-08-2024%' or</v>
      </c>
    </row>
    <row r="914" spans="1:5" x14ac:dyDescent="0.25">
      <c r="A914" t="s">
        <v>1043</v>
      </c>
      <c r="B914" t="s">
        <v>2640</v>
      </c>
      <c r="D914">
        <v>96329</v>
      </c>
      <c r="E914" t="str">
        <f t="shared" si="14"/>
        <v>ia.assorted_string like '%96329-08-2024%' or</v>
      </c>
    </row>
    <row r="915" spans="1:5" x14ac:dyDescent="0.25">
      <c r="A915" t="s">
        <v>1044</v>
      </c>
      <c r="B915" t="s">
        <v>2640</v>
      </c>
      <c r="D915">
        <v>96330</v>
      </c>
      <c r="E915" t="str">
        <f t="shared" si="14"/>
        <v>ia.assorted_string like '%96330-08-2024%' or</v>
      </c>
    </row>
    <row r="916" spans="1:5" x14ac:dyDescent="0.25">
      <c r="A916" t="s">
        <v>1045</v>
      </c>
      <c r="B916" t="s">
        <v>2640</v>
      </c>
      <c r="D916">
        <v>96331</v>
      </c>
      <c r="E916" t="str">
        <f t="shared" si="14"/>
        <v>ia.assorted_string like '%96331-08-2024%' or</v>
      </c>
    </row>
    <row r="917" spans="1:5" x14ac:dyDescent="0.25">
      <c r="A917" t="s">
        <v>1046</v>
      </c>
      <c r="B917" t="s">
        <v>2640</v>
      </c>
      <c r="D917">
        <v>96334</v>
      </c>
      <c r="E917" t="str">
        <f t="shared" si="14"/>
        <v>ia.assorted_string like '%96334-08-2024%' or</v>
      </c>
    </row>
    <row r="918" spans="1:5" x14ac:dyDescent="0.25">
      <c r="A918" t="s">
        <v>1047</v>
      </c>
      <c r="B918" t="s">
        <v>2640</v>
      </c>
      <c r="D918">
        <v>96342</v>
      </c>
      <c r="E918" t="str">
        <f t="shared" si="14"/>
        <v>ia.assorted_string like '%96342-08-2024%' or</v>
      </c>
    </row>
    <row r="919" spans="1:5" x14ac:dyDescent="0.25">
      <c r="A919" t="s">
        <v>1048</v>
      </c>
      <c r="B919" t="s">
        <v>2640</v>
      </c>
      <c r="D919">
        <v>96343</v>
      </c>
      <c r="E919" t="str">
        <f t="shared" si="14"/>
        <v>ia.assorted_string like '%96343-08-2024%' or</v>
      </c>
    </row>
    <row r="920" spans="1:5" x14ac:dyDescent="0.25">
      <c r="A920" t="s">
        <v>1049</v>
      </c>
      <c r="B920" t="s">
        <v>2640</v>
      </c>
      <c r="D920">
        <v>96345</v>
      </c>
      <c r="E920" t="str">
        <f t="shared" si="14"/>
        <v>ia.assorted_string like '%96345-08-2024%' or</v>
      </c>
    </row>
    <row r="921" spans="1:5" x14ac:dyDescent="0.25">
      <c r="A921" t="s">
        <v>1050</v>
      </c>
      <c r="B921" t="s">
        <v>2640</v>
      </c>
      <c r="D921">
        <v>96349</v>
      </c>
      <c r="E921" t="str">
        <f t="shared" si="14"/>
        <v>ia.assorted_string like '%96349-08-2024%' or</v>
      </c>
    </row>
    <row r="922" spans="1:5" x14ac:dyDescent="0.25">
      <c r="A922" t="s">
        <v>1051</v>
      </c>
      <c r="B922" t="s">
        <v>2640</v>
      </c>
      <c r="D922">
        <v>96350</v>
      </c>
      <c r="E922" t="str">
        <f t="shared" si="14"/>
        <v>ia.assorted_string like '%96350-08-2024%' or</v>
      </c>
    </row>
    <row r="923" spans="1:5" x14ac:dyDescent="0.25">
      <c r="A923" t="s">
        <v>1052</v>
      </c>
      <c r="B923" t="s">
        <v>2640</v>
      </c>
      <c r="D923">
        <v>96351</v>
      </c>
      <c r="E923" t="str">
        <f t="shared" si="14"/>
        <v>ia.assorted_string like '%96351-08-2024%' or</v>
      </c>
    </row>
    <row r="924" spans="1:5" x14ac:dyDescent="0.25">
      <c r="A924" t="s">
        <v>1053</v>
      </c>
      <c r="B924" t="s">
        <v>2640</v>
      </c>
      <c r="D924">
        <v>96352</v>
      </c>
      <c r="E924" t="str">
        <f t="shared" si="14"/>
        <v>ia.assorted_string like '%96352-08-2024%' or</v>
      </c>
    </row>
    <row r="925" spans="1:5" x14ac:dyDescent="0.25">
      <c r="A925" t="s">
        <v>1054</v>
      </c>
      <c r="B925" t="s">
        <v>2640</v>
      </c>
      <c r="D925">
        <v>96353</v>
      </c>
      <c r="E925" t="str">
        <f t="shared" si="14"/>
        <v>ia.assorted_string like '%96353-08-2024%' or</v>
      </c>
    </row>
    <row r="926" spans="1:5" x14ac:dyDescent="0.25">
      <c r="A926" t="s">
        <v>1055</v>
      </c>
      <c r="B926" t="s">
        <v>2640</v>
      </c>
      <c r="D926">
        <v>96354</v>
      </c>
      <c r="E926" t="str">
        <f t="shared" si="14"/>
        <v>ia.assorted_string like '%96354-08-2024%' or</v>
      </c>
    </row>
    <row r="927" spans="1:5" x14ac:dyDescent="0.25">
      <c r="A927" t="s">
        <v>1056</v>
      </c>
      <c r="B927" t="s">
        <v>2640</v>
      </c>
      <c r="D927">
        <v>96355</v>
      </c>
      <c r="E927" t="str">
        <f t="shared" si="14"/>
        <v>ia.assorted_string like '%96355-08-2024%' or</v>
      </c>
    </row>
    <row r="928" spans="1:5" x14ac:dyDescent="0.25">
      <c r="A928" t="s">
        <v>1057</v>
      </c>
      <c r="B928" t="s">
        <v>2640</v>
      </c>
      <c r="D928">
        <v>96356</v>
      </c>
      <c r="E928" t="str">
        <f t="shared" si="14"/>
        <v>ia.assorted_string like '%96356-08-2024%' or</v>
      </c>
    </row>
    <row r="929" spans="1:5" x14ac:dyDescent="0.25">
      <c r="A929" t="s">
        <v>1058</v>
      </c>
      <c r="B929" t="s">
        <v>2640</v>
      </c>
      <c r="D929">
        <v>96357</v>
      </c>
      <c r="E929" t="str">
        <f t="shared" si="14"/>
        <v>ia.assorted_string like '%96357-08-2024%' or</v>
      </c>
    </row>
    <row r="930" spans="1:5" x14ac:dyDescent="0.25">
      <c r="A930" t="s">
        <v>1059</v>
      </c>
      <c r="B930" t="s">
        <v>2640</v>
      </c>
      <c r="D930">
        <v>96359</v>
      </c>
      <c r="E930" t="str">
        <f t="shared" si="14"/>
        <v>ia.assorted_string like '%96359-08-2024%' or</v>
      </c>
    </row>
    <row r="931" spans="1:5" x14ac:dyDescent="0.25">
      <c r="A931" t="s">
        <v>1060</v>
      </c>
      <c r="B931" t="s">
        <v>2640</v>
      </c>
      <c r="D931">
        <v>96374</v>
      </c>
      <c r="E931" t="str">
        <f t="shared" si="14"/>
        <v>ia.assorted_string like '%96374-08-2024%' or</v>
      </c>
    </row>
    <row r="932" spans="1:5" x14ac:dyDescent="0.25">
      <c r="A932" t="s">
        <v>1061</v>
      </c>
      <c r="B932" t="s">
        <v>2640</v>
      </c>
      <c r="D932">
        <v>96376</v>
      </c>
      <c r="E932" t="str">
        <f t="shared" si="14"/>
        <v>ia.assorted_string like '%96376-08-2024%' or</v>
      </c>
    </row>
    <row r="933" spans="1:5" x14ac:dyDescent="0.25">
      <c r="A933" t="s">
        <v>1062</v>
      </c>
      <c r="B933" t="s">
        <v>2640</v>
      </c>
      <c r="D933">
        <v>96378</v>
      </c>
      <c r="E933" t="str">
        <f t="shared" si="14"/>
        <v>ia.assorted_string like '%96378-08-2024%' or</v>
      </c>
    </row>
    <row r="934" spans="1:5" x14ac:dyDescent="0.25">
      <c r="A934" t="s">
        <v>1063</v>
      </c>
      <c r="B934" t="s">
        <v>2640</v>
      </c>
      <c r="D934">
        <v>96381</v>
      </c>
      <c r="E934" t="str">
        <f t="shared" si="14"/>
        <v>ia.assorted_string like '%96381-08-2024%' or</v>
      </c>
    </row>
    <row r="935" spans="1:5" x14ac:dyDescent="0.25">
      <c r="A935" t="s">
        <v>1064</v>
      </c>
      <c r="B935" t="s">
        <v>2640</v>
      </c>
      <c r="D935">
        <v>96383</v>
      </c>
      <c r="E935" t="str">
        <f t="shared" si="14"/>
        <v>ia.assorted_string like '%96383-08-2024%' or</v>
      </c>
    </row>
    <row r="936" spans="1:5" x14ac:dyDescent="0.25">
      <c r="A936" t="s">
        <v>1065</v>
      </c>
      <c r="B936" t="s">
        <v>2640</v>
      </c>
      <c r="D936">
        <v>96384</v>
      </c>
      <c r="E936" t="str">
        <f t="shared" si="14"/>
        <v>ia.assorted_string like '%96384-08-2024%' or</v>
      </c>
    </row>
    <row r="937" spans="1:5" x14ac:dyDescent="0.25">
      <c r="A937" t="s">
        <v>1066</v>
      </c>
      <c r="B937" t="s">
        <v>2640</v>
      </c>
      <c r="D937">
        <v>96385</v>
      </c>
      <c r="E937" t="str">
        <f t="shared" si="14"/>
        <v>ia.assorted_string like '%96385-08-2024%' or</v>
      </c>
    </row>
    <row r="938" spans="1:5" x14ac:dyDescent="0.25">
      <c r="A938" t="s">
        <v>1067</v>
      </c>
      <c r="B938" t="s">
        <v>2640</v>
      </c>
      <c r="D938">
        <v>96386</v>
      </c>
      <c r="E938" t="str">
        <f t="shared" si="14"/>
        <v>ia.assorted_string like '%96386-08-2024%' or</v>
      </c>
    </row>
    <row r="939" spans="1:5" x14ac:dyDescent="0.25">
      <c r="A939" t="s">
        <v>1068</v>
      </c>
      <c r="B939" t="s">
        <v>2640</v>
      </c>
      <c r="D939">
        <v>96387</v>
      </c>
      <c r="E939" t="str">
        <f t="shared" si="14"/>
        <v>ia.assorted_string like '%96387-08-2024%' or</v>
      </c>
    </row>
    <row r="940" spans="1:5" x14ac:dyDescent="0.25">
      <c r="A940" t="s">
        <v>1069</v>
      </c>
      <c r="B940" t="s">
        <v>2640</v>
      </c>
      <c r="D940">
        <v>96388</v>
      </c>
      <c r="E940" t="str">
        <f t="shared" si="14"/>
        <v>ia.assorted_string like '%96388-08-2024%' or</v>
      </c>
    </row>
    <row r="941" spans="1:5" x14ac:dyDescent="0.25">
      <c r="A941" t="s">
        <v>1070</v>
      </c>
      <c r="B941" t="s">
        <v>2640</v>
      </c>
      <c r="D941">
        <v>96392</v>
      </c>
      <c r="E941" t="str">
        <f t="shared" si="14"/>
        <v>ia.assorted_string like '%96392-08-2024%' or</v>
      </c>
    </row>
    <row r="942" spans="1:5" x14ac:dyDescent="0.25">
      <c r="A942" t="s">
        <v>1071</v>
      </c>
      <c r="B942" t="s">
        <v>2640</v>
      </c>
      <c r="D942">
        <v>96393</v>
      </c>
      <c r="E942" t="str">
        <f t="shared" si="14"/>
        <v>ia.assorted_string like '%96393-08-2024%' or</v>
      </c>
    </row>
    <row r="943" spans="1:5" x14ac:dyDescent="0.25">
      <c r="A943" t="s">
        <v>1072</v>
      </c>
      <c r="B943" t="s">
        <v>2640</v>
      </c>
      <c r="D943">
        <v>96394</v>
      </c>
      <c r="E943" t="str">
        <f t="shared" si="14"/>
        <v>ia.assorted_string like '%96394-08-2024%' or</v>
      </c>
    </row>
    <row r="944" spans="1:5" x14ac:dyDescent="0.25">
      <c r="A944" t="s">
        <v>1073</v>
      </c>
      <c r="B944" t="s">
        <v>2640</v>
      </c>
      <c r="D944">
        <v>96395</v>
      </c>
      <c r="E944" t="str">
        <f t="shared" si="14"/>
        <v>ia.assorted_string like '%96395-08-2024%' or</v>
      </c>
    </row>
    <row r="945" spans="1:5" x14ac:dyDescent="0.25">
      <c r="A945" t="s">
        <v>1074</v>
      </c>
      <c r="B945" t="s">
        <v>2640</v>
      </c>
      <c r="D945">
        <v>96397</v>
      </c>
      <c r="E945" t="str">
        <f t="shared" si="14"/>
        <v>ia.assorted_string like '%96397-08-2024%' or</v>
      </c>
    </row>
    <row r="946" spans="1:5" x14ac:dyDescent="0.25">
      <c r="A946" t="s">
        <v>1075</v>
      </c>
      <c r="B946" t="s">
        <v>2640</v>
      </c>
      <c r="D946">
        <v>96398</v>
      </c>
      <c r="E946" t="str">
        <f t="shared" si="14"/>
        <v>ia.assorted_string like '%96398-08-2024%' or</v>
      </c>
    </row>
    <row r="947" spans="1:5" x14ac:dyDescent="0.25">
      <c r="A947" t="s">
        <v>1076</v>
      </c>
      <c r="B947" t="s">
        <v>2640</v>
      </c>
      <c r="D947">
        <v>96399</v>
      </c>
      <c r="E947" t="str">
        <f t="shared" si="14"/>
        <v>ia.assorted_string like '%96399-08-2024%' or</v>
      </c>
    </row>
    <row r="948" spans="1:5" x14ac:dyDescent="0.25">
      <c r="A948" t="s">
        <v>1077</v>
      </c>
      <c r="B948" t="s">
        <v>2640</v>
      </c>
      <c r="D948">
        <v>96400</v>
      </c>
      <c r="E948" t="str">
        <f t="shared" si="14"/>
        <v>ia.assorted_string like '%96400-08-2024%' or</v>
      </c>
    </row>
    <row r="949" spans="1:5" x14ac:dyDescent="0.25">
      <c r="A949" t="s">
        <v>1078</v>
      </c>
      <c r="B949" t="s">
        <v>2640</v>
      </c>
      <c r="D949">
        <v>96401</v>
      </c>
      <c r="E949" t="str">
        <f t="shared" si="14"/>
        <v>ia.assorted_string like '%96401-08-2024%' or</v>
      </c>
    </row>
    <row r="950" spans="1:5" x14ac:dyDescent="0.25">
      <c r="A950" t="s">
        <v>1079</v>
      </c>
      <c r="B950" t="s">
        <v>2640</v>
      </c>
      <c r="D950">
        <v>96402</v>
      </c>
      <c r="E950" t="str">
        <f t="shared" si="14"/>
        <v>ia.assorted_string like '%96402-08-2024%' or</v>
      </c>
    </row>
    <row r="951" spans="1:5" x14ac:dyDescent="0.25">
      <c r="A951" t="s">
        <v>1080</v>
      </c>
      <c r="B951" t="s">
        <v>2640</v>
      </c>
      <c r="D951">
        <v>96404</v>
      </c>
      <c r="E951" t="str">
        <f t="shared" si="14"/>
        <v>ia.assorted_string like '%96404-08-2024%' or</v>
      </c>
    </row>
    <row r="952" spans="1:5" x14ac:dyDescent="0.25">
      <c r="A952" t="s">
        <v>1081</v>
      </c>
      <c r="B952" t="s">
        <v>2640</v>
      </c>
      <c r="D952">
        <v>96405</v>
      </c>
      <c r="E952" t="str">
        <f t="shared" si="14"/>
        <v>ia.assorted_string like '%96405-08-2024%' or</v>
      </c>
    </row>
    <row r="953" spans="1:5" x14ac:dyDescent="0.25">
      <c r="A953" t="s">
        <v>1082</v>
      </c>
      <c r="B953" t="s">
        <v>2640</v>
      </c>
      <c r="D953">
        <v>96406</v>
      </c>
      <c r="E953" t="str">
        <f t="shared" si="14"/>
        <v>ia.assorted_string like '%96406-08-2024%' or</v>
      </c>
    </row>
    <row r="954" spans="1:5" x14ac:dyDescent="0.25">
      <c r="A954" t="s">
        <v>1083</v>
      </c>
      <c r="B954" t="s">
        <v>2640</v>
      </c>
      <c r="D954">
        <v>96407</v>
      </c>
      <c r="E954" t="str">
        <f t="shared" si="14"/>
        <v>ia.assorted_string like '%96407-08-2024%' or</v>
      </c>
    </row>
    <row r="955" spans="1:5" x14ac:dyDescent="0.25">
      <c r="A955" t="s">
        <v>1084</v>
      </c>
      <c r="B955" t="s">
        <v>2640</v>
      </c>
      <c r="D955">
        <v>96408</v>
      </c>
      <c r="E955" t="str">
        <f t="shared" si="14"/>
        <v>ia.assorted_string like '%96408-08-2024%' or</v>
      </c>
    </row>
    <row r="956" spans="1:5" x14ac:dyDescent="0.25">
      <c r="A956" t="s">
        <v>1085</v>
      </c>
      <c r="B956" t="s">
        <v>2640</v>
      </c>
      <c r="D956">
        <v>96409</v>
      </c>
      <c r="E956" t="str">
        <f t="shared" si="14"/>
        <v>ia.assorted_string like '%96409-08-2024%' or</v>
      </c>
    </row>
    <row r="957" spans="1:5" x14ac:dyDescent="0.25">
      <c r="A957" t="s">
        <v>1086</v>
      </c>
      <c r="B957" t="s">
        <v>2640</v>
      </c>
      <c r="D957">
        <v>96410</v>
      </c>
      <c r="E957" t="str">
        <f t="shared" si="14"/>
        <v>ia.assorted_string like '%96410-08-2024%' or</v>
      </c>
    </row>
    <row r="958" spans="1:5" x14ac:dyDescent="0.25">
      <c r="A958" t="s">
        <v>1087</v>
      </c>
      <c r="B958" t="s">
        <v>2640</v>
      </c>
      <c r="D958">
        <v>96411</v>
      </c>
      <c r="E958" t="str">
        <f t="shared" si="14"/>
        <v>ia.assorted_string like '%96411-08-2024%' or</v>
      </c>
    </row>
    <row r="959" spans="1:5" x14ac:dyDescent="0.25">
      <c r="A959" t="s">
        <v>1088</v>
      </c>
      <c r="B959" t="s">
        <v>2640</v>
      </c>
      <c r="D959">
        <v>96412</v>
      </c>
      <c r="E959" t="str">
        <f t="shared" si="14"/>
        <v>ia.assorted_string like '%96412-08-2024%' or</v>
      </c>
    </row>
    <row r="960" spans="1:5" x14ac:dyDescent="0.25">
      <c r="A960" t="s">
        <v>1089</v>
      </c>
      <c r="B960" t="s">
        <v>2640</v>
      </c>
      <c r="D960">
        <v>96413</v>
      </c>
      <c r="E960" t="str">
        <f t="shared" si="14"/>
        <v>ia.assorted_string like '%96413-08-2024%' or</v>
      </c>
    </row>
    <row r="961" spans="1:5" x14ac:dyDescent="0.25">
      <c r="A961" t="s">
        <v>1090</v>
      </c>
      <c r="B961" t="s">
        <v>2640</v>
      </c>
      <c r="D961">
        <v>96414</v>
      </c>
      <c r="E961" t="str">
        <f t="shared" si="14"/>
        <v>ia.assorted_string like '%96414-08-2024%' or</v>
      </c>
    </row>
    <row r="962" spans="1:5" x14ac:dyDescent="0.25">
      <c r="A962" t="s">
        <v>1091</v>
      </c>
      <c r="B962" t="s">
        <v>2640</v>
      </c>
      <c r="D962">
        <v>96416</v>
      </c>
      <c r="E962" t="str">
        <f t="shared" ref="E962:E1016" si="15">"ia.assorted_string like '%"&amp;D962&amp;B962&amp;"%' or"</f>
        <v>ia.assorted_string like '%96416-08-2024%' or</v>
      </c>
    </row>
    <row r="963" spans="1:5" x14ac:dyDescent="0.25">
      <c r="A963" t="s">
        <v>1092</v>
      </c>
      <c r="B963" t="s">
        <v>2640</v>
      </c>
      <c r="D963">
        <v>96417</v>
      </c>
      <c r="E963" t="str">
        <f t="shared" si="15"/>
        <v>ia.assorted_string like '%96417-08-2024%' or</v>
      </c>
    </row>
    <row r="964" spans="1:5" x14ac:dyDescent="0.25">
      <c r="A964" t="s">
        <v>1093</v>
      </c>
      <c r="B964" t="s">
        <v>2640</v>
      </c>
      <c r="D964">
        <v>96418</v>
      </c>
      <c r="E964" t="str">
        <f t="shared" si="15"/>
        <v>ia.assorted_string like '%96418-08-2024%' or</v>
      </c>
    </row>
    <row r="965" spans="1:5" x14ac:dyDescent="0.25">
      <c r="A965" t="s">
        <v>1094</v>
      </c>
      <c r="B965" t="s">
        <v>2640</v>
      </c>
      <c r="D965">
        <v>96419</v>
      </c>
      <c r="E965" t="str">
        <f t="shared" si="15"/>
        <v>ia.assorted_string like '%96419-08-2024%' or</v>
      </c>
    </row>
    <row r="966" spans="1:5" x14ac:dyDescent="0.25">
      <c r="A966" t="s">
        <v>1095</v>
      </c>
      <c r="B966" t="s">
        <v>2640</v>
      </c>
      <c r="D966">
        <v>96420</v>
      </c>
      <c r="E966" t="str">
        <f t="shared" si="15"/>
        <v>ia.assorted_string like '%96420-08-2024%' or</v>
      </c>
    </row>
    <row r="967" spans="1:5" x14ac:dyDescent="0.25">
      <c r="A967" t="s">
        <v>1096</v>
      </c>
      <c r="B967" t="s">
        <v>2640</v>
      </c>
      <c r="D967">
        <v>96421</v>
      </c>
      <c r="E967" t="str">
        <f t="shared" si="15"/>
        <v>ia.assorted_string like '%96421-08-2024%' or</v>
      </c>
    </row>
    <row r="968" spans="1:5" x14ac:dyDescent="0.25">
      <c r="A968" t="s">
        <v>1097</v>
      </c>
      <c r="B968" t="s">
        <v>2640</v>
      </c>
      <c r="D968">
        <v>96422</v>
      </c>
      <c r="E968" t="str">
        <f t="shared" si="15"/>
        <v>ia.assorted_string like '%96422-08-2024%' or</v>
      </c>
    </row>
    <row r="969" spans="1:5" x14ac:dyDescent="0.25">
      <c r="A969" t="s">
        <v>1098</v>
      </c>
      <c r="B969" t="s">
        <v>2640</v>
      </c>
      <c r="D969">
        <v>96423</v>
      </c>
      <c r="E969" t="str">
        <f t="shared" si="15"/>
        <v>ia.assorted_string like '%96423-08-2024%' or</v>
      </c>
    </row>
    <row r="970" spans="1:5" x14ac:dyDescent="0.25">
      <c r="A970" t="s">
        <v>1099</v>
      </c>
      <c r="B970" t="s">
        <v>2640</v>
      </c>
      <c r="D970">
        <v>96435</v>
      </c>
      <c r="E970" t="str">
        <f t="shared" si="15"/>
        <v>ia.assorted_string like '%96435-08-2024%' or</v>
      </c>
    </row>
    <row r="971" spans="1:5" x14ac:dyDescent="0.25">
      <c r="A971" t="s">
        <v>1100</v>
      </c>
      <c r="B971" t="s">
        <v>2640</v>
      </c>
      <c r="D971">
        <v>96436</v>
      </c>
      <c r="E971" t="str">
        <f t="shared" si="15"/>
        <v>ia.assorted_string like '%96436-08-2024%' or</v>
      </c>
    </row>
    <row r="972" spans="1:5" x14ac:dyDescent="0.25">
      <c r="A972" t="s">
        <v>1101</v>
      </c>
      <c r="B972" t="s">
        <v>2640</v>
      </c>
      <c r="D972">
        <v>96445</v>
      </c>
      <c r="E972" t="str">
        <f t="shared" si="15"/>
        <v>ia.assorted_string like '%96445-08-2024%' or</v>
      </c>
    </row>
    <row r="973" spans="1:5" x14ac:dyDescent="0.25">
      <c r="A973" t="s">
        <v>1102</v>
      </c>
      <c r="B973" t="s">
        <v>2640</v>
      </c>
      <c r="D973">
        <v>96446</v>
      </c>
      <c r="E973" t="str">
        <f t="shared" si="15"/>
        <v>ia.assorted_string like '%96446-08-2024%' or</v>
      </c>
    </row>
    <row r="974" spans="1:5" x14ac:dyDescent="0.25">
      <c r="A974" t="s">
        <v>1103</v>
      </c>
      <c r="B974" t="s">
        <v>2640</v>
      </c>
      <c r="D974">
        <v>96447</v>
      </c>
      <c r="E974" t="str">
        <f t="shared" si="15"/>
        <v>ia.assorted_string like '%96447-08-2024%' or</v>
      </c>
    </row>
    <row r="975" spans="1:5" x14ac:dyDescent="0.25">
      <c r="A975" t="s">
        <v>1104</v>
      </c>
      <c r="B975" t="s">
        <v>2640</v>
      </c>
      <c r="D975">
        <v>96448</v>
      </c>
      <c r="E975" t="str">
        <f t="shared" si="15"/>
        <v>ia.assorted_string like '%96448-08-2024%' or</v>
      </c>
    </row>
    <row r="976" spans="1:5" x14ac:dyDescent="0.25">
      <c r="A976" t="s">
        <v>1105</v>
      </c>
      <c r="B976" t="s">
        <v>2640</v>
      </c>
      <c r="D976">
        <v>96451</v>
      </c>
      <c r="E976" t="str">
        <f t="shared" si="15"/>
        <v>ia.assorted_string like '%96451-08-2024%' or</v>
      </c>
    </row>
    <row r="977" spans="1:5" x14ac:dyDescent="0.25">
      <c r="A977" t="s">
        <v>1106</v>
      </c>
      <c r="B977" t="s">
        <v>2640</v>
      </c>
      <c r="D977">
        <v>96453</v>
      </c>
      <c r="E977" t="str">
        <f t="shared" si="15"/>
        <v>ia.assorted_string like '%96453-08-2024%' or</v>
      </c>
    </row>
    <row r="978" spans="1:5" x14ac:dyDescent="0.25">
      <c r="A978" t="s">
        <v>1107</v>
      </c>
      <c r="B978" t="s">
        <v>2640</v>
      </c>
      <c r="D978">
        <v>96456</v>
      </c>
      <c r="E978" t="str">
        <f t="shared" si="15"/>
        <v>ia.assorted_string like '%96456-08-2024%' or</v>
      </c>
    </row>
    <row r="979" spans="1:5" x14ac:dyDescent="0.25">
      <c r="A979" t="s">
        <v>1108</v>
      </c>
      <c r="B979" t="s">
        <v>2640</v>
      </c>
      <c r="D979">
        <v>96457</v>
      </c>
      <c r="E979" t="str">
        <f t="shared" si="15"/>
        <v>ia.assorted_string like '%96457-08-2024%' or</v>
      </c>
    </row>
    <row r="980" spans="1:5" x14ac:dyDescent="0.25">
      <c r="A980" t="s">
        <v>1109</v>
      </c>
      <c r="B980" t="s">
        <v>2640</v>
      </c>
      <c r="D980">
        <v>96460</v>
      </c>
      <c r="E980" t="str">
        <f t="shared" si="15"/>
        <v>ia.assorted_string like '%96460-08-2024%' or</v>
      </c>
    </row>
    <row r="981" spans="1:5" x14ac:dyDescent="0.25">
      <c r="A981" t="s">
        <v>1110</v>
      </c>
      <c r="B981" t="s">
        <v>2640</v>
      </c>
      <c r="D981">
        <v>96462</v>
      </c>
      <c r="E981" t="str">
        <f t="shared" si="15"/>
        <v>ia.assorted_string like '%96462-08-2024%' or</v>
      </c>
    </row>
    <row r="982" spans="1:5" x14ac:dyDescent="0.25">
      <c r="A982" t="s">
        <v>1111</v>
      </c>
      <c r="B982" t="s">
        <v>2640</v>
      </c>
      <c r="D982">
        <v>96464</v>
      </c>
      <c r="E982" t="str">
        <f t="shared" si="15"/>
        <v>ia.assorted_string like '%96464-08-2024%' or</v>
      </c>
    </row>
    <row r="983" spans="1:5" x14ac:dyDescent="0.25">
      <c r="A983" t="s">
        <v>1112</v>
      </c>
      <c r="B983" t="s">
        <v>2640</v>
      </c>
      <c r="D983">
        <v>96474</v>
      </c>
      <c r="E983" t="str">
        <f t="shared" si="15"/>
        <v>ia.assorted_string like '%96474-08-2024%' or</v>
      </c>
    </row>
    <row r="984" spans="1:5" x14ac:dyDescent="0.25">
      <c r="A984" t="s">
        <v>1113</v>
      </c>
      <c r="B984" t="s">
        <v>2640</v>
      </c>
      <c r="D984">
        <v>96475</v>
      </c>
      <c r="E984" t="str">
        <f t="shared" si="15"/>
        <v>ia.assorted_string like '%96475-08-2024%' or</v>
      </c>
    </row>
    <row r="985" spans="1:5" x14ac:dyDescent="0.25">
      <c r="A985" t="s">
        <v>1114</v>
      </c>
      <c r="B985" t="s">
        <v>2640</v>
      </c>
      <c r="D985">
        <v>96481</v>
      </c>
      <c r="E985" t="str">
        <f t="shared" si="15"/>
        <v>ia.assorted_string like '%96481-08-2024%' or</v>
      </c>
    </row>
    <row r="986" spans="1:5" x14ac:dyDescent="0.25">
      <c r="A986" t="s">
        <v>1115</v>
      </c>
      <c r="B986" t="s">
        <v>2640</v>
      </c>
      <c r="D986">
        <v>96482</v>
      </c>
      <c r="E986" t="str">
        <f t="shared" si="15"/>
        <v>ia.assorted_string like '%96482-08-2024%' or</v>
      </c>
    </row>
    <row r="987" spans="1:5" x14ac:dyDescent="0.25">
      <c r="A987" t="s">
        <v>1116</v>
      </c>
      <c r="B987" t="s">
        <v>2640</v>
      </c>
      <c r="D987">
        <v>96487</v>
      </c>
      <c r="E987" t="str">
        <f t="shared" si="15"/>
        <v>ia.assorted_string like '%96487-08-2024%' or</v>
      </c>
    </row>
    <row r="988" spans="1:5" x14ac:dyDescent="0.25">
      <c r="A988" t="s">
        <v>1117</v>
      </c>
      <c r="B988" t="s">
        <v>2640</v>
      </c>
      <c r="D988">
        <v>96488</v>
      </c>
      <c r="E988" t="str">
        <f t="shared" si="15"/>
        <v>ia.assorted_string like '%96488-08-2024%' or</v>
      </c>
    </row>
    <row r="989" spans="1:5" x14ac:dyDescent="0.25">
      <c r="A989" t="s">
        <v>1118</v>
      </c>
      <c r="B989" t="s">
        <v>2640</v>
      </c>
      <c r="D989">
        <v>96490</v>
      </c>
      <c r="E989" t="str">
        <f t="shared" si="15"/>
        <v>ia.assorted_string like '%96490-08-2024%' or</v>
      </c>
    </row>
    <row r="990" spans="1:5" x14ac:dyDescent="0.25">
      <c r="A990" t="s">
        <v>1119</v>
      </c>
      <c r="B990" t="s">
        <v>2640</v>
      </c>
      <c r="D990">
        <v>96491</v>
      </c>
      <c r="E990" t="str">
        <f t="shared" si="15"/>
        <v>ia.assorted_string like '%96491-08-2024%' or</v>
      </c>
    </row>
    <row r="991" spans="1:5" x14ac:dyDescent="0.25">
      <c r="A991" t="s">
        <v>1120</v>
      </c>
      <c r="B991" t="s">
        <v>2640</v>
      </c>
      <c r="D991">
        <v>96492</v>
      </c>
      <c r="E991" t="str">
        <f t="shared" si="15"/>
        <v>ia.assorted_string like '%96492-08-2024%' or</v>
      </c>
    </row>
    <row r="992" spans="1:5" x14ac:dyDescent="0.25">
      <c r="A992" t="s">
        <v>1121</v>
      </c>
      <c r="B992" t="s">
        <v>2640</v>
      </c>
      <c r="D992">
        <v>96495</v>
      </c>
      <c r="E992" t="str">
        <f t="shared" si="15"/>
        <v>ia.assorted_string like '%96495-08-2024%' or</v>
      </c>
    </row>
    <row r="993" spans="1:5" x14ac:dyDescent="0.25">
      <c r="A993" t="s">
        <v>1122</v>
      </c>
      <c r="B993" t="s">
        <v>2640</v>
      </c>
      <c r="D993">
        <v>96496</v>
      </c>
      <c r="E993" t="str">
        <f t="shared" si="15"/>
        <v>ia.assorted_string like '%96496-08-2024%' or</v>
      </c>
    </row>
    <row r="994" spans="1:5" x14ac:dyDescent="0.25">
      <c r="A994" t="s">
        <v>1123</v>
      </c>
      <c r="B994" t="s">
        <v>2640</v>
      </c>
      <c r="D994">
        <v>96497</v>
      </c>
      <c r="E994" t="str">
        <f t="shared" si="15"/>
        <v>ia.assorted_string like '%96497-08-2024%' or</v>
      </c>
    </row>
    <row r="995" spans="1:5" x14ac:dyDescent="0.25">
      <c r="A995" t="s">
        <v>1124</v>
      </c>
      <c r="B995" t="s">
        <v>2640</v>
      </c>
      <c r="D995">
        <v>96509</v>
      </c>
      <c r="E995" t="str">
        <f t="shared" si="15"/>
        <v>ia.assorted_string like '%96509-08-2024%' or</v>
      </c>
    </row>
    <row r="996" spans="1:5" x14ac:dyDescent="0.25">
      <c r="A996" t="s">
        <v>1125</v>
      </c>
      <c r="B996" t="s">
        <v>2640</v>
      </c>
      <c r="D996">
        <v>96511</v>
      </c>
      <c r="E996" t="str">
        <f t="shared" si="15"/>
        <v>ia.assorted_string like '%96511-08-2024%' or</v>
      </c>
    </row>
    <row r="997" spans="1:5" x14ac:dyDescent="0.25">
      <c r="A997" t="s">
        <v>1126</v>
      </c>
      <c r="B997" t="s">
        <v>2640</v>
      </c>
      <c r="D997">
        <v>96512</v>
      </c>
      <c r="E997" t="str">
        <f t="shared" si="15"/>
        <v>ia.assorted_string like '%96512-08-2024%' or</v>
      </c>
    </row>
    <row r="998" spans="1:5" x14ac:dyDescent="0.25">
      <c r="A998" t="s">
        <v>1127</v>
      </c>
      <c r="B998" t="s">
        <v>2640</v>
      </c>
      <c r="D998">
        <v>96513</v>
      </c>
      <c r="E998" t="str">
        <f t="shared" si="15"/>
        <v>ia.assorted_string like '%96513-08-2024%' or</v>
      </c>
    </row>
    <row r="999" spans="1:5" x14ac:dyDescent="0.25">
      <c r="A999" t="s">
        <v>1128</v>
      </c>
      <c r="B999" t="s">
        <v>2640</v>
      </c>
      <c r="D999">
        <v>96514</v>
      </c>
      <c r="E999" t="str">
        <f t="shared" si="15"/>
        <v>ia.assorted_string like '%96514-08-2024%' or</v>
      </c>
    </row>
    <row r="1000" spans="1:5" x14ac:dyDescent="0.25">
      <c r="A1000" t="s">
        <v>1129</v>
      </c>
      <c r="B1000" t="s">
        <v>2640</v>
      </c>
      <c r="D1000">
        <v>96515</v>
      </c>
      <c r="E1000" t="str">
        <f t="shared" si="15"/>
        <v>ia.assorted_string like '%96515-08-2024%' or</v>
      </c>
    </row>
    <row r="1001" spans="1:5" x14ac:dyDescent="0.25">
      <c r="A1001" t="s">
        <v>1130</v>
      </c>
      <c r="B1001" t="s">
        <v>2640</v>
      </c>
      <c r="D1001">
        <v>96516</v>
      </c>
      <c r="E1001" t="str">
        <f t="shared" si="15"/>
        <v>ia.assorted_string like '%96516-08-2024%' or</v>
      </c>
    </row>
    <row r="1002" spans="1:5" x14ac:dyDescent="0.25">
      <c r="A1002" t="s">
        <v>1131</v>
      </c>
      <c r="B1002" t="s">
        <v>2640</v>
      </c>
      <c r="D1002">
        <v>96517</v>
      </c>
      <c r="E1002" t="str">
        <f t="shared" si="15"/>
        <v>ia.assorted_string like '%96517-08-2024%' or</v>
      </c>
    </row>
    <row r="1003" spans="1:5" x14ac:dyDescent="0.25">
      <c r="A1003" t="s">
        <v>1132</v>
      </c>
      <c r="B1003" t="s">
        <v>2640</v>
      </c>
      <c r="D1003">
        <v>96518</v>
      </c>
      <c r="E1003" t="str">
        <f t="shared" si="15"/>
        <v>ia.assorted_string like '%96518-08-2024%' or</v>
      </c>
    </row>
    <row r="1004" spans="1:5" x14ac:dyDescent="0.25">
      <c r="A1004" t="s">
        <v>1133</v>
      </c>
      <c r="B1004" t="s">
        <v>2640</v>
      </c>
      <c r="D1004">
        <v>96519</v>
      </c>
      <c r="E1004" t="str">
        <f t="shared" si="15"/>
        <v>ia.assorted_string like '%96519-08-2024%' or</v>
      </c>
    </row>
    <row r="1005" spans="1:5" x14ac:dyDescent="0.25">
      <c r="A1005" t="s">
        <v>1134</v>
      </c>
      <c r="B1005" t="s">
        <v>2640</v>
      </c>
      <c r="D1005">
        <v>96520</v>
      </c>
      <c r="E1005" t="str">
        <f t="shared" si="15"/>
        <v>ia.assorted_string like '%96520-08-2024%' or</v>
      </c>
    </row>
    <row r="1006" spans="1:5" x14ac:dyDescent="0.25">
      <c r="A1006" t="s">
        <v>1135</v>
      </c>
      <c r="B1006" t="s">
        <v>2640</v>
      </c>
      <c r="D1006">
        <v>96522</v>
      </c>
      <c r="E1006" t="str">
        <f t="shared" si="15"/>
        <v>ia.assorted_string like '%96522-08-2024%' or</v>
      </c>
    </row>
    <row r="1007" spans="1:5" x14ac:dyDescent="0.25">
      <c r="A1007" t="s">
        <v>1136</v>
      </c>
      <c r="B1007" t="s">
        <v>2640</v>
      </c>
      <c r="D1007">
        <v>96523</v>
      </c>
      <c r="E1007" t="str">
        <f t="shared" si="15"/>
        <v>ia.assorted_string like '%96523-08-2024%' or</v>
      </c>
    </row>
    <row r="1008" spans="1:5" x14ac:dyDescent="0.25">
      <c r="A1008" t="s">
        <v>1137</v>
      </c>
      <c r="B1008" t="s">
        <v>2640</v>
      </c>
      <c r="D1008">
        <v>96525</v>
      </c>
      <c r="E1008" t="str">
        <f t="shared" si="15"/>
        <v>ia.assorted_string like '%96525-08-2024%' or</v>
      </c>
    </row>
    <row r="1009" spans="1:5" x14ac:dyDescent="0.25">
      <c r="A1009" t="s">
        <v>1138</v>
      </c>
      <c r="B1009" t="s">
        <v>2640</v>
      </c>
      <c r="D1009">
        <v>96526</v>
      </c>
      <c r="E1009" t="str">
        <f t="shared" si="15"/>
        <v>ia.assorted_string like '%96526-08-2024%' or</v>
      </c>
    </row>
    <row r="1010" spans="1:5" x14ac:dyDescent="0.25">
      <c r="A1010" t="s">
        <v>1139</v>
      </c>
      <c r="B1010" t="s">
        <v>2640</v>
      </c>
      <c r="D1010">
        <v>96527</v>
      </c>
      <c r="E1010" t="str">
        <f t="shared" si="15"/>
        <v>ia.assorted_string like '%96527-08-2024%' or</v>
      </c>
    </row>
    <row r="1011" spans="1:5" x14ac:dyDescent="0.25">
      <c r="A1011" t="s">
        <v>1140</v>
      </c>
      <c r="B1011" t="s">
        <v>2640</v>
      </c>
      <c r="D1011">
        <v>96528</v>
      </c>
      <c r="E1011" t="str">
        <f t="shared" si="15"/>
        <v>ia.assorted_string like '%96528-08-2024%' or</v>
      </c>
    </row>
    <row r="1012" spans="1:5" x14ac:dyDescent="0.25">
      <c r="A1012" t="s">
        <v>1141</v>
      </c>
      <c r="B1012" t="s">
        <v>2640</v>
      </c>
      <c r="D1012">
        <v>96529</v>
      </c>
      <c r="E1012" t="str">
        <f t="shared" si="15"/>
        <v>ia.assorted_string like '%96529-08-2024%' or</v>
      </c>
    </row>
    <row r="1013" spans="1:5" x14ac:dyDescent="0.25">
      <c r="A1013" t="s">
        <v>1142</v>
      </c>
      <c r="B1013" t="s">
        <v>2640</v>
      </c>
      <c r="D1013">
        <v>96530</v>
      </c>
      <c r="E1013" t="str">
        <f t="shared" si="15"/>
        <v>ia.assorted_string like '%96530-08-2024%' or</v>
      </c>
    </row>
    <row r="1014" spans="1:5" x14ac:dyDescent="0.25">
      <c r="A1014" t="s">
        <v>1143</v>
      </c>
      <c r="B1014" t="s">
        <v>2640</v>
      </c>
      <c r="D1014">
        <v>96531</v>
      </c>
      <c r="E1014" t="str">
        <f t="shared" si="15"/>
        <v>ia.assorted_string like '%96531-08-2024%' or</v>
      </c>
    </row>
    <row r="1015" spans="1:5" x14ac:dyDescent="0.25">
      <c r="A1015" t="s">
        <v>1144</v>
      </c>
      <c r="B1015" t="s">
        <v>2640</v>
      </c>
      <c r="D1015">
        <v>96532</v>
      </c>
      <c r="E1015" t="str">
        <f t="shared" si="15"/>
        <v>ia.assorted_string like '%96532-08-2024%' or</v>
      </c>
    </row>
    <row r="1016" spans="1:5" x14ac:dyDescent="0.25">
      <c r="A1016" t="s">
        <v>1145</v>
      </c>
      <c r="B1016" t="s">
        <v>2640</v>
      </c>
      <c r="D1016">
        <v>96533</v>
      </c>
      <c r="E1016" t="str">
        <f t="shared" si="15"/>
        <v>ia.assorted_string like '%96533-08-2024%' or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B546-CC10-4FC8-9A8E-3F42994DAD35}">
  <dimension ref="A1:C1022"/>
  <sheetViews>
    <sheetView topLeftCell="A7" workbookViewId="0">
      <selection activeCell="F10" sqref="F10"/>
    </sheetView>
  </sheetViews>
  <sheetFormatPr defaultColWidth="7.85546875" defaultRowHeight="15" x14ac:dyDescent="0.25"/>
  <cols>
    <col min="1" max="1" width="5" bestFit="1" customWidth="1"/>
    <col min="2" max="2" width="43" bestFit="1" customWidth="1"/>
    <col min="3" max="3" width="15" bestFit="1" customWidth="1"/>
  </cols>
  <sheetData>
    <row r="1" spans="1:3" s="47" customFormat="1" ht="12" x14ac:dyDescent="0.2">
      <c r="A1" s="47" t="s">
        <v>2641</v>
      </c>
      <c r="B1" s="47" t="s">
        <v>2642</v>
      </c>
      <c r="C1" s="47" t="s">
        <v>2643</v>
      </c>
    </row>
    <row r="2" spans="1:3" x14ac:dyDescent="0.25">
      <c r="A2">
        <v>1</v>
      </c>
      <c r="B2" t="s">
        <v>480</v>
      </c>
      <c r="C2" t="s">
        <v>2644</v>
      </c>
    </row>
    <row r="3" spans="1:3" x14ac:dyDescent="0.25">
      <c r="A3">
        <v>2</v>
      </c>
      <c r="B3" t="s">
        <v>481</v>
      </c>
      <c r="C3" t="s">
        <v>2645</v>
      </c>
    </row>
    <row r="4" spans="1:3" x14ac:dyDescent="0.25">
      <c r="A4">
        <v>3</v>
      </c>
      <c r="B4" t="s">
        <v>482</v>
      </c>
      <c r="C4" t="s">
        <v>2646</v>
      </c>
    </row>
    <row r="5" spans="1:3" x14ac:dyDescent="0.25">
      <c r="A5">
        <v>4</v>
      </c>
      <c r="B5" t="s">
        <v>483</v>
      </c>
      <c r="C5" t="s">
        <v>2647</v>
      </c>
    </row>
    <row r="6" spans="1:3" x14ac:dyDescent="0.25">
      <c r="A6">
        <v>5</v>
      </c>
      <c r="B6" t="s">
        <v>484</v>
      </c>
      <c r="C6" t="s">
        <v>2648</v>
      </c>
    </row>
    <row r="7" spans="1:3" x14ac:dyDescent="0.25">
      <c r="A7">
        <v>6</v>
      </c>
      <c r="B7" t="s">
        <v>485</v>
      </c>
      <c r="C7" t="s">
        <v>2649</v>
      </c>
    </row>
    <row r="8" spans="1:3" x14ac:dyDescent="0.25">
      <c r="A8">
        <v>7</v>
      </c>
      <c r="B8" t="s">
        <v>486</v>
      </c>
      <c r="C8" t="s">
        <v>2650</v>
      </c>
    </row>
    <row r="9" spans="1:3" x14ac:dyDescent="0.25">
      <c r="A9">
        <v>8</v>
      </c>
      <c r="B9" t="s">
        <v>487</v>
      </c>
      <c r="C9" t="s">
        <v>2651</v>
      </c>
    </row>
    <row r="10" spans="1:3" x14ac:dyDescent="0.25">
      <c r="A10">
        <v>9</v>
      </c>
      <c r="B10" t="s">
        <v>491</v>
      </c>
      <c r="C10" t="s">
        <v>2652</v>
      </c>
    </row>
    <row r="11" spans="1:3" x14ac:dyDescent="0.25">
      <c r="A11">
        <v>10</v>
      </c>
      <c r="B11" t="s">
        <v>492</v>
      </c>
      <c r="C11" t="s">
        <v>2653</v>
      </c>
    </row>
    <row r="12" spans="1:3" x14ac:dyDescent="0.25">
      <c r="A12">
        <v>11</v>
      </c>
      <c r="B12" t="s">
        <v>488</v>
      </c>
      <c r="C12" t="s">
        <v>2654</v>
      </c>
    </row>
    <row r="13" spans="1:3" x14ac:dyDescent="0.25">
      <c r="A13">
        <v>12</v>
      </c>
      <c r="B13" t="s">
        <v>489</v>
      </c>
      <c r="C13" t="s">
        <v>2655</v>
      </c>
    </row>
    <row r="14" spans="1:3" x14ac:dyDescent="0.25">
      <c r="A14">
        <v>13</v>
      </c>
      <c r="B14" t="s">
        <v>495</v>
      </c>
      <c r="C14" t="s">
        <v>2656</v>
      </c>
    </row>
    <row r="15" spans="1:3" x14ac:dyDescent="0.25">
      <c r="A15">
        <v>14</v>
      </c>
      <c r="B15" t="s">
        <v>496</v>
      </c>
      <c r="C15" t="s">
        <v>2657</v>
      </c>
    </row>
    <row r="16" spans="1:3" x14ac:dyDescent="0.25">
      <c r="A16">
        <v>15</v>
      </c>
      <c r="B16" t="s">
        <v>497</v>
      </c>
      <c r="C16" t="s">
        <v>2658</v>
      </c>
    </row>
    <row r="17" spans="1:3" x14ac:dyDescent="0.25">
      <c r="A17">
        <v>16</v>
      </c>
      <c r="B17" t="s">
        <v>494</v>
      </c>
      <c r="C17" t="s">
        <v>2659</v>
      </c>
    </row>
    <row r="18" spans="1:3" x14ac:dyDescent="0.25">
      <c r="A18">
        <v>17</v>
      </c>
      <c r="B18" t="s">
        <v>490</v>
      </c>
      <c r="C18" t="s">
        <v>2660</v>
      </c>
    </row>
    <row r="19" spans="1:3" x14ac:dyDescent="0.25">
      <c r="A19">
        <v>18</v>
      </c>
      <c r="B19" t="s">
        <v>493</v>
      </c>
      <c r="C19" t="s">
        <v>2661</v>
      </c>
    </row>
    <row r="20" spans="1:3" x14ac:dyDescent="0.25">
      <c r="A20">
        <v>19</v>
      </c>
      <c r="B20" t="s">
        <v>498</v>
      </c>
      <c r="C20" t="s">
        <v>2662</v>
      </c>
    </row>
    <row r="21" spans="1:3" x14ac:dyDescent="0.25">
      <c r="A21">
        <v>20</v>
      </c>
      <c r="B21" t="s">
        <v>499</v>
      </c>
      <c r="C21" t="s">
        <v>2663</v>
      </c>
    </row>
    <row r="22" spans="1:3" x14ac:dyDescent="0.25">
      <c r="A22">
        <v>21</v>
      </c>
      <c r="B22" t="s">
        <v>508</v>
      </c>
      <c r="C22" t="s">
        <v>2664</v>
      </c>
    </row>
    <row r="23" spans="1:3" x14ac:dyDescent="0.25">
      <c r="A23">
        <v>22</v>
      </c>
      <c r="B23" t="s">
        <v>506</v>
      </c>
      <c r="C23" t="s">
        <v>2665</v>
      </c>
    </row>
    <row r="24" spans="1:3" x14ac:dyDescent="0.25">
      <c r="A24">
        <v>23</v>
      </c>
      <c r="B24" t="s">
        <v>503</v>
      </c>
      <c r="C24" t="s">
        <v>2666</v>
      </c>
    </row>
    <row r="25" spans="1:3" x14ac:dyDescent="0.25">
      <c r="A25">
        <v>24</v>
      </c>
      <c r="B25" t="s">
        <v>507</v>
      </c>
      <c r="C25" t="s">
        <v>2667</v>
      </c>
    </row>
    <row r="26" spans="1:3" x14ac:dyDescent="0.25">
      <c r="A26">
        <v>25</v>
      </c>
      <c r="B26" t="s">
        <v>509</v>
      </c>
      <c r="C26" t="s">
        <v>2668</v>
      </c>
    </row>
    <row r="27" spans="1:3" x14ac:dyDescent="0.25">
      <c r="A27">
        <v>26</v>
      </c>
      <c r="B27" t="s">
        <v>512</v>
      </c>
      <c r="C27" t="s">
        <v>2669</v>
      </c>
    </row>
    <row r="28" spans="1:3" x14ac:dyDescent="0.25">
      <c r="A28">
        <v>27</v>
      </c>
      <c r="B28" t="s">
        <v>513</v>
      </c>
      <c r="C28" t="s">
        <v>2670</v>
      </c>
    </row>
    <row r="29" spans="1:3" x14ac:dyDescent="0.25">
      <c r="A29">
        <v>28</v>
      </c>
      <c r="B29" t="s">
        <v>517</v>
      </c>
      <c r="C29" t="s">
        <v>2671</v>
      </c>
    </row>
    <row r="30" spans="1:3" x14ac:dyDescent="0.25">
      <c r="A30">
        <v>29</v>
      </c>
      <c r="B30" t="s">
        <v>524</v>
      </c>
      <c r="C30" t="s">
        <v>2672</v>
      </c>
    </row>
    <row r="31" spans="1:3" x14ac:dyDescent="0.25">
      <c r="A31">
        <v>30</v>
      </c>
      <c r="B31" t="s">
        <v>500</v>
      </c>
      <c r="C31" t="s">
        <v>2673</v>
      </c>
    </row>
    <row r="32" spans="1:3" x14ac:dyDescent="0.25">
      <c r="A32">
        <v>31</v>
      </c>
      <c r="B32" t="s">
        <v>501</v>
      </c>
      <c r="C32" t="s">
        <v>2674</v>
      </c>
    </row>
    <row r="33" spans="1:3" x14ac:dyDescent="0.25">
      <c r="A33">
        <v>32</v>
      </c>
      <c r="B33" t="s">
        <v>502</v>
      </c>
      <c r="C33" t="s">
        <v>2675</v>
      </c>
    </row>
    <row r="34" spans="1:3" x14ac:dyDescent="0.25">
      <c r="A34">
        <v>33</v>
      </c>
      <c r="B34" t="s">
        <v>510</v>
      </c>
      <c r="C34" t="s">
        <v>2676</v>
      </c>
    </row>
    <row r="35" spans="1:3" x14ac:dyDescent="0.25">
      <c r="A35">
        <v>34</v>
      </c>
      <c r="B35" t="s">
        <v>511</v>
      </c>
      <c r="C35" t="s">
        <v>2677</v>
      </c>
    </row>
    <row r="36" spans="1:3" x14ac:dyDescent="0.25">
      <c r="A36">
        <v>35</v>
      </c>
      <c r="B36" t="s">
        <v>514</v>
      </c>
      <c r="C36" t="s">
        <v>2678</v>
      </c>
    </row>
    <row r="37" spans="1:3" x14ac:dyDescent="0.25">
      <c r="A37">
        <v>36</v>
      </c>
      <c r="B37" t="s">
        <v>504</v>
      </c>
      <c r="C37" t="s">
        <v>2679</v>
      </c>
    </row>
    <row r="38" spans="1:3" x14ac:dyDescent="0.25">
      <c r="A38">
        <v>37</v>
      </c>
      <c r="B38" t="s">
        <v>505</v>
      </c>
      <c r="C38" t="s">
        <v>2680</v>
      </c>
    </row>
    <row r="39" spans="1:3" x14ac:dyDescent="0.25">
      <c r="A39">
        <v>38</v>
      </c>
      <c r="B39" t="s">
        <v>404</v>
      </c>
      <c r="C39" t="s">
        <v>2681</v>
      </c>
    </row>
    <row r="40" spans="1:3" x14ac:dyDescent="0.25">
      <c r="A40">
        <v>39</v>
      </c>
      <c r="B40" t="s">
        <v>515</v>
      </c>
      <c r="C40" t="s">
        <v>2682</v>
      </c>
    </row>
    <row r="41" spans="1:3" x14ac:dyDescent="0.25">
      <c r="A41">
        <v>40</v>
      </c>
      <c r="B41" t="s">
        <v>516</v>
      </c>
      <c r="C41" t="s">
        <v>2683</v>
      </c>
    </row>
    <row r="42" spans="1:3" x14ac:dyDescent="0.25">
      <c r="A42">
        <v>41</v>
      </c>
      <c r="B42" t="s">
        <v>518</v>
      </c>
      <c r="C42" t="s">
        <v>2684</v>
      </c>
    </row>
    <row r="43" spans="1:3" x14ac:dyDescent="0.25">
      <c r="A43">
        <v>42</v>
      </c>
      <c r="B43" t="s">
        <v>519</v>
      </c>
      <c r="C43" t="s">
        <v>2685</v>
      </c>
    </row>
    <row r="44" spans="1:3" x14ac:dyDescent="0.25">
      <c r="A44">
        <v>43</v>
      </c>
      <c r="B44" t="s">
        <v>522</v>
      </c>
      <c r="C44" t="s">
        <v>2686</v>
      </c>
    </row>
    <row r="45" spans="1:3" x14ac:dyDescent="0.25">
      <c r="A45">
        <v>44</v>
      </c>
      <c r="B45" t="s">
        <v>776</v>
      </c>
      <c r="C45" t="s">
        <v>2687</v>
      </c>
    </row>
    <row r="46" spans="1:3" x14ac:dyDescent="0.25">
      <c r="A46">
        <v>45</v>
      </c>
      <c r="B46" t="s">
        <v>777</v>
      </c>
      <c r="C46" t="s">
        <v>2688</v>
      </c>
    </row>
    <row r="47" spans="1:3" x14ac:dyDescent="0.25">
      <c r="A47">
        <v>46</v>
      </c>
      <c r="B47" t="s">
        <v>778</v>
      </c>
      <c r="C47" t="s">
        <v>2689</v>
      </c>
    </row>
    <row r="48" spans="1:3" x14ac:dyDescent="0.25">
      <c r="A48">
        <v>47</v>
      </c>
      <c r="B48" t="s">
        <v>780</v>
      </c>
      <c r="C48" t="s">
        <v>2690</v>
      </c>
    </row>
    <row r="49" spans="1:3" x14ac:dyDescent="0.25">
      <c r="A49">
        <v>48</v>
      </c>
      <c r="B49" t="s">
        <v>781</v>
      </c>
      <c r="C49" t="s">
        <v>2691</v>
      </c>
    </row>
    <row r="50" spans="1:3" x14ac:dyDescent="0.25">
      <c r="A50">
        <v>49</v>
      </c>
      <c r="B50" t="s">
        <v>784</v>
      </c>
      <c r="C50" t="s">
        <v>2692</v>
      </c>
    </row>
    <row r="51" spans="1:3" x14ac:dyDescent="0.25">
      <c r="A51">
        <v>50</v>
      </c>
      <c r="B51" t="s">
        <v>712</v>
      </c>
      <c r="C51" t="s">
        <v>2693</v>
      </c>
    </row>
    <row r="52" spans="1:3" x14ac:dyDescent="0.25">
      <c r="A52">
        <v>51</v>
      </c>
      <c r="B52" t="s">
        <v>713</v>
      </c>
      <c r="C52" t="s">
        <v>2694</v>
      </c>
    </row>
    <row r="53" spans="1:3" x14ac:dyDescent="0.25">
      <c r="A53">
        <v>52</v>
      </c>
      <c r="B53" t="s">
        <v>714</v>
      </c>
      <c r="C53" t="s">
        <v>2695</v>
      </c>
    </row>
    <row r="54" spans="1:3" x14ac:dyDescent="0.25">
      <c r="A54">
        <v>53</v>
      </c>
      <c r="B54" t="s">
        <v>756</v>
      </c>
      <c r="C54" t="s">
        <v>2696</v>
      </c>
    </row>
    <row r="55" spans="1:3" x14ac:dyDescent="0.25">
      <c r="A55">
        <v>54</v>
      </c>
      <c r="B55" t="s">
        <v>757</v>
      </c>
      <c r="C55" t="s">
        <v>2697</v>
      </c>
    </row>
    <row r="56" spans="1:3" x14ac:dyDescent="0.25">
      <c r="A56">
        <v>55</v>
      </c>
      <c r="B56" t="s">
        <v>541</v>
      </c>
      <c r="C56" t="s">
        <v>2698</v>
      </c>
    </row>
    <row r="57" spans="1:3" x14ac:dyDescent="0.25">
      <c r="A57">
        <v>56</v>
      </c>
      <c r="B57" t="s">
        <v>556</v>
      </c>
      <c r="C57" t="s">
        <v>2699</v>
      </c>
    </row>
    <row r="58" spans="1:3" x14ac:dyDescent="0.25">
      <c r="A58">
        <v>57</v>
      </c>
      <c r="B58" t="s">
        <v>557</v>
      </c>
      <c r="C58" t="s">
        <v>2700</v>
      </c>
    </row>
    <row r="59" spans="1:3" x14ac:dyDescent="0.25">
      <c r="A59">
        <v>58</v>
      </c>
      <c r="B59" t="s">
        <v>779</v>
      </c>
      <c r="C59" t="s">
        <v>2701</v>
      </c>
    </row>
    <row r="60" spans="1:3" x14ac:dyDescent="0.25">
      <c r="A60">
        <v>59</v>
      </c>
      <c r="B60" t="s">
        <v>785</v>
      </c>
      <c r="C60" t="s">
        <v>2702</v>
      </c>
    </row>
    <row r="61" spans="1:3" x14ac:dyDescent="0.25">
      <c r="A61">
        <v>60</v>
      </c>
      <c r="B61" t="s">
        <v>532</v>
      </c>
      <c r="C61" t="s">
        <v>2703</v>
      </c>
    </row>
    <row r="62" spans="1:3" x14ac:dyDescent="0.25">
      <c r="A62">
        <v>61</v>
      </c>
      <c r="B62" t="s">
        <v>1032</v>
      </c>
      <c r="C62" t="s">
        <v>2704</v>
      </c>
    </row>
    <row r="63" spans="1:3" x14ac:dyDescent="0.25">
      <c r="A63">
        <v>62</v>
      </c>
      <c r="B63" t="s">
        <v>1033</v>
      </c>
      <c r="C63" t="s">
        <v>2705</v>
      </c>
    </row>
    <row r="64" spans="1:3" x14ac:dyDescent="0.25">
      <c r="A64">
        <v>63</v>
      </c>
      <c r="B64" t="s">
        <v>601</v>
      </c>
      <c r="C64" t="s">
        <v>2706</v>
      </c>
    </row>
    <row r="65" spans="1:3" x14ac:dyDescent="0.25">
      <c r="A65">
        <v>64</v>
      </c>
      <c r="B65" t="s">
        <v>603</v>
      </c>
      <c r="C65" t="s">
        <v>2707</v>
      </c>
    </row>
    <row r="66" spans="1:3" x14ac:dyDescent="0.25">
      <c r="A66">
        <v>65</v>
      </c>
      <c r="B66" t="s">
        <v>832</v>
      </c>
      <c r="C66" t="s">
        <v>2708</v>
      </c>
    </row>
    <row r="67" spans="1:3" x14ac:dyDescent="0.25">
      <c r="A67">
        <v>66</v>
      </c>
      <c r="B67" t="s">
        <v>406</v>
      </c>
      <c r="C67" t="s">
        <v>2709</v>
      </c>
    </row>
    <row r="68" spans="1:3" x14ac:dyDescent="0.25">
      <c r="A68">
        <v>67</v>
      </c>
      <c r="B68" t="s">
        <v>658</v>
      </c>
      <c r="C68" t="s">
        <v>2710</v>
      </c>
    </row>
    <row r="69" spans="1:3" x14ac:dyDescent="0.25">
      <c r="A69">
        <v>68</v>
      </c>
      <c r="B69" t="s">
        <v>659</v>
      </c>
      <c r="C69" t="s">
        <v>2711</v>
      </c>
    </row>
    <row r="70" spans="1:3" x14ac:dyDescent="0.25">
      <c r="A70">
        <v>69</v>
      </c>
      <c r="B70" t="s">
        <v>660</v>
      </c>
      <c r="C70" t="s">
        <v>2712</v>
      </c>
    </row>
    <row r="71" spans="1:3" x14ac:dyDescent="0.25">
      <c r="A71">
        <v>70</v>
      </c>
      <c r="B71" t="s">
        <v>896</v>
      </c>
      <c r="C71" t="s">
        <v>2713</v>
      </c>
    </row>
    <row r="72" spans="1:3" x14ac:dyDescent="0.25">
      <c r="A72">
        <v>71</v>
      </c>
      <c r="B72" t="s">
        <v>534</v>
      </c>
      <c r="C72" t="s">
        <v>2714</v>
      </c>
    </row>
    <row r="73" spans="1:3" x14ac:dyDescent="0.25">
      <c r="A73">
        <v>72</v>
      </c>
      <c r="B73" t="s">
        <v>914</v>
      </c>
      <c r="C73" t="s">
        <v>2715</v>
      </c>
    </row>
    <row r="74" spans="1:3" x14ac:dyDescent="0.25">
      <c r="A74">
        <v>73</v>
      </c>
      <c r="B74" t="s">
        <v>915</v>
      </c>
      <c r="C74" t="s">
        <v>2716</v>
      </c>
    </row>
    <row r="75" spans="1:3" x14ac:dyDescent="0.25">
      <c r="A75">
        <v>74</v>
      </c>
      <c r="B75" t="s">
        <v>920</v>
      </c>
      <c r="C75" t="s">
        <v>2717</v>
      </c>
    </row>
    <row r="76" spans="1:3" x14ac:dyDescent="0.25">
      <c r="A76">
        <v>75</v>
      </c>
      <c r="B76" t="s">
        <v>930</v>
      </c>
      <c r="C76" t="s">
        <v>2718</v>
      </c>
    </row>
    <row r="77" spans="1:3" x14ac:dyDescent="0.25">
      <c r="A77">
        <v>76</v>
      </c>
      <c r="B77" t="s">
        <v>1054</v>
      </c>
      <c r="C77" t="s">
        <v>2719</v>
      </c>
    </row>
    <row r="78" spans="1:3" x14ac:dyDescent="0.25">
      <c r="A78">
        <v>77</v>
      </c>
      <c r="B78" t="s">
        <v>1055</v>
      </c>
      <c r="C78" t="s">
        <v>2720</v>
      </c>
    </row>
    <row r="79" spans="1:3" x14ac:dyDescent="0.25">
      <c r="A79">
        <v>78</v>
      </c>
      <c r="B79" t="s">
        <v>1056</v>
      </c>
      <c r="C79" t="s">
        <v>2721</v>
      </c>
    </row>
    <row r="80" spans="1:3" x14ac:dyDescent="0.25">
      <c r="A80">
        <v>79</v>
      </c>
      <c r="B80" t="s">
        <v>964</v>
      </c>
      <c r="C80" t="s">
        <v>2722</v>
      </c>
    </row>
    <row r="81" spans="1:3" x14ac:dyDescent="0.25">
      <c r="A81">
        <v>80</v>
      </c>
      <c r="B81" t="s">
        <v>450</v>
      </c>
      <c r="C81" t="s">
        <v>2723</v>
      </c>
    </row>
    <row r="82" spans="1:3" x14ac:dyDescent="0.25">
      <c r="A82">
        <v>81</v>
      </c>
      <c r="B82" t="s">
        <v>975</v>
      </c>
      <c r="C82" t="s">
        <v>2724</v>
      </c>
    </row>
    <row r="83" spans="1:3" x14ac:dyDescent="0.25">
      <c r="A83">
        <v>82</v>
      </c>
      <c r="B83" t="s">
        <v>976</v>
      </c>
      <c r="C83" t="s">
        <v>2725</v>
      </c>
    </row>
    <row r="84" spans="1:3" x14ac:dyDescent="0.25">
      <c r="A84">
        <v>83</v>
      </c>
      <c r="B84" t="s">
        <v>525</v>
      </c>
      <c r="C84" t="s">
        <v>2726</v>
      </c>
    </row>
    <row r="85" spans="1:3" x14ac:dyDescent="0.25">
      <c r="A85">
        <v>84</v>
      </c>
      <c r="B85" t="s">
        <v>526</v>
      </c>
      <c r="C85" t="s">
        <v>2727</v>
      </c>
    </row>
    <row r="86" spans="1:3" x14ac:dyDescent="0.25">
      <c r="A86">
        <v>85</v>
      </c>
      <c r="B86" t="s">
        <v>633</v>
      </c>
      <c r="C86" t="s">
        <v>2728</v>
      </c>
    </row>
    <row r="87" spans="1:3" x14ac:dyDescent="0.25">
      <c r="A87">
        <v>86</v>
      </c>
      <c r="B87" t="s">
        <v>661</v>
      </c>
      <c r="C87" t="s">
        <v>2729</v>
      </c>
    </row>
    <row r="88" spans="1:3" x14ac:dyDescent="0.25">
      <c r="A88">
        <v>87</v>
      </c>
      <c r="B88" t="s">
        <v>729</v>
      </c>
      <c r="C88" t="s">
        <v>2730</v>
      </c>
    </row>
    <row r="89" spans="1:3" x14ac:dyDescent="0.25">
      <c r="A89">
        <v>88</v>
      </c>
      <c r="B89" t="s">
        <v>731</v>
      </c>
      <c r="C89" t="s">
        <v>2731</v>
      </c>
    </row>
    <row r="90" spans="1:3" x14ac:dyDescent="0.25">
      <c r="A90">
        <v>89</v>
      </c>
      <c r="B90" t="s">
        <v>741</v>
      </c>
      <c r="C90" t="s">
        <v>2732</v>
      </c>
    </row>
    <row r="91" spans="1:3" x14ac:dyDescent="0.25">
      <c r="A91">
        <v>90</v>
      </c>
      <c r="B91" t="s">
        <v>742</v>
      </c>
      <c r="C91" t="s">
        <v>2733</v>
      </c>
    </row>
    <row r="92" spans="1:3" x14ac:dyDescent="0.25">
      <c r="A92">
        <v>91</v>
      </c>
      <c r="B92" t="s">
        <v>743</v>
      </c>
      <c r="C92" t="s">
        <v>2734</v>
      </c>
    </row>
    <row r="93" spans="1:3" x14ac:dyDescent="0.25">
      <c r="A93">
        <v>92</v>
      </c>
      <c r="B93" t="s">
        <v>747</v>
      </c>
      <c r="C93" t="s">
        <v>2735</v>
      </c>
    </row>
    <row r="94" spans="1:3" x14ac:dyDescent="0.25">
      <c r="A94">
        <v>93</v>
      </c>
      <c r="B94" t="s">
        <v>753</v>
      </c>
      <c r="C94" t="s">
        <v>2736</v>
      </c>
    </row>
    <row r="95" spans="1:3" x14ac:dyDescent="0.25">
      <c r="A95">
        <v>94</v>
      </c>
      <c r="B95" t="s">
        <v>754</v>
      </c>
      <c r="C95" t="s">
        <v>2737</v>
      </c>
    </row>
    <row r="96" spans="1:3" x14ac:dyDescent="0.25">
      <c r="A96">
        <v>95</v>
      </c>
      <c r="B96" t="s">
        <v>846</v>
      </c>
      <c r="C96" t="s">
        <v>2738</v>
      </c>
    </row>
    <row r="97" spans="1:3" x14ac:dyDescent="0.25">
      <c r="A97">
        <v>96</v>
      </c>
      <c r="B97" t="s">
        <v>1101</v>
      </c>
      <c r="C97" t="s">
        <v>2739</v>
      </c>
    </row>
    <row r="98" spans="1:3" x14ac:dyDescent="0.25">
      <c r="A98">
        <v>97</v>
      </c>
      <c r="B98" t="s">
        <v>1047</v>
      </c>
      <c r="C98" t="s">
        <v>2740</v>
      </c>
    </row>
    <row r="99" spans="1:3" x14ac:dyDescent="0.25">
      <c r="A99">
        <v>98</v>
      </c>
      <c r="B99" t="s">
        <v>1059</v>
      </c>
      <c r="C99" t="s">
        <v>2741</v>
      </c>
    </row>
    <row r="100" spans="1:3" x14ac:dyDescent="0.25">
      <c r="A100">
        <v>99</v>
      </c>
      <c r="B100" t="s">
        <v>1125</v>
      </c>
      <c r="C100" t="s">
        <v>2742</v>
      </c>
    </row>
    <row r="101" spans="1:3" x14ac:dyDescent="0.25">
      <c r="A101">
        <v>100</v>
      </c>
      <c r="B101" t="s">
        <v>916</v>
      </c>
      <c r="C101" t="s">
        <v>2743</v>
      </c>
    </row>
    <row r="102" spans="1:3" x14ac:dyDescent="0.25">
      <c r="A102">
        <v>101</v>
      </c>
      <c r="B102" t="s">
        <v>917</v>
      </c>
      <c r="C102" t="s">
        <v>2744</v>
      </c>
    </row>
    <row r="103" spans="1:3" x14ac:dyDescent="0.25">
      <c r="A103">
        <v>102</v>
      </c>
      <c r="B103" t="s">
        <v>919</v>
      </c>
      <c r="C103" t="s">
        <v>2745</v>
      </c>
    </row>
    <row r="104" spans="1:3" x14ac:dyDescent="0.25">
      <c r="A104">
        <v>103</v>
      </c>
      <c r="B104" t="s">
        <v>982</v>
      </c>
      <c r="C104" t="s">
        <v>2746</v>
      </c>
    </row>
    <row r="105" spans="1:3" x14ac:dyDescent="0.25">
      <c r="A105">
        <v>104</v>
      </c>
      <c r="B105" t="s">
        <v>983</v>
      </c>
      <c r="C105" t="s">
        <v>2747</v>
      </c>
    </row>
    <row r="106" spans="1:3" x14ac:dyDescent="0.25">
      <c r="A106">
        <v>105</v>
      </c>
      <c r="B106" t="s">
        <v>1037</v>
      </c>
      <c r="C106" t="s">
        <v>2748</v>
      </c>
    </row>
    <row r="107" spans="1:3" x14ac:dyDescent="0.25">
      <c r="A107">
        <v>106</v>
      </c>
      <c r="B107" t="s">
        <v>901</v>
      </c>
      <c r="C107" t="s">
        <v>2749</v>
      </c>
    </row>
    <row r="108" spans="1:3" x14ac:dyDescent="0.25">
      <c r="A108">
        <v>107</v>
      </c>
      <c r="B108" t="s">
        <v>903</v>
      </c>
      <c r="C108" t="s">
        <v>2750</v>
      </c>
    </row>
    <row r="109" spans="1:3" x14ac:dyDescent="0.25">
      <c r="A109">
        <v>108</v>
      </c>
      <c r="B109" t="s">
        <v>999</v>
      </c>
      <c r="C109" t="s">
        <v>2751</v>
      </c>
    </row>
    <row r="110" spans="1:3" x14ac:dyDescent="0.25">
      <c r="A110">
        <v>109</v>
      </c>
      <c r="B110" t="s">
        <v>1000</v>
      </c>
      <c r="C110" t="s">
        <v>2752</v>
      </c>
    </row>
    <row r="111" spans="1:3" x14ac:dyDescent="0.25">
      <c r="A111">
        <v>110</v>
      </c>
      <c r="B111" t="s">
        <v>1105</v>
      </c>
      <c r="C111" t="s">
        <v>2753</v>
      </c>
    </row>
    <row r="112" spans="1:3" x14ac:dyDescent="0.25">
      <c r="A112">
        <v>111</v>
      </c>
      <c r="B112" t="s">
        <v>900</v>
      </c>
      <c r="C112" t="s">
        <v>2754</v>
      </c>
    </row>
    <row r="113" spans="1:3" x14ac:dyDescent="0.25">
      <c r="A113">
        <v>112</v>
      </c>
      <c r="B113" t="s">
        <v>613</v>
      </c>
      <c r="C113" t="s">
        <v>2755</v>
      </c>
    </row>
    <row r="114" spans="1:3" x14ac:dyDescent="0.25">
      <c r="A114">
        <v>113</v>
      </c>
      <c r="B114" t="s">
        <v>614</v>
      </c>
      <c r="C114" t="s">
        <v>2756</v>
      </c>
    </row>
    <row r="115" spans="1:3" x14ac:dyDescent="0.25">
      <c r="A115">
        <v>114</v>
      </c>
      <c r="B115" t="s">
        <v>672</v>
      </c>
      <c r="C115" t="s">
        <v>2757</v>
      </c>
    </row>
    <row r="116" spans="1:3" x14ac:dyDescent="0.25">
      <c r="A116">
        <v>115</v>
      </c>
      <c r="B116" t="s">
        <v>673</v>
      </c>
      <c r="C116" t="s">
        <v>2758</v>
      </c>
    </row>
    <row r="117" spans="1:3" x14ac:dyDescent="0.25">
      <c r="A117">
        <v>116</v>
      </c>
      <c r="B117" t="s">
        <v>674</v>
      </c>
      <c r="C117" t="s">
        <v>2759</v>
      </c>
    </row>
    <row r="118" spans="1:3" x14ac:dyDescent="0.25">
      <c r="A118">
        <v>117</v>
      </c>
      <c r="B118" t="s">
        <v>642</v>
      </c>
      <c r="C118" t="s">
        <v>2760</v>
      </c>
    </row>
    <row r="119" spans="1:3" x14ac:dyDescent="0.25">
      <c r="A119">
        <v>118</v>
      </c>
      <c r="B119" t="s">
        <v>946</v>
      </c>
      <c r="C119" t="s">
        <v>2761</v>
      </c>
    </row>
    <row r="120" spans="1:3" x14ac:dyDescent="0.25">
      <c r="A120">
        <v>119</v>
      </c>
      <c r="B120" t="s">
        <v>947</v>
      </c>
      <c r="C120" t="s">
        <v>2762</v>
      </c>
    </row>
    <row r="121" spans="1:3" x14ac:dyDescent="0.25">
      <c r="A121">
        <v>120</v>
      </c>
      <c r="B121" t="s">
        <v>948</v>
      </c>
      <c r="C121" t="s">
        <v>2763</v>
      </c>
    </row>
    <row r="122" spans="1:3" x14ac:dyDescent="0.25">
      <c r="A122">
        <v>121</v>
      </c>
      <c r="B122" t="s">
        <v>949</v>
      </c>
      <c r="C122" t="s">
        <v>2764</v>
      </c>
    </row>
    <row r="123" spans="1:3" x14ac:dyDescent="0.25">
      <c r="A123">
        <v>122</v>
      </c>
      <c r="B123" t="s">
        <v>1005</v>
      </c>
      <c r="C123" t="s">
        <v>2765</v>
      </c>
    </row>
    <row r="124" spans="1:3" x14ac:dyDescent="0.25">
      <c r="A124">
        <v>123</v>
      </c>
      <c r="B124" t="s">
        <v>965</v>
      </c>
      <c r="C124" t="s">
        <v>2766</v>
      </c>
    </row>
    <row r="125" spans="1:3" x14ac:dyDescent="0.25">
      <c r="A125">
        <v>124</v>
      </c>
      <c r="B125" t="s">
        <v>995</v>
      </c>
      <c r="C125" t="s">
        <v>2767</v>
      </c>
    </row>
    <row r="126" spans="1:3" x14ac:dyDescent="0.25">
      <c r="A126">
        <v>125</v>
      </c>
      <c r="B126" t="s">
        <v>996</v>
      </c>
      <c r="C126" t="s">
        <v>2768</v>
      </c>
    </row>
    <row r="127" spans="1:3" x14ac:dyDescent="0.25">
      <c r="A127">
        <v>126</v>
      </c>
      <c r="B127" t="s">
        <v>567</v>
      </c>
      <c r="C127" t="s">
        <v>2769</v>
      </c>
    </row>
    <row r="128" spans="1:3" x14ac:dyDescent="0.25">
      <c r="A128">
        <v>127</v>
      </c>
      <c r="B128" t="s">
        <v>568</v>
      </c>
      <c r="C128" t="s">
        <v>2770</v>
      </c>
    </row>
    <row r="129" spans="1:3" x14ac:dyDescent="0.25">
      <c r="A129">
        <v>128</v>
      </c>
      <c r="B129" t="s">
        <v>681</v>
      </c>
      <c r="C129" t="s">
        <v>2771</v>
      </c>
    </row>
    <row r="130" spans="1:3" x14ac:dyDescent="0.25">
      <c r="A130">
        <v>129</v>
      </c>
      <c r="B130" t="s">
        <v>848</v>
      </c>
      <c r="C130" t="s">
        <v>2772</v>
      </c>
    </row>
    <row r="131" spans="1:3" x14ac:dyDescent="0.25">
      <c r="A131">
        <v>130</v>
      </c>
      <c r="B131" t="s">
        <v>849</v>
      </c>
      <c r="C131" t="s">
        <v>2773</v>
      </c>
    </row>
    <row r="132" spans="1:3" x14ac:dyDescent="0.25">
      <c r="A132">
        <v>131</v>
      </c>
      <c r="B132" t="s">
        <v>851</v>
      </c>
      <c r="C132" t="s">
        <v>2774</v>
      </c>
    </row>
    <row r="133" spans="1:3" x14ac:dyDescent="0.25">
      <c r="A133">
        <v>132</v>
      </c>
      <c r="B133" t="s">
        <v>853</v>
      </c>
      <c r="C133" t="s">
        <v>2775</v>
      </c>
    </row>
    <row r="134" spans="1:3" x14ac:dyDescent="0.25">
      <c r="A134">
        <v>133</v>
      </c>
      <c r="B134" t="s">
        <v>854</v>
      </c>
      <c r="C134" t="s">
        <v>2776</v>
      </c>
    </row>
    <row r="135" spans="1:3" x14ac:dyDescent="0.25">
      <c r="A135">
        <v>134</v>
      </c>
      <c r="B135" t="s">
        <v>857</v>
      </c>
      <c r="C135" t="s">
        <v>2777</v>
      </c>
    </row>
    <row r="136" spans="1:3" x14ac:dyDescent="0.25">
      <c r="A136">
        <v>135</v>
      </c>
      <c r="B136" t="s">
        <v>858</v>
      </c>
      <c r="C136" t="s">
        <v>2778</v>
      </c>
    </row>
    <row r="137" spans="1:3" x14ac:dyDescent="0.25">
      <c r="A137">
        <v>136</v>
      </c>
      <c r="B137" t="s">
        <v>859</v>
      </c>
      <c r="C137" t="s">
        <v>2779</v>
      </c>
    </row>
    <row r="138" spans="1:3" x14ac:dyDescent="0.25">
      <c r="A138">
        <v>137</v>
      </c>
      <c r="B138" t="s">
        <v>860</v>
      </c>
      <c r="C138" t="s">
        <v>2780</v>
      </c>
    </row>
    <row r="139" spans="1:3" x14ac:dyDescent="0.25">
      <c r="A139">
        <v>138</v>
      </c>
      <c r="B139" t="s">
        <v>863</v>
      </c>
      <c r="C139" t="s">
        <v>2781</v>
      </c>
    </row>
    <row r="140" spans="1:3" x14ac:dyDescent="0.25">
      <c r="A140">
        <v>139</v>
      </c>
      <c r="B140" t="s">
        <v>866</v>
      </c>
      <c r="C140" t="s">
        <v>2782</v>
      </c>
    </row>
    <row r="141" spans="1:3" x14ac:dyDescent="0.25">
      <c r="A141">
        <v>140</v>
      </c>
      <c r="B141" t="s">
        <v>867</v>
      </c>
      <c r="C141" t="s">
        <v>2783</v>
      </c>
    </row>
    <row r="142" spans="1:3" x14ac:dyDescent="0.25">
      <c r="A142">
        <v>141</v>
      </c>
      <c r="B142" t="s">
        <v>897</v>
      </c>
      <c r="C142" t="s">
        <v>2784</v>
      </c>
    </row>
    <row r="143" spans="1:3" x14ac:dyDescent="0.25">
      <c r="A143">
        <v>142</v>
      </c>
      <c r="B143" t="s">
        <v>869</v>
      </c>
      <c r="C143" t="s">
        <v>2785</v>
      </c>
    </row>
    <row r="144" spans="1:3" x14ac:dyDescent="0.25">
      <c r="A144">
        <v>143</v>
      </c>
      <c r="B144" t="s">
        <v>870</v>
      </c>
      <c r="C144" t="s">
        <v>2786</v>
      </c>
    </row>
    <row r="145" spans="1:3" x14ac:dyDescent="0.25">
      <c r="A145">
        <v>144</v>
      </c>
      <c r="B145" t="s">
        <v>871</v>
      </c>
      <c r="C145" t="s">
        <v>2787</v>
      </c>
    </row>
    <row r="146" spans="1:3" x14ac:dyDescent="0.25">
      <c r="A146">
        <v>145</v>
      </c>
      <c r="B146" t="s">
        <v>872</v>
      </c>
      <c r="C146" t="s">
        <v>2788</v>
      </c>
    </row>
    <row r="147" spans="1:3" x14ac:dyDescent="0.25">
      <c r="A147">
        <v>146</v>
      </c>
      <c r="B147" t="s">
        <v>873</v>
      </c>
      <c r="C147" t="s">
        <v>2789</v>
      </c>
    </row>
    <row r="148" spans="1:3" x14ac:dyDescent="0.25">
      <c r="A148">
        <v>147</v>
      </c>
      <c r="B148" t="s">
        <v>874</v>
      </c>
      <c r="C148" t="s">
        <v>2790</v>
      </c>
    </row>
    <row r="149" spans="1:3" x14ac:dyDescent="0.25">
      <c r="A149">
        <v>148</v>
      </c>
      <c r="B149" t="s">
        <v>875</v>
      </c>
      <c r="C149" t="s">
        <v>2791</v>
      </c>
    </row>
    <row r="150" spans="1:3" x14ac:dyDescent="0.25">
      <c r="A150">
        <v>149</v>
      </c>
      <c r="B150" t="s">
        <v>876</v>
      </c>
      <c r="C150" t="s">
        <v>2792</v>
      </c>
    </row>
    <row r="151" spans="1:3" x14ac:dyDescent="0.25">
      <c r="A151">
        <v>150</v>
      </c>
      <c r="B151" t="s">
        <v>536</v>
      </c>
      <c r="C151" t="s">
        <v>2793</v>
      </c>
    </row>
    <row r="152" spans="1:3" x14ac:dyDescent="0.25">
      <c r="A152">
        <v>151</v>
      </c>
      <c r="B152" t="s">
        <v>1114</v>
      </c>
      <c r="C152" t="s">
        <v>2794</v>
      </c>
    </row>
    <row r="153" spans="1:3" x14ac:dyDescent="0.25">
      <c r="A153">
        <v>152</v>
      </c>
      <c r="B153" t="s">
        <v>1115</v>
      </c>
      <c r="C153" t="s">
        <v>2795</v>
      </c>
    </row>
    <row r="154" spans="1:3" x14ac:dyDescent="0.25">
      <c r="A154">
        <v>153</v>
      </c>
      <c r="B154" t="s">
        <v>1099</v>
      </c>
      <c r="C154" t="s">
        <v>2796</v>
      </c>
    </row>
    <row r="155" spans="1:3" x14ac:dyDescent="0.25">
      <c r="A155">
        <v>154</v>
      </c>
      <c r="B155" t="s">
        <v>1100</v>
      </c>
      <c r="C155" t="s">
        <v>2797</v>
      </c>
    </row>
    <row r="156" spans="1:3" x14ac:dyDescent="0.25">
      <c r="A156">
        <v>155</v>
      </c>
      <c r="B156" t="s">
        <v>923</v>
      </c>
      <c r="C156" t="s">
        <v>2798</v>
      </c>
    </row>
    <row r="157" spans="1:3" x14ac:dyDescent="0.25">
      <c r="A157">
        <v>156</v>
      </c>
      <c r="B157" t="s">
        <v>925</v>
      </c>
      <c r="C157" t="s">
        <v>2799</v>
      </c>
    </row>
    <row r="158" spans="1:3" x14ac:dyDescent="0.25">
      <c r="A158">
        <v>157</v>
      </c>
      <c r="B158" t="s">
        <v>1001</v>
      </c>
      <c r="C158" t="s">
        <v>2800</v>
      </c>
    </row>
    <row r="159" spans="1:3" x14ac:dyDescent="0.25">
      <c r="A159">
        <v>158</v>
      </c>
      <c r="B159" t="s">
        <v>1002</v>
      </c>
      <c r="C159" t="s">
        <v>2801</v>
      </c>
    </row>
    <row r="160" spans="1:3" x14ac:dyDescent="0.25">
      <c r="A160">
        <v>159</v>
      </c>
      <c r="B160" t="s">
        <v>1003</v>
      </c>
      <c r="C160" t="s">
        <v>2802</v>
      </c>
    </row>
    <row r="161" spans="1:3" x14ac:dyDescent="0.25">
      <c r="A161">
        <v>160</v>
      </c>
      <c r="B161" t="s">
        <v>1004</v>
      </c>
      <c r="C161" t="s">
        <v>2803</v>
      </c>
    </row>
    <row r="162" spans="1:3" x14ac:dyDescent="0.25">
      <c r="A162">
        <v>161</v>
      </c>
      <c r="B162" t="s">
        <v>732</v>
      </c>
      <c r="C162" t="s">
        <v>2804</v>
      </c>
    </row>
    <row r="163" spans="1:3" x14ac:dyDescent="0.25">
      <c r="A163">
        <v>162</v>
      </c>
      <c r="B163" t="s">
        <v>733</v>
      </c>
      <c r="C163" t="s">
        <v>2805</v>
      </c>
    </row>
    <row r="164" spans="1:3" x14ac:dyDescent="0.25">
      <c r="A164">
        <v>163</v>
      </c>
      <c r="B164" t="s">
        <v>734</v>
      </c>
      <c r="C164" t="s">
        <v>2806</v>
      </c>
    </row>
    <row r="165" spans="1:3" x14ac:dyDescent="0.25">
      <c r="A165">
        <v>164</v>
      </c>
      <c r="B165" t="s">
        <v>639</v>
      </c>
      <c r="C165" t="s">
        <v>2807</v>
      </c>
    </row>
    <row r="166" spans="1:3" x14ac:dyDescent="0.25">
      <c r="A166">
        <v>165</v>
      </c>
      <c r="B166" t="s">
        <v>640</v>
      </c>
      <c r="C166" t="s">
        <v>2808</v>
      </c>
    </row>
    <row r="167" spans="1:3" x14ac:dyDescent="0.25">
      <c r="A167">
        <v>166</v>
      </c>
      <c r="B167" t="s">
        <v>801</v>
      </c>
      <c r="C167" t="s">
        <v>2809</v>
      </c>
    </row>
    <row r="168" spans="1:3" x14ac:dyDescent="0.25">
      <c r="A168">
        <v>167</v>
      </c>
      <c r="B168" t="s">
        <v>847</v>
      </c>
      <c r="C168" t="s">
        <v>2810</v>
      </c>
    </row>
    <row r="169" spans="1:3" x14ac:dyDescent="0.25">
      <c r="A169">
        <v>168</v>
      </c>
      <c r="B169" t="s">
        <v>1036</v>
      </c>
      <c r="C169" t="s">
        <v>2811</v>
      </c>
    </row>
    <row r="170" spans="1:3" x14ac:dyDescent="0.25">
      <c r="A170">
        <v>169</v>
      </c>
      <c r="B170" t="s">
        <v>1122</v>
      </c>
      <c r="C170" t="s">
        <v>2812</v>
      </c>
    </row>
    <row r="171" spans="1:3" x14ac:dyDescent="0.25">
      <c r="A171">
        <v>170</v>
      </c>
      <c r="B171" t="s">
        <v>1123</v>
      </c>
      <c r="C171" t="s">
        <v>2813</v>
      </c>
    </row>
    <row r="172" spans="1:3" x14ac:dyDescent="0.25">
      <c r="A172">
        <v>171</v>
      </c>
      <c r="B172" t="s">
        <v>564</v>
      </c>
      <c r="C172" t="s">
        <v>2814</v>
      </c>
    </row>
    <row r="173" spans="1:3" x14ac:dyDescent="0.25">
      <c r="A173">
        <v>172</v>
      </c>
      <c r="B173" t="s">
        <v>565</v>
      </c>
      <c r="C173" t="s">
        <v>2815</v>
      </c>
    </row>
    <row r="174" spans="1:3" x14ac:dyDescent="0.25">
      <c r="A174">
        <v>173</v>
      </c>
      <c r="B174" t="s">
        <v>746</v>
      </c>
      <c r="C174" t="s">
        <v>2816</v>
      </c>
    </row>
    <row r="175" spans="1:3" x14ac:dyDescent="0.25">
      <c r="A175">
        <v>174</v>
      </c>
      <c r="B175" t="s">
        <v>716</v>
      </c>
      <c r="C175" t="s">
        <v>2817</v>
      </c>
    </row>
    <row r="176" spans="1:3" x14ac:dyDescent="0.25">
      <c r="A176">
        <v>175</v>
      </c>
      <c r="B176" t="s">
        <v>718</v>
      </c>
      <c r="C176" t="s">
        <v>2818</v>
      </c>
    </row>
    <row r="177" spans="1:3" x14ac:dyDescent="0.25">
      <c r="A177">
        <v>176</v>
      </c>
      <c r="B177" t="s">
        <v>817</v>
      </c>
      <c r="C177" t="s">
        <v>2819</v>
      </c>
    </row>
    <row r="178" spans="1:3" x14ac:dyDescent="0.25">
      <c r="A178">
        <v>177</v>
      </c>
      <c r="B178" t="s">
        <v>818</v>
      </c>
      <c r="C178" t="s">
        <v>2820</v>
      </c>
    </row>
    <row r="179" spans="1:3" x14ac:dyDescent="0.25">
      <c r="A179">
        <v>178</v>
      </c>
      <c r="B179" t="s">
        <v>1011</v>
      </c>
      <c r="C179" t="s">
        <v>2821</v>
      </c>
    </row>
    <row r="180" spans="1:3" x14ac:dyDescent="0.25">
      <c r="A180">
        <v>179</v>
      </c>
      <c r="B180" t="s">
        <v>1012</v>
      </c>
      <c r="C180" t="s">
        <v>2822</v>
      </c>
    </row>
    <row r="181" spans="1:3" x14ac:dyDescent="0.25">
      <c r="A181">
        <v>180</v>
      </c>
      <c r="B181" t="s">
        <v>558</v>
      </c>
      <c r="C181" t="s">
        <v>2823</v>
      </c>
    </row>
    <row r="182" spans="1:3" x14ac:dyDescent="0.25">
      <c r="A182">
        <v>181</v>
      </c>
      <c r="B182" t="s">
        <v>559</v>
      </c>
      <c r="C182" t="s">
        <v>2824</v>
      </c>
    </row>
    <row r="183" spans="1:3" x14ac:dyDescent="0.25">
      <c r="A183">
        <v>182</v>
      </c>
      <c r="B183" t="s">
        <v>560</v>
      </c>
      <c r="C183" t="s">
        <v>2825</v>
      </c>
    </row>
    <row r="184" spans="1:3" x14ac:dyDescent="0.25">
      <c r="A184">
        <v>183</v>
      </c>
      <c r="B184" t="s">
        <v>561</v>
      </c>
      <c r="C184" t="s">
        <v>2826</v>
      </c>
    </row>
    <row r="185" spans="1:3" x14ac:dyDescent="0.25">
      <c r="A185">
        <v>184</v>
      </c>
      <c r="B185" t="s">
        <v>944</v>
      </c>
      <c r="C185" t="s">
        <v>2827</v>
      </c>
    </row>
    <row r="186" spans="1:3" x14ac:dyDescent="0.25">
      <c r="A186">
        <v>185</v>
      </c>
      <c r="B186" t="s">
        <v>945</v>
      </c>
      <c r="C186" t="s">
        <v>2828</v>
      </c>
    </row>
    <row r="187" spans="1:3" x14ac:dyDescent="0.25">
      <c r="A187">
        <v>186</v>
      </c>
      <c r="B187" t="s">
        <v>1080</v>
      </c>
      <c r="C187" t="s">
        <v>2829</v>
      </c>
    </row>
    <row r="188" spans="1:3" x14ac:dyDescent="0.25">
      <c r="A188">
        <v>187</v>
      </c>
      <c r="B188" t="s">
        <v>1082</v>
      </c>
      <c r="C188" t="s">
        <v>2830</v>
      </c>
    </row>
    <row r="189" spans="1:3" x14ac:dyDescent="0.25">
      <c r="A189">
        <v>188</v>
      </c>
      <c r="B189" t="s">
        <v>1084</v>
      </c>
      <c r="C189" t="s">
        <v>2831</v>
      </c>
    </row>
    <row r="190" spans="1:3" x14ac:dyDescent="0.25">
      <c r="A190">
        <v>189</v>
      </c>
      <c r="B190" t="s">
        <v>1085</v>
      </c>
      <c r="C190" t="s">
        <v>2832</v>
      </c>
    </row>
    <row r="191" spans="1:3" x14ac:dyDescent="0.25">
      <c r="A191">
        <v>190</v>
      </c>
      <c r="B191" t="s">
        <v>1087</v>
      </c>
      <c r="C191" t="s">
        <v>2833</v>
      </c>
    </row>
    <row r="192" spans="1:3" x14ac:dyDescent="0.25">
      <c r="A192">
        <v>191</v>
      </c>
      <c r="B192" t="s">
        <v>1088</v>
      </c>
      <c r="C192" t="s">
        <v>2834</v>
      </c>
    </row>
    <row r="193" spans="1:3" x14ac:dyDescent="0.25">
      <c r="A193">
        <v>192</v>
      </c>
      <c r="B193" t="s">
        <v>1089</v>
      </c>
      <c r="C193" t="s">
        <v>2835</v>
      </c>
    </row>
    <row r="194" spans="1:3" x14ac:dyDescent="0.25">
      <c r="A194">
        <v>193</v>
      </c>
      <c r="B194" t="s">
        <v>1090</v>
      </c>
      <c r="C194" t="s">
        <v>2836</v>
      </c>
    </row>
    <row r="195" spans="1:3" x14ac:dyDescent="0.25">
      <c r="A195">
        <v>194</v>
      </c>
      <c r="B195" t="s">
        <v>520</v>
      </c>
      <c r="C195" t="s">
        <v>2837</v>
      </c>
    </row>
    <row r="196" spans="1:3" x14ac:dyDescent="0.25">
      <c r="A196">
        <v>195</v>
      </c>
      <c r="B196" t="s">
        <v>905</v>
      </c>
      <c r="C196" t="s">
        <v>2838</v>
      </c>
    </row>
    <row r="197" spans="1:3" x14ac:dyDescent="0.25">
      <c r="A197">
        <v>196</v>
      </c>
      <c r="B197" t="s">
        <v>535</v>
      </c>
      <c r="C197" t="s">
        <v>2839</v>
      </c>
    </row>
    <row r="198" spans="1:3" x14ac:dyDescent="0.25">
      <c r="A198">
        <v>197</v>
      </c>
      <c r="B198" t="s">
        <v>933</v>
      </c>
      <c r="C198" t="s">
        <v>2840</v>
      </c>
    </row>
    <row r="199" spans="1:3" x14ac:dyDescent="0.25">
      <c r="A199">
        <v>198</v>
      </c>
      <c r="B199" t="s">
        <v>937</v>
      </c>
      <c r="C199" t="s">
        <v>2841</v>
      </c>
    </row>
    <row r="200" spans="1:3" x14ac:dyDescent="0.25">
      <c r="A200">
        <v>199</v>
      </c>
      <c r="B200" t="s">
        <v>929</v>
      </c>
      <c r="C200" t="s">
        <v>2842</v>
      </c>
    </row>
    <row r="201" spans="1:3" x14ac:dyDescent="0.25">
      <c r="A201">
        <v>200</v>
      </c>
      <c r="B201" t="s">
        <v>675</v>
      </c>
      <c r="C201" t="s">
        <v>2843</v>
      </c>
    </row>
    <row r="202" spans="1:3" x14ac:dyDescent="0.25">
      <c r="A202">
        <v>201</v>
      </c>
      <c r="B202" t="s">
        <v>527</v>
      </c>
      <c r="C202" t="s">
        <v>2844</v>
      </c>
    </row>
    <row r="203" spans="1:3" x14ac:dyDescent="0.25">
      <c r="A203">
        <v>202</v>
      </c>
      <c r="B203" t="s">
        <v>528</v>
      </c>
      <c r="C203" t="s">
        <v>2845</v>
      </c>
    </row>
    <row r="204" spans="1:3" x14ac:dyDescent="0.25">
      <c r="A204">
        <v>203</v>
      </c>
      <c r="B204" t="s">
        <v>649</v>
      </c>
      <c r="C204" t="s">
        <v>2846</v>
      </c>
    </row>
    <row r="205" spans="1:3" x14ac:dyDescent="0.25">
      <c r="A205">
        <v>204</v>
      </c>
      <c r="B205" t="s">
        <v>650</v>
      </c>
      <c r="C205" t="s">
        <v>2847</v>
      </c>
    </row>
    <row r="206" spans="1:3" x14ac:dyDescent="0.25">
      <c r="A206">
        <v>205</v>
      </c>
      <c r="B206" t="s">
        <v>653</v>
      </c>
      <c r="C206" t="s">
        <v>2848</v>
      </c>
    </row>
    <row r="207" spans="1:3" x14ac:dyDescent="0.25">
      <c r="A207">
        <v>206</v>
      </c>
      <c r="B207" t="s">
        <v>654</v>
      </c>
      <c r="C207" t="s">
        <v>2849</v>
      </c>
    </row>
    <row r="208" spans="1:3" x14ac:dyDescent="0.25">
      <c r="A208">
        <v>207</v>
      </c>
      <c r="B208" t="s">
        <v>655</v>
      </c>
      <c r="C208" t="s">
        <v>2850</v>
      </c>
    </row>
    <row r="209" spans="1:3" x14ac:dyDescent="0.25">
      <c r="A209">
        <v>208</v>
      </c>
      <c r="B209" t="s">
        <v>656</v>
      </c>
      <c r="C209" t="s">
        <v>2851</v>
      </c>
    </row>
    <row r="210" spans="1:3" x14ac:dyDescent="0.25">
      <c r="A210">
        <v>209</v>
      </c>
      <c r="B210" t="s">
        <v>657</v>
      </c>
      <c r="C210" t="s">
        <v>2852</v>
      </c>
    </row>
    <row r="211" spans="1:3" x14ac:dyDescent="0.25">
      <c r="A211">
        <v>210</v>
      </c>
      <c r="B211" t="s">
        <v>592</v>
      </c>
      <c r="C211" t="s">
        <v>2853</v>
      </c>
    </row>
    <row r="212" spans="1:3" x14ac:dyDescent="0.25">
      <c r="A212">
        <v>211</v>
      </c>
      <c r="B212" t="s">
        <v>683</v>
      </c>
      <c r="C212" t="s">
        <v>2854</v>
      </c>
    </row>
    <row r="213" spans="1:3" x14ac:dyDescent="0.25">
      <c r="A213">
        <v>212</v>
      </c>
      <c r="B213" t="s">
        <v>689</v>
      </c>
      <c r="C213" t="s">
        <v>2855</v>
      </c>
    </row>
    <row r="214" spans="1:3" x14ac:dyDescent="0.25">
      <c r="A214">
        <v>213</v>
      </c>
      <c r="B214" t="s">
        <v>690</v>
      </c>
      <c r="C214" t="s">
        <v>2856</v>
      </c>
    </row>
    <row r="215" spans="1:3" x14ac:dyDescent="0.25">
      <c r="A215">
        <v>214</v>
      </c>
      <c r="B215" t="s">
        <v>722</v>
      </c>
      <c r="C215" t="s">
        <v>2857</v>
      </c>
    </row>
    <row r="216" spans="1:3" x14ac:dyDescent="0.25">
      <c r="A216">
        <v>215</v>
      </c>
      <c r="B216" t="s">
        <v>761</v>
      </c>
      <c r="C216" t="s">
        <v>2858</v>
      </c>
    </row>
    <row r="217" spans="1:3" x14ac:dyDescent="0.25">
      <c r="A217">
        <v>216</v>
      </c>
      <c r="B217" t="s">
        <v>762</v>
      </c>
      <c r="C217" t="s">
        <v>2859</v>
      </c>
    </row>
    <row r="218" spans="1:3" x14ac:dyDescent="0.25">
      <c r="A218">
        <v>217</v>
      </c>
      <c r="B218" t="s">
        <v>1038</v>
      </c>
      <c r="C218" t="s">
        <v>2860</v>
      </c>
    </row>
    <row r="219" spans="1:3" x14ac:dyDescent="0.25">
      <c r="A219">
        <v>218</v>
      </c>
      <c r="B219" t="s">
        <v>1039</v>
      </c>
      <c r="C219" t="s">
        <v>2861</v>
      </c>
    </row>
    <row r="220" spans="1:3" x14ac:dyDescent="0.25">
      <c r="A220">
        <v>219</v>
      </c>
      <c r="B220" t="s">
        <v>1040</v>
      </c>
      <c r="C220" t="s">
        <v>2862</v>
      </c>
    </row>
    <row r="221" spans="1:3" x14ac:dyDescent="0.25">
      <c r="A221">
        <v>220</v>
      </c>
      <c r="B221" t="s">
        <v>809</v>
      </c>
      <c r="C221" t="s">
        <v>2863</v>
      </c>
    </row>
    <row r="222" spans="1:3" x14ac:dyDescent="0.25">
      <c r="A222">
        <v>221</v>
      </c>
      <c r="B222" t="s">
        <v>822</v>
      </c>
      <c r="C222" t="s">
        <v>2864</v>
      </c>
    </row>
    <row r="223" spans="1:3" x14ac:dyDescent="0.25">
      <c r="A223">
        <v>222</v>
      </c>
      <c r="B223" t="s">
        <v>958</v>
      </c>
      <c r="C223" t="s">
        <v>2865</v>
      </c>
    </row>
    <row r="224" spans="1:3" x14ac:dyDescent="0.25">
      <c r="A224">
        <v>223</v>
      </c>
      <c r="B224" t="s">
        <v>959</v>
      </c>
      <c r="C224" t="s">
        <v>2866</v>
      </c>
    </row>
    <row r="225" spans="1:3" x14ac:dyDescent="0.25">
      <c r="A225">
        <v>224</v>
      </c>
      <c r="B225" t="s">
        <v>1020</v>
      </c>
      <c r="C225" t="s">
        <v>2867</v>
      </c>
    </row>
    <row r="226" spans="1:3" x14ac:dyDescent="0.25">
      <c r="A226">
        <v>225</v>
      </c>
      <c r="B226" t="s">
        <v>1021</v>
      </c>
      <c r="C226" t="s">
        <v>2868</v>
      </c>
    </row>
    <row r="227" spans="1:3" x14ac:dyDescent="0.25">
      <c r="A227">
        <v>226</v>
      </c>
      <c r="B227" t="s">
        <v>1116</v>
      </c>
      <c r="C227" t="s">
        <v>2869</v>
      </c>
    </row>
    <row r="228" spans="1:3" x14ac:dyDescent="0.25">
      <c r="A228">
        <v>227</v>
      </c>
      <c r="B228" t="s">
        <v>1117</v>
      </c>
      <c r="C228" t="s">
        <v>2870</v>
      </c>
    </row>
    <row r="229" spans="1:3" x14ac:dyDescent="0.25">
      <c r="A229">
        <v>228</v>
      </c>
      <c r="B229" t="s">
        <v>1118</v>
      </c>
      <c r="C229" t="s">
        <v>2871</v>
      </c>
    </row>
    <row r="230" spans="1:3" x14ac:dyDescent="0.25">
      <c r="A230">
        <v>229</v>
      </c>
      <c r="B230" t="s">
        <v>1119</v>
      </c>
      <c r="C230" t="s">
        <v>2872</v>
      </c>
    </row>
    <row r="231" spans="1:3" x14ac:dyDescent="0.25">
      <c r="A231">
        <v>230</v>
      </c>
      <c r="B231" t="s">
        <v>1120</v>
      </c>
      <c r="C231" t="s">
        <v>2873</v>
      </c>
    </row>
    <row r="232" spans="1:3" x14ac:dyDescent="0.25">
      <c r="A232">
        <v>231</v>
      </c>
      <c r="B232" t="s">
        <v>739</v>
      </c>
      <c r="C232" t="s">
        <v>2874</v>
      </c>
    </row>
    <row r="233" spans="1:3" x14ac:dyDescent="0.25">
      <c r="A233">
        <v>232</v>
      </c>
      <c r="B233" t="s">
        <v>740</v>
      </c>
      <c r="C233" t="s">
        <v>2875</v>
      </c>
    </row>
    <row r="234" spans="1:3" x14ac:dyDescent="0.25">
      <c r="A234">
        <v>233</v>
      </c>
      <c r="B234" t="s">
        <v>773</v>
      </c>
      <c r="C234" t="s">
        <v>2876</v>
      </c>
    </row>
    <row r="235" spans="1:3" x14ac:dyDescent="0.25">
      <c r="A235">
        <v>234</v>
      </c>
      <c r="B235" t="s">
        <v>861</v>
      </c>
      <c r="C235" t="s">
        <v>2877</v>
      </c>
    </row>
    <row r="236" spans="1:3" x14ac:dyDescent="0.25">
      <c r="A236">
        <v>235</v>
      </c>
      <c r="B236" t="s">
        <v>862</v>
      </c>
      <c r="C236" t="s">
        <v>2878</v>
      </c>
    </row>
    <row r="237" spans="1:3" x14ac:dyDescent="0.25">
      <c r="A237">
        <v>236</v>
      </c>
      <c r="B237" t="s">
        <v>864</v>
      </c>
      <c r="C237" t="s">
        <v>2879</v>
      </c>
    </row>
    <row r="238" spans="1:3" x14ac:dyDescent="0.25">
      <c r="A238">
        <v>237</v>
      </c>
      <c r="B238" t="s">
        <v>865</v>
      </c>
      <c r="C238" t="s">
        <v>2880</v>
      </c>
    </row>
    <row r="239" spans="1:3" x14ac:dyDescent="0.25">
      <c r="A239">
        <v>238</v>
      </c>
      <c r="B239" t="s">
        <v>868</v>
      </c>
      <c r="C239" t="s">
        <v>2881</v>
      </c>
    </row>
    <row r="240" spans="1:3" x14ac:dyDescent="0.25">
      <c r="A240">
        <v>239</v>
      </c>
      <c r="B240" t="s">
        <v>648</v>
      </c>
      <c r="C240" t="s">
        <v>2882</v>
      </c>
    </row>
    <row r="241" spans="1:3" x14ac:dyDescent="0.25">
      <c r="A241">
        <v>240</v>
      </c>
      <c r="B241" t="s">
        <v>737</v>
      </c>
      <c r="C241" t="s">
        <v>2883</v>
      </c>
    </row>
    <row r="242" spans="1:3" x14ac:dyDescent="0.25">
      <c r="A242">
        <v>241</v>
      </c>
      <c r="B242" t="s">
        <v>738</v>
      </c>
      <c r="C242" t="s">
        <v>2884</v>
      </c>
    </row>
    <row r="243" spans="1:3" x14ac:dyDescent="0.25">
      <c r="A243">
        <v>242</v>
      </c>
      <c r="B243" t="s">
        <v>1079</v>
      </c>
      <c r="C243" t="s">
        <v>2885</v>
      </c>
    </row>
    <row r="244" spans="1:3" x14ac:dyDescent="0.25">
      <c r="A244">
        <v>243</v>
      </c>
      <c r="B244" t="s">
        <v>921</v>
      </c>
      <c r="C244" t="s">
        <v>2886</v>
      </c>
    </row>
    <row r="245" spans="1:3" x14ac:dyDescent="0.25">
      <c r="A245">
        <v>244</v>
      </c>
      <c r="B245" t="s">
        <v>922</v>
      </c>
      <c r="C245" t="s">
        <v>2887</v>
      </c>
    </row>
    <row r="246" spans="1:3" x14ac:dyDescent="0.25">
      <c r="A246">
        <v>245</v>
      </c>
      <c r="B246" t="s">
        <v>924</v>
      </c>
      <c r="C246" t="s">
        <v>2888</v>
      </c>
    </row>
    <row r="247" spans="1:3" x14ac:dyDescent="0.25">
      <c r="A247">
        <v>246</v>
      </c>
      <c r="B247" t="s">
        <v>926</v>
      </c>
      <c r="C247" t="s">
        <v>2889</v>
      </c>
    </row>
    <row r="248" spans="1:3" x14ac:dyDescent="0.25">
      <c r="A248">
        <v>247</v>
      </c>
      <c r="B248" t="s">
        <v>1050</v>
      </c>
      <c r="C248" t="s">
        <v>2890</v>
      </c>
    </row>
    <row r="249" spans="1:3" x14ac:dyDescent="0.25">
      <c r="A249">
        <v>248</v>
      </c>
      <c r="B249" t="s">
        <v>1051</v>
      </c>
      <c r="C249" t="s">
        <v>2891</v>
      </c>
    </row>
    <row r="250" spans="1:3" x14ac:dyDescent="0.25">
      <c r="A250">
        <v>249</v>
      </c>
      <c r="B250" t="s">
        <v>1126</v>
      </c>
      <c r="C250" t="s">
        <v>2892</v>
      </c>
    </row>
    <row r="251" spans="1:3" x14ac:dyDescent="0.25">
      <c r="A251">
        <v>250</v>
      </c>
      <c r="B251" t="s">
        <v>1127</v>
      </c>
      <c r="C251" t="s">
        <v>2893</v>
      </c>
    </row>
    <row r="252" spans="1:3" x14ac:dyDescent="0.25">
      <c r="A252">
        <v>251</v>
      </c>
      <c r="B252" t="s">
        <v>1128</v>
      </c>
      <c r="C252" t="s">
        <v>2894</v>
      </c>
    </row>
    <row r="253" spans="1:3" x14ac:dyDescent="0.25">
      <c r="A253">
        <v>252</v>
      </c>
      <c r="B253" t="s">
        <v>796</v>
      </c>
      <c r="C253" t="s">
        <v>2895</v>
      </c>
    </row>
    <row r="254" spans="1:3" x14ac:dyDescent="0.25">
      <c r="A254">
        <v>253</v>
      </c>
      <c r="B254" t="s">
        <v>797</v>
      </c>
      <c r="C254" t="s">
        <v>2896</v>
      </c>
    </row>
    <row r="255" spans="1:3" x14ac:dyDescent="0.25">
      <c r="A255">
        <v>254</v>
      </c>
      <c r="B255" t="s">
        <v>798</v>
      </c>
      <c r="C255" t="s">
        <v>2897</v>
      </c>
    </row>
    <row r="256" spans="1:3" x14ac:dyDescent="0.25">
      <c r="A256">
        <v>255</v>
      </c>
      <c r="B256" t="s">
        <v>799</v>
      </c>
      <c r="C256" t="s">
        <v>2898</v>
      </c>
    </row>
    <row r="257" spans="1:3" x14ac:dyDescent="0.25">
      <c r="A257">
        <v>256</v>
      </c>
      <c r="B257" t="s">
        <v>804</v>
      </c>
      <c r="C257" t="s">
        <v>2899</v>
      </c>
    </row>
    <row r="258" spans="1:3" x14ac:dyDescent="0.25">
      <c r="A258">
        <v>257</v>
      </c>
      <c r="B258" t="s">
        <v>539</v>
      </c>
      <c r="C258" t="s">
        <v>2900</v>
      </c>
    </row>
    <row r="259" spans="1:3" x14ac:dyDescent="0.25">
      <c r="A259">
        <v>258</v>
      </c>
      <c r="B259" t="s">
        <v>540</v>
      </c>
      <c r="C259" t="s">
        <v>2901</v>
      </c>
    </row>
    <row r="260" spans="1:3" x14ac:dyDescent="0.25">
      <c r="A260">
        <v>259</v>
      </c>
      <c r="B260" t="s">
        <v>542</v>
      </c>
      <c r="C260" t="s">
        <v>2902</v>
      </c>
    </row>
    <row r="261" spans="1:3" x14ac:dyDescent="0.25">
      <c r="A261">
        <v>260</v>
      </c>
      <c r="B261" t="s">
        <v>543</v>
      </c>
      <c r="C261" t="s">
        <v>2903</v>
      </c>
    </row>
    <row r="262" spans="1:3" x14ac:dyDescent="0.25">
      <c r="A262">
        <v>261</v>
      </c>
      <c r="B262" t="s">
        <v>988</v>
      </c>
      <c r="C262" t="s">
        <v>2904</v>
      </c>
    </row>
    <row r="263" spans="1:3" x14ac:dyDescent="0.25">
      <c r="A263">
        <v>262</v>
      </c>
      <c r="B263" t="s">
        <v>758</v>
      </c>
      <c r="C263" t="s">
        <v>2905</v>
      </c>
    </row>
    <row r="264" spans="1:3" x14ac:dyDescent="0.25">
      <c r="A264">
        <v>263</v>
      </c>
      <c r="B264" t="s">
        <v>892</v>
      </c>
      <c r="C264" t="s">
        <v>2906</v>
      </c>
    </row>
    <row r="265" spans="1:3" x14ac:dyDescent="0.25">
      <c r="A265">
        <v>264</v>
      </c>
      <c r="B265" t="s">
        <v>893</v>
      </c>
      <c r="C265" t="s">
        <v>2907</v>
      </c>
    </row>
    <row r="266" spans="1:3" x14ac:dyDescent="0.25">
      <c r="A266">
        <v>265</v>
      </c>
      <c r="B266" t="s">
        <v>755</v>
      </c>
      <c r="C266" t="s">
        <v>2908</v>
      </c>
    </row>
    <row r="267" spans="1:3" x14ac:dyDescent="0.25">
      <c r="A267">
        <v>266</v>
      </c>
      <c r="B267" t="s">
        <v>665</v>
      </c>
      <c r="C267" t="s">
        <v>2909</v>
      </c>
    </row>
    <row r="268" spans="1:3" x14ac:dyDescent="0.25">
      <c r="A268">
        <v>267</v>
      </c>
      <c r="B268" t="s">
        <v>666</v>
      </c>
      <c r="C268" t="s">
        <v>2910</v>
      </c>
    </row>
    <row r="269" spans="1:3" x14ac:dyDescent="0.25">
      <c r="A269">
        <v>268</v>
      </c>
      <c r="B269" t="s">
        <v>523</v>
      </c>
      <c r="C269" t="s">
        <v>2911</v>
      </c>
    </row>
    <row r="270" spans="1:3" x14ac:dyDescent="0.25">
      <c r="A270">
        <v>269</v>
      </c>
      <c r="B270" t="s">
        <v>760</v>
      </c>
      <c r="C270" t="s">
        <v>2912</v>
      </c>
    </row>
    <row r="271" spans="1:3" x14ac:dyDescent="0.25">
      <c r="A271">
        <v>270</v>
      </c>
      <c r="B271" t="s">
        <v>671</v>
      </c>
      <c r="C271" t="s">
        <v>2913</v>
      </c>
    </row>
    <row r="272" spans="1:3" x14ac:dyDescent="0.25">
      <c r="A272">
        <v>271</v>
      </c>
      <c r="B272" t="s">
        <v>676</v>
      </c>
      <c r="C272" t="s">
        <v>2914</v>
      </c>
    </row>
    <row r="273" spans="1:3" x14ac:dyDescent="0.25">
      <c r="A273">
        <v>272</v>
      </c>
      <c r="B273" t="s">
        <v>563</v>
      </c>
      <c r="C273" t="s">
        <v>2915</v>
      </c>
    </row>
    <row r="274" spans="1:3" x14ac:dyDescent="0.25">
      <c r="A274">
        <v>273</v>
      </c>
      <c r="B274" t="s">
        <v>677</v>
      </c>
      <c r="C274" t="s">
        <v>2916</v>
      </c>
    </row>
    <row r="275" spans="1:3" x14ac:dyDescent="0.25">
      <c r="A275">
        <v>274</v>
      </c>
      <c r="B275" t="s">
        <v>678</v>
      </c>
      <c r="C275" t="s">
        <v>2917</v>
      </c>
    </row>
    <row r="276" spans="1:3" x14ac:dyDescent="0.25">
      <c r="A276">
        <v>275</v>
      </c>
      <c r="B276" t="s">
        <v>1057</v>
      </c>
      <c r="C276" t="s">
        <v>2918</v>
      </c>
    </row>
    <row r="277" spans="1:3" x14ac:dyDescent="0.25">
      <c r="A277">
        <v>276</v>
      </c>
      <c r="B277" t="s">
        <v>1058</v>
      </c>
      <c r="C277" t="s">
        <v>2919</v>
      </c>
    </row>
    <row r="278" spans="1:3" x14ac:dyDescent="0.25">
      <c r="A278">
        <v>277</v>
      </c>
      <c r="B278" t="s">
        <v>1112</v>
      </c>
      <c r="C278" t="s">
        <v>2920</v>
      </c>
    </row>
    <row r="279" spans="1:3" x14ac:dyDescent="0.25">
      <c r="A279">
        <v>278</v>
      </c>
      <c r="B279" t="s">
        <v>1113</v>
      </c>
      <c r="C279" t="s">
        <v>2921</v>
      </c>
    </row>
    <row r="280" spans="1:3" x14ac:dyDescent="0.25">
      <c r="A280">
        <v>279</v>
      </c>
      <c r="B280" t="s">
        <v>706</v>
      </c>
      <c r="C280" t="s">
        <v>2922</v>
      </c>
    </row>
    <row r="281" spans="1:3" x14ac:dyDescent="0.25">
      <c r="A281">
        <v>280</v>
      </c>
      <c r="B281" t="s">
        <v>1124</v>
      </c>
      <c r="C281" t="s">
        <v>2923</v>
      </c>
    </row>
    <row r="282" spans="1:3" x14ac:dyDescent="0.25">
      <c r="A282">
        <v>281</v>
      </c>
      <c r="B282" t="s">
        <v>840</v>
      </c>
      <c r="C282" t="s">
        <v>2924</v>
      </c>
    </row>
    <row r="283" spans="1:3" x14ac:dyDescent="0.25">
      <c r="A283">
        <v>282</v>
      </c>
      <c r="B283" t="s">
        <v>960</v>
      </c>
      <c r="C283" t="s">
        <v>2925</v>
      </c>
    </row>
    <row r="284" spans="1:3" x14ac:dyDescent="0.25">
      <c r="A284">
        <v>283</v>
      </c>
      <c r="B284" t="s">
        <v>1104</v>
      </c>
      <c r="C284" t="s">
        <v>2926</v>
      </c>
    </row>
    <row r="285" spans="1:3" x14ac:dyDescent="0.25">
      <c r="A285">
        <v>284</v>
      </c>
      <c r="B285" t="s">
        <v>969</v>
      </c>
      <c r="C285" t="s">
        <v>2927</v>
      </c>
    </row>
    <row r="286" spans="1:3" x14ac:dyDescent="0.25">
      <c r="A286">
        <v>285</v>
      </c>
      <c r="B286" t="s">
        <v>1102</v>
      </c>
      <c r="C286" t="s">
        <v>2928</v>
      </c>
    </row>
    <row r="287" spans="1:3" x14ac:dyDescent="0.25">
      <c r="A287">
        <v>286</v>
      </c>
      <c r="B287" t="s">
        <v>1103</v>
      </c>
      <c r="C287" t="s">
        <v>2929</v>
      </c>
    </row>
    <row r="288" spans="1:3" x14ac:dyDescent="0.25">
      <c r="A288">
        <v>287</v>
      </c>
      <c r="B288" t="s">
        <v>1060</v>
      </c>
      <c r="C288" t="s">
        <v>2930</v>
      </c>
    </row>
    <row r="289" spans="1:3" x14ac:dyDescent="0.25">
      <c r="A289">
        <v>288</v>
      </c>
      <c r="B289" t="s">
        <v>950</v>
      </c>
      <c r="C289" t="s">
        <v>2931</v>
      </c>
    </row>
    <row r="290" spans="1:3" x14ac:dyDescent="0.25">
      <c r="A290">
        <v>289</v>
      </c>
      <c r="B290" t="s">
        <v>566</v>
      </c>
      <c r="C290" t="s">
        <v>2932</v>
      </c>
    </row>
    <row r="291" spans="1:3" x14ac:dyDescent="0.25">
      <c r="A291">
        <v>290</v>
      </c>
      <c r="B291" t="s">
        <v>748</v>
      </c>
      <c r="C291" t="s">
        <v>2933</v>
      </c>
    </row>
    <row r="292" spans="1:3" x14ac:dyDescent="0.25">
      <c r="A292">
        <v>291</v>
      </c>
      <c r="B292" t="s">
        <v>749</v>
      </c>
      <c r="C292" t="s">
        <v>2934</v>
      </c>
    </row>
    <row r="293" spans="1:3" x14ac:dyDescent="0.25">
      <c r="A293">
        <v>292</v>
      </c>
      <c r="B293" t="s">
        <v>750</v>
      </c>
      <c r="C293" t="s">
        <v>2935</v>
      </c>
    </row>
    <row r="294" spans="1:3" x14ac:dyDescent="0.25">
      <c r="A294">
        <v>293</v>
      </c>
      <c r="B294" t="s">
        <v>931</v>
      </c>
      <c r="C294" t="s">
        <v>2936</v>
      </c>
    </row>
    <row r="295" spans="1:3" x14ac:dyDescent="0.25">
      <c r="A295">
        <v>294</v>
      </c>
      <c r="B295" t="s">
        <v>794</v>
      </c>
      <c r="C295" t="s">
        <v>2937</v>
      </c>
    </row>
    <row r="296" spans="1:3" x14ac:dyDescent="0.25">
      <c r="A296">
        <v>295</v>
      </c>
      <c r="B296" t="s">
        <v>855</v>
      </c>
      <c r="C296" t="s">
        <v>2938</v>
      </c>
    </row>
    <row r="297" spans="1:3" x14ac:dyDescent="0.25">
      <c r="A297">
        <v>296</v>
      </c>
      <c r="B297" t="s">
        <v>856</v>
      </c>
      <c r="C297" t="s">
        <v>2939</v>
      </c>
    </row>
    <row r="298" spans="1:3" x14ac:dyDescent="0.25">
      <c r="A298">
        <v>297</v>
      </c>
      <c r="B298" t="s">
        <v>934</v>
      </c>
      <c r="C298" t="s">
        <v>2940</v>
      </c>
    </row>
    <row r="299" spans="1:3" x14ac:dyDescent="0.25">
      <c r="A299">
        <v>298</v>
      </c>
      <c r="B299" t="s">
        <v>970</v>
      </c>
      <c r="C299" t="s">
        <v>2941</v>
      </c>
    </row>
    <row r="300" spans="1:3" x14ac:dyDescent="0.25">
      <c r="A300">
        <v>299</v>
      </c>
      <c r="B300" t="s">
        <v>971</v>
      </c>
      <c r="C300" t="s">
        <v>2942</v>
      </c>
    </row>
    <row r="301" spans="1:3" x14ac:dyDescent="0.25">
      <c r="A301">
        <v>300</v>
      </c>
      <c r="B301" t="s">
        <v>972</v>
      </c>
      <c r="C301" t="s">
        <v>2943</v>
      </c>
    </row>
    <row r="302" spans="1:3" x14ac:dyDescent="0.25">
      <c r="A302">
        <v>301</v>
      </c>
      <c r="B302" t="s">
        <v>973</v>
      </c>
      <c r="C302" t="s">
        <v>2944</v>
      </c>
    </row>
    <row r="303" spans="1:3" x14ac:dyDescent="0.25">
      <c r="A303">
        <v>302</v>
      </c>
      <c r="B303" t="s">
        <v>1046</v>
      </c>
      <c r="C303" t="s">
        <v>2945</v>
      </c>
    </row>
    <row r="304" spans="1:3" x14ac:dyDescent="0.25">
      <c r="A304">
        <v>303</v>
      </c>
      <c r="B304" t="s">
        <v>802</v>
      </c>
      <c r="C304" t="s">
        <v>2946</v>
      </c>
    </row>
    <row r="305" spans="1:3" x14ac:dyDescent="0.25">
      <c r="A305">
        <v>304</v>
      </c>
      <c r="B305" t="s">
        <v>803</v>
      </c>
      <c r="C305" t="s">
        <v>2947</v>
      </c>
    </row>
    <row r="306" spans="1:3" x14ac:dyDescent="0.25">
      <c r="A306">
        <v>305</v>
      </c>
      <c r="B306" t="s">
        <v>521</v>
      </c>
      <c r="C306" t="s">
        <v>2948</v>
      </c>
    </row>
    <row r="307" spans="1:3" x14ac:dyDescent="0.25">
      <c r="A307">
        <v>306</v>
      </c>
      <c r="B307" t="s">
        <v>977</v>
      </c>
      <c r="C307" t="s">
        <v>2949</v>
      </c>
    </row>
    <row r="308" spans="1:3" x14ac:dyDescent="0.25">
      <c r="A308">
        <v>307</v>
      </c>
      <c r="B308" t="s">
        <v>537</v>
      </c>
      <c r="C308" t="s">
        <v>2950</v>
      </c>
    </row>
    <row r="309" spans="1:3" x14ac:dyDescent="0.25">
      <c r="A309">
        <v>308</v>
      </c>
      <c r="B309" t="s">
        <v>1015</v>
      </c>
      <c r="C309" t="s">
        <v>2951</v>
      </c>
    </row>
    <row r="310" spans="1:3" x14ac:dyDescent="0.25">
      <c r="A310">
        <v>309</v>
      </c>
      <c r="B310" t="s">
        <v>1016</v>
      </c>
      <c r="C310" t="s">
        <v>2952</v>
      </c>
    </row>
    <row r="311" spans="1:3" x14ac:dyDescent="0.25">
      <c r="A311">
        <v>310</v>
      </c>
      <c r="B311" t="s">
        <v>1017</v>
      </c>
      <c r="C311" t="s">
        <v>2953</v>
      </c>
    </row>
    <row r="312" spans="1:3" x14ac:dyDescent="0.25">
      <c r="A312">
        <v>311</v>
      </c>
      <c r="B312" t="s">
        <v>932</v>
      </c>
      <c r="C312" t="s">
        <v>2954</v>
      </c>
    </row>
    <row r="313" spans="1:3" x14ac:dyDescent="0.25">
      <c r="A313">
        <v>312</v>
      </c>
      <c r="B313" t="s">
        <v>935</v>
      </c>
      <c r="C313" t="s">
        <v>2955</v>
      </c>
    </row>
    <row r="314" spans="1:3" x14ac:dyDescent="0.25">
      <c r="A314">
        <v>313</v>
      </c>
      <c r="B314" t="s">
        <v>936</v>
      </c>
      <c r="C314" t="s">
        <v>2956</v>
      </c>
    </row>
    <row r="315" spans="1:3" x14ac:dyDescent="0.25">
      <c r="A315">
        <v>314</v>
      </c>
      <c r="B315" t="s">
        <v>938</v>
      </c>
      <c r="C315" t="s">
        <v>2957</v>
      </c>
    </row>
    <row r="316" spans="1:3" x14ac:dyDescent="0.25">
      <c r="A316">
        <v>315</v>
      </c>
      <c r="B316" t="s">
        <v>939</v>
      </c>
      <c r="C316" t="s">
        <v>2958</v>
      </c>
    </row>
    <row r="317" spans="1:3" x14ac:dyDescent="0.25">
      <c r="A317">
        <v>316</v>
      </c>
      <c r="B317" t="s">
        <v>1097</v>
      </c>
      <c r="C317" t="s">
        <v>2959</v>
      </c>
    </row>
    <row r="318" spans="1:3" x14ac:dyDescent="0.25">
      <c r="A318">
        <v>317</v>
      </c>
      <c r="B318" t="s">
        <v>1098</v>
      </c>
      <c r="C318" t="s">
        <v>2960</v>
      </c>
    </row>
    <row r="319" spans="1:3" x14ac:dyDescent="0.25">
      <c r="A319">
        <v>318</v>
      </c>
      <c r="B319" t="s">
        <v>1137</v>
      </c>
      <c r="C319" t="s">
        <v>2961</v>
      </c>
    </row>
    <row r="320" spans="1:3" x14ac:dyDescent="0.25">
      <c r="A320">
        <v>319</v>
      </c>
      <c r="B320" t="s">
        <v>1138</v>
      </c>
      <c r="C320" t="s">
        <v>2962</v>
      </c>
    </row>
    <row r="321" spans="1:3" x14ac:dyDescent="0.25">
      <c r="A321">
        <v>320</v>
      </c>
      <c r="B321" t="s">
        <v>1121</v>
      </c>
      <c r="C321" t="s">
        <v>2963</v>
      </c>
    </row>
    <row r="322" spans="1:3" x14ac:dyDescent="0.25">
      <c r="A322">
        <v>321</v>
      </c>
      <c r="B322" t="s">
        <v>544</v>
      </c>
      <c r="C322" t="s">
        <v>2964</v>
      </c>
    </row>
    <row r="323" spans="1:3" x14ac:dyDescent="0.25">
      <c r="A323">
        <v>322</v>
      </c>
      <c r="B323" t="s">
        <v>597</v>
      </c>
      <c r="C323" t="s">
        <v>2965</v>
      </c>
    </row>
    <row r="324" spans="1:3" x14ac:dyDescent="0.25">
      <c r="A324">
        <v>323</v>
      </c>
      <c r="B324" t="s">
        <v>598</v>
      </c>
      <c r="C324" t="s">
        <v>2966</v>
      </c>
    </row>
    <row r="325" spans="1:3" x14ac:dyDescent="0.25">
      <c r="A325">
        <v>324</v>
      </c>
      <c r="B325" t="s">
        <v>599</v>
      </c>
      <c r="C325" t="s">
        <v>2967</v>
      </c>
    </row>
    <row r="326" spans="1:3" x14ac:dyDescent="0.25">
      <c r="A326">
        <v>325</v>
      </c>
      <c r="B326" t="s">
        <v>602</v>
      </c>
      <c r="C326" t="s">
        <v>2968</v>
      </c>
    </row>
    <row r="327" spans="1:3" x14ac:dyDescent="0.25">
      <c r="A327">
        <v>326</v>
      </c>
      <c r="B327" t="s">
        <v>1052</v>
      </c>
      <c r="C327" t="s">
        <v>2969</v>
      </c>
    </row>
    <row r="328" spans="1:3" x14ac:dyDescent="0.25">
      <c r="A328">
        <v>327</v>
      </c>
      <c r="B328" t="s">
        <v>1053</v>
      </c>
      <c r="C328" t="s">
        <v>2970</v>
      </c>
    </row>
    <row r="329" spans="1:3" x14ac:dyDescent="0.25">
      <c r="A329">
        <v>328</v>
      </c>
      <c r="B329" t="s">
        <v>1028</v>
      </c>
      <c r="C329" t="s">
        <v>2971</v>
      </c>
    </row>
    <row r="330" spans="1:3" x14ac:dyDescent="0.25">
      <c r="A330">
        <v>329</v>
      </c>
      <c r="B330" t="s">
        <v>1031</v>
      </c>
      <c r="C330" t="s">
        <v>2972</v>
      </c>
    </row>
    <row r="331" spans="1:3" x14ac:dyDescent="0.25">
      <c r="A331">
        <v>330</v>
      </c>
      <c r="B331" t="s">
        <v>1144</v>
      </c>
      <c r="C331" t="s">
        <v>2973</v>
      </c>
    </row>
    <row r="332" spans="1:3" x14ac:dyDescent="0.25">
      <c r="A332">
        <v>331</v>
      </c>
      <c r="B332" t="s">
        <v>1145</v>
      </c>
      <c r="C332" t="s">
        <v>2974</v>
      </c>
    </row>
    <row r="333" spans="1:3" x14ac:dyDescent="0.25">
      <c r="A333">
        <v>332</v>
      </c>
      <c r="B333" t="s">
        <v>908</v>
      </c>
      <c r="C333" t="s">
        <v>2975</v>
      </c>
    </row>
    <row r="334" spans="1:3" x14ac:dyDescent="0.25">
      <c r="A334">
        <v>333</v>
      </c>
      <c r="B334" t="s">
        <v>723</v>
      </c>
      <c r="C334" t="s">
        <v>2976</v>
      </c>
    </row>
    <row r="335" spans="1:3" x14ac:dyDescent="0.25">
      <c r="A335">
        <v>334</v>
      </c>
      <c r="B335" t="s">
        <v>724</v>
      </c>
      <c r="C335" t="s">
        <v>2977</v>
      </c>
    </row>
    <row r="336" spans="1:3" x14ac:dyDescent="0.25">
      <c r="A336">
        <v>335</v>
      </c>
      <c r="B336" t="s">
        <v>910</v>
      </c>
      <c r="C336" t="s">
        <v>2978</v>
      </c>
    </row>
    <row r="337" spans="1:3" x14ac:dyDescent="0.25">
      <c r="A337">
        <v>336</v>
      </c>
      <c r="B337" t="s">
        <v>911</v>
      </c>
      <c r="C337" t="s">
        <v>2979</v>
      </c>
    </row>
    <row r="338" spans="1:3" x14ac:dyDescent="0.25">
      <c r="A338">
        <v>337</v>
      </c>
      <c r="B338" t="s">
        <v>808</v>
      </c>
      <c r="C338" t="s">
        <v>2980</v>
      </c>
    </row>
    <row r="339" spans="1:3" x14ac:dyDescent="0.25">
      <c r="A339">
        <v>338</v>
      </c>
      <c r="B339" t="s">
        <v>823</v>
      </c>
      <c r="C339" t="s">
        <v>2981</v>
      </c>
    </row>
    <row r="340" spans="1:3" x14ac:dyDescent="0.25">
      <c r="A340">
        <v>339</v>
      </c>
      <c r="B340" t="s">
        <v>824</v>
      </c>
      <c r="C340" t="s">
        <v>2982</v>
      </c>
    </row>
    <row r="341" spans="1:3" x14ac:dyDescent="0.25">
      <c r="A341">
        <v>340</v>
      </c>
      <c r="B341" t="s">
        <v>1044</v>
      </c>
      <c r="C341" t="s">
        <v>2983</v>
      </c>
    </row>
    <row r="342" spans="1:3" x14ac:dyDescent="0.25">
      <c r="A342">
        <v>341</v>
      </c>
      <c r="B342" t="s">
        <v>1045</v>
      </c>
      <c r="C342" t="s">
        <v>2984</v>
      </c>
    </row>
    <row r="343" spans="1:3" x14ac:dyDescent="0.25">
      <c r="A343">
        <v>342</v>
      </c>
      <c r="B343" t="s">
        <v>793</v>
      </c>
      <c r="C343" t="s">
        <v>2985</v>
      </c>
    </row>
    <row r="344" spans="1:3" x14ac:dyDescent="0.25">
      <c r="A344">
        <v>343</v>
      </c>
      <c r="B344" t="s">
        <v>574</v>
      </c>
      <c r="C344" t="s">
        <v>2986</v>
      </c>
    </row>
    <row r="345" spans="1:3" x14ac:dyDescent="0.25">
      <c r="A345">
        <v>344</v>
      </c>
      <c r="B345" t="s">
        <v>577</v>
      </c>
      <c r="C345" t="s">
        <v>2987</v>
      </c>
    </row>
    <row r="346" spans="1:3" x14ac:dyDescent="0.25">
      <c r="A346">
        <v>345</v>
      </c>
      <c r="B346" t="s">
        <v>578</v>
      </c>
      <c r="C346" t="s">
        <v>2988</v>
      </c>
    </row>
    <row r="347" spans="1:3" x14ac:dyDescent="0.25">
      <c r="A347">
        <v>346</v>
      </c>
      <c r="B347" t="s">
        <v>730</v>
      </c>
      <c r="C347" t="s">
        <v>2989</v>
      </c>
    </row>
    <row r="348" spans="1:3" x14ac:dyDescent="0.25">
      <c r="A348">
        <v>347</v>
      </c>
      <c r="B348" t="s">
        <v>1043</v>
      </c>
      <c r="C348" t="s">
        <v>2990</v>
      </c>
    </row>
    <row r="349" spans="1:3" x14ac:dyDescent="0.25">
      <c r="A349">
        <v>348</v>
      </c>
      <c r="B349" t="s">
        <v>587</v>
      </c>
      <c r="C349" t="s">
        <v>2991</v>
      </c>
    </row>
    <row r="350" spans="1:3" x14ac:dyDescent="0.25">
      <c r="A350">
        <v>349</v>
      </c>
      <c r="B350" t="s">
        <v>588</v>
      </c>
      <c r="C350" t="s">
        <v>2992</v>
      </c>
    </row>
    <row r="351" spans="1:3" x14ac:dyDescent="0.25">
      <c r="A351">
        <v>350</v>
      </c>
      <c r="B351" t="s">
        <v>590</v>
      </c>
      <c r="C351" t="s">
        <v>2993</v>
      </c>
    </row>
    <row r="352" spans="1:3" x14ac:dyDescent="0.25">
      <c r="A352">
        <v>351</v>
      </c>
      <c r="B352" t="s">
        <v>942</v>
      </c>
      <c r="C352" t="s">
        <v>2994</v>
      </c>
    </row>
    <row r="353" spans="1:3" x14ac:dyDescent="0.25">
      <c r="A353">
        <v>352</v>
      </c>
      <c r="B353" t="s">
        <v>943</v>
      </c>
      <c r="C353" t="s">
        <v>2995</v>
      </c>
    </row>
    <row r="354" spans="1:3" x14ac:dyDescent="0.25">
      <c r="A354">
        <v>353</v>
      </c>
      <c r="B354" t="s">
        <v>1006</v>
      </c>
      <c r="C354" t="s">
        <v>2996</v>
      </c>
    </row>
    <row r="355" spans="1:3" x14ac:dyDescent="0.25">
      <c r="A355">
        <v>354</v>
      </c>
      <c r="B355" t="s">
        <v>1007</v>
      </c>
      <c r="C355" t="s">
        <v>2997</v>
      </c>
    </row>
    <row r="356" spans="1:3" x14ac:dyDescent="0.25">
      <c r="A356">
        <v>355</v>
      </c>
      <c r="B356" t="s">
        <v>679</v>
      </c>
      <c r="C356" t="s">
        <v>2998</v>
      </c>
    </row>
    <row r="357" spans="1:3" x14ac:dyDescent="0.25">
      <c r="A357">
        <v>356</v>
      </c>
      <c r="B357" t="s">
        <v>680</v>
      </c>
      <c r="C357" t="s">
        <v>2999</v>
      </c>
    </row>
    <row r="358" spans="1:3" x14ac:dyDescent="0.25">
      <c r="A358">
        <v>357</v>
      </c>
      <c r="B358" t="s">
        <v>682</v>
      </c>
      <c r="C358" t="s">
        <v>3000</v>
      </c>
    </row>
    <row r="359" spans="1:3" x14ac:dyDescent="0.25">
      <c r="A359">
        <v>358</v>
      </c>
      <c r="B359" t="s">
        <v>987</v>
      </c>
      <c r="C359" t="s">
        <v>3001</v>
      </c>
    </row>
    <row r="360" spans="1:3" x14ac:dyDescent="0.25">
      <c r="A360">
        <v>359</v>
      </c>
      <c r="B360" t="s">
        <v>725</v>
      </c>
      <c r="C360" t="s">
        <v>3002</v>
      </c>
    </row>
    <row r="361" spans="1:3" x14ac:dyDescent="0.25">
      <c r="A361">
        <v>360</v>
      </c>
      <c r="B361" t="s">
        <v>726</v>
      </c>
      <c r="C361" t="s">
        <v>3003</v>
      </c>
    </row>
    <row r="362" spans="1:3" x14ac:dyDescent="0.25">
      <c r="A362">
        <v>361</v>
      </c>
      <c r="B362" t="s">
        <v>727</v>
      </c>
      <c r="C362" t="s">
        <v>3004</v>
      </c>
    </row>
    <row r="363" spans="1:3" x14ac:dyDescent="0.25">
      <c r="A363">
        <v>362</v>
      </c>
      <c r="B363" t="s">
        <v>728</v>
      </c>
      <c r="C363" t="s">
        <v>3005</v>
      </c>
    </row>
    <row r="364" spans="1:3" x14ac:dyDescent="0.25">
      <c r="A364">
        <v>363</v>
      </c>
      <c r="B364" t="s">
        <v>899</v>
      </c>
      <c r="C364" t="s">
        <v>3006</v>
      </c>
    </row>
    <row r="365" spans="1:3" x14ac:dyDescent="0.25">
      <c r="A365">
        <v>364</v>
      </c>
      <c r="B365" t="s">
        <v>1069</v>
      </c>
      <c r="C365" t="s">
        <v>3007</v>
      </c>
    </row>
    <row r="366" spans="1:3" x14ac:dyDescent="0.25">
      <c r="A366">
        <v>365</v>
      </c>
      <c r="B366" t="s">
        <v>1023</v>
      </c>
      <c r="C366" t="s">
        <v>3008</v>
      </c>
    </row>
    <row r="367" spans="1:3" x14ac:dyDescent="0.25">
      <c r="A367">
        <v>366</v>
      </c>
      <c r="B367" t="s">
        <v>1027</v>
      </c>
      <c r="C367" t="s">
        <v>3009</v>
      </c>
    </row>
    <row r="368" spans="1:3" x14ac:dyDescent="0.25">
      <c r="A368">
        <v>367</v>
      </c>
      <c r="B368" t="s">
        <v>562</v>
      </c>
      <c r="C368" t="s">
        <v>3010</v>
      </c>
    </row>
    <row r="369" spans="1:3" x14ac:dyDescent="0.25">
      <c r="A369">
        <v>368</v>
      </c>
      <c r="B369" t="s">
        <v>767</v>
      </c>
      <c r="C369" t="s">
        <v>3011</v>
      </c>
    </row>
    <row r="370" spans="1:3" x14ac:dyDescent="0.25">
      <c r="A370">
        <v>369</v>
      </c>
      <c r="B370" t="s">
        <v>768</v>
      </c>
      <c r="C370" t="s">
        <v>3012</v>
      </c>
    </row>
    <row r="371" spans="1:3" x14ac:dyDescent="0.25">
      <c r="A371">
        <v>370</v>
      </c>
      <c r="B371" t="s">
        <v>769</v>
      </c>
      <c r="C371" t="s">
        <v>3013</v>
      </c>
    </row>
    <row r="372" spans="1:3" x14ac:dyDescent="0.25">
      <c r="A372">
        <v>371</v>
      </c>
      <c r="B372" t="s">
        <v>770</v>
      </c>
      <c r="C372" t="s">
        <v>3014</v>
      </c>
    </row>
    <row r="373" spans="1:3" x14ac:dyDescent="0.25">
      <c r="A373">
        <v>372</v>
      </c>
      <c r="B373" t="s">
        <v>1014</v>
      </c>
      <c r="C373" t="s">
        <v>3015</v>
      </c>
    </row>
    <row r="374" spans="1:3" x14ac:dyDescent="0.25">
      <c r="A374">
        <v>373</v>
      </c>
      <c r="B374" t="s">
        <v>1106</v>
      </c>
      <c r="C374" t="s">
        <v>3016</v>
      </c>
    </row>
    <row r="375" spans="1:3" x14ac:dyDescent="0.25">
      <c r="A375">
        <v>374</v>
      </c>
      <c r="B375" t="s">
        <v>1048</v>
      </c>
      <c r="C375" t="s">
        <v>3017</v>
      </c>
    </row>
    <row r="376" spans="1:3" x14ac:dyDescent="0.25">
      <c r="A376">
        <v>375</v>
      </c>
      <c r="B376" t="s">
        <v>1049</v>
      </c>
      <c r="C376" t="s">
        <v>3018</v>
      </c>
    </row>
    <row r="377" spans="1:3" x14ac:dyDescent="0.25">
      <c r="A377">
        <v>376</v>
      </c>
      <c r="B377" t="s">
        <v>789</v>
      </c>
      <c r="C377" t="s">
        <v>3019</v>
      </c>
    </row>
    <row r="378" spans="1:3" x14ac:dyDescent="0.25">
      <c r="A378">
        <v>377</v>
      </c>
      <c r="B378" t="s">
        <v>790</v>
      </c>
      <c r="C378" t="s">
        <v>3020</v>
      </c>
    </row>
    <row r="379" spans="1:3" x14ac:dyDescent="0.25">
      <c r="A379">
        <v>378</v>
      </c>
      <c r="B379" t="s">
        <v>791</v>
      </c>
      <c r="C379" t="s">
        <v>3021</v>
      </c>
    </row>
    <row r="380" spans="1:3" x14ac:dyDescent="0.25">
      <c r="A380">
        <v>379</v>
      </c>
      <c r="B380" t="s">
        <v>792</v>
      </c>
      <c r="C380" t="s">
        <v>3022</v>
      </c>
    </row>
    <row r="381" spans="1:3" x14ac:dyDescent="0.25">
      <c r="A381">
        <v>380</v>
      </c>
      <c r="B381" t="s">
        <v>825</v>
      </c>
      <c r="C381" t="s">
        <v>3023</v>
      </c>
    </row>
    <row r="382" spans="1:3" x14ac:dyDescent="0.25">
      <c r="A382">
        <v>381</v>
      </c>
      <c r="B382" t="s">
        <v>826</v>
      </c>
      <c r="C382" t="s">
        <v>3024</v>
      </c>
    </row>
    <row r="383" spans="1:3" x14ac:dyDescent="0.25">
      <c r="A383">
        <v>382</v>
      </c>
      <c r="B383" t="s">
        <v>831</v>
      </c>
      <c r="C383" t="s">
        <v>3025</v>
      </c>
    </row>
    <row r="384" spans="1:3" x14ac:dyDescent="0.25">
      <c r="A384">
        <v>383</v>
      </c>
      <c r="B384" t="s">
        <v>838</v>
      </c>
      <c r="C384" t="s">
        <v>3026</v>
      </c>
    </row>
    <row r="385" spans="1:3" x14ac:dyDescent="0.25">
      <c r="A385">
        <v>384</v>
      </c>
      <c r="B385" t="s">
        <v>839</v>
      </c>
      <c r="C385" t="s">
        <v>3027</v>
      </c>
    </row>
    <row r="386" spans="1:3" x14ac:dyDescent="0.25">
      <c r="A386">
        <v>385</v>
      </c>
      <c r="B386" t="s">
        <v>850</v>
      </c>
      <c r="C386" t="s">
        <v>3028</v>
      </c>
    </row>
    <row r="387" spans="1:3" x14ac:dyDescent="0.25">
      <c r="A387">
        <v>386</v>
      </c>
      <c r="B387" t="s">
        <v>852</v>
      </c>
      <c r="C387" t="s">
        <v>3029</v>
      </c>
    </row>
    <row r="388" spans="1:3" x14ac:dyDescent="0.25">
      <c r="A388">
        <v>387</v>
      </c>
      <c r="B388" t="s">
        <v>717</v>
      </c>
      <c r="C388" t="s">
        <v>3030</v>
      </c>
    </row>
    <row r="389" spans="1:3" x14ac:dyDescent="0.25">
      <c r="A389">
        <v>388</v>
      </c>
      <c r="B389" t="s">
        <v>1078</v>
      </c>
      <c r="C389" t="s">
        <v>3031</v>
      </c>
    </row>
    <row r="390" spans="1:3" x14ac:dyDescent="0.25">
      <c r="A390">
        <v>389</v>
      </c>
      <c r="B390" t="s">
        <v>1083</v>
      </c>
      <c r="C390" t="s">
        <v>3032</v>
      </c>
    </row>
    <row r="391" spans="1:3" x14ac:dyDescent="0.25">
      <c r="A391">
        <v>390</v>
      </c>
      <c r="B391" t="s">
        <v>1093</v>
      </c>
      <c r="C391" t="s">
        <v>3033</v>
      </c>
    </row>
    <row r="392" spans="1:3" x14ac:dyDescent="0.25">
      <c r="A392">
        <v>391</v>
      </c>
      <c r="B392" t="s">
        <v>1094</v>
      </c>
      <c r="C392" t="s">
        <v>3034</v>
      </c>
    </row>
    <row r="393" spans="1:3" x14ac:dyDescent="0.25">
      <c r="A393">
        <v>392</v>
      </c>
      <c r="B393" t="s">
        <v>1107</v>
      </c>
      <c r="C393" t="s">
        <v>3035</v>
      </c>
    </row>
    <row r="394" spans="1:3" x14ac:dyDescent="0.25">
      <c r="A394">
        <v>393</v>
      </c>
      <c r="B394" t="s">
        <v>1108</v>
      </c>
      <c r="C394" t="s">
        <v>3036</v>
      </c>
    </row>
    <row r="395" spans="1:3" x14ac:dyDescent="0.25">
      <c r="A395">
        <v>394</v>
      </c>
      <c r="B395" t="s">
        <v>956</v>
      </c>
      <c r="C395" t="s">
        <v>3037</v>
      </c>
    </row>
    <row r="396" spans="1:3" x14ac:dyDescent="0.25">
      <c r="A396">
        <v>395</v>
      </c>
      <c r="B396" t="s">
        <v>957</v>
      </c>
      <c r="C396" t="s">
        <v>3038</v>
      </c>
    </row>
    <row r="397" spans="1:3" x14ac:dyDescent="0.25">
      <c r="A397">
        <v>396</v>
      </c>
      <c r="B397" t="s">
        <v>571</v>
      </c>
      <c r="C397" t="s">
        <v>3039</v>
      </c>
    </row>
    <row r="398" spans="1:3" x14ac:dyDescent="0.25">
      <c r="A398">
        <v>397</v>
      </c>
      <c r="B398" t="s">
        <v>572</v>
      </c>
      <c r="C398" t="s">
        <v>3040</v>
      </c>
    </row>
    <row r="399" spans="1:3" x14ac:dyDescent="0.25">
      <c r="A399">
        <v>398</v>
      </c>
      <c r="B399" t="s">
        <v>573</v>
      </c>
      <c r="C399" t="s">
        <v>3041</v>
      </c>
    </row>
    <row r="400" spans="1:3" x14ac:dyDescent="0.25">
      <c r="A400">
        <v>399</v>
      </c>
      <c r="B400" t="s">
        <v>575</v>
      </c>
      <c r="C400" t="s">
        <v>3042</v>
      </c>
    </row>
    <row r="401" spans="1:3" x14ac:dyDescent="0.25">
      <c r="A401">
        <v>400</v>
      </c>
      <c r="B401" t="s">
        <v>576</v>
      </c>
      <c r="C401" t="s">
        <v>3043</v>
      </c>
    </row>
    <row r="402" spans="1:3" x14ac:dyDescent="0.25">
      <c r="A402">
        <v>401</v>
      </c>
      <c r="B402" t="s">
        <v>579</v>
      </c>
      <c r="C402" t="s">
        <v>3044</v>
      </c>
    </row>
    <row r="403" spans="1:3" x14ac:dyDescent="0.25">
      <c r="A403">
        <v>402</v>
      </c>
      <c r="B403" t="s">
        <v>907</v>
      </c>
      <c r="C403" t="s">
        <v>3045</v>
      </c>
    </row>
    <row r="404" spans="1:3" x14ac:dyDescent="0.25">
      <c r="A404">
        <v>403</v>
      </c>
      <c r="B404" t="s">
        <v>3046</v>
      </c>
      <c r="C404" t="s">
        <v>3047</v>
      </c>
    </row>
    <row r="405" spans="1:3" x14ac:dyDescent="0.25">
      <c r="A405">
        <v>404</v>
      </c>
      <c r="B405" t="s">
        <v>287</v>
      </c>
      <c r="C405" t="s">
        <v>3048</v>
      </c>
    </row>
    <row r="406" spans="1:3" x14ac:dyDescent="0.25">
      <c r="A406">
        <v>405</v>
      </c>
      <c r="B406" t="s">
        <v>288</v>
      </c>
      <c r="C406" t="s">
        <v>3049</v>
      </c>
    </row>
    <row r="407" spans="1:3" x14ac:dyDescent="0.25">
      <c r="A407">
        <v>406</v>
      </c>
      <c r="B407" t="s">
        <v>290</v>
      </c>
      <c r="C407" t="s">
        <v>3050</v>
      </c>
    </row>
    <row r="408" spans="1:3" x14ac:dyDescent="0.25">
      <c r="A408">
        <v>407</v>
      </c>
      <c r="B408" t="s">
        <v>291</v>
      </c>
      <c r="C408" t="s">
        <v>3051</v>
      </c>
    </row>
    <row r="409" spans="1:3" x14ac:dyDescent="0.25">
      <c r="A409">
        <v>408</v>
      </c>
      <c r="B409" t="s">
        <v>292</v>
      </c>
      <c r="C409" t="s">
        <v>3052</v>
      </c>
    </row>
    <row r="410" spans="1:3" x14ac:dyDescent="0.25">
      <c r="A410">
        <v>409</v>
      </c>
      <c r="B410" t="s">
        <v>187</v>
      </c>
      <c r="C410" t="s">
        <v>3053</v>
      </c>
    </row>
    <row r="411" spans="1:3" x14ac:dyDescent="0.25">
      <c r="A411">
        <v>410</v>
      </c>
      <c r="B411" t="s">
        <v>188</v>
      </c>
      <c r="C411" t="s">
        <v>3054</v>
      </c>
    </row>
    <row r="412" spans="1:3" x14ac:dyDescent="0.25">
      <c r="A412">
        <v>411</v>
      </c>
      <c r="B412" t="s">
        <v>253</v>
      </c>
      <c r="C412" t="s">
        <v>3055</v>
      </c>
    </row>
    <row r="413" spans="1:3" x14ac:dyDescent="0.25">
      <c r="A413">
        <v>412</v>
      </c>
      <c r="B413" t="s">
        <v>254</v>
      </c>
      <c r="C413" t="s">
        <v>3056</v>
      </c>
    </row>
    <row r="414" spans="1:3" x14ac:dyDescent="0.25">
      <c r="A414">
        <v>413</v>
      </c>
      <c r="B414" t="s">
        <v>313</v>
      </c>
      <c r="C414" t="s">
        <v>3057</v>
      </c>
    </row>
    <row r="415" spans="1:3" x14ac:dyDescent="0.25">
      <c r="A415">
        <v>414</v>
      </c>
      <c r="B415" t="s">
        <v>319</v>
      </c>
      <c r="C415" t="s">
        <v>3058</v>
      </c>
    </row>
    <row r="416" spans="1:3" x14ac:dyDescent="0.25">
      <c r="A416">
        <v>415</v>
      </c>
      <c r="B416" t="s">
        <v>422</v>
      </c>
      <c r="C416" t="s">
        <v>3059</v>
      </c>
    </row>
    <row r="417" spans="1:3" x14ac:dyDescent="0.25">
      <c r="A417">
        <v>416</v>
      </c>
      <c r="B417" t="s">
        <v>432</v>
      </c>
      <c r="C417" t="s">
        <v>3060</v>
      </c>
    </row>
    <row r="418" spans="1:3" x14ac:dyDescent="0.25">
      <c r="A418">
        <v>417</v>
      </c>
      <c r="B418" t="s">
        <v>443</v>
      </c>
      <c r="C418" t="s">
        <v>3061</v>
      </c>
    </row>
    <row r="419" spans="1:3" x14ac:dyDescent="0.25">
      <c r="A419">
        <v>418</v>
      </c>
      <c r="B419" t="s">
        <v>444</v>
      </c>
      <c r="C419" t="s">
        <v>3062</v>
      </c>
    </row>
    <row r="420" spans="1:3" x14ac:dyDescent="0.25">
      <c r="A420">
        <v>419</v>
      </c>
      <c r="B420" t="s">
        <v>445</v>
      </c>
      <c r="C420" t="s">
        <v>3063</v>
      </c>
    </row>
    <row r="421" spans="1:3" x14ac:dyDescent="0.25">
      <c r="A421">
        <v>420</v>
      </c>
      <c r="B421" t="s">
        <v>447</v>
      </c>
      <c r="C421" t="s">
        <v>3064</v>
      </c>
    </row>
    <row r="422" spans="1:3" x14ac:dyDescent="0.25">
      <c r="A422">
        <v>421</v>
      </c>
      <c r="B422" t="s">
        <v>314</v>
      </c>
      <c r="C422" t="s">
        <v>3065</v>
      </c>
    </row>
    <row r="423" spans="1:3" x14ac:dyDescent="0.25">
      <c r="A423">
        <v>422</v>
      </c>
      <c r="B423" t="s">
        <v>316</v>
      </c>
      <c r="C423" t="s">
        <v>3066</v>
      </c>
    </row>
    <row r="424" spans="1:3" x14ac:dyDescent="0.25">
      <c r="A424">
        <v>423</v>
      </c>
      <c r="B424" t="s">
        <v>285</v>
      </c>
      <c r="C424" t="s">
        <v>3067</v>
      </c>
    </row>
    <row r="425" spans="1:3" x14ac:dyDescent="0.25">
      <c r="A425">
        <v>424</v>
      </c>
      <c r="B425" t="s">
        <v>359</v>
      </c>
      <c r="C425" t="s">
        <v>3068</v>
      </c>
    </row>
    <row r="426" spans="1:3" x14ac:dyDescent="0.25">
      <c r="A426">
        <v>425</v>
      </c>
      <c r="B426" t="s">
        <v>360</v>
      </c>
      <c r="C426" t="s">
        <v>3069</v>
      </c>
    </row>
    <row r="427" spans="1:3" x14ac:dyDescent="0.25">
      <c r="A427">
        <v>426</v>
      </c>
      <c r="B427" t="s">
        <v>323</v>
      </c>
      <c r="C427" t="s">
        <v>3070</v>
      </c>
    </row>
    <row r="428" spans="1:3" x14ac:dyDescent="0.25">
      <c r="A428">
        <v>427</v>
      </c>
      <c r="B428" t="s">
        <v>324</v>
      </c>
      <c r="C428" t="s">
        <v>3071</v>
      </c>
    </row>
    <row r="429" spans="1:3" x14ac:dyDescent="0.25">
      <c r="A429">
        <v>428</v>
      </c>
      <c r="B429" t="s">
        <v>325</v>
      </c>
      <c r="C429" t="s">
        <v>3072</v>
      </c>
    </row>
    <row r="430" spans="1:3" x14ac:dyDescent="0.25">
      <c r="A430">
        <v>429</v>
      </c>
      <c r="B430" t="s">
        <v>344</v>
      </c>
      <c r="C430" t="s">
        <v>3073</v>
      </c>
    </row>
    <row r="431" spans="1:3" x14ac:dyDescent="0.25">
      <c r="A431">
        <v>430</v>
      </c>
      <c r="B431" t="s">
        <v>266</v>
      </c>
      <c r="C431" t="s">
        <v>3074</v>
      </c>
    </row>
    <row r="432" spans="1:3" x14ac:dyDescent="0.25">
      <c r="A432">
        <v>431</v>
      </c>
      <c r="B432" t="s">
        <v>222</v>
      </c>
      <c r="C432" t="s">
        <v>3075</v>
      </c>
    </row>
    <row r="433" spans="1:3" x14ac:dyDescent="0.25">
      <c r="A433">
        <v>432</v>
      </c>
      <c r="B433" t="s">
        <v>133</v>
      </c>
      <c r="C433" t="s">
        <v>3076</v>
      </c>
    </row>
    <row r="434" spans="1:3" x14ac:dyDescent="0.25">
      <c r="A434">
        <v>433</v>
      </c>
      <c r="B434" t="s">
        <v>132</v>
      </c>
      <c r="C434" t="s">
        <v>3077</v>
      </c>
    </row>
    <row r="435" spans="1:3" x14ac:dyDescent="0.25">
      <c r="A435">
        <v>434</v>
      </c>
      <c r="B435" t="s">
        <v>134</v>
      </c>
      <c r="C435" t="s">
        <v>3078</v>
      </c>
    </row>
    <row r="436" spans="1:3" x14ac:dyDescent="0.25">
      <c r="A436">
        <v>435</v>
      </c>
      <c r="B436" t="s">
        <v>225</v>
      </c>
      <c r="C436" t="s">
        <v>3079</v>
      </c>
    </row>
    <row r="437" spans="1:3" x14ac:dyDescent="0.25">
      <c r="A437">
        <v>436</v>
      </c>
      <c r="B437" t="s">
        <v>259</v>
      </c>
      <c r="C437" t="s">
        <v>3080</v>
      </c>
    </row>
    <row r="438" spans="1:3" x14ac:dyDescent="0.25">
      <c r="A438">
        <v>437</v>
      </c>
      <c r="B438" t="s">
        <v>260</v>
      </c>
      <c r="C438" t="s">
        <v>3081</v>
      </c>
    </row>
    <row r="439" spans="1:3" x14ac:dyDescent="0.25">
      <c r="A439">
        <v>438</v>
      </c>
      <c r="B439" t="s">
        <v>262</v>
      </c>
      <c r="C439" t="s">
        <v>3082</v>
      </c>
    </row>
    <row r="440" spans="1:3" x14ac:dyDescent="0.25">
      <c r="A440">
        <v>439</v>
      </c>
      <c r="B440" t="s">
        <v>263</v>
      </c>
      <c r="C440" t="s">
        <v>3083</v>
      </c>
    </row>
    <row r="441" spans="1:3" x14ac:dyDescent="0.25">
      <c r="A441">
        <v>440</v>
      </c>
      <c r="B441" t="s">
        <v>264</v>
      </c>
      <c r="C441" t="s">
        <v>3084</v>
      </c>
    </row>
    <row r="442" spans="1:3" x14ac:dyDescent="0.25">
      <c r="A442">
        <v>441</v>
      </c>
      <c r="B442" t="s">
        <v>268</v>
      </c>
      <c r="C442" t="s">
        <v>3085</v>
      </c>
    </row>
    <row r="443" spans="1:3" x14ac:dyDescent="0.25">
      <c r="A443">
        <v>442</v>
      </c>
      <c r="B443" t="s">
        <v>269</v>
      </c>
      <c r="C443" t="s">
        <v>3086</v>
      </c>
    </row>
    <row r="444" spans="1:3" x14ac:dyDescent="0.25">
      <c r="A444">
        <v>443</v>
      </c>
      <c r="B444" t="s">
        <v>270</v>
      </c>
      <c r="C444" t="s">
        <v>3087</v>
      </c>
    </row>
    <row r="445" spans="1:3" x14ac:dyDescent="0.25">
      <c r="A445">
        <v>444</v>
      </c>
      <c r="B445" t="s">
        <v>271</v>
      </c>
      <c r="C445" t="s">
        <v>3088</v>
      </c>
    </row>
    <row r="446" spans="1:3" x14ac:dyDescent="0.25">
      <c r="A446">
        <v>445</v>
      </c>
      <c r="B446" t="s">
        <v>272</v>
      </c>
      <c r="C446" t="s">
        <v>3089</v>
      </c>
    </row>
    <row r="447" spans="1:3" x14ac:dyDescent="0.25">
      <c r="A447">
        <v>446</v>
      </c>
      <c r="B447" t="s">
        <v>274</v>
      </c>
      <c r="C447" t="s">
        <v>3090</v>
      </c>
    </row>
    <row r="448" spans="1:3" x14ac:dyDescent="0.25">
      <c r="A448">
        <v>447</v>
      </c>
      <c r="B448" t="s">
        <v>275</v>
      </c>
      <c r="C448" t="s">
        <v>3091</v>
      </c>
    </row>
    <row r="449" spans="1:3" x14ac:dyDescent="0.25">
      <c r="A449">
        <v>448</v>
      </c>
      <c r="B449" t="s">
        <v>267</v>
      </c>
      <c r="C449" t="s">
        <v>3092</v>
      </c>
    </row>
    <row r="450" spans="1:3" x14ac:dyDescent="0.25">
      <c r="A450">
        <v>449</v>
      </c>
      <c r="B450" t="s">
        <v>327</v>
      </c>
      <c r="C450" t="s">
        <v>3093</v>
      </c>
    </row>
    <row r="451" spans="1:3" x14ac:dyDescent="0.25">
      <c r="A451">
        <v>450</v>
      </c>
      <c r="B451" t="s">
        <v>328</v>
      </c>
      <c r="C451" t="s">
        <v>3094</v>
      </c>
    </row>
    <row r="452" spans="1:3" x14ac:dyDescent="0.25">
      <c r="A452">
        <v>451</v>
      </c>
      <c r="B452" t="s">
        <v>329</v>
      </c>
      <c r="C452" t="s">
        <v>3095</v>
      </c>
    </row>
    <row r="453" spans="1:3" x14ac:dyDescent="0.25">
      <c r="A453">
        <v>452</v>
      </c>
      <c r="B453" t="s">
        <v>346</v>
      </c>
      <c r="C453" t="s">
        <v>3096</v>
      </c>
    </row>
    <row r="454" spans="1:3" x14ac:dyDescent="0.25">
      <c r="A454">
        <v>453</v>
      </c>
      <c r="B454" t="s">
        <v>228</v>
      </c>
      <c r="C454" t="s">
        <v>3097</v>
      </c>
    </row>
    <row r="455" spans="1:3" x14ac:dyDescent="0.25">
      <c r="A455">
        <v>454</v>
      </c>
      <c r="B455" t="s">
        <v>256</v>
      </c>
      <c r="C455" t="s">
        <v>3098</v>
      </c>
    </row>
    <row r="456" spans="1:3" x14ac:dyDescent="0.25">
      <c r="A456">
        <v>455</v>
      </c>
      <c r="B456" t="s">
        <v>257</v>
      </c>
      <c r="C456" t="s">
        <v>3099</v>
      </c>
    </row>
    <row r="457" spans="1:3" x14ac:dyDescent="0.25">
      <c r="A457">
        <v>456</v>
      </c>
      <c r="B457" t="s">
        <v>261</v>
      </c>
      <c r="C457" t="s">
        <v>3100</v>
      </c>
    </row>
    <row r="458" spans="1:3" x14ac:dyDescent="0.25">
      <c r="A458">
        <v>457</v>
      </c>
      <c r="B458" t="s">
        <v>265</v>
      </c>
      <c r="C458" t="s">
        <v>3101</v>
      </c>
    </row>
    <row r="459" spans="1:3" x14ac:dyDescent="0.25">
      <c r="A459">
        <v>458</v>
      </c>
      <c r="B459" t="s">
        <v>273</v>
      </c>
      <c r="C459" t="s">
        <v>3102</v>
      </c>
    </row>
    <row r="460" spans="1:3" x14ac:dyDescent="0.25">
      <c r="A460">
        <v>459</v>
      </c>
      <c r="B460" t="s">
        <v>435</v>
      </c>
      <c r="C460" t="s">
        <v>3103</v>
      </c>
    </row>
    <row r="461" spans="1:3" x14ac:dyDescent="0.25">
      <c r="A461">
        <v>460</v>
      </c>
      <c r="B461" t="s">
        <v>276</v>
      </c>
      <c r="C461" t="s">
        <v>3104</v>
      </c>
    </row>
    <row r="462" spans="1:3" x14ac:dyDescent="0.25">
      <c r="A462">
        <v>461</v>
      </c>
      <c r="B462" t="s">
        <v>277</v>
      </c>
      <c r="C462" t="s">
        <v>3105</v>
      </c>
    </row>
    <row r="463" spans="1:3" x14ac:dyDescent="0.25">
      <c r="A463">
        <v>462</v>
      </c>
      <c r="B463" t="s">
        <v>278</v>
      </c>
      <c r="C463" t="s">
        <v>3106</v>
      </c>
    </row>
    <row r="464" spans="1:3" x14ac:dyDescent="0.25">
      <c r="A464">
        <v>463</v>
      </c>
      <c r="B464" t="s">
        <v>279</v>
      </c>
      <c r="C464" t="s">
        <v>3107</v>
      </c>
    </row>
    <row r="465" spans="1:3" x14ac:dyDescent="0.25">
      <c r="A465">
        <v>464</v>
      </c>
      <c r="B465" t="s">
        <v>280</v>
      </c>
      <c r="C465" t="s">
        <v>3108</v>
      </c>
    </row>
    <row r="466" spans="1:3" x14ac:dyDescent="0.25">
      <c r="A466">
        <v>465</v>
      </c>
      <c r="B466" t="s">
        <v>281</v>
      </c>
      <c r="C466" t="s">
        <v>3109</v>
      </c>
    </row>
    <row r="467" spans="1:3" x14ac:dyDescent="0.25">
      <c r="A467">
        <v>466</v>
      </c>
      <c r="B467" t="s">
        <v>282</v>
      </c>
      <c r="C467" t="s">
        <v>3110</v>
      </c>
    </row>
    <row r="468" spans="1:3" x14ac:dyDescent="0.25">
      <c r="A468">
        <v>467</v>
      </c>
      <c r="B468" t="s">
        <v>283</v>
      </c>
      <c r="C468" t="s">
        <v>3111</v>
      </c>
    </row>
    <row r="469" spans="1:3" x14ac:dyDescent="0.25">
      <c r="A469">
        <v>468</v>
      </c>
      <c r="B469" t="s">
        <v>152</v>
      </c>
      <c r="C469" t="s">
        <v>3112</v>
      </c>
    </row>
    <row r="470" spans="1:3" x14ac:dyDescent="0.25">
      <c r="A470">
        <v>469</v>
      </c>
      <c r="B470" t="s">
        <v>442</v>
      </c>
      <c r="C470" t="s">
        <v>3113</v>
      </c>
    </row>
    <row r="471" spans="1:3" x14ac:dyDescent="0.25">
      <c r="A471">
        <v>470</v>
      </c>
      <c r="B471" t="s">
        <v>153</v>
      </c>
      <c r="C471" t="s">
        <v>3114</v>
      </c>
    </row>
    <row r="472" spans="1:3" x14ac:dyDescent="0.25">
      <c r="A472">
        <v>471</v>
      </c>
      <c r="B472" t="s">
        <v>154</v>
      </c>
      <c r="C472" t="s">
        <v>3115</v>
      </c>
    </row>
    <row r="473" spans="1:3" x14ac:dyDescent="0.25">
      <c r="A473">
        <v>472</v>
      </c>
      <c r="B473" t="s">
        <v>247</v>
      </c>
      <c r="C473" t="s">
        <v>3116</v>
      </c>
    </row>
    <row r="474" spans="1:3" x14ac:dyDescent="0.25">
      <c r="A474">
        <v>473</v>
      </c>
      <c r="B474" t="s">
        <v>383</v>
      </c>
      <c r="C474" t="s">
        <v>3117</v>
      </c>
    </row>
    <row r="475" spans="1:3" x14ac:dyDescent="0.25">
      <c r="A475">
        <v>474</v>
      </c>
      <c r="B475" t="s">
        <v>384</v>
      </c>
      <c r="C475" t="s">
        <v>3118</v>
      </c>
    </row>
    <row r="476" spans="1:3" x14ac:dyDescent="0.25">
      <c r="A476">
        <v>475</v>
      </c>
      <c r="B476" t="s">
        <v>386</v>
      </c>
      <c r="C476" t="s">
        <v>3119</v>
      </c>
    </row>
    <row r="477" spans="1:3" x14ac:dyDescent="0.25">
      <c r="A477">
        <v>476</v>
      </c>
      <c r="B477" t="s">
        <v>441</v>
      </c>
      <c r="C477" t="s">
        <v>3120</v>
      </c>
    </row>
    <row r="478" spans="1:3" x14ac:dyDescent="0.25">
      <c r="A478">
        <v>477</v>
      </c>
      <c r="B478" t="s">
        <v>333</v>
      </c>
      <c r="C478" t="s">
        <v>3121</v>
      </c>
    </row>
    <row r="479" spans="1:3" x14ac:dyDescent="0.25">
      <c r="A479">
        <v>478</v>
      </c>
      <c r="B479" t="s">
        <v>380</v>
      </c>
      <c r="C479" t="s">
        <v>3122</v>
      </c>
    </row>
    <row r="480" spans="1:3" x14ac:dyDescent="0.25">
      <c r="A480">
        <v>479</v>
      </c>
      <c r="B480" t="s">
        <v>381</v>
      </c>
      <c r="C480" t="s">
        <v>3123</v>
      </c>
    </row>
    <row r="481" spans="1:3" x14ac:dyDescent="0.25">
      <c r="A481">
        <v>480</v>
      </c>
      <c r="B481" t="s">
        <v>175</v>
      </c>
      <c r="C481" t="s">
        <v>3124</v>
      </c>
    </row>
    <row r="482" spans="1:3" x14ac:dyDescent="0.25">
      <c r="A482">
        <v>481</v>
      </c>
      <c r="B482" t="s">
        <v>176</v>
      </c>
      <c r="C482" t="s">
        <v>3125</v>
      </c>
    </row>
    <row r="483" spans="1:3" x14ac:dyDescent="0.25">
      <c r="A483">
        <v>482</v>
      </c>
      <c r="B483" t="s">
        <v>137</v>
      </c>
      <c r="C483" t="s">
        <v>3126</v>
      </c>
    </row>
    <row r="484" spans="1:3" x14ac:dyDescent="0.25">
      <c r="A484">
        <v>483</v>
      </c>
      <c r="B484" t="s">
        <v>148</v>
      </c>
      <c r="C484" t="s">
        <v>3127</v>
      </c>
    </row>
    <row r="485" spans="1:3" x14ac:dyDescent="0.25">
      <c r="A485">
        <v>484</v>
      </c>
      <c r="B485" t="s">
        <v>149</v>
      </c>
      <c r="C485" t="s">
        <v>3128</v>
      </c>
    </row>
    <row r="486" spans="1:3" x14ac:dyDescent="0.25">
      <c r="A486">
        <v>485</v>
      </c>
      <c r="B486" t="s">
        <v>150</v>
      </c>
      <c r="C486" t="s">
        <v>3129</v>
      </c>
    </row>
    <row r="487" spans="1:3" x14ac:dyDescent="0.25">
      <c r="A487">
        <v>486</v>
      </c>
      <c r="B487" t="s">
        <v>151</v>
      </c>
      <c r="C487" t="s">
        <v>3130</v>
      </c>
    </row>
    <row r="488" spans="1:3" x14ac:dyDescent="0.25">
      <c r="A488">
        <v>487</v>
      </c>
      <c r="B488" t="s">
        <v>451</v>
      </c>
      <c r="C488" t="s">
        <v>3131</v>
      </c>
    </row>
    <row r="489" spans="1:3" x14ac:dyDescent="0.25">
      <c r="A489">
        <v>488</v>
      </c>
      <c r="B489" t="s">
        <v>457</v>
      </c>
      <c r="C489" t="s">
        <v>3132</v>
      </c>
    </row>
    <row r="490" spans="1:3" x14ac:dyDescent="0.25">
      <c r="A490">
        <v>489</v>
      </c>
      <c r="B490" t="s">
        <v>458</v>
      </c>
      <c r="C490" t="s">
        <v>3133</v>
      </c>
    </row>
    <row r="491" spans="1:3" x14ac:dyDescent="0.25">
      <c r="A491">
        <v>490</v>
      </c>
      <c r="B491" t="s">
        <v>246</v>
      </c>
      <c r="C491" t="s">
        <v>3134</v>
      </c>
    </row>
    <row r="492" spans="1:3" x14ac:dyDescent="0.25">
      <c r="A492">
        <v>491</v>
      </c>
      <c r="B492" t="s">
        <v>138</v>
      </c>
      <c r="C492" t="s">
        <v>3135</v>
      </c>
    </row>
    <row r="493" spans="1:3" x14ac:dyDescent="0.25">
      <c r="A493">
        <v>492</v>
      </c>
      <c r="B493" t="s">
        <v>454</v>
      </c>
      <c r="C493" t="s">
        <v>3136</v>
      </c>
    </row>
    <row r="494" spans="1:3" x14ac:dyDescent="0.25">
      <c r="A494">
        <v>493</v>
      </c>
      <c r="B494" t="s">
        <v>456</v>
      </c>
      <c r="C494" t="s">
        <v>3137</v>
      </c>
    </row>
    <row r="495" spans="1:3" x14ac:dyDescent="0.25">
      <c r="A495">
        <v>494</v>
      </c>
      <c r="B495" t="s">
        <v>343</v>
      </c>
      <c r="C495" t="s">
        <v>3138</v>
      </c>
    </row>
    <row r="496" spans="1:3" x14ac:dyDescent="0.25">
      <c r="A496">
        <v>495</v>
      </c>
      <c r="B496" t="s">
        <v>286</v>
      </c>
      <c r="C496" t="s">
        <v>3139</v>
      </c>
    </row>
    <row r="497" spans="1:3" x14ac:dyDescent="0.25">
      <c r="A497">
        <v>496</v>
      </c>
      <c r="B497" t="s">
        <v>321</v>
      </c>
      <c r="C497" t="s">
        <v>3140</v>
      </c>
    </row>
    <row r="498" spans="1:3" x14ac:dyDescent="0.25">
      <c r="A498">
        <v>497</v>
      </c>
      <c r="B498" t="s">
        <v>322</v>
      </c>
      <c r="C498" t="s">
        <v>3141</v>
      </c>
    </row>
    <row r="499" spans="1:3" x14ac:dyDescent="0.25">
      <c r="A499">
        <v>498</v>
      </c>
      <c r="B499" t="s">
        <v>309</v>
      </c>
      <c r="C499" t="s">
        <v>3142</v>
      </c>
    </row>
    <row r="500" spans="1:3" x14ac:dyDescent="0.25">
      <c r="A500">
        <v>499</v>
      </c>
      <c r="B500" t="s">
        <v>310</v>
      </c>
      <c r="C500" t="s">
        <v>3143</v>
      </c>
    </row>
    <row r="501" spans="1:3" x14ac:dyDescent="0.25">
      <c r="A501">
        <v>500</v>
      </c>
      <c r="B501" t="s">
        <v>312</v>
      </c>
      <c r="C501" t="s">
        <v>3144</v>
      </c>
    </row>
    <row r="502" spans="1:3" x14ac:dyDescent="0.25">
      <c r="A502">
        <v>501</v>
      </c>
      <c r="B502" t="s">
        <v>412</v>
      </c>
      <c r="C502" t="s">
        <v>3145</v>
      </c>
    </row>
    <row r="503" spans="1:3" x14ac:dyDescent="0.25">
      <c r="A503">
        <v>502</v>
      </c>
      <c r="B503" t="s">
        <v>413</v>
      </c>
      <c r="C503" t="s">
        <v>3146</v>
      </c>
    </row>
    <row r="504" spans="1:3" x14ac:dyDescent="0.25">
      <c r="A504">
        <v>503</v>
      </c>
      <c r="B504" t="s">
        <v>417</v>
      </c>
      <c r="C504" t="s">
        <v>3147</v>
      </c>
    </row>
    <row r="505" spans="1:3" x14ac:dyDescent="0.25">
      <c r="A505">
        <v>504</v>
      </c>
      <c r="B505" t="s">
        <v>418</v>
      </c>
      <c r="C505" t="s">
        <v>3148</v>
      </c>
    </row>
    <row r="506" spans="1:3" x14ac:dyDescent="0.25">
      <c r="A506">
        <v>505</v>
      </c>
      <c r="B506" t="s">
        <v>419</v>
      </c>
      <c r="C506" t="s">
        <v>3149</v>
      </c>
    </row>
    <row r="507" spans="1:3" x14ac:dyDescent="0.25">
      <c r="A507">
        <v>506</v>
      </c>
      <c r="B507" t="s">
        <v>420</v>
      </c>
      <c r="C507" t="s">
        <v>3150</v>
      </c>
    </row>
    <row r="508" spans="1:3" x14ac:dyDescent="0.25">
      <c r="A508">
        <v>507</v>
      </c>
      <c r="B508" t="s">
        <v>423</v>
      </c>
      <c r="C508" t="s">
        <v>3151</v>
      </c>
    </row>
    <row r="509" spans="1:3" x14ac:dyDescent="0.25">
      <c r="A509">
        <v>508</v>
      </c>
      <c r="B509" t="s">
        <v>361</v>
      </c>
      <c r="C509" t="s">
        <v>3152</v>
      </c>
    </row>
    <row r="510" spans="1:3" x14ac:dyDescent="0.25">
      <c r="A510">
        <v>509</v>
      </c>
      <c r="B510" t="s">
        <v>165</v>
      </c>
      <c r="C510" t="s">
        <v>3153</v>
      </c>
    </row>
    <row r="511" spans="1:3" x14ac:dyDescent="0.25">
      <c r="A511">
        <v>510</v>
      </c>
      <c r="B511" t="s">
        <v>164</v>
      </c>
      <c r="C511" t="s">
        <v>3154</v>
      </c>
    </row>
    <row r="512" spans="1:3" x14ac:dyDescent="0.25">
      <c r="A512">
        <v>511</v>
      </c>
      <c r="B512" t="s">
        <v>166</v>
      </c>
      <c r="C512" t="s">
        <v>3155</v>
      </c>
    </row>
    <row r="513" spans="1:3" x14ac:dyDescent="0.25">
      <c r="A513">
        <v>512</v>
      </c>
      <c r="B513" t="s">
        <v>135</v>
      </c>
      <c r="C513" t="s">
        <v>3156</v>
      </c>
    </row>
    <row r="514" spans="1:3" x14ac:dyDescent="0.25">
      <c r="A514">
        <v>513</v>
      </c>
      <c r="B514" t="s">
        <v>136</v>
      </c>
      <c r="C514" t="s">
        <v>3157</v>
      </c>
    </row>
    <row r="515" spans="1:3" x14ac:dyDescent="0.25">
      <c r="A515">
        <v>514</v>
      </c>
      <c r="B515" t="s">
        <v>340</v>
      </c>
      <c r="C515" t="s">
        <v>3158</v>
      </c>
    </row>
    <row r="516" spans="1:3" x14ac:dyDescent="0.25">
      <c r="A516">
        <v>515</v>
      </c>
      <c r="B516" t="s">
        <v>341</v>
      </c>
      <c r="C516" t="s">
        <v>3159</v>
      </c>
    </row>
    <row r="517" spans="1:3" x14ac:dyDescent="0.25">
      <c r="A517">
        <v>516</v>
      </c>
      <c r="B517" t="s">
        <v>233</v>
      </c>
      <c r="C517" t="s">
        <v>3160</v>
      </c>
    </row>
    <row r="518" spans="1:3" x14ac:dyDescent="0.25">
      <c r="A518">
        <v>517</v>
      </c>
      <c r="B518" t="s">
        <v>235</v>
      </c>
      <c r="C518" t="s">
        <v>3161</v>
      </c>
    </row>
    <row r="519" spans="1:3" x14ac:dyDescent="0.25">
      <c r="A519">
        <v>518</v>
      </c>
      <c r="B519" t="s">
        <v>428</v>
      </c>
      <c r="C519" t="s">
        <v>3162</v>
      </c>
    </row>
    <row r="520" spans="1:3" x14ac:dyDescent="0.25">
      <c r="A520">
        <v>519</v>
      </c>
      <c r="B520" t="s">
        <v>433</v>
      </c>
      <c r="C520" t="s">
        <v>3163</v>
      </c>
    </row>
    <row r="521" spans="1:3" x14ac:dyDescent="0.25">
      <c r="A521">
        <v>520</v>
      </c>
      <c r="B521" t="s">
        <v>434</v>
      </c>
      <c r="C521" t="s">
        <v>3164</v>
      </c>
    </row>
    <row r="522" spans="1:3" x14ac:dyDescent="0.25">
      <c r="A522">
        <v>521</v>
      </c>
      <c r="B522" t="s">
        <v>178</v>
      </c>
      <c r="C522" t="s">
        <v>3165</v>
      </c>
    </row>
    <row r="523" spans="1:3" x14ac:dyDescent="0.25">
      <c r="A523">
        <v>522</v>
      </c>
      <c r="B523" t="s">
        <v>177</v>
      </c>
      <c r="C523" t="s">
        <v>3166</v>
      </c>
    </row>
    <row r="524" spans="1:3" x14ac:dyDescent="0.25">
      <c r="A524">
        <v>523</v>
      </c>
      <c r="B524" t="s">
        <v>163</v>
      </c>
      <c r="C524" t="s">
        <v>3167</v>
      </c>
    </row>
    <row r="525" spans="1:3" x14ac:dyDescent="0.25">
      <c r="A525">
        <v>524</v>
      </c>
      <c r="B525" t="s">
        <v>193</v>
      </c>
      <c r="C525" t="s">
        <v>3168</v>
      </c>
    </row>
    <row r="526" spans="1:3" x14ac:dyDescent="0.25">
      <c r="A526">
        <v>525</v>
      </c>
      <c r="B526" t="s">
        <v>474</v>
      </c>
      <c r="C526" t="s">
        <v>3169</v>
      </c>
    </row>
    <row r="527" spans="1:3" x14ac:dyDescent="0.25">
      <c r="A527">
        <v>526</v>
      </c>
      <c r="B527" t="s">
        <v>475</v>
      </c>
      <c r="C527" t="s">
        <v>3170</v>
      </c>
    </row>
    <row r="528" spans="1:3" x14ac:dyDescent="0.25">
      <c r="A528">
        <v>527</v>
      </c>
      <c r="B528" t="s">
        <v>476</v>
      </c>
      <c r="C528" t="s">
        <v>3171</v>
      </c>
    </row>
    <row r="529" spans="1:3" x14ac:dyDescent="0.25">
      <c r="A529">
        <v>528</v>
      </c>
      <c r="B529" t="s">
        <v>157</v>
      </c>
      <c r="C529" t="s">
        <v>3172</v>
      </c>
    </row>
    <row r="530" spans="1:3" x14ac:dyDescent="0.25">
      <c r="A530">
        <v>529</v>
      </c>
      <c r="B530" t="s">
        <v>158</v>
      </c>
      <c r="C530" t="s">
        <v>3173</v>
      </c>
    </row>
    <row r="531" spans="1:3" x14ac:dyDescent="0.25">
      <c r="A531">
        <v>530</v>
      </c>
      <c r="B531" t="s">
        <v>155</v>
      </c>
      <c r="C531" t="s">
        <v>3174</v>
      </c>
    </row>
    <row r="532" spans="1:3" x14ac:dyDescent="0.25">
      <c r="A532">
        <v>531</v>
      </c>
      <c r="B532" t="s">
        <v>156</v>
      </c>
      <c r="C532" t="s">
        <v>3175</v>
      </c>
    </row>
    <row r="533" spans="1:3" x14ac:dyDescent="0.25">
      <c r="A533">
        <v>532</v>
      </c>
      <c r="B533" t="s">
        <v>320</v>
      </c>
      <c r="C533" t="s">
        <v>3176</v>
      </c>
    </row>
    <row r="534" spans="1:3" x14ac:dyDescent="0.25">
      <c r="A534">
        <v>533</v>
      </c>
      <c r="B534" t="s">
        <v>393</v>
      </c>
      <c r="C534" t="s">
        <v>3177</v>
      </c>
    </row>
    <row r="535" spans="1:3" x14ac:dyDescent="0.25">
      <c r="A535">
        <v>534</v>
      </c>
      <c r="B535" t="s">
        <v>174</v>
      </c>
      <c r="C535" t="s">
        <v>3178</v>
      </c>
    </row>
    <row r="536" spans="1:3" x14ac:dyDescent="0.25">
      <c r="A536">
        <v>535</v>
      </c>
      <c r="B536" t="s">
        <v>440</v>
      </c>
      <c r="C536" t="s">
        <v>3179</v>
      </c>
    </row>
    <row r="537" spans="1:3" x14ac:dyDescent="0.25">
      <c r="A537">
        <v>536</v>
      </c>
      <c r="B537" t="s">
        <v>162</v>
      </c>
      <c r="C537" t="s">
        <v>3180</v>
      </c>
    </row>
    <row r="538" spans="1:3" x14ac:dyDescent="0.25">
      <c r="A538">
        <v>537</v>
      </c>
      <c r="B538" t="s">
        <v>192</v>
      </c>
      <c r="C538" t="s">
        <v>3181</v>
      </c>
    </row>
    <row r="539" spans="1:3" x14ac:dyDescent="0.25">
      <c r="A539">
        <v>538</v>
      </c>
      <c r="B539" t="s">
        <v>336</v>
      </c>
      <c r="C539" t="s">
        <v>3182</v>
      </c>
    </row>
    <row r="540" spans="1:3" x14ac:dyDescent="0.25">
      <c r="A540">
        <v>539</v>
      </c>
      <c r="B540" t="s">
        <v>219</v>
      </c>
      <c r="C540" t="s">
        <v>3183</v>
      </c>
    </row>
    <row r="541" spans="1:3" x14ac:dyDescent="0.25">
      <c r="A541">
        <v>540</v>
      </c>
      <c r="B541" t="s">
        <v>306</v>
      </c>
      <c r="C541" t="s">
        <v>3184</v>
      </c>
    </row>
    <row r="542" spans="1:3" x14ac:dyDescent="0.25">
      <c r="A542">
        <v>541</v>
      </c>
      <c r="B542" t="s">
        <v>307</v>
      </c>
      <c r="C542" t="s">
        <v>3185</v>
      </c>
    </row>
    <row r="543" spans="1:3" x14ac:dyDescent="0.25">
      <c r="A543">
        <v>542</v>
      </c>
      <c r="B543" t="s">
        <v>141</v>
      </c>
      <c r="C543" t="s">
        <v>3186</v>
      </c>
    </row>
    <row r="544" spans="1:3" x14ac:dyDescent="0.25">
      <c r="A544">
        <v>543</v>
      </c>
      <c r="B544" t="s">
        <v>140</v>
      </c>
      <c r="C544" t="s">
        <v>3187</v>
      </c>
    </row>
    <row r="545" spans="1:3" x14ac:dyDescent="0.25">
      <c r="A545">
        <v>544</v>
      </c>
      <c r="B545" t="s">
        <v>453</v>
      </c>
      <c r="C545" t="s">
        <v>3188</v>
      </c>
    </row>
    <row r="546" spans="1:3" x14ac:dyDescent="0.25">
      <c r="A546">
        <v>545</v>
      </c>
      <c r="B546" t="s">
        <v>332</v>
      </c>
      <c r="C546" t="s">
        <v>3189</v>
      </c>
    </row>
    <row r="547" spans="1:3" x14ac:dyDescent="0.25">
      <c r="A547">
        <v>546</v>
      </c>
      <c r="B547" t="s">
        <v>3190</v>
      </c>
      <c r="C547" t="s">
        <v>3191</v>
      </c>
    </row>
    <row r="548" spans="1:3" x14ac:dyDescent="0.25">
      <c r="A548">
        <v>547</v>
      </c>
      <c r="B548" t="s">
        <v>479</v>
      </c>
      <c r="C548" t="s">
        <v>3192</v>
      </c>
    </row>
    <row r="549" spans="1:3" x14ac:dyDescent="0.25">
      <c r="A549">
        <v>548</v>
      </c>
      <c r="B549" t="s">
        <v>139</v>
      </c>
      <c r="C549" t="s">
        <v>3193</v>
      </c>
    </row>
    <row r="550" spans="1:3" x14ac:dyDescent="0.25">
      <c r="A550">
        <v>549</v>
      </c>
      <c r="B550" t="s">
        <v>142</v>
      </c>
      <c r="C550" t="s">
        <v>3194</v>
      </c>
    </row>
    <row r="551" spans="1:3" x14ac:dyDescent="0.25">
      <c r="A551">
        <v>550</v>
      </c>
      <c r="B551" t="s">
        <v>455</v>
      </c>
      <c r="C551" t="s">
        <v>3195</v>
      </c>
    </row>
    <row r="552" spans="1:3" x14ac:dyDescent="0.25">
      <c r="A552">
        <v>551</v>
      </c>
      <c r="B552" t="s">
        <v>465</v>
      </c>
      <c r="C552" t="s">
        <v>3196</v>
      </c>
    </row>
    <row r="553" spans="1:3" x14ac:dyDescent="0.25">
      <c r="A553">
        <v>552</v>
      </c>
      <c r="B553" t="s">
        <v>466</v>
      </c>
      <c r="C553" t="s">
        <v>3197</v>
      </c>
    </row>
    <row r="554" spans="1:3" x14ac:dyDescent="0.25">
      <c r="A554">
        <v>553</v>
      </c>
      <c r="B554" t="s">
        <v>467</v>
      </c>
      <c r="C554" t="s">
        <v>3198</v>
      </c>
    </row>
    <row r="555" spans="1:3" x14ac:dyDescent="0.25">
      <c r="A555">
        <v>554</v>
      </c>
      <c r="B555" t="s">
        <v>470</v>
      </c>
      <c r="C555" t="s">
        <v>3199</v>
      </c>
    </row>
    <row r="556" spans="1:3" x14ac:dyDescent="0.25">
      <c r="A556">
        <v>555</v>
      </c>
      <c r="B556" t="s">
        <v>478</v>
      </c>
      <c r="C556" t="s">
        <v>3200</v>
      </c>
    </row>
    <row r="557" spans="1:3" x14ac:dyDescent="0.25">
      <c r="A557">
        <v>556</v>
      </c>
      <c r="B557" t="s">
        <v>200</v>
      </c>
      <c r="C557" t="s">
        <v>3201</v>
      </c>
    </row>
    <row r="558" spans="1:3" x14ac:dyDescent="0.25">
      <c r="A558">
        <v>557</v>
      </c>
      <c r="B558" t="s">
        <v>206</v>
      </c>
      <c r="C558" t="s">
        <v>3202</v>
      </c>
    </row>
    <row r="559" spans="1:3" x14ac:dyDescent="0.25">
      <c r="A559">
        <v>558</v>
      </c>
      <c r="B559" t="s">
        <v>210</v>
      </c>
      <c r="C559" t="s">
        <v>3203</v>
      </c>
    </row>
    <row r="560" spans="1:3" x14ac:dyDescent="0.25">
      <c r="A560">
        <v>559</v>
      </c>
      <c r="B560" t="s">
        <v>216</v>
      </c>
      <c r="C560" t="s">
        <v>3204</v>
      </c>
    </row>
    <row r="561" spans="1:3" x14ac:dyDescent="0.25">
      <c r="A561">
        <v>560</v>
      </c>
      <c r="B561" t="s">
        <v>446</v>
      </c>
      <c r="C561" t="s">
        <v>3205</v>
      </c>
    </row>
    <row r="562" spans="1:3" x14ac:dyDescent="0.25">
      <c r="A562">
        <v>561</v>
      </c>
      <c r="B562" t="s">
        <v>389</v>
      </c>
      <c r="C562" t="s">
        <v>3206</v>
      </c>
    </row>
    <row r="563" spans="1:3" x14ac:dyDescent="0.25">
      <c r="A563">
        <v>562</v>
      </c>
      <c r="B563" t="s">
        <v>390</v>
      </c>
      <c r="C563" t="s">
        <v>3207</v>
      </c>
    </row>
    <row r="564" spans="1:3" x14ac:dyDescent="0.25">
      <c r="A564">
        <v>563</v>
      </c>
      <c r="B564" t="s">
        <v>391</v>
      </c>
      <c r="C564" t="s">
        <v>3208</v>
      </c>
    </row>
    <row r="565" spans="1:3" x14ac:dyDescent="0.25">
      <c r="A565">
        <v>564</v>
      </c>
      <c r="B565" t="s">
        <v>392</v>
      </c>
      <c r="C565" t="s">
        <v>3209</v>
      </c>
    </row>
    <row r="566" spans="1:3" x14ac:dyDescent="0.25">
      <c r="A566">
        <v>565</v>
      </c>
      <c r="B566" t="s">
        <v>394</v>
      </c>
      <c r="C566" t="s">
        <v>3210</v>
      </c>
    </row>
    <row r="567" spans="1:3" x14ac:dyDescent="0.25">
      <c r="A567">
        <v>566</v>
      </c>
      <c r="B567" t="s">
        <v>395</v>
      </c>
      <c r="C567" t="s">
        <v>3211</v>
      </c>
    </row>
    <row r="568" spans="1:3" x14ac:dyDescent="0.25">
      <c r="A568">
        <v>567</v>
      </c>
      <c r="B568" t="s">
        <v>398</v>
      </c>
      <c r="C568" t="s">
        <v>3212</v>
      </c>
    </row>
    <row r="569" spans="1:3" x14ac:dyDescent="0.25">
      <c r="A569">
        <v>568</v>
      </c>
      <c r="B569" t="s">
        <v>399</v>
      </c>
      <c r="C569" t="s">
        <v>3213</v>
      </c>
    </row>
    <row r="570" spans="1:3" x14ac:dyDescent="0.25">
      <c r="A570">
        <v>569</v>
      </c>
      <c r="B570" t="s">
        <v>400</v>
      </c>
      <c r="C570" t="s">
        <v>3214</v>
      </c>
    </row>
    <row r="571" spans="1:3" x14ac:dyDescent="0.25">
      <c r="A571">
        <v>570</v>
      </c>
      <c r="B571" t="s">
        <v>401</v>
      </c>
      <c r="C571" t="s">
        <v>3215</v>
      </c>
    </row>
    <row r="572" spans="1:3" x14ac:dyDescent="0.25">
      <c r="A572">
        <v>571</v>
      </c>
      <c r="B572" t="s">
        <v>402</v>
      </c>
      <c r="C572" t="s">
        <v>3216</v>
      </c>
    </row>
    <row r="573" spans="1:3" x14ac:dyDescent="0.25">
      <c r="A573">
        <v>572</v>
      </c>
      <c r="B573" t="s">
        <v>215</v>
      </c>
      <c r="C573" t="s">
        <v>3217</v>
      </c>
    </row>
    <row r="574" spans="1:3" x14ac:dyDescent="0.25">
      <c r="A574">
        <v>573</v>
      </c>
      <c r="B574" t="s">
        <v>217</v>
      </c>
      <c r="C574" t="s">
        <v>3218</v>
      </c>
    </row>
    <row r="575" spans="1:3" x14ac:dyDescent="0.25">
      <c r="A575">
        <v>574</v>
      </c>
      <c r="B575" t="s">
        <v>218</v>
      </c>
      <c r="C575" t="s">
        <v>3219</v>
      </c>
    </row>
    <row r="576" spans="1:3" x14ac:dyDescent="0.25">
      <c r="A576">
        <v>575</v>
      </c>
      <c r="B576" t="s">
        <v>224</v>
      </c>
      <c r="C576" t="s">
        <v>3220</v>
      </c>
    </row>
    <row r="577" spans="1:3" x14ac:dyDescent="0.25">
      <c r="A577">
        <v>576</v>
      </c>
      <c r="B577" t="s">
        <v>204</v>
      </c>
      <c r="C577" t="s">
        <v>3221</v>
      </c>
    </row>
    <row r="578" spans="1:3" x14ac:dyDescent="0.25">
      <c r="A578">
        <v>577</v>
      </c>
      <c r="B578" t="s">
        <v>205</v>
      </c>
      <c r="C578" t="s">
        <v>3222</v>
      </c>
    </row>
    <row r="579" spans="1:3" x14ac:dyDescent="0.25">
      <c r="A579">
        <v>578</v>
      </c>
      <c r="B579" t="s">
        <v>207</v>
      </c>
      <c r="C579" t="s">
        <v>3223</v>
      </c>
    </row>
    <row r="580" spans="1:3" x14ac:dyDescent="0.25">
      <c r="A580">
        <v>579</v>
      </c>
      <c r="B580" t="s">
        <v>208</v>
      </c>
      <c r="C580" t="s">
        <v>3224</v>
      </c>
    </row>
    <row r="581" spans="1:3" x14ac:dyDescent="0.25">
      <c r="A581">
        <v>580</v>
      </c>
      <c r="B581" t="s">
        <v>209</v>
      </c>
      <c r="C581" t="s">
        <v>3225</v>
      </c>
    </row>
    <row r="582" spans="1:3" x14ac:dyDescent="0.25">
      <c r="A582">
        <v>581</v>
      </c>
      <c r="B582" t="s">
        <v>213</v>
      </c>
      <c r="C582" t="s">
        <v>3226</v>
      </c>
    </row>
    <row r="583" spans="1:3" x14ac:dyDescent="0.25">
      <c r="A583">
        <v>582</v>
      </c>
      <c r="B583" t="s">
        <v>214</v>
      </c>
      <c r="C583" t="s">
        <v>3227</v>
      </c>
    </row>
    <row r="584" spans="1:3" x14ac:dyDescent="0.25">
      <c r="A584">
        <v>583</v>
      </c>
      <c r="B584" t="s">
        <v>347</v>
      </c>
      <c r="C584" t="s">
        <v>3228</v>
      </c>
    </row>
    <row r="585" spans="1:3" x14ac:dyDescent="0.25">
      <c r="A585">
        <v>584</v>
      </c>
      <c r="B585" t="s">
        <v>146</v>
      </c>
      <c r="C585" t="s">
        <v>3229</v>
      </c>
    </row>
    <row r="586" spans="1:3" x14ac:dyDescent="0.25">
      <c r="A586">
        <v>585</v>
      </c>
      <c r="B586" t="s">
        <v>159</v>
      </c>
      <c r="C586" t="s">
        <v>3230</v>
      </c>
    </row>
    <row r="587" spans="1:3" x14ac:dyDescent="0.25">
      <c r="A587">
        <v>586</v>
      </c>
      <c r="B587" t="s">
        <v>367</v>
      </c>
      <c r="C587" t="s">
        <v>3231</v>
      </c>
    </row>
    <row r="588" spans="1:3" x14ac:dyDescent="0.25">
      <c r="A588">
        <v>587</v>
      </c>
      <c r="B588" t="s">
        <v>368</v>
      </c>
      <c r="C588" t="s">
        <v>3232</v>
      </c>
    </row>
    <row r="589" spans="1:3" x14ac:dyDescent="0.25">
      <c r="A589">
        <v>588</v>
      </c>
      <c r="B589" t="s">
        <v>258</v>
      </c>
      <c r="C589" t="s">
        <v>3233</v>
      </c>
    </row>
    <row r="590" spans="1:3" x14ac:dyDescent="0.25">
      <c r="A590">
        <v>589</v>
      </c>
      <c r="B590" t="s">
        <v>436</v>
      </c>
      <c r="C590" t="s">
        <v>3234</v>
      </c>
    </row>
    <row r="591" spans="1:3" x14ac:dyDescent="0.25">
      <c r="A591">
        <v>590</v>
      </c>
      <c r="B591" t="s">
        <v>437</v>
      </c>
      <c r="C591" t="s">
        <v>3235</v>
      </c>
    </row>
    <row r="592" spans="1:3" x14ac:dyDescent="0.25">
      <c r="A592">
        <v>591</v>
      </c>
      <c r="B592" t="s">
        <v>243</v>
      </c>
      <c r="C592" t="s">
        <v>3236</v>
      </c>
    </row>
    <row r="593" spans="1:3" x14ac:dyDescent="0.25">
      <c r="A593">
        <v>592</v>
      </c>
      <c r="B593" t="s">
        <v>448</v>
      </c>
      <c r="C593" t="s">
        <v>3237</v>
      </c>
    </row>
    <row r="594" spans="1:3" x14ac:dyDescent="0.25">
      <c r="A594">
        <v>593</v>
      </c>
      <c r="B594" t="s">
        <v>449</v>
      </c>
      <c r="C594" t="s">
        <v>3238</v>
      </c>
    </row>
    <row r="595" spans="1:3" x14ac:dyDescent="0.25">
      <c r="A595">
        <v>594</v>
      </c>
      <c r="B595" t="s">
        <v>452</v>
      </c>
      <c r="C595" t="s">
        <v>3239</v>
      </c>
    </row>
    <row r="596" spans="1:3" x14ac:dyDescent="0.25">
      <c r="A596">
        <v>595</v>
      </c>
      <c r="B596" t="s">
        <v>334</v>
      </c>
      <c r="C596" t="s">
        <v>3240</v>
      </c>
    </row>
    <row r="597" spans="1:3" x14ac:dyDescent="0.25">
      <c r="A597">
        <v>596</v>
      </c>
      <c r="B597" t="s">
        <v>468</v>
      </c>
      <c r="C597" t="s">
        <v>3241</v>
      </c>
    </row>
    <row r="598" spans="1:3" x14ac:dyDescent="0.25">
      <c r="A598">
        <v>597</v>
      </c>
      <c r="B598" t="s">
        <v>469</v>
      </c>
      <c r="C598" t="s">
        <v>3242</v>
      </c>
    </row>
    <row r="599" spans="1:3" x14ac:dyDescent="0.25">
      <c r="A599">
        <v>598</v>
      </c>
      <c r="B599" t="s">
        <v>160</v>
      </c>
      <c r="C599" t="s">
        <v>3243</v>
      </c>
    </row>
    <row r="600" spans="1:3" x14ac:dyDescent="0.25">
      <c r="A600">
        <v>599</v>
      </c>
      <c r="B600" t="s">
        <v>161</v>
      </c>
      <c r="C600" t="s">
        <v>3244</v>
      </c>
    </row>
    <row r="601" spans="1:3" x14ac:dyDescent="0.25">
      <c r="A601">
        <v>600</v>
      </c>
      <c r="B601" t="s">
        <v>182</v>
      </c>
      <c r="C601" t="s">
        <v>3245</v>
      </c>
    </row>
    <row r="602" spans="1:3" x14ac:dyDescent="0.25">
      <c r="A602">
        <v>601</v>
      </c>
      <c r="B602" t="s">
        <v>184</v>
      </c>
      <c r="C602" t="s">
        <v>3246</v>
      </c>
    </row>
    <row r="603" spans="1:3" x14ac:dyDescent="0.25">
      <c r="A603">
        <v>602</v>
      </c>
      <c r="B603" t="s">
        <v>185</v>
      </c>
      <c r="C603" t="s">
        <v>3247</v>
      </c>
    </row>
    <row r="604" spans="1:3" x14ac:dyDescent="0.25">
      <c r="A604">
        <v>603</v>
      </c>
      <c r="B604" t="s">
        <v>186</v>
      </c>
      <c r="C604" t="s">
        <v>3248</v>
      </c>
    </row>
    <row r="605" spans="1:3" x14ac:dyDescent="0.25">
      <c r="A605">
        <v>604</v>
      </c>
      <c r="B605" t="s">
        <v>145</v>
      </c>
      <c r="C605" t="s">
        <v>3249</v>
      </c>
    </row>
    <row r="606" spans="1:3" x14ac:dyDescent="0.25">
      <c r="A606">
        <v>605</v>
      </c>
      <c r="B606" t="s">
        <v>147</v>
      </c>
      <c r="C606" t="s">
        <v>3250</v>
      </c>
    </row>
    <row r="607" spans="1:3" x14ac:dyDescent="0.25">
      <c r="A607">
        <v>606</v>
      </c>
      <c r="B607" t="s">
        <v>169</v>
      </c>
      <c r="C607" t="s">
        <v>3251</v>
      </c>
    </row>
    <row r="608" spans="1:3" x14ac:dyDescent="0.25">
      <c r="A608">
        <v>607</v>
      </c>
      <c r="B608" t="s">
        <v>212</v>
      </c>
      <c r="C608" t="s">
        <v>3252</v>
      </c>
    </row>
    <row r="609" spans="1:3" x14ac:dyDescent="0.25">
      <c r="A609">
        <v>608</v>
      </c>
      <c r="B609" t="s">
        <v>167</v>
      </c>
      <c r="C609" t="s">
        <v>3253</v>
      </c>
    </row>
    <row r="610" spans="1:3" x14ac:dyDescent="0.25">
      <c r="A610">
        <v>609</v>
      </c>
      <c r="B610" t="s">
        <v>168</v>
      </c>
      <c r="C610" t="s">
        <v>3254</v>
      </c>
    </row>
    <row r="611" spans="1:3" x14ac:dyDescent="0.25">
      <c r="A611">
        <v>610</v>
      </c>
      <c r="B611" t="s">
        <v>211</v>
      </c>
      <c r="C611" t="s">
        <v>3255</v>
      </c>
    </row>
    <row r="612" spans="1:3" x14ac:dyDescent="0.25">
      <c r="A612">
        <v>611</v>
      </c>
      <c r="B612" t="s">
        <v>189</v>
      </c>
      <c r="C612" t="s">
        <v>3256</v>
      </c>
    </row>
    <row r="613" spans="1:3" x14ac:dyDescent="0.25">
      <c r="A613">
        <v>612</v>
      </c>
      <c r="B613" t="s">
        <v>403</v>
      </c>
      <c r="C613" t="s">
        <v>3257</v>
      </c>
    </row>
    <row r="614" spans="1:3" x14ac:dyDescent="0.25">
      <c r="A614">
        <v>613</v>
      </c>
      <c r="B614" t="s">
        <v>250</v>
      </c>
      <c r="C614" t="s">
        <v>3258</v>
      </c>
    </row>
    <row r="615" spans="1:3" x14ac:dyDescent="0.25">
      <c r="A615">
        <v>614</v>
      </c>
      <c r="B615" t="s">
        <v>425</v>
      </c>
      <c r="C615" t="s">
        <v>3259</v>
      </c>
    </row>
    <row r="616" spans="1:3" x14ac:dyDescent="0.25">
      <c r="A616">
        <v>615</v>
      </c>
      <c r="B616" t="s">
        <v>426</v>
      </c>
      <c r="C616" t="s">
        <v>3260</v>
      </c>
    </row>
    <row r="617" spans="1:3" x14ac:dyDescent="0.25">
      <c r="A617">
        <v>616</v>
      </c>
      <c r="B617" t="s">
        <v>431</v>
      </c>
      <c r="C617" t="s">
        <v>3261</v>
      </c>
    </row>
    <row r="618" spans="1:3" x14ac:dyDescent="0.25">
      <c r="A618">
        <v>617</v>
      </c>
      <c r="B618" t="s">
        <v>461</v>
      </c>
      <c r="C618" t="s">
        <v>3262</v>
      </c>
    </row>
    <row r="619" spans="1:3" x14ac:dyDescent="0.25">
      <c r="A619">
        <v>618</v>
      </c>
      <c r="B619" t="s">
        <v>462</v>
      </c>
      <c r="C619" t="s">
        <v>3263</v>
      </c>
    </row>
    <row r="620" spans="1:3" x14ac:dyDescent="0.25">
      <c r="A620">
        <v>619</v>
      </c>
      <c r="B620" t="s">
        <v>463</v>
      </c>
      <c r="C620" t="s">
        <v>3264</v>
      </c>
    </row>
    <row r="621" spans="1:3" x14ac:dyDescent="0.25">
      <c r="A621">
        <v>620</v>
      </c>
      <c r="B621" t="s">
        <v>464</v>
      </c>
      <c r="C621" t="s">
        <v>3265</v>
      </c>
    </row>
    <row r="622" spans="1:3" x14ac:dyDescent="0.25">
      <c r="A622">
        <v>621</v>
      </c>
      <c r="B622" t="s">
        <v>3266</v>
      </c>
      <c r="C622" t="s">
        <v>3267</v>
      </c>
    </row>
    <row r="623" spans="1:3" x14ac:dyDescent="0.25">
      <c r="A623">
        <v>622</v>
      </c>
      <c r="B623" t="s">
        <v>183</v>
      </c>
      <c r="C623" t="s">
        <v>3268</v>
      </c>
    </row>
    <row r="624" spans="1:3" x14ac:dyDescent="0.25">
      <c r="A624">
        <v>623</v>
      </c>
      <c r="B624" t="s">
        <v>223</v>
      </c>
      <c r="C624" t="s">
        <v>3269</v>
      </c>
    </row>
    <row r="625" spans="1:3" x14ac:dyDescent="0.25">
      <c r="A625">
        <v>624</v>
      </c>
      <c r="B625" t="s">
        <v>396</v>
      </c>
      <c r="C625" t="s">
        <v>3270</v>
      </c>
    </row>
    <row r="626" spans="1:3" x14ac:dyDescent="0.25">
      <c r="A626">
        <v>625</v>
      </c>
      <c r="B626" t="s">
        <v>335</v>
      </c>
      <c r="C626" t="s">
        <v>3271</v>
      </c>
    </row>
    <row r="627" spans="1:3" x14ac:dyDescent="0.25">
      <c r="A627">
        <v>626</v>
      </c>
      <c r="B627" t="s">
        <v>3272</v>
      </c>
      <c r="C627" t="s">
        <v>3273</v>
      </c>
    </row>
    <row r="628" spans="1:3" x14ac:dyDescent="0.25">
      <c r="A628">
        <v>627</v>
      </c>
      <c r="B628" t="s">
        <v>331</v>
      </c>
      <c r="C628" t="s">
        <v>3274</v>
      </c>
    </row>
    <row r="629" spans="1:3" x14ac:dyDescent="0.25">
      <c r="A629">
        <v>628</v>
      </c>
      <c r="B629" t="s">
        <v>397</v>
      </c>
      <c r="C629" t="s">
        <v>3275</v>
      </c>
    </row>
    <row r="630" spans="1:3" x14ac:dyDescent="0.25">
      <c r="A630">
        <v>629</v>
      </c>
      <c r="B630" t="s">
        <v>408</v>
      </c>
      <c r="C630" t="s">
        <v>3276</v>
      </c>
    </row>
    <row r="631" spans="1:3" x14ac:dyDescent="0.25">
      <c r="A631">
        <v>630</v>
      </c>
      <c r="B631" t="s">
        <v>409</v>
      </c>
      <c r="C631" t="s">
        <v>3277</v>
      </c>
    </row>
    <row r="632" spans="1:3" x14ac:dyDescent="0.25">
      <c r="A632">
        <v>631</v>
      </c>
      <c r="B632" t="s">
        <v>410</v>
      </c>
      <c r="C632" t="s">
        <v>3278</v>
      </c>
    </row>
    <row r="633" spans="1:3" x14ac:dyDescent="0.25">
      <c r="A633">
        <v>632</v>
      </c>
      <c r="B633" t="s">
        <v>411</v>
      </c>
      <c r="C633" t="s">
        <v>3279</v>
      </c>
    </row>
    <row r="634" spans="1:3" x14ac:dyDescent="0.25">
      <c r="A634">
        <v>633</v>
      </c>
      <c r="B634" t="s">
        <v>414</v>
      </c>
      <c r="C634" t="s">
        <v>3280</v>
      </c>
    </row>
    <row r="635" spans="1:3" x14ac:dyDescent="0.25">
      <c r="A635">
        <v>634</v>
      </c>
      <c r="B635" t="s">
        <v>415</v>
      </c>
      <c r="C635" t="s">
        <v>3281</v>
      </c>
    </row>
    <row r="636" spans="1:3" x14ac:dyDescent="0.25">
      <c r="A636">
        <v>635</v>
      </c>
      <c r="B636" t="s">
        <v>459</v>
      </c>
      <c r="C636" t="s">
        <v>3282</v>
      </c>
    </row>
    <row r="637" spans="1:3" x14ac:dyDescent="0.25">
      <c r="A637">
        <v>636</v>
      </c>
      <c r="B637" t="s">
        <v>226</v>
      </c>
      <c r="C637" t="s">
        <v>3283</v>
      </c>
    </row>
    <row r="638" spans="1:3" x14ac:dyDescent="0.25">
      <c r="A638">
        <v>637</v>
      </c>
      <c r="B638" t="s">
        <v>227</v>
      </c>
      <c r="C638" t="s">
        <v>3284</v>
      </c>
    </row>
    <row r="639" spans="1:3" x14ac:dyDescent="0.25">
      <c r="A639">
        <v>638</v>
      </c>
      <c r="B639" t="s">
        <v>229</v>
      </c>
      <c r="C639" t="s">
        <v>3285</v>
      </c>
    </row>
    <row r="640" spans="1:3" x14ac:dyDescent="0.25">
      <c r="A640">
        <v>639</v>
      </c>
      <c r="B640" t="s">
        <v>230</v>
      </c>
      <c r="C640" t="s">
        <v>3286</v>
      </c>
    </row>
    <row r="641" spans="1:3" x14ac:dyDescent="0.25">
      <c r="A641">
        <v>640</v>
      </c>
      <c r="B641" t="s">
        <v>231</v>
      </c>
      <c r="C641" t="s">
        <v>3287</v>
      </c>
    </row>
    <row r="642" spans="1:3" x14ac:dyDescent="0.25">
      <c r="A642">
        <v>641</v>
      </c>
      <c r="B642" t="s">
        <v>234</v>
      </c>
      <c r="C642" t="s">
        <v>3288</v>
      </c>
    </row>
    <row r="643" spans="1:3" x14ac:dyDescent="0.25">
      <c r="A643">
        <v>642</v>
      </c>
      <c r="B643" t="s">
        <v>241</v>
      </c>
      <c r="C643" t="s">
        <v>3289</v>
      </c>
    </row>
    <row r="644" spans="1:3" x14ac:dyDescent="0.25">
      <c r="A644">
        <v>643</v>
      </c>
      <c r="B644" t="s">
        <v>245</v>
      </c>
      <c r="C644" t="s">
        <v>3290</v>
      </c>
    </row>
    <row r="645" spans="1:3" x14ac:dyDescent="0.25">
      <c r="A645">
        <v>644</v>
      </c>
      <c r="B645" t="s">
        <v>238</v>
      </c>
      <c r="C645" t="s">
        <v>3291</v>
      </c>
    </row>
    <row r="646" spans="1:3" x14ac:dyDescent="0.25">
      <c r="A646">
        <v>645</v>
      </c>
      <c r="B646" t="s">
        <v>240</v>
      </c>
      <c r="C646" t="s">
        <v>3292</v>
      </c>
    </row>
    <row r="647" spans="1:3" x14ac:dyDescent="0.25">
      <c r="A647">
        <v>646</v>
      </c>
      <c r="B647" t="s">
        <v>242</v>
      </c>
      <c r="C647" t="s">
        <v>3293</v>
      </c>
    </row>
    <row r="648" spans="1:3" x14ac:dyDescent="0.25">
      <c r="A648">
        <v>647</v>
      </c>
      <c r="B648" t="s">
        <v>244</v>
      </c>
      <c r="C648" t="s">
        <v>3294</v>
      </c>
    </row>
    <row r="649" spans="1:3" x14ac:dyDescent="0.25">
      <c r="A649">
        <v>648</v>
      </c>
      <c r="B649" t="s">
        <v>308</v>
      </c>
      <c r="C649" t="s">
        <v>3295</v>
      </c>
    </row>
    <row r="650" spans="1:3" x14ac:dyDescent="0.25">
      <c r="A650">
        <v>649</v>
      </c>
      <c r="B650" t="s">
        <v>170</v>
      </c>
      <c r="C650" t="s">
        <v>3296</v>
      </c>
    </row>
    <row r="651" spans="1:3" x14ac:dyDescent="0.25">
      <c r="A651">
        <v>650</v>
      </c>
      <c r="B651" t="s">
        <v>171</v>
      </c>
      <c r="C651" t="s">
        <v>3297</v>
      </c>
    </row>
    <row r="652" spans="1:3" x14ac:dyDescent="0.25">
      <c r="A652">
        <v>651</v>
      </c>
      <c r="B652" t="s">
        <v>172</v>
      </c>
      <c r="C652" t="s">
        <v>3298</v>
      </c>
    </row>
    <row r="653" spans="1:3" x14ac:dyDescent="0.25">
      <c r="A653">
        <v>652</v>
      </c>
      <c r="B653" t="s">
        <v>173</v>
      </c>
      <c r="C653" t="s">
        <v>3299</v>
      </c>
    </row>
    <row r="654" spans="1:3" x14ac:dyDescent="0.25">
      <c r="A654">
        <v>653</v>
      </c>
      <c r="B654" t="s">
        <v>179</v>
      </c>
      <c r="C654" t="s">
        <v>3300</v>
      </c>
    </row>
    <row r="655" spans="1:3" x14ac:dyDescent="0.25">
      <c r="A655">
        <v>654</v>
      </c>
      <c r="B655" t="s">
        <v>180</v>
      </c>
      <c r="C655" t="s">
        <v>3301</v>
      </c>
    </row>
    <row r="656" spans="1:3" x14ac:dyDescent="0.25">
      <c r="A656">
        <v>655</v>
      </c>
      <c r="B656" t="s">
        <v>248</v>
      </c>
      <c r="C656" t="s">
        <v>3302</v>
      </c>
    </row>
    <row r="657" spans="1:3" x14ac:dyDescent="0.25">
      <c r="A657">
        <v>656</v>
      </c>
      <c r="B657" t="s">
        <v>365</v>
      </c>
      <c r="C657" t="s">
        <v>3303</v>
      </c>
    </row>
    <row r="658" spans="1:3" x14ac:dyDescent="0.25">
      <c r="A658">
        <v>657</v>
      </c>
      <c r="B658" t="s">
        <v>374</v>
      </c>
      <c r="C658" t="s">
        <v>3304</v>
      </c>
    </row>
    <row r="659" spans="1:3" x14ac:dyDescent="0.25">
      <c r="A659">
        <v>658</v>
      </c>
      <c r="B659" t="s">
        <v>375</v>
      </c>
      <c r="C659" t="s">
        <v>3305</v>
      </c>
    </row>
    <row r="660" spans="1:3" x14ac:dyDescent="0.25">
      <c r="A660">
        <v>659</v>
      </c>
      <c r="B660" t="s">
        <v>190</v>
      </c>
      <c r="C660" t="s">
        <v>3306</v>
      </c>
    </row>
    <row r="661" spans="1:3" x14ac:dyDescent="0.25">
      <c r="A661">
        <v>660</v>
      </c>
      <c r="B661" t="s">
        <v>191</v>
      </c>
      <c r="C661" t="s">
        <v>3307</v>
      </c>
    </row>
    <row r="662" spans="1:3" x14ac:dyDescent="0.25">
      <c r="A662">
        <v>661</v>
      </c>
      <c r="B662" t="s">
        <v>296</v>
      </c>
      <c r="C662" t="s">
        <v>3308</v>
      </c>
    </row>
    <row r="663" spans="1:3" x14ac:dyDescent="0.25">
      <c r="A663">
        <v>662</v>
      </c>
      <c r="B663" t="s">
        <v>297</v>
      </c>
      <c r="C663" t="s">
        <v>3309</v>
      </c>
    </row>
    <row r="664" spans="1:3" x14ac:dyDescent="0.25">
      <c r="A664">
        <v>663</v>
      </c>
      <c r="B664" t="s">
        <v>298</v>
      </c>
      <c r="C664" t="s">
        <v>3310</v>
      </c>
    </row>
    <row r="665" spans="1:3" x14ac:dyDescent="0.25">
      <c r="A665">
        <v>664</v>
      </c>
      <c r="B665" t="s">
        <v>300</v>
      </c>
      <c r="C665" t="s">
        <v>3311</v>
      </c>
    </row>
    <row r="666" spans="1:3" x14ac:dyDescent="0.25">
      <c r="A666">
        <v>665</v>
      </c>
      <c r="B666" t="s">
        <v>303</v>
      </c>
      <c r="C666" t="s">
        <v>3312</v>
      </c>
    </row>
    <row r="667" spans="1:3" x14ac:dyDescent="0.25">
      <c r="A667">
        <v>666</v>
      </c>
      <c r="B667" t="s">
        <v>249</v>
      </c>
      <c r="C667" t="s">
        <v>3313</v>
      </c>
    </row>
    <row r="668" spans="1:3" x14ac:dyDescent="0.25">
      <c r="A668">
        <v>667</v>
      </c>
      <c r="B668" t="s">
        <v>251</v>
      </c>
      <c r="C668" t="s">
        <v>3314</v>
      </c>
    </row>
    <row r="669" spans="1:3" x14ac:dyDescent="0.25">
      <c r="A669">
        <v>668</v>
      </c>
      <c r="B669" t="s">
        <v>317</v>
      </c>
      <c r="C669" t="s">
        <v>3315</v>
      </c>
    </row>
    <row r="670" spans="1:3" x14ac:dyDescent="0.25">
      <c r="A670">
        <v>669</v>
      </c>
      <c r="B670" t="s">
        <v>252</v>
      </c>
      <c r="C670" t="s">
        <v>3316</v>
      </c>
    </row>
    <row r="671" spans="1:3" x14ac:dyDescent="0.25">
      <c r="A671">
        <v>670</v>
      </c>
      <c r="B671" t="s">
        <v>318</v>
      </c>
      <c r="C671" t="s">
        <v>3317</v>
      </c>
    </row>
    <row r="672" spans="1:3" x14ac:dyDescent="0.25">
      <c r="A672">
        <v>671</v>
      </c>
      <c r="B672" t="s">
        <v>294</v>
      </c>
      <c r="C672" t="s">
        <v>3318</v>
      </c>
    </row>
    <row r="673" spans="1:3" x14ac:dyDescent="0.25">
      <c r="A673">
        <v>672</v>
      </c>
      <c r="B673" t="s">
        <v>304</v>
      </c>
      <c r="C673" t="s">
        <v>3319</v>
      </c>
    </row>
    <row r="674" spans="1:3" x14ac:dyDescent="0.25">
      <c r="A674">
        <v>673</v>
      </c>
      <c r="B674" t="s">
        <v>293</v>
      </c>
      <c r="C674" t="s">
        <v>3320</v>
      </c>
    </row>
    <row r="675" spans="1:3" x14ac:dyDescent="0.25">
      <c r="A675">
        <v>674</v>
      </c>
      <c r="B675" t="s">
        <v>330</v>
      </c>
      <c r="C675" t="s">
        <v>3321</v>
      </c>
    </row>
    <row r="676" spans="1:3" x14ac:dyDescent="0.25">
      <c r="A676">
        <v>675</v>
      </c>
      <c r="B676" t="s">
        <v>299</v>
      </c>
      <c r="C676" t="s">
        <v>3322</v>
      </c>
    </row>
    <row r="677" spans="1:3" x14ac:dyDescent="0.25">
      <c r="A677">
        <v>676</v>
      </c>
      <c r="B677" t="s">
        <v>302</v>
      </c>
      <c r="C677" t="s">
        <v>3323</v>
      </c>
    </row>
    <row r="678" spans="1:3" x14ac:dyDescent="0.25">
      <c r="A678">
        <v>677</v>
      </c>
      <c r="B678" t="s">
        <v>305</v>
      </c>
      <c r="C678" t="s">
        <v>3324</v>
      </c>
    </row>
    <row r="679" spans="1:3" x14ac:dyDescent="0.25">
      <c r="A679">
        <v>678</v>
      </c>
      <c r="B679" t="s">
        <v>315</v>
      </c>
      <c r="C679" t="s">
        <v>3325</v>
      </c>
    </row>
    <row r="680" spans="1:3" x14ac:dyDescent="0.25">
      <c r="A680">
        <v>679</v>
      </c>
      <c r="B680" t="s">
        <v>289</v>
      </c>
      <c r="C680" t="s">
        <v>3326</v>
      </c>
    </row>
    <row r="681" spans="1:3" x14ac:dyDescent="0.25">
      <c r="A681">
        <v>680</v>
      </c>
      <c r="B681" t="s">
        <v>345</v>
      </c>
      <c r="C681" t="s">
        <v>3327</v>
      </c>
    </row>
    <row r="682" spans="1:3" x14ac:dyDescent="0.25">
      <c r="A682">
        <v>681</v>
      </c>
      <c r="B682" t="s">
        <v>353</v>
      </c>
      <c r="C682" t="s">
        <v>3328</v>
      </c>
    </row>
    <row r="683" spans="1:3" x14ac:dyDescent="0.25">
      <c r="A683">
        <v>682</v>
      </c>
      <c r="B683" t="s">
        <v>354</v>
      </c>
      <c r="C683" t="s">
        <v>3329</v>
      </c>
    </row>
    <row r="684" spans="1:3" x14ac:dyDescent="0.25">
      <c r="A684">
        <v>683</v>
      </c>
      <c r="B684" t="s">
        <v>355</v>
      </c>
      <c r="C684" t="s">
        <v>3330</v>
      </c>
    </row>
    <row r="685" spans="1:3" x14ac:dyDescent="0.25">
      <c r="A685">
        <v>684</v>
      </c>
      <c r="B685" t="s">
        <v>357</v>
      </c>
      <c r="C685" t="s">
        <v>3331</v>
      </c>
    </row>
    <row r="686" spans="1:3" x14ac:dyDescent="0.25">
      <c r="A686">
        <v>685</v>
      </c>
      <c r="B686" t="s">
        <v>358</v>
      </c>
      <c r="C686" t="s">
        <v>3332</v>
      </c>
    </row>
    <row r="687" spans="1:3" x14ac:dyDescent="0.25">
      <c r="A687">
        <v>686</v>
      </c>
      <c r="B687" t="s">
        <v>356</v>
      </c>
      <c r="C687" t="s">
        <v>3333</v>
      </c>
    </row>
    <row r="688" spans="1:3" x14ac:dyDescent="0.25">
      <c r="A688">
        <v>687</v>
      </c>
      <c r="B688" t="s">
        <v>284</v>
      </c>
      <c r="C688" t="s">
        <v>3334</v>
      </c>
    </row>
    <row r="689" spans="1:3" x14ac:dyDescent="0.25">
      <c r="A689">
        <v>688</v>
      </c>
      <c r="B689" t="s">
        <v>1026</v>
      </c>
      <c r="C689" t="s">
        <v>3335</v>
      </c>
    </row>
    <row r="690" spans="1:3" x14ac:dyDescent="0.25">
      <c r="A690">
        <v>689</v>
      </c>
      <c r="B690" t="s">
        <v>1034</v>
      </c>
      <c r="C690" t="s">
        <v>3336</v>
      </c>
    </row>
    <row r="691" spans="1:3" x14ac:dyDescent="0.25">
      <c r="A691">
        <v>690</v>
      </c>
      <c r="B691" t="s">
        <v>1035</v>
      </c>
      <c r="C691" t="s">
        <v>3337</v>
      </c>
    </row>
    <row r="692" spans="1:3" x14ac:dyDescent="0.25">
      <c r="A692">
        <v>691</v>
      </c>
      <c r="B692" t="s">
        <v>1129</v>
      </c>
      <c r="C692" t="s">
        <v>3338</v>
      </c>
    </row>
    <row r="693" spans="1:3" x14ac:dyDescent="0.25">
      <c r="A693">
        <v>692</v>
      </c>
      <c r="B693" t="s">
        <v>1130</v>
      </c>
      <c r="C693" t="s">
        <v>3339</v>
      </c>
    </row>
    <row r="694" spans="1:3" x14ac:dyDescent="0.25">
      <c r="A694">
        <v>693</v>
      </c>
      <c r="B694" t="s">
        <v>339</v>
      </c>
      <c r="C694" t="s">
        <v>3340</v>
      </c>
    </row>
    <row r="695" spans="1:3" x14ac:dyDescent="0.25">
      <c r="A695">
        <v>694</v>
      </c>
      <c r="B695" t="s">
        <v>641</v>
      </c>
      <c r="C695" t="s">
        <v>3341</v>
      </c>
    </row>
    <row r="696" spans="1:3" x14ac:dyDescent="0.25">
      <c r="A696">
        <v>695</v>
      </c>
      <c r="B696" t="s">
        <v>430</v>
      </c>
      <c r="C696" t="s">
        <v>3342</v>
      </c>
    </row>
    <row r="697" spans="1:3" x14ac:dyDescent="0.25">
      <c r="A697">
        <v>696</v>
      </c>
      <c r="B697" t="s">
        <v>696</v>
      </c>
      <c r="C697" t="s">
        <v>3343</v>
      </c>
    </row>
    <row r="698" spans="1:3" x14ac:dyDescent="0.25">
      <c r="A698">
        <v>697</v>
      </c>
      <c r="B698" t="s">
        <v>699</v>
      </c>
      <c r="C698" t="s">
        <v>3344</v>
      </c>
    </row>
    <row r="699" spans="1:3" x14ac:dyDescent="0.25">
      <c r="A699">
        <v>698</v>
      </c>
      <c r="B699" t="s">
        <v>700</v>
      </c>
      <c r="C699" t="s">
        <v>3345</v>
      </c>
    </row>
    <row r="700" spans="1:3" x14ac:dyDescent="0.25">
      <c r="A700">
        <v>699</v>
      </c>
      <c r="B700" t="s">
        <v>703</v>
      </c>
      <c r="C700" t="s">
        <v>3346</v>
      </c>
    </row>
    <row r="701" spans="1:3" x14ac:dyDescent="0.25">
      <c r="A701">
        <v>700</v>
      </c>
      <c r="B701" t="s">
        <v>815</v>
      </c>
      <c r="C701" t="s">
        <v>3347</v>
      </c>
    </row>
    <row r="702" spans="1:3" x14ac:dyDescent="0.25">
      <c r="A702">
        <v>701</v>
      </c>
      <c r="B702" t="s">
        <v>810</v>
      </c>
      <c r="C702" t="s">
        <v>3348</v>
      </c>
    </row>
    <row r="703" spans="1:3" x14ac:dyDescent="0.25">
      <c r="A703">
        <v>702</v>
      </c>
      <c r="B703" t="s">
        <v>811</v>
      </c>
      <c r="C703" t="s">
        <v>3349</v>
      </c>
    </row>
    <row r="704" spans="1:3" x14ac:dyDescent="0.25">
      <c r="A704">
        <v>703</v>
      </c>
      <c r="B704" t="s">
        <v>881</v>
      </c>
      <c r="C704" t="s">
        <v>3350</v>
      </c>
    </row>
    <row r="705" spans="1:3" x14ac:dyDescent="0.25">
      <c r="A705">
        <v>704</v>
      </c>
      <c r="B705" t="s">
        <v>882</v>
      </c>
      <c r="C705" t="s">
        <v>3351</v>
      </c>
    </row>
    <row r="706" spans="1:3" x14ac:dyDescent="0.25">
      <c r="A706">
        <v>705</v>
      </c>
      <c r="B706" t="s">
        <v>877</v>
      </c>
      <c r="C706" t="s">
        <v>3352</v>
      </c>
    </row>
    <row r="707" spans="1:3" x14ac:dyDescent="0.25">
      <c r="A707">
        <v>706</v>
      </c>
      <c r="B707" t="s">
        <v>878</v>
      </c>
      <c r="C707" t="s">
        <v>3353</v>
      </c>
    </row>
    <row r="708" spans="1:3" x14ac:dyDescent="0.25">
      <c r="A708">
        <v>707</v>
      </c>
      <c r="B708" t="s">
        <v>880</v>
      </c>
      <c r="C708" t="s">
        <v>3354</v>
      </c>
    </row>
    <row r="709" spans="1:3" x14ac:dyDescent="0.25">
      <c r="A709">
        <v>708</v>
      </c>
      <c r="B709" t="s">
        <v>424</v>
      </c>
      <c r="C709" t="s">
        <v>3355</v>
      </c>
    </row>
    <row r="710" spans="1:3" x14ac:dyDescent="0.25">
      <c r="A710">
        <v>709</v>
      </c>
      <c r="B710" t="s">
        <v>427</v>
      </c>
      <c r="C710" t="s">
        <v>3356</v>
      </c>
    </row>
    <row r="711" spans="1:3" x14ac:dyDescent="0.25">
      <c r="A711">
        <v>710</v>
      </c>
      <c r="B711" t="s">
        <v>429</v>
      </c>
      <c r="C711" t="s">
        <v>3357</v>
      </c>
    </row>
    <row r="712" spans="1:3" x14ac:dyDescent="0.25">
      <c r="A712">
        <v>711</v>
      </c>
      <c r="B712" t="s">
        <v>143</v>
      </c>
      <c r="C712" t="s">
        <v>3358</v>
      </c>
    </row>
    <row r="713" spans="1:3" x14ac:dyDescent="0.25">
      <c r="A713">
        <v>712</v>
      </c>
      <c r="B713" t="s">
        <v>144</v>
      </c>
      <c r="C713" t="s">
        <v>3359</v>
      </c>
    </row>
    <row r="714" spans="1:3" x14ac:dyDescent="0.25">
      <c r="A714">
        <v>713</v>
      </c>
      <c r="B714" t="s">
        <v>611</v>
      </c>
      <c r="C714" t="s">
        <v>3360</v>
      </c>
    </row>
    <row r="715" spans="1:3" x14ac:dyDescent="0.25">
      <c r="A715">
        <v>714</v>
      </c>
      <c r="B715" t="s">
        <v>612</v>
      </c>
      <c r="C715" t="s">
        <v>3361</v>
      </c>
    </row>
    <row r="716" spans="1:3" x14ac:dyDescent="0.25">
      <c r="A716">
        <v>715</v>
      </c>
      <c r="B716" t="s">
        <v>370</v>
      </c>
      <c r="C716" t="s">
        <v>3362</v>
      </c>
    </row>
    <row r="717" spans="1:3" x14ac:dyDescent="0.25">
      <c r="A717">
        <v>716</v>
      </c>
      <c r="B717" t="s">
        <v>194</v>
      </c>
      <c r="C717" t="s">
        <v>3363</v>
      </c>
    </row>
    <row r="718" spans="1:3" x14ac:dyDescent="0.25">
      <c r="A718">
        <v>717</v>
      </c>
      <c r="B718" t="s">
        <v>195</v>
      </c>
      <c r="C718" t="s">
        <v>3364</v>
      </c>
    </row>
    <row r="719" spans="1:3" x14ac:dyDescent="0.25">
      <c r="A719">
        <v>718</v>
      </c>
      <c r="B719" t="s">
        <v>197</v>
      </c>
      <c r="C719" t="s">
        <v>3365</v>
      </c>
    </row>
    <row r="720" spans="1:3" x14ac:dyDescent="0.25">
      <c r="A720">
        <v>719</v>
      </c>
      <c r="B720" t="s">
        <v>198</v>
      </c>
      <c r="C720" t="s">
        <v>3366</v>
      </c>
    </row>
    <row r="721" spans="1:3" x14ac:dyDescent="0.25">
      <c r="A721">
        <v>720</v>
      </c>
      <c r="B721" t="s">
        <v>199</v>
      </c>
      <c r="C721" t="s">
        <v>3367</v>
      </c>
    </row>
    <row r="722" spans="1:3" x14ac:dyDescent="0.25">
      <c r="A722">
        <v>721</v>
      </c>
      <c r="B722" t="s">
        <v>196</v>
      </c>
      <c r="C722" t="s">
        <v>3368</v>
      </c>
    </row>
    <row r="723" spans="1:3" x14ac:dyDescent="0.25">
      <c r="A723">
        <v>722</v>
      </c>
      <c r="B723" t="s">
        <v>220</v>
      </c>
      <c r="C723" t="s">
        <v>3369</v>
      </c>
    </row>
    <row r="724" spans="1:3" x14ac:dyDescent="0.25">
      <c r="A724">
        <v>723</v>
      </c>
      <c r="B724" t="s">
        <v>232</v>
      </c>
      <c r="C724" t="s">
        <v>3370</v>
      </c>
    </row>
    <row r="725" spans="1:3" x14ac:dyDescent="0.25">
      <c r="A725">
        <v>724</v>
      </c>
      <c r="B725" t="s">
        <v>369</v>
      </c>
      <c r="C725" t="s">
        <v>3371</v>
      </c>
    </row>
    <row r="726" spans="1:3" x14ac:dyDescent="0.25">
      <c r="A726">
        <v>725</v>
      </c>
      <c r="B726" t="s">
        <v>371</v>
      </c>
      <c r="C726" t="s">
        <v>3372</v>
      </c>
    </row>
    <row r="727" spans="1:3" x14ac:dyDescent="0.25">
      <c r="A727">
        <v>726</v>
      </c>
      <c r="B727" t="s">
        <v>372</v>
      </c>
      <c r="C727" t="s">
        <v>3373</v>
      </c>
    </row>
    <row r="728" spans="1:3" x14ac:dyDescent="0.25">
      <c r="A728">
        <v>727</v>
      </c>
      <c r="B728" t="s">
        <v>376</v>
      </c>
      <c r="C728" t="s">
        <v>3374</v>
      </c>
    </row>
    <row r="729" spans="1:3" x14ac:dyDescent="0.25">
      <c r="A729">
        <v>728</v>
      </c>
      <c r="B729" t="s">
        <v>3375</v>
      </c>
      <c r="C729" t="s">
        <v>3376</v>
      </c>
    </row>
    <row r="730" spans="1:3" x14ac:dyDescent="0.25">
      <c r="A730">
        <v>729</v>
      </c>
      <c r="B730" t="s">
        <v>201</v>
      </c>
      <c r="C730" t="s">
        <v>3377</v>
      </c>
    </row>
    <row r="731" spans="1:3" x14ac:dyDescent="0.25">
      <c r="A731">
        <v>730</v>
      </c>
      <c r="B731" t="s">
        <v>202</v>
      </c>
      <c r="C731" t="s">
        <v>3378</v>
      </c>
    </row>
    <row r="732" spans="1:3" x14ac:dyDescent="0.25">
      <c r="A732">
        <v>731</v>
      </c>
      <c r="B732" t="s">
        <v>203</v>
      </c>
      <c r="C732" t="s">
        <v>3379</v>
      </c>
    </row>
    <row r="733" spans="1:3" x14ac:dyDescent="0.25">
      <c r="A733">
        <v>732</v>
      </c>
      <c r="B733" t="s">
        <v>438</v>
      </c>
      <c r="C733" t="s">
        <v>3380</v>
      </c>
    </row>
    <row r="734" spans="1:3" x14ac:dyDescent="0.25">
      <c r="A734">
        <v>733</v>
      </c>
      <c r="B734" t="s">
        <v>439</v>
      </c>
      <c r="C734" t="s">
        <v>3381</v>
      </c>
    </row>
    <row r="735" spans="1:3" x14ac:dyDescent="0.25">
      <c r="A735">
        <v>734</v>
      </c>
      <c r="B735" t="s">
        <v>471</v>
      </c>
      <c r="C735" t="s">
        <v>3382</v>
      </c>
    </row>
    <row r="736" spans="1:3" x14ac:dyDescent="0.25">
      <c r="A736">
        <v>735</v>
      </c>
      <c r="B736" t="s">
        <v>472</v>
      </c>
      <c r="C736" t="s">
        <v>3383</v>
      </c>
    </row>
    <row r="737" spans="1:3" x14ac:dyDescent="0.25">
      <c r="A737">
        <v>736</v>
      </c>
      <c r="B737" t="s">
        <v>473</v>
      </c>
      <c r="C737" t="s">
        <v>3384</v>
      </c>
    </row>
    <row r="738" spans="1:3" x14ac:dyDescent="0.25">
      <c r="A738">
        <v>737</v>
      </c>
      <c r="B738" t="s">
        <v>221</v>
      </c>
      <c r="C738" t="s">
        <v>3385</v>
      </c>
    </row>
    <row r="739" spans="1:3" x14ac:dyDescent="0.25">
      <c r="A739">
        <v>738</v>
      </c>
      <c r="B739" t="s">
        <v>237</v>
      </c>
      <c r="C739" t="s">
        <v>3386</v>
      </c>
    </row>
    <row r="740" spans="1:3" x14ac:dyDescent="0.25">
      <c r="A740">
        <v>739</v>
      </c>
      <c r="B740" t="s">
        <v>255</v>
      </c>
      <c r="C740" t="s">
        <v>3387</v>
      </c>
    </row>
    <row r="741" spans="1:3" x14ac:dyDescent="0.25">
      <c r="A741">
        <v>740</v>
      </c>
      <c r="B741" t="s">
        <v>311</v>
      </c>
      <c r="C741" t="s">
        <v>3388</v>
      </c>
    </row>
    <row r="742" spans="1:3" x14ac:dyDescent="0.25">
      <c r="A742">
        <v>741</v>
      </c>
      <c r="B742" t="s">
        <v>350</v>
      </c>
      <c r="C742" t="s">
        <v>3389</v>
      </c>
    </row>
    <row r="743" spans="1:3" x14ac:dyDescent="0.25">
      <c r="A743">
        <v>742</v>
      </c>
      <c r="B743" t="s">
        <v>362</v>
      </c>
      <c r="C743" t="s">
        <v>3390</v>
      </c>
    </row>
    <row r="744" spans="1:3" x14ac:dyDescent="0.25">
      <c r="A744">
        <v>743</v>
      </c>
      <c r="B744" t="s">
        <v>363</v>
      </c>
      <c r="C744" t="s">
        <v>3391</v>
      </c>
    </row>
    <row r="745" spans="1:3" x14ac:dyDescent="0.25">
      <c r="A745">
        <v>744</v>
      </c>
      <c r="B745" t="s">
        <v>377</v>
      </c>
      <c r="C745" t="s">
        <v>3392</v>
      </c>
    </row>
    <row r="746" spans="1:3" x14ac:dyDescent="0.25">
      <c r="A746">
        <v>745</v>
      </c>
      <c r="B746" t="s">
        <v>378</v>
      </c>
      <c r="C746" t="s">
        <v>3393</v>
      </c>
    </row>
    <row r="747" spans="1:3" x14ac:dyDescent="0.25">
      <c r="A747">
        <v>746</v>
      </c>
      <c r="B747" t="s">
        <v>379</v>
      </c>
      <c r="C747" t="s">
        <v>3394</v>
      </c>
    </row>
    <row r="748" spans="1:3" x14ac:dyDescent="0.25">
      <c r="A748">
        <v>747</v>
      </c>
      <c r="B748" t="s">
        <v>352</v>
      </c>
      <c r="C748" t="s">
        <v>3395</v>
      </c>
    </row>
    <row r="749" spans="1:3" x14ac:dyDescent="0.25">
      <c r="A749">
        <v>748</v>
      </c>
      <c r="B749" t="s">
        <v>348</v>
      </c>
      <c r="C749" t="s">
        <v>3396</v>
      </c>
    </row>
    <row r="750" spans="1:3" x14ac:dyDescent="0.25">
      <c r="A750">
        <v>749</v>
      </c>
      <c r="B750" t="s">
        <v>349</v>
      </c>
      <c r="C750" t="s">
        <v>3397</v>
      </c>
    </row>
    <row r="751" spans="1:3" x14ac:dyDescent="0.25">
      <c r="A751">
        <v>750</v>
      </c>
      <c r="B751" t="s">
        <v>351</v>
      </c>
      <c r="C751" t="s">
        <v>3398</v>
      </c>
    </row>
    <row r="752" spans="1:3" x14ac:dyDescent="0.25">
      <c r="A752">
        <v>751</v>
      </c>
      <c r="B752" t="s">
        <v>364</v>
      </c>
      <c r="C752" t="s">
        <v>3399</v>
      </c>
    </row>
    <row r="753" spans="1:3" x14ac:dyDescent="0.25">
      <c r="A753">
        <v>752</v>
      </c>
      <c r="B753" t="s">
        <v>236</v>
      </c>
      <c r="C753" t="s">
        <v>3400</v>
      </c>
    </row>
    <row r="754" spans="1:3" x14ac:dyDescent="0.25">
      <c r="A754">
        <v>753</v>
      </c>
      <c r="B754" t="s">
        <v>239</v>
      </c>
      <c r="C754" t="s">
        <v>3401</v>
      </c>
    </row>
    <row r="755" spans="1:3" x14ac:dyDescent="0.25">
      <c r="A755">
        <v>754</v>
      </c>
      <c r="B755" t="s">
        <v>477</v>
      </c>
      <c r="C755" t="s">
        <v>3402</v>
      </c>
    </row>
    <row r="756" spans="1:3" x14ac:dyDescent="0.25">
      <c r="A756">
        <v>755</v>
      </c>
      <c r="B756" t="s">
        <v>416</v>
      </c>
      <c r="C756" t="s">
        <v>3403</v>
      </c>
    </row>
    <row r="757" spans="1:3" x14ac:dyDescent="0.25">
      <c r="A757">
        <v>756</v>
      </c>
      <c r="B757" t="s">
        <v>421</v>
      </c>
      <c r="C757" t="s">
        <v>3404</v>
      </c>
    </row>
    <row r="758" spans="1:3" x14ac:dyDescent="0.25">
      <c r="A758">
        <v>757</v>
      </c>
      <c r="B758" t="s">
        <v>373</v>
      </c>
      <c r="C758" t="s">
        <v>3405</v>
      </c>
    </row>
    <row r="759" spans="1:3" x14ac:dyDescent="0.25">
      <c r="A759">
        <v>758</v>
      </c>
      <c r="B759" t="s">
        <v>382</v>
      </c>
      <c r="C759" t="s">
        <v>3406</v>
      </c>
    </row>
    <row r="760" spans="1:3" x14ac:dyDescent="0.25">
      <c r="A760">
        <v>759</v>
      </c>
      <c r="B760" t="s">
        <v>385</v>
      </c>
      <c r="C760" t="s">
        <v>3407</v>
      </c>
    </row>
    <row r="761" spans="1:3" x14ac:dyDescent="0.25">
      <c r="A761">
        <v>760</v>
      </c>
      <c r="B761" t="s">
        <v>387</v>
      </c>
      <c r="C761" t="s">
        <v>3408</v>
      </c>
    </row>
    <row r="762" spans="1:3" x14ac:dyDescent="0.25">
      <c r="A762">
        <v>761</v>
      </c>
      <c r="B762" t="s">
        <v>388</v>
      </c>
      <c r="C762" t="s">
        <v>3409</v>
      </c>
    </row>
    <row r="763" spans="1:3" x14ac:dyDescent="0.25">
      <c r="A763">
        <v>762</v>
      </c>
      <c r="B763" t="s">
        <v>771</v>
      </c>
      <c r="C763" t="s">
        <v>3410</v>
      </c>
    </row>
    <row r="764" spans="1:3" x14ac:dyDescent="0.25">
      <c r="A764">
        <v>763</v>
      </c>
      <c r="B764" t="s">
        <v>772</v>
      </c>
      <c r="C764" t="s">
        <v>3411</v>
      </c>
    </row>
    <row r="765" spans="1:3" x14ac:dyDescent="0.25">
      <c r="A765">
        <v>764</v>
      </c>
      <c r="B765" t="s">
        <v>830</v>
      </c>
      <c r="C765" t="s">
        <v>3412</v>
      </c>
    </row>
    <row r="766" spans="1:3" x14ac:dyDescent="0.25">
      <c r="A766">
        <v>765</v>
      </c>
      <c r="B766" t="s">
        <v>841</v>
      </c>
      <c r="C766" t="s">
        <v>3413</v>
      </c>
    </row>
    <row r="767" spans="1:3" x14ac:dyDescent="0.25">
      <c r="A767">
        <v>766</v>
      </c>
      <c r="B767" t="s">
        <v>842</v>
      </c>
      <c r="C767" t="s">
        <v>3414</v>
      </c>
    </row>
    <row r="768" spans="1:3" x14ac:dyDescent="0.25">
      <c r="A768">
        <v>767</v>
      </c>
      <c r="B768" t="s">
        <v>843</v>
      </c>
      <c r="C768" t="s">
        <v>3415</v>
      </c>
    </row>
    <row r="769" spans="1:3" x14ac:dyDescent="0.25">
      <c r="A769">
        <v>768</v>
      </c>
      <c r="B769" t="s">
        <v>844</v>
      </c>
      <c r="C769" t="s">
        <v>3416</v>
      </c>
    </row>
    <row r="770" spans="1:3" x14ac:dyDescent="0.25">
      <c r="A770">
        <v>769</v>
      </c>
      <c r="B770" t="s">
        <v>845</v>
      </c>
      <c r="C770" t="s">
        <v>3417</v>
      </c>
    </row>
    <row r="771" spans="1:3" x14ac:dyDescent="0.25">
      <c r="A771">
        <v>770</v>
      </c>
      <c r="B771" t="s">
        <v>1066</v>
      </c>
      <c r="C771" t="s">
        <v>3418</v>
      </c>
    </row>
    <row r="772" spans="1:3" x14ac:dyDescent="0.25">
      <c r="A772">
        <v>771</v>
      </c>
      <c r="B772" t="s">
        <v>1067</v>
      </c>
      <c r="C772" t="s">
        <v>3419</v>
      </c>
    </row>
    <row r="773" spans="1:3" x14ac:dyDescent="0.25">
      <c r="A773">
        <v>772</v>
      </c>
      <c r="B773" t="s">
        <v>667</v>
      </c>
      <c r="C773" t="s">
        <v>3420</v>
      </c>
    </row>
    <row r="774" spans="1:3" x14ac:dyDescent="0.25">
      <c r="A774">
        <v>773</v>
      </c>
      <c r="B774" t="s">
        <v>668</v>
      </c>
      <c r="C774" t="s">
        <v>3421</v>
      </c>
    </row>
    <row r="775" spans="1:3" x14ac:dyDescent="0.25">
      <c r="A775">
        <v>774</v>
      </c>
      <c r="B775" t="s">
        <v>669</v>
      </c>
      <c r="C775" t="s">
        <v>3422</v>
      </c>
    </row>
    <row r="776" spans="1:3" x14ac:dyDescent="0.25">
      <c r="A776">
        <v>775</v>
      </c>
      <c r="B776" t="s">
        <v>670</v>
      </c>
      <c r="C776" t="s">
        <v>3423</v>
      </c>
    </row>
    <row r="777" spans="1:3" x14ac:dyDescent="0.25">
      <c r="A777">
        <v>776</v>
      </c>
      <c r="B777" t="s">
        <v>719</v>
      </c>
      <c r="C777" t="s">
        <v>3424</v>
      </c>
    </row>
    <row r="778" spans="1:3" x14ac:dyDescent="0.25">
      <c r="A778">
        <v>777</v>
      </c>
      <c r="B778" t="s">
        <v>720</v>
      </c>
      <c r="C778" t="s">
        <v>3425</v>
      </c>
    </row>
    <row r="779" spans="1:3" x14ac:dyDescent="0.25">
      <c r="A779">
        <v>778</v>
      </c>
      <c r="B779" t="s">
        <v>721</v>
      </c>
      <c r="C779" t="s">
        <v>3426</v>
      </c>
    </row>
    <row r="780" spans="1:3" x14ac:dyDescent="0.25">
      <c r="A780">
        <v>779</v>
      </c>
      <c r="B780" t="s">
        <v>594</v>
      </c>
      <c r="C780" t="s">
        <v>3427</v>
      </c>
    </row>
    <row r="781" spans="1:3" x14ac:dyDescent="0.25">
      <c r="A781">
        <v>780</v>
      </c>
      <c r="B781" t="s">
        <v>595</v>
      </c>
      <c r="C781" t="s">
        <v>3428</v>
      </c>
    </row>
    <row r="782" spans="1:3" x14ac:dyDescent="0.25">
      <c r="A782">
        <v>781</v>
      </c>
      <c r="B782" t="s">
        <v>596</v>
      </c>
      <c r="C782" t="s">
        <v>3429</v>
      </c>
    </row>
    <row r="783" spans="1:3" x14ac:dyDescent="0.25">
      <c r="A783">
        <v>782</v>
      </c>
      <c r="B783" t="s">
        <v>1109</v>
      </c>
      <c r="C783" t="s">
        <v>3430</v>
      </c>
    </row>
    <row r="784" spans="1:3" x14ac:dyDescent="0.25">
      <c r="A784">
        <v>783</v>
      </c>
      <c r="B784" t="s">
        <v>1110</v>
      </c>
      <c r="C784" t="s">
        <v>3431</v>
      </c>
    </row>
    <row r="785" spans="1:3" x14ac:dyDescent="0.25">
      <c r="A785">
        <v>784</v>
      </c>
      <c r="B785" t="s">
        <v>1111</v>
      </c>
      <c r="C785" t="s">
        <v>3432</v>
      </c>
    </row>
    <row r="786" spans="1:3" x14ac:dyDescent="0.25">
      <c r="A786">
        <v>785</v>
      </c>
      <c r="B786" t="s">
        <v>952</v>
      </c>
      <c r="C786" t="s">
        <v>3433</v>
      </c>
    </row>
    <row r="787" spans="1:3" x14ac:dyDescent="0.25">
      <c r="A787">
        <v>786</v>
      </c>
      <c r="B787" t="s">
        <v>953</v>
      </c>
      <c r="C787" t="s">
        <v>3434</v>
      </c>
    </row>
    <row r="788" spans="1:3" x14ac:dyDescent="0.25">
      <c r="A788">
        <v>787</v>
      </c>
      <c r="B788" t="s">
        <v>643</v>
      </c>
      <c r="C788" t="s">
        <v>3435</v>
      </c>
    </row>
    <row r="789" spans="1:3" x14ac:dyDescent="0.25">
      <c r="A789">
        <v>788</v>
      </c>
      <c r="B789" t="s">
        <v>647</v>
      </c>
      <c r="C789" t="s">
        <v>3436</v>
      </c>
    </row>
    <row r="790" spans="1:3" x14ac:dyDescent="0.25">
      <c r="A790">
        <v>789</v>
      </c>
      <c r="B790" t="s">
        <v>775</v>
      </c>
      <c r="C790" t="s">
        <v>3437</v>
      </c>
    </row>
    <row r="791" spans="1:3" x14ac:dyDescent="0.25">
      <c r="A791">
        <v>790</v>
      </c>
      <c r="B791" t="s">
        <v>1133</v>
      </c>
      <c r="C791" t="s">
        <v>3438</v>
      </c>
    </row>
    <row r="792" spans="1:3" x14ac:dyDescent="0.25">
      <c r="A792">
        <v>791</v>
      </c>
      <c r="B792" t="s">
        <v>1134</v>
      </c>
      <c r="C792" t="s">
        <v>3439</v>
      </c>
    </row>
    <row r="793" spans="1:3" x14ac:dyDescent="0.25">
      <c r="A793">
        <v>792</v>
      </c>
      <c r="B793" t="s">
        <v>829</v>
      </c>
      <c r="C793" t="s">
        <v>3440</v>
      </c>
    </row>
    <row r="794" spans="1:3" x14ac:dyDescent="0.25">
      <c r="A794">
        <v>793</v>
      </c>
      <c r="B794" t="s">
        <v>833</v>
      </c>
      <c r="C794" t="s">
        <v>3441</v>
      </c>
    </row>
    <row r="795" spans="1:3" x14ac:dyDescent="0.25">
      <c r="A795">
        <v>794</v>
      </c>
      <c r="B795" t="s">
        <v>966</v>
      </c>
      <c r="C795" t="s">
        <v>3442</v>
      </c>
    </row>
    <row r="796" spans="1:3" x14ac:dyDescent="0.25">
      <c r="A796">
        <v>795</v>
      </c>
      <c r="B796" t="s">
        <v>1008</v>
      </c>
      <c r="C796" t="s">
        <v>3443</v>
      </c>
    </row>
    <row r="797" spans="1:3" x14ac:dyDescent="0.25">
      <c r="A797">
        <v>796</v>
      </c>
      <c r="B797" t="s">
        <v>951</v>
      </c>
      <c r="C797" t="s">
        <v>3444</v>
      </c>
    </row>
    <row r="798" spans="1:3" x14ac:dyDescent="0.25">
      <c r="A798">
        <v>797</v>
      </c>
      <c r="B798" t="s">
        <v>985</v>
      </c>
      <c r="C798" t="s">
        <v>3445</v>
      </c>
    </row>
    <row r="799" spans="1:3" x14ac:dyDescent="0.25">
      <c r="A799">
        <v>798</v>
      </c>
      <c r="B799" t="s">
        <v>986</v>
      </c>
      <c r="C799" t="s">
        <v>3446</v>
      </c>
    </row>
    <row r="800" spans="1:3" x14ac:dyDescent="0.25">
      <c r="A800">
        <v>799</v>
      </c>
      <c r="B800" t="s">
        <v>529</v>
      </c>
      <c r="C800" t="s">
        <v>3447</v>
      </c>
    </row>
    <row r="801" spans="1:3" x14ac:dyDescent="0.25">
      <c r="A801">
        <v>800</v>
      </c>
      <c r="B801" t="s">
        <v>530</v>
      </c>
      <c r="C801" t="s">
        <v>3448</v>
      </c>
    </row>
    <row r="802" spans="1:3" x14ac:dyDescent="0.25">
      <c r="A802">
        <v>801</v>
      </c>
      <c r="B802" t="s">
        <v>531</v>
      </c>
      <c r="C802" t="s">
        <v>3449</v>
      </c>
    </row>
    <row r="803" spans="1:3" x14ac:dyDescent="0.25">
      <c r="A803">
        <v>802</v>
      </c>
      <c r="B803" t="s">
        <v>533</v>
      </c>
      <c r="C803" t="s">
        <v>3450</v>
      </c>
    </row>
    <row r="804" spans="1:3" x14ac:dyDescent="0.25">
      <c r="A804">
        <v>803</v>
      </c>
      <c r="B804" t="s">
        <v>1135</v>
      </c>
      <c r="C804" t="s">
        <v>3451</v>
      </c>
    </row>
    <row r="805" spans="1:3" x14ac:dyDescent="0.25">
      <c r="A805">
        <v>804</v>
      </c>
      <c r="B805" t="s">
        <v>1136</v>
      </c>
      <c r="C805" t="s">
        <v>3452</v>
      </c>
    </row>
    <row r="806" spans="1:3" x14ac:dyDescent="0.25">
      <c r="A806">
        <v>805</v>
      </c>
      <c r="B806" t="s">
        <v>549</v>
      </c>
      <c r="C806" t="s">
        <v>3453</v>
      </c>
    </row>
    <row r="807" spans="1:3" x14ac:dyDescent="0.25">
      <c r="A807">
        <v>806</v>
      </c>
      <c r="B807" t="s">
        <v>550</v>
      </c>
      <c r="C807" t="s">
        <v>3454</v>
      </c>
    </row>
    <row r="808" spans="1:3" x14ac:dyDescent="0.25">
      <c r="A808">
        <v>807</v>
      </c>
      <c r="B808" t="s">
        <v>735</v>
      </c>
      <c r="C808" t="s">
        <v>3455</v>
      </c>
    </row>
    <row r="809" spans="1:3" x14ac:dyDescent="0.25">
      <c r="A809">
        <v>808</v>
      </c>
      <c r="B809" t="s">
        <v>736</v>
      </c>
      <c r="C809" t="s">
        <v>3456</v>
      </c>
    </row>
    <row r="810" spans="1:3" x14ac:dyDescent="0.25">
      <c r="A810">
        <v>809</v>
      </c>
      <c r="B810" t="s">
        <v>1041</v>
      </c>
      <c r="C810" t="s">
        <v>3457</v>
      </c>
    </row>
    <row r="811" spans="1:3" x14ac:dyDescent="0.25">
      <c r="A811">
        <v>810</v>
      </c>
      <c r="B811" t="s">
        <v>1042</v>
      </c>
      <c r="C811" t="s">
        <v>3458</v>
      </c>
    </row>
    <row r="812" spans="1:3" x14ac:dyDescent="0.25">
      <c r="A812">
        <v>811</v>
      </c>
      <c r="B812" t="s">
        <v>605</v>
      </c>
      <c r="C812" t="s">
        <v>3459</v>
      </c>
    </row>
    <row r="813" spans="1:3" x14ac:dyDescent="0.25">
      <c r="A813">
        <v>812</v>
      </c>
      <c r="B813" t="s">
        <v>606</v>
      </c>
      <c r="C813" t="s">
        <v>3460</v>
      </c>
    </row>
    <row r="814" spans="1:3" x14ac:dyDescent="0.25">
      <c r="A814">
        <v>813</v>
      </c>
      <c r="B814" t="s">
        <v>607</v>
      </c>
      <c r="C814" t="s">
        <v>3461</v>
      </c>
    </row>
    <row r="815" spans="1:3" x14ac:dyDescent="0.25">
      <c r="A815">
        <v>814</v>
      </c>
      <c r="B815" t="s">
        <v>608</v>
      </c>
      <c r="C815" t="s">
        <v>3462</v>
      </c>
    </row>
    <row r="816" spans="1:3" x14ac:dyDescent="0.25">
      <c r="A816">
        <v>815</v>
      </c>
      <c r="B816" t="s">
        <v>609</v>
      </c>
      <c r="C816" t="s">
        <v>3463</v>
      </c>
    </row>
    <row r="817" spans="1:3" x14ac:dyDescent="0.25">
      <c r="A817">
        <v>816</v>
      </c>
      <c r="B817" t="s">
        <v>610</v>
      </c>
      <c r="C817" t="s">
        <v>3464</v>
      </c>
    </row>
    <row r="818" spans="1:3" x14ac:dyDescent="0.25">
      <c r="A818">
        <v>817</v>
      </c>
      <c r="B818" t="s">
        <v>704</v>
      </c>
      <c r="C818" t="s">
        <v>3465</v>
      </c>
    </row>
    <row r="819" spans="1:3" x14ac:dyDescent="0.25">
      <c r="A819">
        <v>818</v>
      </c>
      <c r="B819" t="s">
        <v>705</v>
      </c>
      <c r="C819" t="s">
        <v>3466</v>
      </c>
    </row>
    <row r="820" spans="1:3" x14ac:dyDescent="0.25">
      <c r="A820">
        <v>819</v>
      </c>
      <c r="B820" t="s">
        <v>1070</v>
      </c>
      <c r="C820" t="s">
        <v>3467</v>
      </c>
    </row>
    <row r="821" spans="1:3" x14ac:dyDescent="0.25">
      <c r="A821">
        <v>820</v>
      </c>
      <c r="B821" t="s">
        <v>1071</v>
      </c>
      <c r="C821" t="s">
        <v>3468</v>
      </c>
    </row>
    <row r="822" spans="1:3" x14ac:dyDescent="0.25">
      <c r="A822">
        <v>821</v>
      </c>
      <c r="B822" t="s">
        <v>1072</v>
      </c>
      <c r="C822" t="s">
        <v>3469</v>
      </c>
    </row>
    <row r="823" spans="1:3" x14ac:dyDescent="0.25">
      <c r="A823">
        <v>822</v>
      </c>
      <c r="B823" t="s">
        <v>1075</v>
      </c>
      <c r="C823" t="s">
        <v>3470</v>
      </c>
    </row>
    <row r="824" spans="1:3" x14ac:dyDescent="0.25">
      <c r="A824">
        <v>823</v>
      </c>
      <c r="B824" t="s">
        <v>1063</v>
      </c>
      <c r="C824" t="s">
        <v>3471</v>
      </c>
    </row>
    <row r="825" spans="1:3" x14ac:dyDescent="0.25">
      <c r="A825">
        <v>824</v>
      </c>
      <c r="B825" t="s">
        <v>634</v>
      </c>
      <c r="C825" t="s">
        <v>3472</v>
      </c>
    </row>
    <row r="826" spans="1:3" x14ac:dyDescent="0.25">
      <c r="A826">
        <v>825</v>
      </c>
      <c r="B826" t="s">
        <v>635</v>
      </c>
      <c r="C826" t="s">
        <v>3473</v>
      </c>
    </row>
    <row r="827" spans="1:3" x14ac:dyDescent="0.25">
      <c r="A827">
        <v>826</v>
      </c>
      <c r="B827" t="s">
        <v>636</v>
      </c>
      <c r="C827" t="s">
        <v>3474</v>
      </c>
    </row>
    <row r="828" spans="1:3" x14ac:dyDescent="0.25">
      <c r="A828">
        <v>827</v>
      </c>
      <c r="B828" t="s">
        <v>637</v>
      </c>
      <c r="C828" t="s">
        <v>3475</v>
      </c>
    </row>
    <row r="829" spans="1:3" x14ac:dyDescent="0.25">
      <c r="A829">
        <v>828</v>
      </c>
      <c r="B829" t="s">
        <v>885</v>
      </c>
      <c r="C829" t="s">
        <v>3476</v>
      </c>
    </row>
    <row r="830" spans="1:3" x14ac:dyDescent="0.25">
      <c r="A830">
        <v>829</v>
      </c>
      <c r="B830" t="s">
        <v>902</v>
      </c>
      <c r="C830" t="s">
        <v>3477</v>
      </c>
    </row>
    <row r="831" spans="1:3" x14ac:dyDescent="0.25">
      <c r="A831">
        <v>830</v>
      </c>
      <c r="B831" t="s">
        <v>904</v>
      </c>
      <c r="C831" t="s">
        <v>3478</v>
      </c>
    </row>
    <row r="832" spans="1:3" x14ac:dyDescent="0.25">
      <c r="A832">
        <v>831</v>
      </c>
      <c r="B832" t="s">
        <v>940</v>
      </c>
      <c r="C832" t="s">
        <v>3479</v>
      </c>
    </row>
    <row r="833" spans="1:3" x14ac:dyDescent="0.25">
      <c r="A833">
        <v>832</v>
      </c>
      <c r="B833" t="s">
        <v>941</v>
      </c>
      <c r="C833" t="s">
        <v>3480</v>
      </c>
    </row>
    <row r="834" spans="1:3" x14ac:dyDescent="0.25">
      <c r="A834">
        <v>833</v>
      </c>
      <c r="B834" t="s">
        <v>580</v>
      </c>
      <c r="C834" t="s">
        <v>3481</v>
      </c>
    </row>
    <row r="835" spans="1:3" x14ac:dyDescent="0.25">
      <c r="A835">
        <v>834</v>
      </c>
      <c r="B835" t="s">
        <v>582</v>
      </c>
      <c r="C835" t="s">
        <v>3482</v>
      </c>
    </row>
    <row r="836" spans="1:3" x14ac:dyDescent="0.25">
      <c r="A836">
        <v>835</v>
      </c>
      <c r="B836" t="s">
        <v>581</v>
      </c>
      <c r="C836" t="s">
        <v>3483</v>
      </c>
    </row>
    <row r="837" spans="1:3" x14ac:dyDescent="0.25">
      <c r="A837">
        <v>836</v>
      </c>
      <c r="B837" t="s">
        <v>684</v>
      </c>
      <c r="C837" t="s">
        <v>3484</v>
      </c>
    </row>
    <row r="838" spans="1:3" x14ac:dyDescent="0.25">
      <c r="A838">
        <v>837</v>
      </c>
      <c r="B838" t="s">
        <v>685</v>
      </c>
      <c r="C838" t="s">
        <v>3485</v>
      </c>
    </row>
    <row r="839" spans="1:3" x14ac:dyDescent="0.25">
      <c r="A839">
        <v>838</v>
      </c>
      <c r="B839" t="s">
        <v>694</v>
      </c>
      <c r="C839" t="s">
        <v>3486</v>
      </c>
    </row>
    <row r="840" spans="1:3" x14ac:dyDescent="0.25">
      <c r="A840">
        <v>839</v>
      </c>
      <c r="B840" t="s">
        <v>695</v>
      </c>
      <c r="C840" t="s">
        <v>3487</v>
      </c>
    </row>
    <row r="841" spans="1:3" x14ac:dyDescent="0.25">
      <c r="A841">
        <v>840</v>
      </c>
      <c r="B841" t="s">
        <v>997</v>
      </c>
      <c r="C841" t="s">
        <v>3488</v>
      </c>
    </row>
    <row r="842" spans="1:3" x14ac:dyDescent="0.25">
      <c r="A842">
        <v>841</v>
      </c>
      <c r="B842" t="s">
        <v>998</v>
      </c>
      <c r="C842" t="s">
        <v>3489</v>
      </c>
    </row>
    <row r="843" spans="1:3" x14ac:dyDescent="0.25">
      <c r="A843">
        <v>842</v>
      </c>
      <c r="B843" t="s">
        <v>1061</v>
      </c>
      <c r="C843" t="s">
        <v>3490</v>
      </c>
    </row>
    <row r="844" spans="1:3" x14ac:dyDescent="0.25">
      <c r="A844">
        <v>843</v>
      </c>
      <c r="B844" t="s">
        <v>545</v>
      </c>
      <c r="C844" t="s">
        <v>3491</v>
      </c>
    </row>
    <row r="845" spans="1:3" x14ac:dyDescent="0.25">
      <c r="A845">
        <v>844</v>
      </c>
      <c r="B845" t="s">
        <v>546</v>
      </c>
      <c r="C845" t="s">
        <v>3492</v>
      </c>
    </row>
    <row r="846" spans="1:3" x14ac:dyDescent="0.25">
      <c r="A846">
        <v>845</v>
      </c>
      <c r="B846" t="s">
        <v>547</v>
      </c>
      <c r="C846" t="s">
        <v>3493</v>
      </c>
    </row>
    <row r="847" spans="1:3" x14ac:dyDescent="0.25">
      <c r="A847">
        <v>846</v>
      </c>
      <c r="B847" t="s">
        <v>548</v>
      </c>
      <c r="C847" t="s">
        <v>3494</v>
      </c>
    </row>
    <row r="848" spans="1:3" x14ac:dyDescent="0.25">
      <c r="A848">
        <v>847</v>
      </c>
      <c r="B848" t="s">
        <v>589</v>
      </c>
      <c r="C848" t="s">
        <v>3495</v>
      </c>
    </row>
    <row r="849" spans="1:3" x14ac:dyDescent="0.25">
      <c r="A849">
        <v>848</v>
      </c>
      <c r="B849" t="s">
        <v>593</v>
      </c>
      <c r="C849" t="s">
        <v>3496</v>
      </c>
    </row>
    <row r="850" spans="1:3" x14ac:dyDescent="0.25">
      <c r="A850">
        <v>849</v>
      </c>
      <c r="B850" t="s">
        <v>600</v>
      </c>
      <c r="C850" t="s">
        <v>3497</v>
      </c>
    </row>
    <row r="851" spans="1:3" x14ac:dyDescent="0.25">
      <c r="A851">
        <v>850</v>
      </c>
      <c r="B851" t="s">
        <v>604</v>
      </c>
      <c r="C851" t="s">
        <v>3498</v>
      </c>
    </row>
    <row r="852" spans="1:3" x14ac:dyDescent="0.25">
      <c r="A852">
        <v>851</v>
      </c>
      <c r="B852" t="s">
        <v>638</v>
      </c>
      <c r="C852" t="s">
        <v>3499</v>
      </c>
    </row>
    <row r="853" spans="1:3" x14ac:dyDescent="0.25">
      <c r="A853">
        <v>852</v>
      </c>
      <c r="B853" t="s">
        <v>883</v>
      </c>
      <c r="C853" t="s">
        <v>3500</v>
      </c>
    </row>
    <row r="854" spans="1:3" x14ac:dyDescent="0.25">
      <c r="A854">
        <v>853</v>
      </c>
      <c r="B854" t="s">
        <v>884</v>
      </c>
      <c r="C854" t="s">
        <v>3501</v>
      </c>
    </row>
    <row r="855" spans="1:3" x14ac:dyDescent="0.25">
      <c r="A855">
        <v>854</v>
      </c>
      <c r="B855" t="s">
        <v>898</v>
      </c>
      <c r="C855" t="s">
        <v>3502</v>
      </c>
    </row>
    <row r="856" spans="1:3" x14ac:dyDescent="0.25">
      <c r="A856">
        <v>855</v>
      </c>
      <c r="B856" t="s">
        <v>686</v>
      </c>
      <c r="C856" t="s">
        <v>3503</v>
      </c>
    </row>
    <row r="857" spans="1:3" x14ac:dyDescent="0.25">
      <c r="A857">
        <v>856</v>
      </c>
      <c r="B857" t="s">
        <v>687</v>
      </c>
      <c r="C857" t="s">
        <v>3504</v>
      </c>
    </row>
    <row r="858" spans="1:3" x14ac:dyDescent="0.25">
      <c r="A858">
        <v>857</v>
      </c>
      <c r="B858" t="s">
        <v>688</v>
      </c>
      <c r="C858" t="s">
        <v>3505</v>
      </c>
    </row>
    <row r="859" spans="1:3" x14ac:dyDescent="0.25">
      <c r="A859">
        <v>858</v>
      </c>
      <c r="B859" t="s">
        <v>834</v>
      </c>
      <c r="C859" t="s">
        <v>3506</v>
      </c>
    </row>
    <row r="860" spans="1:3" x14ac:dyDescent="0.25">
      <c r="A860">
        <v>859</v>
      </c>
      <c r="B860" t="s">
        <v>835</v>
      </c>
      <c r="C860" t="s">
        <v>3507</v>
      </c>
    </row>
    <row r="861" spans="1:3" x14ac:dyDescent="0.25">
      <c r="A861">
        <v>860</v>
      </c>
      <c r="B861" t="s">
        <v>583</v>
      </c>
      <c r="C861" t="s">
        <v>3508</v>
      </c>
    </row>
    <row r="862" spans="1:3" x14ac:dyDescent="0.25">
      <c r="A862">
        <v>861</v>
      </c>
      <c r="B862" t="s">
        <v>584</v>
      </c>
      <c r="C862" t="s">
        <v>3509</v>
      </c>
    </row>
    <row r="863" spans="1:3" x14ac:dyDescent="0.25">
      <c r="A863">
        <v>862</v>
      </c>
      <c r="B863" t="s">
        <v>585</v>
      </c>
      <c r="C863" t="s">
        <v>3510</v>
      </c>
    </row>
    <row r="864" spans="1:3" x14ac:dyDescent="0.25">
      <c r="A864">
        <v>863</v>
      </c>
      <c r="B864" t="s">
        <v>586</v>
      </c>
      <c r="C864" t="s">
        <v>3511</v>
      </c>
    </row>
    <row r="865" spans="1:3" x14ac:dyDescent="0.25">
      <c r="A865">
        <v>864</v>
      </c>
      <c r="B865" t="s">
        <v>774</v>
      </c>
      <c r="C865" t="s">
        <v>3512</v>
      </c>
    </row>
    <row r="866" spans="1:3" x14ac:dyDescent="0.25">
      <c r="A866">
        <v>865</v>
      </c>
      <c r="B866" t="s">
        <v>836</v>
      </c>
      <c r="C866" t="s">
        <v>3513</v>
      </c>
    </row>
    <row r="867" spans="1:3" x14ac:dyDescent="0.25">
      <c r="A867">
        <v>866</v>
      </c>
      <c r="B867" t="s">
        <v>837</v>
      </c>
      <c r="C867" t="s">
        <v>3514</v>
      </c>
    </row>
    <row r="868" spans="1:3" x14ac:dyDescent="0.25">
      <c r="A868">
        <v>867</v>
      </c>
      <c r="B868" t="s">
        <v>906</v>
      </c>
      <c r="C868" t="s">
        <v>3515</v>
      </c>
    </row>
    <row r="869" spans="1:3" x14ac:dyDescent="0.25">
      <c r="A869">
        <v>868</v>
      </c>
      <c r="B869" t="s">
        <v>912</v>
      </c>
      <c r="C869" t="s">
        <v>3516</v>
      </c>
    </row>
    <row r="870" spans="1:3" x14ac:dyDescent="0.25">
      <c r="A870">
        <v>869</v>
      </c>
      <c r="B870" t="s">
        <v>551</v>
      </c>
      <c r="C870" t="s">
        <v>3517</v>
      </c>
    </row>
    <row r="871" spans="1:3" x14ac:dyDescent="0.25">
      <c r="A871">
        <v>870</v>
      </c>
      <c r="B871" t="s">
        <v>974</v>
      </c>
      <c r="C871" t="s">
        <v>3518</v>
      </c>
    </row>
    <row r="872" spans="1:3" x14ac:dyDescent="0.25">
      <c r="A872">
        <v>871</v>
      </c>
      <c r="B872" t="s">
        <v>909</v>
      </c>
      <c r="C872" t="s">
        <v>3519</v>
      </c>
    </row>
    <row r="873" spans="1:3" x14ac:dyDescent="0.25">
      <c r="A873">
        <v>872</v>
      </c>
      <c r="B873" t="s">
        <v>978</v>
      </c>
      <c r="C873" t="s">
        <v>3520</v>
      </c>
    </row>
    <row r="874" spans="1:3" x14ac:dyDescent="0.25">
      <c r="A874">
        <v>873</v>
      </c>
      <c r="B874" t="s">
        <v>979</v>
      </c>
      <c r="C874" t="s">
        <v>3521</v>
      </c>
    </row>
    <row r="875" spans="1:3" x14ac:dyDescent="0.25">
      <c r="A875">
        <v>874</v>
      </c>
      <c r="B875" t="s">
        <v>980</v>
      </c>
      <c r="C875" t="s">
        <v>3522</v>
      </c>
    </row>
    <row r="876" spans="1:3" x14ac:dyDescent="0.25">
      <c r="A876">
        <v>875</v>
      </c>
      <c r="B876" t="s">
        <v>984</v>
      </c>
      <c r="C876" t="s">
        <v>3523</v>
      </c>
    </row>
    <row r="877" spans="1:3" x14ac:dyDescent="0.25">
      <c r="A877">
        <v>876</v>
      </c>
      <c r="B877" t="s">
        <v>1062</v>
      </c>
      <c r="C877" t="s">
        <v>3524</v>
      </c>
    </row>
    <row r="878" spans="1:3" x14ac:dyDescent="0.25">
      <c r="A878">
        <v>877</v>
      </c>
      <c r="B878" t="s">
        <v>992</v>
      </c>
      <c r="C878" t="s">
        <v>3525</v>
      </c>
    </row>
    <row r="879" spans="1:3" x14ac:dyDescent="0.25">
      <c r="A879">
        <v>878</v>
      </c>
      <c r="B879" t="s">
        <v>782</v>
      </c>
      <c r="C879" t="s">
        <v>3526</v>
      </c>
    </row>
    <row r="880" spans="1:3" x14ac:dyDescent="0.25">
      <c r="A880">
        <v>879</v>
      </c>
      <c r="B880" t="s">
        <v>783</v>
      </c>
      <c r="C880" t="s">
        <v>3527</v>
      </c>
    </row>
    <row r="881" spans="1:3" x14ac:dyDescent="0.25">
      <c r="A881">
        <v>880</v>
      </c>
      <c r="B881" t="s">
        <v>786</v>
      </c>
      <c r="C881" t="s">
        <v>3528</v>
      </c>
    </row>
    <row r="882" spans="1:3" x14ac:dyDescent="0.25">
      <c r="A882">
        <v>881</v>
      </c>
      <c r="B882" t="s">
        <v>787</v>
      </c>
      <c r="C882" t="s">
        <v>3529</v>
      </c>
    </row>
    <row r="883" spans="1:3" x14ac:dyDescent="0.25">
      <c r="A883">
        <v>882</v>
      </c>
      <c r="B883" t="s">
        <v>788</v>
      </c>
      <c r="C883" t="s">
        <v>3530</v>
      </c>
    </row>
    <row r="884" spans="1:3" x14ac:dyDescent="0.25">
      <c r="A884">
        <v>883</v>
      </c>
      <c r="B884" t="s">
        <v>644</v>
      </c>
      <c r="C884" t="s">
        <v>3531</v>
      </c>
    </row>
    <row r="885" spans="1:3" x14ac:dyDescent="0.25">
      <c r="A885">
        <v>884</v>
      </c>
      <c r="B885" t="s">
        <v>645</v>
      </c>
      <c r="C885" t="s">
        <v>3532</v>
      </c>
    </row>
    <row r="886" spans="1:3" x14ac:dyDescent="0.25">
      <c r="A886">
        <v>885</v>
      </c>
      <c r="B886" t="s">
        <v>646</v>
      </c>
      <c r="C886" t="s">
        <v>3533</v>
      </c>
    </row>
    <row r="887" spans="1:3" x14ac:dyDescent="0.25">
      <c r="A887">
        <v>886</v>
      </c>
      <c r="B887" t="s">
        <v>651</v>
      </c>
      <c r="C887" t="s">
        <v>3534</v>
      </c>
    </row>
    <row r="888" spans="1:3" x14ac:dyDescent="0.25">
      <c r="A888">
        <v>887</v>
      </c>
      <c r="B888" t="s">
        <v>652</v>
      </c>
      <c r="C888" t="s">
        <v>3535</v>
      </c>
    </row>
    <row r="889" spans="1:3" x14ac:dyDescent="0.25">
      <c r="A889">
        <v>888</v>
      </c>
      <c r="B889" t="s">
        <v>662</v>
      </c>
      <c r="C889" t="s">
        <v>3536</v>
      </c>
    </row>
    <row r="890" spans="1:3" x14ac:dyDescent="0.25">
      <c r="A890">
        <v>889</v>
      </c>
      <c r="B890" t="s">
        <v>927</v>
      </c>
      <c r="C890" t="s">
        <v>3537</v>
      </c>
    </row>
    <row r="891" spans="1:3" x14ac:dyDescent="0.25">
      <c r="A891">
        <v>890</v>
      </c>
      <c r="B891" t="s">
        <v>928</v>
      </c>
      <c r="C891" t="s">
        <v>3538</v>
      </c>
    </row>
    <row r="892" spans="1:3" x14ac:dyDescent="0.25">
      <c r="A892">
        <v>891</v>
      </c>
      <c r="B892" t="s">
        <v>628</v>
      </c>
      <c r="C892" t="s">
        <v>3539</v>
      </c>
    </row>
    <row r="893" spans="1:3" x14ac:dyDescent="0.25">
      <c r="A893">
        <v>892</v>
      </c>
      <c r="B893" t="s">
        <v>629</v>
      </c>
      <c r="C893" t="s">
        <v>3540</v>
      </c>
    </row>
    <row r="894" spans="1:3" x14ac:dyDescent="0.25">
      <c r="A894">
        <v>893</v>
      </c>
      <c r="B894" t="s">
        <v>630</v>
      </c>
      <c r="C894" t="s">
        <v>3541</v>
      </c>
    </row>
    <row r="895" spans="1:3" x14ac:dyDescent="0.25">
      <c r="A895">
        <v>894</v>
      </c>
      <c r="B895" t="s">
        <v>631</v>
      </c>
      <c r="C895" t="s">
        <v>3542</v>
      </c>
    </row>
    <row r="896" spans="1:3" x14ac:dyDescent="0.25">
      <c r="A896">
        <v>895</v>
      </c>
      <c r="B896" t="s">
        <v>632</v>
      </c>
      <c r="C896" t="s">
        <v>3543</v>
      </c>
    </row>
    <row r="897" spans="1:3" x14ac:dyDescent="0.25">
      <c r="A897">
        <v>896</v>
      </c>
      <c r="B897" t="s">
        <v>663</v>
      </c>
      <c r="C897" t="s">
        <v>3544</v>
      </c>
    </row>
    <row r="898" spans="1:3" x14ac:dyDescent="0.25">
      <c r="A898">
        <v>897</v>
      </c>
      <c r="B898" t="s">
        <v>664</v>
      </c>
      <c r="C898" t="s">
        <v>3545</v>
      </c>
    </row>
    <row r="899" spans="1:3" x14ac:dyDescent="0.25">
      <c r="A899">
        <v>898</v>
      </c>
      <c r="B899" t="s">
        <v>697</v>
      </c>
      <c r="C899" t="s">
        <v>3546</v>
      </c>
    </row>
    <row r="900" spans="1:3" x14ac:dyDescent="0.25">
      <c r="A900">
        <v>899</v>
      </c>
      <c r="B900" t="s">
        <v>698</v>
      </c>
      <c r="C900" t="s">
        <v>3547</v>
      </c>
    </row>
    <row r="901" spans="1:3" x14ac:dyDescent="0.25">
      <c r="A901">
        <v>900</v>
      </c>
      <c r="B901" t="s">
        <v>759</v>
      </c>
      <c r="C901" t="s">
        <v>3548</v>
      </c>
    </row>
    <row r="902" spans="1:3" x14ac:dyDescent="0.25">
      <c r="A902">
        <v>901</v>
      </c>
      <c r="B902" t="s">
        <v>763</v>
      </c>
      <c r="C902" t="s">
        <v>3549</v>
      </c>
    </row>
    <row r="903" spans="1:3" x14ac:dyDescent="0.25">
      <c r="A903">
        <v>902</v>
      </c>
      <c r="B903" t="s">
        <v>764</v>
      </c>
      <c r="C903" t="s">
        <v>3550</v>
      </c>
    </row>
    <row r="904" spans="1:3" x14ac:dyDescent="0.25">
      <c r="A904">
        <v>903</v>
      </c>
      <c r="B904" t="s">
        <v>765</v>
      </c>
      <c r="C904" t="s">
        <v>3551</v>
      </c>
    </row>
    <row r="905" spans="1:3" x14ac:dyDescent="0.25">
      <c r="A905">
        <v>904</v>
      </c>
      <c r="B905" t="s">
        <v>1131</v>
      </c>
      <c r="C905" t="s">
        <v>3552</v>
      </c>
    </row>
    <row r="906" spans="1:3" x14ac:dyDescent="0.25">
      <c r="A906">
        <v>905</v>
      </c>
      <c r="B906" t="s">
        <v>1132</v>
      </c>
      <c r="C906" t="s">
        <v>3553</v>
      </c>
    </row>
    <row r="907" spans="1:3" x14ac:dyDescent="0.25">
      <c r="A907">
        <v>906</v>
      </c>
      <c r="B907" t="s">
        <v>1141</v>
      </c>
      <c r="C907" t="s">
        <v>3554</v>
      </c>
    </row>
    <row r="908" spans="1:3" x14ac:dyDescent="0.25">
      <c r="A908">
        <v>907</v>
      </c>
      <c r="B908" t="s">
        <v>1142</v>
      </c>
      <c r="C908" t="s">
        <v>3555</v>
      </c>
    </row>
    <row r="909" spans="1:3" x14ac:dyDescent="0.25">
      <c r="A909">
        <v>908</v>
      </c>
      <c r="B909" t="s">
        <v>1143</v>
      </c>
      <c r="C909" t="s">
        <v>3556</v>
      </c>
    </row>
    <row r="910" spans="1:3" x14ac:dyDescent="0.25">
      <c r="A910">
        <v>909</v>
      </c>
      <c r="B910" t="s">
        <v>707</v>
      </c>
      <c r="C910" t="s">
        <v>3557</v>
      </c>
    </row>
    <row r="911" spans="1:3" x14ac:dyDescent="0.25">
      <c r="A911">
        <v>910</v>
      </c>
      <c r="B911" t="s">
        <v>708</v>
      </c>
      <c r="C911" t="s">
        <v>3558</v>
      </c>
    </row>
    <row r="912" spans="1:3" x14ac:dyDescent="0.25">
      <c r="A912">
        <v>911</v>
      </c>
      <c r="B912" t="s">
        <v>709</v>
      </c>
      <c r="C912" t="s">
        <v>3559</v>
      </c>
    </row>
    <row r="913" spans="1:3" x14ac:dyDescent="0.25">
      <c r="A913">
        <v>912</v>
      </c>
      <c r="B913" t="s">
        <v>710</v>
      </c>
      <c r="C913" t="s">
        <v>3560</v>
      </c>
    </row>
    <row r="914" spans="1:3" x14ac:dyDescent="0.25">
      <c r="A914">
        <v>913</v>
      </c>
      <c r="B914" t="s">
        <v>711</v>
      </c>
      <c r="C914" t="s">
        <v>3561</v>
      </c>
    </row>
    <row r="915" spans="1:3" x14ac:dyDescent="0.25">
      <c r="A915">
        <v>914</v>
      </c>
      <c r="B915" t="s">
        <v>913</v>
      </c>
      <c r="C915" t="s">
        <v>3562</v>
      </c>
    </row>
    <row r="916" spans="1:3" x14ac:dyDescent="0.25">
      <c r="A916">
        <v>915</v>
      </c>
      <c r="B916" t="s">
        <v>1009</v>
      </c>
      <c r="C916" t="s">
        <v>3563</v>
      </c>
    </row>
    <row r="917" spans="1:3" x14ac:dyDescent="0.25">
      <c r="A917">
        <v>916</v>
      </c>
      <c r="B917" t="s">
        <v>1010</v>
      </c>
      <c r="C917" t="s">
        <v>3564</v>
      </c>
    </row>
    <row r="918" spans="1:3" x14ac:dyDescent="0.25">
      <c r="A918">
        <v>917</v>
      </c>
      <c r="B918" t="s">
        <v>766</v>
      </c>
      <c r="C918" t="s">
        <v>3565</v>
      </c>
    </row>
    <row r="919" spans="1:3" x14ac:dyDescent="0.25">
      <c r="A919">
        <v>918</v>
      </c>
      <c r="B919" t="s">
        <v>805</v>
      </c>
      <c r="C919" t="s">
        <v>3566</v>
      </c>
    </row>
    <row r="920" spans="1:3" x14ac:dyDescent="0.25">
      <c r="A920">
        <v>919</v>
      </c>
      <c r="B920" t="s">
        <v>820</v>
      </c>
      <c r="C920" t="s">
        <v>3567</v>
      </c>
    </row>
    <row r="921" spans="1:3" x14ac:dyDescent="0.25">
      <c r="A921">
        <v>920</v>
      </c>
      <c r="B921" t="s">
        <v>821</v>
      </c>
      <c r="C921" t="s">
        <v>3568</v>
      </c>
    </row>
    <row r="922" spans="1:3" x14ac:dyDescent="0.25">
      <c r="A922">
        <v>921</v>
      </c>
      <c r="B922" t="s">
        <v>795</v>
      </c>
      <c r="C922" t="s">
        <v>3569</v>
      </c>
    </row>
    <row r="923" spans="1:3" x14ac:dyDescent="0.25">
      <c r="A923">
        <v>922</v>
      </c>
      <c r="B923" t="s">
        <v>879</v>
      </c>
      <c r="C923" t="s">
        <v>3570</v>
      </c>
    </row>
    <row r="924" spans="1:3" x14ac:dyDescent="0.25">
      <c r="A924">
        <v>923</v>
      </c>
      <c r="B924" t="s">
        <v>963</v>
      </c>
      <c r="C924" t="s">
        <v>3571</v>
      </c>
    </row>
    <row r="925" spans="1:3" x14ac:dyDescent="0.25">
      <c r="A925">
        <v>924</v>
      </c>
      <c r="B925" t="s">
        <v>981</v>
      </c>
      <c r="C925" t="s">
        <v>3572</v>
      </c>
    </row>
    <row r="926" spans="1:3" x14ac:dyDescent="0.25">
      <c r="A926">
        <v>925</v>
      </c>
      <c r="B926" t="s">
        <v>552</v>
      </c>
      <c r="C926" t="s">
        <v>3573</v>
      </c>
    </row>
    <row r="927" spans="1:3" x14ac:dyDescent="0.25">
      <c r="A927">
        <v>926</v>
      </c>
      <c r="B927" t="s">
        <v>553</v>
      </c>
      <c r="C927" t="s">
        <v>3574</v>
      </c>
    </row>
    <row r="928" spans="1:3" x14ac:dyDescent="0.25">
      <c r="A928">
        <v>927</v>
      </c>
      <c r="B928" t="s">
        <v>886</v>
      </c>
      <c r="C928" t="s">
        <v>3575</v>
      </c>
    </row>
    <row r="929" spans="1:3" x14ac:dyDescent="0.25">
      <c r="A929">
        <v>928</v>
      </c>
      <c r="B929" t="s">
        <v>887</v>
      </c>
      <c r="C929" t="s">
        <v>3576</v>
      </c>
    </row>
    <row r="930" spans="1:3" x14ac:dyDescent="0.25">
      <c r="A930">
        <v>929</v>
      </c>
      <c r="B930" t="s">
        <v>888</v>
      </c>
      <c r="C930" t="s">
        <v>3577</v>
      </c>
    </row>
    <row r="931" spans="1:3" x14ac:dyDescent="0.25">
      <c r="A931">
        <v>930</v>
      </c>
      <c r="B931" t="s">
        <v>889</v>
      </c>
      <c r="C931" t="s">
        <v>3578</v>
      </c>
    </row>
    <row r="932" spans="1:3" x14ac:dyDescent="0.25">
      <c r="A932">
        <v>931</v>
      </c>
      <c r="B932" t="s">
        <v>890</v>
      </c>
      <c r="C932" t="s">
        <v>3579</v>
      </c>
    </row>
    <row r="933" spans="1:3" x14ac:dyDescent="0.25">
      <c r="A933">
        <v>932</v>
      </c>
      <c r="B933" t="s">
        <v>891</v>
      </c>
      <c r="C933" t="s">
        <v>3580</v>
      </c>
    </row>
    <row r="934" spans="1:3" x14ac:dyDescent="0.25">
      <c r="A934">
        <v>933</v>
      </c>
      <c r="B934" t="s">
        <v>894</v>
      </c>
      <c r="C934" t="s">
        <v>3581</v>
      </c>
    </row>
    <row r="935" spans="1:3" x14ac:dyDescent="0.25">
      <c r="A935">
        <v>934</v>
      </c>
      <c r="B935" t="s">
        <v>895</v>
      </c>
      <c r="C935" t="s">
        <v>3582</v>
      </c>
    </row>
    <row r="936" spans="1:3" x14ac:dyDescent="0.25">
      <c r="A936">
        <v>935</v>
      </c>
      <c r="B936" t="s">
        <v>954</v>
      </c>
      <c r="C936" t="s">
        <v>3583</v>
      </c>
    </row>
    <row r="937" spans="1:3" x14ac:dyDescent="0.25">
      <c r="A937">
        <v>936</v>
      </c>
      <c r="B937" t="s">
        <v>955</v>
      </c>
      <c r="C937" t="s">
        <v>3584</v>
      </c>
    </row>
    <row r="938" spans="1:3" x14ac:dyDescent="0.25">
      <c r="A938">
        <v>937</v>
      </c>
      <c r="B938" t="s">
        <v>961</v>
      </c>
      <c r="C938" t="s">
        <v>3585</v>
      </c>
    </row>
    <row r="939" spans="1:3" x14ac:dyDescent="0.25">
      <c r="A939">
        <v>938</v>
      </c>
      <c r="B939" t="s">
        <v>962</v>
      </c>
      <c r="C939" t="s">
        <v>3586</v>
      </c>
    </row>
    <row r="940" spans="1:3" x14ac:dyDescent="0.25">
      <c r="A940">
        <v>939</v>
      </c>
      <c r="B940" t="s">
        <v>1091</v>
      </c>
      <c r="C940" t="s">
        <v>3587</v>
      </c>
    </row>
    <row r="941" spans="1:3" x14ac:dyDescent="0.25">
      <c r="A941">
        <v>940</v>
      </c>
      <c r="B941" t="s">
        <v>1092</v>
      </c>
      <c r="C941" t="s">
        <v>3588</v>
      </c>
    </row>
    <row r="942" spans="1:3" x14ac:dyDescent="0.25">
      <c r="A942">
        <v>941</v>
      </c>
      <c r="B942" t="s">
        <v>1095</v>
      </c>
      <c r="C942" t="s">
        <v>3589</v>
      </c>
    </row>
    <row r="943" spans="1:3" x14ac:dyDescent="0.25">
      <c r="A943">
        <v>942</v>
      </c>
      <c r="B943" t="s">
        <v>1096</v>
      </c>
      <c r="C943" t="s">
        <v>3590</v>
      </c>
    </row>
    <row r="944" spans="1:3" x14ac:dyDescent="0.25">
      <c r="A944">
        <v>943</v>
      </c>
      <c r="B944" t="s">
        <v>1013</v>
      </c>
      <c r="C944" t="s">
        <v>3591</v>
      </c>
    </row>
    <row r="945" spans="1:3" x14ac:dyDescent="0.25">
      <c r="A945">
        <v>944</v>
      </c>
      <c r="B945" t="s">
        <v>1018</v>
      </c>
      <c r="C945" t="s">
        <v>3592</v>
      </c>
    </row>
    <row r="946" spans="1:3" x14ac:dyDescent="0.25">
      <c r="A946">
        <v>945</v>
      </c>
      <c r="B946" t="s">
        <v>1019</v>
      </c>
      <c r="C946" t="s">
        <v>3593</v>
      </c>
    </row>
    <row r="947" spans="1:3" x14ac:dyDescent="0.25">
      <c r="A947">
        <v>946</v>
      </c>
      <c r="B947" t="s">
        <v>1022</v>
      </c>
      <c r="C947" t="s">
        <v>3594</v>
      </c>
    </row>
    <row r="948" spans="1:3" x14ac:dyDescent="0.25">
      <c r="A948">
        <v>947</v>
      </c>
      <c r="B948" t="s">
        <v>1024</v>
      </c>
      <c r="C948" t="s">
        <v>3595</v>
      </c>
    </row>
    <row r="949" spans="1:3" x14ac:dyDescent="0.25">
      <c r="A949">
        <v>948</v>
      </c>
      <c r="B949" t="s">
        <v>1025</v>
      </c>
      <c r="C949" t="s">
        <v>3596</v>
      </c>
    </row>
    <row r="950" spans="1:3" x14ac:dyDescent="0.25">
      <c r="A950">
        <v>949</v>
      </c>
      <c r="B950" t="s">
        <v>967</v>
      </c>
      <c r="C950" t="s">
        <v>3597</v>
      </c>
    </row>
    <row r="951" spans="1:3" x14ac:dyDescent="0.25">
      <c r="A951">
        <v>950</v>
      </c>
      <c r="B951" t="s">
        <v>968</v>
      </c>
      <c r="C951" t="s">
        <v>3598</v>
      </c>
    </row>
    <row r="952" spans="1:3" x14ac:dyDescent="0.25">
      <c r="A952">
        <v>951</v>
      </c>
      <c r="B952" t="s">
        <v>554</v>
      </c>
      <c r="C952" t="s">
        <v>3599</v>
      </c>
    </row>
    <row r="953" spans="1:3" x14ac:dyDescent="0.25">
      <c r="A953">
        <v>952</v>
      </c>
      <c r="B953" t="s">
        <v>555</v>
      </c>
      <c r="C953" t="s">
        <v>3600</v>
      </c>
    </row>
    <row r="954" spans="1:3" x14ac:dyDescent="0.25">
      <c r="A954">
        <v>953</v>
      </c>
      <c r="B954" t="s">
        <v>1029</v>
      </c>
      <c r="C954" t="s">
        <v>3601</v>
      </c>
    </row>
    <row r="955" spans="1:3" x14ac:dyDescent="0.25">
      <c r="A955">
        <v>954</v>
      </c>
      <c r="B955" t="s">
        <v>1030</v>
      </c>
      <c r="C955" t="s">
        <v>3602</v>
      </c>
    </row>
    <row r="956" spans="1:3" x14ac:dyDescent="0.25">
      <c r="A956">
        <v>955</v>
      </c>
      <c r="B956" t="s">
        <v>812</v>
      </c>
      <c r="C956" t="s">
        <v>3603</v>
      </c>
    </row>
    <row r="957" spans="1:3" x14ac:dyDescent="0.25">
      <c r="A957">
        <v>956</v>
      </c>
      <c r="B957" t="s">
        <v>813</v>
      </c>
      <c r="C957" t="s">
        <v>3604</v>
      </c>
    </row>
    <row r="958" spans="1:3" x14ac:dyDescent="0.25">
      <c r="A958">
        <v>957</v>
      </c>
      <c r="B958" t="s">
        <v>814</v>
      </c>
      <c r="C958" t="s">
        <v>3605</v>
      </c>
    </row>
    <row r="959" spans="1:3" x14ac:dyDescent="0.25">
      <c r="A959">
        <v>958</v>
      </c>
      <c r="B959" t="s">
        <v>538</v>
      </c>
      <c r="C959" t="s">
        <v>3606</v>
      </c>
    </row>
    <row r="960" spans="1:3" x14ac:dyDescent="0.25">
      <c r="A960">
        <v>959</v>
      </c>
      <c r="B960" t="s">
        <v>691</v>
      </c>
      <c r="C960" t="s">
        <v>3607</v>
      </c>
    </row>
    <row r="961" spans="1:3" x14ac:dyDescent="0.25">
      <c r="A961">
        <v>960</v>
      </c>
      <c r="B961" t="s">
        <v>692</v>
      </c>
      <c r="C961" t="s">
        <v>3608</v>
      </c>
    </row>
    <row r="962" spans="1:3" x14ac:dyDescent="0.25">
      <c r="A962">
        <v>961</v>
      </c>
      <c r="B962" t="s">
        <v>693</v>
      </c>
      <c r="C962" t="s">
        <v>3609</v>
      </c>
    </row>
    <row r="963" spans="1:3" x14ac:dyDescent="0.25">
      <c r="A963">
        <v>962</v>
      </c>
      <c r="B963" t="s">
        <v>1139</v>
      </c>
      <c r="C963" t="s">
        <v>3610</v>
      </c>
    </row>
    <row r="964" spans="1:3" x14ac:dyDescent="0.25">
      <c r="A964">
        <v>963</v>
      </c>
      <c r="B964" t="s">
        <v>1140</v>
      </c>
      <c r="C964" t="s">
        <v>3611</v>
      </c>
    </row>
    <row r="965" spans="1:3" x14ac:dyDescent="0.25">
      <c r="A965">
        <v>964</v>
      </c>
      <c r="B965" t="s">
        <v>806</v>
      </c>
      <c r="C965" t="s">
        <v>3612</v>
      </c>
    </row>
    <row r="966" spans="1:3" x14ac:dyDescent="0.25">
      <c r="A966">
        <v>965</v>
      </c>
      <c r="B966" t="s">
        <v>807</v>
      </c>
      <c r="C966" t="s">
        <v>3613</v>
      </c>
    </row>
    <row r="967" spans="1:3" x14ac:dyDescent="0.25">
      <c r="A967">
        <v>966</v>
      </c>
      <c r="B967" t="s">
        <v>752</v>
      </c>
      <c r="C967" t="s">
        <v>3614</v>
      </c>
    </row>
    <row r="968" spans="1:3" x14ac:dyDescent="0.25">
      <c r="A968">
        <v>967</v>
      </c>
      <c r="B968" t="s">
        <v>816</v>
      </c>
      <c r="C968" t="s">
        <v>3615</v>
      </c>
    </row>
    <row r="969" spans="1:3" x14ac:dyDescent="0.25">
      <c r="A969">
        <v>968</v>
      </c>
      <c r="B969" t="s">
        <v>819</v>
      </c>
      <c r="C969" t="s">
        <v>3616</v>
      </c>
    </row>
    <row r="970" spans="1:3" x14ac:dyDescent="0.25">
      <c r="A970">
        <v>969</v>
      </c>
      <c r="B970" t="s">
        <v>918</v>
      </c>
      <c r="C970" t="s">
        <v>3617</v>
      </c>
    </row>
    <row r="971" spans="1:3" x14ac:dyDescent="0.25">
      <c r="A971">
        <v>970</v>
      </c>
      <c r="B971" t="s">
        <v>1064</v>
      </c>
      <c r="C971" t="s">
        <v>3618</v>
      </c>
    </row>
    <row r="972" spans="1:3" x14ac:dyDescent="0.25">
      <c r="A972">
        <v>971</v>
      </c>
      <c r="B972" t="s">
        <v>1065</v>
      </c>
      <c r="C972" t="s">
        <v>3619</v>
      </c>
    </row>
    <row r="973" spans="1:3" x14ac:dyDescent="0.25">
      <c r="A973">
        <v>972</v>
      </c>
      <c r="B973" t="s">
        <v>1068</v>
      </c>
      <c r="C973" t="s">
        <v>3620</v>
      </c>
    </row>
    <row r="974" spans="1:3" x14ac:dyDescent="0.25">
      <c r="A974">
        <v>973</v>
      </c>
      <c r="B974" t="s">
        <v>460</v>
      </c>
      <c r="C974" t="s">
        <v>3621</v>
      </c>
    </row>
    <row r="975" spans="1:3" x14ac:dyDescent="0.25">
      <c r="A975">
        <v>974</v>
      </c>
      <c r="B975" t="s">
        <v>1073</v>
      </c>
      <c r="C975" t="s">
        <v>3622</v>
      </c>
    </row>
    <row r="976" spans="1:3" x14ac:dyDescent="0.25">
      <c r="A976">
        <v>975</v>
      </c>
      <c r="B976" t="s">
        <v>1074</v>
      </c>
      <c r="C976" t="s">
        <v>3623</v>
      </c>
    </row>
    <row r="977" spans="1:3" x14ac:dyDescent="0.25">
      <c r="A977">
        <v>976</v>
      </c>
      <c r="B977" t="s">
        <v>1076</v>
      </c>
      <c r="C977" t="s">
        <v>3624</v>
      </c>
    </row>
    <row r="978" spans="1:3" x14ac:dyDescent="0.25">
      <c r="A978">
        <v>977</v>
      </c>
      <c r="B978" t="s">
        <v>1077</v>
      </c>
      <c r="C978" t="s">
        <v>3625</v>
      </c>
    </row>
    <row r="979" spans="1:3" x14ac:dyDescent="0.25">
      <c r="A979">
        <v>978</v>
      </c>
      <c r="B979" t="s">
        <v>1081</v>
      </c>
      <c r="C979" t="s">
        <v>3626</v>
      </c>
    </row>
    <row r="980" spans="1:3" x14ac:dyDescent="0.25">
      <c r="A980">
        <v>979</v>
      </c>
      <c r="B980" t="s">
        <v>1086</v>
      </c>
      <c r="C980" t="s">
        <v>3627</v>
      </c>
    </row>
    <row r="981" spans="1:3" x14ac:dyDescent="0.25">
      <c r="A981">
        <v>980</v>
      </c>
      <c r="B981" t="s">
        <v>591</v>
      </c>
      <c r="C981" t="s">
        <v>3628</v>
      </c>
    </row>
    <row r="982" spans="1:3" x14ac:dyDescent="0.25">
      <c r="A982">
        <v>981</v>
      </c>
      <c r="B982" t="s">
        <v>715</v>
      </c>
      <c r="C982" t="s">
        <v>3629</v>
      </c>
    </row>
    <row r="983" spans="1:3" x14ac:dyDescent="0.25">
      <c r="A983">
        <v>982</v>
      </c>
      <c r="B983" t="s">
        <v>744</v>
      </c>
      <c r="C983" t="s">
        <v>3630</v>
      </c>
    </row>
    <row r="984" spans="1:3" x14ac:dyDescent="0.25">
      <c r="A984">
        <v>983</v>
      </c>
      <c r="B984" t="s">
        <v>745</v>
      </c>
      <c r="C984" t="s">
        <v>3631</v>
      </c>
    </row>
    <row r="985" spans="1:3" x14ac:dyDescent="0.25">
      <c r="A985">
        <v>984</v>
      </c>
      <c r="B985" t="s">
        <v>751</v>
      </c>
      <c r="C985" t="s">
        <v>3632</v>
      </c>
    </row>
    <row r="986" spans="1:3" x14ac:dyDescent="0.25">
      <c r="A986">
        <v>985</v>
      </c>
      <c r="B986" t="s">
        <v>827</v>
      </c>
      <c r="C986" t="s">
        <v>3633</v>
      </c>
    </row>
    <row r="987" spans="1:3" x14ac:dyDescent="0.25">
      <c r="A987">
        <v>986</v>
      </c>
      <c r="B987" t="s">
        <v>828</v>
      </c>
      <c r="C987" t="s">
        <v>3634</v>
      </c>
    </row>
    <row r="988" spans="1:3" x14ac:dyDescent="0.25">
      <c r="A988">
        <v>987</v>
      </c>
      <c r="B988" t="s">
        <v>701</v>
      </c>
      <c r="C988" t="s">
        <v>3635</v>
      </c>
    </row>
    <row r="989" spans="1:3" x14ac:dyDescent="0.25">
      <c r="A989">
        <v>988</v>
      </c>
      <c r="B989" t="s">
        <v>702</v>
      </c>
      <c r="C989" t="s">
        <v>3636</v>
      </c>
    </row>
    <row r="990" spans="1:3" x14ac:dyDescent="0.25">
      <c r="A990">
        <v>989</v>
      </c>
      <c r="B990" t="s">
        <v>569</v>
      </c>
      <c r="C990" t="s">
        <v>3637</v>
      </c>
    </row>
    <row r="991" spans="1:3" x14ac:dyDescent="0.25">
      <c r="A991">
        <v>990</v>
      </c>
      <c r="B991" t="s">
        <v>570</v>
      </c>
      <c r="C991" t="s">
        <v>3638</v>
      </c>
    </row>
    <row r="992" spans="1:3" x14ac:dyDescent="0.25">
      <c r="A992">
        <v>991</v>
      </c>
      <c r="B992" t="s">
        <v>615</v>
      </c>
      <c r="C992" t="s">
        <v>3639</v>
      </c>
    </row>
    <row r="993" spans="1:3" x14ac:dyDescent="0.25">
      <c r="A993">
        <v>992</v>
      </c>
      <c r="B993" t="s">
        <v>616</v>
      </c>
      <c r="C993" t="s">
        <v>3640</v>
      </c>
    </row>
    <row r="994" spans="1:3" x14ac:dyDescent="0.25">
      <c r="A994">
        <v>993</v>
      </c>
      <c r="B994" t="s">
        <v>617</v>
      </c>
      <c r="C994" t="s">
        <v>3641</v>
      </c>
    </row>
    <row r="995" spans="1:3" x14ac:dyDescent="0.25">
      <c r="A995">
        <v>994</v>
      </c>
      <c r="B995" t="s">
        <v>618</v>
      </c>
      <c r="C995" t="s">
        <v>3642</v>
      </c>
    </row>
    <row r="996" spans="1:3" x14ac:dyDescent="0.25">
      <c r="A996">
        <v>995</v>
      </c>
      <c r="B996" t="s">
        <v>619</v>
      </c>
      <c r="C996" t="s">
        <v>3643</v>
      </c>
    </row>
    <row r="997" spans="1:3" x14ac:dyDescent="0.25">
      <c r="A997">
        <v>996</v>
      </c>
      <c r="B997" t="s">
        <v>620</v>
      </c>
      <c r="C997" t="s">
        <v>3644</v>
      </c>
    </row>
    <row r="998" spans="1:3" x14ac:dyDescent="0.25">
      <c r="A998">
        <v>997</v>
      </c>
      <c r="B998" t="s">
        <v>621</v>
      </c>
      <c r="C998" t="s">
        <v>3645</v>
      </c>
    </row>
    <row r="999" spans="1:3" x14ac:dyDescent="0.25">
      <c r="A999">
        <v>998</v>
      </c>
      <c r="B999" t="s">
        <v>622</v>
      </c>
      <c r="C999" t="s">
        <v>3646</v>
      </c>
    </row>
    <row r="1000" spans="1:3" x14ac:dyDescent="0.25">
      <c r="A1000">
        <v>999</v>
      </c>
      <c r="B1000" t="s">
        <v>623</v>
      </c>
      <c r="C1000" t="s">
        <v>3647</v>
      </c>
    </row>
    <row r="1001" spans="1:3" x14ac:dyDescent="0.25">
      <c r="A1001">
        <v>1000</v>
      </c>
      <c r="B1001" t="s">
        <v>624</v>
      </c>
      <c r="C1001" t="s">
        <v>3648</v>
      </c>
    </row>
    <row r="1002" spans="1:3" x14ac:dyDescent="0.25">
      <c r="A1002">
        <v>1001</v>
      </c>
      <c r="B1002" t="s">
        <v>625</v>
      </c>
      <c r="C1002" t="s">
        <v>3649</v>
      </c>
    </row>
    <row r="1003" spans="1:3" x14ac:dyDescent="0.25">
      <c r="A1003">
        <v>1002</v>
      </c>
      <c r="B1003" t="s">
        <v>626</v>
      </c>
      <c r="C1003" t="s">
        <v>3650</v>
      </c>
    </row>
    <row r="1004" spans="1:3" x14ac:dyDescent="0.25">
      <c r="A1004">
        <v>1003</v>
      </c>
      <c r="B1004" t="s">
        <v>627</v>
      </c>
      <c r="C1004" t="s">
        <v>3651</v>
      </c>
    </row>
    <row r="1005" spans="1:3" x14ac:dyDescent="0.25">
      <c r="A1005">
        <v>1004</v>
      </c>
      <c r="B1005" t="s">
        <v>800</v>
      </c>
      <c r="C1005" t="s">
        <v>3652</v>
      </c>
    </row>
    <row r="1006" spans="1:3" x14ac:dyDescent="0.25">
      <c r="A1006">
        <v>1005</v>
      </c>
      <c r="B1006" t="s">
        <v>993</v>
      </c>
      <c r="C1006" t="s">
        <v>3653</v>
      </c>
    </row>
    <row r="1007" spans="1:3" x14ac:dyDescent="0.25">
      <c r="A1007">
        <v>1006</v>
      </c>
      <c r="B1007" t="s">
        <v>994</v>
      </c>
      <c r="C1007" t="s">
        <v>3654</v>
      </c>
    </row>
    <row r="1008" spans="1:3" x14ac:dyDescent="0.25">
      <c r="A1008">
        <v>1007</v>
      </c>
      <c r="B1008" t="s">
        <v>989</v>
      </c>
      <c r="C1008" t="s">
        <v>3655</v>
      </c>
    </row>
    <row r="1009" spans="1:3" x14ac:dyDescent="0.25">
      <c r="A1009">
        <v>1008</v>
      </c>
      <c r="B1009" t="s">
        <v>990</v>
      </c>
      <c r="C1009" t="s">
        <v>3656</v>
      </c>
    </row>
    <row r="1010" spans="1:3" x14ac:dyDescent="0.25">
      <c r="A1010">
        <v>1009</v>
      </c>
      <c r="B1010" t="s">
        <v>991</v>
      </c>
      <c r="C1010" t="s">
        <v>3657</v>
      </c>
    </row>
    <row r="1011" spans="1:3" x14ac:dyDescent="0.25">
      <c r="A1011">
        <v>1010</v>
      </c>
      <c r="B1011" t="s">
        <v>295</v>
      </c>
      <c r="C1011" t="s">
        <v>3658</v>
      </c>
    </row>
    <row r="1012" spans="1:3" x14ac:dyDescent="0.25">
      <c r="A1012">
        <v>1011</v>
      </c>
      <c r="B1012" t="s">
        <v>301</v>
      </c>
      <c r="C1012" t="s">
        <v>3659</v>
      </c>
    </row>
    <row r="1013" spans="1:3" x14ac:dyDescent="0.25">
      <c r="A1013">
        <v>1012</v>
      </c>
      <c r="B1013" t="s">
        <v>405</v>
      </c>
      <c r="C1013" t="s">
        <v>3660</v>
      </c>
    </row>
    <row r="1014" spans="1:3" x14ac:dyDescent="0.25">
      <c r="A1014">
        <v>1013</v>
      </c>
      <c r="B1014" t="s">
        <v>407</v>
      </c>
      <c r="C1014" t="s">
        <v>3661</v>
      </c>
    </row>
    <row r="1015" spans="1:3" x14ac:dyDescent="0.25">
      <c r="A1015">
        <v>1014</v>
      </c>
      <c r="B1015" t="s">
        <v>181</v>
      </c>
      <c r="C1015" t="s">
        <v>3662</v>
      </c>
    </row>
    <row r="1016" spans="1:3" x14ac:dyDescent="0.25">
      <c r="A1016">
        <v>1015</v>
      </c>
      <c r="B1016" t="s">
        <v>366</v>
      </c>
      <c r="C1016" t="s">
        <v>3663</v>
      </c>
    </row>
    <row r="1017" spans="1:3" x14ac:dyDescent="0.25">
      <c r="A1017">
        <v>1016</v>
      </c>
      <c r="B1017" t="s">
        <v>131</v>
      </c>
      <c r="C1017" t="s">
        <v>3664</v>
      </c>
    </row>
    <row r="1018" spans="1:3" x14ac:dyDescent="0.25">
      <c r="A1018">
        <v>1017</v>
      </c>
      <c r="B1018" t="s">
        <v>130</v>
      </c>
      <c r="C1018" t="s">
        <v>3665</v>
      </c>
    </row>
    <row r="1019" spans="1:3" x14ac:dyDescent="0.25">
      <c r="A1019">
        <v>1018</v>
      </c>
      <c r="B1019" t="s">
        <v>326</v>
      </c>
      <c r="C1019" t="s">
        <v>3666</v>
      </c>
    </row>
    <row r="1020" spans="1:3" x14ac:dyDescent="0.25">
      <c r="A1020">
        <v>1019</v>
      </c>
      <c r="B1020" t="s">
        <v>337</v>
      </c>
      <c r="C1020" t="s">
        <v>3667</v>
      </c>
    </row>
    <row r="1021" spans="1:3" x14ac:dyDescent="0.25">
      <c r="A1021">
        <v>1020</v>
      </c>
      <c r="B1021" t="s">
        <v>338</v>
      </c>
      <c r="C1021" t="s">
        <v>3668</v>
      </c>
    </row>
    <row r="1022" spans="1:3" x14ac:dyDescent="0.25">
      <c r="A1022">
        <v>1021</v>
      </c>
      <c r="B1022" t="s">
        <v>342</v>
      </c>
      <c r="C1022" t="s">
        <v>3669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0150-9939-47A8-922E-3E544F212CA6}">
  <dimension ref="F3"/>
  <sheetViews>
    <sheetView workbookViewId="0">
      <selection activeCell="F4" sqref="F4"/>
    </sheetView>
  </sheetViews>
  <sheetFormatPr defaultRowHeight="15" x14ac:dyDescent="0.25"/>
  <sheetData>
    <row r="3" spans="6:6" x14ac:dyDescent="0.25">
      <c r="F3" t="s">
        <v>2635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Invoice</vt:lpstr>
      <vt:lpstr>Summary</vt:lpstr>
      <vt:lpstr>Detail</vt:lpstr>
      <vt:lpstr>Sheet2</vt:lpstr>
      <vt:lpstr>working</vt:lpstr>
      <vt:lpstr>Sheet4</vt:lpstr>
      <vt:lpstr>policy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Tariq</dc:creator>
  <cp:lastModifiedBy>IT User Software</cp:lastModifiedBy>
  <cp:lastPrinted>2024-10-10T09:50:17Z</cp:lastPrinted>
  <dcterms:created xsi:type="dcterms:W3CDTF">2015-06-05T18:17:20Z</dcterms:created>
  <dcterms:modified xsi:type="dcterms:W3CDTF">2024-10-24T04:23:20Z</dcterms:modified>
</cp:coreProperties>
</file>