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remium\Premium\Omair ALi\30-Oct-2024\"/>
    </mc:Choice>
  </mc:AlternateContent>
  <xr:revisionPtr revIDLastSave="0" documentId="13_ncr:1_{EDB59E59-B655-4453-9CAF-431B03BA5CD9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Invoice" sheetId="1" state="hidden" r:id="rId1"/>
    <sheet name="Summary" sheetId="3" state="hidden" r:id="rId2"/>
    <sheet name="Detail" sheetId="2" state="hidden" r:id="rId3"/>
    <sheet name="PKSUZ PREM OCT 2" sheetId="4" r:id="rId4"/>
    <sheet name="working" sheetId="5" r:id="rId5"/>
    <sheet name="Sheet2" sheetId="6" r:id="rId6"/>
    <sheet name="policy" sheetId="7" r:id="rId7"/>
  </sheets>
  <definedNames>
    <definedName name="_xlnm._FilterDatabase" localSheetId="2" hidden="1">Detail!$A$2:$S$960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8" i="5" l="1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G959" i="5"/>
  <c r="H959" i="5" s="1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2" i="5"/>
  <c r="D96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F2" i="5"/>
  <c r="D2" i="5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1" i="6"/>
  <c r="B960" i="4"/>
  <c r="K7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3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Q3" i="2"/>
  <c r="J1" i="2"/>
  <c r="I1" i="2"/>
  <c r="K31" i="1" s="1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H2" i="5" l="1"/>
  <c r="P1" i="2"/>
  <c r="R1" i="2"/>
  <c r="A1" i="2"/>
  <c r="J21" i="1" s="1"/>
  <c r="Q1" i="2"/>
  <c r="K27" i="1" l="1"/>
  <c r="K28" i="1" l="1"/>
  <c r="K29" i="1"/>
  <c r="K30" i="1"/>
  <c r="F36" i="1" l="1"/>
  <c r="C34" i="1" s="1"/>
</calcChain>
</file>

<file path=xl/sharedStrings.xml><?xml version="1.0" encoding="utf-8"?>
<sst xmlns="http://schemas.openxmlformats.org/spreadsheetml/2006/main" count="13513" uniqueCount="3564">
  <si>
    <t>Participant Name</t>
  </si>
  <si>
    <t>Address</t>
  </si>
  <si>
    <t>Computation</t>
  </si>
  <si>
    <t>PAK SUZUKI MOTOR COMPANY LIMITED.</t>
  </si>
  <si>
    <t>DSU-13 PAKISTAN STEEL INDUSTRIAL ESTATE, BIN QASIM, KARACHI -75000.</t>
  </si>
  <si>
    <t>Expiry Date :</t>
  </si>
  <si>
    <t>To be advised</t>
  </si>
  <si>
    <t>Effective Date:</t>
  </si>
  <si>
    <t>Date Of Issue:</t>
  </si>
  <si>
    <t>Make:</t>
  </si>
  <si>
    <t>Suzuki Motorcycle</t>
  </si>
  <si>
    <t>No of Bikes</t>
  </si>
  <si>
    <t>Gross Contribution</t>
  </si>
  <si>
    <t>F.I.F   1%</t>
  </si>
  <si>
    <t>Stamp Duty</t>
  </si>
  <si>
    <t>Net Contribution</t>
  </si>
  <si>
    <t>/- be cheque in favour of M/s. Salaam Takaful Limited.</t>
  </si>
  <si>
    <t>Policy #</t>
  </si>
  <si>
    <t>Dealer</t>
  </si>
  <si>
    <t>Period From</t>
  </si>
  <si>
    <t>Period To</t>
  </si>
  <si>
    <t>Insured Name</t>
  </si>
  <si>
    <t>Vehicle Info</t>
  </si>
  <si>
    <t>Net</t>
  </si>
  <si>
    <t>Gross</t>
  </si>
  <si>
    <t>Engine</t>
  </si>
  <si>
    <t>Issue date</t>
  </si>
  <si>
    <t>Policy Name</t>
  </si>
  <si>
    <t>SumCovered</t>
  </si>
  <si>
    <t>F.I.F 1%</t>
  </si>
  <si>
    <t>A R Suzuki</t>
  </si>
  <si>
    <t>TR Suzuki</t>
  </si>
  <si>
    <t>UR Suzuki</t>
  </si>
  <si>
    <t xml:space="preserve">	Suzuki Defence Motors</t>
  </si>
  <si>
    <t>FSD Suzuki</t>
  </si>
  <si>
    <t>UP Suzuki</t>
  </si>
  <si>
    <t>South</t>
  </si>
  <si>
    <t>GT Suzuki</t>
  </si>
  <si>
    <t>Khalil Motor</t>
  </si>
  <si>
    <t>Suzuki Mandviwalla Motors</t>
  </si>
  <si>
    <t>Grand Total</t>
  </si>
  <si>
    <t>Net Premium</t>
  </si>
  <si>
    <t>No. Of Policies</t>
  </si>
  <si>
    <t>Showroom</t>
  </si>
  <si>
    <t>Policy</t>
  </si>
  <si>
    <t>As Per Schedule</t>
  </si>
  <si>
    <t>Risk Covered</t>
  </si>
  <si>
    <t>MOTORCYCLE COMPREHENSIVE</t>
  </si>
  <si>
    <t xml:space="preserve">Payment Of PKR. Rs. </t>
  </si>
  <si>
    <t>KR Suzuki</t>
  </si>
  <si>
    <t>GR Suzuki</t>
  </si>
  <si>
    <t>Suzuki Falcon Motors</t>
  </si>
  <si>
    <t>Suzuki Zeeshan Autos</t>
  </si>
  <si>
    <t>Suzuki R.Y.Khan</t>
  </si>
  <si>
    <t>MS Suzuki</t>
  </si>
  <si>
    <t>Suzuki Canal Motors Faisalabad Branch</t>
  </si>
  <si>
    <t>MUHAMMAD USMAN</t>
  </si>
  <si>
    <t>MOTORCYCLE  COMPREHENSIVE</t>
  </si>
  <si>
    <t>MUHAMMAD IMRAN</t>
  </si>
  <si>
    <t>MUHAMMAD ASIF</t>
  </si>
  <si>
    <t>SUZUKI-GD-110S</t>
  </si>
  <si>
    <t>SUZUKI-GS 150</t>
  </si>
  <si>
    <t>SUZUKI-GR150 EURO II</t>
  </si>
  <si>
    <t>SUZUKI-GSX 125</t>
  </si>
  <si>
    <t>SUZUKI-GS-150</t>
  </si>
  <si>
    <t>CR Suzuki</t>
  </si>
  <si>
    <t>WR Suzuki</t>
  </si>
  <si>
    <t>ABDUL REHMAN</t>
  </si>
  <si>
    <t>MUHAMMAD WAQAS</t>
  </si>
  <si>
    <t>MR Suzuki</t>
  </si>
  <si>
    <t>Gujrat Suzuki</t>
  </si>
  <si>
    <t>Sethi Motors</t>
  </si>
  <si>
    <t>SG Suzuki</t>
  </si>
  <si>
    <t>ABDULLAH</t>
  </si>
  <si>
    <t>UMAR FAROOQ</t>
  </si>
  <si>
    <t>MUHAMMAD ALI</t>
  </si>
  <si>
    <t>MUHAMMAD AMIR</t>
  </si>
  <si>
    <t>MUHAMMAD UMAIR</t>
  </si>
  <si>
    <t>SR Suzuki</t>
  </si>
  <si>
    <t>Suzuki Ravi Motors</t>
  </si>
  <si>
    <t>ALI RAZA</t>
  </si>
  <si>
    <t>MUHAMMAD SHOAIB</t>
  </si>
  <si>
    <t>MUHAMMAD NADEEM</t>
  </si>
  <si>
    <t>Endorsement</t>
  </si>
  <si>
    <t>Gujranwala Suzuki</t>
  </si>
  <si>
    <t>TS Suzuki</t>
  </si>
  <si>
    <t>MUHAMMAD UZAIR</t>
  </si>
  <si>
    <t>ALTAF HUSSAIN</t>
  </si>
  <si>
    <t>MUHAMMAD YASIR</t>
  </si>
  <si>
    <t>ARSALAN</t>
  </si>
  <si>
    <t>IRFAN</t>
  </si>
  <si>
    <t>MUHAMMAD YOUSUF</t>
  </si>
  <si>
    <t>ABDUL RASHEED</t>
  </si>
  <si>
    <t>MUHAMMAD ADEEL</t>
  </si>
  <si>
    <t>UMAIR ALI</t>
  </si>
  <si>
    <t>MUHAMMAD IBRAHIM</t>
  </si>
  <si>
    <t>MUHAMMAD JUNAID</t>
  </si>
  <si>
    <t>RIZWAN</t>
  </si>
  <si>
    <t>MUHAMMAD SALEEM</t>
  </si>
  <si>
    <t>Islamabad Motors</t>
  </si>
  <si>
    <t>MUHAMMAD ZUBAIR</t>
  </si>
  <si>
    <t>ABDUL HAMEED</t>
  </si>
  <si>
    <t>MUHAMMAD USMAN KHAN</t>
  </si>
  <si>
    <t>ABDUL MANNAN</t>
  </si>
  <si>
    <t>Abdul Rehman</t>
  </si>
  <si>
    <t>ZULFIQAR ALI</t>
  </si>
  <si>
    <t>MUHAMMAD HAMZA</t>
  </si>
  <si>
    <t>MUHAMMAD NAVEED</t>
  </si>
  <si>
    <t>MUHAMMAD AHMED</t>
  </si>
  <si>
    <t>AMIR</t>
  </si>
  <si>
    <t>NADEEM AHMED</t>
  </si>
  <si>
    <t>JAVED IQBAL</t>
  </si>
  <si>
    <t>SALMAN SAEED</t>
  </si>
  <si>
    <t>MUHAMMAD AMMAR</t>
  </si>
  <si>
    <t>Muhammad Faraz</t>
  </si>
  <si>
    <t>Muhammad Ali</t>
  </si>
  <si>
    <t>MUHAMMAD IRFAN</t>
  </si>
  <si>
    <t>MUHAMMAD SAMEER</t>
  </si>
  <si>
    <t>SAJID ALI</t>
  </si>
  <si>
    <t>MUHAMMAD RIZWAN</t>
  </si>
  <si>
    <t>ABID ALI</t>
  </si>
  <si>
    <t>MUHAMMAD BILAL</t>
  </si>
  <si>
    <t>MUHAMMAD ASGHAR</t>
  </si>
  <si>
    <t>MUHAMMAD ZULFIQAR ALI</t>
  </si>
  <si>
    <t>MUHAMMAD NAEEM</t>
  </si>
  <si>
    <t>AMIR ALI</t>
  </si>
  <si>
    <t>MUHAMMAD AHMAD</t>
  </si>
  <si>
    <t>ABDUL MAJEED</t>
  </si>
  <si>
    <t>UMAIR KHAN</t>
  </si>
  <si>
    <t>MUHAMMAD NOMAN</t>
  </si>
  <si>
    <t>ABDUL JABBAR</t>
  </si>
  <si>
    <t>AKHTAR ALI</t>
  </si>
  <si>
    <t>Ali Raza</t>
  </si>
  <si>
    <t>MUHAMMAD SHAHBAZ</t>
  </si>
  <si>
    <t>MUHAMMAD AHSAN</t>
  </si>
  <si>
    <t>ZUBAIR</t>
  </si>
  <si>
    <t>MUNEEB UR REHMAN</t>
  </si>
  <si>
    <t>SUZUKI-GD-110 EURO II</t>
  </si>
  <si>
    <t>INVOICE # 0018</t>
  </si>
  <si>
    <t>FOR THE MONTH OF September-24</t>
  </si>
  <si>
    <t>KHI/HO/D/MO/MC COMP/P/96539/09/2024</t>
  </si>
  <si>
    <t>KHI/HO/D/MO/MC COMP/P/96540/09/2024</t>
  </si>
  <si>
    <t>KHI/HO/D/MO/MC COMP/P/96541/09/2024</t>
  </si>
  <si>
    <t>KHI/HO/D/MO/MC COMP/P/96550/09/2024</t>
  </si>
  <si>
    <t>KHI/HO/D/MO/MC COMP/P/96551/09/2024</t>
  </si>
  <si>
    <t>KHI/HO/D/MO/MC COMP/P/96553/09/2024</t>
  </si>
  <si>
    <t>KHI/HO/D/MO/MC COMP/P/96560/09/2024</t>
  </si>
  <si>
    <t>KHI/HO/D/MO/MC COMP/P/96581/09/2024</t>
  </si>
  <si>
    <t>KHI/HO/D/MO/MC COMP/P/96585/09/2024</t>
  </si>
  <si>
    <t>KHI/HO/D/MO/MC COMP/P/96587/09/2024</t>
  </si>
  <si>
    <t>KHI/HO/D/MO/MC COMP/P/96589/09/2024</t>
  </si>
  <si>
    <t>KHI/HO/D/MO/MC COMP/P/96590/09/2024</t>
  </si>
  <si>
    <t>KHI/HO/D/MO/MC COMP/P/96611/09/2024</t>
  </si>
  <si>
    <t>KHI/HO/D/MO/MC COMP/P/96612/09/2024</t>
  </si>
  <si>
    <t>KHI/HO/D/MO/MC COMP/P/96613/09/2024</t>
  </si>
  <si>
    <t>KHI/HO/D/MO/MC COMP/P/96626/09/2024</t>
  </si>
  <si>
    <t>KHI/HO/D/MO/MC COMP/P/96630/09/2024</t>
  </si>
  <si>
    <t>KHI/HO/D/MO/MC COMP/P/96636/09/2024</t>
  </si>
  <si>
    <t>KHI/HO/D/MO/MC COMP/P/96642/09/2024</t>
  </si>
  <si>
    <t>KHI/HO/D/MO/MC COMP/P/96651/09/2024</t>
  </si>
  <si>
    <t>KHI/HO/D/MO/MC COMP/P/96659/09/2024</t>
  </si>
  <si>
    <t>KHI/HO/D/MO/MC COMP/P/96671/09/2024</t>
  </si>
  <si>
    <t>KHI/HO/D/MO/MC COMP/P/96673/09/2024</t>
  </si>
  <si>
    <t>KHI/HO/D/MO/MC COMP/P/96679/09/2024</t>
  </si>
  <si>
    <t>KHI/HO/D/MO/MC COMP/P/96693/09/2024</t>
  </si>
  <si>
    <t>KHI/HO/D/MO/MC COMP/P/96694/09/2024</t>
  </si>
  <si>
    <t>KHI/HO/D/MO/MC COMP/P/96695/09/2024</t>
  </si>
  <si>
    <t>KHI/HO/D/MO/MC COMP/P/96696/09/2024</t>
  </si>
  <si>
    <t>KHI/HO/D/MO/MC COMP/P/96697/09/2024</t>
  </si>
  <si>
    <t>KHI/HO/D/MO/MC COMP/P/96703/09/2024</t>
  </si>
  <si>
    <t>KHI/HO/D/MO/MC COMP/P/96704/09/2024</t>
  </si>
  <si>
    <t>KHI/HO/D/MO/MC COMP/P/96705/09/2024</t>
  </si>
  <si>
    <t>KHI/HO/D/MO/MC COMP/P/96706/09/2024</t>
  </si>
  <si>
    <t>KHI/HO/D/MO/MC COMP/P/96707/09/2024</t>
  </si>
  <si>
    <t>KHI/HO/D/MO/MC COMP/P/96708/09/2024</t>
  </si>
  <si>
    <t>KHI/HO/D/MO/MC COMP/P/96732/09/2024</t>
  </si>
  <si>
    <t>KHI/HO/D/MO/MC COMP/P/96734/09/2024</t>
  </si>
  <si>
    <t>KHI/HO/D/MO/MC COMP/P/96735/09/2024</t>
  </si>
  <si>
    <t>KHI/HO/D/MO/MC COMP/P/96736/09/2024</t>
  </si>
  <si>
    <t>KHI/HO/D/MO/MC COMP/P/96737/09/2024</t>
  </si>
  <si>
    <t>KHI/HO/D/MO/MC COMP/P/96738/09/2024</t>
  </si>
  <si>
    <t>KHI/HO/D/MO/MC COMP/P/96739/09/2024</t>
  </si>
  <si>
    <t>KHI/HO/D/MO/MC COMP/P/96740/09/2024</t>
  </si>
  <si>
    <t>KHI/HO/D/MO/MC COMP/P/96741/09/2024</t>
  </si>
  <si>
    <t>KHI/HO/D/MO/MC COMP/P/96742/09/2024</t>
  </si>
  <si>
    <t>KHI/HO/D/MO/MC COMP/P/96743/09/2024</t>
  </si>
  <si>
    <t>KHI/HO/D/MO/MC COMP/P/96744/09/2024</t>
  </si>
  <si>
    <t>KHI/HO/D/MO/MC COMP/P/96745/09/2024</t>
  </si>
  <si>
    <t>KHI/HO/D/MO/MC COMP/P/96747/09/2024</t>
  </si>
  <si>
    <t>KHI/HO/D/MO/MC COMP/P/96749/09/2024</t>
  </si>
  <si>
    <t>KHI/HO/D/MO/MC COMP/P/96750/09/2024</t>
  </si>
  <si>
    <t>KHI/HO/D/MO/MC COMP/P/96751/09/2024</t>
  </si>
  <si>
    <t>KHI/HO/D/MO/MC COMP/P/96752/09/2024</t>
  </si>
  <si>
    <t>KHI/HO/D/MO/MC COMP/P/96754/09/2024</t>
  </si>
  <si>
    <t>KHI/HO/D/MO/MC COMP/P/96764/09/2024</t>
  </si>
  <si>
    <t>KHI/HO/D/MO/MC COMP/P/96766/09/2024</t>
  </si>
  <si>
    <t>KHI/HO/D/MO/MC COMP/P/96770/09/2024</t>
  </si>
  <si>
    <t>KHI/HO/D/MO/MC COMP/P/96773/09/2024</t>
  </si>
  <si>
    <t>KHI/HO/D/MO/MC COMP/P/96774/09/2024</t>
  </si>
  <si>
    <t>KHI/HO/D/MO/MC COMP/P/96775/09/2024</t>
  </si>
  <si>
    <t>KHI/HO/D/MO/MC COMP/P/96776/09/2024</t>
  </si>
  <si>
    <t>KHI/HO/D/MO/MC COMP/P/96777/09/2024</t>
  </si>
  <si>
    <t>KHI/HO/D/MO/MC COMP/P/96778/09/2024</t>
  </si>
  <si>
    <t>KHI/HO/D/MO/MC COMP/P/96788/09/2024</t>
  </si>
  <si>
    <t>KHI/HO/D/MO/MC COMP/P/96802/09/2024</t>
  </si>
  <si>
    <t>KHI/HO/D/MO/MC COMP/P/96803/09/2024</t>
  </si>
  <si>
    <t>KHI/HO/D/MO/MC COMP/P/96805/09/2024</t>
  </si>
  <si>
    <t>KHI/HO/D/MO/MC COMP/P/96817/09/2024</t>
  </si>
  <si>
    <t>KHI/HO/D/MO/MC COMP/P/96819/09/2024</t>
  </si>
  <si>
    <t>KHI/HO/D/MO/MC COMP/P/96820/09/2024</t>
  </si>
  <si>
    <t>KHI/HO/D/MO/MC COMP/P/96821/09/2024</t>
  </si>
  <si>
    <t>KHI/HO/D/MO/MC COMP/P/96822/09/2024</t>
  </si>
  <si>
    <t>KHI/HO/D/MO/MC COMP/P/96823/09/2024</t>
  </si>
  <si>
    <t>KHI/HO/D/MO/MC COMP/P/96825/09/2024</t>
  </si>
  <si>
    <t>KHI/HO/D/MO/MC COMP/P/96828/09/2024</t>
  </si>
  <si>
    <t>KHI/HO/D/MO/MC COMP/P/96829/09/2024</t>
  </si>
  <si>
    <t>KHI/HO/D/MO/MC COMP/P/96830/09/2024</t>
  </si>
  <si>
    <t>KHI/HO/D/MO/MC COMP/P/96831/09/2024</t>
  </si>
  <si>
    <t>KHI/HO/D/MO/MC COMP/P/96833/09/2024</t>
  </si>
  <si>
    <t>KHI/HO/D/MO/MC COMP/P/96834/09/2024</t>
  </si>
  <si>
    <t>KHI/HO/D/MO/MC COMP/P/96835/09/2024</t>
  </si>
  <si>
    <t>KHI/HO/D/MO/MC COMP/P/96836/09/2024</t>
  </si>
  <si>
    <t>KHI/HO/D/MO/MC COMP/P/96838/09/2024</t>
  </si>
  <si>
    <t>KHI/HO/D/MO/MC COMP/P/96839/09/2024</t>
  </si>
  <si>
    <t>KHI/HO/D/MO/MC COMP/P/96851/09/2024</t>
  </si>
  <si>
    <t>KHI/HO/D/MO/MC COMP/P/96852/09/2024</t>
  </si>
  <si>
    <t>KHI/HO/D/MO/MC COMP/P/96857/09/2024</t>
  </si>
  <si>
    <t>KHI/HO/D/MO/MC COMP/P/96858/09/2024</t>
  </si>
  <si>
    <t>KHI/HO/D/MO/MC COMP/P/96879/09/2024</t>
  </si>
  <si>
    <t>KHI/HO/D/MO/MC COMP/P/96880/09/2024</t>
  </si>
  <si>
    <t>KHI/HO/D/MO/MC COMP/P/96884/09/2024</t>
  </si>
  <si>
    <t>KHI/HO/D/MO/MC COMP/P/96890/09/2024</t>
  </si>
  <si>
    <t>KHI/HO/D/MO/MC COMP/P/96891/09/2024</t>
  </si>
  <si>
    <t>KHI/HO/D/MO/MC COMP/P/96893/09/2024</t>
  </si>
  <si>
    <t>KHI/HO/D/MO/MC COMP/P/96895/09/2024</t>
  </si>
  <si>
    <t>KHI/HO/D/MO/MC COMP/P/96896/09/2024</t>
  </si>
  <si>
    <t>KHI/HO/D/MO/MC COMP/P/96897/09/2024</t>
  </si>
  <si>
    <t>KHI/HO/D/MO/MC COMP/P/96898/09/2024</t>
  </si>
  <si>
    <t>KHI/HO/D/MO/MC COMP/P/96901/09/2024</t>
  </si>
  <si>
    <t>KHI/HO/D/MO/MC COMP/P/96902/09/2024</t>
  </si>
  <si>
    <t>KHI/HO/D/MO/MC COMP/P/96903/09/2024</t>
  </si>
  <si>
    <t>KHI/HO/D/MO/MC COMP/P/96904/09/2024</t>
  </si>
  <si>
    <t>KHI/HO/D/MO/MC COMP/P/96905/09/2024</t>
  </si>
  <si>
    <t>KHI/HO/D/MO/MC COMP/P/96906/09/2024</t>
  </si>
  <si>
    <t>KHI/HO/D/MO/MC COMP/P/96907/09/2024</t>
  </si>
  <si>
    <t>KHI/HO/D/MO/MC COMP/P/96908/09/2024</t>
  </si>
  <si>
    <t>KHI/HO/D/MO/MC COMP/P/96918/09/2024</t>
  </si>
  <si>
    <t>KHI/HO/D/MO/MC COMP/P/96920/09/2024</t>
  </si>
  <si>
    <t>KHI/HO/D/MO/MC COMP/P/96921/09/2024</t>
  </si>
  <si>
    <t>KHI/HO/D/MO/MC COMP/P/96922/09/2024</t>
  </si>
  <si>
    <t>KHI/HO/D/MO/MC COMP/P/96929/09/2024</t>
  </si>
  <si>
    <t>KHI/HO/D/MO/MC COMP/P/96931/09/2024</t>
  </si>
  <si>
    <t>KHI/HO/D/MO/MC COMP/P/96936/09/2024</t>
  </si>
  <si>
    <t>KHI/HO/D/MO/MC COMP/P/96938/09/2024</t>
  </si>
  <si>
    <t>KHI/HO/D/MO/MC COMP/P/96939/09/2024</t>
  </si>
  <si>
    <t>KHI/HO/D/MO/MC COMP/P/96940/09/2024</t>
  </si>
  <si>
    <t>KHI/HO/D/MO/MC COMP/P/96941/09/2024</t>
  </si>
  <si>
    <t>KHI/HO/D/MO/MC COMP/P/96942/09/2024</t>
  </si>
  <si>
    <t>KHI/HO/D/MO/MC COMP/P/96943/09/2024</t>
  </si>
  <si>
    <t>KHI/HO/D/MO/MC COMP/P/96944/09/2024</t>
  </si>
  <si>
    <t>KHI/HO/D/MO/MC COMP/P/96947/09/2024</t>
  </si>
  <si>
    <t>KHI/HO/D/MO/MC COMP/P/96950/09/2024</t>
  </si>
  <si>
    <t>KHI/HO/D/MO/MC COMP/P/96951/09/2024</t>
  </si>
  <si>
    <t>KHI/HO/D/MO/MC COMP/P/96953/09/2024</t>
  </si>
  <si>
    <t>KHI/HO/D/MO/MC COMP/P/96956/09/2024</t>
  </si>
  <si>
    <t>KHI/HO/D/MO/MC COMP/P/96969/09/2024</t>
  </si>
  <si>
    <t>KHI/HO/D/MO/MC COMP/P/96970/09/2024</t>
  </si>
  <si>
    <t>KHI/HO/D/MO/MC COMP/P/96972/09/2024</t>
  </si>
  <si>
    <t>KHI/HO/D/MO/MC COMP/P/96973/09/2024</t>
  </si>
  <si>
    <t>KHI/HO/D/MO/MC COMP/P/96974/09/2024</t>
  </si>
  <si>
    <t>KHI/HO/D/MO/MC COMP/P/96985/09/2024</t>
  </si>
  <si>
    <t>KHI/HO/D/MO/MC COMP/P/96988/09/2024</t>
  </si>
  <si>
    <t>KHI/HO/D/MO/MC COMP/P/96989/09/2024</t>
  </si>
  <si>
    <t>KHI/HO/D/MO/MC COMP/P/97006/09/2024</t>
  </si>
  <si>
    <t>KHI/HO/D/MO/MC COMP/P/97008/09/2024</t>
  </si>
  <si>
    <t>KHI/HO/D/MO/MC COMP/P/97009/09/2024</t>
  </si>
  <si>
    <t>KHI/HO/D/MO/MC COMP/P/97010/09/2024</t>
  </si>
  <si>
    <t>KHI/HO/D/MO/MC COMP/P/97016/09/2024</t>
  </si>
  <si>
    <t>KHI/HO/D/MO/MC COMP/P/97023/09/2024</t>
  </si>
  <si>
    <t>KHI/HO/D/MO/MC COMP/P/97024/09/2024</t>
  </si>
  <si>
    <t>KHI/HO/D/MO/MC COMP/P/97025/09/2024</t>
  </si>
  <si>
    <t>KHI/HO/D/MO/MC COMP/P/97026/09/2024</t>
  </si>
  <si>
    <t>KHI/HO/D/MO/MC COMP/P/97027/09/2024</t>
  </si>
  <si>
    <t>KHI/HO/D/MO/MC COMP/P/97028/09/2024</t>
  </si>
  <si>
    <t>KHI/HO/D/MO/MC COMP/P/97029/09/2024</t>
  </si>
  <si>
    <t>KHI/HO/D/MO/MC COMP/P/97030/09/2024</t>
  </si>
  <si>
    <t>KHI/HO/D/MO/MC COMP/P/97031/09/2024</t>
  </si>
  <si>
    <t>KHI/HO/D/MO/MC COMP/P/97034/09/2024</t>
  </si>
  <si>
    <t>KHI/HO/D/MO/MC COMP/P/97035/09/2024</t>
  </si>
  <si>
    <t>KHI/HO/D/MO/MC COMP/P/97039/09/2024</t>
  </si>
  <si>
    <t>KHI/HO/D/MO/MC COMP/P/97043/09/2024</t>
  </si>
  <si>
    <t>KHI/HO/D/MO/MC COMP/P/97044/09/2024</t>
  </si>
  <si>
    <t>KHI/HO/D/MO/MC COMP/P/97049/09/2024</t>
  </si>
  <si>
    <t>KHI/HO/D/MO/MC COMP/P/97051/09/2024</t>
  </si>
  <si>
    <t>KHI/HO/D/MO/MC COMP/P/97053/09/2024</t>
  </si>
  <si>
    <t>KHI/HO/D/MO/MC COMP/P/97054/09/2024</t>
  </si>
  <si>
    <t>KHI/HO/D/MO/MC COMP/P/97057/09/2024</t>
  </si>
  <si>
    <t>KHI/HO/D/MO/MC COMP/P/97058/09/2024</t>
  </si>
  <si>
    <t>KHI/HO/D/MO/MC COMP/P/97064/09/2024</t>
  </si>
  <si>
    <t>KHI/HO/D/MO/MC COMP/P/97065/09/2024</t>
  </si>
  <si>
    <t>KHI/HO/D/MO/MC COMP/P/97066/09/2024</t>
  </si>
  <si>
    <t>KHI/HO/D/MO/MC COMP/P/97069/09/2024</t>
  </si>
  <si>
    <t>KHI/HO/D/MO/MC COMP/P/97073/09/2024</t>
  </si>
  <si>
    <t>KHI/HO/D/MO/MC COMP/P/97076/09/2024</t>
  </si>
  <si>
    <t>KHI/HO/D/MO/MC COMP/P/97077/09/2024</t>
  </si>
  <si>
    <t>KHI/HO/D/MO/MC COMP/P/97078/09/2024</t>
  </si>
  <si>
    <t>KHI/HO/D/MO/MC COMP/P/97081/09/2024</t>
  </si>
  <si>
    <t>KHI/HO/D/MO/MC COMP/P/97083/09/2024</t>
  </si>
  <si>
    <t>KHI/HO/D/MO/MC COMP/P/97084/09/2024</t>
  </si>
  <si>
    <t>KHI/HO/D/MO/MC COMP/P/97085/09/2024</t>
  </si>
  <si>
    <t>KHI/HO/D/MO/MC COMP/P/97086/09/2024</t>
  </si>
  <si>
    <t>KHI/HO/D/MO/MC COMP/P/97087/09/2024</t>
  </si>
  <si>
    <t>KHI/HO/D/MO/MC COMP/P/97090/09/2024</t>
  </si>
  <si>
    <t>KHI/HO/D/MO/MC COMP/P/97091/09/2024</t>
  </si>
  <si>
    <t>KHI/HO/D/MO/MC COMP/P/97092/09/2024</t>
  </si>
  <si>
    <t>KHI/HO/D/MO/MC COMP/P/97093/09/2024</t>
  </si>
  <si>
    <t>KHI/HO/D/MO/MC COMP/P/97094/09/2024</t>
  </si>
  <si>
    <t>KHI/HO/D/MO/MC COMP/P/97095/09/2024</t>
  </si>
  <si>
    <t>KHI/HO/D/MO/MC COMP/P/97096/09/2024</t>
  </si>
  <si>
    <t>KHI/HO/D/MO/MC COMP/P/97097/09/2024</t>
  </si>
  <si>
    <t>KHI/HO/D/MO/MC COMP/P/97098/09/2024</t>
  </si>
  <si>
    <t>KHI/HO/D/MO/MC COMP/P/97099/09/2024</t>
  </si>
  <si>
    <t>KHI/HO/D/MO/MC COMP/P/97100/09/2024</t>
  </si>
  <si>
    <t>KHI/HO/D/MO/MC COMP/P/97101/09/2024</t>
  </si>
  <si>
    <t>KHI/HO/D/MO/MC COMP/P/97102/09/2024</t>
  </si>
  <si>
    <t>KHI/HO/D/MO/MC COMP/P/97109/09/2024</t>
  </si>
  <si>
    <t>KHI/HO/D/MO/MC COMP/P/97115/09/2024</t>
  </si>
  <si>
    <t>KHI/HO/D/MO/MC COMP/P/97116/09/2024</t>
  </si>
  <si>
    <t>KHI/HO/D/MO/MC COMP/P/97119/09/2024</t>
  </si>
  <si>
    <t>KHI/HO/D/MO/MC COMP/P/97127/09/2024</t>
  </si>
  <si>
    <t>KHI/HO/D/MO/MC COMP/P/97131/09/2024</t>
  </si>
  <si>
    <t>KHI/HO/D/MO/MC COMP/P/97132/09/2024</t>
  </si>
  <si>
    <t>KHI/HO/D/MO/MC COMP/P/97133/09/2024</t>
  </si>
  <si>
    <t>KHI/HO/D/MO/MC COMP/P/97139/09/2024</t>
  </si>
  <si>
    <t>KHI/HO/D/MO/MC COMP/P/97140/09/2024</t>
  </si>
  <si>
    <t>KHI/HO/D/MO/MC COMP/P/97142/09/2024</t>
  </si>
  <si>
    <t>KHI/HO/D/MO/MC COMP/P/97143/09/2024</t>
  </si>
  <si>
    <t>KHI/HO/D/MO/MC COMP/P/97144/09/2024</t>
  </si>
  <si>
    <t>KHI/HO/D/MO/MC COMP/P/97145/09/2024</t>
  </si>
  <si>
    <t>KHI/HO/D/MO/MC COMP/P/97146/09/2024</t>
  </si>
  <si>
    <t>KHI/HO/D/MO/MC COMP/P/97151/09/2024</t>
  </si>
  <si>
    <t>KHI/HO/D/MO/MC COMP/P/97157/09/2024</t>
  </si>
  <si>
    <t>KHI/HO/D/MO/MC COMP/P/97159/09/2024</t>
  </si>
  <si>
    <t>KHI/HO/D/MO/MC COMP/P/97161/09/2024</t>
  </si>
  <si>
    <t>KHI/HO/D/MO/MC COMP/P/97163/09/2024</t>
  </si>
  <si>
    <t>KHI/HO/D/MO/MC COMP/P/97164/09/2024</t>
  </si>
  <si>
    <t>KHI/HO/D/MO/MC COMP/P/97166/09/2024</t>
  </si>
  <si>
    <t>KHI/HO/D/MO/MC COMP/P/97168/09/2024</t>
  </si>
  <si>
    <t>KHI/HO/D/MO/MC COMP/P/97172/09/2024</t>
  </si>
  <si>
    <t>KHI/HO/D/MO/MC COMP/P/97173/09/2024</t>
  </si>
  <si>
    <t>KHI/HO/D/MO/MC COMP/P/97174/09/2024</t>
  </si>
  <si>
    <t>KHI/HO/D/MO/MC COMP/P/97185/09/2024</t>
  </si>
  <si>
    <t>KHI/HO/D/MO/MC COMP/P/97186/09/2024</t>
  </si>
  <si>
    <t>KHI/HO/D/MO/MC COMP/P/97189/09/2024</t>
  </si>
  <si>
    <t>KHI/HO/D/MO/MC COMP/P/97190/09/2024</t>
  </si>
  <si>
    <t>KHI/HO/D/MO/MC COMP/P/97200/09/2024</t>
  </si>
  <si>
    <t>KHI/HO/D/MO/MC COMP/P/97201/09/2024</t>
  </si>
  <si>
    <t>KHI/HO/D/MO/MC COMP/P/97202/09/2024</t>
  </si>
  <si>
    <t>KHI/HO/D/MO/MC COMP/P/97203/09/2024</t>
  </si>
  <si>
    <t>KHI/HO/D/MO/MC COMP/P/97204/09/2024</t>
  </si>
  <si>
    <t>KHI/HO/D/MO/MC COMP/P/97205/09/2024</t>
  </si>
  <si>
    <t>KHI/HO/D/MO/MC COMP/P/97206/09/2024</t>
  </si>
  <si>
    <t>KHI/HO/D/MO/MC COMP/P/97207/09/2024</t>
  </si>
  <si>
    <t>KHI/HO/D/MO/MC COMP/P/97209/09/2024</t>
  </si>
  <si>
    <t>KHI/HO/D/MO/MC COMP/P/97211/09/2024</t>
  </si>
  <si>
    <t>KHI/HO/D/MO/MC COMP/P/97213/09/2024</t>
  </si>
  <si>
    <t>KHI/HO/D/MO/MC COMP/P/97217/09/2024</t>
  </si>
  <si>
    <t>KHI/HO/D/MO/MC COMP/P/97218/09/2024</t>
  </si>
  <si>
    <t>KHI/HO/D/MO/MC COMP/P/97220/09/2024</t>
  </si>
  <si>
    <t>KHI/HO/D/MO/MC COMP/P/97223/09/2024</t>
  </si>
  <si>
    <t>KHI/HO/D/MO/MC COMP/P/97225/09/2024</t>
  </si>
  <si>
    <t>KHI/HO/D/MO/MC COMP/P/97229/09/2024</t>
  </si>
  <si>
    <t>KHI/HO/D/MO/MC COMP/P/97230/09/2024</t>
  </si>
  <si>
    <t>KHI/HO/D/MO/MC COMP/P/97231/09/2024</t>
  </si>
  <si>
    <t>KHI/HO/D/MO/MC COMP/P/97234/09/2024</t>
  </si>
  <si>
    <t>KHI/HO/D/MO/MC COMP/P/97235/09/2024</t>
  </si>
  <si>
    <t>KHI/HO/D/MO/MC COMP/P/97237/09/2024</t>
  </si>
  <si>
    <t>KHI/HO/D/MO/MC COMP/P/97238/09/2024</t>
  </si>
  <si>
    <t>KHI/HO/D/MO/MC COMP/P/97240/09/2024</t>
  </si>
  <si>
    <t>KHI/HO/D/MO/MC COMP/P/97241/09/2024</t>
  </si>
  <si>
    <t>KHI/HO/D/MO/MC COMP/P/97247/09/2024</t>
  </si>
  <si>
    <t>KHI/HO/D/MO/MC COMP/P/97248/09/2024</t>
  </si>
  <si>
    <t>KHI/HO/D/MO/MC COMP/P/97249/09/2024</t>
  </si>
  <si>
    <t>KHI/HO/D/MO/MC COMP/P/97250/09/2024</t>
  </si>
  <si>
    <t>KHI/HO/D/MO/MC COMP/P/97251/09/2024</t>
  </si>
  <si>
    <t>KHI/HO/D/MO/MC COMP/P/97252/09/2024</t>
  </si>
  <si>
    <t>KHI/HO/D/MO/MC COMP/P/97253/09/2024</t>
  </si>
  <si>
    <t>KHI/HO/D/MO/MC COMP/P/97254/09/2024</t>
  </si>
  <si>
    <t>KHI/HO/D/MO/MC COMP/P/97255/09/2024</t>
  </si>
  <si>
    <t>KHI/HO/D/MO/MC COMP/P/97256/09/2024</t>
  </si>
  <si>
    <t>KHI/HO/D/MO/MC COMP/P/97257/09/2024</t>
  </si>
  <si>
    <t>KHI/HO/D/MO/MC COMP/P/97258/09/2024</t>
  </si>
  <si>
    <t>KHI/HO/D/MO/MC COMP/P/97259/09/2024</t>
  </si>
  <si>
    <t>KHI/HO/D/MO/MC COMP/P/97260/09/2024</t>
  </si>
  <si>
    <t>KHI/HO/D/MO/MC COMP/P/97261/09/2024</t>
  </si>
  <si>
    <t>KHI/HO/D/MO/MC COMP/P/97262/09/2024</t>
  </si>
  <si>
    <t>KHI/HO/D/MO/MC COMP/P/97263/09/2024</t>
  </si>
  <si>
    <t>KHI/HO/D/MO/MC COMP/P/97264/09/2024</t>
  </si>
  <si>
    <t>KHI/HO/D/MO/MC COMP/P/97265/09/2024</t>
  </si>
  <si>
    <t>KHI/HO/D/MO/MC COMP/P/97266/09/2024</t>
  </si>
  <si>
    <t>KHI/HO/D/MO/MC COMP/P/97273/09/2024</t>
  </si>
  <si>
    <t>KHI/HO/D/MO/MC COMP/P/97274/09/2024</t>
  </si>
  <si>
    <t>KHI/HO/D/MO/MC COMP/P/97283/09/2024</t>
  </si>
  <si>
    <t>KHI/HO/D/MO/MC COMP/P/97292/09/2024</t>
  </si>
  <si>
    <t>KHI/HO/D/MO/MC COMP/P/97293/09/2024</t>
  </si>
  <si>
    <t>KHI/HO/D/MO/MC COMP/P/97294/09/2024</t>
  </si>
  <si>
    <t>KHI/HO/D/MO/MC COMP/P/97295/09/2024</t>
  </si>
  <si>
    <t>KHI/HO/D/MO/MC COMP/P/97304/09/2024</t>
  </si>
  <si>
    <t>KHI/HO/D/MO/MC COMP/P/97305/09/2024</t>
  </si>
  <si>
    <t>KHI/HO/D/MO/MC COMP/P/97312/09/2024</t>
  </si>
  <si>
    <t>KHI/HO/D/MO/MC COMP/P/97313/09/2024</t>
  </si>
  <si>
    <t>KHI/HO/D/MO/MC COMP/P/97314/09/2024</t>
  </si>
  <si>
    <t>KHI/HO/D/MO/MC COMP/P/97315/09/2024</t>
  </si>
  <si>
    <t>KHI/HO/D/MO/MC COMP/P/97316/09/2024</t>
  </si>
  <si>
    <t>KHI/HO/D/MO/MC COMP/P/97318/09/2024</t>
  </si>
  <si>
    <t>KHI/HO/D/MO/MC COMP/P/97319/09/2024</t>
  </si>
  <si>
    <t>KHI/HO/D/MO/MC COMP/P/97320/09/2024</t>
  </si>
  <si>
    <t>KHI/HO/D/MO/MC COMP/P/97322/09/2024</t>
  </si>
  <si>
    <t>KHI/HO/D/MO/MC COMP/P/97323/09/2024</t>
  </si>
  <si>
    <t>KHI/HO/D/MO/MC COMP/P/97324/09/2024</t>
  </si>
  <si>
    <t>KHI/HO/D/MO/MC COMP/P/97325/09/2024</t>
  </si>
  <si>
    <t>KHI/HO/D/MO/MC COMP/P/97327/09/2024</t>
  </si>
  <si>
    <t>KHI/HO/D/MO/MC COMP/P/97328/09/2024</t>
  </si>
  <si>
    <t>KHI/HO/D/MO/MC COMP/P/97330/09/2024</t>
  </si>
  <si>
    <t>KHI/HO/D/MO/MC COMP/P/97331/09/2024</t>
  </si>
  <si>
    <t>KHI/HO/D/MO/MC COMP/P/97333/09/2024</t>
  </si>
  <si>
    <t>KHI/HO/D/MO/MC COMP/P/97334/09/2024</t>
  </si>
  <si>
    <t>KHI/HO/D/MO/MC COMP/P/97335/09/2024</t>
  </si>
  <si>
    <t>KHI/HO/D/MO/MC COMP/P/97336/09/2024</t>
  </si>
  <si>
    <t>KHI/HO/D/MO/MC COMP/P/97338/09/2024</t>
  </si>
  <si>
    <t>KHI/HO/D/MO/MC COMP/P/97339/09/2024</t>
  </si>
  <si>
    <t>KHI/HO/D/MO/MC COMP/P/97340/09/2024</t>
  </si>
  <si>
    <t>KHI/HO/D/MO/MC COMP/P/97341/09/2024</t>
  </si>
  <si>
    <t>KHI/HO/D/MO/MC COMP/P/97342/09/2024</t>
  </si>
  <si>
    <t>KHI/HO/D/MO/MC COMP/P/97343/09/2024</t>
  </si>
  <si>
    <t>KHI/HO/D/MO/MC COMP/P/97344/09/2024</t>
  </si>
  <si>
    <t>KHI/HO/D/MO/MC COMP/P/97345/09/2024</t>
  </si>
  <si>
    <t>KHI/HO/D/MO/MC COMP/P/97346/09/2024</t>
  </si>
  <si>
    <t>KHI/HO/D/MO/MC COMP/P/97347/09/2024</t>
  </si>
  <si>
    <t>KHI/HO/D/MO/MC COMP/P/97348/09/2024</t>
  </si>
  <si>
    <t>KHI/HO/D/MO/MC COMP/P/97349/09/2024</t>
  </si>
  <si>
    <t>KHI/HO/D/MO/MC COMP/P/97350/09/2024</t>
  </si>
  <si>
    <t>KHI/HO/D/MO/MC COMP/P/97351/09/2024</t>
  </si>
  <si>
    <t>KHI/HO/D/MO/MC COMP/P/97352/09/2024</t>
  </si>
  <si>
    <t>KHI/HO/D/MO/MC COMP/P/97353/09/2024</t>
  </si>
  <si>
    <t>KHI/HO/D/MO/MC COMP/P/97354/09/2024</t>
  </si>
  <si>
    <t>KHI/HO/D/MO/MC COMP/P/97355/09/2024</t>
  </si>
  <si>
    <t>KHI/HO/D/MO/MC COMP/P/97357/09/2024</t>
  </si>
  <si>
    <t>KHI/HO/D/MO/MC COMP/P/97358/09/2024</t>
  </si>
  <si>
    <t>KHI/HO/D/MO/MC COMP/P/97361/09/2024</t>
  </si>
  <si>
    <t>KHI/HO/D/MO/MC COMP/P/97362/09/2024</t>
  </si>
  <si>
    <t>KHI/HO/D/MO/MC COMP/P/97363/09/2024</t>
  </si>
  <si>
    <t>KHI/HO/D/MO/MC COMP/P/97364/09/2024</t>
  </si>
  <si>
    <t>KHI/HO/D/MO/MC COMP/P/97365/09/2024</t>
  </si>
  <si>
    <t>KHI/HO/D/MO/MC COMP/P/97366/09/2024</t>
  </si>
  <si>
    <t>KHI/HO/D/MO/MC COMP/P/97368/09/2024</t>
  </si>
  <si>
    <t>KHI/HO/D/MO/MC COMP/P/97369/09/2024</t>
  </si>
  <si>
    <t>KHI/HO/D/MO/MC COMP/P/97370/09/2024</t>
  </si>
  <si>
    <t>KHI/HO/D/MO/MC COMP/P/97371/09/2024</t>
  </si>
  <si>
    <t>KHI/HO/D/MO/MC COMP/P/97372/09/2024</t>
  </si>
  <si>
    <t>KHI/HO/D/MO/MC COMP/P/97373/09/2024</t>
  </si>
  <si>
    <t>KHI/HO/D/MO/MC COMP/P/97374/09/2024</t>
  </si>
  <si>
    <t>KHI/HO/D/MO/MC COMP/P/97376/09/2024</t>
  </si>
  <si>
    <t>KHI/HO/D/MO/MC COMP/P/97377/09/2024</t>
  </si>
  <si>
    <t>KHI/HO/D/MO/MC COMP/P/97378/09/2024</t>
  </si>
  <si>
    <t>KHI/HO/D/MO/MC COMP/P/97379/09/2024</t>
  </si>
  <si>
    <t>KHI/HO/D/MO/MC COMP/P/97380/09/2024</t>
  </si>
  <si>
    <t>KHI/HO/D/MO/MC COMP/P/97381/09/2024</t>
  </si>
  <si>
    <t>KHI/HO/D/MO/MC COMP/P/97382/09/2024</t>
  </si>
  <si>
    <t>KHI/HO/D/MO/MC COMP/P/97383/09/2024</t>
  </si>
  <si>
    <t>KHI/HO/D/MO/MC COMP/P/97384/09/2024</t>
  </si>
  <si>
    <t>KHI/HO/D/MO/MC COMP/P/97385/09/2024</t>
  </si>
  <si>
    <t>KHI/HO/D/MO/MC COMP/P/97386/09/2024</t>
  </si>
  <si>
    <t>KHI/HO/D/MO/MC COMP/P/97387/09/2024</t>
  </si>
  <si>
    <t>KHI/HO/D/MO/MC COMP/P/97388/09/2024</t>
  </si>
  <si>
    <t>KHI/HO/D/MO/MC COMP/P/97389/09/2024</t>
  </si>
  <si>
    <t>KHI/HO/D/MO/MC COMP/P/97390/09/2024</t>
  </si>
  <si>
    <t>KHI/HO/D/MO/MC COMP/P/97391/09/2024</t>
  </si>
  <si>
    <t>KHI/HO/D/MO/MC COMP/P/97392/09/2024</t>
  </si>
  <si>
    <t>KHI/HO/D/MO/MC COMP/P/97393/09/2024</t>
  </si>
  <si>
    <t>KHI/HO/D/MO/MC COMP/P/97394/09/2024</t>
  </si>
  <si>
    <t>KHI/HO/D/MO/MC COMP/P/97395/09/2024</t>
  </si>
  <si>
    <t>KHI/HO/D/MO/MC COMP/P/97445/09/2024</t>
  </si>
  <si>
    <t>KHI/HO/D/MO/MC COMP/P/97450/09/2024</t>
  </si>
  <si>
    <t>KHI/HO/D/MO/MC COMP/P/97452/09/2024</t>
  </si>
  <si>
    <t>KHI/HO/D/MO/MC COMP/P/97454/09/2024</t>
  </si>
  <si>
    <t>KHI/HO/D/MO/MC COMP/P/97456/09/2024</t>
  </si>
  <si>
    <t>KHI/HO/D/MO/MC COMP/P/97457/09/2024</t>
  </si>
  <si>
    <t>KHI/HO/D/MO/MC COMP/P/97463/09/2024</t>
  </si>
  <si>
    <t>KHI/HO/D/MO/MC COMP/P/97466/09/2024</t>
  </si>
  <si>
    <t>KHI/HO/D/MO/MC COMP/P/97468/09/2024</t>
  </si>
  <si>
    <t>KHI/HO/D/MO/MC COMP/P/97469/09/2024</t>
  </si>
  <si>
    <t>KHI/HO/D/MO/MC COMP/P/97470/09/2024</t>
  </si>
  <si>
    <t>KHI/HO/D/MO/MC COMP/P/97477/09/2024</t>
  </si>
  <si>
    <t>KHI/HO/D/MO/MC COMP/P/97478/09/2024</t>
  </si>
  <si>
    <t>KHI/HO/D/MO/MC COMP/P/97479/09/2024</t>
  </si>
  <si>
    <t>KHI/HO/D/MO/MC COMP/P/97480/09/2024</t>
  </si>
  <si>
    <t>KHI/HO/D/MO/MC COMP/P/97483/09/2024</t>
  </si>
  <si>
    <t>KHI/HO/D/MO/MC COMP/P/97487/09/2024</t>
  </si>
  <si>
    <t>KHI/HO/D/MO/MC COMP/P/97501/09/2024</t>
  </si>
  <si>
    <t>KHI/HO/D/MO/MC COMP/P/97502/09/2024</t>
  </si>
  <si>
    <t>KHI/HO/D/MO/MC COMP/P/97503/09/2024</t>
  </si>
  <si>
    <t>KHI/HO/D/MO/MC COMP/P/97510/09/2024</t>
  </si>
  <si>
    <t>KHI/HO/D/MO/MC COMP/P/97511/09/2024</t>
  </si>
  <si>
    <t>KHI/HO/D/MO/MC COMP/P/97513/09/2024</t>
  </si>
  <si>
    <t>KHI/HO/D/MO/MC COMP/P/97524/09/2024</t>
  </si>
  <si>
    <t>KHI/HO/D/MO/MC COMP/P/97526/09/2024</t>
  </si>
  <si>
    <t>KHI/HO/D/MO/MC COMP/P/97527/09/2024</t>
  </si>
  <si>
    <t>KHI/HO/D/MO/MC COMP/P/97530/09/2024</t>
  </si>
  <si>
    <t>KHI/HO/D/MO/MC COMP/P/97543/09/2024</t>
  </si>
  <si>
    <t>KHI/HO/D/MO/MC COMP/P/97544/09/2024</t>
  </si>
  <si>
    <t>KHI/HO/D/MO/MC COMP/P/97546/09/2024</t>
  </si>
  <si>
    <t>KHI/HO/D/MO/MC COMP/P/97550/09/2024</t>
  </si>
  <si>
    <t>KHI/HO/D/MO/MC COMP/P/97551/09/2024</t>
  </si>
  <si>
    <t>KHI/HO/D/MO/MC COMP/P/97552/09/2024</t>
  </si>
  <si>
    <t>KHI/HO/D/MO/MC COMP/P/97553/09/2024</t>
  </si>
  <si>
    <t>KHI/HO/D/MO/MC COMP/P/97554/09/2024</t>
  </si>
  <si>
    <t>KHI/HO/D/MO/MC COMP/P/97570/09/2024</t>
  </si>
  <si>
    <t>KHI/HO/D/MO/MC COMP/P/97573/09/2024</t>
  </si>
  <si>
    <t>KHI/HO/D/MO/MC COMP/P/97581/09/2024</t>
  </si>
  <si>
    <t>KHI/HO/D/MO/MC COMP/P/97583/09/2024</t>
  </si>
  <si>
    <t>KHI/HO/D/MO/MC COMP/P/97584/09/2024</t>
  </si>
  <si>
    <t>KHI/HO/D/MO/MC COMP/P/97586/09/2024</t>
  </si>
  <si>
    <t>KHI/HO/D/MO/MC COMP/P/97587/09/2024</t>
  </si>
  <si>
    <t>KHI/HO/D/MO/MC COMP/P/97589/09/2024</t>
  </si>
  <si>
    <t>KHI/HO/D/MO/MC COMP/P/97591/09/2024</t>
  </si>
  <si>
    <t>KHI/HO/D/MO/MC COMP/P/97595/09/2024</t>
  </si>
  <si>
    <t>KHI/HO/D/MO/MC COMP/P/97603/09/2024</t>
  </si>
  <si>
    <t>KHI/HO/D/MO/MC COMP/P/97604/09/2024</t>
  </si>
  <si>
    <t>KHI/HO/D/MO/MC COMP/P/97610/09/2024</t>
  </si>
  <si>
    <t>KHI/HO/D/MO/MC COMP/P/97612/09/2024</t>
  </si>
  <si>
    <t>KHI/HO/D/MO/MC COMP/P/97613/09/2024</t>
  </si>
  <si>
    <t>KHI/HO/D/MO/MC COMP/P/97615/09/2024</t>
  </si>
  <si>
    <t>KHI/HO/D/MO/MC COMP/P/97616/09/2024</t>
  </si>
  <si>
    <t>KHI/HO/D/MO/MC COMP/P/97617/09/2024</t>
  </si>
  <si>
    <t>KHI/HO/D/MO/MC COMP/P/97619/09/2024</t>
  </si>
  <si>
    <t>KHI/HO/D/MO/MC COMP/P/97620/09/2024</t>
  </si>
  <si>
    <t>KHI/HO/D/MO/MC COMP/P/97621/09/2024</t>
  </si>
  <si>
    <t>KHI/HO/D/MO/MC COMP/P/97623/09/2024</t>
  </si>
  <si>
    <t>KHI/HO/D/MO/MC COMP/P/97624/09/2024</t>
  </si>
  <si>
    <t>KHI/HO/D/MO/MC COMP/P/97625/09/2024</t>
  </si>
  <si>
    <t>KHI/HO/D/MO/MC COMP/P/97626/09/2024</t>
  </si>
  <si>
    <t>KHI/HO/D/MO/MC COMP/P/97633/09/2024</t>
  </si>
  <si>
    <t>KHI/HO/D/MO/MC COMP/P/97636/09/2024</t>
  </si>
  <si>
    <t>KHI/HO/D/MO/MC COMP/P/97638/09/2024</t>
  </si>
  <si>
    <t>KHI/HO/D/MO/MC COMP/P/97639/09/2024</t>
  </si>
  <si>
    <t>KHI/HO/D/MO/MC COMP/P/97641/09/2024</t>
  </si>
  <si>
    <t>KHI/HO/D/MO/MC COMP/P/97642/09/2024</t>
  </si>
  <si>
    <t>KHI/HO/D/MO/MC COMP/P/97644/09/2024</t>
  </si>
  <si>
    <t>KHI/HO/D/MO/MC COMP/P/97645/09/2024</t>
  </si>
  <si>
    <t>KHI/HO/D/MO/MC COMP/P/97647/09/2024</t>
  </si>
  <si>
    <t>KHI/HO/D/MO/MC COMP/P/97648/09/2024</t>
  </si>
  <si>
    <t>KHI/HO/D/MO/MC COMP/P/97650/09/2024</t>
  </si>
  <si>
    <t>KHI/HO/D/MO/MC COMP/P/97651/09/2024</t>
  </si>
  <si>
    <t>KHI/HO/D/MO/MC COMP/P/97652/09/2024</t>
  </si>
  <si>
    <t>KHI/HO/D/MO/MC COMP/P/97653/09/2024</t>
  </si>
  <si>
    <t>KHI/HO/D/MO/MC COMP/P/97654/09/2024</t>
  </si>
  <si>
    <t>KHI/HO/D/MO/MC COMP/P/97655/09/2024</t>
  </si>
  <si>
    <t>KHI/HO/D/MO/MC COMP/P/97659/09/2024</t>
  </si>
  <si>
    <t>KHI/HO/D/MO/MC COMP/P/97662/09/2024</t>
  </si>
  <si>
    <t>KHI/HO/D/MO/MC COMP/P/97663/09/2024</t>
  </si>
  <si>
    <t>KHI/HO/D/MO/MC COMP/P/97667/09/2024</t>
  </si>
  <si>
    <t>KHI/HO/D/MO/MC COMP/P/97671/09/2024</t>
  </si>
  <si>
    <t>KHI/HO/D/MO/MC COMP/P/97672/09/2024</t>
  </si>
  <si>
    <t>KHI/HO/D/MO/MC COMP/P/97673/09/2024</t>
  </si>
  <si>
    <t>KHI/HO/D/MO/MC COMP/P/97674/09/2024</t>
  </si>
  <si>
    <t>KHI/HO/D/MO/MC COMP/P/97695/09/2024</t>
  </si>
  <si>
    <t>KHI/HO/D/MO/MC COMP/P/97696/09/2024</t>
  </si>
  <si>
    <t>KHI/HO/D/MO/MC COMP/P/97698/09/2024</t>
  </si>
  <si>
    <t>KHI/HO/D/MO/MC COMP/P/97699/09/2024</t>
  </si>
  <si>
    <t>KHI/HO/D/MO/MC COMP/P/97701/09/2024</t>
  </si>
  <si>
    <t>KHI/HO/D/MO/MC COMP/P/97703/09/2024</t>
  </si>
  <si>
    <t>KHI/HO/D/MO/MC COMP/P/97704/09/2024</t>
  </si>
  <si>
    <t>KHI/HO/D/MO/MC COMP/P/97705/09/2024</t>
  </si>
  <si>
    <t>KHI/HO/D/MO/MC COMP/P/97707/09/2024</t>
  </si>
  <si>
    <t>KHI/HO/D/MO/MC COMP/P/97708/09/2024</t>
  </si>
  <si>
    <t>KHI/HO/D/MO/MC COMP/P/97709/09/2024</t>
  </si>
  <si>
    <t>KHI/HO/D/MO/MC COMP/P/97710/09/2024</t>
  </si>
  <si>
    <t>KHI/HO/D/MO/MC COMP/P/97712/09/2024</t>
  </si>
  <si>
    <t>KHI/HO/D/MO/MC COMP/P/97713/09/2024</t>
  </si>
  <si>
    <t>KHI/HO/D/MO/MC COMP/P/97714/09/2024</t>
  </si>
  <si>
    <t>KHI/HO/D/MO/MC COMP/P/97715/09/2024</t>
  </si>
  <si>
    <t>KHI/HO/D/MO/MC COMP/P/97717/09/2024</t>
  </si>
  <si>
    <t>KHI/HO/D/MO/MC COMP/P/97718/09/2024</t>
  </si>
  <si>
    <t>KHI/HO/D/MO/MC COMP/P/97719/09/2024</t>
  </si>
  <si>
    <t>KHI/HO/D/MO/MC COMP/P/97720/09/2024</t>
  </si>
  <si>
    <t>KHI/HO/D/MO/MC COMP/P/97721/09/2024</t>
  </si>
  <si>
    <t>KHI/HO/D/MO/MC COMP/P/97723/09/2024</t>
  </si>
  <si>
    <t>KHI/HO/D/MO/MC COMP/P/97724/09/2024</t>
  </si>
  <si>
    <t>KHI/HO/D/MO/MC COMP/P/97727/09/2024</t>
  </si>
  <si>
    <t>KHI/HO/D/MO/MC COMP/P/97728/09/2024</t>
  </si>
  <si>
    <t>KHI/HO/D/MO/MC COMP/P/97729/09/2024</t>
  </si>
  <si>
    <t>KHI/HO/D/MO/MC COMP/P/97730/09/2024</t>
  </si>
  <si>
    <t>KHI/HO/D/MO/MC COMP/P/97731/09/2024</t>
  </si>
  <si>
    <t>KHI/HO/D/MO/MC COMP/P/97732/09/2024</t>
  </si>
  <si>
    <t>KHI/HO/D/MO/MC COMP/P/97734/09/2024</t>
  </si>
  <si>
    <t>KHI/HO/D/MO/MC COMP/P/97735/09/2024</t>
  </si>
  <si>
    <t>KHI/HO/D/MO/MC COMP/P/97736/09/2024</t>
  </si>
  <si>
    <t>KHI/HO/D/MO/MC COMP/P/97737/09/2024</t>
  </si>
  <si>
    <t>KHI/HO/D/MO/MC COMP/P/97744/09/2024</t>
  </si>
  <si>
    <t>KHI/HO/D/MO/MC COMP/P/97750/09/2024</t>
  </si>
  <si>
    <t>KHI/HO/D/MO/MC COMP/P/97751/09/2024</t>
  </si>
  <si>
    <t>KHI/HO/D/MO/MC COMP/P/97754/09/2024</t>
  </si>
  <si>
    <t>KHI/HO/D/MO/MC COMP/P/97758/09/2024</t>
  </si>
  <si>
    <t>KHI/HO/D/MO/MC COMP/P/97759/09/2024</t>
  </si>
  <si>
    <t>KHI/HO/D/MO/MC COMP/P/97760/09/2024</t>
  </si>
  <si>
    <t>KHI/HO/D/MO/MC COMP/P/97762/09/2024</t>
  </si>
  <si>
    <t>KHI/HO/D/MO/MC COMP/P/97765/09/2024</t>
  </si>
  <si>
    <t>KHI/HO/D/MO/MC COMP/P/97766/09/2024</t>
  </si>
  <si>
    <t>KHI/HO/D/MO/MC COMP/P/97767/09/2024</t>
  </si>
  <si>
    <t>KHI/HO/D/MO/MC COMP/P/97771/09/2024</t>
  </si>
  <si>
    <t>KHI/HO/D/MO/MC COMP/P/97772/09/2024</t>
  </si>
  <si>
    <t>KHI/HO/D/MO/MC COMP/P/97773/09/2024</t>
  </si>
  <si>
    <t>KHI/HO/D/MO/MC COMP/P/97774/09/2024</t>
  </si>
  <si>
    <t>KHI/HO/D/MO/MC COMP/P/97775/09/2024</t>
  </si>
  <si>
    <t>KHI/HO/D/MO/MC COMP/P/97776/09/2024</t>
  </si>
  <si>
    <t>KHI/HO/D/MO/MC COMP/P/97777/09/2024</t>
  </si>
  <si>
    <t>KHI/HO/D/MO/MC COMP/P/97778/09/2024</t>
  </si>
  <si>
    <t>KHI/HO/D/MO/MC COMP/P/97779/09/2024</t>
  </si>
  <si>
    <t>KHI/HO/D/MO/MC COMP/P/97780/09/2024</t>
  </si>
  <si>
    <t>KHI/HO/D/MO/MC COMP/P/97781/09/2024</t>
  </si>
  <si>
    <t>KHI/HO/D/MO/MC COMP/P/97782/09/2024</t>
  </si>
  <si>
    <t>KHI/HO/D/MO/MC COMP/P/97783/09/2024</t>
  </si>
  <si>
    <t>KHI/HO/D/MO/MC COMP/P/97784/09/2024</t>
  </si>
  <si>
    <t>KHI/HO/D/MO/MC COMP/P/97785/09/2024</t>
  </si>
  <si>
    <t>KHI/HO/D/MO/MC COMP/P/97786/09/2024</t>
  </si>
  <si>
    <t>KHI/HO/D/MO/MC COMP/P/97787/09/2024</t>
  </si>
  <si>
    <t>KHI/HO/D/MO/MC COMP/P/97788/09/2024</t>
  </si>
  <si>
    <t>KHI/HO/D/MO/MC COMP/P/97789/09/2024</t>
  </si>
  <si>
    <t>KHI/HO/D/MO/MC COMP/P/97790/09/2024</t>
  </si>
  <si>
    <t>KHI/HO/D/MO/MC COMP/P/97791/09/2024</t>
  </si>
  <si>
    <t>KHI/HO/D/MO/MC COMP/P/97792/09/2024</t>
  </si>
  <si>
    <t>KHI/HO/D/MO/MC COMP/P/97793/09/2024</t>
  </si>
  <si>
    <t>KHI/HO/D/MO/MC COMP/P/97794/09/2024</t>
  </si>
  <si>
    <t>KHI/HO/D/MO/MC COMP/P/97799/09/2024</t>
  </si>
  <si>
    <t>KHI/HO/D/MO/MC COMP/P/97800/09/2024</t>
  </si>
  <si>
    <t>KHI/HO/D/MO/MC COMP/P/97801/09/2024</t>
  </si>
  <si>
    <t>KHI/HO/D/MO/MC COMP/P/97804/09/2024</t>
  </si>
  <si>
    <t>KHI/HO/D/MO/MC COMP/P/97806/09/2024</t>
  </si>
  <si>
    <t>KHI/HO/D/MO/MC COMP/P/97807/09/2024</t>
  </si>
  <si>
    <t>KHI/HO/D/MO/MC COMP/P/97808/09/2024</t>
  </si>
  <si>
    <t>KHI/HO/D/MO/MC COMP/P/97809/09/2024</t>
  </si>
  <si>
    <t>KHI/HO/D/MO/MC COMP/P/97810/09/2024</t>
  </si>
  <si>
    <t>KHI/HO/D/MO/MC COMP/P/97811/09/2024</t>
  </si>
  <si>
    <t>KHI/HO/D/MO/MC COMP/P/97812/09/2024</t>
  </si>
  <si>
    <t>KHI/HO/D/MO/MC COMP/P/97817/09/2024</t>
  </si>
  <si>
    <t>KHI/HO/D/MO/MC COMP/P/97819/09/2024</t>
  </si>
  <si>
    <t>KHI/HO/D/MO/MC COMP/P/97820/09/2024</t>
  </si>
  <si>
    <t>KHI/HO/D/MO/MC COMP/P/97822/09/2024</t>
  </si>
  <si>
    <t>KHI/HO/D/MO/MC COMP/P/97825/09/2024</t>
  </si>
  <si>
    <t>KHI/HO/D/MO/MC COMP/P/97827/09/2024</t>
  </si>
  <si>
    <t>KHI/HO/D/MO/MC COMP/P/97828/09/2024</t>
  </si>
  <si>
    <t>KHI/HO/D/MO/MC COMP/P/97832/09/2024</t>
  </si>
  <si>
    <t>KHI/HO/D/MO/MC COMP/P/97833/09/2024</t>
  </si>
  <si>
    <t>KHI/HO/D/MO/MC COMP/P/97838/09/2024</t>
  </si>
  <si>
    <t>KHI/HO/D/MO/MC COMP/P/97840/09/2024</t>
  </si>
  <si>
    <t>KHI/HO/D/MO/MC COMP/P/97841/09/2024</t>
  </si>
  <si>
    <t>KHI/HO/D/MO/MC COMP/P/97842/09/2024</t>
  </si>
  <si>
    <t>KHI/HO/D/MO/MC COMP/P/97844/09/2024</t>
  </si>
  <si>
    <t>KHI/HO/D/MO/MC COMP/P/97848/09/2024</t>
  </si>
  <si>
    <t>KHI/HO/D/MO/MC COMP/P/97853/09/2024</t>
  </si>
  <si>
    <t>KHI/HO/D/MO/MC COMP/P/97857/09/2024</t>
  </si>
  <si>
    <t>KHI/HO/D/MO/MC COMP/P/97859/09/2024</t>
  </si>
  <si>
    <t>KHI/HO/D/MO/MC COMP/P/97860/09/2024</t>
  </si>
  <si>
    <t>KHI/HO/D/MO/MC COMP/P/97861/09/2024</t>
  </si>
  <si>
    <t>KHI/HO/D/MO/MC COMP/P/97862/09/2024</t>
  </si>
  <si>
    <t>KHI/HO/D/MO/MC COMP/P/97863/09/2024</t>
  </si>
  <si>
    <t>KHI/HO/D/MO/MC COMP/P/97867/09/2024</t>
  </si>
  <si>
    <t>KHI/HO/D/MO/MC COMP/P/97868/09/2024</t>
  </si>
  <si>
    <t>KHI/HO/D/MO/MC COMP/P/97869/09/2024</t>
  </si>
  <si>
    <t>KHI/HO/D/MO/MC COMP/P/97872/09/2024</t>
  </si>
  <si>
    <t>KHI/HO/D/MO/MC COMP/P/97873/09/2024</t>
  </si>
  <si>
    <t>KHI/HO/D/MO/MC COMP/P/97876/09/2024</t>
  </si>
  <si>
    <t>KHI/HO/D/MO/MC COMP/P/97878/09/2024</t>
  </si>
  <si>
    <t>KHI/HO/D/MO/MC COMP/P/97882/09/2024</t>
  </si>
  <si>
    <t>KHI/HO/D/MO/MC COMP/P/97883/09/2024</t>
  </si>
  <si>
    <t>KHI/HO/D/MO/MC COMP/P/97885/09/2024</t>
  </si>
  <si>
    <t>KHI/HO/D/MO/MC COMP/P/97886/09/2024</t>
  </si>
  <si>
    <t>KHI/HO/D/MO/MC COMP/P/97887/09/2024</t>
  </si>
  <si>
    <t>KHI/HO/D/MO/MC COMP/P/97888/09/2024</t>
  </si>
  <si>
    <t>KHI/HO/D/MO/MC COMP/P/97889/09/2024</t>
  </si>
  <si>
    <t>KHI/HO/D/MO/MC COMP/P/97891/09/2024</t>
  </si>
  <si>
    <t>KHI/HO/D/MO/MC COMP/P/97892/09/2024</t>
  </si>
  <si>
    <t>KHI/HO/D/MO/MC COMP/P/97893/09/2024</t>
  </si>
  <si>
    <t>KHI/HO/D/MO/MC COMP/P/97894/09/2024</t>
  </si>
  <si>
    <t>KHI/HO/D/MO/MC COMP/P/97895/09/2024</t>
  </si>
  <si>
    <t>KHI/HO/D/MO/MC COMP/P/97896/09/2024</t>
  </si>
  <si>
    <t>KHI/HO/D/MO/MC COMP/P/97897/09/2024</t>
  </si>
  <si>
    <t>KHI/HO/D/MO/MC COMP/P/97898/09/2024</t>
  </si>
  <si>
    <t>KHI/HO/D/MO/MC COMP/P/97901/09/2024</t>
  </si>
  <si>
    <t>KHI/HO/D/MO/MC COMP/P/97903/09/2024</t>
  </si>
  <si>
    <t>KHI/HO/D/MO/MC COMP/P/97906/09/2024</t>
  </si>
  <si>
    <t>KHI/HO/D/MO/MC COMP/P/97907/09/2024</t>
  </si>
  <si>
    <t>KHI/HO/D/MO/MC COMP/P/97908/09/2024</t>
  </si>
  <si>
    <t>KHI/HO/D/MO/MC COMP/P/97909/09/2024</t>
  </si>
  <si>
    <t>KHI/HO/D/MO/MC COMP/P/97910/09/2024</t>
  </si>
  <si>
    <t>KHI/HO/D/MO/MC COMP/P/97912/09/2024</t>
  </si>
  <si>
    <t>KHI/HO/D/MO/MC COMP/P/97917/09/2024</t>
  </si>
  <si>
    <t>KHI/HO/D/MO/MC COMP/P/97918/09/2024</t>
  </si>
  <si>
    <t>KHI/HO/D/MO/MC COMP/P/97921/09/2024</t>
  </si>
  <si>
    <t>KHI/HO/D/MO/MC COMP/P/97922/09/2024</t>
  </si>
  <si>
    <t>KHI/HO/D/MO/MC COMP/P/97923/09/2024</t>
  </si>
  <si>
    <t>KHI/HO/D/MO/MC COMP/P/97924/09/2024</t>
  </si>
  <si>
    <t>KHI/HO/D/MO/MC COMP/P/97925/09/2024</t>
  </si>
  <si>
    <t>KHI/HO/D/MO/MC COMP/P/97926/09/2024</t>
  </si>
  <si>
    <t>KHI/HO/D/MO/MC COMP/P/97927/09/2024</t>
  </si>
  <si>
    <t>KHI/HO/D/MO/MC COMP/P/97928/09/2024</t>
  </si>
  <si>
    <t>KHI/HO/D/MO/MC COMP/P/97929/09/2024</t>
  </si>
  <si>
    <t>KHI/HO/D/MO/MC COMP/P/97930/09/2024</t>
  </si>
  <si>
    <t>KHI/HO/D/MO/MC COMP/P/97931/09/2024</t>
  </si>
  <si>
    <t>KHI/HO/D/MO/MC COMP/P/97932/09/2024</t>
  </si>
  <si>
    <t>KHI/HO/D/MO/MC COMP/P/97933/09/2024</t>
  </si>
  <si>
    <t>KHI/HO/D/MO/MC COMP/P/97934/09/2024</t>
  </si>
  <si>
    <t>KHI/HO/D/MO/MC COMP/P/97936/09/2024</t>
  </si>
  <si>
    <t>KHI/HO/D/MO/MC COMP/P/97937/09/2024</t>
  </si>
  <si>
    <t>KHI/HO/D/MO/MC COMP/P/97938/09/2024</t>
  </si>
  <si>
    <t>KHI/HO/D/MO/MC COMP/P/97939/09/2024</t>
  </si>
  <si>
    <t>KHI/HO/D/MO/MC COMP/P/97940/09/2024</t>
  </si>
  <si>
    <t>KHI/HO/D/MO/MC COMP/P/97941/09/2024</t>
  </si>
  <si>
    <t>KHI/HO/D/MO/MC COMP/P/97942/09/2024</t>
  </si>
  <si>
    <t>KHI/HO/D/MO/MC COMP/P/97943/09/2024</t>
  </si>
  <si>
    <t>KHI/HO/D/MO/MC COMP/P/97944/09/2024</t>
  </si>
  <si>
    <t>KHI/HO/D/MO/MC COMP/P/97945/09/2024</t>
  </si>
  <si>
    <t>KHI/HO/D/MO/MC COMP/P/97946/09/2024</t>
  </si>
  <si>
    <t>KHI/HO/D/MO/MC COMP/P/97947/09/2024</t>
  </si>
  <si>
    <t>KHI/HO/D/MO/MC COMP/P/97948/09/2024</t>
  </si>
  <si>
    <t>KHI/HO/D/MO/MC COMP/P/97949/09/2024</t>
  </si>
  <si>
    <t>KHI/HO/D/MO/MC COMP/P/97950/09/2024</t>
  </si>
  <si>
    <t>KHI/HO/D/MO/MC COMP/P/97951/09/2024</t>
  </si>
  <si>
    <t>KHI/HO/D/MO/MC COMP/P/97952/09/2024</t>
  </si>
  <si>
    <t>KHI/HO/D/MO/MC COMP/P/97953/09/2024</t>
  </si>
  <si>
    <t>KHI/HO/D/MO/MC COMP/P/97954/09/2024</t>
  </si>
  <si>
    <t>KHI/HO/D/MO/MC COMP/P/97955/09/2024</t>
  </si>
  <si>
    <t>KHI/HO/D/MO/MC COMP/P/97956/09/2024</t>
  </si>
  <si>
    <t>KHI/HO/D/MO/MC COMP/P/97957/09/2024</t>
  </si>
  <si>
    <t>KHI/HO/D/MO/MC COMP/P/97958/09/2024</t>
  </si>
  <si>
    <t>KHI/HO/D/MO/MC COMP/P/97959/09/2024</t>
  </si>
  <si>
    <t>KHI/HO/D/MO/MC COMP/P/97960/09/2024</t>
  </si>
  <si>
    <t>KHI/HO/D/MO/MC COMP/P/97961/09/2024</t>
  </si>
  <si>
    <t>KHI/HO/D/MO/MC COMP/P/97962/09/2024</t>
  </si>
  <si>
    <t>KHI/HO/D/MO/MC COMP/P/97963/09/2024</t>
  </si>
  <si>
    <t>KHI/HO/D/MO/MC COMP/P/97964/09/2024</t>
  </si>
  <si>
    <t>KHI/HO/D/MO/MC COMP/P/97965/09/2024</t>
  </si>
  <si>
    <t>KHI/HO/D/MO/MC COMP/P/97966/09/2024</t>
  </si>
  <si>
    <t>KHI/HO/D/MO/MC COMP/P/97967/09/2024</t>
  </si>
  <si>
    <t>KHI/HO/D/MO/MC COMP/P/97968/09/2024</t>
  </si>
  <si>
    <t>KHI/HO/D/MO/MC COMP/P/97971/09/2024</t>
  </si>
  <si>
    <t>KHI/HO/D/MO/MC COMP/P/97972/09/2024</t>
  </si>
  <si>
    <t>KHI/HO/D/MO/MC COMP/P/97986/09/2024</t>
  </si>
  <si>
    <t>KHI/HO/D/MO/MC COMP/P/97989/09/2024</t>
  </si>
  <si>
    <t>KHI/HO/D/MO/MC COMP/P/97990/09/2024</t>
  </si>
  <si>
    <t>KHI/HO/D/MO/MC COMP/P/97998/09/2024</t>
  </si>
  <si>
    <t>KHI/HO/D/MO/MC COMP/P/98005/09/2024</t>
  </si>
  <si>
    <t>KHI/HO/D/MO/MC COMP/P/98007/09/2024</t>
  </si>
  <si>
    <t>KHI/HO/D/MO/MC COMP/P/98008/09/2024</t>
  </si>
  <si>
    <t>KHI/HO/D/MO/MC COMP/P/98010/09/2024</t>
  </si>
  <si>
    <t>KHI/HO/D/MO/MC COMP/P/98013/09/2024</t>
  </si>
  <si>
    <t>KHI/HO/D/MO/MC COMP/P/98016/09/2024</t>
  </si>
  <si>
    <t>KHI/HO/D/MO/MC COMP/P/98019/09/2024</t>
  </si>
  <si>
    <t>KHI/HO/D/MO/MC COMP/P/98022/09/2024</t>
  </si>
  <si>
    <t>KHI/HO/D/MO/MC COMP/P/98023/09/2024</t>
  </si>
  <si>
    <t>KHI/HO/D/MO/MC COMP/P/98024/09/2024</t>
  </si>
  <si>
    <t>KHI/HO/D/MO/MC COMP/P/98025/09/2024</t>
  </si>
  <si>
    <t>KHI/HO/D/MO/MC COMP/P/98027/09/2024</t>
  </si>
  <si>
    <t>KHI/HO/D/MO/MC COMP/P/98030/09/2024</t>
  </si>
  <si>
    <t>KHI/HO/D/MO/MC COMP/P/98031/09/2024</t>
  </si>
  <si>
    <t>KHI/HO/D/MO/MC COMP/P/98033/09/2024</t>
  </si>
  <si>
    <t>KHI/HO/D/MO/MC COMP/P/98034/09/2024</t>
  </si>
  <si>
    <t>KHI/HO/D/MO/MC COMP/P/98035/09/2024</t>
  </si>
  <si>
    <t>KHI/HO/D/MO/MC COMP/P/98038/09/2024</t>
  </si>
  <si>
    <t>KHI/HO/D/MO/MC COMP/P/98042/09/2024</t>
  </si>
  <si>
    <t>KHI/HO/D/MO/MC COMP/P/98043/09/2024</t>
  </si>
  <si>
    <t>KHI/HO/D/MO/MC COMP/P/98045/09/2024</t>
  </si>
  <si>
    <t>KHI/HO/D/MO/MC COMP/P/98046/09/2024</t>
  </si>
  <si>
    <t>KHI/HO/D/MO/MC COMP/P/98048/09/2024</t>
  </si>
  <si>
    <t>KHI/HO/D/MO/MC COMP/P/98049/09/2024</t>
  </si>
  <si>
    <t>KHI/HO/D/MO/MC COMP/P/98051/09/2024</t>
  </si>
  <si>
    <t>KHI/HO/D/MO/MC COMP/P/98053/09/2024</t>
  </si>
  <si>
    <t>KHI/HO/D/MO/MC COMP/P/98054/09/2024</t>
  </si>
  <si>
    <t>KHI/HO/D/MO/MC COMP/P/98055/09/2024</t>
  </si>
  <si>
    <t>KHI/HO/D/MO/MC COMP/P/98058/09/2024</t>
  </si>
  <si>
    <t>KHI/HO/D/MO/MC COMP/P/98059/09/2024</t>
  </si>
  <si>
    <t>KHI/HO/D/MO/MC COMP/P/98060/09/2024</t>
  </si>
  <si>
    <t>KHI/HO/D/MO/MC COMP/P/98062/09/2024</t>
  </si>
  <si>
    <t>KHI/HO/D/MO/MC COMP/P/98064/09/2024</t>
  </si>
  <si>
    <t>KHI/HO/D/MO/MC COMP/P/98066/09/2024</t>
  </si>
  <si>
    <t>KHI/HO/D/MO/MC COMP/P/98068/09/2024</t>
  </si>
  <si>
    <t>KHI/HO/D/MO/MC COMP/P/98070/09/2024</t>
  </si>
  <si>
    <t>KHI/HO/D/MO/MC COMP/P/98081/09/2024</t>
  </si>
  <si>
    <t>KHI/HO/D/MO/MC COMP/P/98082/09/2024</t>
  </si>
  <si>
    <t>KHI/HO/D/MO/MC COMP/P/98089/09/2024</t>
  </si>
  <si>
    <t>KHI/HO/D/MO/MC COMP/P/98090/09/2024</t>
  </si>
  <si>
    <t>KHI/HO/D/MO/MC COMP/P/98091/09/2024</t>
  </si>
  <si>
    <t>KHI/HO/D/MO/MC COMP/P/98092/09/2024</t>
  </si>
  <si>
    <t>KHI/HO/D/MO/MC COMP/P/98093/09/2024</t>
  </si>
  <si>
    <t>KHI/HO/D/MO/MC COMP/P/98094/09/2024</t>
  </si>
  <si>
    <t>KHI/HO/D/MO/MC COMP/P/98095/09/2024</t>
  </si>
  <si>
    <t>KHI/HO/D/MO/MC COMP/P/98096/09/2024</t>
  </si>
  <si>
    <t>KHI/HO/D/MO/MC COMP/P/98117/09/2024</t>
  </si>
  <si>
    <t>KHI/HO/D/MO/MC COMP/P/98123/09/2024</t>
  </si>
  <si>
    <t>KHI/HO/D/MO/MC COMP/P/98125/09/2024</t>
  </si>
  <si>
    <t>KHI/HO/D/MO/MC COMP/P/98126/09/2024</t>
  </si>
  <si>
    <t>KHI/HO/D/MO/MC COMP/P/98127/09/2024</t>
  </si>
  <si>
    <t>KHI/HO/D/MO/MC COMP/P/98128/09/2024</t>
  </si>
  <si>
    <t>KHI/HO/D/MO/MC COMP/P/98129/09/2024</t>
  </si>
  <si>
    <t>KHI/HO/D/MO/MC COMP/P/98131/09/2024</t>
  </si>
  <si>
    <t>KHI/HO/D/MO/MC COMP/P/98132/09/2024</t>
  </si>
  <si>
    <t>KHI/HO/D/MO/MC COMP/P/98134/09/2024</t>
  </si>
  <si>
    <t>KHI/HO/D/MO/MC COMP/P/98135/09/2024</t>
  </si>
  <si>
    <t>KHI/HO/D/MO/MC COMP/P/98138/09/2024</t>
  </si>
  <si>
    <t>KHI/HO/D/MO/MC COMP/P/98141/09/2024</t>
  </si>
  <si>
    <t>KHI/HO/D/MO/MC COMP/P/98143/09/2024</t>
  </si>
  <si>
    <t>KHI/HO/D/MO/MC COMP/P/98145/09/2024</t>
  </si>
  <si>
    <t>KHI/HO/D/MO/MC COMP/P/98146/09/2024</t>
  </si>
  <si>
    <t>KHI/HO/D/MO/MC COMP/P/98147/09/2024</t>
  </si>
  <si>
    <t>KHI/HO/D/MO/MC COMP/P/98148/09/2024</t>
  </si>
  <si>
    <t>KHI/HO/D/MO/MC COMP/P/98150/09/2024</t>
  </si>
  <si>
    <t>KHI/HO/D/MO/MC COMP/P/98151/09/2024</t>
  </si>
  <si>
    <t>KHI/HO/D/MO/MC COMP/P/98152/09/2024</t>
  </si>
  <si>
    <t>KHI/HO/D/MO/MC COMP/P/98153/09/2024</t>
  </si>
  <si>
    <t>KHI/HO/D/MO/MC COMP/P/98154/09/2024</t>
  </si>
  <si>
    <t>KHI/HO/D/MO/MC COMP/P/98155/09/2024</t>
  </si>
  <si>
    <t>KHI/HO/D/MO/MC COMP/P/98156/09/2024</t>
  </si>
  <si>
    <t>KHI/HO/D/MO/MC COMP/P/98157/09/2024</t>
  </si>
  <si>
    <t>KHI/HO/D/MO/MC COMP/P/98159/09/2024</t>
  </si>
  <si>
    <t>KHI/HO/D/MO/MC COMP/P/98160/09/2024</t>
  </si>
  <si>
    <t>KHI/HO/D/MO/MC COMP/P/98161/09/2024</t>
  </si>
  <si>
    <t>KHI/HO/D/MO/MC COMP/P/98163/09/2024</t>
  </si>
  <si>
    <t>KHI/HO/D/MO/MC COMP/P/98166/09/2024</t>
  </si>
  <si>
    <t>KHI/HO/D/MO/MC COMP/P/98169/09/2024</t>
  </si>
  <si>
    <t>KHI/HO/D/MO/MC COMP/P/98179/09/2024</t>
  </si>
  <si>
    <t>KHI/HO/D/MO/MC COMP/P/98180/09/2024</t>
  </si>
  <si>
    <t>KHI/HO/D/MO/MC COMP/P/98181/09/2024</t>
  </si>
  <si>
    <t>KHI/HO/D/MO/MC COMP/P/98184/09/2024</t>
  </si>
  <si>
    <t>KHI/HO/D/MO/MC COMP/P/98185/09/2024</t>
  </si>
  <si>
    <t>KHI/HO/D/MO/MC COMP/P/98187/09/2024</t>
  </si>
  <si>
    <t>KHI/HO/D/MO/MC COMP/P/98188/09/2024</t>
  </si>
  <si>
    <t>KHI/HO/D/MO/MC COMP/P/98189/09/2024</t>
  </si>
  <si>
    <t>KHI/HO/D/MO/MC COMP/P/98190/09/2024</t>
  </si>
  <si>
    <t>KHI/HO/D/MO/MC COMP/P/98191/09/2024</t>
  </si>
  <si>
    <t>KHI/HO/D/MO/MC COMP/P/98205/09/2024</t>
  </si>
  <si>
    <t>KHI/HO/D/MO/MC COMP/P/98206/09/2024</t>
  </si>
  <si>
    <t>KHI/HO/D/MO/MC COMP/P/98207/09/2024</t>
  </si>
  <si>
    <t>KHI/HO/D/MO/MC COMP/P/98208/09/2024</t>
  </si>
  <si>
    <t>KHI/HO/D/MO/MC COMP/P/98210/09/2024</t>
  </si>
  <si>
    <t>KHI/HO/D/MO/MC COMP/P/98214/09/2024</t>
  </si>
  <si>
    <t>KHI/HO/D/MO/MC COMP/P/98215/09/2024</t>
  </si>
  <si>
    <t>KHI/HO/D/MO/MC COMP/P/98221/09/2024</t>
  </si>
  <si>
    <t>KHI/HO/D/MO/MC COMP/P/98230/09/2024</t>
  </si>
  <si>
    <t>KHI/HO/D/MO/MC COMP/P/98231/09/2024</t>
  </si>
  <si>
    <t>KHI/HO/D/MO/MC COMP/P/98235/09/2024</t>
  </si>
  <si>
    <t>KHI/HO/D/MO/MC COMP/P/98236/09/2024</t>
  </si>
  <si>
    <t>KHI/HO/D/MO/MC COMP/P/98237/09/2024</t>
  </si>
  <si>
    <t>KHI/HO/D/MO/MC COMP/P/98238/09/2024</t>
  </si>
  <si>
    <t>KHI/HO/D/MO/MC COMP/P/98239/09/2024</t>
  </si>
  <si>
    <t>KHI/HO/D/MO/MC COMP/P/98240/09/2024</t>
  </si>
  <si>
    <t>KHI/HO/D/MO/MC COMP/P/98241/09/2024</t>
  </si>
  <si>
    <t>KHI/HO/D/MO/MC COMP/P/98247/09/2024</t>
  </si>
  <si>
    <t>KHI/HO/D/MO/MC COMP/P/98248/09/2024</t>
  </si>
  <si>
    <t>KHI/HO/D/MO/MC COMP/P/98251/09/2024</t>
  </si>
  <si>
    <t>KHI/HO/D/MO/MC COMP/P/98255/09/2024</t>
  </si>
  <si>
    <t>KHI/HO/D/MO/MC COMP/P/98257/09/2024</t>
  </si>
  <si>
    <t>KHI/HO/D/MO/MC COMP/P/98258/09/2024</t>
  </si>
  <si>
    <t>KHI/HO/D/MO/MC COMP/P/98262/09/2024</t>
  </si>
  <si>
    <t>KHI/HO/D/MO/MC COMP/P/98264/09/2024</t>
  </si>
  <si>
    <t>KHI/HO/D/MO/MC COMP/P/98272/09/2024</t>
  </si>
  <si>
    <t>KHI/HO/D/MO/MC COMP/P/98274/09/2024</t>
  </si>
  <si>
    <t>KHI/HO/D/MO/MC COMP/P/98276/09/2024</t>
  </si>
  <si>
    <t>KHI/HO/D/MO/MC COMP/P/98280/09/2024</t>
  </si>
  <si>
    <t>KHI/HO/D/MO/MC COMP/P/98281/09/2024</t>
  </si>
  <si>
    <t>KHI/HO/D/MO/MC COMP/P/98284/09/2024</t>
  </si>
  <si>
    <t>KHI/HO/D/MO/MC COMP/P/98285/09/2024</t>
  </si>
  <si>
    <t>KHI/HO/D/MO/MC COMP/P/98287/09/2024</t>
  </si>
  <si>
    <t>KHI/HO/D/MO/MC COMP/P/98288/09/2024</t>
  </si>
  <si>
    <t>KHI/HO/D/MO/MC COMP/P/98289/09/2024</t>
  </si>
  <si>
    <t>KHI/HO/D/MO/MC COMP/P/98290/09/2024</t>
  </si>
  <si>
    <t>KHI/HO/D/MO/MC COMP/P/98292/09/2024</t>
  </si>
  <si>
    <t>KHI/HO/D/MO/MC COMP/P/98293/09/2024</t>
  </si>
  <si>
    <t>KHI/HO/D/MO/MC COMP/P/98297/09/2024</t>
  </si>
  <si>
    <t>KHI/HO/D/MO/MC COMP/P/98307/09/2024</t>
  </si>
  <si>
    <t>KHI/HO/D/MO/MC COMP/P/98310/09/2024</t>
  </si>
  <si>
    <t>KHI/HO/D/MO/MC COMP/P/98311/09/2024</t>
  </si>
  <si>
    <t>KHI/HO/D/MO/MC COMP/P/98312/09/2024</t>
  </si>
  <si>
    <t>KHI/HO/D/MO/MC COMP/P/98313/09/2024</t>
  </si>
  <si>
    <t>KHI/HO/D/MO/MC COMP/P/98314/09/2024</t>
  </si>
  <si>
    <t>KHI/HO/D/MO/MC COMP/P/98315/09/2024</t>
  </si>
  <si>
    <t>KHI/HO/D/MO/MC COMP/P/98316/09/2024</t>
  </si>
  <si>
    <t>KHI/HO/D/MO/MC COMP/P/98317/09/2024</t>
  </si>
  <si>
    <t>KHI/HO/D/MO/MC COMP/P/98323/09/2024</t>
  </si>
  <si>
    <t>KHI/HO/D/MO/MC COMP/P/98331/09/2024</t>
  </si>
  <si>
    <t>KHI/HO/D/MO/MC COMP/P/98340/09/2024</t>
  </si>
  <si>
    <t>KHI/HO/D/MO/MC COMP/P/98342/09/2024</t>
  </si>
  <si>
    <t>KHI/HO/D/MO/MC COMP/P/98343/09/2024</t>
  </si>
  <si>
    <t>KHI/HO/D/MO/MC COMP/P/98344/09/2024</t>
  </si>
  <si>
    <t>KHI/HO/D/MO/MC COMP/P/98345/09/2024</t>
  </si>
  <si>
    <t>KHI/HO/D/MO/MC COMP/P/98346/09/2024</t>
  </si>
  <si>
    <t>KHI/HO/D/MO/MC COMP/P/98347/09/2024</t>
  </si>
  <si>
    <t>KHI/HO/D/MO/MC COMP/P/98348/09/2024</t>
  </si>
  <si>
    <t>KHI/HO/D/MO/MC COMP/P/98350/09/2024</t>
  </si>
  <si>
    <t>KHI/HO/D/MO/MC COMP/P/98351/09/2024</t>
  </si>
  <si>
    <t>KHI/HO/D/MO/MC COMP/P/98352/09/2024</t>
  </si>
  <si>
    <t>KHI/HO/D/MO/MC COMP/P/98353/09/2024</t>
  </si>
  <si>
    <t>KHI/HO/D/MO/MC COMP/P/98354/09/2024</t>
  </si>
  <si>
    <t>KHI/HO/D/MO/MC COMP/P/98355/09/2024</t>
  </si>
  <si>
    <t>KHI/HO/D/MO/MC COMP/P/98358/09/2024</t>
  </si>
  <si>
    <t>KHI/HO/D/MO/MC COMP/P/98359/09/2024</t>
  </si>
  <si>
    <t>KHI/HO/D/MO/MC COMP/P/98360/09/2024</t>
  </si>
  <si>
    <t>KHI/HO/D/MO/MC COMP/P/98361/09/2024</t>
  </si>
  <si>
    <t>KHI/HO/D/MO/MC COMP/P/98364/09/2024</t>
  </si>
  <si>
    <t>KHI/HO/D/MO/MC COMP/P/98365/09/2024</t>
  </si>
  <si>
    <t>KHI/HO/D/MO/MC COMP/P/98366/09/2024</t>
  </si>
  <si>
    <t>KHI/HO/D/MO/MC COMP/P/98367/09/2024</t>
  </si>
  <si>
    <t>KHI/HO/D/MO/MC COMP/P/98368/09/2024</t>
  </si>
  <si>
    <t>KHI/HO/D/MO/MC COMP/P/98369/09/2024</t>
  </si>
  <si>
    <t>KHI/HO/D/MO/MC COMP/P/98370/09/2024</t>
  </si>
  <si>
    <t>KHI/HO/D/MO/MC COMP/P/98373/09/2024</t>
  </si>
  <si>
    <t>KHI/HO/D/MO/MC COMP/P/98375/09/2024</t>
  </si>
  <si>
    <t>KHI/HO/D/MO/MC COMP/P/98376/09/2024</t>
  </si>
  <si>
    <t>KHI/HO/D/MO/MC COMP/P/98378/09/2024</t>
  </si>
  <si>
    <t>KHI/HO/D/MO/MC COMP/P/98379/09/2024</t>
  </si>
  <si>
    <t>KHI/HO/D/MO/MC COMP/P/98380/09/2024</t>
  </si>
  <si>
    <t>KHI/HO/D/MO/MC COMP/P/98381/09/2024</t>
  </si>
  <si>
    <t>KHI/HO/D/MO/MC COMP/P/98383/09/2024</t>
  </si>
  <si>
    <t>KHI/HO/D/MO/MC COMP/P/98384/09/2024</t>
  </si>
  <si>
    <t>KHI/HO/D/MO/MC COMP/P/98385/09/2024</t>
  </si>
  <si>
    <t>KHI/HO/D/MO/MC COMP/P/98386/09/2024</t>
  </si>
  <si>
    <t>KHI/HO/D/MO/MC COMP/P/98387/09/2024</t>
  </si>
  <si>
    <t>KHI/HO/D/MO/MC COMP/P/98389/09/2024</t>
  </si>
  <si>
    <t>KHI/HO/D/MO/MC COMP/P/98395/09/2024</t>
  </si>
  <si>
    <t>KHI/HO/D/MO/MC COMP/P/98396/09/2024</t>
  </si>
  <si>
    <t>KHI/HO/D/MO/MC COMP/P/98401/09/2024</t>
  </si>
  <si>
    <t>KHI/HO/D/MO/MC COMP/P/98410/09/2024</t>
  </si>
  <si>
    <t>KHI/HO/D/MO/MC COMP/P/98411/09/2024</t>
  </si>
  <si>
    <t>KHI/HO/D/MO/MC COMP/P/98412/09/2024</t>
  </si>
  <si>
    <t>KHI/HO/D/MO/MC COMP/P/98413/09/2024</t>
  </si>
  <si>
    <t>KHI/HO/D/MO/MC COMP/P/98414/09/2024</t>
  </si>
  <si>
    <t>KHI/HO/D/MO/MC COMP/P/98415/09/2024</t>
  </si>
  <si>
    <t>KHI/HO/D/MO/MC COMP/P/98416/09/2024</t>
  </si>
  <si>
    <t>KHI/HO/D/MO/MC COMP/P/98418/09/2024</t>
  </si>
  <si>
    <t>KHI/HO/D/MO/MC COMP/P/98419/09/2024</t>
  </si>
  <si>
    <t>KHI/HO/D/MO/MC COMP/P/98420/09/2024</t>
  </si>
  <si>
    <t>KHI/HO/D/MO/MC COMP/P/98422/09/2024</t>
  </si>
  <si>
    <t>KHI/HO/D/MO/MC COMP/P/98423/09/2024</t>
  </si>
  <si>
    <t>KHI/HO/D/MO/MC COMP/P/98424/09/2024</t>
  </si>
  <si>
    <t>KHI/HO/D/MO/MC COMP/P/98425/09/2024</t>
  </si>
  <si>
    <t>KHI/HO/D/MO/MC COMP/P/98427/09/2024</t>
  </si>
  <si>
    <t>KHI/HO/D/MO/MC COMP/P/98428/09/2024</t>
  </si>
  <si>
    <t>KHI/HO/D/MO/MC COMP/P/98429/09/2024</t>
  </si>
  <si>
    <t>KHI/HO/D/MO/MC COMP/P/98430/09/2024</t>
  </si>
  <si>
    <t>KHI/HO/D/MO/MC COMP/P/98431/09/2024</t>
  </si>
  <si>
    <t>KHI/HO/D/MO/MC COMP/P/98432/09/2024</t>
  </si>
  <si>
    <t>KHI/HO/D/MO/MC COMP/P/98433/09/2024</t>
  </si>
  <si>
    <t>KHI/HO/D/MO/MC COMP/P/98434/09/2024</t>
  </si>
  <si>
    <t>KHI/HO/D/MO/MC COMP/P/98435/09/2024</t>
  </si>
  <si>
    <t>KHI/HO/D/MO/MC COMP/P/98436/09/2024</t>
  </si>
  <si>
    <t>KHI/HO/D/MO/MC COMP/P/98437/09/2024</t>
  </si>
  <si>
    <t>KHI/HO/D/MO/MC COMP/P/98438/09/2024</t>
  </si>
  <si>
    <t>KHI/HO/D/MO/MC COMP/P/98439/09/2024</t>
  </si>
  <si>
    <t>KHI/HO/D/MO/MC COMP/P/98440/09/2024</t>
  </si>
  <si>
    <t>KHI/HO/D/MO/MC COMP/P/98441/09/2024</t>
  </si>
  <si>
    <t>KHI/HO/D/MO/MC COMP/P/98442/09/2024</t>
  </si>
  <si>
    <t>KHI/HO/D/MO/MC COMP/P/98443/09/2024</t>
  </si>
  <si>
    <t>KHI/HO/D/MO/MC COMP/P/98444/09/2024</t>
  </si>
  <si>
    <t>KHI/HO/D/MO/MC COMP/P/98445/09/2024</t>
  </si>
  <si>
    <t>KHI/HO/D/MO/MC COMP/P/98446/09/2024</t>
  </si>
  <si>
    <t>KHI/HO/D/MO/MC COMP/P/98447/09/2024</t>
  </si>
  <si>
    <t>KHI/HO/D/MO/MC COMP/P/98448/09/2024</t>
  </si>
  <si>
    <t>KHI/HO/D/MO/MC COMP/P/98449/09/2024</t>
  </si>
  <si>
    <t>KHI/HO/D/MO/MC COMP/P/98450/09/2024</t>
  </si>
  <si>
    <t>KHI/HO/D/MO/MC COMP/P/98451/09/2024</t>
  </si>
  <si>
    <t>KHI/HO/D/MO/MC COMP/P/98452/09/2024</t>
  </si>
  <si>
    <t>KHI/HO/D/MO/MC COMP/P/98473/09/2024</t>
  </si>
  <si>
    <t>KHI/HO/D/MO/MC COMP/P/98474/09/2024</t>
  </si>
  <si>
    <t>KHI/HO/D/MO/MC COMP/P/98485/09/2024</t>
  </si>
  <si>
    <t>KHI/HO/D/MO/MC COMP/P/98486/09/2024</t>
  </si>
  <si>
    <t>KHI/HO/D/MO/MC COMP/P/98487/09/2024</t>
  </si>
  <si>
    <t>KHI/HO/D/MO/MC COMP/P/98488/09/2024</t>
  </si>
  <si>
    <t>KHI/HO/D/MO/MC COMP/P/98489/09/2024</t>
  </si>
  <si>
    <t>KHI/HO/D/MO/MC COMP/P/98490/09/2024</t>
  </si>
  <si>
    <t>KHI/HO/D/MO/MC COMP/P/98491/09/2024</t>
  </si>
  <si>
    <t>KHI/HO/D/MO/MC COMP/P/98492/09/2024</t>
  </si>
  <si>
    <t>KHI/HO/D/MO/MC COMP/P/98493/09/2024</t>
  </si>
  <si>
    <t>KHI/HO/D/MO/MC COMP/P/98494/09/2024</t>
  </si>
  <si>
    <t>KHI/HO/D/MO/MC COMP/P/98495/09/2024</t>
  </si>
  <si>
    <t>KHI/HO/D/MO/MC COMP/P/98496/09/2024</t>
  </si>
  <si>
    <t>KHI/HO/D/MO/MC COMP/P/98497/09/2024</t>
  </si>
  <si>
    <t>KHI/HO/D/MO/MC COMP/P/98498/09/2024</t>
  </si>
  <si>
    <t>KHI/HO/D/MO/MC COMP/P/98499/09/2024</t>
  </si>
  <si>
    <t>KHI/HO/D/MO/MC COMP/P/98500/09/2024</t>
  </si>
  <si>
    <t>KHI/HO/D/MO/MC COMP/P/98501/09/2024</t>
  </si>
  <si>
    <t>KHI/HO/D/MO/MC COMP/P/98502/09/2024</t>
  </si>
  <si>
    <t>KHI/HO/D/MO/MC COMP/P/98505/09/2024</t>
  </si>
  <si>
    <t>KHI/HO/D/MO/MC COMP/P/98506/09/2024</t>
  </si>
  <si>
    <t>KHI/HO/D/MO/MC COMP/P/98508/09/2024</t>
  </si>
  <si>
    <t>KHI/HO/D/MO/MC COMP/P/98512/09/2024</t>
  </si>
  <si>
    <t>KHI/HO/D/MO/MC COMP/P/98513/09/2024</t>
  </si>
  <si>
    <t>KHI/HO/D/MO/MC COMP/P/98514/09/2024</t>
  </si>
  <si>
    <t>KHI/HO/D/MO/MC COMP/P/98516/09/2024</t>
  </si>
  <si>
    <t>KHI/HO/D/MO/MC COMP/P/98518/09/2024</t>
  </si>
  <si>
    <t>KHI/HO/D/MO/MC COMP/P/98520/09/2024</t>
  </si>
  <si>
    <t>KHI/HO/D/MO/MC COMP/P/98521/09/2024</t>
  </si>
  <si>
    <t>KHI/HO/D/MO/MC COMP/P/98525/09/2024</t>
  </si>
  <si>
    <t>KHI/HO/D/MO/MC COMP/P/98533/09/2024</t>
  </si>
  <si>
    <t>KHI/HO/D/MO/MC COMP/P/98534/09/2024</t>
  </si>
  <si>
    <t>KHI/HO/D/MO/MC COMP/P/98536/09/2024</t>
  </si>
  <si>
    <t>KHI/HO/D/MO/MC COMP/P/98537/09/2024</t>
  </si>
  <si>
    <t>KHI/HO/D/MO/MC COMP/P/98539/09/2024</t>
  </si>
  <si>
    <t>KHI/HO/D/MO/MC COMP/P/98544/09/2024</t>
  </si>
  <si>
    <t>KHI/HO/D/MO/MC COMP/P/98545/09/2024</t>
  </si>
  <si>
    <t>KHI/HO/D/MO/MC COMP/P/98548/09/2024</t>
  </si>
  <si>
    <t>KHI/HO/D/MO/MC COMP/P/98549/09/2024</t>
  </si>
  <si>
    <t>KHI/HO/D/MO/MC COMP/P/98553/09/2024</t>
  </si>
  <si>
    <t>KHI/HO/D/MO/MC COMP/P/98555/09/2024</t>
  </si>
  <si>
    <t>KHI/HO/D/MO/MC COMP/P/98556/09/2024</t>
  </si>
  <si>
    <t>KHI/HO/D/MO/MC COMP/P/98557/09/2024</t>
  </si>
  <si>
    <t>KHI/HO/D/MO/MC COMP/P/98558/09/2024</t>
  </si>
  <si>
    <t>KHI/HO/D/MO/MC COMP/P/98559/09/2024</t>
  </si>
  <si>
    <t>KHI/HO/D/MO/MC COMP/P/98560/09/2024</t>
  </si>
  <si>
    <t>KHI/HO/D/MO/MC COMP/P/98561/09/2024</t>
  </si>
  <si>
    <t>KHI/HO/D/MO/MC COMP/P/98562/09/2024</t>
  </si>
  <si>
    <t>KHI/HO/D/MO/MC COMP/P/98563/09/2024</t>
  </si>
  <si>
    <t>KHI/HO/D/MO/MC COMP/P/98564/09/2024</t>
  </si>
  <si>
    <t>KHI/HO/D/MO/MC COMP/P/98565/09/2024</t>
  </si>
  <si>
    <t>KHI/HO/D/MO/MC COMP/P/98566/09/2024</t>
  </si>
  <si>
    <t>KHI/HO/D/MO/MC COMP/P/98567/09/2024</t>
  </si>
  <si>
    <t>KHI/HO/D/MO/MC COMP/P/98568/09/2024</t>
  </si>
  <si>
    <t>KHI/HO/D/MO/MC COMP/P/98569/09/2024</t>
  </si>
  <si>
    <t>KHI/HO/D/MO/MC COMP/P/98570/09/2024</t>
  </si>
  <si>
    <t>KHI/HO/D/MO/MC COMP/P/98571/09/2024</t>
  </si>
  <si>
    <t>KHI/HO/D/MO/MC COMP/P/98572/09/2024</t>
  </si>
  <si>
    <t>KHI/HO/D/MO/MC COMP/P/98573/09/2024</t>
  </si>
  <si>
    <t>KHI/HO/D/MO/MC COMP/P/98574/09/2024</t>
  </si>
  <si>
    <t>KHI/HO/D/MO/MC COMP/P/98575/09/2024</t>
  </si>
  <si>
    <t>KHI/HO/D/MO/MC COMP/P/98576/09/2024</t>
  </si>
  <si>
    <t>KHI/HO/D/MO/MC COMP/P/98577/09/2024</t>
  </si>
  <si>
    <t>KHI/HO/D/MO/MC COMP/P/98578/09/2024</t>
  </si>
  <si>
    <t>KHI/HO/D/MO/MC COMP/P/98579/09/2024</t>
  </si>
  <si>
    <t>KHI/HO/D/MO/MC COMP/P/98580/09/2024</t>
  </si>
  <si>
    <t>KHI/HO/D/MO/MC COMP/P/98581/09/2024</t>
  </si>
  <si>
    <t>KHI/HO/D/MO/MC COMP/P/98582/09/2024</t>
  </si>
  <si>
    <t>KHI/HO/D/MO/MC COMP/P/98583/09/2024</t>
  </si>
  <si>
    <t>KHI/HO/D/MO/MC COMP/P/98584/09/2024</t>
  </si>
  <si>
    <t>KHI/HO/D/MO/MC COMP/P/98585/09/2024</t>
  </si>
  <si>
    <t>KHI/HO/D/MO/MC COMP/P/98586/09/2024</t>
  </si>
  <si>
    <t>KHI/HO/D/MO/MC COMP/P/98587/09/2024</t>
  </si>
  <si>
    <t>KHI/HO/D/MO/MC COMP/P/98588/09/2024</t>
  </si>
  <si>
    <t>KHI/HO/D/MO/MC COMP/P/98589/09/2024</t>
  </si>
  <si>
    <t>KHI/HO/D/MO/MC COMP/P/98590/09/2024</t>
  </si>
  <si>
    <t>KHI/HO/D/MO/MC COMP/P/98591/09/2024</t>
  </si>
  <si>
    <t>KHI/HO/D/MO/MC COMP/P/98592/09/2024</t>
  </si>
  <si>
    <t>KHI/HO/D/MO/MC COMP/P/98593/09/2024</t>
  </si>
  <si>
    <t>KHI/HO/D/MO/MC COMP/P/98594/09/2024</t>
  </si>
  <si>
    <t>KHI/HO/D/MO/MC COMP/P/98595/09/2024</t>
  </si>
  <si>
    <t>KHI/HO/D/MO/MC COMP/P/98598/09/2024</t>
  </si>
  <si>
    <t>KHI/HO/D/MO/MC COMP/P/98599/09/2024</t>
  </si>
  <si>
    <t>KHI/HO/D/MO/MC COMP/P/98618/09/2024</t>
  </si>
  <si>
    <t>KHI/HO/D/MO/MC COMP/P/98619/09/2024</t>
  </si>
  <si>
    <t>KHI/HO/D/MO/MC COMP/P/98621/09/2024</t>
  </si>
  <si>
    <t>KHI/HO/D/MO/MC COMP/P/98623/09/2024</t>
  </si>
  <si>
    <t>KHI/HO/D/MO/MC COMP/P/98626/09/2024</t>
  </si>
  <si>
    <t>KHI/HO/D/MO/MC COMP/P/98627/09/2024</t>
  </si>
  <si>
    <t>KHI/HO/D/MO/MC COMP/P/98628/09/2024</t>
  </si>
  <si>
    <t>KHI/HO/D/MO/MC COMP/P/98630/09/2024</t>
  </si>
  <si>
    <t>KHI/HO/D/MO/MC COMP/P/98631/09/2024</t>
  </si>
  <si>
    <t>KHI/HO/D/MO/MC COMP/P/98632/09/2024</t>
  </si>
  <si>
    <t>KHI/HO/D/MO/MC COMP/P/98633/09/2024</t>
  </si>
  <si>
    <t>KHI/HO/D/MO/MC COMP/P/98634/09/2024</t>
  </si>
  <si>
    <t>KHI/HO/D/MO/MC COMP/P/98635/09/2024</t>
  </si>
  <si>
    <t>KHI/HO/D/MO/MC COMP/P/98636/09/2024</t>
  </si>
  <si>
    <t>KHI/HO/D/MO/MC COMP/P/98638/09/2024</t>
  </si>
  <si>
    <t>KHI/HO/D/MO/MC COMP/P/98640/09/2024</t>
  </si>
  <si>
    <t>KHI/HO/D/MO/MC COMP/P/98642/09/2024</t>
  </si>
  <si>
    <t>KHI/HO/D/MO/MC COMP/P/98643/09/2024</t>
  </si>
  <si>
    <t>KHI/HO/D/MO/MC COMP/P/98645/09/2024</t>
  </si>
  <si>
    <t>KHI/HO/D/MO/MC COMP/P/98650/09/2024</t>
  </si>
  <si>
    <t>KHI/HO/D/MO/MC COMP/P/98651/09/2024</t>
  </si>
  <si>
    <t>KHI/HO/D/MO/MC COMP/P/98657/09/2024</t>
  </si>
  <si>
    <t>KHI/HO/D/MO/MC COMP/P/98658/09/2024</t>
  </si>
  <si>
    <t>KHI/HO/D/MO/MC COMP/P/98661/09/2024</t>
  </si>
  <si>
    <t>KHI/HO/D/MO/MC COMP/P/98662/09/2024</t>
  </si>
  <si>
    <t>KHI/HO/D/MO/MC COMP/P/98666/09/2024</t>
  </si>
  <si>
    <t>KHI/HO/D/MO/MC COMP/P/98668/09/2024</t>
  </si>
  <si>
    <t>KHI/HO/D/MO/MC COMP/P/98669/09/2024</t>
  </si>
  <si>
    <t>KHI/HO/D/MO/MC COMP/P/98686/09/2024</t>
  </si>
  <si>
    <t>KHI/HO/D/MO/MC COMP/P/98698/09/2024</t>
  </si>
  <si>
    <t>KHI/HO/D/MO/MC COMP/P/98699/09/2024</t>
  </si>
  <si>
    <t>KHI/HO/D/MO/MC COMP/P/98700/09/2024</t>
  </si>
  <si>
    <t>KHI/HO/D/MO/MC COMP/P/98701/09/2024</t>
  </si>
  <si>
    <t>KHI/HO/D/MO/MC COMP/P/98702/09/2024</t>
  </si>
  <si>
    <t>KHI/HO/D/MO/MC COMP/P/98703/09/2024</t>
  </si>
  <si>
    <t>KHI/HO/D/MO/MC COMP/P/98704/09/2024</t>
  </si>
  <si>
    <t>KHI/HO/D/MO/MC COMP/P/98705/09/2024</t>
  </si>
  <si>
    <t>KHI/HO/D/MO/MC COMP/P/98706/09/2024</t>
  </si>
  <si>
    <t>KHI/HO/D/MO/MC COMP/P/98707/09/2024</t>
  </si>
  <si>
    <t>KHI/HO/D/MO/MC COMP/P/98708/09/2024</t>
  </si>
  <si>
    <t>KHI/HO/D/MO/MC COMP/P/98709/09/2024</t>
  </si>
  <si>
    <t>KHI/HO/D/MO/MC COMP/P/98710/09/2024</t>
  </si>
  <si>
    <t>AMIR SOHAIL</t>
  </si>
  <si>
    <t>FARRUKH KHAN</t>
  </si>
  <si>
    <t>MUHAMMAD USMAN RASHEED</t>
  </si>
  <si>
    <t>MAHBOOB SATTAR</t>
  </si>
  <si>
    <t>MUHAMMAD USMAN ASHRAF TAHIR</t>
  </si>
  <si>
    <t>ASIF SHAHZAD</t>
  </si>
  <si>
    <t>WASEEM AKHTAR</t>
  </si>
  <si>
    <t>MEHTAB AHMED KHAN</t>
  </si>
  <si>
    <t>S SHAMSHAD HUSSAIN</t>
  </si>
  <si>
    <t>FAHIM KHAN</t>
  </si>
  <si>
    <t>MUHAMMAD ALI AMIN</t>
  </si>
  <si>
    <t>MUHAMMAD TAYYAB NAWAZ</t>
  </si>
  <si>
    <t>HASSAN HUSSAIN KHAN</t>
  </si>
  <si>
    <t>AWAIS ALI</t>
  </si>
  <si>
    <t>MUHAMMAD HAROON</t>
  </si>
  <si>
    <t>MUHAMMAD FARHAN</t>
  </si>
  <si>
    <t>MUHAMMAD UBAID</t>
  </si>
  <si>
    <t>Rehman ALi</t>
  </si>
  <si>
    <t>RANA ASHFAQ MANZOOR</t>
  </si>
  <si>
    <t>AYAZ HUSSAIN</t>
  </si>
  <si>
    <t>KHALID MAHMOOD</t>
  </si>
  <si>
    <t>Inam U Allah</t>
  </si>
  <si>
    <t>MIRZA HAIDER ALI</t>
  </si>
  <si>
    <t>Hafiz M Muzamil</t>
  </si>
  <si>
    <t>AFTAB AHMAD</t>
  </si>
  <si>
    <t>ABDULLAH BIN IRFAN</t>
  </si>
  <si>
    <t>AHMED HAFEEZ</t>
  </si>
  <si>
    <t>IJAZ HUSSAIN</t>
  </si>
  <si>
    <t>MUHAMMAD IQBAL ASHRAF</t>
  </si>
  <si>
    <t>GHULAM ABBAS</t>
  </si>
  <si>
    <t>ASGHAR ALI</t>
  </si>
  <si>
    <t>LUQMAN AHMAD</t>
  </si>
  <si>
    <t>HAFIZ IKRAM UL HAQ</t>
  </si>
  <si>
    <t>MUHAMMAD USAMA BIN RASHEED</t>
  </si>
  <si>
    <t>MUHAMMAD YASIN</t>
  </si>
  <si>
    <t>FAIZAN KHAN</t>
  </si>
  <si>
    <t>MUHAMMAD ASIM JAVID</t>
  </si>
  <si>
    <t>WAHAB UL HASSAN</t>
  </si>
  <si>
    <t>WAHEED NASIR</t>
  </si>
  <si>
    <t>HAFIZ MUHAMMAD USMAN</t>
  </si>
  <si>
    <t>KHALID MUHMOOD</t>
  </si>
  <si>
    <t>MUHAMMAD YAQUB</t>
  </si>
  <si>
    <t>RIZWAN ALI BUTT</t>
  </si>
  <si>
    <t>MUHAMMAD HAFEEZ</t>
  </si>
  <si>
    <t>SAGEER AHMAD</t>
  </si>
  <si>
    <t>SHERAZ TAJDIN</t>
  </si>
  <si>
    <t>NASIR ALI</t>
  </si>
  <si>
    <t>MUHAMMAD RAMEEZ QURESHI</t>
  </si>
  <si>
    <t>MUHAMMAD ZUBAIR KHALID</t>
  </si>
  <si>
    <t>SYED IQTADAR HUSSAIN ZAIDI</t>
  </si>
  <si>
    <t>SYED AHAD WASIF NAQVI</t>
  </si>
  <si>
    <t>MIRZA AHMAD RAZA MEHMOOD</t>
  </si>
  <si>
    <t>ZESHAN SAEED</t>
  </si>
  <si>
    <t>Sohaib Shahid</t>
  </si>
  <si>
    <t>MUHAMMAD TAHA</t>
  </si>
  <si>
    <t>TAIMOOR ILYAS MALIK</t>
  </si>
  <si>
    <t>SAQIB NASEEM AKBAR</t>
  </si>
  <si>
    <t>MUHAMMAD SHUJAAT HUSSAIN</t>
  </si>
  <si>
    <t>MUHAMMAD WAQAS SADIQ</t>
  </si>
  <si>
    <t>MUHAMMAD YASEEN SHAHID</t>
  </si>
  <si>
    <t>MATEEN BIN TARIQ</t>
  </si>
  <si>
    <t>MUHAMMAD NADEEM ASHRAF</t>
  </si>
  <si>
    <t>ABDUL WADOOD</t>
  </si>
  <si>
    <t>MUHAMMAD SAQLAIN SHAH</t>
  </si>
  <si>
    <t>BILAL NAEEM</t>
  </si>
  <si>
    <t>MUHAMMAD ABID</t>
  </si>
  <si>
    <t>MUHAMMAD HASSAN</t>
  </si>
  <si>
    <t>NISAR AKHTAR</t>
  </si>
  <si>
    <t>SHAHAB UD DIN ALI</t>
  </si>
  <si>
    <t>31102-0576518-8</t>
  </si>
  <si>
    <t>Waqas Hussain</t>
  </si>
  <si>
    <t>KAZIM RAZA</t>
  </si>
  <si>
    <t>AHMAD SALEEM</t>
  </si>
  <si>
    <t>IFTIKHAR QAMAR</t>
  </si>
  <si>
    <t>MUHAMMAD NAZIM</t>
  </si>
  <si>
    <t>SYED ARSLAN ALI SHAH</t>
  </si>
  <si>
    <t>MUHAMMAD MURTAZA</t>
  </si>
  <si>
    <t>ADIL HUSSAIN</t>
  </si>
  <si>
    <t>SYED QANBAR ALI NAQVI</t>
  </si>
  <si>
    <t>FAISAL ZIA</t>
  </si>
  <si>
    <t>ALI</t>
  </si>
  <si>
    <t>MUHAMMAD MAJID ALI</t>
  </si>
  <si>
    <t>SHAMS UL ISLAM</t>
  </si>
  <si>
    <t>SHAHZAD AHMAD</t>
  </si>
  <si>
    <t>MUHAMMAD KHAN</t>
  </si>
  <si>
    <t>ANWAAR ALI S/O M.ANWAR</t>
  </si>
  <si>
    <t>ARKAB RAFIQUE DAR S/O M.RAFIQUE DAR</t>
  </si>
  <si>
    <t>ABID HUSSAIN S/O BASHIR AHMED</t>
  </si>
  <si>
    <t>SOHAIL AHMAD</t>
  </si>
  <si>
    <t>SYED ABDUL QADIR</t>
  </si>
  <si>
    <t>NAVEED TARIQ SIDDIQUI</t>
  </si>
  <si>
    <t>MUHAMMAD AKRAM</t>
  </si>
  <si>
    <t>ASAD IQBAL</t>
  </si>
  <si>
    <t>SYED SHAHROZ ALI HASSAN</t>
  </si>
  <si>
    <t>IMRAN ULLAH</t>
  </si>
  <si>
    <t>HUMAIR MUKHTAR</t>
  </si>
  <si>
    <t>MUHAMMAD ADNAN</t>
  </si>
  <si>
    <t>MUHAMMAD ALI ISLAM</t>
  </si>
  <si>
    <t>MUHAMMAD USMAN ZAFAR</t>
  </si>
  <si>
    <t>MALIK RASHID ALI</t>
  </si>
  <si>
    <t>MUHAMMAD UMER FAROOQ BUTT</t>
  </si>
  <si>
    <t>MUZAMMIL FAROOQ</t>
  </si>
  <si>
    <t>WASIM IQBAL QURESHI</t>
  </si>
  <si>
    <t>MUHAMMAD MOBEEN ASLAM</t>
  </si>
  <si>
    <t>HASNAIN HUSSIAN</t>
  </si>
  <si>
    <t>MUHAMMAD SHAFI</t>
  </si>
  <si>
    <t>ASIM AZIZ BAIG</t>
  </si>
  <si>
    <t>AHSAN ASLAM</t>
  </si>
  <si>
    <t>DANISH HUSSAIN MEMON</t>
  </si>
  <si>
    <t>MUHAMMAD TASLEEM</t>
  </si>
  <si>
    <t>JAMEEL AHMED</t>
  </si>
  <si>
    <t>DANISH AHMED</t>
  </si>
  <si>
    <t>ABDULLAH BILAL</t>
  </si>
  <si>
    <t>FAKHAR ZAMAN</t>
  </si>
  <si>
    <t>SYED FURQUAN AKHTAR</t>
  </si>
  <si>
    <t>MUHAMMAD AMEER HAMZA</t>
  </si>
  <si>
    <t>ASGHAR KHAN</t>
  </si>
  <si>
    <t>SYED AZEEM QADRI</t>
  </si>
  <si>
    <t>MUHAMMAD TEHAMI</t>
  </si>
  <si>
    <t>Arslan Munawer</t>
  </si>
  <si>
    <t>EHSAN UL HAQ</t>
  </si>
  <si>
    <t>TEHREEM FATIMA</t>
  </si>
  <si>
    <t>ADAM KHAN</t>
  </si>
  <si>
    <t>NASEEB ULLAH</t>
  </si>
  <si>
    <t>Mudasir Riaz</t>
  </si>
  <si>
    <t>Aneeq Ahmad</t>
  </si>
  <si>
    <t>Ali RAza</t>
  </si>
  <si>
    <t>FAREED AHMED KHAN</t>
  </si>
  <si>
    <t>MUHAMMAD YOUNUS SOLANKI</t>
  </si>
  <si>
    <t>OWAIS MUHAMMAD NAZEER BUTT</t>
  </si>
  <si>
    <t>HAFIZ ABDUL REHMAN</t>
  </si>
  <si>
    <t>USMAN YASEEN</t>
  </si>
  <si>
    <t>MUHAMMAD ZEESHAN ARSHAD</t>
  </si>
  <si>
    <t>MUHAMMAD ZAMAN</t>
  </si>
  <si>
    <t>ZUBAIR SHAHZAD</t>
  </si>
  <si>
    <t>SHAHZAD RASHEED</t>
  </si>
  <si>
    <t>ZEESHAN ZAHEER</t>
  </si>
  <si>
    <t>DANISH PERVAIZ</t>
  </si>
  <si>
    <t>SADAM FAROOQ</t>
  </si>
  <si>
    <t>SYED ALAMDAR HUSSAIN</t>
  </si>
  <si>
    <t>REHAN ARIF</t>
  </si>
  <si>
    <t>NAEEM AHMAD</t>
  </si>
  <si>
    <t>HOSPICARE SYSTEM</t>
  </si>
  <si>
    <t>MUHAMMAD AFTAB</t>
  </si>
  <si>
    <t>YASIR ALI</t>
  </si>
  <si>
    <t>ADIL RAHEEM</t>
  </si>
  <si>
    <t>MUHAMMAD HARIS UL HAQ</t>
  </si>
  <si>
    <t>MUHAMMAD SHAFQAT HAYAT S/O HAJI MUHAMMAD HAYAT</t>
  </si>
  <si>
    <t>MUHAMMAD USMAN AHMED</t>
  </si>
  <si>
    <t>UMAIR RIAZ</t>
  </si>
  <si>
    <t>HAMZA HAROON</t>
  </si>
  <si>
    <t>AHMAD ALI RAZA</t>
  </si>
  <si>
    <t>HAMZA ASGHAR</t>
  </si>
  <si>
    <t>Adeel Akram</t>
  </si>
  <si>
    <t>ZAHID KHURSHEED</t>
  </si>
  <si>
    <t>HAFIZ ZAHID MEHMOOD</t>
  </si>
  <si>
    <t>IMRAN YAQOOB</t>
  </si>
  <si>
    <t>MUHAMMAD OWAIS BHATTI</t>
  </si>
  <si>
    <t>MUHAMMAD TAHA KHAN</t>
  </si>
  <si>
    <t>ADNAN BASHIR</t>
  </si>
  <si>
    <t>WAQAR ALI</t>
  </si>
  <si>
    <t>NAVEED FAZAL</t>
  </si>
  <si>
    <t>HAJI ANIS</t>
  </si>
  <si>
    <t>SUMAIR</t>
  </si>
  <si>
    <t>ZAIN ANWER</t>
  </si>
  <si>
    <t>SALMAN UDDIN RAJA</t>
  </si>
  <si>
    <t>IQRAR HAIDER</t>
  </si>
  <si>
    <t>ILIYAN</t>
  </si>
  <si>
    <t>ZUBAIR ATIQ</t>
  </si>
  <si>
    <t>MOHSIM ALI</t>
  </si>
  <si>
    <t>MUHAMMAD MUDASSIR</t>
  </si>
  <si>
    <t>Syed Ovais Hussain Qadri</t>
  </si>
  <si>
    <t>FARHAN BADAR UDDIN</t>
  </si>
  <si>
    <t>NAWAZISH ALI</t>
  </si>
  <si>
    <t>MUHAMMAD RIZWAN KHAN</t>
  </si>
  <si>
    <t>ABU BAKER</t>
  </si>
  <si>
    <t>Irfan</t>
  </si>
  <si>
    <t>MUHAMMAD AHMAD RAZA</t>
  </si>
  <si>
    <t>FAISAL HUSSAIN</t>
  </si>
  <si>
    <t>M Umar Zaib</t>
  </si>
  <si>
    <t>MUHAMMAD FAHAD ASIF</t>
  </si>
  <si>
    <t>ASIF ZAFAR S/O ZAFAR ALI</t>
  </si>
  <si>
    <t>HAFIZ MUHAMMAD OMAR ZULFAQAR</t>
  </si>
  <si>
    <t>TAYYAB ALI</t>
  </si>
  <si>
    <t>Mohsin Ali Nagori</t>
  </si>
  <si>
    <t>Najjamuddin Leghari</t>
  </si>
  <si>
    <t>Ahmed Zaib</t>
  </si>
  <si>
    <t>MUHAMMAD AHMED RAZA</t>
  </si>
  <si>
    <t>Muhammad Faizan</t>
  </si>
  <si>
    <t>ADNAN</t>
  </si>
  <si>
    <t>M KASHIF SHEIKH</t>
  </si>
  <si>
    <t>ZAIN UL ABEDIN</t>
  </si>
  <si>
    <t>MEHMOOD KHATRI</t>
  </si>
  <si>
    <t>S MIZAN UL HAQ HASHMI</t>
  </si>
  <si>
    <t>MUHAMMAD YASEEN</t>
  </si>
  <si>
    <t>SHAMSHAD ALI RAJPUT</t>
  </si>
  <si>
    <t>UMAIR MALIK</t>
  </si>
  <si>
    <t>MUHAMMAD NAWAZ KHAN</t>
  </si>
  <si>
    <t>Shahid Hassan Khan</t>
  </si>
  <si>
    <t>IQBAL HAMEED</t>
  </si>
  <si>
    <t>UMAIR IRSHAD</t>
  </si>
  <si>
    <t>MUHAMMAD WAHEED QAMAR</t>
  </si>
  <si>
    <t>MUHAMMAD ASHRAF</t>
  </si>
  <si>
    <t>SHAH KHALID</t>
  </si>
  <si>
    <t>ASIF RAZA MUGHAL</t>
  </si>
  <si>
    <t>Shahzad #4230108714181</t>
  </si>
  <si>
    <t>UMAR SULEMAN</t>
  </si>
  <si>
    <t>USMAN AHMAD</t>
  </si>
  <si>
    <t>DANIAL RAZA</t>
  </si>
  <si>
    <t>MUHAMMAD AKRAM SOOMRO</t>
  </si>
  <si>
    <t>HAFIZ MUHAMMAD USMAN JAFFAR</t>
  </si>
  <si>
    <t>MUHAMMAD NOMAN BASHIR</t>
  </si>
  <si>
    <t>UMAR HAYAT</t>
  </si>
  <si>
    <t>MUHAMMAD AQIB</t>
  </si>
  <si>
    <t>SAMI AHMED</t>
  </si>
  <si>
    <t>AHMED RIAZ</t>
  </si>
  <si>
    <t>AMEER HAMZA</t>
  </si>
  <si>
    <t>NASIR LATIF</t>
  </si>
  <si>
    <t>MOHSIN AHMED</t>
  </si>
  <si>
    <t>FAISAL SIDDIQUI</t>
  </si>
  <si>
    <t>HUMZA ASLAM</t>
  </si>
  <si>
    <t>SHAHZAIB KHAN KHAWAR</t>
  </si>
  <si>
    <t>KHALID ABBASI</t>
  </si>
  <si>
    <t>SAMEER JAWAID</t>
  </si>
  <si>
    <t>MUHAMMAD MUJAHID</t>
  </si>
  <si>
    <t>Ejaz Ahmed</t>
  </si>
  <si>
    <t>Kumail Abbas</t>
  </si>
  <si>
    <t>SYED MASOOD ALI JAFARY</t>
  </si>
  <si>
    <t>Pervez</t>
  </si>
  <si>
    <t>TARIQ SULEMAN</t>
  </si>
  <si>
    <t>Muhammad Owais Siddiqui</t>
  </si>
  <si>
    <t>MUHAMMAD ARIF ANSARI</t>
  </si>
  <si>
    <t>SALMAN WAHEED</t>
  </si>
  <si>
    <t>ARSLAN BAIG</t>
  </si>
  <si>
    <t>TARIQ MASIH</t>
  </si>
  <si>
    <t>FARHAN AHMAD</t>
  </si>
  <si>
    <t>MURTAZA ALI</t>
  </si>
  <si>
    <t>USMAN NADEEM</t>
  </si>
  <si>
    <t>Haseeb Sheikh</t>
  </si>
  <si>
    <t>RIZWAN SULEMAN</t>
  </si>
  <si>
    <t>Ibrar Altaf Hussain</t>
  </si>
  <si>
    <t>AHSAN RAZA</t>
  </si>
  <si>
    <t>AHSAN IMRAN FAROOQUI</t>
  </si>
  <si>
    <t>KHAN MUHAMMAD</t>
  </si>
  <si>
    <t>MUHAMMAD ADNAN FAROOQUI</t>
  </si>
  <si>
    <t>MEHDI HAIDER</t>
  </si>
  <si>
    <t>SANA UR REHMAN KHAN LODHI</t>
  </si>
  <si>
    <t>Faiq Baig</t>
  </si>
  <si>
    <t>IHSAN UR REHMAN</t>
  </si>
  <si>
    <t>WAJID HUSSAIN</t>
  </si>
  <si>
    <t>ADEEL AHMAD</t>
  </si>
  <si>
    <t>SOHAIL AHMED</t>
  </si>
  <si>
    <t>OSAMA JAMIL</t>
  </si>
  <si>
    <t>SYED FARAZ HUSSAIN ZAIDI</t>
  </si>
  <si>
    <t>MUZAMMIL</t>
  </si>
  <si>
    <t>TALHA SABIR</t>
  </si>
  <si>
    <t>FAIZAN SHAHID</t>
  </si>
  <si>
    <t>AMIR HUSSAIN</t>
  </si>
  <si>
    <t>MUHAMMAD JAVED</t>
  </si>
  <si>
    <t>SHEIKH SAIF ULLAH</t>
  </si>
  <si>
    <t>YASIR MAHMOOD</t>
  </si>
  <si>
    <t>MUHAMMAD HASHIM YATTO</t>
  </si>
  <si>
    <t>MUHAMMAD FAIZAN</t>
  </si>
  <si>
    <t>MUHAMMAD USAMA KHAN</t>
  </si>
  <si>
    <t>WASEEM SAJID RAMAY</t>
  </si>
  <si>
    <t>TAHA ZUBAIR</t>
  </si>
  <si>
    <t>MUHAMMAD ISHAQ</t>
  </si>
  <si>
    <t>MOHSIN NAEEM KHAN</t>
  </si>
  <si>
    <t>MUHAMMAD SOHAIB  SAIF</t>
  </si>
  <si>
    <t>REHAN HUSSAIN</t>
  </si>
  <si>
    <t>UMER HANIF</t>
  </si>
  <si>
    <t>SYED RIAZ ALI</t>
  </si>
  <si>
    <t>MEHMOOD UL HASSAN</t>
  </si>
  <si>
    <t>KHURRAM IQBAL</t>
  </si>
  <si>
    <t>TAHA BIN ASAD</t>
  </si>
  <si>
    <t>Muhammad Shoaib Shah</t>
  </si>
  <si>
    <t>MUHAMMAD REHAN</t>
  </si>
  <si>
    <t>GUL MUHAMMAD</t>
  </si>
  <si>
    <t>Imran</t>
  </si>
  <si>
    <t>Muhammad Rizwan</t>
  </si>
  <si>
    <t>MUBASHAR ALI GHAURI S/O MUHAMMAD ALI GHAURI</t>
  </si>
  <si>
    <t>ABDUL JABBAR S/O SHUJAH U DIN</t>
  </si>
  <si>
    <t>Muhammad Numan Rafi</t>
  </si>
  <si>
    <t>Muhammad Subhan Tahir</t>
  </si>
  <si>
    <t>Mahmood Ahmed</t>
  </si>
  <si>
    <t>Muhammad Shaheer Zafar</t>
  </si>
  <si>
    <t>Khadija Ahmed</t>
  </si>
  <si>
    <t>Khyzer Hayat Shareef</t>
  </si>
  <si>
    <t>Ather Haseeb Roa</t>
  </si>
  <si>
    <t>Arslan Naveed</t>
  </si>
  <si>
    <t>NAQQASH ASHRAF S/O MIRZA MUHAMAD ASHRAF</t>
  </si>
  <si>
    <t>ADEEL JAMIL</t>
  </si>
  <si>
    <t>KAMRAN AHMAD BHATTI</t>
  </si>
  <si>
    <t>RAHEEL AKHTAR</t>
  </si>
  <si>
    <t>SABIR ALI</t>
  </si>
  <si>
    <t>RASHID IQBAL</t>
  </si>
  <si>
    <t>ABDUL REHMAN FAROOQI S/O MUHAMMAD IJAZ</t>
  </si>
  <si>
    <t>JUNAID SHAHID</t>
  </si>
  <si>
    <t>BILAL SAJJAD</t>
  </si>
  <si>
    <t>MUBASHAR HUSSAIN</t>
  </si>
  <si>
    <t>DEEPAK CHANDA RAM</t>
  </si>
  <si>
    <t>SALMAN ASHFAQ</t>
  </si>
  <si>
    <t>MUHAMMAD HASSAN HASAN SHAIKH</t>
  </si>
  <si>
    <t>Raheel Shukat</t>
  </si>
  <si>
    <t>Usama Ahmad</t>
  </si>
  <si>
    <t>MUHAMMAD NASEEB</t>
  </si>
  <si>
    <t>AHMAD RAZA</t>
  </si>
  <si>
    <t>UMAIR IFTIKHAR</t>
  </si>
  <si>
    <t>KHURRAM ABDUL RASHEED GHAZIANI</t>
  </si>
  <si>
    <t>INAYAT QADIR</t>
  </si>
  <si>
    <t>TAHIR MEHMOOD KAYANI</t>
  </si>
  <si>
    <t>ZEESHAN IBRAHEEM</t>
  </si>
  <si>
    <t>Abdul Jabbar</t>
  </si>
  <si>
    <t>Muhammad Abbas</t>
  </si>
  <si>
    <t>ABDUL KHALIQ</t>
  </si>
  <si>
    <t>HARIS QADEER KHAN</t>
  </si>
  <si>
    <t>MUHAMMAD ZAFAR IQBAL</t>
  </si>
  <si>
    <t>MUHAMMAD JAMIL BABER</t>
  </si>
  <si>
    <t>MUHAMMAD SAAD ZUBAIR</t>
  </si>
  <si>
    <t>MUHAMMAD SOHAIL</t>
  </si>
  <si>
    <t>WAKEEL AHMAD</t>
  </si>
  <si>
    <t>FARJAD HUSSAIN</t>
  </si>
  <si>
    <t>ZAHEER AHMAD</t>
  </si>
  <si>
    <t>MUHAMMAD NUMAN ATHAR</t>
  </si>
  <si>
    <t>USAMA BIN TARIQ</t>
  </si>
  <si>
    <t>MURTAZA EJAZ BAIG</t>
  </si>
  <si>
    <t>MEHRAN ALI</t>
  </si>
  <si>
    <t>SHERYAR AHMED</t>
  </si>
  <si>
    <t>JAVED LIAQAT</t>
  </si>
  <si>
    <t>SATWAT JAMAL</t>
  </si>
  <si>
    <t>ADNAN SARWAR</t>
  </si>
  <si>
    <t>TAMOOR ASHFAQ</t>
  </si>
  <si>
    <t>SAAD BIN YASIR</t>
  </si>
  <si>
    <t>MUHAMMAD MOHSIN MAJEED</t>
  </si>
  <si>
    <t>MAZHAR HUSSAIN</t>
  </si>
  <si>
    <t>MUHAMMAD MUSHTAQ</t>
  </si>
  <si>
    <t>TAHIR ABBAS HASHMI</t>
  </si>
  <si>
    <t>SHERAZ ALI</t>
  </si>
  <si>
    <t>ZAHEER UD DIN BABAR MUGHAL</t>
  </si>
  <si>
    <t>ZEESHAN ALI</t>
  </si>
  <si>
    <t>SAMI ULLAH</t>
  </si>
  <si>
    <t>MUZAMMIL AMIN</t>
  </si>
  <si>
    <t>SHOUKAT ALI</t>
  </si>
  <si>
    <t>SADDAM AHMAD</t>
  </si>
  <si>
    <t>SYED SHOAIB UR REHMAN SHAH</t>
  </si>
  <si>
    <t>MUHAMMAD IFTIKHAR AZAM</t>
  </si>
  <si>
    <t>Mubashir Hussain</t>
  </si>
  <si>
    <t>MUHAMMAD KHURRAM</t>
  </si>
  <si>
    <t>SYED ABDULLAH WASEEM</t>
  </si>
  <si>
    <t>MUHAMMAD ANAS PIRZADA</t>
  </si>
  <si>
    <t>Muhammad Kashif</t>
  </si>
  <si>
    <t>Chaudary Muhammad Suhaib</t>
  </si>
  <si>
    <t>Muhammad Khalid</t>
  </si>
  <si>
    <t>Babar Khan</t>
  </si>
  <si>
    <t>SARFARAZ SHOUKAT</t>
  </si>
  <si>
    <t>MUHAMMAD HANIF</t>
  </si>
  <si>
    <t>MUHAMMAD YOUNUS GHANI WALA</t>
  </si>
  <si>
    <t>MUHAMMAD IDREES</t>
  </si>
  <si>
    <t>SHUJA HAIDER</t>
  </si>
  <si>
    <t>Ali Mohsin  Raza</t>
  </si>
  <si>
    <t>MALIK MUHAMMAD AHSAN HUSSAIN</t>
  </si>
  <si>
    <t>Ahmed Adil</t>
  </si>
  <si>
    <t>MUHAMMAD FAHEEM IQBAL</t>
  </si>
  <si>
    <t>Muhammad Saleem Nathani</t>
  </si>
  <si>
    <t>MUDASIR ALI TAHIR</t>
  </si>
  <si>
    <t>KHURRAM MALIK</t>
  </si>
  <si>
    <t>Muhammad Irfan</t>
  </si>
  <si>
    <t>Hamza Khalid</t>
  </si>
  <si>
    <t>Hassan Latif</t>
  </si>
  <si>
    <t>Muhammad Asad Raza</t>
  </si>
  <si>
    <t>Abdul Razzaq</t>
  </si>
  <si>
    <t>Sheikh Adil Bin Tariq</t>
  </si>
  <si>
    <t>Shams ud din</t>
  </si>
  <si>
    <t>Malik Muneeb Akram</t>
  </si>
  <si>
    <t>Muhammad Usman Ali</t>
  </si>
  <si>
    <t>Muhammad Nasir</t>
  </si>
  <si>
    <t>Noman Asif</t>
  </si>
  <si>
    <t>Muhammad Mohsin</t>
  </si>
  <si>
    <t>Sohail Iqbal</t>
  </si>
  <si>
    <t>Muhammad Farrukh Waseem</t>
  </si>
  <si>
    <t>Muhammad Talha</t>
  </si>
  <si>
    <t>Muhammad Ahmad</t>
  </si>
  <si>
    <t>Salman Ashraf</t>
  </si>
  <si>
    <t>Khurram Shahzad Sheikh</t>
  </si>
  <si>
    <t>Sheikh Shoaib Shahzad</t>
  </si>
  <si>
    <t>Muhammad Iqbal</t>
  </si>
  <si>
    <t>Nashit Zahid</t>
  </si>
  <si>
    <t>Mirza Atif Baig</t>
  </si>
  <si>
    <t>Tariq Mahmood Haji Bhagh</t>
  </si>
  <si>
    <t>Mahboob Ahmad</t>
  </si>
  <si>
    <t>Syed Amjad Hussain Naqvi</t>
  </si>
  <si>
    <t>Naveed Ahmad</t>
  </si>
  <si>
    <t>Muhammad Faizan Mumtaz</t>
  </si>
  <si>
    <t>ABID HUSSAIN SHAH</t>
  </si>
  <si>
    <t>HARIS ANWAR ULLAH SHAIKH</t>
  </si>
  <si>
    <t>SAIFUR REHMAN</t>
  </si>
  <si>
    <t>KASHIF GHAFOOR</t>
  </si>
  <si>
    <t>NABEEL IJAZ</t>
  </si>
  <si>
    <t>TASSAWAR SULTAN</t>
  </si>
  <si>
    <t>SYED AYAN RAZA RIZVI</t>
  </si>
  <si>
    <t>YASIR NOMAN DAR</t>
  </si>
  <si>
    <t>YASEEN</t>
  </si>
  <si>
    <t>FAROOQ AHMAD FAROOQI</t>
  </si>
  <si>
    <t>IRFAN ABDUL RAZZAQ</t>
  </si>
  <si>
    <t>MANZAR LATEEF</t>
  </si>
  <si>
    <t>ARSLAN</t>
  </si>
  <si>
    <t>SHEIKH M.NOMAN SHAHID</t>
  </si>
  <si>
    <t>KASHIF MEHMOOD</t>
  </si>
  <si>
    <t>SHEIKH GHULAM NABI</t>
  </si>
  <si>
    <t>MUHAMMAD NAUMAAN SHAFIQUE</t>
  </si>
  <si>
    <t>LAIBA RASHEED</t>
  </si>
  <si>
    <t>MUHAMMAD ANIS</t>
  </si>
  <si>
    <t>SYED OWAIS AHMED</t>
  </si>
  <si>
    <t>MUHAMMAD KHALID</t>
  </si>
  <si>
    <t>MUHAMMAD HUSSAIN</t>
  </si>
  <si>
    <t>Usama tayyab</t>
  </si>
  <si>
    <t>Awais Arif</t>
  </si>
  <si>
    <t>Ali Javed</t>
  </si>
  <si>
    <t>Naseeb khan</t>
  </si>
  <si>
    <t>Ahsan Raza</t>
  </si>
  <si>
    <t>M Nadeem</t>
  </si>
  <si>
    <t>RIZWAN MUHAMMAD</t>
  </si>
  <si>
    <t>Imran Shukat</t>
  </si>
  <si>
    <t>ABDUL RAHIM</t>
  </si>
  <si>
    <t>IMRAN AHMED SIDDIQUI</t>
  </si>
  <si>
    <t>SYED MUGHEERA IBRAHIM</t>
  </si>
  <si>
    <t>MUHAMMAD WAQAR</t>
  </si>
  <si>
    <t>MUHAMMAD ANAS RAZA</t>
  </si>
  <si>
    <t>SUFIYAN KHALID</t>
  </si>
  <si>
    <t>ALI AHMED KHAN</t>
  </si>
  <si>
    <t>DANISH KHAN</t>
  </si>
  <si>
    <t>SADDAM ALI</t>
  </si>
  <si>
    <t>MUHAMMAD AHSAN AFRIDI</t>
  </si>
  <si>
    <t>MUHAMMAD HAMZA BUTT</t>
  </si>
  <si>
    <t>KHAWAR HUSSAIN</t>
  </si>
  <si>
    <t>WAQAS ANJUM</t>
  </si>
  <si>
    <t>ADIL JAVAID AWAN</t>
  </si>
  <si>
    <t>RAJAB ALI</t>
  </si>
  <si>
    <t>AHMED YAR</t>
  </si>
  <si>
    <t>MOEZ</t>
  </si>
  <si>
    <t>MUHAMMAD HAMMAD ABID</t>
  </si>
  <si>
    <t>MUHAMMAD RAZA</t>
  </si>
  <si>
    <t>MUHAMMAD AKMAL</t>
  </si>
  <si>
    <t>MIAN GHOUS ALI</t>
  </si>
  <si>
    <t>ATHER NASEEM BUTT</t>
  </si>
  <si>
    <t>NABEEL</t>
  </si>
  <si>
    <t>CHEMICA-S (PVT) LTD</t>
  </si>
  <si>
    <t>RAHEEL</t>
  </si>
  <si>
    <t>NOAMAN AHMAD KHAN</t>
  </si>
  <si>
    <t>JANISAR ALI</t>
  </si>
  <si>
    <t>MUHAMMAD USMAN SIDDIQUI</t>
  </si>
  <si>
    <t>MEHAR ALI</t>
  </si>
  <si>
    <t>TALAL AMJAD</t>
  </si>
  <si>
    <t>LIAQUAT ALI ASAD</t>
  </si>
  <si>
    <t>SYED MAISAM ABBAS ZAIDI</t>
  </si>
  <si>
    <t>BABAR ULLAH KHAN</t>
  </si>
  <si>
    <t>MUHAMMAD ARSHAD KAMAL</t>
  </si>
  <si>
    <t>MOEEZ HUSSAIN ANSARI</t>
  </si>
  <si>
    <t>GHULAM MURTAZA</t>
  </si>
  <si>
    <t>Umair Azam</t>
  </si>
  <si>
    <t>Adeel Faraz Siddiqui</t>
  </si>
  <si>
    <t>NADIR ALI</t>
  </si>
  <si>
    <t>MAQBOOL</t>
  </si>
  <si>
    <t>MUHAMMAD SOHAIL KHAN</t>
  </si>
  <si>
    <t>RIASAT ALI</t>
  </si>
  <si>
    <t>GHOUS ALI TARIQ</t>
  </si>
  <si>
    <t>HUZAIFA</t>
  </si>
  <si>
    <t>MUSTAQEEM</t>
  </si>
  <si>
    <t>YAWAR SOHAIL SUNDHU</t>
  </si>
  <si>
    <t>MUHAMMAD MUHSIN RAMZAN</t>
  </si>
  <si>
    <t>HASSAN SHAHID</t>
  </si>
  <si>
    <t>MUHAMMAD AHMAD SAEED</t>
  </si>
  <si>
    <t>MUHAMMAD ASIF NADEEM</t>
  </si>
  <si>
    <t>WINGSMEN</t>
  </si>
  <si>
    <t>INAM UL HAQ</t>
  </si>
  <si>
    <t>ABDUL RAZZAQ</t>
  </si>
  <si>
    <t>MUZAFFAR AHMED</t>
  </si>
  <si>
    <t>ZAHID</t>
  </si>
  <si>
    <t>UMER</t>
  </si>
  <si>
    <t>SHERAZ AHMAD</t>
  </si>
  <si>
    <t>Tariq Mehmood</t>
  </si>
  <si>
    <t>RANA ZAHEER UL HASSAN</t>
  </si>
  <si>
    <t>Babar Iqbal</t>
  </si>
  <si>
    <t>Mudassar Nazir</t>
  </si>
  <si>
    <t>MUHAMMAD USMAN AKRAM</t>
  </si>
  <si>
    <t>Hassan Mansoor Ghumman</t>
  </si>
  <si>
    <t>HAFIZ MUHAMMAD ZEESHAN</t>
  </si>
  <si>
    <t>Hamaz Iqbal</t>
  </si>
  <si>
    <t>Muhammad Usman</t>
  </si>
  <si>
    <t>Abdul Karim</t>
  </si>
  <si>
    <t>Muhammad Shahzad Arif</t>
  </si>
  <si>
    <t>Manzoor Ahmed</t>
  </si>
  <si>
    <t>Mateen Ahmed Tariq</t>
  </si>
  <si>
    <t>MUHAMMAD ANWAR</t>
  </si>
  <si>
    <t>FAISAL KHURSHID</t>
  </si>
  <si>
    <t>SAIM AHMED</t>
  </si>
  <si>
    <t>M ALI KANANI</t>
  </si>
  <si>
    <t>MISBA UL HASSAN</t>
  </si>
  <si>
    <t>M TALHA QURESHI</t>
  </si>
  <si>
    <t>AKBER NASRULLAH BACHLANI</t>
  </si>
  <si>
    <t>HAROON BUTT S/O SOHAIL ANJUM</t>
  </si>
  <si>
    <t>RASHID SHABBIR</t>
  </si>
  <si>
    <t>TAHIR AYUB S/O MUHAMMAD AYUB</t>
  </si>
  <si>
    <t>ALI ABBAS</t>
  </si>
  <si>
    <t>ABDUL REHMAN PIRWANI</t>
  </si>
  <si>
    <t>AMIN ASLAM</t>
  </si>
  <si>
    <t>ASIF</t>
  </si>
  <si>
    <t>NISAR HUSSAIN</t>
  </si>
  <si>
    <t>FAISAL MUSHTAQ</t>
  </si>
  <si>
    <t>AADIL HUSSAIN</t>
  </si>
  <si>
    <t>MUHAMMAD SALMAN</t>
  </si>
  <si>
    <t>UMER FAROOQ</t>
  </si>
  <si>
    <t>ABDUL WAHEED ARSHAD</t>
  </si>
  <si>
    <t>MUHAMMAD EBAD</t>
  </si>
  <si>
    <t>KHALIQ JAVAID WARRAICH</t>
  </si>
  <si>
    <t>MUHAMMAD UMAR</t>
  </si>
  <si>
    <t>RANA SOHAIL</t>
  </si>
  <si>
    <t>ABDUL GHAFAR</t>
  </si>
  <si>
    <t>MUDASSAR NADEEM</t>
  </si>
  <si>
    <t>MUHAMMAD ASHSAN KHAWAR</t>
  </si>
  <si>
    <t>ARSLAN MEHMOOD</t>
  </si>
  <si>
    <t>MUHAMMAD TANVEER</t>
  </si>
  <si>
    <t>ZAIN AHMED</t>
  </si>
  <si>
    <t>KAMAL QASER</t>
  </si>
  <si>
    <t>SUMAIRA</t>
  </si>
  <si>
    <t>BASHIR AHMAD</t>
  </si>
  <si>
    <t>PERVAIZ</t>
  </si>
  <si>
    <t>SYED HASAN ALI SHAH</t>
  </si>
  <si>
    <t>SHAHBAZ IFTIKHAR</t>
  </si>
  <si>
    <t>AMIR UL HASAN</t>
  </si>
  <si>
    <t>Shahid Hussain</t>
  </si>
  <si>
    <t>Ameer Hamza</t>
  </si>
  <si>
    <t>Junaid Said</t>
  </si>
  <si>
    <t>Muhammad Adnan Khan</t>
  </si>
  <si>
    <t>Muhammad Haroon</t>
  </si>
  <si>
    <t>AMIR RAFIQUE AHMED</t>
  </si>
  <si>
    <t>SALMAN RAZA</t>
  </si>
  <si>
    <t>SHAN CERAMICS</t>
  </si>
  <si>
    <t>ASAD WALI</t>
  </si>
  <si>
    <t>OSAMA RASHID</t>
  </si>
  <si>
    <t>MUHAMMAD FARHAN KHAN</t>
  </si>
  <si>
    <t>SOHAIL ALI</t>
  </si>
  <si>
    <t>USAMA SALEEM</t>
  </si>
  <si>
    <t>NOOR ZADA</t>
  </si>
  <si>
    <t>MUHAMMAD USMAN NADEEM</t>
  </si>
  <si>
    <t>MUHAMMAD ANEES SARWAR</t>
  </si>
  <si>
    <t>ARBAB ALI</t>
  </si>
  <si>
    <t>MUHAMMAD AWAIS</t>
  </si>
  <si>
    <t>IRFAN ALI</t>
  </si>
  <si>
    <t>ARSLAN ARSHAD</t>
  </si>
  <si>
    <t>MUHAMMAD DANIYAL</t>
  </si>
  <si>
    <t>ALI NAKASH</t>
  </si>
  <si>
    <t>IMTIAZ KHAN</t>
  </si>
  <si>
    <t>AJMAL YASEEN</t>
  </si>
  <si>
    <t>ALI MUHAMMAD</t>
  </si>
  <si>
    <t>MUHAMMAD  AWAIS</t>
  </si>
  <si>
    <t>MUHAMMAD TARIQ</t>
  </si>
  <si>
    <t>MUHAMMAD ANIS RAZA</t>
  </si>
  <si>
    <t>SHEHERYAL ALI</t>
  </si>
  <si>
    <t>DANISH WALI</t>
  </si>
  <si>
    <t>Jahangir Shaikh</t>
  </si>
  <si>
    <t>Imran Ahmed Khan</t>
  </si>
  <si>
    <t>NOUMAN ULLAH S/O AMAN ULLAH</t>
  </si>
  <si>
    <t>MUHAMMAD RAFIQ S/O ABDUL GHAFAR</t>
  </si>
  <si>
    <t>WARIS BAIG</t>
  </si>
  <si>
    <t>MUHAMMAD HUZAIFA</t>
  </si>
  <si>
    <t>HADI AFSAR</t>
  </si>
  <si>
    <t>SYED SHAH OWAIS ALAM</t>
  </si>
  <si>
    <t>SAEED AHMAD QADRI</t>
  </si>
  <si>
    <t>AMYN AZIZ</t>
  </si>
  <si>
    <t>MUHAMMAD SHAHID</t>
  </si>
  <si>
    <t>EBAD YAR KHAN</t>
  </si>
  <si>
    <t>IMRAN ASGHAR</t>
  </si>
  <si>
    <t>MUHAMMAD ABDULLAH</t>
  </si>
  <si>
    <t>MUHAMMAD AMMAR RAZA</t>
  </si>
  <si>
    <t>MUHAMMAD RASHID</t>
  </si>
  <si>
    <t>MUHAMMAD USMAN ALI</t>
  </si>
  <si>
    <t>HASSAN MUSTAQEEM</t>
  </si>
  <si>
    <t>MUHAMMAD ZIA UR REHMAN</t>
  </si>
  <si>
    <t>MUHAMMAD HASSAN RAFIQ</t>
  </si>
  <si>
    <t>AHTISHAM ALI</t>
  </si>
  <si>
    <t>TAHIR SHABBBIR</t>
  </si>
  <si>
    <t>ABDUL SATTAR GHAZI</t>
  </si>
  <si>
    <t>MUHAMMAD MOHSIN KHAN</t>
  </si>
  <si>
    <t>TARIQ SOHAIL</t>
  </si>
  <si>
    <t>MUHAMMAD YAR</t>
  </si>
  <si>
    <t>MUHAMMAD HAMZA ALTAF</t>
  </si>
  <si>
    <t>SHAKEEL AHMAD</t>
  </si>
  <si>
    <t>KAMIL</t>
  </si>
  <si>
    <t>NAQASH HUSSAIN</t>
  </si>
  <si>
    <t>HAFIZ MUHAMMAD SUFYAN</t>
  </si>
  <si>
    <t>HASSAN ASIF</t>
  </si>
  <si>
    <t>Hassan Asif</t>
  </si>
  <si>
    <t>SYED MUHAMMAD AHSAN IMAM</t>
  </si>
  <si>
    <t>KASHIF JAWED KHAN</t>
  </si>
  <si>
    <t>SYED JUNAID UR REHMAN BUKHARI</t>
  </si>
  <si>
    <t>MUHAMMAD YASIR IQBAL</t>
  </si>
  <si>
    <t>SHEHROZ SHAMS</t>
  </si>
  <si>
    <t>RANA MUHAMMAD FAYYAZ</t>
  </si>
  <si>
    <t>SYED MUHAMMAD ZARYAB</t>
  </si>
  <si>
    <t>SHOAIB MAZHAR</t>
  </si>
  <si>
    <t>MOEEN AKHTAR</t>
  </si>
  <si>
    <t>MUHAMMAD JHANGIR</t>
  </si>
  <si>
    <t>HUSSNAIN HYDER</t>
  </si>
  <si>
    <t>GHULAM SHABBIR</t>
  </si>
  <si>
    <t>BILAL AKRAM</t>
  </si>
  <si>
    <t>IRSHAD</t>
  </si>
  <si>
    <t>MUHAMMAD SAAD</t>
  </si>
  <si>
    <t>RAHAB UL FAHAM</t>
  </si>
  <si>
    <t>TARNUM ZEHRA</t>
  </si>
  <si>
    <t>JAHANZAIB SALEEM</t>
  </si>
  <si>
    <t>MUHAMMAD IMRAN KHAN</t>
  </si>
  <si>
    <t>FAISAL ASGHAR S/O MUHAMMAD ASGHAR</t>
  </si>
  <si>
    <t>TANVEER HUSSAIN</t>
  </si>
  <si>
    <t>GULZAR AHMED S/O GHULAM NABI</t>
  </si>
  <si>
    <t>ZUBAIR ASHRAF S/O MUHAMMAD ASHRAF</t>
  </si>
  <si>
    <t>SHEHROZ TARIQ S/O MUHAMMAD TARIQ</t>
  </si>
  <si>
    <t>MUHAMMAD RASHID SHAH</t>
  </si>
  <si>
    <t>IMRAN ALI</t>
  </si>
  <si>
    <t>MUHAMMAD FAROOQ AHMED TIRMIZI</t>
  </si>
  <si>
    <t>NAHEED BEGUM</t>
  </si>
  <si>
    <t>DANISH MEHMOOD S/O SAJID MEHMOOD</t>
  </si>
  <si>
    <t>ASIM ABBAS TALPUR</t>
  </si>
  <si>
    <t>SAJID RASHEED</t>
  </si>
  <si>
    <t>SIKUNDAR ALI</t>
  </si>
  <si>
    <t>SHIEKH AHSAN ALI</t>
  </si>
  <si>
    <t>HAKIM ALI</t>
  </si>
  <si>
    <t>MUSHTAQ AHMAD</t>
  </si>
  <si>
    <t>ABID AKRAM</t>
  </si>
  <si>
    <t>SALIK MAHMUD QURESHI</t>
  </si>
  <si>
    <t>SHAIKH FAISAL</t>
  </si>
  <si>
    <t>RIAZ AHMED</t>
  </si>
  <si>
    <t>MIRZA AFZAL BAIG</t>
  </si>
  <si>
    <t>KIRAN SHEHZADI S/O MUHAMMAD ASIF</t>
  </si>
  <si>
    <t>CH ZAKA ULLAH S/O CH.ABDULLAH KHAN</t>
  </si>
  <si>
    <t>ABDULLAH MUNEER</t>
  </si>
  <si>
    <t>WALEEDUDDIN</t>
  </si>
  <si>
    <t>SYED FARHAN MOBIN</t>
  </si>
  <si>
    <t>FARHAN ALI</t>
  </si>
  <si>
    <t>ASADULLAH</t>
  </si>
  <si>
    <t>ABDUL GHAFOOR HIGORA</t>
  </si>
  <si>
    <t>MUHAMMAD JAVED NAEEM</t>
  </si>
  <si>
    <t>MUHAMMAD AFZAL MUGHAL</t>
  </si>
  <si>
    <t>MUHAMMAD ARSLAN TARIQ</t>
  </si>
  <si>
    <t>NAMAT ULLAH</t>
  </si>
  <si>
    <t>MUHAMMAD RAMEEZ</t>
  </si>
  <si>
    <t>ABU BAKAR</t>
  </si>
  <si>
    <t>NIGHBAN ALI</t>
  </si>
  <si>
    <t>MUHAMMAD FAROOQ</t>
  </si>
  <si>
    <t>SHAHBAZ HUSSAIN</t>
  </si>
  <si>
    <t>ASHFAQ AHMAD</t>
  </si>
  <si>
    <t>SHIRAZ UL HASSAN</t>
  </si>
  <si>
    <t>FARAZ HUSSAIN</t>
  </si>
  <si>
    <t>Hussum Uddin Sahito</t>
  </si>
  <si>
    <t>MUHAMMAD FAISAL ASLAM</t>
  </si>
  <si>
    <t>Naeem ul Haq</t>
  </si>
  <si>
    <t>MUHAMMAD TAHIR FAROOQUI</t>
  </si>
  <si>
    <t>SAMI LIAQUAT ALI</t>
  </si>
  <si>
    <t>SYED HASSAM ALI</t>
  </si>
  <si>
    <t>MUHAMMAD FAIZ</t>
  </si>
  <si>
    <t>HAMMAD NAEEM</t>
  </si>
  <si>
    <t>AAMIR MALICK</t>
  </si>
  <si>
    <t>MUHAMMAD MUSAIB</t>
  </si>
  <si>
    <t>MOUZ AHMAD</t>
  </si>
  <si>
    <t>IRFAN HAIDER</t>
  </si>
  <si>
    <t>SHOAIB TARIQ RANA</t>
  </si>
  <si>
    <t>MUHAMMAD RIZWAN TARIQ</t>
  </si>
  <si>
    <t>Muhammad Aamir Khan</t>
  </si>
  <si>
    <t>Malik Abdul Safoor</t>
  </si>
  <si>
    <t>Waqas Ahmed</t>
  </si>
  <si>
    <t>Rashid Alam</t>
  </si>
  <si>
    <t>FAIZAN</t>
  </si>
  <si>
    <t>Muhammad Bilal Asad Farooqi</t>
  </si>
  <si>
    <t>MUHAMMAD ZAIN ALI</t>
  </si>
  <si>
    <t>Syed Anwar Shah</t>
  </si>
  <si>
    <t>Syed Shahzad Kazmi</t>
  </si>
  <si>
    <t>Bakhtiar Ahmed Awan</t>
  </si>
  <si>
    <t>MUHAMMAD AMJAD</t>
  </si>
  <si>
    <t>AMIR NAZIR</t>
  </si>
  <si>
    <t>MUHAMMAD AMJAD SALAM</t>
  </si>
  <si>
    <t>KARSAZ (PRIVATE) LIMITED</t>
  </si>
  <si>
    <t>FAIZ AKHTAR</t>
  </si>
  <si>
    <t>SHER ALI KHAN</t>
  </si>
  <si>
    <t>NOMAN AYUB</t>
  </si>
  <si>
    <t>MUHAMMAD FURRUKH ALI</t>
  </si>
  <si>
    <t>ABDUL QADIR</t>
  </si>
  <si>
    <t>NOMAN BUTT</t>
  </si>
  <si>
    <t>HAFIZ ADEEL AHMED</t>
  </si>
  <si>
    <t>MIR SHAHERYAR ALI</t>
  </si>
  <si>
    <t>ABDUL SAMAD</t>
  </si>
  <si>
    <t>SHEERAZ MEHMOOD</t>
  </si>
  <si>
    <t>SUZUKI-GS 150SE</t>
  </si>
  <si>
    <t>146592</t>
  </si>
  <si>
    <t>113678</t>
  </si>
  <si>
    <t>30092818</t>
  </si>
  <si>
    <t>30092452</t>
  </si>
  <si>
    <t>146583</t>
  </si>
  <si>
    <t>147698</t>
  </si>
  <si>
    <t>147671</t>
  </si>
  <si>
    <t>146190</t>
  </si>
  <si>
    <t>147710</t>
  </si>
  <si>
    <t>147709</t>
  </si>
  <si>
    <t>30092769</t>
  </si>
  <si>
    <t>147895</t>
  </si>
  <si>
    <t>146424</t>
  </si>
  <si>
    <t>147697</t>
  </si>
  <si>
    <t>147837</t>
  </si>
  <si>
    <t>30092650</t>
  </si>
  <si>
    <t>146568</t>
  </si>
  <si>
    <t>113647</t>
  </si>
  <si>
    <t>113663</t>
  </si>
  <si>
    <t>147603</t>
  </si>
  <si>
    <t>144807</t>
  </si>
  <si>
    <t>146487</t>
  </si>
  <si>
    <t>113581</t>
  </si>
  <si>
    <t>147597</t>
  </si>
  <si>
    <t>23102570</t>
  </si>
  <si>
    <t>30092745</t>
  </si>
  <si>
    <t>147131</t>
  </si>
  <si>
    <t>147823</t>
  </si>
  <si>
    <t>147490</t>
  </si>
  <si>
    <t>30092738</t>
  </si>
  <si>
    <t>146457</t>
  </si>
  <si>
    <t>146858</t>
  </si>
  <si>
    <t>147048</t>
  </si>
  <si>
    <t>146416</t>
  </si>
  <si>
    <t>147162</t>
  </si>
  <si>
    <t>147889</t>
  </si>
  <si>
    <t>147155</t>
  </si>
  <si>
    <t>30092646</t>
  </si>
  <si>
    <t>30092639</t>
  </si>
  <si>
    <t>23102565</t>
  </si>
  <si>
    <t>147151</t>
  </si>
  <si>
    <t>30092641</t>
  </si>
  <si>
    <t>147058</t>
  </si>
  <si>
    <t>146995</t>
  </si>
  <si>
    <t>147031</t>
  </si>
  <si>
    <t>30092648</t>
  </si>
  <si>
    <t>146581</t>
  </si>
  <si>
    <t>138548</t>
  </si>
  <si>
    <t>30092575</t>
  </si>
  <si>
    <t>146565</t>
  </si>
  <si>
    <t>113516</t>
  </si>
  <si>
    <t>30092295</t>
  </si>
  <si>
    <t>147831</t>
  </si>
  <si>
    <t>147917</t>
  </si>
  <si>
    <t>30092743</t>
  </si>
  <si>
    <t>30092791</t>
  </si>
  <si>
    <t>30092748</t>
  </si>
  <si>
    <t>146984</t>
  </si>
  <si>
    <t>146513</t>
  </si>
  <si>
    <t>113511</t>
  </si>
  <si>
    <t>147486</t>
  </si>
  <si>
    <t>147742</t>
  </si>
  <si>
    <t>30092418</t>
  </si>
  <si>
    <t>30092420</t>
  </si>
  <si>
    <t>23102476</t>
  </si>
  <si>
    <t>110777</t>
  </si>
  <si>
    <t>147975</t>
  </si>
  <si>
    <t>145171</t>
  </si>
  <si>
    <t>146418</t>
  </si>
  <si>
    <t>146429</t>
  </si>
  <si>
    <t>146351</t>
  </si>
  <si>
    <t>146433</t>
  </si>
  <si>
    <t>146420</t>
  </si>
  <si>
    <t>146419</t>
  </si>
  <si>
    <t>147899</t>
  </si>
  <si>
    <t>147916</t>
  </si>
  <si>
    <t>146939</t>
  </si>
  <si>
    <t>30092742</t>
  </si>
  <si>
    <t>147977</t>
  </si>
  <si>
    <t>30092796</t>
  </si>
  <si>
    <t>146593</t>
  </si>
  <si>
    <t>147213</t>
  </si>
  <si>
    <t>30092415</t>
  </si>
  <si>
    <t>147504</t>
  </si>
  <si>
    <t>147707</t>
  </si>
  <si>
    <t>30092821</t>
  </si>
  <si>
    <t>30092819</t>
  </si>
  <si>
    <t>147748</t>
  </si>
  <si>
    <t>30092777</t>
  </si>
  <si>
    <t>147976</t>
  </si>
  <si>
    <t>23102621</t>
  </si>
  <si>
    <t>147204</t>
  </si>
  <si>
    <t>30092689</t>
  </si>
  <si>
    <t>147206</t>
  </si>
  <si>
    <t>147208</t>
  </si>
  <si>
    <t>113435</t>
  </si>
  <si>
    <t>23102444</t>
  </si>
  <si>
    <t>23102454</t>
  </si>
  <si>
    <t>113650</t>
  </si>
  <si>
    <t>147700</t>
  </si>
  <si>
    <t>30092802</t>
  </si>
  <si>
    <t>145754</t>
  </si>
  <si>
    <t>146454</t>
  </si>
  <si>
    <t>113431</t>
  </si>
  <si>
    <t>146659</t>
  </si>
  <si>
    <t>23102502</t>
  </si>
  <si>
    <t>146651</t>
  </si>
  <si>
    <t>146427</t>
  </si>
  <si>
    <t>23102626</t>
  </si>
  <si>
    <t>30092740</t>
  </si>
  <si>
    <t>30092680</t>
  </si>
  <si>
    <t>30092660</t>
  </si>
  <si>
    <t>113612</t>
  </si>
  <si>
    <t>147184</t>
  </si>
  <si>
    <t>30092820</t>
  </si>
  <si>
    <t>147956</t>
  </si>
  <si>
    <t>147961</t>
  </si>
  <si>
    <t>113506</t>
  </si>
  <si>
    <t>146901</t>
  </si>
  <si>
    <t>147644</t>
  </si>
  <si>
    <t>113634</t>
  </si>
  <si>
    <t>147952</t>
  </si>
  <si>
    <t>113685</t>
  </si>
  <si>
    <t>147813</t>
  </si>
  <si>
    <t>30092840</t>
  </si>
  <si>
    <t>30092806</t>
  </si>
  <si>
    <t>113704</t>
  </si>
  <si>
    <t>30092823</t>
  </si>
  <si>
    <t>147825</t>
  </si>
  <si>
    <t>23102563</t>
  </si>
  <si>
    <t>30092804</t>
  </si>
  <si>
    <t>148070</t>
  </si>
  <si>
    <t>144341</t>
  </si>
  <si>
    <t>147944</t>
  </si>
  <si>
    <t>30092923</t>
  </si>
  <si>
    <t>113628</t>
  </si>
  <si>
    <t>148064</t>
  </si>
  <si>
    <t>143743</t>
  </si>
  <si>
    <t>30091815</t>
  </si>
  <si>
    <t>146736</t>
  </si>
  <si>
    <t>146123</t>
  </si>
  <si>
    <t>147830</t>
  </si>
  <si>
    <t>148035</t>
  </si>
  <si>
    <t>113706</t>
  </si>
  <si>
    <t>30092808</t>
  </si>
  <si>
    <t>147699</t>
  </si>
  <si>
    <t>147484</t>
  </si>
  <si>
    <t>147202</t>
  </si>
  <si>
    <t>113632</t>
  </si>
  <si>
    <t>30092693</t>
  </si>
  <si>
    <t>147211</t>
  </si>
  <si>
    <t>147235</t>
  </si>
  <si>
    <t>143208</t>
  </si>
  <si>
    <t>147502</t>
  </si>
  <si>
    <t>147214</t>
  </si>
  <si>
    <t>147501</t>
  </si>
  <si>
    <t>147503</t>
  </si>
  <si>
    <t>147210</t>
  </si>
  <si>
    <t>147592</t>
  </si>
  <si>
    <t>148073</t>
  </si>
  <si>
    <t>113629</t>
  </si>
  <si>
    <t>148079</t>
  </si>
  <si>
    <t>147626</t>
  </si>
  <si>
    <t>30092901</t>
  </si>
  <si>
    <t>143896</t>
  </si>
  <si>
    <t>147725</t>
  </si>
  <si>
    <t>147454</t>
  </si>
  <si>
    <t>148029</t>
  </si>
  <si>
    <t>147455</t>
  </si>
  <si>
    <t>147720</t>
  </si>
  <si>
    <t>147894</t>
  </si>
  <si>
    <t>147721</t>
  </si>
  <si>
    <t>145710</t>
  </si>
  <si>
    <t>147724</t>
  </si>
  <si>
    <t>147717</t>
  </si>
  <si>
    <t>147726</t>
  </si>
  <si>
    <t>147637</t>
  </si>
  <si>
    <t>147441</t>
  </si>
  <si>
    <t>148082</t>
  </si>
  <si>
    <t>30092964</t>
  </si>
  <si>
    <t>113639</t>
  </si>
  <si>
    <t>148323</t>
  </si>
  <si>
    <t>148302</t>
  </si>
  <si>
    <t>148077</t>
  </si>
  <si>
    <t>23102645</t>
  </si>
  <si>
    <t>113684</t>
  </si>
  <si>
    <t>148080</t>
  </si>
  <si>
    <t>148034</t>
  </si>
  <si>
    <t>147965</t>
  </si>
  <si>
    <t>30092773</t>
  </si>
  <si>
    <t>147715</t>
  </si>
  <si>
    <t>146120</t>
  </si>
  <si>
    <t>30092782</t>
  </si>
  <si>
    <t>113620</t>
  </si>
  <si>
    <t>148055</t>
  </si>
  <si>
    <t>30092759</t>
  </si>
  <si>
    <t>146877</t>
  </si>
  <si>
    <t>147335</t>
  </si>
  <si>
    <t>148339</t>
  </si>
  <si>
    <t>147340</t>
  </si>
  <si>
    <t>30092945</t>
  </si>
  <si>
    <t>146396</t>
  </si>
  <si>
    <t>30092375</t>
  </si>
  <si>
    <t>30092681</t>
  </si>
  <si>
    <t>30092757</t>
  </si>
  <si>
    <t>147361</t>
  </si>
  <si>
    <t>147814</t>
  </si>
  <si>
    <t>147279</t>
  </si>
  <si>
    <t>113705</t>
  </si>
  <si>
    <t>146211</t>
  </si>
  <si>
    <t>147497</t>
  </si>
  <si>
    <t>147816</t>
  </si>
  <si>
    <t>146365</t>
  </si>
  <si>
    <t>30092765</t>
  </si>
  <si>
    <t>147713</t>
  </si>
  <si>
    <t>30092916</t>
  </si>
  <si>
    <t>148071</t>
  </si>
  <si>
    <t>147712</t>
  </si>
  <si>
    <t>113622</t>
  </si>
  <si>
    <t>147093</t>
  </si>
  <si>
    <t>148062</t>
  </si>
  <si>
    <t>148160</t>
  </si>
  <si>
    <t>148144</t>
  </si>
  <si>
    <t>147946</t>
  </si>
  <si>
    <t>113701</t>
  </si>
  <si>
    <t>30092993</t>
  </si>
  <si>
    <t>148186</t>
  </si>
  <si>
    <t>23102641</t>
  </si>
  <si>
    <t>147053</t>
  </si>
  <si>
    <t>148238</t>
  </si>
  <si>
    <t>148040</t>
  </si>
  <si>
    <t>30092560</t>
  </si>
  <si>
    <t>23102612</t>
  </si>
  <si>
    <t>147016</t>
  </si>
  <si>
    <t>23102619</t>
  </si>
  <si>
    <t>30092965</t>
  </si>
  <si>
    <t>147068</t>
  </si>
  <si>
    <t>147052</t>
  </si>
  <si>
    <t>147569</t>
  </si>
  <si>
    <t>148197</t>
  </si>
  <si>
    <t>30092994</t>
  </si>
  <si>
    <t>147564</t>
  </si>
  <si>
    <t>147017</t>
  </si>
  <si>
    <t>30092543</t>
  </si>
  <si>
    <t>146869</t>
  </si>
  <si>
    <t>148190</t>
  </si>
  <si>
    <t>148167</t>
  </si>
  <si>
    <t>148187</t>
  </si>
  <si>
    <t>146201</t>
  </si>
  <si>
    <t>148341</t>
  </si>
  <si>
    <t>113694</t>
  </si>
  <si>
    <t>147102</t>
  </si>
  <si>
    <t>147931</t>
  </si>
  <si>
    <t>30092792</t>
  </si>
  <si>
    <t>148335</t>
  </si>
  <si>
    <t>148050</t>
  </si>
  <si>
    <t>147066</t>
  </si>
  <si>
    <t>113593</t>
  </si>
  <si>
    <t>146884</t>
  </si>
  <si>
    <t>147039</t>
  </si>
  <si>
    <t>146808</t>
  </si>
  <si>
    <t>148002</t>
  </si>
  <si>
    <t>30092779</t>
  </si>
  <si>
    <t>148338</t>
  </si>
  <si>
    <t>113703</t>
  </si>
  <si>
    <t>148042</t>
  </si>
  <si>
    <t>148017</t>
  </si>
  <si>
    <t>147903</t>
  </si>
  <si>
    <t>147951</t>
  </si>
  <si>
    <t>30092866</t>
  </si>
  <si>
    <t>147627</t>
  </si>
  <si>
    <t>30092822</t>
  </si>
  <si>
    <t>147645</t>
  </si>
  <si>
    <t>23100137</t>
  </si>
  <si>
    <t>113687</t>
  </si>
  <si>
    <t>147572</t>
  </si>
  <si>
    <t>147563</t>
  </si>
  <si>
    <t>146523</t>
  </si>
  <si>
    <t>147404</t>
  </si>
  <si>
    <t>30092988</t>
  </si>
  <si>
    <t>148212</t>
  </si>
  <si>
    <t>148290</t>
  </si>
  <si>
    <t>148304</t>
  </si>
  <si>
    <t>148283</t>
  </si>
  <si>
    <t>148203</t>
  </si>
  <si>
    <t>147550</t>
  </si>
  <si>
    <t>147530</t>
  </si>
  <si>
    <t>147571</t>
  </si>
  <si>
    <t>147552</t>
  </si>
  <si>
    <t>147553</t>
  </si>
  <si>
    <t>113311</t>
  </si>
  <si>
    <t>147047</t>
  </si>
  <si>
    <t>23102477</t>
  </si>
  <si>
    <t>147153</t>
  </si>
  <si>
    <t>113568</t>
  </si>
  <si>
    <t>148237</t>
  </si>
  <si>
    <t>148336</t>
  </si>
  <si>
    <t>147680</t>
  </si>
  <si>
    <t>148340</t>
  </si>
  <si>
    <t>148046</t>
  </si>
  <si>
    <t>148334</t>
  </si>
  <si>
    <t>147192</t>
  </si>
  <si>
    <t>148001</t>
  </si>
  <si>
    <t>148045</t>
  </si>
  <si>
    <t>113682</t>
  </si>
  <si>
    <t>147971</t>
  </si>
  <si>
    <t>148044</t>
  </si>
  <si>
    <t>30092955</t>
  </si>
  <si>
    <t>147505</t>
  </si>
  <si>
    <t>113653</t>
  </si>
  <si>
    <t>148049</t>
  </si>
  <si>
    <t>146964</t>
  </si>
  <si>
    <t>143217</t>
  </si>
  <si>
    <t>143079</t>
  </si>
  <si>
    <t>30092498</t>
  </si>
  <si>
    <t>146337</t>
  </si>
  <si>
    <t>30092488</t>
  </si>
  <si>
    <t>113384</t>
  </si>
  <si>
    <t>30092495</t>
  </si>
  <si>
    <t>111621</t>
  </si>
  <si>
    <t>146281</t>
  </si>
  <si>
    <t>113163</t>
  </si>
  <si>
    <t>113668</t>
  </si>
  <si>
    <t>30092551</t>
  </si>
  <si>
    <t>147257</t>
  </si>
  <si>
    <t>113527</t>
  </si>
  <si>
    <t>30092878</t>
  </si>
  <si>
    <t>113699</t>
  </si>
  <si>
    <t>146889</t>
  </si>
  <si>
    <t>147914</t>
  </si>
  <si>
    <t>147442</t>
  </si>
  <si>
    <t>145991</t>
  </si>
  <si>
    <t>23102597</t>
  </si>
  <si>
    <t>147445</t>
  </si>
  <si>
    <t>148033</t>
  </si>
  <si>
    <t>147443</t>
  </si>
  <si>
    <t>148447</t>
  </si>
  <si>
    <t>30092940</t>
  </si>
  <si>
    <t>30092935</t>
  </si>
  <si>
    <t>147447</t>
  </si>
  <si>
    <t>147452</t>
  </si>
  <si>
    <t>138831</t>
  </si>
  <si>
    <t>147435</t>
  </si>
  <si>
    <t>23102692</t>
  </si>
  <si>
    <t>147893</t>
  </si>
  <si>
    <t>30092286</t>
  </si>
  <si>
    <t>147989</t>
  </si>
  <si>
    <t>147343</t>
  </si>
  <si>
    <t>30092932</t>
  </si>
  <si>
    <t>147045</t>
  </si>
  <si>
    <t>23102659</t>
  </si>
  <si>
    <t>147057</t>
  </si>
  <si>
    <t>147013</t>
  </si>
  <si>
    <t>147809</t>
  </si>
  <si>
    <t>147556</t>
  </si>
  <si>
    <t>148449</t>
  </si>
  <si>
    <t>147562</t>
  </si>
  <si>
    <t>23102598</t>
  </si>
  <si>
    <t>147538</t>
  </si>
  <si>
    <t>147558</t>
  </si>
  <si>
    <t>147565</t>
  </si>
  <si>
    <t>147549</t>
  </si>
  <si>
    <t>147620</t>
  </si>
  <si>
    <t>PKG30092297</t>
  </si>
  <si>
    <t>146896</t>
  </si>
  <si>
    <t>147167</t>
  </si>
  <si>
    <t>PKG30092269</t>
  </si>
  <si>
    <t>147160</t>
  </si>
  <si>
    <t>E487-146891</t>
  </si>
  <si>
    <t>147040</t>
  </si>
  <si>
    <t>147065</t>
  </si>
  <si>
    <t>PKG30092505</t>
  </si>
  <si>
    <t>23102549</t>
  </si>
  <si>
    <t>147807</t>
  </si>
  <si>
    <t>PKG30092183</t>
  </si>
  <si>
    <t>146915</t>
  </si>
  <si>
    <t>147819</t>
  </si>
  <si>
    <t>30093074</t>
  </si>
  <si>
    <t>147229</t>
  </si>
  <si>
    <t>147526</t>
  </si>
  <si>
    <t>23102662</t>
  </si>
  <si>
    <t>147987</t>
  </si>
  <si>
    <t>147554</t>
  </si>
  <si>
    <t>147551</t>
  </si>
  <si>
    <t>147520</t>
  </si>
  <si>
    <t>147573</t>
  </si>
  <si>
    <t>23102647</t>
  </si>
  <si>
    <t>QS157FMI-D*23102493*</t>
  </si>
  <si>
    <t>G42B-113500</t>
  </si>
  <si>
    <t>148232</t>
  </si>
  <si>
    <t>23102663</t>
  </si>
  <si>
    <t>148196</t>
  </si>
  <si>
    <t>148039</t>
  </si>
  <si>
    <t>147602</t>
  </si>
  <si>
    <t>23102445</t>
  </si>
  <si>
    <t>148195</t>
  </si>
  <si>
    <t>23102447</t>
  </si>
  <si>
    <t>147541</t>
  </si>
  <si>
    <t>23102738</t>
  </si>
  <si>
    <t>147220</t>
  </si>
  <si>
    <t>113735</t>
  </si>
  <si>
    <t>147528</t>
  </si>
  <si>
    <t>147525</t>
  </si>
  <si>
    <t>147519</t>
  </si>
  <si>
    <t>146445</t>
  </si>
  <si>
    <t>113680</t>
  </si>
  <si>
    <t>147926</t>
  </si>
  <si>
    <t>146966</t>
  </si>
  <si>
    <t>145624</t>
  </si>
  <si>
    <t>30092906</t>
  </si>
  <si>
    <t>145929</t>
  </si>
  <si>
    <t>23102514</t>
  </si>
  <si>
    <t>30092634</t>
  </si>
  <si>
    <t>30092521</t>
  </si>
  <si>
    <t>30092630</t>
  </si>
  <si>
    <t>147258</t>
  </si>
  <si>
    <t>30092516</t>
  </si>
  <si>
    <t>30092640</t>
  </si>
  <si>
    <t>23102537</t>
  </si>
  <si>
    <t>113617</t>
  </si>
  <si>
    <t>113409</t>
  </si>
  <si>
    <t>23102587</t>
  </si>
  <si>
    <t>23102578</t>
  </si>
  <si>
    <t>146724</t>
  </si>
  <si>
    <t>145607</t>
  </si>
  <si>
    <t>113408</t>
  </si>
  <si>
    <t>30092525</t>
  </si>
  <si>
    <t>30092407</t>
  </si>
  <si>
    <t>113528</t>
  </si>
  <si>
    <t>165863</t>
  </si>
  <si>
    <t>30092659</t>
  </si>
  <si>
    <t>113437</t>
  </si>
  <si>
    <t>30092637</t>
  </si>
  <si>
    <t>113440</t>
  </si>
  <si>
    <t>145627</t>
  </si>
  <si>
    <t>145626</t>
  </si>
  <si>
    <t>145615</t>
  </si>
  <si>
    <t>23102625</t>
  </si>
  <si>
    <t>30092667</t>
  </si>
  <si>
    <t>148191</t>
  </si>
  <si>
    <t>148458</t>
  </si>
  <si>
    <t>147531</t>
  </si>
  <si>
    <t>147063</t>
  </si>
  <si>
    <t>23102615</t>
  </si>
  <si>
    <t>23102584</t>
  </si>
  <si>
    <t>147033</t>
  </si>
  <si>
    <t>147077</t>
  </si>
  <si>
    <t>23102651</t>
  </si>
  <si>
    <t>147874</t>
  </si>
  <si>
    <t>147868</t>
  </si>
  <si>
    <t>147875</t>
  </si>
  <si>
    <t>147877</t>
  </si>
  <si>
    <t>147978</t>
  </si>
  <si>
    <t>145097</t>
  </si>
  <si>
    <t>23100408</t>
  </si>
  <si>
    <t>145814</t>
  </si>
  <si>
    <t>145812</t>
  </si>
  <si>
    <t>113298</t>
  </si>
  <si>
    <t>PKG30092593</t>
  </si>
  <si>
    <t>PKG30092655</t>
  </si>
  <si>
    <t>148243</t>
  </si>
  <si>
    <t>147535</t>
  </si>
  <si>
    <t>113692</t>
  </si>
  <si>
    <t>148439</t>
  </si>
  <si>
    <t>148446</t>
  </si>
  <si>
    <t>147642</t>
  </si>
  <si>
    <t>147605</t>
  </si>
  <si>
    <t>144523</t>
  </si>
  <si>
    <t>23102545</t>
  </si>
  <si>
    <t>30092281</t>
  </si>
  <si>
    <t>146727</t>
  </si>
  <si>
    <t>23102637</t>
  </si>
  <si>
    <t>30092287</t>
  </si>
  <si>
    <t>30092936</t>
  </si>
  <si>
    <t>30092938</t>
  </si>
  <si>
    <t>148019</t>
  </si>
  <si>
    <t>23102557</t>
  </si>
  <si>
    <t>148321</t>
  </si>
  <si>
    <t>30093091</t>
  </si>
  <si>
    <t>148557</t>
  </si>
  <si>
    <t>148566</t>
  </si>
  <si>
    <t>PKG30092706</t>
  </si>
  <si>
    <t>146912</t>
  </si>
  <si>
    <t>148220</t>
  </si>
  <si>
    <t>147983</t>
  </si>
  <si>
    <t>30092962</t>
  </si>
  <si>
    <t>PKG30092719</t>
  </si>
  <si>
    <t>147690</t>
  </si>
  <si>
    <t>PKG30092134</t>
  </si>
  <si>
    <t>23102495</t>
  </si>
  <si>
    <t>148783</t>
  </si>
  <si>
    <t>147475</t>
  </si>
  <si>
    <t>148803</t>
  </si>
  <si>
    <t>147142</t>
  </si>
  <si>
    <t>147104</t>
  </si>
  <si>
    <t>30092662</t>
  </si>
  <si>
    <t>147969</t>
  </si>
  <si>
    <t>113590</t>
  </si>
  <si>
    <t>147477</t>
  </si>
  <si>
    <t>147283</t>
  </si>
  <si>
    <t>146890</t>
  </si>
  <si>
    <t>148198</t>
  </si>
  <si>
    <t>148333</t>
  </si>
  <si>
    <t>30093099</t>
  </si>
  <si>
    <t>30093098</t>
  </si>
  <si>
    <t>30093041</t>
  </si>
  <si>
    <t>23102602</t>
  </si>
  <si>
    <t>147922</t>
  </si>
  <si>
    <t>147722</t>
  </si>
  <si>
    <t>148043</t>
  </si>
  <si>
    <t>148337</t>
  </si>
  <si>
    <t>148223</t>
  </si>
  <si>
    <t>148239</t>
  </si>
  <si>
    <t>23102676</t>
  </si>
  <si>
    <t>148038</t>
  </si>
  <si>
    <t>148036</t>
  </si>
  <si>
    <t>144512</t>
  </si>
  <si>
    <t>148559</t>
  </si>
  <si>
    <t>30092957</t>
  </si>
  <si>
    <t>147266</t>
  </si>
  <si>
    <t>148244</t>
  </si>
  <si>
    <t>147438</t>
  </si>
  <si>
    <t>147850</t>
  </si>
  <si>
    <t>147915</t>
  </si>
  <si>
    <t>147908</t>
  </si>
  <si>
    <t>23102569</t>
  </si>
  <si>
    <t>148568</t>
  </si>
  <si>
    <t>148797</t>
  </si>
  <si>
    <t>147909</t>
  </si>
  <si>
    <t>148165</t>
  </si>
  <si>
    <t>23102671</t>
  </si>
  <si>
    <t>148554</t>
  </si>
  <si>
    <t>147618</t>
  </si>
  <si>
    <t>148158</t>
  </si>
  <si>
    <t>148733</t>
  </si>
  <si>
    <t>148314</t>
  </si>
  <si>
    <t>30092997</t>
  </si>
  <si>
    <t>148486</t>
  </si>
  <si>
    <t>113681</t>
  </si>
  <si>
    <t>113737</t>
  </si>
  <si>
    <t>30092942</t>
  </si>
  <si>
    <t>30092953</t>
  </si>
  <si>
    <t>147801</t>
  </si>
  <si>
    <t>145657</t>
  </si>
  <si>
    <t>30092941</t>
  </si>
  <si>
    <t>145612</t>
  </si>
  <si>
    <t>145613</t>
  </si>
  <si>
    <t>30092950</t>
  </si>
  <si>
    <t>146544</t>
  </si>
  <si>
    <t>30092074</t>
  </si>
  <si>
    <t>145617</t>
  </si>
  <si>
    <t>146589</t>
  </si>
  <si>
    <t>143594</t>
  </si>
  <si>
    <t>23102527</t>
  </si>
  <si>
    <t>143468</t>
  </si>
  <si>
    <t>143431</t>
  </si>
  <si>
    <t>148483</t>
  </si>
  <si>
    <t>30092913</t>
  </si>
  <si>
    <t>23102628</t>
  </si>
  <si>
    <t>148075</t>
  </si>
  <si>
    <t>113671</t>
  </si>
  <si>
    <t>148074</t>
  </si>
  <si>
    <t>147711</t>
  </si>
  <si>
    <t>148069</t>
  </si>
  <si>
    <t>147244</t>
  </si>
  <si>
    <t>147640</t>
  </si>
  <si>
    <t>30092470</t>
  </si>
  <si>
    <t>147026</t>
  </si>
  <si>
    <t>148541</t>
  </si>
  <si>
    <t>148245</t>
  </si>
  <si>
    <t>30092990</t>
  </si>
  <si>
    <t>148028</t>
  </si>
  <si>
    <t>148051</t>
  </si>
  <si>
    <t>30092921</t>
  </si>
  <si>
    <t>147973</t>
  </si>
  <si>
    <t>147440</t>
  </si>
  <si>
    <t>148715</t>
  </si>
  <si>
    <t>147424</t>
  </si>
  <si>
    <t>147696</t>
  </si>
  <si>
    <t>148442</t>
  </si>
  <si>
    <t>147145</t>
  </si>
  <si>
    <t>30092676</t>
  </si>
  <si>
    <t>148700</t>
  </si>
  <si>
    <t>146907</t>
  </si>
  <si>
    <t>113603</t>
  </si>
  <si>
    <t>148778</t>
  </si>
  <si>
    <t>147143</t>
  </si>
  <si>
    <t>147121</t>
  </si>
  <si>
    <t>147694</t>
  </si>
  <si>
    <t>148699</t>
  </si>
  <si>
    <t>148742</t>
  </si>
  <si>
    <t>148478</t>
  </si>
  <si>
    <t>148456</t>
  </si>
  <si>
    <t>148544</t>
  </si>
  <si>
    <t>148563</t>
  </si>
  <si>
    <t>148727</t>
  </si>
  <si>
    <t>23102556</t>
  </si>
  <si>
    <t>147137</t>
  </si>
  <si>
    <t>147085</t>
  </si>
  <si>
    <t>30092677</t>
  </si>
  <si>
    <t>30092038</t>
  </si>
  <si>
    <t>23102743</t>
  </si>
  <si>
    <t>148513</t>
  </si>
  <si>
    <t>23102670</t>
  </si>
  <si>
    <t>148041</t>
  </si>
  <si>
    <t>148674</t>
  </si>
  <si>
    <t>148671</t>
  </si>
  <si>
    <t>113689</t>
  </si>
  <si>
    <t>147614</t>
  </si>
  <si>
    <t>148487</t>
  </si>
  <si>
    <t>148787</t>
  </si>
  <si>
    <t>148810</t>
  </si>
  <si>
    <t>30093000</t>
  </si>
  <si>
    <t>23102623</t>
  </si>
  <si>
    <t>23102604</t>
  </si>
  <si>
    <t>147546</t>
  </si>
  <si>
    <t>148221</t>
  </si>
  <si>
    <t>148120</t>
  </si>
  <si>
    <t>30093033</t>
  </si>
  <si>
    <t>148115</t>
  </si>
  <si>
    <t>30093036</t>
  </si>
  <si>
    <t>30093145</t>
  </si>
  <si>
    <t>30093039</t>
  </si>
  <si>
    <t>148031</t>
  </si>
  <si>
    <t>147643</t>
  </si>
  <si>
    <t>23100380</t>
  </si>
  <si>
    <t>113501</t>
  </si>
  <si>
    <t>148661</t>
  </si>
  <si>
    <t>148547</t>
  </si>
  <si>
    <t>148542</t>
  </si>
  <si>
    <t>148546</t>
  </si>
  <si>
    <t>148545</t>
  </si>
  <si>
    <t>148200</t>
  </si>
  <si>
    <t>148201</t>
  </si>
  <si>
    <t>143214</t>
  </si>
  <si>
    <t>113618</t>
  </si>
  <si>
    <t>30093175</t>
  </si>
  <si>
    <t>23102721</t>
  </si>
  <si>
    <t>148675</t>
  </si>
  <si>
    <t>30093179</t>
  </si>
  <si>
    <t>148677</t>
  </si>
  <si>
    <t>147928</t>
  </si>
  <si>
    <t>30093118</t>
  </si>
  <si>
    <t>148129</t>
  </si>
  <si>
    <t>30093114</t>
  </si>
  <si>
    <t>148213</t>
  </si>
  <si>
    <t>148097</t>
  </si>
  <si>
    <t>23102653</t>
  </si>
  <si>
    <t>148138</t>
  </si>
  <si>
    <t>113782</t>
  </si>
  <si>
    <t>148135</t>
  </si>
  <si>
    <t>148705</t>
  </si>
  <si>
    <t>113791</t>
  </si>
  <si>
    <t>30093032</t>
  </si>
  <si>
    <t>30093180</t>
  </si>
  <si>
    <t>148228</t>
  </si>
  <si>
    <t>148219</t>
  </si>
  <si>
    <t>148434</t>
  </si>
  <si>
    <t>148774</t>
  </si>
  <si>
    <t>148096</t>
  </si>
  <si>
    <t>148226</t>
  </si>
  <si>
    <t>148497</t>
  </si>
  <si>
    <t>148215</t>
  </si>
  <si>
    <t>148952</t>
  </si>
  <si>
    <t>148142</t>
  </si>
  <si>
    <t>148116</t>
  </si>
  <si>
    <t>30093174</t>
  </si>
  <si>
    <t>148706</t>
  </si>
  <si>
    <t>113741</t>
  </si>
  <si>
    <t>148194</t>
  </si>
  <si>
    <t>148721</t>
  </si>
  <si>
    <t>148556</t>
  </si>
  <si>
    <t>148690</t>
  </si>
  <si>
    <t>148937</t>
  </si>
  <si>
    <t>146280</t>
  </si>
  <si>
    <t>23102742</t>
  </si>
  <si>
    <t>147960</t>
  </si>
  <si>
    <t>148555</t>
  </si>
  <si>
    <t>148949</t>
  </si>
  <si>
    <t>148346</t>
  </si>
  <si>
    <t>148562</t>
  </si>
  <si>
    <t>148692</t>
  </si>
  <si>
    <t>30093119</t>
  </si>
  <si>
    <t>146895</t>
  </si>
  <si>
    <t>30093113</t>
  </si>
  <si>
    <t>148511</t>
  </si>
  <si>
    <t>23102703</t>
  </si>
  <si>
    <t>148506</t>
  </si>
  <si>
    <t>30093112</t>
  </si>
  <si>
    <t>113602</t>
  </si>
  <si>
    <t>30093111</t>
  </si>
  <si>
    <t>30092922</t>
  </si>
  <si>
    <t>30093115</t>
  </si>
  <si>
    <t>147625</t>
  </si>
  <si>
    <t>148646</t>
  </si>
  <si>
    <t>147292</t>
  </si>
  <si>
    <t>30092199</t>
  </si>
  <si>
    <t>30092556</t>
  </si>
  <si>
    <t>148710</t>
  </si>
  <si>
    <t>143225</t>
  </si>
  <si>
    <t>23102660</t>
  </si>
  <si>
    <t>147982</t>
  </si>
  <si>
    <t>30093157</t>
  </si>
  <si>
    <t>30093167</t>
  </si>
  <si>
    <t>30093152</t>
  </si>
  <si>
    <t>30093168</t>
  </si>
  <si>
    <t>146664</t>
  </si>
  <si>
    <t>23102713</t>
  </si>
  <si>
    <t>148189</t>
  </si>
  <si>
    <t>148202</t>
  </si>
  <si>
    <t>148280</t>
  </si>
  <si>
    <t>30092902</t>
  </si>
  <si>
    <t>147773</t>
  </si>
  <si>
    <t>147351</t>
  </si>
  <si>
    <t>148325</t>
  </si>
  <si>
    <t>30093169</t>
  </si>
  <si>
    <t>148440</t>
  </si>
  <si>
    <t>23102544</t>
  </si>
  <si>
    <t>148927</t>
  </si>
  <si>
    <t>113600</t>
  </si>
  <si>
    <t>147023</t>
  </si>
  <si>
    <t>148561</t>
  </si>
  <si>
    <t>148788</t>
  </si>
  <si>
    <t>30093171</t>
  </si>
  <si>
    <t>148956</t>
  </si>
  <si>
    <t>113846</t>
  </si>
  <si>
    <t>113847</t>
  </si>
  <si>
    <t>147533</t>
  </si>
  <si>
    <t>30091786</t>
  </si>
  <si>
    <t>148510</t>
  </si>
  <si>
    <t>147765</t>
  </si>
  <si>
    <t>148270</t>
  </si>
  <si>
    <t>148263</t>
  </si>
  <si>
    <t>147845</t>
  </si>
  <si>
    <t>147766</t>
  </si>
  <si>
    <t>148884</t>
  </si>
  <si>
    <t>148128</t>
  </si>
  <si>
    <t>148205</t>
  </si>
  <si>
    <t>148117</t>
  </si>
  <si>
    <t>147838</t>
  </si>
  <si>
    <t>148301</t>
  </si>
  <si>
    <t>144482</t>
  </si>
  <si>
    <t>148976</t>
  </si>
  <si>
    <t>148767</t>
  </si>
  <si>
    <t>146495</t>
  </si>
  <si>
    <t>113728</t>
  </si>
  <si>
    <t>148564</t>
  </si>
  <si>
    <t>30093151</t>
  </si>
  <si>
    <t>113769</t>
  </si>
  <si>
    <t>30093161</t>
  </si>
  <si>
    <t>30093149</t>
  </si>
  <si>
    <t>148617</t>
  </si>
  <si>
    <t>148507</t>
  </si>
  <si>
    <t>113845</t>
  </si>
  <si>
    <t>146918</t>
  </si>
  <si>
    <t>30093081</t>
  </si>
  <si>
    <t>113713</t>
  </si>
  <si>
    <t>30093076</t>
  </si>
  <si>
    <t>113710</t>
  </si>
  <si>
    <t>30092829</t>
  </si>
  <si>
    <t>30092830</t>
  </si>
  <si>
    <t>145957</t>
  </si>
  <si>
    <t>30092845</t>
  </si>
  <si>
    <t>30092846</t>
  </si>
  <si>
    <t>30092843</t>
  </si>
  <si>
    <t>148808</t>
  </si>
  <si>
    <t>30092842</t>
  </si>
  <si>
    <t>23100277</t>
  </si>
  <si>
    <t>30092851</t>
  </si>
  <si>
    <t>30092827</t>
  </si>
  <si>
    <t>22106376</t>
  </si>
  <si>
    <t>148235</t>
  </si>
  <si>
    <t>30092579</t>
  </si>
  <si>
    <t>23102735</t>
  </si>
  <si>
    <t>113790</t>
  </si>
  <si>
    <t>23102717</t>
  </si>
  <si>
    <t>113688</t>
  </si>
  <si>
    <t>147631</t>
  </si>
  <si>
    <t>147624</t>
  </si>
  <si>
    <t>149023</t>
  </si>
  <si>
    <t>148909</t>
  </si>
  <si>
    <t>30093208</t>
  </si>
  <si>
    <t>148953</t>
  </si>
  <si>
    <t>30093207</t>
  </si>
  <si>
    <t>148104</t>
  </si>
  <si>
    <t>113764</t>
  </si>
  <si>
    <t>113778</t>
  </si>
  <si>
    <t>148526</t>
  </si>
  <si>
    <t>113775</t>
  </si>
  <si>
    <t>SST   15%</t>
  </si>
  <si>
    <t>SST 15%</t>
  </si>
  <si>
    <t>NF4KD-102089</t>
  </si>
  <si>
    <t>Branch</t>
  </si>
  <si>
    <t>Punjab</t>
  </si>
  <si>
    <t>UR</t>
  </si>
  <si>
    <t>AR</t>
  </si>
  <si>
    <t>TR</t>
  </si>
  <si>
    <t>UP</t>
  </si>
  <si>
    <t>KHALIL</t>
  </si>
  <si>
    <t>MANDIVALA</t>
  </si>
  <si>
    <t>SOIUTH</t>
  </si>
  <si>
    <t>ZEESHAN</t>
  </si>
  <si>
    <t>DEFFENCE</t>
  </si>
  <si>
    <t>Rate</t>
  </si>
  <si>
    <t>RATE ISSUE</t>
  </si>
  <si>
    <t>sum covered chn</t>
  </si>
  <si>
    <t>PREM</t>
  </si>
  <si>
    <t>-09-2024</t>
  </si>
  <si>
    <t xml:space="preserve">   </t>
  </si>
  <si>
    <t>FUNC_ASSORTED_STRING(IA.ASSORTED_CODE)</t>
  </si>
  <si>
    <t>ASSORTED_CODE</t>
  </si>
  <si>
    <t>040000184528</t>
  </si>
  <si>
    <t>040000185471</t>
  </si>
  <si>
    <t>040000185201</t>
  </si>
  <si>
    <t>040000185202</t>
  </si>
  <si>
    <t>040000183136</t>
  </si>
  <si>
    <t>040000183138</t>
  </si>
  <si>
    <t>040000184165</t>
  </si>
  <si>
    <t>040000184561</t>
  </si>
  <si>
    <t>040000183198</t>
  </si>
  <si>
    <t>040000184526</t>
  </si>
  <si>
    <t>040000184527</t>
  </si>
  <si>
    <t>040000183164</t>
  </si>
  <si>
    <t>040000183654</t>
  </si>
  <si>
    <t>040000183132</t>
  </si>
  <si>
    <t>040000184814</t>
  </si>
  <si>
    <t>040000183649</t>
  </si>
  <si>
    <t>040000183650</t>
  </si>
  <si>
    <t>040000183542</t>
  </si>
  <si>
    <t>040000183758</t>
  </si>
  <si>
    <t>040000183921</t>
  </si>
  <si>
    <t>040000183922</t>
  </si>
  <si>
    <t>040000183951</t>
  </si>
  <si>
    <t>040000183952</t>
  </si>
  <si>
    <t>040000183953</t>
  </si>
  <si>
    <t>040000183954</t>
  </si>
  <si>
    <t>040000184025</t>
  </si>
  <si>
    <t>040000184027</t>
  </si>
  <si>
    <t>040000184029</t>
  </si>
  <si>
    <t>040000184030</t>
  </si>
  <si>
    <t>040000184196</t>
  </si>
  <si>
    <t>040000184197</t>
  </si>
  <si>
    <t>040000184538</t>
  </si>
  <si>
    <t>040000184539</t>
  </si>
  <si>
    <t>040000184540</t>
  </si>
  <si>
    <t>040000184541</t>
  </si>
  <si>
    <t>040000183518</t>
  </si>
  <si>
    <t>040000184910</t>
  </si>
  <si>
    <t>040000184912</t>
  </si>
  <si>
    <t>040000184918</t>
  </si>
  <si>
    <t>040000184919</t>
  </si>
  <si>
    <t>040000184780</t>
  </si>
  <si>
    <t>040000184783</t>
  </si>
  <si>
    <t>040000184785</t>
  </si>
  <si>
    <t>040000184788</t>
  </si>
  <si>
    <t>040000184791</t>
  </si>
  <si>
    <t>040000184872</t>
  </si>
  <si>
    <t>040000184873</t>
  </si>
  <si>
    <t>040000185117</t>
  </si>
  <si>
    <t>040000183640</t>
  </si>
  <si>
    <t>040000183559</t>
  </si>
  <si>
    <t>040000183936</t>
  </si>
  <si>
    <t>040000184473</t>
  </si>
  <si>
    <t>040000184480</t>
  </si>
  <si>
    <t>040000184482</t>
  </si>
  <si>
    <t>040000184860</t>
  </si>
  <si>
    <t>040000184738</t>
  </si>
  <si>
    <t>040000184739</t>
  </si>
  <si>
    <t>040000184017</t>
  </si>
  <si>
    <t>040000185473</t>
  </si>
  <si>
    <t>040000185477</t>
  </si>
  <si>
    <t>040000183583</t>
  </si>
  <si>
    <t>040000183493</t>
  </si>
  <si>
    <t>040000183494</t>
  </si>
  <si>
    <t>040000183495</t>
  </si>
  <si>
    <t>040000183496</t>
  </si>
  <si>
    <t>040000183651</t>
  </si>
  <si>
    <t>040000183652</t>
  </si>
  <si>
    <t>040000185335</t>
  </si>
  <si>
    <t>040000185336</t>
  </si>
  <si>
    <t>040000183696</t>
  </si>
  <si>
    <t>040000183829</t>
  </si>
  <si>
    <t>040000183833</t>
  </si>
  <si>
    <t>040000183192</t>
  </si>
  <si>
    <t>040000185418</t>
  </si>
  <si>
    <t>040000184602</t>
  </si>
  <si>
    <t>040000184603</t>
  </si>
  <si>
    <t>040000184604</t>
  </si>
  <si>
    <t>040000185333</t>
  </si>
  <si>
    <t>040000185334</t>
  </si>
  <si>
    <t>040000185402</t>
  </si>
  <si>
    <t>040000185403</t>
  </si>
  <si>
    <t>040000185404</t>
  </si>
  <si>
    <t>040000185405</t>
  </si>
  <si>
    <t>040000184455</t>
  </si>
  <si>
    <t>040000184871</t>
  </si>
  <si>
    <t>040000183889</t>
  </si>
  <si>
    <t>040000183890</t>
  </si>
  <si>
    <t>040000184939</t>
  </si>
  <si>
    <t>040000184940</t>
  </si>
  <si>
    <t>040000184941</t>
  </si>
  <si>
    <t>040000185228</t>
  </si>
  <si>
    <t>040000184194</t>
  </si>
  <si>
    <t>040000184195</t>
  </si>
  <si>
    <t>040000184366</t>
  </si>
  <si>
    <t>040000184077</t>
  </si>
  <si>
    <t>040000185000</t>
  </si>
  <si>
    <t>040000185010</t>
  </si>
  <si>
    <t>040000185011</t>
  </si>
  <si>
    <t>040000185017</t>
  </si>
  <si>
    <t>040000184159</t>
  </si>
  <si>
    <t>040000184486</t>
  </si>
  <si>
    <t>040000184487</t>
  </si>
  <si>
    <t>040000184488</t>
  </si>
  <si>
    <t>040000185220</t>
  </si>
  <si>
    <t>040000185223</t>
  </si>
  <si>
    <t>040000184449</t>
  </si>
  <si>
    <t>040000184451</t>
  </si>
  <si>
    <t>040000184454</t>
  </si>
  <si>
    <t>040000184171</t>
  </si>
  <si>
    <t>040000185178</t>
  </si>
  <si>
    <t>040000185179</t>
  </si>
  <si>
    <t>040000185185</t>
  </si>
  <si>
    <t>040000185186</t>
  </si>
  <si>
    <t>040000185189</t>
  </si>
  <si>
    <t>040000185192</t>
  </si>
  <si>
    <t>040000184231</t>
  </si>
  <si>
    <t>040000184232</t>
  </si>
  <si>
    <t>040000184245</t>
  </si>
  <si>
    <t>040000184247</t>
  </si>
  <si>
    <t>040000184248</t>
  </si>
  <si>
    <t>040000184251</t>
  </si>
  <si>
    <t>040000184274</t>
  </si>
  <si>
    <t>040000184522</t>
  </si>
  <si>
    <t>040000183340</t>
  </si>
  <si>
    <t>040000183343</t>
  </si>
  <si>
    <t>040000183345</t>
  </si>
  <si>
    <t>040000185430</t>
  </si>
  <si>
    <t>040000185431</t>
  </si>
  <si>
    <t>040000185432</t>
  </si>
  <si>
    <t>040000183360</t>
  </si>
  <si>
    <t>040000183254</t>
  </si>
  <si>
    <t>040000183255</t>
  </si>
  <si>
    <t>040000183256</t>
  </si>
  <si>
    <t>040000183257</t>
  </si>
  <si>
    <t>040000183258</t>
  </si>
  <si>
    <t>040000183380</t>
  </si>
  <si>
    <t>040000183381</t>
  </si>
  <si>
    <t>040000183944</t>
  </si>
  <si>
    <t>040000183946</t>
  </si>
  <si>
    <t>040000183416</t>
  </si>
  <si>
    <t>040000183418</t>
  </si>
  <si>
    <t>040000183541</t>
  </si>
  <si>
    <t>040000183543</t>
  </si>
  <si>
    <t>040000183544</t>
  </si>
  <si>
    <t>040000184336</t>
  </si>
  <si>
    <t>040000185395</t>
  </si>
  <si>
    <t>040000185396</t>
  </si>
  <si>
    <t>040000183677</t>
  </si>
  <si>
    <t>040000184465</t>
  </si>
  <si>
    <t>040000184468</t>
  </si>
  <si>
    <t>040000184469</t>
  </si>
  <si>
    <t>040000184470</t>
  </si>
  <si>
    <t>040000184474</t>
  </si>
  <si>
    <t>040000184479</t>
  </si>
  <si>
    <t>040000184481</t>
  </si>
  <si>
    <t>040000184485</t>
  </si>
  <si>
    <t>040000184332</t>
  </si>
  <si>
    <t>040000184413</t>
  </si>
  <si>
    <t>040000184656</t>
  </si>
  <si>
    <t>040000184658</t>
  </si>
  <si>
    <t>040000184806</t>
  </si>
  <si>
    <t>040000184807</t>
  </si>
  <si>
    <t>040000184809</t>
  </si>
  <si>
    <t>040000184810</t>
  </si>
  <si>
    <t>040000184811</t>
  </si>
  <si>
    <t>040000184824</t>
  </si>
  <si>
    <t>040000184830</t>
  </si>
  <si>
    <t>040000184834</t>
  </si>
  <si>
    <t>040000185326</t>
  </si>
  <si>
    <t>040000184530</t>
  </si>
  <si>
    <t>040000184531</t>
  </si>
  <si>
    <t>040000184533</t>
  </si>
  <si>
    <t>040000184535</t>
  </si>
  <si>
    <t>040000184536</t>
  </si>
  <si>
    <t>040000184537</t>
  </si>
  <si>
    <t>040000184841</t>
  </si>
  <si>
    <t>040000184845</t>
  </si>
  <si>
    <t>040000184221</t>
  </si>
  <si>
    <t>040000184222</t>
  </si>
  <si>
    <t>040000184223</t>
  </si>
  <si>
    <t>040000184375</t>
  </si>
  <si>
    <t>040000185568</t>
  </si>
  <si>
    <t>040000185570</t>
  </si>
  <si>
    <t>040000184644</t>
  </si>
  <si>
    <t>040000184712</t>
  </si>
  <si>
    <t>040000184713</t>
  </si>
  <si>
    <t>040000184714</t>
  </si>
  <si>
    <t>040000184715</t>
  </si>
  <si>
    <t>040000185343</t>
  </si>
  <si>
    <t>040000184346</t>
  </si>
  <si>
    <t>040000183632</t>
  </si>
  <si>
    <t>040000183633</t>
  </si>
  <si>
    <t>040000183299</t>
  </si>
  <si>
    <t>040000183317</t>
  </si>
  <si>
    <t>040000183341</t>
  </si>
  <si>
    <t>040000183342</t>
  </si>
  <si>
    <t>040000183344</t>
  </si>
  <si>
    <t>040000183441</t>
  </si>
  <si>
    <t>040000183442</t>
  </si>
  <si>
    <t>040000183505</t>
  </si>
  <si>
    <t>040000183165</t>
  </si>
  <si>
    <t>040000183166</t>
  </si>
  <si>
    <t>040000183491</t>
  </si>
  <si>
    <t>040000183872</t>
  </si>
  <si>
    <t>040000183873</t>
  </si>
  <si>
    <t>040000185480</t>
  </si>
  <si>
    <t>040000185482</t>
  </si>
  <si>
    <t>040000185484</t>
  </si>
  <si>
    <t>040000185486</t>
  </si>
  <si>
    <t>040000184316</t>
  </si>
  <si>
    <t>040000184320</t>
  </si>
  <si>
    <t>040000184634</t>
  </si>
  <si>
    <t>040000184635</t>
  </si>
  <si>
    <t>040000184677</t>
  </si>
  <si>
    <t>040000185517</t>
  </si>
  <si>
    <t>040000185518</t>
  </si>
  <si>
    <t>040000185359</t>
  </si>
  <si>
    <t>040000183331</t>
  </si>
  <si>
    <t>040000183647</t>
  </si>
  <si>
    <t>040000183648</t>
  </si>
  <si>
    <t>040000185254</t>
  </si>
  <si>
    <t>040000185255</t>
  </si>
  <si>
    <t>040000185257</t>
  </si>
  <si>
    <t>040000183384</t>
  </si>
  <si>
    <t>040000185337</t>
  </si>
  <si>
    <t>040000185338</t>
  </si>
  <si>
    <t>040000183729</t>
  </si>
  <si>
    <t>040000183730</t>
  </si>
  <si>
    <t>040000183732</t>
  </si>
  <si>
    <t>040000183902</t>
  </si>
  <si>
    <t>040000183906</t>
  </si>
  <si>
    <t>040000184041</t>
  </si>
  <si>
    <t>040000185475</t>
  </si>
  <si>
    <t>040000185339</t>
  </si>
  <si>
    <t>040000185344</t>
  </si>
  <si>
    <t>040000185352</t>
  </si>
  <si>
    <t>040000183552</t>
  </si>
  <si>
    <t>040000185441</t>
  </si>
  <si>
    <t>040000185442</t>
  </si>
  <si>
    <t>040000185443</t>
  </si>
  <si>
    <t>040000183595</t>
  </si>
  <si>
    <t>040000183302</t>
  </si>
  <si>
    <t>040000183304</t>
  </si>
  <si>
    <t>040000183315</t>
  </si>
  <si>
    <t>040000183316</t>
  </si>
  <si>
    <t>040000183318</t>
  </si>
  <si>
    <t>040000184359</t>
  </si>
  <si>
    <t>040000183488</t>
  </si>
  <si>
    <t>040000183489</t>
  </si>
  <si>
    <t>040000183184</t>
  </si>
  <si>
    <t>040000184400</t>
  </si>
  <si>
    <t>040000184405</t>
  </si>
  <si>
    <t>040000184409</t>
  </si>
  <si>
    <t>040000183896</t>
  </si>
  <si>
    <t>040000183910</t>
  </si>
  <si>
    <t>040000183923</t>
  </si>
  <si>
    <t>040000183942</t>
  </si>
  <si>
    <t>040000183945</t>
  </si>
  <si>
    <t>040000183950</t>
  </si>
  <si>
    <t>040000183955</t>
  </si>
  <si>
    <t>040000183956</t>
  </si>
  <si>
    <t>040000183957</t>
  </si>
  <si>
    <t>040000183958</t>
  </si>
  <si>
    <t>040000183959</t>
  </si>
  <si>
    <t>040000183960</t>
  </si>
  <si>
    <t>040000183961</t>
  </si>
  <si>
    <t>040000183962</t>
  </si>
  <si>
    <t>040000184695</t>
  </si>
  <si>
    <t>040000184696</t>
  </si>
  <si>
    <t>040000184697</t>
  </si>
  <si>
    <t>040000184698</t>
  </si>
  <si>
    <t>040000184699</t>
  </si>
  <si>
    <t>040000184700</t>
  </si>
  <si>
    <t>040000184703</t>
  </si>
  <si>
    <t>040000184704</t>
  </si>
  <si>
    <t>040000184705</t>
  </si>
  <si>
    <t>040000184859</t>
  </si>
  <si>
    <t>040000185170</t>
  </si>
  <si>
    <t>040000185355</t>
  </si>
  <si>
    <t>040000183713</t>
  </si>
  <si>
    <t>040000184056</t>
  </si>
  <si>
    <t>040000184057</t>
  </si>
  <si>
    <t>040000184058</t>
  </si>
  <si>
    <t>040000184059</t>
  </si>
  <si>
    <t>040000184061</t>
  </si>
  <si>
    <t>040000184062</t>
  </si>
  <si>
    <t>040000184825</t>
  </si>
  <si>
    <t>040000184827</t>
  </si>
  <si>
    <t>040000184831</t>
  </si>
  <si>
    <t>040000184836</t>
  </si>
  <si>
    <t>040000184932</t>
  </si>
  <si>
    <t>040000184934</t>
  </si>
  <si>
    <t>040000184946</t>
  </si>
  <si>
    <t>040000184949</t>
  </si>
  <si>
    <t>040000184953</t>
  </si>
  <si>
    <t>040000184956</t>
  </si>
  <si>
    <t>040000184204</t>
  </si>
  <si>
    <t>040000184979</t>
  </si>
  <si>
    <t>040000184901</t>
  </si>
  <si>
    <t>040000185057</t>
  </si>
  <si>
    <t>040000185434</t>
  </si>
  <si>
    <t>040000185411</t>
  </si>
  <si>
    <t>040000185412</t>
  </si>
  <si>
    <t>040000183679</t>
  </si>
  <si>
    <t>040000183681</t>
  </si>
  <si>
    <t>040000183682</t>
  </si>
  <si>
    <t>040000183686</t>
  </si>
  <si>
    <t>040000183687</t>
  </si>
  <si>
    <t>040000183694</t>
  </si>
  <si>
    <t>040000183695</t>
  </si>
  <si>
    <t>040000183700</t>
  </si>
  <si>
    <t>040000184453</t>
  </si>
  <si>
    <t>040000185435</t>
  </si>
  <si>
    <t>040000185438</t>
  </si>
  <si>
    <t>040000185439</t>
  </si>
  <si>
    <t>040000185440</t>
  </si>
  <si>
    <t>040000183634</t>
  </si>
  <si>
    <t>040000184378</t>
  </si>
  <si>
    <t>040000184389</t>
  </si>
  <si>
    <t>040000184390</t>
  </si>
  <si>
    <t>040000184392</t>
  </si>
  <si>
    <t>040000184399</t>
  </si>
  <si>
    <t>040000184401</t>
  </si>
  <si>
    <t>040000183215</t>
  </si>
  <si>
    <t>040000183300</t>
  </si>
  <si>
    <t>040000183305</t>
  </si>
  <si>
    <t>040000183307</t>
  </si>
  <si>
    <t>040000183308</t>
  </si>
  <si>
    <t>040000183309</t>
  </si>
  <si>
    <t>040000183310</t>
  </si>
  <si>
    <t>040000183313</t>
  </si>
  <si>
    <t>040000183932</t>
  </si>
  <si>
    <t>040000185409</t>
  </si>
  <si>
    <t>040000185410</t>
  </si>
  <si>
    <t>040000184088</t>
  </si>
  <si>
    <t>040000184089</t>
  </si>
  <si>
    <t>040000184090</t>
  </si>
  <si>
    <t>040000184091</t>
  </si>
  <si>
    <t>040000184092</t>
  </si>
  <si>
    <t>040000184093</t>
  </si>
  <si>
    <t>040000184095</t>
  </si>
  <si>
    <t>040000184173</t>
  </si>
  <si>
    <t>040000184200</t>
  </si>
  <si>
    <t>040000183655</t>
  </si>
  <si>
    <t>040000184096</t>
  </si>
  <si>
    <t>040000183420</t>
  </si>
  <si>
    <t>040000183421</t>
  </si>
  <si>
    <t>040000184097</t>
  </si>
  <si>
    <t>040000184098</t>
  </si>
  <si>
    <t>040000184099</t>
  </si>
  <si>
    <t>040000184100</t>
  </si>
  <si>
    <t>040000184101</t>
  </si>
  <si>
    <t>040000184102</t>
  </si>
  <si>
    <t>040000184103</t>
  </si>
  <si>
    <t>040000184352</t>
  </si>
  <si>
    <t>040000184354</t>
  </si>
  <si>
    <t>040000184355</t>
  </si>
  <si>
    <t>040000184358</t>
  </si>
  <si>
    <t>040000184362</t>
  </si>
  <si>
    <t>040000183929</t>
  </si>
  <si>
    <t>040000185093</t>
  </si>
  <si>
    <t>040000185099</t>
  </si>
  <si>
    <t>040000184275</t>
  </si>
  <si>
    <t>040000184529</t>
  </si>
  <si>
    <t>040000184667</t>
  </si>
  <si>
    <t>040000183320</t>
  </si>
  <si>
    <t>040000185380</t>
  </si>
  <si>
    <t>040000185492</t>
  </si>
  <si>
    <t>040000185498</t>
  </si>
  <si>
    <t>040000183709</t>
  </si>
  <si>
    <t>040000183710</t>
  </si>
  <si>
    <t>040000184782</t>
  </si>
  <si>
    <t>040000185144</t>
  </si>
  <si>
    <t>040000185381</t>
  </si>
  <si>
    <t>040000185191</t>
  </si>
  <si>
    <t>040000183556</t>
  </si>
  <si>
    <t>040000183798</t>
  </si>
  <si>
    <t>040000185357</t>
  </si>
  <si>
    <t>040000185364</t>
  </si>
  <si>
    <t>040000185365</t>
  </si>
  <si>
    <t>040000183785</t>
  </si>
  <si>
    <t>040000183786</t>
  </si>
  <si>
    <t>040000183553</t>
  </si>
  <si>
    <t>040000183931</t>
  </si>
  <si>
    <t>040000183935</t>
  </si>
  <si>
    <t>040000185082</t>
  </si>
  <si>
    <t>040000185564</t>
  </si>
  <si>
    <t>040000185565</t>
  </si>
  <si>
    <t>040000184532</t>
  </si>
  <si>
    <t>040000184534</t>
  </si>
  <si>
    <t>040000184633</t>
  </si>
  <si>
    <t>040000184638</t>
  </si>
  <si>
    <t>040000184639</t>
  </si>
  <si>
    <t>040000184691</t>
  </si>
  <si>
    <t>040000183236</t>
  </si>
  <si>
    <t>040000185346</t>
  </si>
  <si>
    <t>040000185245</t>
  </si>
  <si>
    <t>040000185327</t>
  </si>
  <si>
    <t>040000185328</t>
  </si>
  <si>
    <t>040000185329</t>
  </si>
  <si>
    <t>040000184835</t>
  </si>
  <si>
    <t>040000184838</t>
  </si>
  <si>
    <t>040000184843</t>
  </si>
  <si>
    <t>040000184847</t>
  </si>
  <si>
    <t>040000183717</t>
  </si>
  <si>
    <t>040000183718</t>
  </si>
  <si>
    <t>040000184478</t>
  </si>
  <si>
    <t>040000185089</t>
  </si>
  <si>
    <t>040000185155</t>
  </si>
  <si>
    <t>040000185561</t>
  </si>
  <si>
    <t>040000185562</t>
  </si>
  <si>
    <t>040000185563</t>
  </si>
  <si>
    <t>040000183301</t>
  </si>
  <si>
    <t>040000185488</t>
  </si>
  <si>
    <t>040000183996</t>
  </si>
  <si>
    <t>040000183997</t>
  </si>
  <si>
    <t>040000183998</t>
  </si>
  <si>
    <t>040000183999</t>
  </si>
  <si>
    <t>040000184047</t>
  </si>
  <si>
    <t>040000184048</t>
  </si>
  <si>
    <t>040000184555</t>
  </si>
  <si>
    <t>040000184736</t>
  </si>
  <si>
    <t>040000184737</t>
  </si>
  <si>
    <t>040000183545</t>
  </si>
  <si>
    <t>040000184049</t>
  </si>
  <si>
    <t>040000184050</t>
  </si>
  <si>
    <t>040000185214</t>
  </si>
  <si>
    <t>040000183110</t>
  </si>
  <si>
    <t>040000185122</t>
  </si>
  <si>
    <t>040000185123</t>
  </si>
  <si>
    <t>040000185545</t>
  </si>
  <si>
    <t>040000185558</t>
  </si>
  <si>
    <t>040000185559</t>
  </si>
  <si>
    <t>040000183837</t>
  </si>
  <si>
    <t>040000184365</t>
  </si>
  <si>
    <t>040000184742</t>
  </si>
  <si>
    <t>040000184743</t>
  </si>
  <si>
    <t>040000184879</t>
  </si>
  <si>
    <t>040000185420</t>
  </si>
  <si>
    <t>040000185485</t>
  </si>
  <si>
    <t>040000185487</t>
  </si>
  <si>
    <t>040000185489</t>
  </si>
  <si>
    <t>040000185567</t>
  </si>
  <si>
    <t>040000185238</t>
  </si>
  <si>
    <t>040000185239</t>
  </si>
  <si>
    <t>040000185240</t>
  </si>
  <si>
    <t>040000185241</t>
  </si>
  <si>
    <t>040000185242</t>
  </si>
  <si>
    <t>040000185243</t>
  </si>
  <si>
    <t>040000185246</t>
  </si>
  <si>
    <t>040000185070</t>
  </si>
  <si>
    <t>040000185321</t>
  </si>
  <si>
    <t>040000185406</t>
  </si>
  <si>
    <t>040000185407</t>
  </si>
  <si>
    <t>040000183780</t>
  </si>
  <si>
    <t>040000184819</t>
  </si>
  <si>
    <t>040000184821</t>
  </si>
  <si>
    <t>040000184822</t>
  </si>
  <si>
    <t>040000184829</t>
  </si>
  <si>
    <t>040000185247</t>
  </si>
  <si>
    <t>040000185250</t>
  </si>
  <si>
    <t>040000185566</t>
  </si>
  <si>
    <t>040000185198</t>
  </si>
  <si>
    <t>040000185199</t>
  </si>
  <si>
    <t>040000185203</t>
  </si>
  <si>
    <t>040000183264</t>
  </si>
  <si>
    <t>040000183333</t>
  </si>
  <si>
    <t>040000184080</t>
  </si>
  <si>
    <t>040000184081</t>
  </si>
  <si>
    <t>040000184297</t>
  </si>
  <si>
    <t>040000184935</t>
  </si>
  <si>
    <t>040000184936</t>
  </si>
  <si>
    <t>040000184943</t>
  </si>
  <si>
    <t>040000184944</t>
  </si>
  <si>
    <t>040000184959</t>
  </si>
  <si>
    <t>040000184971</t>
  </si>
  <si>
    <t>040000185413</t>
  </si>
  <si>
    <t>040000185414</t>
  </si>
  <si>
    <t>040000185415</t>
  </si>
  <si>
    <t>040000183337</t>
  </si>
  <si>
    <t>040000185092</t>
  </si>
  <si>
    <t>040000185095</t>
  </si>
  <si>
    <t>040000185096</t>
  </si>
  <si>
    <t>040000185097</t>
  </si>
  <si>
    <t>040000185101</t>
  </si>
  <si>
    <t>040000185102</t>
  </si>
  <si>
    <t>040000183435</t>
  </si>
  <si>
    <t>040000184448</t>
  </si>
  <si>
    <t>040000183893</t>
  </si>
  <si>
    <t>040000183894</t>
  </si>
  <si>
    <t>040000183898</t>
  </si>
  <si>
    <t>040000183900</t>
  </si>
  <si>
    <t>040000183907</t>
  </si>
  <si>
    <t>040000183915</t>
  </si>
  <si>
    <t>040000184642</t>
  </si>
  <si>
    <t>040000184648</t>
  </si>
  <si>
    <t>040000185120</t>
  </si>
  <si>
    <t>040000185121</t>
  </si>
  <si>
    <t>040000185183</t>
  </si>
  <si>
    <t>040000185184</t>
  </si>
  <si>
    <t>040000185204</t>
  </si>
  <si>
    <t>040000185208</t>
  </si>
  <si>
    <t>040000185209</t>
  </si>
  <si>
    <t>040000185210</t>
  </si>
  <si>
    <t>040000183502</t>
  </si>
  <si>
    <t>040000183503</t>
  </si>
  <si>
    <t>040000183087</t>
  </si>
  <si>
    <t>040000183088</t>
  </si>
  <si>
    <t>040000183311</t>
  </si>
  <si>
    <t>040000183531</t>
  </si>
  <si>
    <t>040000183533</t>
  </si>
  <si>
    <t>040000183540</t>
  </si>
  <si>
    <t>040000184649</t>
  </si>
  <si>
    <t>040000183504</t>
  </si>
  <si>
    <t>040000184051</t>
  </si>
  <si>
    <t>040000184267</t>
  </si>
  <si>
    <t>040000184594</t>
  </si>
  <si>
    <t>040000184595</t>
  </si>
  <si>
    <t>040000183140</t>
  </si>
  <si>
    <t>040000184357</t>
  </si>
  <si>
    <t>040000184361</t>
  </si>
  <si>
    <t>040000184363</t>
  </si>
  <si>
    <t>040000184367</t>
  </si>
  <si>
    <t>040000184368</t>
  </si>
  <si>
    <t>040000184913</t>
  </si>
  <si>
    <t>040000184914</t>
  </si>
  <si>
    <t>040000184915</t>
  </si>
  <si>
    <t>040000184916</t>
  </si>
  <si>
    <t>040000185164</t>
  </si>
  <si>
    <t>040000185168</t>
  </si>
  <si>
    <t>040000185169</t>
  </si>
  <si>
    <t>040000184185</t>
  </si>
  <si>
    <t>040000184763</t>
  </si>
  <si>
    <t>040000184764</t>
  </si>
  <si>
    <t>040000184664</t>
  </si>
  <si>
    <t>040000185428</t>
  </si>
  <si>
    <t>040000183102</t>
  </si>
  <si>
    <t>040000185429</t>
  </si>
  <si>
    <t>040000185481</t>
  </si>
  <si>
    <t>040000185490</t>
  </si>
  <si>
    <t>040000183653</t>
  </si>
  <si>
    <t>040000184386</t>
  </si>
  <si>
    <t>040000184394</t>
  </si>
  <si>
    <t>040000184396</t>
  </si>
  <si>
    <t>040000184397</t>
  </si>
  <si>
    <t>040000185036</t>
  </si>
  <si>
    <t>040000183852</t>
  </si>
  <si>
    <t>040000183400</t>
  </si>
  <si>
    <t>040000183403</t>
  </si>
  <si>
    <t>040000183404</t>
  </si>
  <si>
    <t>040000183410</t>
  </si>
  <si>
    <t>040000184064</t>
  </si>
  <si>
    <t>040000184068</t>
  </si>
  <si>
    <t>040000184070</t>
  </si>
  <si>
    <t>040000184071</t>
  </si>
  <si>
    <t>040000184072</t>
  </si>
  <si>
    <t>040000184073</t>
  </si>
  <si>
    <t>040000184075</t>
  </si>
  <si>
    <t>040000183723</t>
  </si>
  <si>
    <t>040000183725</t>
  </si>
  <si>
    <t>040000185037</t>
  </si>
  <si>
    <t>040000185505</t>
  </si>
  <si>
    <t>040000185506</t>
  </si>
  <si>
    <t>040000185512</t>
  </si>
  <si>
    <t>040000185513</t>
  </si>
  <si>
    <t>040000184168</t>
  </si>
  <si>
    <t>040000184345</t>
  </si>
  <si>
    <t>040000184076</t>
  </si>
  <si>
    <t>040000184078</t>
  </si>
  <si>
    <t>040000184083</t>
  </si>
  <si>
    <t>040000184518</t>
  </si>
  <si>
    <t>040000184519</t>
  </si>
  <si>
    <t>040000184556</t>
  </si>
  <si>
    <t>040000184558</t>
  </si>
  <si>
    <t>040000184579</t>
  </si>
  <si>
    <t>040000184670</t>
  </si>
  <si>
    <t>040000184186</t>
  </si>
  <si>
    <t>040000184187</t>
  </si>
  <si>
    <t>040000184380</t>
  </si>
  <si>
    <t>040000184568</t>
  </si>
  <si>
    <t>040000184570</t>
  </si>
  <si>
    <t>040000184577</t>
  </si>
  <si>
    <t>040000184969</t>
  </si>
  <si>
    <t>040000184970</t>
  </si>
  <si>
    <t>040000184975</t>
  </si>
  <si>
    <t>040000184980</t>
  </si>
  <si>
    <t>040000184981</t>
  </si>
  <si>
    <t>040000184624</t>
  </si>
  <si>
    <t>040000184625</t>
  </si>
  <si>
    <t>040000184626</t>
  </si>
  <si>
    <t>040000185391</t>
  </si>
  <si>
    <t>040000185392</t>
  </si>
  <si>
    <t>040000185426</t>
  </si>
  <si>
    <t>040000185427</t>
  </si>
  <si>
    <t>040000183891</t>
  </si>
  <si>
    <t>040000183892</t>
  </si>
  <si>
    <t>040000183895</t>
  </si>
  <si>
    <t>040000183985</t>
  </si>
  <si>
    <t>040000185324</t>
  </si>
  <si>
    <t>040000184398</t>
  </si>
  <si>
    <t>040000185258</t>
  </si>
  <si>
    <t>040000185259</t>
  </si>
  <si>
    <t>040000185262</t>
  </si>
  <si>
    <t>040000185264</t>
  </si>
  <si>
    <t>040000183733</t>
  </si>
  <si>
    <t>040000184009</t>
  </si>
  <si>
    <t>040000184010</t>
  </si>
  <si>
    <t>040000184977</t>
  </si>
  <si>
    <t>040000184978</t>
  </si>
  <si>
    <t>040000185271</t>
  </si>
  <si>
    <t>040000185272</t>
  </si>
  <si>
    <t>040000183409</t>
  </si>
  <si>
    <t>040000183411</t>
  </si>
  <si>
    <t>040000184444</t>
  </si>
  <si>
    <t>040000183141</t>
  </si>
  <si>
    <t>040000184065</t>
  </si>
  <si>
    <t>040000184588</t>
  </si>
  <si>
    <t>040000184589</t>
  </si>
  <si>
    <t>040000185063</t>
  </si>
  <si>
    <t>040000185106</t>
  </si>
  <si>
    <t>KHI/HO/D/MO/CV/P/98395/09/2024</t>
  </si>
  <si>
    <t>040000185221</t>
  </si>
  <si>
    <t>040000183576</t>
  </si>
  <si>
    <t>040000183577</t>
  </si>
  <si>
    <t>040000185319</t>
  </si>
  <si>
    <t>040000184079</t>
  </si>
  <si>
    <t>040000185040</t>
  </si>
  <si>
    <t>040000185041</t>
  </si>
  <si>
    <t>040000183815</t>
  </si>
  <si>
    <t>040000183825</t>
  </si>
  <si>
    <t>040000184443</t>
  </si>
  <si>
    <t>040000183207</t>
  </si>
  <si>
    <t>040000183579</t>
  </si>
  <si>
    <t>040000183580</t>
  </si>
  <si>
    <t>040000183797</t>
  </si>
  <si>
    <t>040000183802</t>
  </si>
  <si>
    <t>040000183804</t>
  </si>
  <si>
    <t>040000183805</t>
  </si>
  <si>
    <t>040000183806</t>
  </si>
  <si>
    <t>040000183807</t>
  </si>
  <si>
    <t>040000183600</t>
  </si>
  <si>
    <t>040000183601</t>
  </si>
  <si>
    <t>040000183658</t>
  </si>
  <si>
    <t>040000183659</t>
  </si>
  <si>
    <t>040000183663</t>
  </si>
  <si>
    <t>040000183748</t>
  </si>
  <si>
    <t>040000183759</t>
  </si>
  <si>
    <t>040000183670</t>
  </si>
  <si>
    <t>040000183671</t>
  </si>
  <si>
    <t>040000183269</t>
  </si>
  <si>
    <t>040000185124</t>
  </si>
  <si>
    <t>040000185125</t>
  </si>
  <si>
    <t>040000185126</t>
  </si>
  <si>
    <t>040000185127</t>
  </si>
  <si>
    <t>040000185421</t>
  </si>
  <si>
    <t>040000184018</t>
  </si>
  <si>
    <t>040000184019</t>
  </si>
  <si>
    <t>040000184020</t>
  </si>
  <si>
    <t>040000184021</t>
  </si>
  <si>
    <t>040000184023</t>
  </si>
  <si>
    <t>040000184024</t>
  </si>
  <si>
    <t>040000184028</t>
  </si>
  <si>
    <t>040000184457</t>
  </si>
  <si>
    <t>040000184460</t>
  </si>
  <si>
    <t>040000184463</t>
  </si>
  <si>
    <t>040000184464</t>
  </si>
  <si>
    <t>040000184874</t>
  </si>
  <si>
    <t>040000184875</t>
  </si>
  <si>
    <t>040000185383</t>
  </si>
  <si>
    <t>040000185384</t>
  </si>
  <si>
    <t>040000185386</t>
  </si>
  <si>
    <t>040000185161</t>
  </si>
  <si>
    <t>040000184032</t>
  </si>
  <si>
    <t>040000184036</t>
  </si>
  <si>
    <t>040000184040</t>
  </si>
  <si>
    <t>040000184042</t>
  </si>
  <si>
    <t>040000184043</t>
  </si>
  <si>
    <t>040000184045</t>
  </si>
  <si>
    <t>040000184046</t>
  </si>
  <si>
    <t>040000184384</t>
  </si>
  <si>
    <t>040000184387</t>
  </si>
  <si>
    <t>040000184174</t>
  </si>
  <si>
    <t>040000184180</t>
  </si>
  <si>
    <t>040000184183</t>
  </si>
  <si>
    <t>040000184497</t>
  </si>
  <si>
    <t>040000183704</t>
  </si>
  <si>
    <t>040000184033</t>
  </si>
  <si>
    <t>040000184271</t>
  </si>
  <si>
    <t>040000184672</t>
  </si>
  <si>
    <t>040000184675</t>
  </si>
  <si>
    <t>040000184676</t>
  </si>
  <si>
    <t>040000184681</t>
  </si>
  <si>
    <t>040000184458</t>
  </si>
  <si>
    <t>040000184996</t>
  </si>
  <si>
    <t>040000184998</t>
  </si>
  <si>
    <t>040000185003</t>
  </si>
  <si>
    <t>040000185064</t>
  </si>
  <si>
    <t>040000185068</t>
  </si>
  <si>
    <t>040000185569</t>
  </si>
  <si>
    <t>040000184459</t>
  </si>
  <si>
    <t>040000184462</t>
  </si>
  <si>
    <t>040000184467</t>
  </si>
  <si>
    <t>040000185400</t>
  </si>
  <si>
    <t>040000184569</t>
  </si>
  <si>
    <t>040000184572</t>
  </si>
  <si>
    <t>040000184234</t>
  </si>
  <si>
    <t>040000184679</t>
  </si>
  <si>
    <t>040000185560</t>
  </si>
  <si>
    <t>040000183406</t>
  </si>
  <si>
    <t>040000185080</t>
  </si>
  <si>
    <t>040000185084</t>
  </si>
  <si>
    <t>040000185088</t>
  </si>
  <si>
    <t>040000183412</t>
  </si>
  <si>
    <t>040000183927</t>
  </si>
  <si>
    <t>040000184038</t>
  </si>
  <si>
    <t>040000184503</t>
  </si>
  <si>
    <t>040000185425</t>
  </si>
  <si>
    <t>040000184717</t>
  </si>
  <si>
    <t>040000184718</t>
  </si>
  <si>
    <t>040000184719</t>
  </si>
  <si>
    <t>040000184720</t>
  </si>
  <si>
    <t>040000184721</t>
  </si>
  <si>
    <t>040000184722</t>
  </si>
  <si>
    <t>040000184723</t>
  </si>
  <si>
    <t>040000184724</t>
  </si>
  <si>
    <t>040000183506</t>
  </si>
  <si>
    <t>040000185160</t>
  </si>
  <si>
    <t>040000185163</t>
  </si>
  <si>
    <t>040000185165</t>
  </si>
  <si>
    <t>040000185167</t>
  </si>
  <si>
    <t>040000185173</t>
  </si>
  <si>
    <t>040000185260</t>
  </si>
  <si>
    <t>040000185261</t>
  </si>
  <si>
    <t>040000185263</t>
  </si>
  <si>
    <t>040000184054</t>
  </si>
  <si>
    <t>040000184055</t>
  </si>
  <si>
    <t>040000184060</t>
  </si>
  <si>
    <t>040000185265</t>
  </si>
  <si>
    <t>040000185266</t>
  </si>
  <si>
    <t>040000185267</t>
  </si>
  <si>
    <t>040000185268</t>
  </si>
  <si>
    <t>040000185269</t>
  </si>
  <si>
    <t>040000185270</t>
  </si>
  <si>
    <t>040000185274</t>
  </si>
  <si>
    <t>040000185276</t>
  </si>
  <si>
    <t>040000185277</t>
  </si>
  <si>
    <t>040000185279</t>
  </si>
  <si>
    <t>040000184417</t>
  </si>
  <si>
    <t>040000184418</t>
  </si>
  <si>
    <t>040000184692</t>
  </si>
  <si>
    <t>040000184693</t>
  </si>
  <si>
    <t>040000184087</t>
  </si>
  <si>
    <t>040000184794</t>
  </si>
  <si>
    <t>040000184797</t>
  </si>
  <si>
    <t>040000184799</t>
  </si>
  <si>
    <t>040000184800</t>
  </si>
  <si>
    <t>040000185433</t>
  </si>
  <si>
    <t>040000185436</t>
  </si>
  <si>
    <t>040000185437</t>
  </si>
  <si>
    <t>040000185330</t>
  </si>
  <si>
    <t>040000185331</t>
  </si>
  <si>
    <t>040000185332</t>
  </si>
  <si>
    <t>040000185416</t>
  </si>
  <si>
    <t>040000185417</t>
  </si>
  <si>
    <t>040000185419</t>
  </si>
  <si>
    <t>040000183724</t>
  </si>
  <si>
    <t>040000183727</t>
  </si>
  <si>
    <t>040000183731</t>
  </si>
  <si>
    <t>040000183735</t>
  </si>
  <si>
    <t>040000183736</t>
  </si>
  <si>
    <t>040000183737</t>
  </si>
  <si>
    <t>040000183180</t>
  </si>
  <si>
    <t>040000184818</t>
  </si>
  <si>
    <t>040000185448</t>
  </si>
  <si>
    <t>040000185449</t>
  </si>
  <si>
    <t>040000183230</t>
  </si>
  <si>
    <t>040000183099</t>
  </si>
  <si>
    <t>040000183100</t>
  </si>
  <si>
    <t>040000184606</t>
  </si>
  <si>
    <t>040000185273</t>
  </si>
  <si>
    <t>040000185494</t>
  </si>
  <si>
    <t>040000185497</t>
  </si>
  <si>
    <t>040000185500</t>
  </si>
  <si>
    <t>040000183947</t>
  </si>
  <si>
    <t>040000183948</t>
  </si>
  <si>
    <t>040000183949</t>
  </si>
  <si>
    <t>040000183415</t>
  </si>
  <si>
    <t>040000183417</t>
  </si>
  <si>
    <t>040000183522</t>
  </si>
  <si>
    <t>040000183523</t>
  </si>
  <si>
    <t>040000183546</t>
  </si>
  <si>
    <t>040000183549</t>
  </si>
  <si>
    <t>040000184326</t>
  </si>
  <si>
    <t>040000184328</t>
  </si>
  <si>
    <t>040000184330</t>
  </si>
  <si>
    <t>040000184419</t>
  </si>
  <si>
    <t>040000184420</t>
  </si>
  <si>
    <t>040000183728</t>
  </si>
  <si>
    <t>040000184542</t>
  </si>
  <si>
    <t>040000184543</t>
  </si>
  <si>
    <t>040000184544</t>
  </si>
  <si>
    <t>040000184545</t>
  </si>
  <si>
    <t>040000184546</t>
  </si>
  <si>
    <t>040000184547</t>
  </si>
  <si>
    <t>040000184548</t>
  </si>
  <si>
    <t>040000184549</t>
  </si>
  <si>
    <t>040000184084</t>
  </si>
  <si>
    <t>040000184702</t>
  </si>
  <si>
    <t>040000184707</t>
  </si>
  <si>
    <t>040000184708</t>
  </si>
  <si>
    <t>040000184515</t>
  </si>
  <si>
    <t>040000185195</t>
  </si>
  <si>
    <t>040000185207</t>
  </si>
  <si>
    <t>040000185212</t>
  </si>
  <si>
    <t>040000183086</t>
  </si>
  <si>
    <t>040000183831</t>
  </si>
  <si>
    <t>040000183835</t>
  </si>
  <si>
    <t>040000183265</t>
  </si>
  <si>
    <t>040000183266</t>
  </si>
  <si>
    <t>040000185030</t>
  </si>
  <si>
    <t>040000185031</t>
  </si>
  <si>
    <t>040000183974</t>
  </si>
  <si>
    <t>040000183975</t>
  </si>
  <si>
    <t>040000184709</t>
  </si>
  <si>
    <t>040000184710</t>
  </si>
  <si>
    <t>040000184711</t>
  </si>
  <si>
    <t>040000184801</t>
  </si>
  <si>
    <t>040000184803</t>
  </si>
  <si>
    <t>040000184653</t>
  </si>
  <si>
    <t>040000184654</t>
  </si>
  <si>
    <t>040000184655</t>
  </si>
  <si>
    <t>040000184659</t>
  </si>
  <si>
    <t>040000184725</t>
  </si>
  <si>
    <t>040000184726</t>
  </si>
  <si>
    <t>040000184727</t>
  </si>
  <si>
    <t>040000184728</t>
  </si>
  <si>
    <t>040000184729</t>
  </si>
  <si>
    <t>040000184730</t>
  </si>
  <si>
    <t>040000185526</t>
  </si>
  <si>
    <t>040000183436</t>
  </si>
  <si>
    <t>040000184731</t>
  </si>
  <si>
    <t>040000184732</t>
  </si>
  <si>
    <t>040000184733</t>
  </si>
  <si>
    <t>040000184734</t>
  </si>
  <si>
    <t>040000184735</t>
  </si>
  <si>
    <t>040000183402</t>
  </si>
  <si>
    <t>040000183629</t>
  </si>
  <si>
    <t>040000183521</t>
  </si>
  <si>
    <t>040000185157</t>
  </si>
  <si>
    <t>040000185158</t>
  </si>
  <si>
    <t>040000185278</t>
  </si>
  <si>
    <t>040000184652</t>
  </si>
  <si>
    <t>040000183538</t>
  </si>
  <si>
    <t>040000184997</t>
  </si>
  <si>
    <t>040000185524</t>
  </si>
  <si>
    <t>040000184622</t>
  </si>
  <si>
    <t>040000184623</t>
  </si>
  <si>
    <t>040000184272</t>
  </si>
  <si>
    <t>040000184273</t>
  </si>
  <si>
    <t>040000183267</t>
  </si>
  <si>
    <t>040000183303</t>
  </si>
  <si>
    <t>040000183763</t>
  </si>
  <si>
    <t>040000183850</t>
  </si>
  <si>
    <t>040000183851</t>
  </si>
  <si>
    <t>040000184085</t>
  </si>
  <si>
    <t>040000184922</t>
  </si>
  <si>
    <t>040000184923</t>
  </si>
  <si>
    <t>040000185249</t>
  </si>
  <si>
    <t>040000185251</t>
  </si>
  <si>
    <t>040000185252</t>
  </si>
  <si>
    <t>040000185256</t>
  </si>
  <si>
    <t>040000184052</t>
  </si>
  <si>
    <t>040000184053</t>
  </si>
  <si>
    <t>040000184094</t>
  </si>
  <si>
    <t>040000185423</t>
  </si>
  <si>
    <t>040000185424</t>
  </si>
  <si>
    <t>040000183476</t>
  </si>
  <si>
    <t>040000183477</t>
  </si>
  <si>
    <t>040000183481</t>
  </si>
  <si>
    <t>040000183297</t>
  </si>
  <si>
    <t>040000184300</t>
  </si>
  <si>
    <t>040000184876</t>
  </si>
  <si>
    <t>040000184877</t>
  </si>
  <si>
    <t>040000183708</t>
  </si>
  <si>
    <t>040000184600</t>
  </si>
  <si>
    <t>040000184610</t>
  </si>
  <si>
    <t>040000184615</t>
  </si>
  <si>
    <t>040000184619</t>
  </si>
  <si>
    <t>040000184471</t>
  </si>
  <si>
    <t>040000184477</t>
  </si>
  <si>
    <t>040000184264</t>
  </si>
  <si>
    <t>040000184265</t>
  </si>
  <si>
    <t>040000184408</t>
  </si>
  <si>
    <t>040000184504</t>
  </si>
  <si>
    <t>040000185303</t>
  </si>
  <si>
    <t>040000185304</t>
  </si>
  <si>
    <t>040000185528</t>
  </si>
  <si>
    <t>040000183913</t>
  </si>
  <si>
    <t>040000185323</t>
  </si>
  <si>
    <t>040000184507</t>
  </si>
  <si>
    <t>040000184511</t>
  </si>
  <si>
    <t>040000184512</t>
  </si>
  <si>
    <t>040000184513</t>
  </si>
  <si>
    <t>040000184678</t>
  </si>
  <si>
    <t>040000185275</t>
  </si>
  <si>
    <t>040000183787</t>
  </si>
  <si>
    <t>040000184563</t>
  </si>
  <si>
    <t>040000184566</t>
  </si>
  <si>
    <t>040000185038</t>
  </si>
  <si>
    <t>040000185039</t>
  </si>
  <si>
    <t>040000185043</t>
  </si>
  <si>
    <t>040000185052</t>
  </si>
  <si>
    <t>040000185053</t>
  </si>
  <si>
    <t>040000185061</t>
  </si>
  <si>
    <t>040000184571</t>
  </si>
  <si>
    <t>040000184580</t>
  </si>
  <si>
    <t>040000184582</t>
  </si>
  <si>
    <t>040000184585</t>
  </si>
  <si>
    <t>040000183401</t>
  </si>
  <si>
    <t>040000183499</t>
  </si>
  <si>
    <t>040000183500</t>
  </si>
  <si>
    <t>040000183501</t>
  </si>
  <si>
    <t>040000183268</t>
  </si>
  <si>
    <t>040000184662</t>
  </si>
  <si>
    <t>040000184663</t>
  </si>
  <si>
    <t>040000185171</t>
  </si>
  <si>
    <t>040000185408</t>
  </si>
  <si>
    <t>040000185422</t>
  </si>
  <si>
    <t>040000183841</t>
  </si>
  <si>
    <t>040000184716</t>
  </si>
  <si>
    <t>040000185176</t>
  </si>
  <si>
    <t>040000185177</t>
  </si>
  <si>
    <t>040000184686</t>
  </si>
  <si>
    <t>040000184687</t>
  </si>
  <si>
    <t>040000184701</t>
  </si>
  <si>
    <t>040000184760</t>
  </si>
  <si>
    <t>040000184772</t>
  </si>
  <si>
    <t>040000184665</t>
  </si>
  <si>
    <t>040000185369</t>
  </si>
  <si>
    <t>040000183877</t>
  </si>
  <si>
    <t>040000183878</t>
  </si>
  <si>
    <t>040000184937</t>
  </si>
  <si>
    <t>040000184942</t>
  </si>
  <si>
    <t>040000184945</t>
  </si>
  <si>
    <t>040000184950</t>
  </si>
  <si>
    <t>040000184951</t>
  </si>
  <si>
    <t>040000185237</t>
  </si>
  <si>
    <t>040000183398</t>
  </si>
  <si>
    <t>040000185134</t>
  </si>
  <si>
    <t>040000184974</t>
  </si>
  <si>
    <t>040000184309</t>
  </si>
  <si>
    <t>040000184069</t>
  </si>
  <si>
    <t>040000183228</t>
  </si>
  <si>
    <t>040000185362</t>
  </si>
  <si>
    <t>040000183715</t>
  </si>
  <si>
    <t>040000183716</t>
  </si>
  <si>
    <t>040000183719</t>
  </si>
  <si>
    <t>040000184660</t>
  </si>
  <si>
    <t>040000184926</t>
  </si>
  <si>
    <t>040000184929</t>
  </si>
  <si>
    <t>POLICY NO.</t>
  </si>
  <si>
    <t>Assorted_code</t>
  </si>
  <si>
    <t>Premium</t>
  </si>
  <si>
    <t>29Oct240071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</si>
</sst>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s&quot;* #,##0.00_-;\-&quot;Rs&quot;* #,##0.00_-;_-&quot;Rs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\ dd\-mmm\-yyyy"/>
    <numFmt numFmtId="167" formatCode="_(* #,##0_);_(* \(#,##0\);_(* &quot;-&quot;??_);_(@_)"/>
    <numFmt numFmtId="168" formatCode="[$]dd\-m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6" fillId="0" borderId="0">
      <alignment vertical="top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9" fontId="1" fillId="0" borderId="0" applyFont="0" applyFill="0" applyBorder="0" applyAlignment="0" applyProtection="0"/>
  </cellStyleXfs>
  <cellXfs count="86">
    <xf numFmtId="0" fontId="0" fillId="0" borderId="0" xfId="0"/>
    <xf numFmtId="165" fontId="0" fillId="0" borderId="0" xfId="1" applyNumberFormat="1" applyFont="1"/>
    <xf numFmtId="37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0" borderId="0" xfId="0" applyFont="1"/>
    <xf numFmtId="0" fontId="0" fillId="0" borderId="1" xfId="0" applyBorder="1"/>
    <xf numFmtId="0" fontId="4" fillId="0" borderId="0" xfId="0" applyFont="1"/>
    <xf numFmtId="0" fontId="0" fillId="0" borderId="0" xfId="0" applyAlignment="1">
      <alignment vertic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2" xfId="0" applyBorder="1"/>
    <xf numFmtId="0" fontId="0" fillId="0" borderId="7" xfId="0" applyBorder="1" applyAlignment="1">
      <alignment vertical="center"/>
    </xf>
    <xf numFmtId="0" fontId="0" fillId="0" borderId="12" xfId="0" applyBorder="1" applyAlignment="1">
      <alignment vertical="center"/>
    </xf>
    <xf numFmtId="0" fontId="4" fillId="0" borderId="7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165" fontId="2" fillId="0" borderId="3" xfId="1" applyNumberFormat="1" applyFont="1" applyBorder="1"/>
    <xf numFmtId="0" fontId="0" fillId="0" borderId="0" xfId="0" applyAlignment="1">
      <alignment horizontal="left"/>
    </xf>
    <xf numFmtId="0" fontId="8" fillId="0" borderId="16" xfId="0" applyFont="1" applyBorder="1" applyAlignment="1">
      <alignment vertical="top"/>
    </xf>
    <xf numFmtId="165" fontId="8" fillId="0" borderId="16" xfId="1" applyNumberFormat="1" applyFont="1" applyBorder="1"/>
    <xf numFmtId="0" fontId="9" fillId="0" borderId="16" xfId="0" applyFont="1" applyBorder="1" applyAlignment="1">
      <alignment vertical="top"/>
    </xf>
    <xf numFmtId="165" fontId="9" fillId="0" borderId="16" xfId="1" applyNumberFormat="1" applyFont="1" applyBorder="1"/>
    <xf numFmtId="0" fontId="9" fillId="0" borderId="16" xfId="0" applyFont="1" applyBorder="1"/>
    <xf numFmtId="164" fontId="9" fillId="0" borderId="16" xfId="0" applyNumberFormat="1" applyFont="1" applyBorder="1"/>
    <xf numFmtId="0" fontId="10" fillId="0" borderId="16" xfId="0" applyFont="1" applyBorder="1" applyAlignment="1">
      <alignment vertical="center"/>
    </xf>
    <xf numFmtId="168" fontId="10" fillId="0" borderId="16" xfId="0" applyNumberFormat="1" applyFont="1" applyBorder="1" applyAlignment="1">
      <alignment vertical="center"/>
    </xf>
    <xf numFmtId="167" fontId="10" fillId="0" borderId="16" xfId="1" applyNumberFormat="1" applyFont="1" applyBorder="1" applyAlignment="1">
      <alignment vertical="center"/>
    </xf>
    <xf numFmtId="168" fontId="10" fillId="0" borderId="16" xfId="0" applyNumberFormat="1" applyFont="1" applyBorder="1" applyAlignment="1">
      <alignment horizontal="center" vertical="center"/>
    </xf>
    <xf numFmtId="167" fontId="10" fillId="0" borderId="16" xfId="1" applyNumberFormat="1" applyFont="1" applyBorder="1" applyAlignment="1">
      <alignment horizontal="center" vertical="center"/>
    </xf>
    <xf numFmtId="0" fontId="10" fillId="3" borderId="16" xfId="0" applyFont="1" applyFill="1" applyBorder="1" applyAlignment="1">
      <alignment vertical="center"/>
    </xf>
    <xf numFmtId="10" fontId="10" fillId="0" borderId="16" xfId="1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43" fontId="0" fillId="0" borderId="0" xfId="1" applyFont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1" fillId="0" borderId="0" xfId="0" applyFont="1"/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12" fillId="0" borderId="0" xfId="0" applyFont="1"/>
    <xf numFmtId="0" fontId="0" fillId="0" borderId="0" xfId="0" applyAlignment="1">
      <alignment vertical="top"/>
    </xf>
    <xf numFmtId="167" fontId="13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167" fontId="0" fillId="0" borderId="0" xfId="0" applyNumberFormat="1"/>
  </cellXfs>
  <cellStyles count="11">
    <cellStyle name="Comma" xfId="1" builtinId="3"/>
    <cellStyle name="Comma 2" xfId="3" xr:uid="{9B56E31D-D7D6-4361-986D-9338E5399729}"/>
    <cellStyle name="Currency 2" xfId="4" xr:uid="{C271BCE6-0D1A-4710-8D42-2185566F47E2}"/>
    <cellStyle name="Normal" xfId="0" builtinId="0"/>
    <cellStyle name="Normal 2" xfId="2" xr:uid="{33F032FA-9037-426E-97FA-AB87A65D4FF7}"/>
    <cellStyle name="Normal 2 2" xfId="5" xr:uid="{30AACCE7-03C2-420F-8B36-242F443D7807}"/>
    <cellStyle name="Normal 3" xfId="6" xr:uid="{02DC152F-28B2-4666-98C4-279AEB096CB4}"/>
    <cellStyle name="Normal 4" xfId="7" xr:uid="{AEE9E128-3A4E-4F15-8E5F-171C26233B28}"/>
    <cellStyle name="Normal 5" xfId="8" xr:uid="{FC1C80B4-FBF5-4917-AAAB-D007C5823A6E}"/>
    <cellStyle name="Normal 6" xfId="9" xr:uid="{0CF07217-E531-4C7B-9AD9-B60344FF51B5}"/>
    <cellStyle name="Percent" xfId="10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kash Kumar" refreshedDate="45586.45560671296" createdVersion="8" refreshedVersion="8" minRefreshableVersion="3" recordCount="958" xr:uid="{075535FF-4928-459F-8DB4-B15211CB54DE}">
  <cacheSource type="worksheet">
    <worksheetSource ref="A2:R960" sheet="Detail"/>
  </cacheSource>
  <cacheFields count="18">
    <cacheField name="Policy #" numFmtId="0">
      <sharedItems/>
    </cacheField>
    <cacheField name="Endorsement" numFmtId="0">
      <sharedItems containsBlank="1"/>
    </cacheField>
    <cacheField name="Dealer" numFmtId="0">
      <sharedItems count="31">
        <s v="Suzuki R.Y.Khan"/>
        <s v="UP Suzuki"/>
        <s v="South"/>
        <s v="A R Suzuki"/>
        <s v="Khalil Motor"/>
        <s v="UR Suzuki"/>
        <s v="TR Suzuki"/>
        <s v="_x0009_Suzuki Defence Motors"/>
        <s v="Suzuki Canal Motors Faisalabad Branch"/>
        <s v="WR Suzuki"/>
        <s v="GR Suzuki"/>
        <s v="CR Suzuki"/>
        <s v="GT Suzuki"/>
        <s v="MS Suzuki"/>
        <s v="KR Suzuki"/>
        <s v="FSD Suzuki"/>
        <s v="TS Suzuki"/>
        <s v="Islamabad Motors"/>
        <s v="Suzuki Mandviwalla Motors"/>
        <s v="Gujrat Suzuki"/>
        <s v="SR Suzuki"/>
        <s v="Sethi Motors"/>
        <s v="Suzuki Ravi Motors"/>
        <s v="Suzuki Zeeshan Autos"/>
        <s v="SG Suzuki"/>
        <s v="MR Suzuki"/>
        <s v="Suzuki Falcon Motors"/>
        <s v="Gujranwala Suzuki"/>
        <s v="Direct" u="1"/>
        <s v="Suzuki South" u="1"/>
        <s v="Suzuki A R" u="1"/>
      </sharedItems>
    </cacheField>
    <cacheField name="Branch" numFmtId="0">
      <sharedItems/>
    </cacheField>
    <cacheField name="Period From" numFmtId="168">
      <sharedItems containsSemiMixedTypes="0" containsNonDate="0" containsDate="1" containsString="0" minDate="2024-09-02T00:00:00" maxDate="2025-10-02T00:00:00"/>
    </cacheField>
    <cacheField name="Period To" numFmtId="168">
      <sharedItems containsSemiMixedTypes="0" containsNonDate="0" containsDate="1" containsString="0" minDate="2025-09-02T00:00:00" maxDate="2026-10-02T00:00:00"/>
    </cacheField>
    <cacheField name="Insured Name" numFmtId="0">
      <sharedItems/>
    </cacheField>
    <cacheField name="Vehicle Info" numFmtId="0">
      <sharedItems/>
    </cacheField>
    <cacheField name="Net" numFmtId="167">
      <sharedItems containsSemiMixedTypes="0" containsString="0" containsNumber="1" containsInteger="1" minValue="8800" maxValue="23248"/>
    </cacheField>
    <cacheField name="Gross" numFmtId="167">
      <sharedItems containsSemiMixedTypes="0" containsString="0" containsNumber="1" containsInteger="1" minValue="7155" maxValue="19610"/>
    </cacheField>
    <cacheField name="Rate" numFmtId="10">
      <sharedItems containsSemiMixedTypes="0" containsString="0" containsNumber="1" minValue="2.4999928977474495E-2" maxValue="4.2501002004008019E-2"/>
    </cacheField>
    <cacheField name="Engine" numFmtId="0">
      <sharedItems/>
    </cacheField>
    <cacheField name="Issue date" numFmtId="168">
      <sharedItems containsSemiMixedTypes="0" containsNonDate="0" containsDate="1" containsString="0" minDate="2024-09-02T00:00:00" maxDate="2024-10-01T00:00:00"/>
    </cacheField>
    <cacheField name="Policy Name" numFmtId="0">
      <sharedItems/>
    </cacheField>
    <cacheField name="SumCovered" numFmtId="167">
      <sharedItems containsSemiMixedTypes="0" containsString="0" containsNumber="1" containsInteger="1" minValue="338000" maxValue="547001"/>
    </cacheField>
    <cacheField name="SST 15%" numFmtId="165">
      <sharedItems containsSemiMixedTypes="0" containsString="0" containsNumber="1" minValue="1073.25" maxValue="2941.5"/>
    </cacheField>
    <cacheField name="F.I.F 1%" numFmtId="164">
      <sharedItems containsSemiMixedTypes="0" containsString="0" containsNumber="1" minValue="71.55" maxValue="196.1"/>
    </cacheField>
    <cacheField name="Stamp Duty" numFmtId="0">
      <sharedItems containsSemiMixedTypes="0" containsString="0" containsNumber="1" containsInteger="1" minValue="50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8">
  <r>
    <s v="KHI/HO/D/MO/MC COMP/P/96539/09/2024"/>
    <m/>
    <x v="0"/>
    <s v="Punjab"/>
    <d v="2024-09-02T00:00:00"/>
    <d v="2025-09-02T00:00:00"/>
    <s v="AMIR SOHAIL"/>
    <s v="SUZUKI-GD-110S"/>
    <n v="8800"/>
    <n v="7155"/>
    <n v="2.5000000000000001E-2"/>
    <s v="146592"/>
    <d v="2024-09-02T00:00:00"/>
    <s v="MOTORCYCLE  COMPREHENSIVE"/>
    <n v="352000"/>
    <n v="1073.25"/>
    <n v="71.55"/>
    <n v="500"/>
  </r>
  <r>
    <s v="KHI/HO/D/MO/MC COMP/P/96540/09/2024"/>
    <m/>
    <x v="1"/>
    <s v="South"/>
    <d v="2024-09-02T00:00:00"/>
    <d v="2025-09-02T00:00:00"/>
    <s v="FARRUKH KHAN"/>
    <s v="SUZUKI-GR150 EURO II"/>
    <n v="23248"/>
    <n v="19610"/>
    <n v="4.2500914076782449E-2"/>
    <s v="113678"/>
    <d v="2024-09-02T00:00:00"/>
    <s v="MOTORCYCLE  COMPREHENSIVE"/>
    <n v="547000"/>
    <n v="2941.5"/>
    <n v="196.1"/>
    <n v="500"/>
  </r>
  <r>
    <s v="KHI/HO/D/MO/MC COMP/P/96541/09/2024"/>
    <m/>
    <x v="1"/>
    <s v="South"/>
    <d v="2025-09-03T00:00:00"/>
    <d v="2026-09-03T00:00:00"/>
    <s v="FARRUKH KHAN"/>
    <s v="SUZUKI-GR150 EURO II"/>
    <n v="23248"/>
    <n v="19610"/>
    <n v="4.2500914076782449E-2"/>
    <s v="113678"/>
    <d v="2024-09-02T00:00:00"/>
    <s v="MOTORCYCLE  COMPREHENSIVE"/>
    <n v="547000"/>
    <n v="2941.5"/>
    <n v="196.1"/>
    <n v="500"/>
  </r>
  <r>
    <s v="KHI/HO/D/MO/MC COMP/P/96550/09/2024"/>
    <s v="UR"/>
    <x v="2"/>
    <s v="South"/>
    <d v="2024-09-02T00:00:00"/>
    <d v="2025-09-02T00:00:00"/>
    <s v="MUHAMMAD USMAN RASHEED"/>
    <s v="SUZUKI-GS 150"/>
    <n v="16235"/>
    <n v="13565"/>
    <n v="4.2500000000000003E-2"/>
    <s v="30092818"/>
    <d v="2024-09-02T00:00:00"/>
    <s v="MOTORCYCLE  COMPREHENSIVE"/>
    <n v="382000"/>
    <n v="2034.75"/>
    <n v="135.65"/>
    <n v="500"/>
  </r>
  <r>
    <s v="KHI/HO/D/MO/MC COMP/P/96551/09/2024"/>
    <s v="AR"/>
    <x v="2"/>
    <s v="South"/>
    <d v="2025-09-03T00:00:00"/>
    <d v="2026-09-03T00:00:00"/>
    <s v="MUHAMMAD USMAN RASHEED"/>
    <s v="SUZUKI-GS 150"/>
    <n v="16235"/>
    <n v="13565"/>
    <n v="4.2500000000000003E-2"/>
    <s v="30092818"/>
    <d v="2024-09-02T00:00:00"/>
    <s v="MOTORCYCLE  COMPREHENSIVE"/>
    <n v="382000"/>
    <n v="2034.75"/>
    <n v="135.65"/>
    <n v="500"/>
  </r>
  <r>
    <s v="KHI/HO/D/MO/MC COMP/P/96553/09/2024"/>
    <s v="TR"/>
    <x v="0"/>
    <s v="Punjab"/>
    <d v="2024-09-02T00:00:00"/>
    <d v="2025-09-02T00:00:00"/>
    <s v="MAHBOOB SATTAR"/>
    <s v="SUZUKI-GS 150"/>
    <n v="9550"/>
    <n v="7802"/>
    <n v="2.5000000000000001E-2"/>
    <s v="30092452"/>
    <d v="2024-09-02T00:00:00"/>
    <s v="MOTORCYCLE  COMPREHENSIVE"/>
    <n v="382000"/>
    <n v="1170.3"/>
    <n v="78.02"/>
    <n v="500"/>
  </r>
  <r>
    <s v="KHI/HO/D/MO/MC COMP/P/96560/09/2024"/>
    <s v="UP"/>
    <x v="0"/>
    <s v="Punjab"/>
    <d v="2024-09-02T00:00:00"/>
    <d v="2025-09-02T00:00:00"/>
    <s v="MUHAMMAD USMAN ASHRAF TAHIR"/>
    <s v="SUZUKI-GD-110S"/>
    <n v="8800"/>
    <n v="7155"/>
    <n v="2.5000000000000001E-2"/>
    <s v="146583"/>
    <d v="2024-09-02T00:00:00"/>
    <s v="MOTORCYCLE  COMPREHENSIVE"/>
    <n v="352000"/>
    <n v="1073.25"/>
    <n v="71.55"/>
    <n v="500"/>
  </r>
  <r>
    <s v="KHI/HO/D/MO/MC COMP/P/96581/09/2024"/>
    <s v="KHALIL"/>
    <x v="3"/>
    <s v="South"/>
    <d v="2024-09-02T00:00:00"/>
    <d v="2025-09-02T00:00:00"/>
    <s v="ASIF SHAHZAD"/>
    <s v="SUZUKI-GD-110S"/>
    <n v="14960"/>
    <n v="12466"/>
    <n v="4.2500000000000003E-2"/>
    <s v="147698"/>
    <d v="2024-09-02T00:00:00"/>
    <s v="MOTORCYCLE  COMPREHENSIVE"/>
    <n v="352000"/>
    <n v="1869.9"/>
    <n v="124.66"/>
    <n v="500"/>
  </r>
  <r>
    <s v="KHI/HO/D/MO/MC COMP/P/96585/09/2024"/>
    <s v="MANDIVALA"/>
    <x v="3"/>
    <s v="South"/>
    <d v="2024-09-02T00:00:00"/>
    <d v="2025-09-02T00:00:00"/>
    <s v="WASEEM AKHTAR"/>
    <s v="SUZUKI-GD-110S"/>
    <n v="14960"/>
    <n v="12466"/>
    <n v="4.2500000000000003E-2"/>
    <s v="147671"/>
    <d v="2024-09-02T00:00:00"/>
    <s v="MOTORCYCLE  COMPREHENSIVE"/>
    <n v="352000"/>
    <n v="1869.9"/>
    <n v="124.66"/>
    <n v="500"/>
  </r>
  <r>
    <s v="KHI/HO/D/MO/MC COMP/P/96587/09/2024"/>
    <s v="SOIUTH"/>
    <x v="4"/>
    <s v="South"/>
    <d v="2024-09-02T00:00:00"/>
    <d v="2025-09-02T00:00:00"/>
    <s v="MEHTAB AHMED KHAN"/>
    <s v="SUZUKI-GD-110S"/>
    <n v="14960"/>
    <n v="12466"/>
    <n v="4.2500000000000003E-2"/>
    <s v="146190"/>
    <d v="2024-09-02T00:00:00"/>
    <s v="MOTORCYCLE  COMPREHENSIVE"/>
    <n v="352000"/>
    <n v="1869.9"/>
    <n v="124.66"/>
    <n v="500"/>
  </r>
  <r>
    <s v="KHI/HO/D/MO/MC COMP/P/96589/09/2024"/>
    <s v="ZEESHAN"/>
    <x v="4"/>
    <s v="South"/>
    <d v="2024-09-02T00:00:00"/>
    <d v="2025-09-02T00:00:00"/>
    <s v="ABDUL HAMEED"/>
    <s v="SUZUKI-GD-110S"/>
    <n v="14960"/>
    <n v="12466"/>
    <n v="4.2500000000000003E-2"/>
    <s v="147710"/>
    <d v="2024-09-02T00:00:00"/>
    <s v="MOTORCYCLE  COMPREHENSIVE"/>
    <n v="352000"/>
    <n v="1869.9"/>
    <n v="124.66"/>
    <n v="500"/>
  </r>
  <r>
    <s v="KHI/HO/D/MO/MC COMP/P/96590/09/2024"/>
    <s v="DEFFENCE"/>
    <x v="4"/>
    <s v="South"/>
    <d v="2024-09-02T00:00:00"/>
    <d v="2025-09-02T00:00:00"/>
    <s v="S SHAMSHAD HUSSAIN"/>
    <s v="SUZUKI-GD-110S"/>
    <n v="14960"/>
    <n v="12466"/>
    <n v="4.2500000000000003E-2"/>
    <s v="147709"/>
    <d v="2024-09-02T00:00:00"/>
    <s v="MOTORCYCLE  COMPREHENSIVE"/>
    <n v="352000"/>
    <n v="1869.9"/>
    <n v="124.66"/>
    <n v="500"/>
  </r>
  <r>
    <s v="KHI/HO/D/MO/MC COMP/P/96611/09/2024"/>
    <m/>
    <x v="5"/>
    <s v="South"/>
    <d v="2025-09-03T00:00:00"/>
    <d v="2026-09-03T00:00:00"/>
    <s v="FAHIM KHAN"/>
    <s v="SUZUKI-GS 150"/>
    <n v="16235"/>
    <n v="13565"/>
    <n v="4.2500000000000003E-2"/>
    <s v="30092769"/>
    <d v="2024-09-02T00:00:00"/>
    <s v="MOTORCYCLE  COMPREHENSIVE"/>
    <n v="382000"/>
    <n v="2034.75"/>
    <n v="135.65"/>
    <n v="500"/>
  </r>
  <r>
    <s v="KHI/HO/D/MO/MC COMP/P/96612/09/2024"/>
    <m/>
    <x v="0"/>
    <s v="Punjab"/>
    <d v="2024-09-02T00:00:00"/>
    <d v="2025-09-02T00:00:00"/>
    <s v="MUHAMMAD ALI AMIN"/>
    <s v="SUZUKI-GD-110S"/>
    <n v="8800"/>
    <n v="7155"/>
    <n v="2.5000000000000001E-2"/>
    <s v="147895"/>
    <d v="2024-09-02T00:00:00"/>
    <s v="MOTORCYCLE  COMPREHENSIVE"/>
    <n v="352000"/>
    <n v="1073.25"/>
    <n v="71.55"/>
    <n v="500"/>
  </r>
  <r>
    <s v="KHI/HO/D/MO/MC COMP/P/96613/09/2024"/>
    <m/>
    <x v="0"/>
    <s v="Punjab"/>
    <d v="2024-09-02T00:00:00"/>
    <d v="2025-09-02T00:00:00"/>
    <s v="MUHAMMAD TAYYAB NAWAZ"/>
    <s v="SUZUKI-GD-110S"/>
    <n v="8800"/>
    <n v="7155"/>
    <n v="2.5000000000000001E-2"/>
    <s v="146424"/>
    <d v="2024-09-02T00:00:00"/>
    <s v="MOTORCYCLE  COMPREHENSIVE"/>
    <n v="352000"/>
    <n v="1073.25"/>
    <n v="71.55"/>
    <n v="500"/>
  </r>
  <r>
    <s v="KHI/HO/D/MO/MC COMP/P/96626/09/2024"/>
    <m/>
    <x v="6"/>
    <s v="South"/>
    <d v="2024-09-03T00:00:00"/>
    <d v="2025-09-03T00:00:00"/>
    <s v="MUHAMMAD IMRAN"/>
    <s v="SUZUKI-GD-110S"/>
    <n v="14960"/>
    <n v="12466"/>
    <n v="4.2500000000000003E-2"/>
    <s v="147697"/>
    <d v="2024-09-03T00:00:00"/>
    <s v="MOTORCYCLE  COMPREHENSIVE"/>
    <n v="352000"/>
    <n v="1869.9"/>
    <n v="124.66"/>
    <n v="500"/>
  </r>
  <r>
    <s v="KHI/HO/D/MO/MC COMP/P/96630/09/2024"/>
    <m/>
    <x v="7"/>
    <s v="South"/>
    <d v="2024-09-03T00:00:00"/>
    <d v="2025-09-03T00:00:00"/>
    <s v="HASSAN HUSSAIN KHAN"/>
    <s v="SUZUKI-GD-110S"/>
    <n v="14960"/>
    <n v="12466"/>
    <n v="4.2500000000000003E-2"/>
    <s v="147837"/>
    <d v="2024-09-03T00:00:00"/>
    <s v="MOTORCYCLE  COMPREHENSIVE"/>
    <n v="352000"/>
    <n v="1869.9"/>
    <n v="124.66"/>
    <n v="500"/>
  </r>
  <r>
    <s v="KHI/HO/D/MO/MC COMP/P/96636/09/2024"/>
    <m/>
    <x v="8"/>
    <s v="Punjab"/>
    <d v="2024-09-03T00:00:00"/>
    <d v="2025-09-03T00:00:00"/>
    <s v="AWAIS ALI"/>
    <s v="SUZUKI-GS 150"/>
    <n v="9550"/>
    <n v="7802"/>
    <n v="2.5000000000000001E-2"/>
    <s v="30092650"/>
    <d v="2024-09-03T00:00:00"/>
    <s v="MOTORCYCLE  COMPREHENSIVE"/>
    <n v="382000"/>
    <n v="1170.3"/>
    <n v="78.02"/>
    <n v="500"/>
  </r>
  <r>
    <s v="KHI/HO/D/MO/MC COMP/P/96642/09/2024"/>
    <m/>
    <x v="8"/>
    <s v="Punjab"/>
    <d v="2024-09-03T00:00:00"/>
    <d v="2025-09-03T00:00:00"/>
    <s v="MUHAMMAD HAROON"/>
    <s v="SUZUKI-GD-110S"/>
    <n v="8800"/>
    <n v="7155"/>
    <n v="2.5000000000000001E-2"/>
    <s v="146568"/>
    <d v="2024-09-03T00:00:00"/>
    <s v="MOTORCYCLE  COMPREHENSIVE"/>
    <n v="352000"/>
    <n v="1073.25"/>
    <n v="71.55"/>
    <n v="500"/>
  </r>
  <r>
    <s v="KHI/HO/D/MO/MC COMP/P/96651/09/2024"/>
    <m/>
    <x v="6"/>
    <s v="South"/>
    <d v="2025-09-04T00:00:00"/>
    <d v="2026-09-04T00:00:00"/>
    <s v="MUHAMMAD FARHAN"/>
    <s v="SUZUKI-GR150 EURO II"/>
    <n v="23248"/>
    <n v="19610"/>
    <n v="4.2500914076782449E-2"/>
    <s v="113647"/>
    <d v="2024-09-03T00:00:00"/>
    <s v="MOTORCYCLE  COMPREHENSIVE"/>
    <n v="547000"/>
    <n v="2941.5"/>
    <n v="196.1"/>
    <n v="500"/>
  </r>
  <r>
    <s v="KHI/HO/D/MO/MC COMP/P/96659/09/2024"/>
    <m/>
    <x v="6"/>
    <s v="South"/>
    <d v="2024-09-03T00:00:00"/>
    <d v="2025-09-03T00:00:00"/>
    <s v="MUHAMMAD UBAID"/>
    <s v="SUZUKI-GR150 EURO II"/>
    <n v="23248"/>
    <n v="19610"/>
    <n v="4.2500914076782449E-2"/>
    <s v="113663"/>
    <d v="2024-09-03T00:00:00"/>
    <s v="MOTORCYCLE  COMPREHENSIVE"/>
    <n v="547000"/>
    <n v="2941.5"/>
    <n v="196.1"/>
    <n v="500"/>
  </r>
  <r>
    <s v="KHI/HO/D/MO/MC COMP/P/96671/09/2024"/>
    <m/>
    <x v="9"/>
    <s v="Punjab"/>
    <d v="2024-09-03T00:00:00"/>
    <d v="2025-09-03T00:00:00"/>
    <s v="Rehman ALi"/>
    <s v="SUZUKI-GD-110S"/>
    <n v="8800"/>
    <n v="7155"/>
    <n v="2.5000000000000001E-2"/>
    <s v="147603"/>
    <d v="2024-09-03T00:00:00"/>
    <s v="MOTORCYCLE  COMPREHENSIVE"/>
    <n v="352000"/>
    <n v="1073.25"/>
    <n v="71.55"/>
    <n v="500"/>
  </r>
  <r>
    <s v="KHI/HO/D/MO/MC COMP/P/96673/09/2024"/>
    <m/>
    <x v="10"/>
    <s v="Punjab"/>
    <d v="2024-09-03T00:00:00"/>
    <d v="2025-09-03T00:00:00"/>
    <s v="RANA ASHFAQ MANZOOR"/>
    <s v="SUZUKI-GD-110S"/>
    <n v="8800"/>
    <n v="7155"/>
    <n v="2.5000000000000001E-2"/>
    <s v="144807"/>
    <d v="2024-09-03T00:00:00"/>
    <s v="MOTORCYCLE  COMPREHENSIVE"/>
    <n v="352000"/>
    <n v="1073.25"/>
    <n v="71.55"/>
    <n v="500"/>
  </r>
  <r>
    <s v="KHI/HO/D/MO/MC COMP/P/96679/09/2024"/>
    <m/>
    <x v="6"/>
    <s v="South"/>
    <d v="2024-09-03T00:00:00"/>
    <d v="2025-09-03T00:00:00"/>
    <s v="AYAZ HUSSAIN"/>
    <s v="SUZUKI-GD-110S"/>
    <n v="14960"/>
    <n v="12466"/>
    <n v="4.2500000000000003E-2"/>
    <s v="146487"/>
    <d v="2024-09-03T00:00:00"/>
    <s v="MOTORCYCLE  COMPREHENSIVE"/>
    <n v="352000"/>
    <n v="1869.9"/>
    <n v="124.66"/>
    <n v="500"/>
  </r>
  <r>
    <s v="KHI/HO/D/MO/MC COMP/P/96693/09/2024"/>
    <m/>
    <x v="11"/>
    <s v="Punjab"/>
    <d v="2024-09-03T00:00:00"/>
    <d v="2025-09-03T00:00:00"/>
    <s v="KHALID MAHMOOD"/>
    <s v="SUZUKI-GR150 EURO II"/>
    <n v="13675"/>
    <n v="11358"/>
    <n v="2.5000000000000001E-2"/>
    <s v="113581"/>
    <d v="2024-09-03T00:00:00"/>
    <s v="MOTORCYCLE  COMPREHENSIVE"/>
    <n v="547000"/>
    <n v="1703.7"/>
    <n v="113.58"/>
    <n v="500"/>
  </r>
  <r>
    <s v="KHI/HO/D/MO/MC COMP/P/96694/09/2024"/>
    <m/>
    <x v="11"/>
    <s v="Punjab"/>
    <d v="2024-09-03T00:00:00"/>
    <d v="2025-09-03T00:00:00"/>
    <s v="KHALID MAHMOOD"/>
    <s v="SUZUKI-GR150 EURO II"/>
    <n v="13675"/>
    <n v="11358"/>
    <n v="2.5000000000000001E-2"/>
    <s v="113581"/>
    <d v="2024-09-03T00:00:00"/>
    <s v="MOTORCYCLE  COMPREHENSIVE"/>
    <n v="547000"/>
    <n v="1703.7"/>
    <n v="113.58"/>
    <n v="500"/>
  </r>
  <r>
    <s v="KHI/HO/D/MO/MC COMP/P/96695/09/2024"/>
    <m/>
    <x v="9"/>
    <s v="Punjab"/>
    <d v="2024-09-03T00:00:00"/>
    <d v="2025-09-03T00:00:00"/>
    <s v="Inam U Allah"/>
    <s v="SUZUKI-GD-110S"/>
    <n v="8800"/>
    <n v="7155"/>
    <n v="2.5000000000000001E-2"/>
    <s v="147597"/>
    <d v="2024-09-03T00:00:00"/>
    <s v="MOTORCYCLE  COMPREHENSIVE"/>
    <n v="352000"/>
    <n v="1073.25"/>
    <n v="71.55"/>
    <n v="500"/>
  </r>
  <r>
    <s v="KHI/HO/D/MO/MC COMP/P/96696/09/2024"/>
    <m/>
    <x v="11"/>
    <s v="Punjab"/>
    <d v="2024-09-03T00:00:00"/>
    <d v="2025-09-03T00:00:00"/>
    <s v="MIRZA HAIDER ALI"/>
    <s v="SUZUKI-GSX 125"/>
    <n v="12475"/>
    <n v="10323"/>
    <n v="2.5000000000000001E-2"/>
    <s v="23102570"/>
    <d v="2024-09-03T00:00:00"/>
    <s v="MOTORCYCLE  COMPREHENSIVE"/>
    <n v="499000"/>
    <n v="1548.45"/>
    <n v="103.23"/>
    <n v="500"/>
  </r>
  <r>
    <s v="KHI/HO/D/MO/MC COMP/P/96697/09/2024"/>
    <m/>
    <x v="9"/>
    <s v="Punjab"/>
    <d v="2024-09-03T00:00:00"/>
    <d v="2025-09-03T00:00:00"/>
    <s v="Hafiz M Muzamil"/>
    <s v="SUZUKI-GS 150"/>
    <n v="9550"/>
    <n v="7802"/>
    <n v="2.5000000000000001E-2"/>
    <s v="30092745"/>
    <d v="2024-09-03T00:00:00"/>
    <s v="MOTORCYCLE  COMPREHENSIVE"/>
    <n v="382000"/>
    <n v="1170.3"/>
    <n v="78.02"/>
    <n v="500"/>
  </r>
  <r>
    <s v="KHI/HO/D/MO/MC COMP/P/96703/09/2024"/>
    <m/>
    <x v="12"/>
    <s v="Punjab"/>
    <d v="2024-09-03T00:00:00"/>
    <d v="2025-09-03T00:00:00"/>
    <s v="AFTAB AHMAD"/>
    <s v="SUZUKI-GD-110S"/>
    <n v="8800"/>
    <n v="7155"/>
    <n v="2.5000000000000001E-2"/>
    <s v="147131"/>
    <d v="2024-09-03T00:00:00"/>
    <s v="MOTORCYCLE  COMPREHENSIVE"/>
    <n v="352000"/>
    <n v="1073.25"/>
    <n v="71.55"/>
    <n v="500"/>
  </r>
  <r>
    <s v="KHI/HO/D/MO/MC COMP/P/96704/09/2024"/>
    <m/>
    <x v="5"/>
    <s v="South"/>
    <d v="2024-09-03T00:00:00"/>
    <d v="2025-09-03T00:00:00"/>
    <s v="ABDULLAH BIN IRFAN"/>
    <s v="SUZUKI-GD-110S"/>
    <n v="14960"/>
    <n v="12466"/>
    <n v="4.2500000000000003E-2"/>
    <s v="147823"/>
    <d v="2024-09-03T00:00:00"/>
    <s v="MOTORCYCLE  COMPREHENSIVE"/>
    <n v="352000"/>
    <n v="1869.9"/>
    <n v="124.66"/>
    <n v="500"/>
  </r>
  <r>
    <s v="KHI/HO/D/MO/MC COMP/P/96705/09/2024"/>
    <m/>
    <x v="5"/>
    <s v="South"/>
    <d v="2024-09-03T00:00:00"/>
    <d v="2025-09-03T00:00:00"/>
    <s v="AMIR"/>
    <s v="SUZUKI-GD-110S"/>
    <n v="14960"/>
    <n v="12466"/>
    <n v="4.2500000000000003E-2"/>
    <s v="147490"/>
    <d v="2024-09-03T00:00:00"/>
    <s v="MOTORCYCLE  COMPREHENSIVE"/>
    <n v="352000"/>
    <n v="1869.9"/>
    <n v="124.66"/>
    <n v="500"/>
  </r>
  <r>
    <s v="KHI/HO/D/MO/MC COMP/P/96706/09/2024"/>
    <m/>
    <x v="13"/>
    <s v="Punjab"/>
    <d v="2024-09-03T00:00:00"/>
    <d v="2025-09-03T00:00:00"/>
    <s v="AHMED HAFEEZ"/>
    <s v="SUZUKI-GS-150"/>
    <n v="9550"/>
    <n v="7802"/>
    <n v="2.5000000000000001E-2"/>
    <s v="30092738"/>
    <d v="2024-09-03T00:00:00"/>
    <s v="MOTORCYCLE  COMPREHENSIVE"/>
    <n v="382000"/>
    <n v="1170.3"/>
    <n v="78.02"/>
    <n v="500"/>
  </r>
  <r>
    <s v="KHI/HO/D/MO/MC COMP/P/96707/09/2024"/>
    <m/>
    <x v="14"/>
    <s v="Punjab"/>
    <d v="2024-09-03T00:00:00"/>
    <d v="2025-09-03T00:00:00"/>
    <s v="IJAZ HUSSAIN"/>
    <s v="SUZUKI-GD-110S"/>
    <n v="8800"/>
    <n v="7155"/>
    <n v="2.5000000000000001E-2"/>
    <s v="146457"/>
    <d v="2024-09-03T00:00:00"/>
    <s v="MOTORCYCLE  COMPREHENSIVE"/>
    <n v="352000"/>
    <n v="1073.25"/>
    <n v="71.55"/>
    <n v="500"/>
  </r>
  <r>
    <s v="KHI/HO/D/MO/MC COMP/P/96708/09/2024"/>
    <m/>
    <x v="14"/>
    <s v="Punjab"/>
    <d v="2024-09-03T00:00:00"/>
    <d v="2025-09-03T00:00:00"/>
    <s v="MUHAMMAD IQBAL ASHRAF"/>
    <s v="SUZUKI-GD-110S"/>
    <n v="8800"/>
    <n v="7155"/>
    <n v="2.5000000000000001E-2"/>
    <s v="146858"/>
    <d v="2024-09-03T00:00:00"/>
    <s v="MOTORCYCLE  COMPREHENSIVE"/>
    <n v="352000"/>
    <n v="1073.25"/>
    <n v="71.55"/>
    <n v="500"/>
  </r>
  <r>
    <s v="KHI/HO/D/MO/MC COMP/P/96732/09/2024"/>
    <m/>
    <x v="15"/>
    <s v="Punjab"/>
    <d v="2024-09-04T00:00:00"/>
    <d v="2025-09-04T00:00:00"/>
    <s v="GHULAM ABBAS"/>
    <s v="SUZUKI-GD-110S"/>
    <n v="8800"/>
    <n v="7155"/>
    <n v="2.5000000000000001E-2"/>
    <s v="147048"/>
    <d v="2024-09-04T00:00:00"/>
    <s v="MOTORCYCLE  COMPREHENSIVE"/>
    <n v="352000"/>
    <n v="1073.25"/>
    <n v="71.55"/>
    <n v="500"/>
  </r>
  <r>
    <s v="KHI/HO/D/MO/MC COMP/P/96734/09/2024"/>
    <m/>
    <x v="15"/>
    <s v="Punjab"/>
    <d v="2024-09-04T00:00:00"/>
    <d v="2025-09-04T00:00:00"/>
    <s v="ASGHAR ALI"/>
    <s v="SUZUKI-GD-110S"/>
    <n v="8800"/>
    <n v="7155"/>
    <n v="2.5000000000000001E-2"/>
    <s v="146416"/>
    <d v="2024-09-04T00:00:00"/>
    <s v="MOTORCYCLE  COMPREHENSIVE"/>
    <n v="352000"/>
    <n v="1073.25"/>
    <n v="71.55"/>
    <n v="500"/>
  </r>
  <r>
    <s v="KHI/HO/D/MO/MC COMP/P/96735/09/2024"/>
    <m/>
    <x v="15"/>
    <s v="Punjab"/>
    <d v="2024-09-04T00:00:00"/>
    <d v="2025-09-04T00:00:00"/>
    <s v="LUQMAN AHMAD"/>
    <s v="SUZUKI-GD-110S"/>
    <n v="8800"/>
    <n v="7155"/>
    <n v="2.5000000000000001E-2"/>
    <s v="147162"/>
    <d v="2024-09-04T00:00:00"/>
    <s v="MOTORCYCLE  COMPREHENSIVE"/>
    <n v="352000"/>
    <n v="1073.25"/>
    <n v="71.55"/>
    <n v="500"/>
  </r>
  <r>
    <s v="KHI/HO/D/MO/MC COMP/P/96736/09/2024"/>
    <m/>
    <x v="0"/>
    <s v="Punjab"/>
    <d v="2024-09-04T00:00:00"/>
    <d v="2025-09-04T00:00:00"/>
    <s v="HAFIZ IKRAM UL HAQ"/>
    <s v="SUZUKI-GD-110S"/>
    <n v="8800"/>
    <n v="7155"/>
    <n v="2.5000000000000001E-2"/>
    <s v="147889"/>
    <d v="2024-09-04T00:00:00"/>
    <s v="MOTORCYCLE  COMPREHENSIVE"/>
    <n v="352000"/>
    <n v="1073.25"/>
    <n v="71.55"/>
    <n v="500"/>
  </r>
  <r>
    <s v="KHI/HO/D/MO/MC COMP/P/96737/09/2024"/>
    <m/>
    <x v="15"/>
    <s v="Punjab"/>
    <d v="2024-09-04T00:00:00"/>
    <d v="2025-09-04T00:00:00"/>
    <s v="MUHAMMAD USAMA BIN RASHEED"/>
    <s v="SUZUKI-GD-110S"/>
    <n v="8800"/>
    <n v="7155"/>
    <n v="2.5000000000000001E-2"/>
    <s v="147155"/>
    <d v="2024-09-04T00:00:00"/>
    <s v="MOTORCYCLE  COMPREHENSIVE"/>
    <n v="352000"/>
    <n v="1073.25"/>
    <n v="71.55"/>
    <n v="500"/>
  </r>
  <r>
    <s v="KHI/HO/D/MO/MC COMP/P/96738/09/2024"/>
    <m/>
    <x v="15"/>
    <s v="Punjab"/>
    <d v="2024-09-04T00:00:00"/>
    <d v="2025-09-04T00:00:00"/>
    <s v="MUHAMMAD YASIN"/>
    <s v="SUZUKI-GS 150"/>
    <n v="9550"/>
    <n v="7802"/>
    <n v="2.5000000000000001E-2"/>
    <s v="30092646"/>
    <d v="2024-09-04T00:00:00"/>
    <s v="MOTORCYCLE  COMPREHENSIVE"/>
    <n v="382000"/>
    <n v="1170.3"/>
    <n v="78.02"/>
    <n v="500"/>
  </r>
  <r>
    <s v="KHI/HO/D/MO/MC COMP/P/96739/09/2024"/>
    <m/>
    <x v="15"/>
    <s v="Punjab"/>
    <d v="2024-09-04T00:00:00"/>
    <d v="2025-09-04T00:00:00"/>
    <s v="FAIZAN KHAN"/>
    <s v="SUZUKI-GS 150"/>
    <n v="9550"/>
    <n v="7802"/>
    <n v="2.5000000000000001E-2"/>
    <s v="30092639"/>
    <d v="2024-09-04T00:00:00"/>
    <s v="MOTORCYCLE  COMPREHENSIVE"/>
    <n v="382000"/>
    <n v="1170.3"/>
    <n v="78.02"/>
    <n v="500"/>
  </r>
  <r>
    <s v="KHI/HO/D/MO/MC COMP/P/96740/09/2024"/>
    <m/>
    <x v="15"/>
    <s v="Punjab"/>
    <d v="2024-09-04T00:00:00"/>
    <d v="2025-09-04T00:00:00"/>
    <s v="MUHAMMAD ZULFIQAR ALI"/>
    <s v="SUZUKI-GSX 125"/>
    <n v="12475"/>
    <n v="10323"/>
    <n v="2.5000000000000001E-2"/>
    <s v="23102565"/>
    <d v="2024-09-04T00:00:00"/>
    <s v="MOTORCYCLE  COMPREHENSIVE"/>
    <n v="499000"/>
    <n v="1548.45"/>
    <n v="103.23"/>
    <n v="500"/>
  </r>
  <r>
    <s v="KHI/HO/D/MO/MC COMP/P/96741/09/2024"/>
    <m/>
    <x v="15"/>
    <s v="Punjab"/>
    <d v="2024-09-04T00:00:00"/>
    <d v="2025-09-04T00:00:00"/>
    <s v="JAVED IQBAL"/>
    <s v="SUZUKI-GD-110S"/>
    <n v="8800"/>
    <n v="7155"/>
    <n v="2.5000000000000001E-2"/>
    <s v="147151"/>
    <d v="2024-09-04T00:00:00"/>
    <s v="MOTORCYCLE  COMPREHENSIVE"/>
    <n v="352000"/>
    <n v="1073.25"/>
    <n v="71.55"/>
    <n v="500"/>
  </r>
  <r>
    <s v="KHI/HO/D/MO/MC COMP/P/96742/09/2024"/>
    <m/>
    <x v="15"/>
    <s v="Punjab"/>
    <d v="2024-09-04T00:00:00"/>
    <d v="2025-09-04T00:00:00"/>
    <s v="MUHAMMAD ASIM JAVID"/>
    <s v="SUZUKI-GS 150"/>
    <n v="9550"/>
    <n v="7802"/>
    <n v="2.5000000000000001E-2"/>
    <s v="30092641"/>
    <d v="2024-09-04T00:00:00"/>
    <s v="MOTORCYCLE  COMPREHENSIVE"/>
    <n v="382000"/>
    <n v="1170.3"/>
    <n v="78.02"/>
    <n v="500"/>
  </r>
  <r>
    <s v="KHI/HO/D/MO/MC COMP/P/96743/09/2024"/>
    <m/>
    <x v="15"/>
    <s v="Punjab"/>
    <d v="2024-09-04T00:00:00"/>
    <d v="2025-09-04T00:00:00"/>
    <s v="MUHAMMAD AHMAD"/>
    <s v="SUZUKI-GD-110S"/>
    <n v="8800"/>
    <n v="7155"/>
    <n v="2.5000000000000001E-2"/>
    <s v="147058"/>
    <d v="2024-09-04T00:00:00"/>
    <s v="MOTORCYCLE  COMPREHENSIVE"/>
    <n v="352000"/>
    <n v="1073.25"/>
    <n v="71.55"/>
    <n v="500"/>
  </r>
  <r>
    <s v="KHI/HO/D/MO/MC COMP/P/96744/09/2024"/>
    <m/>
    <x v="13"/>
    <s v="Punjab"/>
    <d v="2024-09-04T00:00:00"/>
    <d v="2025-09-04T00:00:00"/>
    <s v="WAHAB UL HASSAN"/>
    <s v="SUZUKI-GD-110S"/>
    <n v="8800"/>
    <n v="7155"/>
    <n v="2.5000000000000001E-2"/>
    <s v="146995"/>
    <d v="2024-09-04T00:00:00"/>
    <s v="MOTORCYCLE  COMPREHENSIVE"/>
    <n v="352000"/>
    <n v="1073.25"/>
    <n v="71.55"/>
    <n v="500"/>
  </r>
  <r>
    <s v="KHI/HO/D/MO/MC COMP/P/96745/09/2024"/>
    <m/>
    <x v="15"/>
    <s v="Punjab"/>
    <d v="2024-09-04T00:00:00"/>
    <d v="2025-09-04T00:00:00"/>
    <s v="WAHEED NASIR"/>
    <s v="SUZUKI-GD-110S"/>
    <n v="8800"/>
    <n v="7155"/>
    <n v="2.5000000000000001E-2"/>
    <s v="147031"/>
    <d v="2024-09-04T00:00:00"/>
    <s v="MOTORCYCLE  COMPREHENSIVE"/>
    <n v="352000"/>
    <n v="1073.25"/>
    <n v="71.55"/>
    <n v="500"/>
  </r>
  <r>
    <s v="KHI/HO/D/MO/MC COMP/P/96747/09/2024"/>
    <m/>
    <x v="15"/>
    <s v="Punjab"/>
    <d v="2024-09-04T00:00:00"/>
    <d v="2025-09-04T00:00:00"/>
    <s v="HAFIZ MUHAMMAD USMAN"/>
    <s v="SUZUKI-GS 150"/>
    <n v="9550"/>
    <n v="7802"/>
    <n v="2.5000000000000001E-2"/>
    <s v="30092648"/>
    <d v="2024-09-04T00:00:00"/>
    <s v="MOTORCYCLE  COMPREHENSIVE"/>
    <n v="382000"/>
    <n v="1170.3"/>
    <n v="78.02"/>
    <n v="500"/>
  </r>
  <r>
    <s v="KHI/HO/D/MO/MC COMP/P/96749/09/2024"/>
    <m/>
    <x v="15"/>
    <s v="Punjab"/>
    <d v="2024-09-04T00:00:00"/>
    <d v="2025-09-04T00:00:00"/>
    <s v="KHALID MUHMOOD"/>
    <s v="SUZUKI-GD-110S"/>
    <n v="8800"/>
    <n v="7155"/>
    <n v="2.5000000000000001E-2"/>
    <s v="146581"/>
    <d v="2024-09-04T00:00:00"/>
    <s v="MOTORCYCLE  COMPREHENSIVE"/>
    <n v="352000"/>
    <n v="1073.25"/>
    <n v="71.55"/>
    <n v="500"/>
  </r>
  <r>
    <s v="KHI/HO/D/MO/MC COMP/P/96750/09/2024"/>
    <m/>
    <x v="15"/>
    <s v="Punjab"/>
    <d v="2024-09-04T00:00:00"/>
    <d v="2025-09-04T00:00:00"/>
    <s v="MUHAMMAD YAQUB"/>
    <s v="SUZUKI-GD-110S"/>
    <n v="8800"/>
    <n v="7155"/>
    <n v="2.5000000000000001E-2"/>
    <s v="138548"/>
    <d v="2024-09-04T00:00:00"/>
    <s v="MOTORCYCLE  COMPREHENSIVE"/>
    <n v="352000"/>
    <n v="1073.25"/>
    <n v="71.55"/>
    <n v="500"/>
  </r>
  <r>
    <s v="KHI/HO/D/MO/MC COMP/P/96751/09/2024"/>
    <m/>
    <x v="13"/>
    <s v="Punjab"/>
    <d v="2024-09-04T00:00:00"/>
    <d v="2025-09-04T00:00:00"/>
    <s v="RIZWAN ALI BUTT"/>
    <s v="SUZUKI-GS 150"/>
    <n v="9550"/>
    <n v="7802"/>
    <n v="2.5000000000000001E-2"/>
    <s v="30092575"/>
    <d v="2024-09-04T00:00:00"/>
    <s v="MOTORCYCLE  COMPREHENSIVE"/>
    <n v="382000"/>
    <n v="1170.3"/>
    <n v="78.02"/>
    <n v="500"/>
  </r>
  <r>
    <s v="KHI/HO/D/MO/MC COMP/P/96752/09/2024"/>
    <m/>
    <x v="15"/>
    <s v="Punjab"/>
    <d v="2024-09-04T00:00:00"/>
    <d v="2025-09-04T00:00:00"/>
    <s v="MUHAMMAD HAFEEZ"/>
    <s v="SUZUKI-GD-110S"/>
    <n v="8800"/>
    <n v="7155"/>
    <n v="2.5000000000000001E-2"/>
    <s v="146565"/>
    <d v="2024-09-04T00:00:00"/>
    <s v="MOTORCYCLE  COMPREHENSIVE"/>
    <n v="352000"/>
    <n v="1073.25"/>
    <n v="71.55"/>
    <n v="500"/>
  </r>
  <r>
    <s v="KHI/HO/D/MO/MC COMP/P/96754/09/2024"/>
    <m/>
    <x v="13"/>
    <s v="Punjab"/>
    <d v="2024-09-04T00:00:00"/>
    <d v="2025-09-04T00:00:00"/>
    <s v="SAGEER AHMAD"/>
    <s v="SUZUKI-GR150 EURO II"/>
    <n v="13675"/>
    <n v="11358"/>
    <n v="2.5000000000000001E-2"/>
    <s v="113516"/>
    <d v="2024-09-04T00:00:00"/>
    <s v="MOTORCYCLE  COMPREHENSIVE"/>
    <n v="547000"/>
    <n v="1703.7"/>
    <n v="113.58"/>
    <n v="500"/>
  </r>
  <r>
    <s v="KHI/HO/D/MO/MC COMP/P/96764/09/2024"/>
    <m/>
    <x v="16"/>
    <s v="Punjab"/>
    <d v="2024-09-04T00:00:00"/>
    <d v="2025-09-04T00:00:00"/>
    <s v="SHERAZ TAJDIN"/>
    <s v="SUZUKI-GS 150"/>
    <n v="9550"/>
    <n v="7802"/>
    <n v="2.5000000000000001E-2"/>
    <s v="30092295"/>
    <d v="2024-09-04T00:00:00"/>
    <s v="MOTORCYCLE  COMPREHENSIVE"/>
    <n v="382000"/>
    <n v="1170.3"/>
    <n v="78.02"/>
    <n v="500"/>
  </r>
  <r>
    <s v="KHI/HO/D/MO/MC COMP/P/96766/09/2024"/>
    <m/>
    <x v="6"/>
    <s v="South"/>
    <d v="2024-09-04T00:00:00"/>
    <d v="2025-09-04T00:00:00"/>
    <s v="NASIR ALI"/>
    <s v="SUZUKI-GD-110S"/>
    <n v="14960"/>
    <n v="12466"/>
    <n v="4.2500000000000003E-2"/>
    <s v="147831"/>
    <d v="2024-09-04T00:00:00"/>
    <s v="MOTORCYCLE  COMPREHENSIVE"/>
    <n v="352000"/>
    <n v="1869.9"/>
    <n v="124.66"/>
    <n v="500"/>
  </r>
  <r>
    <s v="KHI/HO/D/MO/MC COMP/P/96770/09/2024"/>
    <m/>
    <x v="1"/>
    <s v="South"/>
    <d v="2024-09-04T00:00:00"/>
    <d v="2025-09-04T00:00:00"/>
    <s v="MUHAMMAD RAMEEZ QURESHI"/>
    <s v="SUZUKI-GD-110S"/>
    <n v="14960"/>
    <n v="12466"/>
    <n v="4.2500000000000003E-2"/>
    <s v="147917"/>
    <d v="2024-09-04T00:00:00"/>
    <s v="MOTORCYCLE  COMPREHENSIVE"/>
    <n v="352000"/>
    <n v="1869.9"/>
    <n v="124.66"/>
    <n v="500"/>
  </r>
  <r>
    <s v="KHI/HO/D/MO/MC COMP/P/96773/09/2024"/>
    <m/>
    <x v="13"/>
    <s v="Punjab"/>
    <d v="2024-09-04T00:00:00"/>
    <d v="2025-09-04T00:00:00"/>
    <s v="MUHAMMAD ZUBAIR KHALID"/>
    <s v="SUZUKI-GS-150"/>
    <n v="9550"/>
    <n v="7802"/>
    <n v="2.5000000000000001E-2"/>
    <s v="30092743"/>
    <d v="2024-09-04T00:00:00"/>
    <s v="MOTORCYCLE  COMPREHENSIVE"/>
    <n v="382000"/>
    <n v="1170.3"/>
    <n v="78.02"/>
    <n v="500"/>
  </r>
  <r>
    <s v="KHI/HO/D/MO/MC COMP/P/96774/09/2024"/>
    <m/>
    <x v="5"/>
    <s v="South"/>
    <d v="2024-09-04T00:00:00"/>
    <d v="2025-09-04T00:00:00"/>
    <s v="SYED IQTADAR HUSSAIN ZAIDI"/>
    <s v="SUZUKI-GS 150"/>
    <n v="16235"/>
    <n v="13565"/>
    <n v="4.2500000000000003E-2"/>
    <s v="30092791"/>
    <d v="2024-09-04T00:00:00"/>
    <s v="MOTORCYCLE  COMPREHENSIVE"/>
    <n v="382000"/>
    <n v="2034.75"/>
    <n v="135.65"/>
    <n v="500"/>
  </r>
  <r>
    <s v="KHI/HO/D/MO/MC COMP/P/96775/09/2024"/>
    <m/>
    <x v="5"/>
    <s v="South"/>
    <d v="2025-09-05T00:00:00"/>
    <d v="2026-09-05T00:00:00"/>
    <s v="SYED IQTADAR HUSSAIN ZAIDI"/>
    <s v="SUZUKI-GS 150"/>
    <n v="16235"/>
    <n v="13565"/>
    <n v="4.2500000000000003E-2"/>
    <s v="30092791"/>
    <d v="2024-09-04T00:00:00"/>
    <s v="MOTORCYCLE  COMPREHENSIVE"/>
    <n v="382000"/>
    <n v="2034.75"/>
    <n v="135.65"/>
    <n v="500"/>
  </r>
  <r>
    <s v="KHI/HO/D/MO/MC COMP/P/96776/09/2024"/>
    <m/>
    <x v="13"/>
    <s v="Punjab"/>
    <d v="2024-09-04T00:00:00"/>
    <d v="2025-09-04T00:00:00"/>
    <s v="SYED AHAD WASIF NAQVI"/>
    <s v="SUZUKI-GS-150"/>
    <n v="9550"/>
    <n v="7802"/>
    <n v="2.5000000000000001E-2"/>
    <s v="30092748"/>
    <d v="2024-09-04T00:00:00"/>
    <s v="MOTORCYCLE  COMPREHENSIVE"/>
    <n v="382000"/>
    <n v="1170.3"/>
    <n v="78.02"/>
    <n v="500"/>
  </r>
  <r>
    <s v="KHI/HO/D/MO/MC COMP/P/96777/09/2024"/>
    <m/>
    <x v="13"/>
    <s v="Punjab"/>
    <d v="2024-09-04T00:00:00"/>
    <d v="2025-09-04T00:00:00"/>
    <s v="MIRZA AHMAD RAZA MEHMOOD"/>
    <s v="SUZUKI-GD-110S"/>
    <n v="8800"/>
    <n v="7155"/>
    <n v="2.5000000000000001E-2"/>
    <s v="146984"/>
    <d v="2024-09-04T00:00:00"/>
    <s v="MOTORCYCLE  COMPREHENSIVE"/>
    <n v="352000"/>
    <n v="1073.25"/>
    <n v="71.55"/>
    <n v="500"/>
  </r>
  <r>
    <s v="KHI/HO/D/MO/MC COMP/P/96778/09/2024"/>
    <m/>
    <x v="13"/>
    <s v="Punjab"/>
    <d v="2024-09-04T00:00:00"/>
    <d v="2025-09-04T00:00:00"/>
    <s v="ZESHAN SAEED"/>
    <s v="SUZUKI-GD-110S"/>
    <n v="8800"/>
    <n v="7155"/>
    <n v="2.5000000000000001E-2"/>
    <s v="146513"/>
    <d v="2024-09-04T00:00:00"/>
    <s v="MOTORCYCLE  COMPREHENSIVE"/>
    <n v="352000"/>
    <n v="1073.25"/>
    <n v="71.55"/>
    <n v="500"/>
  </r>
  <r>
    <s v="KHI/HO/D/MO/MC COMP/P/96788/09/2024"/>
    <m/>
    <x v="17"/>
    <s v="Punjab"/>
    <d v="2024-09-05T00:00:00"/>
    <d v="2025-09-05T00:00:00"/>
    <s v="Sohaib Shahid"/>
    <s v="SUZUKI-GR150 EURO II"/>
    <n v="13675"/>
    <n v="11358"/>
    <n v="2.5000000000000001E-2"/>
    <s v="113511"/>
    <d v="2024-09-05T00:00:00"/>
    <s v="MOTORCYCLE  COMPREHENSIVE"/>
    <n v="547000"/>
    <n v="1703.7"/>
    <n v="113.58"/>
    <n v="500"/>
  </r>
  <r>
    <s v="KHI/HO/D/MO/MC COMP/P/96802/09/2024"/>
    <m/>
    <x v="5"/>
    <s v="South"/>
    <d v="2024-09-05T00:00:00"/>
    <d v="2025-09-05T00:00:00"/>
    <s v="MUHAMMAD TAHA"/>
    <s v="SUZUKI-GD-110S"/>
    <n v="14960"/>
    <n v="12466"/>
    <n v="4.2500000000000003E-2"/>
    <s v="147486"/>
    <d v="2024-09-05T00:00:00"/>
    <s v="MOTORCYCLE  COMPREHENSIVE"/>
    <n v="352000"/>
    <n v="1869.9"/>
    <n v="124.66"/>
    <n v="500"/>
  </r>
  <r>
    <s v="KHI/HO/D/MO/MC COMP/P/96803/09/2024"/>
    <m/>
    <x v="5"/>
    <s v="South"/>
    <d v="2025-09-06T00:00:00"/>
    <d v="2026-09-06T00:00:00"/>
    <s v="MUHAMMAD TAHA"/>
    <s v="SUZUKI-GD-110S"/>
    <n v="14960"/>
    <n v="12466"/>
    <n v="4.2500000000000003E-2"/>
    <s v="147486"/>
    <d v="2024-09-05T00:00:00"/>
    <s v="MOTORCYCLE  COMPREHENSIVE"/>
    <n v="352000"/>
    <n v="1869.9"/>
    <n v="124.66"/>
    <n v="500"/>
  </r>
  <r>
    <s v="KHI/HO/D/MO/MC COMP/P/96805/09/2024"/>
    <m/>
    <x v="5"/>
    <s v="South"/>
    <d v="2024-09-05T00:00:00"/>
    <d v="2025-09-05T00:00:00"/>
    <s v="TAIMOOR ILYAS MALIK"/>
    <s v="SUZUKI-GD-110S"/>
    <n v="14960"/>
    <n v="12466"/>
    <n v="4.2500000000000003E-2"/>
    <s v="147742"/>
    <d v="2024-09-05T00:00:00"/>
    <s v="MOTORCYCLE  COMPREHENSIVE"/>
    <n v="352000"/>
    <n v="1869.9"/>
    <n v="124.66"/>
    <n v="500"/>
  </r>
  <r>
    <s v="KHI/HO/D/MO/MC COMP/P/96817/09/2024"/>
    <m/>
    <x v="15"/>
    <s v="Punjab"/>
    <d v="2024-09-05T00:00:00"/>
    <d v="2025-09-05T00:00:00"/>
    <s v="ABDUL REHMAN"/>
    <s v="SUZUKI-GS 150"/>
    <n v="9550"/>
    <n v="7802"/>
    <n v="2.5000000000000001E-2"/>
    <s v="30092418"/>
    <d v="2024-09-05T00:00:00"/>
    <s v="MOTORCYCLE  COMPREHENSIVE"/>
    <n v="382000"/>
    <n v="1170.3"/>
    <n v="78.02"/>
    <n v="500"/>
  </r>
  <r>
    <s v="KHI/HO/D/MO/MC COMP/P/96819/09/2024"/>
    <m/>
    <x v="15"/>
    <s v="Punjab"/>
    <d v="2024-09-05T00:00:00"/>
    <d v="2025-09-05T00:00:00"/>
    <s v="ALI RAZA"/>
    <s v="SUZUKI-GS 150"/>
    <n v="9550"/>
    <n v="7802"/>
    <n v="2.5000000000000001E-2"/>
    <s v="30092420"/>
    <d v="2024-09-05T00:00:00"/>
    <s v="MOTORCYCLE  COMPREHENSIVE"/>
    <n v="382000"/>
    <n v="1170.3"/>
    <n v="78.02"/>
    <n v="500"/>
  </r>
  <r>
    <s v="KHI/HO/D/MO/MC COMP/P/96820/09/2024"/>
    <m/>
    <x v="15"/>
    <s v="Punjab"/>
    <d v="2024-09-05T00:00:00"/>
    <d v="2025-09-05T00:00:00"/>
    <s v="SAQIB NASEEM AKBAR"/>
    <s v="SUZUKI-GSX 125"/>
    <n v="12475"/>
    <n v="10323"/>
    <n v="2.5000000000000001E-2"/>
    <s v="23102476"/>
    <d v="2024-09-05T00:00:00"/>
    <s v="MOTORCYCLE  COMPREHENSIVE"/>
    <n v="499000"/>
    <n v="1548.45"/>
    <n v="103.23"/>
    <n v="500"/>
  </r>
  <r>
    <s v="KHI/HO/D/MO/MC COMP/P/96821/09/2024"/>
    <m/>
    <x v="6"/>
    <s v="South"/>
    <d v="2025-07-11T00:00:00"/>
    <d v="2026-07-11T00:00:00"/>
    <s v="MUHAMMAD SHUJAAT HUSSAIN"/>
    <s v="SUZUKI-GR150 EURO II"/>
    <n v="13615"/>
    <n v="11306"/>
    <n v="3.5363636363636361E-2"/>
    <s v="110777"/>
    <d v="2024-09-05T00:00:00"/>
    <s v="MOTORCYCLE  COMPREHENSIVE"/>
    <n v="385000"/>
    <n v="1695.9"/>
    <n v="113.06"/>
    <n v="500"/>
  </r>
  <r>
    <s v="KHI/HO/D/MO/MC COMP/P/96822/09/2024"/>
    <m/>
    <x v="6"/>
    <s v="South"/>
    <d v="2024-09-05T00:00:00"/>
    <d v="2025-09-05T00:00:00"/>
    <s v="MUHAMMAD WAQAS SADIQ"/>
    <s v="SUZUKI-GD-110S"/>
    <n v="14960"/>
    <n v="12466"/>
    <n v="4.2500000000000003E-2"/>
    <s v="147975"/>
    <d v="2024-09-05T00:00:00"/>
    <s v="MOTORCYCLE  COMPREHENSIVE"/>
    <n v="352000"/>
    <n v="1869.9"/>
    <n v="124.66"/>
    <n v="500"/>
  </r>
  <r>
    <s v="KHI/HO/D/MO/MC COMP/P/96823/09/2024"/>
    <m/>
    <x v="6"/>
    <s v="South"/>
    <d v="2025-09-06T00:00:00"/>
    <d v="2026-09-06T00:00:00"/>
    <s v="MUHAMMAD WAQAS SADIQ"/>
    <s v="SUZUKI-GD-110S"/>
    <n v="14960"/>
    <n v="12466"/>
    <n v="4.2500000000000003E-2"/>
    <s v="147975"/>
    <d v="2024-09-05T00:00:00"/>
    <s v="MOTORCYCLE  COMPREHENSIVE"/>
    <n v="352000"/>
    <n v="1869.9"/>
    <n v="124.66"/>
    <n v="500"/>
  </r>
  <r>
    <s v="KHI/HO/D/MO/MC COMP/P/96825/09/2024"/>
    <m/>
    <x v="15"/>
    <s v="Punjab"/>
    <d v="2024-09-05T00:00:00"/>
    <d v="2025-09-05T00:00:00"/>
    <s v="MUHAMMAD YASEEN SHAHID"/>
    <s v="SUZUKI-GD-110S"/>
    <n v="8800"/>
    <n v="7155"/>
    <n v="2.5000000000000001E-2"/>
    <s v="145171"/>
    <d v="2024-09-05T00:00:00"/>
    <s v="MOTORCYCLE  COMPREHENSIVE"/>
    <n v="352000"/>
    <n v="1073.25"/>
    <n v="71.55"/>
    <n v="500"/>
  </r>
  <r>
    <s v="KHI/HO/D/MO/MC COMP/P/96828/09/2024"/>
    <m/>
    <x v="15"/>
    <s v="Punjab"/>
    <d v="2024-09-05T00:00:00"/>
    <d v="2025-09-05T00:00:00"/>
    <s v="MATEEN BIN TARIQ"/>
    <s v="SUZUKI-GD-110S"/>
    <n v="8800"/>
    <n v="7155"/>
    <n v="2.5000000000000001E-2"/>
    <s v="146418"/>
    <d v="2024-09-05T00:00:00"/>
    <s v="MOTORCYCLE  COMPREHENSIVE"/>
    <n v="352000"/>
    <n v="1073.25"/>
    <n v="71.55"/>
    <n v="500"/>
  </r>
  <r>
    <s v="KHI/HO/D/MO/MC COMP/P/96829/09/2024"/>
    <m/>
    <x v="15"/>
    <s v="Punjab"/>
    <d v="2024-09-05T00:00:00"/>
    <d v="2025-09-05T00:00:00"/>
    <s v="MUHAMMAD NADEEM ASHRAF"/>
    <s v="SUZUKI-GD-110S"/>
    <n v="8800"/>
    <n v="7155"/>
    <n v="2.5000000000000001E-2"/>
    <s v="146429"/>
    <d v="2024-09-05T00:00:00"/>
    <s v="MOTORCYCLE  COMPREHENSIVE"/>
    <n v="352000"/>
    <n v="1073.25"/>
    <n v="71.55"/>
    <n v="500"/>
  </r>
  <r>
    <s v="KHI/HO/D/MO/MC COMP/P/96830/09/2024"/>
    <m/>
    <x v="15"/>
    <s v="Punjab"/>
    <d v="2024-09-05T00:00:00"/>
    <d v="2025-09-05T00:00:00"/>
    <s v="ABDUL WADOOD"/>
    <s v="SUZUKI-GD-110S"/>
    <n v="8800"/>
    <n v="7155"/>
    <n v="2.5000000000000001E-2"/>
    <s v="146351"/>
    <d v="2024-09-05T00:00:00"/>
    <s v="MOTORCYCLE  COMPREHENSIVE"/>
    <n v="352000"/>
    <n v="1073.25"/>
    <n v="71.55"/>
    <n v="500"/>
  </r>
  <r>
    <s v="KHI/HO/D/MO/MC COMP/P/96831/09/2024"/>
    <m/>
    <x v="15"/>
    <s v="Punjab"/>
    <d v="2024-09-05T00:00:00"/>
    <d v="2025-09-05T00:00:00"/>
    <s v="ABDUL WADOOD"/>
    <s v="SUZUKI-GD-110S"/>
    <n v="8800"/>
    <n v="7155"/>
    <n v="2.5000000000000001E-2"/>
    <s v="146351"/>
    <d v="2024-09-05T00:00:00"/>
    <s v="MOTORCYCLE  COMPREHENSIVE"/>
    <n v="352000"/>
    <n v="1073.25"/>
    <n v="71.55"/>
    <n v="500"/>
  </r>
  <r>
    <s v="KHI/HO/D/MO/MC COMP/P/96833/09/2024"/>
    <m/>
    <x v="15"/>
    <s v="Punjab"/>
    <d v="2024-09-05T00:00:00"/>
    <d v="2025-09-05T00:00:00"/>
    <s v="MUHAMMAD SAQLAIN SHAH"/>
    <s v="SUZUKI-GD-110S"/>
    <n v="8800"/>
    <n v="7155"/>
    <n v="2.5000000000000001E-2"/>
    <s v="146433"/>
    <d v="2024-09-05T00:00:00"/>
    <s v="MOTORCYCLE  COMPREHENSIVE"/>
    <n v="352000"/>
    <n v="1073.25"/>
    <n v="71.55"/>
    <n v="500"/>
  </r>
  <r>
    <s v="KHI/HO/D/MO/MC COMP/P/96834/09/2024"/>
    <m/>
    <x v="15"/>
    <s v="Punjab"/>
    <d v="2024-09-05T00:00:00"/>
    <d v="2025-09-05T00:00:00"/>
    <s v="BILAL NAEEM"/>
    <s v="SUZUKI-GD-110S"/>
    <n v="8800"/>
    <n v="7155"/>
    <n v="2.5000000000000001E-2"/>
    <s v="146420"/>
    <d v="2024-09-05T00:00:00"/>
    <s v="MOTORCYCLE  COMPREHENSIVE"/>
    <n v="352000"/>
    <n v="1073.25"/>
    <n v="71.55"/>
    <n v="500"/>
  </r>
  <r>
    <s v="KHI/HO/D/MO/MC COMP/P/96835/09/2024"/>
    <m/>
    <x v="15"/>
    <s v="Punjab"/>
    <d v="2024-09-05T00:00:00"/>
    <d v="2025-09-05T00:00:00"/>
    <s v="MUHAMMAD ABID"/>
    <s v="SUZUKI-GD-110S"/>
    <n v="8800"/>
    <n v="7155"/>
    <n v="2.5000000000000001E-2"/>
    <s v="146419"/>
    <d v="2024-09-05T00:00:00"/>
    <s v="MOTORCYCLE  COMPREHENSIVE"/>
    <n v="352000"/>
    <n v="1073.25"/>
    <n v="71.55"/>
    <n v="500"/>
  </r>
  <r>
    <s v="KHI/HO/D/MO/MC COMP/P/96836/09/2024"/>
    <m/>
    <x v="0"/>
    <s v="Punjab"/>
    <d v="2024-09-05T00:00:00"/>
    <d v="2025-09-05T00:00:00"/>
    <s v="MUHAMMAD HASSAN"/>
    <s v="SUZUKI-GD-110S"/>
    <n v="8800"/>
    <n v="7155"/>
    <n v="2.5000000000000001E-2"/>
    <s v="147899"/>
    <d v="2024-09-05T00:00:00"/>
    <s v="MOTORCYCLE  COMPREHENSIVE"/>
    <n v="352000"/>
    <n v="1073.25"/>
    <n v="71.55"/>
    <n v="500"/>
  </r>
  <r>
    <s v="KHI/HO/D/MO/MC COMP/P/96838/09/2024"/>
    <m/>
    <x v="6"/>
    <s v="South"/>
    <d v="2024-09-05T00:00:00"/>
    <d v="2025-09-05T00:00:00"/>
    <s v="NISAR AKHTAR"/>
    <s v="SUZUKI-GD-110S"/>
    <n v="14960"/>
    <n v="12466"/>
    <n v="4.2500000000000003E-2"/>
    <s v="147916"/>
    <d v="2024-09-05T00:00:00"/>
    <s v="MOTORCYCLE  COMPREHENSIVE"/>
    <n v="352000"/>
    <n v="1869.9"/>
    <n v="124.66"/>
    <n v="500"/>
  </r>
  <r>
    <s v="KHI/HO/D/MO/MC COMP/P/96839/09/2024"/>
    <m/>
    <x v="6"/>
    <s v="South"/>
    <d v="2025-09-06T00:00:00"/>
    <d v="2026-09-06T00:00:00"/>
    <s v="NISAR AKHTAR"/>
    <s v="SUZUKI-GD-110S"/>
    <n v="14960"/>
    <n v="12466"/>
    <n v="4.2500000000000003E-2"/>
    <s v="147916"/>
    <d v="2024-09-05T00:00:00"/>
    <s v="MOTORCYCLE  COMPREHENSIVE"/>
    <n v="352000"/>
    <n v="1869.9"/>
    <n v="124.66"/>
    <n v="500"/>
  </r>
  <r>
    <s v="KHI/HO/D/MO/MC COMP/P/96851/09/2024"/>
    <m/>
    <x v="13"/>
    <s v="Punjab"/>
    <d v="2024-09-06T00:00:00"/>
    <d v="2025-09-06T00:00:00"/>
    <s v="ZULFIQAR ALI"/>
    <s v="SUZUKI-GD-110S"/>
    <n v="8800"/>
    <n v="7155"/>
    <n v="2.5000000000000001E-2"/>
    <s v="146939"/>
    <d v="2024-09-06T00:00:00"/>
    <s v="MOTORCYCLE  COMPREHENSIVE"/>
    <n v="352000"/>
    <n v="1073.25"/>
    <n v="71.55"/>
    <n v="500"/>
  </r>
  <r>
    <s v="KHI/HO/D/MO/MC COMP/P/96852/09/2024"/>
    <m/>
    <x v="13"/>
    <s v="Punjab"/>
    <d v="2024-09-06T00:00:00"/>
    <d v="2025-09-06T00:00:00"/>
    <s v="SHAHAB UD DIN ALI"/>
    <s v="SUZUKI-GS 150"/>
    <n v="9550"/>
    <n v="7802"/>
    <n v="2.5000000000000001E-2"/>
    <s v="30092742"/>
    <d v="2024-09-06T00:00:00"/>
    <s v="MOTORCYCLE  COMPREHENSIVE"/>
    <n v="382000"/>
    <n v="1170.3"/>
    <n v="78.02"/>
    <n v="500"/>
  </r>
  <r>
    <s v="KHI/HO/D/MO/MC COMP/P/96857/09/2024"/>
    <m/>
    <x v="6"/>
    <s v="South"/>
    <d v="2024-09-06T00:00:00"/>
    <d v="2025-09-06T00:00:00"/>
    <s v="31102-0576518-8"/>
    <s v="SUZUKI-GD-110S"/>
    <n v="14960"/>
    <n v="12466"/>
    <n v="4.2500000000000003E-2"/>
    <s v="147977"/>
    <d v="2024-09-06T00:00:00"/>
    <s v="MOTORCYCLE  COMPREHENSIVE"/>
    <n v="352000"/>
    <n v="1869.9"/>
    <n v="124.66"/>
    <n v="500"/>
  </r>
  <r>
    <s v="KHI/HO/D/MO/MC COMP/P/96858/09/2024"/>
    <m/>
    <x v="6"/>
    <s v="South"/>
    <d v="2025-09-07T00:00:00"/>
    <d v="2026-09-07T00:00:00"/>
    <s v="31102-0576518-8"/>
    <s v="SUZUKI-GD-110S"/>
    <n v="14960"/>
    <n v="12466"/>
    <n v="4.2500000000000003E-2"/>
    <s v="147977"/>
    <d v="2024-09-06T00:00:00"/>
    <s v="MOTORCYCLE  COMPREHENSIVE"/>
    <n v="352000"/>
    <n v="1869.9"/>
    <n v="124.66"/>
    <n v="500"/>
  </r>
  <r>
    <s v="KHI/HO/D/MO/MC COMP/P/96879/09/2024"/>
    <m/>
    <x v="18"/>
    <s v="South"/>
    <d v="2024-09-06T00:00:00"/>
    <d v="2025-09-06T00:00:00"/>
    <s v="Waqas Hussain"/>
    <s v="SUZUKI-GS 150"/>
    <n v="16235"/>
    <n v="13565"/>
    <n v="4.2500000000000003E-2"/>
    <s v="30092796"/>
    <d v="2024-09-06T00:00:00"/>
    <s v="MOTORCYCLE  COMPREHENSIVE"/>
    <n v="382000"/>
    <n v="2034.75"/>
    <n v="135.65"/>
    <n v="500"/>
  </r>
  <r>
    <s v="KHI/HO/D/MO/MC COMP/P/96880/09/2024"/>
    <m/>
    <x v="18"/>
    <s v="South"/>
    <d v="2025-09-07T00:00:00"/>
    <d v="2026-09-07T00:00:00"/>
    <s v="Waqas Hussain"/>
    <s v="SUZUKI-GS 150"/>
    <n v="16235"/>
    <n v="13565"/>
    <n v="4.2500000000000003E-2"/>
    <s v="30092796"/>
    <d v="2024-09-06T00:00:00"/>
    <s v="MOTORCYCLE  COMPREHENSIVE"/>
    <n v="382000"/>
    <n v="2034.75"/>
    <n v="135.65"/>
    <n v="500"/>
  </r>
  <r>
    <s v="KHI/HO/D/MO/MC COMP/P/96884/09/2024"/>
    <m/>
    <x v="14"/>
    <s v="Punjab"/>
    <d v="2024-09-06T00:00:00"/>
    <d v="2025-09-06T00:00:00"/>
    <s v="KAZIM RAZA"/>
    <s v="SUZUKI-GD-110S"/>
    <n v="8800"/>
    <n v="7155"/>
    <n v="2.5000000000000001E-2"/>
    <s v="146593"/>
    <d v="2024-09-06T00:00:00"/>
    <s v="MOTORCYCLE  COMPREHENSIVE"/>
    <n v="352000"/>
    <n v="1073.25"/>
    <n v="71.55"/>
    <n v="500"/>
  </r>
  <r>
    <s v="KHI/HO/D/MO/MC COMP/P/96890/09/2024"/>
    <m/>
    <x v="12"/>
    <s v="Punjab"/>
    <d v="2024-09-07T00:00:00"/>
    <d v="2025-09-07T00:00:00"/>
    <s v="AHMAD SALEEM"/>
    <s v="SUZUKI-GD-110S"/>
    <n v="8800"/>
    <n v="7155"/>
    <n v="2.5000000000000001E-2"/>
    <s v="147213"/>
    <d v="2024-09-07T00:00:00"/>
    <s v="MOTORCYCLE  COMPREHENSIVE"/>
    <n v="352000"/>
    <n v="1073.25"/>
    <n v="71.55"/>
    <n v="500"/>
  </r>
  <r>
    <s v="KHI/HO/D/MO/MC COMP/P/96891/09/2024"/>
    <m/>
    <x v="0"/>
    <s v="Punjab"/>
    <d v="2024-09-07T00:00:00"/>
    <d v="2025-09-07T00:00:00"/>
    <s v="IFTIKHAR QAMAR"/>
    <s v="SUZUKI-GS 150"/>
    <n v="9550"/>
    <n v="7802"/>
    <n v="2.5000000000000001E-2"/>
    <s v="30092415"/>
    <d v="2024-09-07T00:00:00"/>
    <s v="MOTORCYCLE  COMPREHENSIVE"/>
    <n v="382000"/>
    <n v="1170.3"/>
    <n v="78.02"/>
    <n v="500"/>
  </r>
  <r>
    <s v="KHI/HO/D/MO/MC COMP/P/96893/09/2024"/>
    <m/>
    <x v="12"/>
    <s v="Punjab"/>
    <d v="2024-09-07T00:00:00"/>
    <d v="2025-09-07T00:00:00"/>
    <s v="MUHAMMAD NAZIM"/>
    <s v="SUZUKI-GD-110S"/>
    <n v="8800"/>
    <n v="7155"/>
    <n v="2.5000000000000001E-2"/>
    <s v="147504"/>
    <d v="2024-09-07T00:00:00"/>
    <s v="MOTORCYCLE  COMPREHENSIVE"/>
    <n v="352000"/>
    <n v="1073.25"/>
    <n v="71.55"/>
    <n v="500"/>
  </r>
  <r>
    <s v="KHI/HO/D/MO/MC COMP/P/96895/09/2024"/>
    <m/>
    <x v="6"/>
    <s v="South"/>
    <d v="2024-09-07T00:00:00"/>
    <d v="2025-09-07T00:00:00"/>
    <s v="SYED ARSLAN ALI SHAH"/>
    <s v="SUZUKI-GD-110S"/>
    <n v="14960"/>
    <n v="12466"/>
    <n v="4.2500000000000003E-2"/>
    <s v="147707"/>
    <d v="2024-09-07T00:00:00"/>
    <s v="MOTORCYCLE  COMPREHENSIVE"/>
    <n v="352000"/>
    <n v="1869.9"/>
    <n v="124.66"/>
    <n v="500"/>
  </r>
  <r>
    <s v="KHI/HO/D/MO/MC COMP/P/96896/09/2024"/>
    <m/>
    <x v="2"/>
    <s v="South"/>
    <d v="2024-09-07T00:00:00"/>
    <d v="2025-09-07T00:00:00"/>
    <s v="MUHAMMAD MURTAZA"/>
    <s v="SUZUKI-GS 150"/>
    <n v="16235"/>
    <n v="13565"/>
    <n v="4.2500000000000003E-2"/>
    <s v="30092821"/>
    <d v="2024-09-07T00:00:00"/>
    <s v="MOTORCYCLE  COMPREHENSIVE"/>
    <n v="382000"/>
    <n v="2034.75"/>
    <n v="135.65"/>
    <n v="500"/>
  </r>
  <r>
    <s v="KHI/HO/D/MO/MC COMP/P/96897/09/2024"/>
    <m/>
    <x v="2"/>
    <s v="South"/>
    <d v="2025-09-08T00:00:00"/>
    <d v="2026-09-08T00:00:00"/>
    <s v="MUHAMMAD MURTAZA"/>
    <s v="SUZUKI-GS 150"/>
    <n v="16235"/>
    <n v="13565"/>
    <n v="4.2500000000000003E-2"/>
    <s v="30092821"/>
    <d v="2024-09-07T00:00:00"/>
    <s v="MOTORCYCLE  COMPREHENSIVE"/>
    <n v="382000"/>
    <n v="2034.75"/>
    <n v="135.65"/>
    <n v="500"/>
  </r>
  <r>
    <s v="KHI/HO/D/MO/MC COMP/P/96898/09/2024"/>
    <m/>
    <x v="2"/>
    <s v="South"/>
    <d v="2024-09-07T00:00:00"/>
    <d v="2025-09-07T00:00:00"/>
    <s v="ADIL HUSSAIN"/>
    <s v="SUZUKI-GS 150"/>
    <n v="16235"/>
    <n v="13565"/>
    <n v="4.2500000000000003E-2"/>
    <s v="30092819"/>
    <d v="2024-09-07T00:00:00"/>
    <s v="MOTORCYCLE  COMPREHENSIVE"/>
    <n v="382000"/>
    <n v="2034.75"/>
    <n v="135.65"/>
    <n v="500"/>
  </r>
  <r>
    <s v="KHI/HO/D/MO/MC COMP/P/96901/09/2024"/>
    <m/>
    <x v="12"/>
    <s v="Punjab"/>
    <d v="2024-09-07T00:00:00"/>
    <d v="2025-09-07T00:00:00"/>
    <s v="SYED QANBAR ALI NAQVI"/>
    <s v="SUZUKI-GD-110S"/>
    <n v="8800"/>
    <n v="7155"/>
    <n v="2.5000000000000001E-2"/>
    <s v="147748"/>
    <d v="2024-09-07T00:00:00"/>
    <s v="MOTORCYCLE  COMPREHENSIVE"/>
    <n v="352000"/>
    <n v="1073.25"/>
    <n v="71.55"/>
    <n v="500"/>
  </r>
  <r>
    <s v="KHI/HO/D/MO/MC COMP/P/96902/09/2024"/>
    <m/>
    <x v="7"/>
    <s v="South"/>
    <d v="2024-09-07T00:00:00"/>
    <d v="2025-09-07T00:00:00"/>
    <s v="MUHAMMAD SHOAIB"/>
    <s v="SUZUKI-GS 150"/>
    <n v="16235"/>
    <n v="13565"/>
    <n v="4.2500000000000003E-2"/>
    <s v="30092777"/>
    <d v="2024-09-07T00:00:00"/>
    <s v="MOTORCYCLE  COMPREHENSIVE"/>
    <n v="382000"/>
    <n v="2034.75"/>
    <n v="135.65"/>
    <n v="500"/>
  </r>
  <r>
    <s v="KHI/HO/D/MO/MC COMP/P/96903/09/2024"/>
    <m/>
    <x v="1"/>
    <s v="South"/>
    <d v="2024-09-07T00:00:00"/>
    <d v="2025-09-07T00:00:00"/>
    <s v="FAISAL ZIA"/>
    <s v="SUZUKI-GD-110S"/>
    <n v="14960"/>
    <n v="12466"/>
    <n v="4.2500000000000003E-2"/>
    <s v="147976"/>
    <d v="2024-09-07T00:00:00"/>
    <s v="MOTORCYCLE  COMPREHENSIVE"/>
    <n v="352000"/>
    <n v="1869.9"/>
    <n v="124.66"/>
    <n v="500"/>
  </r>
  <r>
    <s v="KHI/HO/D/MO/MC COMP/P/96904/09/2024"/>
    <m/>
    <x v="12"/>
    <s v="Punjab"/>
    <d v="2024-09-07T00:00:00"/>
    <d v="2025-09-07T00:00:00"/>
    <s v="ALI"/>
    <s v="SUZUKI-GSX 125"/>
    <n v="12475"/>
    <n v="10323"/>
    <n v="2.5000000000000001E-2"/>
    <s v="23102621"/>
    <d v="2024-09-07T00:00:00"/>
    <s v="MOTORCYCLE  COMPREHENSIVE"/>
    <n v="499000"/>
    <n v="1548.45"/>
    <n v="103.23"/>
    <n v="500"/>
  </r>
  <r>
    <s v="KHI/HO/D/MO/MC COMP/P/96905/09/2024"/>
    <m/>
    <x v="12"/>
    <s v="Punjab"/>
    <d v="2024-09-07T00:00:00"/>
    <d v="2025-09-07T00:00:00"/>
    <s v="MUHAMMAD MAJID ALI"/>
    <s v="SUZUKI-GD-110S"/>
    <n v="8800"/>
    <n v="7155"/>
    <n v="2.5000000000000001E-2"/>
    <s v="147204"/>
    <d v="2024-09-07T00:00:00"/>
    <s v="MOTORCYCLE  COMPREHENSIVE"/>
    <n v="352000"/>
    <n v="1073.25"/>
    <n v="71.55"/>
    <n v="500"/>
  </r>
  <r>
    <s v="KHI/HO/D/MO/MC COMP/P/96906/09/2024"/>
    <m/>
    <x v="12"/>
    <s v="Punjab"/>
    <d v="2024-09-07T00:00:00"/>
    <d v="2025-09-07T00:00:00"/>
    <s v="SHAMS UL ISLAM"/>
    <s v="SUZUKI-GS 150"/>
    <n v="9550"/>
    <n v="7802"/>
    <n v="2.5000000000000001E-2"/>
    <s v="30092689"/>
    <d v="2024-09-07T00:00:00"/>
    <s v="MOTORCYCLE  COMPREHENSIVE"/>
    <n v="382000"/>
    <n v="1170.3"/>
    <n v="78.02"/>
    <n v="500"/>
  </r>
  <r>
    <s v="KHI/HO/D/MO/MC COMP/P/96907/09/2024"/>
    <m/>
    <x v="12"/>
    <s v="Punjab"/>
    <d v="2024-09-07T00:00:00"/>
    <d v="2025-09-07T00:00:00"/>
    <s v="SHAHZAD AHMAD"/>
    <s v="SUZUKI-GD-110S"/>
    <n v="8800"/>
    <n v="7155"/>
    <n v="2.5000000000000001E-2"/>
    <s v="147206"/>
    <d v="2024-09-07T00:00:00"/>
    <s v="MOTORCYCLE  COMPREHENSIVE"/>
    <n v="352000"/>
    <n v="1073.25"/>
    <n v="71.55"/>
    <n v="500"/>
  </r>
  <r>
    <s v="KHI/HO/D/MO/MC COMP/P/96908/09/2024"/>
    <m/>
    <x v="12"/>
    <s v="Punjab"/>
    <d v="2024-09-07T00:00:00"/>
    <d v="2025-09-07T00:00:00"/>
    <s v="MUHAMMAD KHAN"/>
    <s v="SUZUKI-GD-110S"/>
    <n v="8800"/>
    <n v="7155"/>
    <n v="2.5000000000000001E-2"/>
    <s v="147208"/>
    <d v="2024-09-07T00:00:00"/>
    <s v="MOTORCYCLE  COMPREHENSIVE"/>
    <n v="352000"/>
    <n v="1073.25"/>
    <n v="71.55"/>
    <n v="500"/>
  </r>
  <r>
    <s v="KHI/HO/D/MO/MC COMP/P/96918/09/2024"/>
    <m/>
    <x v="19"/>
    <s v="Punjab"/>
    <d v="2024-09-09T00:00:00"/>
    <d v="2025-09-09T00:00:00"/>
    <s v="ANWAAR ALI S/O M.ANWAR"/>
    <s v="SUZUKI-GR150 EURO II"/>
    <n v="13675"/>
    <n v="11358"/>
    <n v="2.5000000000000001E-2"/>
    <s v="113435"/>
    <d v="2024-09-09T00:00:00"/>
    <s v="MOTORCYCLE  COMPREHENSIVE"/>
    <n v="547000"/>
    <n v="1703.7"/>
    <n v="113.58"/>
    <n v="500"/>
  </r>
  <r>
    <s v="KHI/HO/D/MO/MC COMP/P/96920/09/2024"/>
    <m/>
    <x v="19"/>
    <s v="Punjab"/>
    <d v="2024-09-09T00:00:00"/>
    <d v="2025-09-09T00:00:00"/>
    <s v="ARKAB RAFIQUE DAR S/O M.RAFIQUE DAR"/>
    <s v="SUZUKI-GSX 125"/>
    <n v="12475"/>
    <n v="10323"/>
    <n v="2.5000000000000001E-2"/>
    <s v="23102444"/>
    <d v="2024-09-09T00:00:00"/>
    <s v="MOTORCYCLE  COMPREHENSIVE"/>
    <n v="499000"/>
    <n v="1548.45"/>
    <n v="103.23"/>
    <n v="500"/>
  </r>
  <r>
    <s v="KHI/HO/D/MO/MC COMP/P/96921/09/2024"/>
    <m/>
    <x v="19"/>
    <s v="Punjab"/>
    <d v="2024-09-09T00:00:00"/>
    <d v="2025-09-09T00:00:00"/>
    <s v="ABID HUSSAIN S/O BASHIR AHMED"/>
    <s v="SUZUKI-GSX 125"/>
    <n v="12475"/>
    <n v="10323"/>
    <n v="2.5000000000000001E-2"/>
    <s v="23102454"/>
    <d v="2024-09-09T00:00:00"/>
    <s v="MOTORCYCLE  COMPREHENSIVE"/>
    <n v="499000"/>
    <n v="1548.45"/>
    <n v="103.23"/>
    <n v="500"/>
  </r>
  <r>
    <s v="KHI/HO/D/MO/MC COMP/P/96922/09/2024"/>
    <m/>
    <x v="3"/>
    <s v="South"/>
    <d v="2024-09-09T00:00:00"/>
    <d v="2025-09-09T00:00:00"/>
    <s v="SOHAIL AHMAD"/>
    <s v="SUZUKI-GR150 EURO II"/>
    <n v="23248"/>
    <n v="19610"/>
    <n v="4.2500914076782449E-2"/>
    <s v="113650"/>
    <d v="2024-09-09T00:00:00"/>
    <s v="MOTORCYCLE  COMPREHENSIVE"/>
    <n v="547000"/>
    <n v="2941.5"/>
    <n v="196.1"/>
    <n v="500"/>
  </r>
  <r>
    <s v="KHI/HO/D/MO/MC COMP/P/96929/09/2024"/>
    <m/>
    <x v="3"/>
    <s v="South"/>
    <d v="2024-09-09T00:00:00"/>
    <d v="2025-09-09T00:00:00"/>
    <s v="SYED ABDUL QADIR"/>
    <s v="SUZUKI-GD-110S"/>
    <n v="14960"/>
    <n v="12466"/>
    <n v="4.2500000000000003E-2"/>
    <s v="147700"/>
    <d v="2024-09-09T00:00:00"/>
    <s v="MOTORCYCLE  COMPREHENSIVE"/>
    <n v="352000"/>
    <n v="1869.9"/>
    <n v="124.66"/>
    <n v="500"/>
  </r>
  <r>
    <s v="KHI/HO/D/MO/MC COMP/P/96931/09/2024"/>
    <m/>
    <x v="5"/>
    <s v="South"/>
    <d v="2024-09-09T00:00:00"/>
    <d v="2025-09-09T00:00:00"/>
    <s v="NAVEED TARIQ SIDDIQUI"/>
    <s v="SUZUKI-GS-150"/>
    <n v="16235"/>
    <n v="13565"/>
    <n v="4.2500000000000003E-2"/>
    <s v="30092802"/>
    <d v="2024-09-09T00:00:00"/>
    <s v="MOTORCYCLE  COMPREHENSIVE"/>
    <n v="382000"/>
    <n v="2034.75"/>
    <n v="135.65"/>
    <n v="500"/>
  </r>
  <r>
    <s v="KHI/HO/D/MO/MC COMP/P/96936/09/2024"/>
    <m/>
    <x v="20"/>
    <s v="Punjab"/>
    <d v="2024-09-09T00:00:00"/>
    <d v="2025-09-09T00:00:00"/>
    <s v="MUHAMMAD AKRAM"/>
    <s v="SUZUKI-GD-110S"/>
    <n v="8800"/>
    <n v="7155"/>
    <n v="2.5000000000000001E-2"/>
    <s v="145754"/>
    <d v="2024-09-09T00:00:00"/>
    <s v="MOTORCYCLE  COMPREHENSIVE"/>
    <n v="352000"/>
    <n v="1073.25"/>
    <n v="71.55"/>
    <n v="500"/>
  </r>
  <r>
    <s v="KHI/HO/D/MO/MC COMP/P/96938/09/2024"/>
    <m/>
    <x v="20"/>
    <s v="Punjab"/>
    <d v="2024-09-09T00:00:00"/>
    <d v="2025-09-09T00:00:00"/>
    <s v="ASAD IQBAL"/>
    <s v="SUZUKI-GD-110S"/>
    <n v="8800"/>
    <n v="7155"/>
    <n v="2.5000000000000001E-2"/>
    <s v="146454"/>
    <d v="2024-09-09T00:00:00"/>
    <s v="MOTORCYCLE  COMPREHENSIVE"/>
    <n v="352000"/>
    <n v="1073.25"/>
    <n v="71.55"/>
    <n v="500"/>
  </r>
  <r>
    <s v="KHI/HO/D/MO/MC COMP/P/96939/09/2024"/>
    <m/>
    <x v="20"/>
    <s v="Punjab"/>
    <d v="2024-09-09T00:00:00"/>
    <d v="2025-09-09T00:00:00"/>
    <s v="SYED SHAHROZ ALI HASSAN"/>
    <s v="SUZUKI-GR150 EURO II"/>
    <n v="13675"/>
    <n v="11358"/>
    <n v="2.5000000000000001E-2"/>
    <s v="113431"/>
    <d v="2024-09-09T00:00:00"/>
    <s v="MOTORCYCLE  COMPREHENSIVE"/>
    <n v="547000"/>
    <n v="1703.7"/>
    <n v="113.58"/>
    <n v="500"/>
  </r>
  <r>
    <s v="KHI/HO/D/MO/MC COMP/P/96940/09/2024"/>
    <m/>
    <x v="20"/>
    <s v="Punjab"/>
    <d v="2024-09-09T00:00:00"/>
    <d v="2025-09-09T00:00:00"/>
    <s v="IMRAN ULLAH"/>
    <s v="SUZUKI-GD-110S"/>
    <n v="8800"/>
    <n v="7155"/>
    <n v="2.5000000000000001E-2"/>
    <s v="146659"/>
    <d v="2024-09-09T00:00:00"/>
    <s v="MOTORCYCLE  COMPREHENSIVE"/>
    <n v="352000"/>
    <n v="1073.25"/>
    <n v="71.55"/>
    <n v="500"/>
  </r>
  <r>
    <s v="KHI/HO/D/MO/MC COMP/P/96941/09/2024"/>
    <m/>
    <x v="20"/>
    <s v="Punjab"/>
    <d v="2024-09-09T00:00:00"/>
    <d v="2025-09-09T00:00:00"/>
    <s v="HUMAIR MUKHTAR"/>
    <s v="SUZUKI-GSX 125"/>
    <n v="12475"/>
    <n v="10323"/>
    <n v="2.5000000000000001E-2"/>
    <s v="23102502"/>
    <d v="2024-09-09T00:00:00"/>
    <s v="MOTORCYCLE  COMPREHENSIVE"/>
    <n v="499000"/>
    <n v="1548.45"/>
    <n v="103.23"/>
    <n v="500"/>
  </r>
  <r>
    <s v="KHI/HO/D/MO/MC COMP/P/96942/09/2024"/>
    <m/>
    <x v="20"/>
    <s v="Punjab"/>
    <d v="2024-09-09T00:00:00"/>
    <d v="2025-09-09T00:00:00"/>
    <s v="MUHAMMAD ADNAN"/>
    <s v="SUZUKI-GD-110S"/>
    <n v="8800"/>
    <n v="7155"/>
    <n v="2.5000000000000001E-2"/>
    <s v="146651"/>
    <d v="2024-09-09T00:00:00"/>
    <s v="MOTORCYCLE  COMPREHENSIVE"/>
    <n v="352000"/>
    <n v="1073.25"/>
    <n v="71.55"/>
    <n v="500"/>
  </r>
  <r>
    <s v="KHI/HO/D/MO/MC COMP/P/96943/09/2024"/>
    <m/>
    <x v="20"/>
    <s v="Punjab"/>
    <d v="2024-09-09T00:00:00"/>
    <d v="2025-09-09T00:00:00"/>
    <s v="MUHAMMAD ALI ISLAM"/>
    <s v="SUZUKI-GD-110S"/>
    <n v="8800"/>
    <n v="7155"/>
    <n v="2.5000000000000001E-2"/>
    <s v="146427"/>
    <d v="2024-09-09T00:00:00"/>
    <s v="MOTORCYCLE  COMPREHENSIVE"/>
    <n v="352000"/>
    <n v="1073.25"/>
    <n v="71.55"/>
    <n v="500"/>
  </r>
  <r>
    <s v="KHI/HO/D/MO/MC COMP/P/96944/09/2024"/>
    <m/>
    <x v="13"/>
    <s v="Punjab"/>
    <d v="2024-09-09T00:00:00"/>
    <d v="2025-09-09T00:00:00"/>
    <s v="MUHAMMAD USMAN ZAFAR"/>
    <s v="SUZUKI-GSX 125"/>
    <n v="12475"/>
    <n v="10323"/>
    <n v="2.5000000000000001E-2"/>
    <s v="23102626"/>
    <d v="2024-09-09T00:00:00"/>
    <s v="MOTORCYCLE  COMPREHENSIVE"/>
    <n v="499000"/>
    <n v="1548.45"/>
    <n v="103.23"/>
    <n v="500"/>
  </r>
  <r>
    <s v="KHI/HO/D/MO/MC COMP/P/96947/09/2024"/>
    <m/>
    <x v="13"/>
    <s v="Punjab"/>
    <d v="2024-09-09T00:00:00"/>
    <d v="2025-09-09T00:00:00"/>
    <s v="MALIK RASHID ALI"/>
    <s v="SUZUKI-GS 150"/>
    <n v="9550"/>
    <n v="7802"/>
    <n v="2.5000000000000001E-2"/>
    <s v="30092740"/>
    <d v="2024-09-09T00:00:00"/>
    <s v="MOTORCYCLE  COMPREHENSIVE"/>
    <n v="382000"/>
    <n v="1170.3"/>
    <n v="78.02"/>
    <n v="500"/>
  </r>
  <r>
    <s v="KHI/HO/D/MO/MC COMP/P/96950/09/2024"/>
    <m/>
    <x v="21"/>
    <s v="Punjab"/>
    <d v="2024-09-09T00:00:00"/>
    <d v="2025-09-09T00:00:00"/>
    <s v="MUHAMMAD UMER FAROOQ BUTT"/>
    <s v="SUZUKI-GS 150"/>
    <n v="9550"/>
    <n v="7802"/>
    <n v="2.5000000000000001E-2"/>
    <s v="30092680"/>
    <d v="2024-09-09T00:00:00"/>
    <s v="MOTORCYCLE  COMPREHENSIVE"/>
    <n v="382000"/>
    <n v="1170.3"/>
    <n v="78.02"/>
    <n v="500"/>
  </r>
  <r>
    <s v="KHI/HO/D/MO/MC COMP/P/96951/09/2024"/>
    <m/>
    <x v="21"/>
    <s v="Punjab"/>
    <d v="2024-09-09T00:00:00"/>
    <d v="2025-09-09T00:00:00"/>
    <s v="MUZAMMIL FAROOQ"/>
    <s v="SUZUKI-GS 150"/>
    <n v="9550"/>
    <n v="7802"/>
    <n v="2.5000000000000001E-2"/>
    <s v="30092660"/>
    <d v="2024-09-09T00:00:00"/>
    <s v="MOTORCYCLE  COMPREHENSIVE"/>
    <n v="382000"/>
    <n v="1170.3"/>
    <n v="78.02"/>
    <n v="500"/>
  </r>
  <r>
    <s v="KHI/HO/D/MO/MC COMP/P/96953/09/2024"/>
    <m/>
    <x v="21"/>
    <s v="Punjab"/>
    <d v="2024-09-09T00:00:00"/>
    <d v="2025-09-09T00:00:00"/>
    <s v="WASIM IQBAL QURESHI"/>
    <s v="SUZUKI-GR150 EURO II"/>
    <n v="13675"/>
    <n v="11358"/>
    <n v="2.5000000000000001E-2"/>
    <s v="113612"/>
    <d v="2024-09-09T00:00:00"/>
    <s v="MOTORCYCLE  COMPREHENSIVE"/>
    <n v="547000"/>
    <n v="1703.7"/>
    <n v="113.58"/>
    <n v="500"/>
  </r>
  <r>
    <s v="KHI/HO/D/MO/MC COMP/P/96956/09/2024"/>
    <m/>
    <x v="21"/>
    <s v="Punjab"/>
    <d v="2024-09-09T00:00:00"/>
    <d v="2025-09-09T00:00:00"/>
    <s v="MUHAMMAD MOBEEN ASLAM"/>
    <s v="SUZUKI-GD-110S"/>
    <n v="8800"/>
    <n v="7155"/>
    <n v="2.5000000000000001E-2"/>
    <s v="147184"/>
    <d v="2024-09-09T00:00:00"/>
    <s v="MOTORCYCLE  COMPREHENSIVE"/>
    <n v="352000"/>
    <n v="1073.25"/>
    <n v="71.55"/>
    <n v="500"/>
  </r>
  <r>
    <s v="KHI/HO/D/MO/MC COMP/P/96969/09/2024"/>
    <m/>
    <x v="5"/>
    <s v="South"/>
    <d v="2024-09-09T00:00:00"/>
    <d v="2025-09-09T00:00:00"/>
    <s v="HASNAIN HUSSIAN"/>
    <s v="SUZUKI-GS-150"/>
    <n v="16235"/>
    <n v="13565"/>
    <n v="4.2500000000000003E-2"/>
    <s v="30092820"/>
    <d v="2024-09-09T00:00:00"/>
    <s v="MOTORCYCLE  COMPREHENSIVE"/>
    <n v="382000"/>
    <n v="2034.75"/>
    <n v="135.65"/>
    <n v="500"/>
  </r>
  <r>
    <s v="KHI/HO/D/MO/MC COMP/P/96970/09/2024"/>
    <m/>
    <x v="5"/>
    <s v="South"/>
    <d v="2025-09-10T00:00:00"/>
    <d v="2026-09-10T00:00:00"/>
    <s v="HASNAIN HUSSIAN"/>
    <s v="SUZUKI-GS-150"/>
    <n v="16235"/>
    <n v="13565"/>
    <n v="4.2500000000000003E-2"/>
    <s v="30092820"/>
    <d v="2024-09-09T00:00:00"/>
    <s v="MOTORCYCLE  COMPREHENSIVE"/>
    <n v="382000"/>
    <n v="2034.75"/>
    <n v="135.65"/>
    <n v="500"/>
  </r>
  <r>
    <s v="KHI/HO/D/MO/MC COMP/P/96972/09/2024"/>
    <m/>
    <x v="5"/>
    <s v="South"/>
    <d v="2024-09-09T00:00:00"/>
    <d v="2025-09-09T00:00:00"/>
    <s v="MUHAMMAD SHAFI"/>
    <s v="SUZUKI-GD-110S"/>
    <n v="14960"/>
    <n v="12466"/>
    <n v="4.2500000000000003E-2"/>
    <s v="147956"/>
    <d v="2024-09-09T00:00:00"/>
    <s v="MOTORCYCLE  COMPREHENSIVE"/>
    <n v="352000"/>
    <n v="1869.9"/>
    <n v="124.66"/>
    <n v="500"/>
  </r>
  <r>
    <s v="KHI/HO/D/MO/MC COMP/P/96973/09/2024"/>
    <m/>
    <x v="5"/>
    <s v="South"/>
    <d v="2025-09-10T00:00:00"/>
    <d v="2026-09-10T00:00:00"/>
    <s v="MUHAMMAD SHAFI"/>
    <s v="SUZUKI-GD-110S"/>
    <n v="14960"/>
    <n v="12466"/>
    <n v="4.2500000000000003E-2"/>
    <s v="147956"/>
    <d v="2024-09-09T00:00:00"/>
    <s v="MOTORCYCLE  COMPREHENSIVE"/>
    <n v="352000"/>
    <n v="1869.9"/>
    <n v="124.66"/>
    <n v="500"/>
  </r>
  <r>
    <s v="KHI/HO/D/MO/MC COMP/P/96974/09/2024"/>
    <m/>
    <x v="5"/>
    <s v="South"/>
    <d v="2024-09-09T00:00:00"/>
    <d v="2025-09-09T00:00:00"/>
    <s v="ASIM AZIZ BAIG"/>
    <s v="SUZUKI-GD-110S"/>
    <n v="14960"/>
    <n v="12466"/>
    <n v="4.2500000000000003E-2"/>
    <s v="147961"/>
    <d v="2024-09-09T00:00:00"/>
    <s v="MOTORCYCLE  COMPREHENSIVE"/>
    <n v="352000"/>
    <n v="1869.9"/>
    <n v="124.66"/>
    <n v="500"/>
  </r>
  <r>
    <s v="KHI/HO/D/MO/MC COMP/P/96985/09/2024"/>
    <m/>
    <x v="5"/>
    <s v="South"/>
    <d v="2024-09-09T00:00:00"/>
    <d v="2025-09-09T00:00:00"/>
    <s v="AHSAN ASLAM"/>
    <s v="SUZUKI-GR150 EURO II"/>
    <n v="23248"/>
    <n v="19610"/>
    <n v="4.2500914076782449E-2"/>
    <s v="113506"/>
    <d v="2024-09-09T00:00:00"/>
    <s v="MOTORCYCLE  COMPREHENSIVE"/>
    <n v="547000"/>
    <n v="2941.5"/>
    <n v="196.1"/>
    <n v="500"/>
  </r>
  <r>
    <s v="KHI/HO/D/MO/MC COMP/P/96988/09/2024"/>
    <m/>
    <x v="5"/>
    <s v="South"/>
    <d v="2024-09-09T00:00:00"/>
    <d v="2025-09-09T00:00:00"/>
    <s v="DANISH HUSSAIN MEMON"/>
    <s v="SUZUKI-GD-110S"/>
    <n v="14960"/>
    <n v="12466"/>
    <n v="4.2500000000000003E-2"/>
    <s v="146901"/>
    <d v="2024-09-09T00:00:00"/>
    <s v="MOTORCYCLE  COMPREHENSIVE"/>
    <n v="352000"/>
    <n v="1869.9"/>
    <n v="124.66"/>
    <n v="500"/>
  </r>
  <r>
    <s v="KHI/HO/D/MO/MC COMP/P/96989/09/2024"/>
    <m/>
    <x v="5"/>
    <s v="South"/>
    <d v="2025-09-10T00:00:00"/>
    <d v="2026-09-10T00:00:00"/>
    <s v="DANISH HUSSAIN MEMON"/>
    <s v="SUZUKI-GD-110S"/>
    <n v="14960"/>
    <n v="12466"/>
    <n v="4.2500000000000003E-2"/>
    <s v="146901"/>
    <d v="2024-09-09T00:00:00"/>
    <s v="MOTORCYCLE  COMPREHENSIVE"/>
    <n v="352000"/>
    <n v="1869.9"/>
    <n v="124.66"/>
    <n v="500"/>
  </r>
  <r>
    <s v="KHI/HO/D/MO/MC COMP/P/97006/09/2024"/>
    <m/>
    <x v="0"/>
    <s v="Punjab"/>
    <d v="2024-09-10T00:00:00"/>
    <d v="2025-09-10T00:00:00"/>
    <s v="MUHAMMAD TASLEEM"/>
    <s v="SUZUKI-GD-110S"/>
    <n v="8800"/>
    <n v="7155"/>
    <n v="2.5000000000000001E-2"/>
    <s v="147644"/>
    <d v="2024-09-10T00:00:00"/>
    <s v="MOTORCYCLE  COMPREHENSIVE"/>
    <n v="352000"/>
    <n v="1073.25"/>
    <n v="71.55"/>
    <n v="500"/>
  </r>
  <r>
    <s v="KHI/HO/D/MO/MC COMP/P/97008/09/2024"/>
    <m/>
    <x v="6"/>
    <s v="South"/>
    <d v="2024-09-10T00:00:00"/>
    <d v="2025-09-10T00:00:00"/>
    <s v="ABDULLAH"/>
    <s v="SUZUKI-GR150 EURO II"/>
    <n v="23248"/>
    <n v="19610"/>
    <n v="4.2500914076782449E-2"/>
    <s v="113634"/>
    <d v="2024-09-10T00:00:00"/>
    <s v="MOTORCYCLE  COMPREHENSIVE"/>
    <n v="547000"/>
    <n v="2941.5"/>
    <n v="196.1"/>
    <n v="500"/>
  </r>
  <r>
    <s v="KHI/HO/D/MO/MC COMP/P/97009/09/2024"/>
    <m/>
    <x v="6"/>
    <s v="South"/>
    <d v="2025-09-11T00:00:00"/>
    <d v="2026-09-11T00:00:00"/>
    <s v="ABDULLAH"/>
    <s v="SUZUKI-GR150 EURO II"/>
    <n v="23248"/>
    <n v="19610"/>
    <n v="4.2500914076782449E-2"/>
    <s v="113634"/>
    <d v="2024-09-10T00:00:00"/>
    <s v="MOTORCYCLE  COMPREHENSIVE"/>
    <n v="547000"/>
    <n v="2941.5"/>
    <n v="196.1"/>
    <n v="500"/>
  </r>
  <r>
    <s v="KHI/HO/D/MO/MC COMP/P/97010/09/2024"/>
    <m/>
    <x v="0"/>
    <s v="Punjab"/>
    <d v="2024-09-10T00:00:00"/>
    <d v="2025-09-10T00:00:00"/>
    <s v="JAMEEL AHMED"/>
    <s v="SUZUKI-GD-110S"/>
    <n v="8800"/>
    <n v="7155"/>
    <n v="2.5000000000000001E-2"/>
    <s v="147952"/>
    <d v="2024-09-10T00:00:00"/>
    <s v="MOTORCYCLE  COMPREHENSIVE"/>
    <n v="352000"/>
    <n v="1073.25"/>
    <n v="71.55"/>
    <n v="500"/>
  </r>
  <r>
    <s v="KHI/HO/D/MO/MC COMP/P/97016/09/2024"/>
    <m/>
    <x v="1"/>
    <s v="South"/>
    <d v="2024-09-10T00:00:00"/>
    <d v="2025-09-10T00:00:00"/>
    <s v="DANISH AHMED"/>
    <s v="SUZUKI-GR150 EURO II"/>
    <n v="23248"/>
    <n v="19610"/>
    <n v="4.2500914076782449E-2"/>
    <s v="113685"/>
    <d v="2024-09-10T00:00:00"/>
    <s v="MOTORCYCLE  COMPREHENSIVE"/>
    <n v="547000"/>
    <n v="2941.5"/>
    <n v="196.1"/>
    <n v="500"/>
  </r>
  <r>
    <s v="KHI/HO/D/MO/MC COMP/P/97023/09/2024"/>
    <m/>
    <x v="5"/>
    <s v="South"/>
    <d v="2024-09-10T00:00:00"/>
    <d v="2025-09-10T00:00:00"/>
    <s v="ABDULLAH BILAL"/>
    <s v="SUZUKI-GD-110S"/>
    <n v="14960"/>
    <n v="12466"/>
    <n v="4.2500000000000003E-2"/>
    <s v="147813"/>
    <d v="2024-09-10T00:00:00"/>
    <s v="MOTORCYCLE  COMPREHENSIVE"/>
    <n v="352000"/>
    <n v="1869.9"/>
    <n v="124.66"/>
    <n v="500"/>
  </r>
  <r>
    <s v="KHI/HO/D/MO/MC COMP/P/97024/09/2024"/>
    <m/>
    <x v="5"/>
    <s v="South"/>
    <d v="2025-09-11T00:00:00"/>
    <d v="2026-09-11T00:00:00"/>
    <s v="ABDULLAH BILAL"/>
    <s v="SUZUKI-GD-110S"/>
    <n v="14960"/>
    <n v="12466"/>
    <n v="4.2500000000000003E-2"/>
    <s v="147813"/>
    <d v="2024-09-10T00:00:00"/>
    <s v="MOTORCYCLE  COMPREHENSIVE"/>
    <n v="352000"/>
    <n v="1869.9"/>
    <n v="124.66"/>
    <n v="500"/>
  </r>
  <r>
    <s v="KHI/HO/D/MO/MC COMP/P/97025/09/2024"/>
    <m/>
    <x v="5"/>
    <s v="South"/>
    <d v="2024-09-10T00:00:00"/>
    <d v="2025-09-10T00:00:00"/>
    <s v="FARRUKH KHAN"/>
    <s v="SUZUKI-GS 150"/>
    <n v="16235"/>
    <n v="13565"/>
    <n v="4.2500000000000003E-2"/>
    <s v="30092840"/>
    <d v="2024-09-10T00:00:00"/>
    <s v="MOTORCYCLE  COMPREHENSIVE"/>
    <n v="382000"/>
    <n v="2034.75"/>
    <n v="135.65"/>
    <n v="500"/>
  </r>
  <r>
    <s v="KHI/HO/D/MO/MC COMP/P/97026/09/2024"/>
    <m/>
    <x v="5"/>
    <s v="South"/>
    <d v="2025-09-11T00:00:00"/>
    <d v="2026-09-11T00:00:00"/>
    <s v="FARRUKH KHAN"/>
    <s v="SUZUKI-GS 150"/>
    <n v="16235"/>
    <n v="13565"/>
    <n v="4.2500000000000003E-2"/>
    <s v="30092840"/>
    <d v="2024-09-10T00:00:00"/>
    <s v="MOTORCYCLE  COMPREHENSIVE"/>
    <n v="382000"/>
    <n v="2034.75"/>
    <n v="135.65"/>
    <n v="500"/>
  </r>
  <r>
    <s v="KHI/HO/D/MO/MC COMP/P/97027/09/2024"/>
    <m/>
    <x v="5"/>
    <s v="South"/>
    <d v="2024-09-10T00:00:00"/>
    <d v="2025-09-10T00:00:00"/>
    <s v="FAKHAR ZAMAN"/>
    <s v="SUZUKI-GS 150"/>
    <n v="16235"/>
    <n v="13565"/>
    <n v="4.2500000000000003E-2"/>
    <s v="30092806"/>
    <d v="2024-09-10T00:00:00"/>
    <s v="MOTORCYCLE  COMPREHENSIVE"/>
    <n v="382000"/>
    <n v="2034.75"/>
    <n v="135.65"/>
    <n v="500"/>
  </r>
  <r>
    <s v="KHI/HO/D/MO/MC COMP/P/97028/09/2024"/>
    <m/>
    <x v="5"/>
    <s v="South"/>
    <d v="2025-09-11T00:00:00"/>
    <d v="2026-09-11T00:00:00"/>
    <s v="FAKHAR ZAMAN"/>
    <s v="SUZUKI-GS 150"/>
    <n v="16235"/>
    <n v="13565"/>
    <n v="4.2500000000000003E-2"/>
    <s v="30092806"/>
    <d v="2024-09-10T00:00:00"/>
    <s v="MOTORCYCLE  COMPREHENSIVE"/>
    <n v="382000"/>
    <n v="2034.75"/>
    <n v="135.65"/>
    <n v="500"/>
  </r>
  <r>
    <s v="KHI/HO/D/MO/MC COMP/P/97029/09/2024"/>
    <m/>
    <x v="6"/>
    <s v="South"/>
    <d v="2024-09-10T00:00:00"/>
    <d v="2025-09-10T00:00:00"/>
    <s v="MUHAMMAD UMAIR"/>
    <s v="SUZUKI-GR150 EURO II"/>
    <n v="23248"/>
    <n v="19610"/>
    <n v="4.2500914076782449E-2"/>
    <s v="113704"/>
    <d v="2024-09-10T00:00:00"/>
    <s v="MOTORCYCLE  COMPREHENSIVE"/>
    <n v="547000"/>
    <n v="2941.5"/>
    <n v="196.1"/>
    <n v="500"/>
  </r>
  <r>
    <s v="KHI/HO/D/MO/MC COMP/P/97030/09/2024"/>
    <m/>
    <x v="5"/>
    <s v="South"/>
    <d v="2024-09-10T00:00:00"/>
    <d v="2025-09-10T00:00:00"/>
    <s v="SYED FURQUAN AKHTAR"/>
    <s v="SUZUKI-GS 150"/>
    <n v="16235"/>
    <n v="13565"/>
    <n v="4.2500000000000003E-2"/>
    <s v="30092823"/>
    <d v="2024-09-10T00:00:00"/>
    <s v="MOTORCYCLE  COMPREHENSIVE"/>
    <n v="382000"/>
    <n v="2034.75"/>
    <n v="135.65"/>
    <n v="500"/>
  </r>
  <r>
    <s v="KHI/HO/D/MO/MC COMP/P/97031/09/2024"/>
    <m/>
    <x v="5"/>
    <s v="South"/>
    <d v="2024-09-10T00:00:00"/>
    <d v="2025-09-10T00:00:00"/>
    <s v="MUHAMMAD AMEER HAMZA"/>
    <s v="SUZUKI-GD-110S"/>
    <n v="14960"/>
    <n v="12466"/>
    <n v="4.2500000000000003E-2"/>
    <s v="147825"/>
    <d v="2024-09-10T00:00:00"/>
    <s v="MOTORCYCLE  COMPREHENSIVE"/>
    <n v="352000"/>
    <n v="1869.9"/>
    <n v="124.66"/>
    <n v="500"/>
  </r>
  <r>
    <s v="KHI/HO/D/MO/MC COMP/P/97034/09/2024"/>
    <m/>
    <x v="5"/>
    <s v="South"/>
    <d v="2024-09-10T00:00:00"/>
    <d v="2025-09-10T00:00:00"/>
    <s v="ASGHAR KHAN"/>
    <s v="SUZUKI-GSX 125"/>
    <n v="21208"/>
    <n v="17852"/>
    <n v="4.2501002004008019E-2"/>
    <s v="23102563"/>
    <d v="2024-09-10T00:00:00"/>
    <s v="MOTORCYCLE  COMPREHENSIVE"/>
    <n v="499000"/>
    <n v="2677.8"/>
    <n v="178.52"/>
    <n v="500"/>
  </r>
  <r>
    <s v="KHI/HO/D/MO/MC COMP/P/97035/09/2024"/>
    <m/>
    <x v="5"/>
    <s v="South"/>
    <d v="2025-09-11T00:00:00"/>
    <d v="2026-09-11T00:00:00"/>
    <s v="ASGHAR KHAN"/>
    <s v="SUZUKI-GSX 125"/>
    <n v="21208"/>
    <n v="17852"/>
    <n v="4.2501002004008019E-2"/>
    <s v="23102563"/>
    <d v="2024-09-10T00:00:00"/>
    <s v="MOTORCYCLE  COMPREHENSIVE"/>
    <n v="499000"/>
    <n v="2677.8"/>
    <n v="178.52"/>
    <n v="500"/>
  </r>
  <r>
    <s v="KHI/HO/D/MO/MC COMP/P/97039/09/2024"/>
    <m/>
    <x v="5"/>
    <s v="South"/>
    <d v="2024-09-10T00:00:00"/>
    <d v="2025-09-10T00:00:00"/>
    <s v="SYED AZEEM QADRI"/>
    <s v="SUZUKI-GS 150"/>
    <n v="16235"/>
    <n v="13565"/>
    <n v="4.2500000000000003E-2"/>
    <s v="30092804"/>
    <d v="2024-09-10T00:00:00"/>
    <s v="MOTORCYCLE  COMPREHENSIVE"/>
    <n v="382000"/>
    <n v="2034.75"/>
    <n v="135.65"/>
    <n v="500"/>
  </r>
  <r>
    <s v="KHI/HO/D/MO/MC COMP/P/97043/09/2024"/>
    <m/>
    <x v="3"/>
    <s v="South"/>
    <d v="2024-09-10T00:00:00"/>
    <d v="2025-09-10T00:00:00"/>
    <s v="MUHAMMAD TEHAMI"/>
    <s v="SUZUKI-GD-110S"/>
    <n v="14960"/>
    <n v="12466"/>
    <n v="4.2500000000000003E-2"/>
    <s v="148070"/>
    <d v="2024-09-10T00:00:00"/>
    <s v="MOTORCYCLE  COMPREHENSIVE"/>
    <n v="352000"/>
    <n v="1869.9"/>
    <n v="124.66"/>
    <n v="500"/>
  </r>
  <r>
    <s v="KHI/HO/D/MO/MC COMP/P/97044/09/2024"/>
    <m/>
    <x v="3"/>
    <s v="South"/>
    <d v="2025-09-11T00:00:00"/>
    <d v="2026-09-11T00:00:00"/>
    <s v="MUHAMMAD TEHAMI"/>
    <s v="SUZUKI-GD-110S"/>
    <n v="14960"/>
    <n v="12466"/>
    <n v="4.2500000000000003E-2"/>
    <s v="148070"/>
    <d v="2024-09-10T00:00:00"/>
    <s v="MOTORCYCLE  COMPREHENSIVE"/>
    <n v="352000"/>
    <n v="1869.9"/>
    <n v="124.66"/>
    <n v="500"/>
  </r>
  <r>
    <s v="KHI/HO/D/MO/MC COMP/P/97049/09/2024"/>
    <m/>
    <x v="9"/>
    <s v="Punjab"/>
    <d v="2024-09-10T00:00:00"/>
    <d v="2025-09-10T00:00:00"/>
    <s v="Arslan Munawer"/>
    <s v="SUZUKI-GD-110S"/>
    <n v="8800"/>
    <n v="7155"/>
    <n v="2.5000000000000001E-2"/>
    <s v="144341"/>
    <d v="2024-09-10T00:00:00"/>
    <s v="MOTORCYCLE  COMPREHENSIVE"/>
    <n v="352000"/>
    <n v="1073.25"/>
    <n v="71.55"/>
    <n v="500"/>
  </r>
  <r>
    <s v="KHI/HO/D/MO/MC COMP/P/97051/09/2024"/>
    <m/>
    <x v="0"/>
    <s v="Punjab"/>
    <d v="2024-09-10T00:00:00"/>
    <d v="2025-09-10T00:00:00"/>
    <s v="EHSAN UL HAQ"/>
    <s v="SUZUKI-GD-110S"/>
    <n v="8800"/>
    <n v="7155"/>
    <n v="2.5000000000000001E-2"/>
    <s v="147944"/>
    <d v="2024-09-10T00:00:00"/>
    <s v="MOTORCYCLE  COMPREHENSIVE"/>
    <n v="352000"/>
    <n v="1073.25"/>
    <n v="71.55"/>
    <n v="500"/>
  </r>
  <r>
    <s v="KHI/HO/D/MO/MC COMP/P/97053/09/2024"/>
    <m/>
    <x v="6"/>
    <s v="South"/>
    <d v="2024-09-10T00:00:00"/>
    <d v="2025-09-10T00:00:00"/>
    <s v="TEHREEM FATIMA"/>
    <s v="SUZUKI-GS 150"/>
    <n v="16235"/>
    <n v="13565"/>
    <n v="4.2500000000000003E-2"/>
    <s v="30092923"/>
    <d v="2024-09-10T00:00:00"/>
    <s v="MOTORCYCLE  COMPREHENSIVE"/>
    <n v="382000"/>
    <n v="2034.75"/>
    <n v="135.65"/>
    <n v="500"/>
  </r>
  <r>
    <s v="KHI/HO/D/MO/MC COMP/P/97054/09/2024"/>
    <m/>
    <x v="6"/>
    <s v="South"/>
    <d v="2025-09-11T00:00:00"/>
    <d v="2026-09-11T00:00:00"/>
    <s v="TEHREEM FATIMA"/>
    <s v="SUZUKI-GS 150"/>
    <n v="16235"/>
    <n v="13565"/>
    <n v="4.2500000000000003E-2"/>
    <s v="30092923"/>
    <d v="2024-09-10T00:00:00"/>
    <s v="MOTORCYCLE  COMPREHENSIVE"/>
    <n v="382000"/>
    <n v="2034.75"/>
    <n v="135.65"/>
    <n v="500"/>
  </r>
  <r>
    <s v="KHI/HO/D/MO/MC COMP/P/97057/09/2024"/>
    <m/>
    <x v="3"/>
    <s v="South"/>
    <d v="2024-09-10T00:00:00"/>
    <d v="2025-09-10T00:00:00"/>
    <s v="ADAM KHAN"/>
    <s v="SUZUKI-GR150 EURO II"/>
    <n v="23248"/>
    <n v="19610"/>
    <n v="4.2500914076782449E-2"/>
    <s v="113628"/>
    <d v="2024-09-10T00:00:00"/>
    <s v="MOTORCYCLE  COMPREHENSIVE"/>
    <n v="547000"/>
    <n v="2941.5"/>
    <n v="196.1"/>
    <n v="500"/>
  </r>
  <r>
    <s v="KHI/HO/D/MO/MC COMP/P/97058/09/2024"/>
    <m/>
    <x v="3"/>
    <s v="South"/>
    <d v="2025-09-11T00:00:00"/>
    <d v="2026-09-11T00:00:00"/>
    <s v="ADAM KHAN"/>
    <s v="SUZUKI-GR150 EURO II"/>
    <n v="23248"/>
    <n v="19610"/>
    <n v="4.2500914076782449E-2"/>
    <s v="113628"/>
    <d v="2024-09-10T00:00:00"/>
    <s v="MOTORCYCLE  COMPREHENSIVE"/>
    <n v="547000"/>
    <n v="2941.5"/>
    <n v="196.1"/>
    <n v="500"/>
  </r>
  <r>
    <s v="KHI/HO/D/MO/MC COMP/P/97064/09/2024"/>
    <m/>
    <x v="3"/>
    <s v="South"/>
    <d v="2024-09-10T00:00:00"/>
    <d v="2025-09-10T00:00:00"/>
    <s v="NASEEB ULLAH"/>
    <s v="SUZUKI-GD-110S"/>
    <n v="14960"/>
    <n v="12466"/>
    <n v="4.2500000000000003E-2"/>
    <s v="148064"/>
    <d v="2024-09-10T00:00:00"/>
    <s v="MOTORCYCLE  COMPREHENSIVE"/>
    <n v="352000"/>
    <n v="1869.9"/>
    <n v="124.66"/>
    <n v="500"/>
  </r>
  <r>
    <s v="KHI/HO/D/MO/MC COMP/P/97065/09/2024"/>
    <m/>
    <x v="3"/>
    <s v="South"/>
    <d v="2025-09-11T00:00:00"/>
    <d v="2026-09-11T00:00:00"/>
    <s v="NASEEB ULLAH"/>
    <s v="SUZUKI-GD-110S"/>
    <n v="14960"/>
    <n v="12466"/>
    <n v="4.2500000000000003E-2"/>
    <s v="148064"/>
    <d v="2024-09-10T00:00:00"/>
    <s v="MOTORCYCLE  COMPREHENSIVE"/>
    <n v="352000"/>
    <n v="1869.9"/>
    <n v="124.66"/>
    <n v="500"/>
  </r>
  <r>
    <s v="KHI/HO/D/MO/MC COMP/P/97066/09/2024"/>
    <m/>
    <x v="9"/>
    <s v="Punjab"/>
    <d v="2024-09-10T00:00:00"/>
    <d v="2025-09-10T00:00:00"/>
    <s v="Mudasir Riaz"/>
    <s v="SUZUKI-GD-110S"/>
    <n v="8800"/>
    <n v="7155"/>
    <n v="2.5000000000000001E-2"/>
    <s v="143743"/>
    <d v="2024-09-10T00:00:00"/>
    <s v="MOTORCYCLE  COMPREHENSIVE"/>
    <n v="352000"/>
    <n v="1073.25"/>
    <n v="71.55"/>
    <n v="500"/>
  </r>
  <r>
    <s v="KHI/HO/D/MO/MC COMP/P/97069/09/2024"/>
    <m/>
    <x v="9"/>
    <s v="Punjab"/>
    <d v="2024-09-10T00:00:00"/>
    <d v="2025-09-10T00:00:00"/>
    <s v="Aneeq Ahmad"/>
    <s v="SUZUKI-GS 150"/>
    <n v="9550"/>
    <n v="7802"/>
    <n v="2.5000000000000001E-2"/>
    <s v="30091815"/>
    <d v="2024-09-10T00:00:00"/>
    <s v="MOTORCYCLE  COMPREHENSIVE"/>
    <n v="382000"/>
    <n v="1170.3"/>
    <n v="78.02"/>
    <n v="500"/>
  </r>
  <r>
    <s v="KHI/HO/D/MO/MC COMP/P/97073/09/2024"/>
    <m/>
    <x v="9"/>
    <s v="Punjab"/>
    <d v="2024-09-10T00:00:00"/>
    <d v="2025-09-10T00:00:00"/>
    <s v="Ali Raza"/>
    <s v="SUZUKI-GD-110S"/>
    <n v="8800"/>
    <n v="7155"/>
    <n v="2.5000000000000001E-2"/>
    <s v="146736"/>
    <d v="2024-09-10T00:00:00"/>
    <s v="MOTORCYCLE  COMPREHENSIVE"/>
    <n v="352000"/>
    <n v="1073.25"/>
    <n v="71.55"/>
    <n v="500"/>
  </r>
  <r>
    <s v="KHI/HO/D/MO/MC COMP/P/97076/09/2024"/>
    <m/>
    <x v="9"/>
    <s v="Punjab"/>
    <d v="2024-09-10T00:00:00"/>
    <d v="2025-09-10T00:00:00"/>
    <s v="Ali RAza"/>
    <s v="SUZUKI-GD-110S"/>
    <n v="8800"/>
    <n v="7155"/>
    <n v="2.5000000000000001E-2"/>
    <s v="146123"/>
    <d v="2024-09-10T00:00:00"/>
    <s v="MOTORCYCLE  COMPREHENSIVE"/>
    <n v="352000"/>
    <n v="1073.25"/>
    <n v="71.55"/>
    <n v="500"/>
  </r>
  <r>
    <s v="KHI/HO/D/MO/MC COMP/P/97077/09/2024"/>
    <m/>
    <x v="7"/>
    <s v="South"/>
    <d v="2024-09-10T00:00:00"/>
    <d v="2025-09-10T00:00:00"/>
    <s v="FAREED AHMED KHAN"/>
    <s v="SUZUKI-GD-110S"/>
    <n v="14960"/>
    <n v="12466"/>
    <n v="4.2500000000000003E-2"/>
    <s v="147830"/>
    <d v="2024-09-10T00:00:00"/>
    <s v="MOTORCYCLE  COMPREHENSIVE"/>
    <n v="352000"/>
    <n v="1869.9"/>
    <n v="124.66"/>
    <n v="500"/>
  </r>
  <r>
    <s v="KHI/HO/D/MO/MC COMP/P/97078/09/2024"/>
    <m/>
    <x v="7"/>
    <s v="South"/>
    <d v="2025-09-11T00:00:00"/>
    <d v="2026-09-11T00:00:00"/>
    <s v="FAREED AHMED KHAN"/>
    <s v="SUZUKI-GD-110S"/>
    <n v="14960"/>
    <n v="12466"/>
    <n v="4.2500000000000003E-2"/>
    <s v="147830"/>
    <d v="2024-09-10T00:00:00"/>
    <s v="MOTORCYCLE  COMPREHENSIVE"/>
    <n v="352000"/>
    <n v="1869.9"/>
    <n v="124.66"/>
    <n v="500"/>
  </r>
  <r>
    <s v="KHI/HO/D/MO/MC COMP/P/97081/09/2024"/>
    <m/>
    <x v="3"/>
    <s v="South"/>
    <d v="2024-09-10T00:00:00"/>
    <d v="2025-09-10T00:00:00"/>
    <s v="MUHAMMAD YOUNUS SOLANKI"/>
    <s v="SUZUKI-GD-110S"/>
    <n v="14960"/>
    <n v="12466"/>
    <n v="4.2500000000000003E-2"/>
    <s v="148035"/>
    <d v="2024-09-10T00:00:00"/>
    <s v="MOTORCYCLE  COMPREHENSIVE"/>
    <n v="352000"/>
    <n v="1869.9"/>
    <n v="124.66"/>
    <n v="500"/>
  </r>
  <r>
    <s v="KHI/HO/D/MO/MC COMP/P/97083/09/2024"/>
    <m/>
    <x v="5"/>
    <s v="South"/>
    <d v="2024-09-10T00:00:00"/>
    <d v="2025-09-10T00:00:00"/>
    <s v="OWAIS MUHAMMAD NAZEER BUTT"/>
    <s v="SUZUKI-GR150 EURO II"/>
    <n v="23248"/>
    <n v="19610"/>
    <n v="4.2500914076782449E-2"/>
    <s v="113706"/>
    <d v="2024-09-10T00:00:00"/>
    <s v="MOTORCYCLE  COMPREHENSIVE"/>
    <n v="547000"/>
    <n v="2941.5"/>
    <n v="196.1"/>
    <n v="500"/>
  </r>
  <r>
    <s v="KHI/HO/D/MO/MC COMP/P/97084/09/2024"/>
    <m/>
    <x v="5"/>
    <s v="South"/>
    <d v="2025-09-11T00:00:00"/>
    <d v="2026-09-11T00:00:00"/>
    <s v="OWAIS MUHAMMAD NAZEER BUTT"/>
    <s v="SUZUKI-GR150 EURO II"/>
    <n v="23248"/>
    <n v="19610"/>
    <n v="4.2500914076782449E-2"/>
    <s v="113706"/>
    <d v="2024-09-10T00:00:00"/>
    <s v="MOTORCYCLE  COMPREHENSIVE"/>
    <n v="547000"/>
    <n v="2941.5"/>
    <n v="196.1"/>
    <n v="500"/>
  </r>
  <r>
    <s v="KHI/HO/D/MO/MC COMP/P/97085/09/2024"/>
    <m/>
    <x v="5"/>
    <s v="South"/>
    <d v="2024-09-10T00:00:00"/>
    <d v="2025-09-10T00:00:00"/>
    <s v="MUHAMMAD ASIF"/>
    <s v="SUZUKI-GS 150"/>
    <n v="16235"/>
    <n v="13565"/>
    <n v="4.2500000000000003E-2"/>
    <s v="30092808"/>
    <d v="2024-09-10T00:00:00"/>
    <s v="MOTORCYCLE  COMPREHENSIVE"/>
    <n v="382000"/>
    <n v="2034.75"/>
    <n v="135.65"/>
    <n v="500"/>
  </r>
  <r>
    <s v="KHI/HO/D/MO/MC COMP/P/97086/09/2024"/>
    <m/>
    <x v="5"/>
    <s v="South"/>
    <d v="2025-09-11T00:00:00"/>
    <d v="2026-09-11T00:00:00"/>
    <s v="MUHAMMAD ASIF"/>
    <s v="SUZUKI-GS 150"/>
    <n v="16235"/>
    <n v="13565"/>
    <n v="4.2500000000000003E-2"/>
    <s v="30092808"/>
    <d v="2024-09-10T00:00:00"/>
    <s v="MOTORCYCLE  COMPREHENSIVE"/>
    <n v="382000"/>
    <n v="2034.75"/>
    <n v="135.65"/>
    <n v="500"/>
  </r>
  <r>
    <s v="KHI/HO/D/MO/MC COMP/P/97087/09/2024"/>
    <m/>
    <x v="3"/>
    <s v="South"/>
    <d v="2024-09-10T00:00:00"/>
    <d v="2025-09-10T00:00:00"/>
    <s v="ABDUL REHMAN"/>
    <s v="SUZUKI-GD-110S"/>
    <n v="14960"/>
    <n v="12466"/>
    <n v="4.2500000000000003E-2"/>
    <s v="147699"/>
    <d v="2024-09-10T00:00:00"/>
    <s v="MOTORCYCLE  COMPREHENSIVE"/>
    <n v="352000"/>
    <n v="1869.9"/>
    <n v="124.66"/>
    <n v="500"/>
  </r>
  <r>
    <s v="KHI/HO/D/MO/MC COMP/P/97090/09/2024"/>
    <m/>
    <x v="12"/>
    <s v="Punjab"/>
    <d v="2024-09-10T00:00:00"/>
    <d v="2025-09-10T00:00:00"/>
    <s v="UMAR FAROOQ"/>
    <s v="SUZUKI-GD-110S"/>
    <n v="8800"/>
    <n v="7155"/>
    <n v="2.5000000000000001E-2"/>
    <s v="147484"/>
    <d v="2024-09-10T00:00:00"/>
    <s v="MOTORCYCLE  COMPREHENSIVE"/>
    <n v="352000"/>
    <n v="1073.25"/>
    <n v="71.55"/>
    <n v="500"/>
  </r>
  <r>
    <s v="KHI/HO/D/MO/MC COMP/P/97091/09/2024"/>
    <m/>
    <x v="12"/>
    <s v="Punjab"/>
    <d v="2024-09-10T00:00:00"/>
    <d v="2025-09-10T00:00:00"/>
    <s v="HAFIZ ABDUL REHMAN"/>
    <s v="SUZUKI-GD-110S"/>
    <n v="8800"/>
    <n v="7155"/>
    <n v="2.5000000000000001E-2"/>
    <s v="147202"/>
    <d v="2024-09-10T00:00:00"/>
    <s v="MOTORCYCLE  COMPREHENSIVE"/>
    <n v="352000"/>
    <n v="1073.25"/>
    <n v="71.55"/>
    <n v="500"/>
  </r>
  <r>
    <s v="KHI/HO/D/MO/MC COMP/P/97092/09/2024"/>
    <m/>
    <x v="12"/>
    <s v="Punjab"/>
    <d v="2024-09-10T00:00:00"/>
    <d v="2025-09-10T00:00:00"/>
    <s v="USMAN YASEEN"/>
    <s v="SUZUKI-GR150 EURO II"/>
    <n v="13675"/>
    <n v="11358"/>
    <n v="2.5000000000000001E-2"/>
    <s v="113632"/>
    <d v="2024-09-10T00:00:00"/>
    <s v="MOTORCYCLE  COMPREHENSIVE"/>
    <n v="547000"/>
    <n v="1703.7"/>
    <n v="113.58"/>
    <n v="500"/>
  </r>
  <r>
    <s v="KHI/HO/D/MO/MC COMP/P/97093/09/2024"/>
    <m/>
    <x v="12"/>
    <s v="Punjab"/>
    <d v="2024-09-10T00:00:00"/>
    <d v="2025-09-10T00:00:00"/>
    <s v="MUHAMMAD ZEESHAN ARSHAD"/>
    <s v="SUZUKI-GS-150"/>
    <n v="9550"/>
    <n v="7802"/>
    <n v="2.5000000000000001E-2"/>
    <s v="30092693"/>
    <d v="2024-09-10T00:00:00"/>
    <s v="MOTORCYCLE  COMPREHENSIVE"/>
    <n v="382000"/>
    <n v="1170.3"/>
    <n v="78.02"/>
    <n v="500"/>
  </r>
  <r>
    <s v="KHI/HO/D/MO/MC COMP/P/97094/09/2024"/>
    <m/>
    <x v="12"/>
    <s v="Punjab"/>
    <d v="2024-09-10T00:00:00"/>
    <d v="2025-09-10T00:00:00"/>
    <s v="MUHAMMAD ZAMAN"/>
    <s v="SUZUKI-GD-110S"/>
    <n v="8800"/>
    <n v="7155"/>
    <n v="2.5000000000000001E-2"/>
    <s v="147211"/>
    <d v="2024-09-10T00:00:00"/>
    <s v="MOTORCYCLE  COMPREHENSIVE"/>
    <n v="352000"/>
    <n v="1073.25"/>
    <n v="71.55"/>
    <n v="500"/>
  </r>
  <r>
    <s v="KHI/HO/D/MO/MC COMP/P/97095/09/2024"/>
    <m/>
    <x v="12"/>
    <s v="Punjab"/>
    <d v="2024-09-10T00:00:00"/>
    <d v="2025-09-10T00:00:00"/>
    <s v="ZUBAIR SHAHZAD"/>
    <s v="SUZUKI-GSX 125"/>
    <n v="12475"/>
    <n v="10323"/>
    <n v="2.5000000000000001E-2"/>
    <s v="NF4KD-102089"/>
    <d v="2024-09-10T00:00:00"/>
    <s v="MOTORCYCLE  COMPREHENSIVE"/>
    <n v="499000"/>
    <n v="1548.45"/>
    <n v="103.23"/>
    <n v="500"/>
  </r>
  <r>
    <s v="KHI/HO/D/MO/MC COMP/P/97096/09/2024"/>
    <m/>
    <x v="12"/>
    <s v="Punjab"/>
    <d v="2024-09-10T00:00:00"/>
    <d v="2025-09-10T00:00:00"/>
    <s v="SHAHZAD RASHEED"/>
    <s v="SUZUKI-GD-110S"/>
    <n v="8800"/>
    <n v="7155"/>
    <n v="2.5000000000000001E-2"/>
    <s v="147235"/>
    <d v="2024-09-10T00:00:00"/>
    <s v="MOTORCYCLE  COMPREHENSIVE"/>
    <n v="352000"/>
    <n v="1073.25"/>
    <n v="71.55"/>
    <n v="500"/>
  </r>
  <r>
    <s v="KHI/HO/D/MO/MC COMP/P/97097/09/2024"/>
    <m/>
    <x v="12"/>
    <s v="Punjab"/>
    <d v="2024-09-10T00:00:00"/>
    <d v="2025-09-10T00:00:00"/>
    <s v="MUHAMMAD AMIR"/>
    <s v="SUZUKI-GD-110S"/>
    <n v="8800"/>
    <n v="7155"/>
    <n v="2.5000000000000001E-2"/>
    <s v="143208"/>
    <d v="2024-09-10T00:00:00"/>
    <s v="MOTORCYCLE  COMPREHENSIVE"/>
    <n v="352000"/>
    <n v="1073.25"/>
    <n v="71.55"/>
    <n v="500"/>
  </r>
  <r>
    <s v="KHI/HO/D/MO/MC COMP/P/97098/09/2024"/>
    <m/>
    <x v="12"/>
    <s v="Punjab"/>
    <d v="2024-09-10T00:00:00"/>
    <d v="2025-09-10T00:00:00"/>
    <s v="ZEESHAN ZAHEER"/>
    <s v="SUZUKI-GD-110S"/>
    <n v="8800"/>
    <n v="7155"/>
    <n v="2.5000000000000001E-2"/>
    <s v="147502"/>
    <d v="2024-09-10T00:00:00"/>
    <s v="MOTORCYCLE  COMPREHENSIVE"/>
    <n v="352000"/>
    <n v="1073.25"/>
    <n v="71.55"/>
    <n v="500"/>
  </r>
  <r>
    <s v="KHI/HO/D/MO/MC COMP/P/97099/09/2024"/>
    <m/>
    <x v="12"/>
    <s v="Punjab"/>
    <d v="2024-09-10T00:00:00"/>
    <d v="2025-09-10T00:00:00"/>
    <s v="DANISH PERVAIZ"/>
    <s v="SUZUKI-GD-110S"/>
    <n v="8800"/>
    <n v="7155"/>
    <n v="2.5000000000000001E-2"/>
    <s v="147214"/>
    <d v="2024-09-10T00:00:00"/>
    <s v="MOTORCYCLE  COMPREHENSIVE"/>
    <n v="352000"/>
    <n v="1073.25"/>
    <n v="71.55"/>
    <n v="500"/>
  </r>
  <r>
    <s v="KHI/HO/D/MO/MC COMP/P/97100/09/2024"/>
    <m/>
    <x v="12"/>
    <s v="Punjab"/>
    <d v="2024-09-10T00:00:00"/>
    <d v="2025-09-10T00:00:00"/>
    <s v="SADAM FAROOQ"/>
    <s v="SUZUKI-GD-110S"/>
    <n v="8800"/>
    <n v="7155"/>
    <n v="2.5000000000000001E-2"/>
    <s v="147501"/>
    <d v="2024-09-10T00:00:00"/>
    <s v="MOTORCYCLE  COMPREHENSIVE"/>
    <n v="352000"/>
    <n v="1073.25"/>
    <n v="71.55"/>
    <n v="500"/>
  </r>
  <r>
    <s v="KHI/HO/D/MO/MC COMP/P/97101/09/2024"/>
    <m/>
    <x v="12"/>
    <s v="Punjab"/>
    <d v="2024-09-10T00:00:00"/>
    <d v="2025-09-10T00:00:00"/>
    <s v="SYED ALAMDAR HUSSAIN"/>
    <s v="SUZUKI-GD-110S"/>
    <n v="8800"/>
    <n v="7155"/>
    <n v="2.5000000000000001E-2"/>
    <s v="147503"/>
    <d v="2024-09-10T00:00:00"/>
    <s v="MOTORCYCLE  COMPREHENSIVE"/>
    <n v="352000"/>
    <n v="1073.25"/>
    <n v="71.55"/>
    <n v="500"/>
  </r>
  <r>
    <s v="KHI/HO/D/MO/MC COMP/P/97102/09/2024"/>
    <m/>
    <x v="12"/>
    <s v="Punjab"/>
    <d v="2024-09-10T00:00:00"/>
    <d v="2025-09-10T00:00:00"/>
    <s v="REHAN ARIF"/>
    <s v="SUZUKI-GD-110S"/>
    <n v="8800"/>
    <n v="7155"/>
    <n v="2.5000000000000001E-2"/>
    <s v="147210"/>
    <d v="2024-09-10T00:00:00"/>
    <s v="MOTORCYCLE  COMPREHENSIVE"/>
    <n v="352000"/>
    <n v="1073.25"/>
    <n v="71.55"/>
    <n v="500"/>
  </r>
  <r>
    <s v="KHI/HO/D/MO/MC COMP/P/97109/09/2024"/>
    <m/>
    <x v="14"/>
    <s v="Punjab"/>
    <d v="2024-09-11T00:00:00"/>
    <d v="2025-09-11T00:00:00"/>
    <s v="NAEEM AHMAD"/>
    <s v="SUZUKI-GD-110S"/>
    <n v="8800"/>
    <n v="7155"/>
    <n v="2.5000000000000001E-2"/>
    <s v="147592"/>
    <d v="2024-09-11T00:00:00"/>
    <s v="MOTORCYCLE  COMPREHENSIVE"/>
    <n v="352000"/>
    <n v="1073.25"/>
    <n v="71.55"/>
    <n v="500"/>
  </r>
  <r>
    <s v="KHI/HO/D/MO/MC COMP/P/97115/09/2024"/>
    <m/>
    <x v="6"/>
    <s v="South"/>
    <d v="2024-09-11T00:00:00"/>
    <d v="2025-09-11T00:00:00"/>
    <s v="HOSPICARE SYSTEM"/>
    <s v="SUZUKI-GD-110S"/>
    <n v="14960"/>
    <n v="12466"/>
    <n v="4.2500000000000003E-2"/>
    <s v="148073"/>
    <d v="2024-09-11T00:00:00"/>
    <s v="MOTORCYCLE  COMPREHENSIVE"/>
    <n v="352000"/>
    <n v="1869.9"/>
    <n v="124.66"/>
    <n v="500"/>
  </r>
  <r>
    <s v="KHI/HO/D/MO/MC COMP/P/97116/09/2024"/>
    <m/>
    <x v="12"/>
    <s v="Punjab"/>
    <d v="2024-09-11T00:00:00"/>
    <d v="2025-09-11T00:00:00"/>
    <s v="MUHAMMAD AFTAB"/>
    <s v="SUZUKI-GR150 EURO II"/>
    <n v="13675"/>
    <n v="11358"/>
    <n v="2.5000000000000001E-2"/>
    <s v="113629"/>
    <d v="2024-09-11T00:00:00"/>
    <s v="MOTORCYCLE  COMPREHENSIVE"/>
    <n v="547000"/>
    <n v="1703.7"/>
    <n v="113.58"/>
    <n v="500"/>
  </r>
  <r>
    <s v="KHI/HO/D/MO/MC COMP/P/97119/09/2024"/>
    <m/>
    <x v="6"/>
    <s v="South"/>
    <d v="2024-09-11T00:00:00"/>
    <d v="2025-09-11T00:00:00"/>
    <s v="YASIR ALI"/>
    <s v="SUZUKI-GD-110S"/>
    <n v="14960"/>
    <n v="12466"/>
    <n v="4.2500000000000003E-2"/>
    <s v="148079"/>
    <d v="2024-09-11T00:00:00"/>
    <s v="MOTORCYCLE  COMPREHENSIVE"/>
    <n v="352000"/>
    <n v="1869.9"/>
    <n v="124.66"/>
    <n v="500"/>
  </r>
  <r>
    <s v="KHI/HO/D/MO/MC COMP/P/97127/09/2024"/>
    <m/>
    <x v="3"/>
    <s v="South"/>
    <d v="2024-09-11T00:00:00"/>
    <d v="2025-09-11T00:00:00"/>
    <s v="ADIL RAHEEM"/>
    <s v="SUZUKI-GD-110S"/>
    <n v="14960"/>
    <n v="12466"/>
    <n v="4.2500000000000003E-2"/>
    <s v="147626"/>
    <d v="2024-09-11T00:00:00"/>
    <s v="MOTORCYCLE  COMPREHENSIVE"/>
    <n v="352000"/>
    <n v="1869.9"/>
    <n v="124.66"/>
    <n v="500"/>
  </r>
  <r>
    <s v="KHI/HO/D/MO/MC COMP/P/97131/09/2024"/>
    <m/>
    <x v="3"/>
    <s v="South"/>
    <d v="2024-09-11T00:00:00"/>
    <d v="2025-09-11T00:00:00"/>
    <s v="MUHAMMAD HARIS UL HAQ"/>
    <s v="SUZUKI-GS 150"/>
    <n v="16235"/>
    <n v="13565"/>
    <n v="4.2500000000000003E-2"/>
    <s v="30092901"/>
    <d v="2024-09-11T00:00:00"/>
    <s v="MOTORCYCLE  COMPREHENSIVE"/>
    <n v="382000"/>
    <n v="2034.75"/>
    <n v="135.65"/>
    <n v="500"/>
  </r>
  <r>
    <s v="KHI/HO/D/MO/MC COMP/P/97132/09/2024"/>
    <m/>
    <x v="3"/>
    <s v="South"/>
    <d v="2025-09-12T00:00:00"/>
    <d v="2026-09-12T00:00:00"/>
    <s v="MUHAMMAD HARIS UL HAQ"/>
    <s v="SUZUKI-GS 150"/>
    <n v="16235"/>
    <n v="13565"/>
    <n v="4.2500000000000003E-2"/>
    <s v="30092901"/>
    <d v="2024-09-11T00:00:00"/>
    <s v="MOTORCYCLE  COMPREHENSIVE"/>
    <n v="382000"/>
    <n v="2034.75"/>
    <n v="135.65"/>
    <n v="500"/>
  </r>
  <r>
    <s v="KHI/HO/D/MO/MC COMP/P/97133/09/2024"/>
    <m/>
    <x v="19"/>
    <s v="Punjab"/>
    <d v="2024-09-11T00:00:00"/>
    <d v="2025-09-11T00:00:00"/>
    <s v="MUHAMMAD SHAFQAT HAYAT S/O HAJI MUHAMMAD HAYAT"/>
    <s v="SUZUKI-GD-110S"/>
    <n v="8800"/>
    <n v="7155"/>
    <n v="2.5000000000000001E-2"/>
    <s v="143896"/>
    <d v="2024-09-11T00:00:00"/>
    <s v="MOTORCYCLE  COMPREHENSIVE"/>
    <n v="352000"/>
    <n v="1073.25"/>
    <n v="71.55"/>
    <n v="500"/>
  </r>
  <r>
    <s v="KHI/HO/D/MO/MC COMP/P/97139/09/2024"/>
    <m/>
    <x v="11"/>
    <s v="Punjab"/>
    <d v="2024-09-11T00:00:00"/>
    <d v="2025-09-11T00:00:00"/>
    <s v="MUHAMMAD USMAN AHMED"/>
    <s v="SUZUKI-GD-110S"/>
    <n v="8800"/>
    <n v="7155"/>
    <n v="2.5000000000000001E-2"/>
    <s v="147725"/>
    <d v="2024-09-11T00:00:00"/>
    <s v="MOTORCYCLE  COMPREHENSIVE"/>
    <n v="352000"/>
    <n v="1073.25"/>
    <n v="71.55"/>
    <n v="500"/>
  </r>
  <r>
    <s v="KHI/HO/D/MO/MC COMP/P/97140/09/2024"/>
    <m/>
    <x v="11"/>
    <s v="Punjab"/>
    <d v="2024-09-11T00:00:00"/>
    <d v="2025-09-11T00:00:00"/>
    <s v="UMAIR RIAZ"/>
    <s v="SUZUKI-GD-110S"/>
    <n v="8800"/>
    <n v="7155"/>
    <n v="2.5000000000000001E-2"/>
    <s v="147454"/>
    <d v="2024-09-11T00:00:00"/>
    <s v="MOTORCYCLE  COMPREHENSIVE"/>
    <n v="352000"/>
    <n v="1073.25"/>
    <n v="71.55"/>
    <n v="500"/>
  </r>
  <r>
    <s v="KHI/HO/D/MO/MC COMP/P/97142/09/2024"/>
    <m/>
    <x v="3"/>
    <s v="South"/>
    <d v="2024-09-11T00:00:00"/>
    <d v="2025-09-11T00:00:00"/>
    <s v="ARSALAN"/>
    <s v="SUZUKI-GD-110S"/>
    <n v="14960"/>
    <n v="12466"/>
    <n v="4.2500000000000003E-2"/>
    <s v="148029"/>
    <d v="2024-09-11T00:00:00"/>
    <s v="MOTORCYCLE  COMPREHENSIVE"/>
    <n v="352000"/>
    <n v="1869.9"/>
    <n v="124.66"/>
    <n v="500"/>
  </r>
  <r>
    <s v="KHI/HO/D/MO/MC COMP/P/97143/09/2024"/>
    <m/>
    <x v="11"/>
    <s v="Punjab"/>
    <d v="2024-09-11T00:00:00"/>
    <d v="2025-09-11T00:00:00"/>
    <s v="HAMZA HAROON"/>
    <s v="SUZUKI-GD-110S"/>
    <n v="8800"/>
    <n v="7155"/>
    <n v="2.5000000000000001E-2"/>
    <s v="147455"/>
    <d v="2024-09-11T00:00:00"/>
    <s v="MOTORCYCLE  COMPREHENSIVE"/>
    <n v="352000"/>
    <n v="1073.25"/>
    <n v="71.55"/>
    <n v="500"/>
  </r>
  <r>
    <s v="KHI/HO/D/MO/MC COMP/P/97144/09/2024"/>
    <m/>
    <x v="11"/>
    <s v="Punjab"/>
    <d v="2024-09-11T00:00:00"/>
    <d v="2025-09-11T00:00:00"/>
    <s v="AHMAD ALI RAZA"/>
    <s v="SUZUKI-GD-110S"/>
    <n v="8800"/>
    <n v="7155"/>
    <n v="2.5000000000000001E-2"/>
    <s v="147720"/>
    <d v="2024-09-11T00:00:00"/>
    <s v="MOTORCYCLE  COMPREHENSIVE"/>
    <n v="352000"/>
    <n v="1073.25"/>
    <n v="71.55"/>
    <n v="500"/>
  </r>
  <r>
    <s v="KHI/HO/D/MO/MC COMP/P/97145/09/2024"/>
    <m/>
    <x v="0"/>
    <s v="Punjab"/>
    <d v="2024-09-11T00:00:00"/>
    <d v="2025-09-11T00:00:00"/>
    <s v="HAMZA ASGHAR"/>
    <s v="SUZUKI-GD-110S"/>
    <n v="8800"/>
    <n v="7155"/>
    <n v="2.5000000000000001E-2"/>
    <s v="147894"/>
    <d v="2024-09-11T00:00:00"/>
    <s v="MOTORCYCLE  COMPREHENSIVE"/>
    <n v="352000"/>
    <n v="1073.25"/>
    <n v="71.55"/>
    <n v="500"/>
  </r>
  <r>
    <s v="KHI/HO/D/MO/MC COMP/P/97146/09/2024"/>
    <m/>
    <x v="11"/>
    <s v="Punjab"/>
    <d v="2024-09-11T00:00:00"/>
    <d v="2025-09-11T00:00:00"/>
    <s v="MUHAMMAD SHAHBAZ"/>
    <s v="SUZUKI-GD-110S"/>
    <n v="8800"/>
    <n v="7155"/>
    <n v="2.5000000000000001E-2"/>
    <s v="147721"/>
    <d v="2024-09-11T00:00:00"/>
    <s v="MOTORCYCLE  COMPREHENSIVE"/>
    <n v="352000"/>
    <n v="1073.25"/>
    <n v="71.55"/>
    <n v="500"/>
  </r>
  <r>
    <s v="KHI/HO/D/MO/MC COMP/P/97151/09/2024"/>
    <m/>
    <x v="9"/>
    <s v="Punjab"/>
    <d v="2024-09-11T00:00:00"/>
    <d v="2025-09-11T00:00:00"/>
    <s v="Adeel Akram"/>
    <s v="SUZUKI-GD-110S"/>
    <n v="8800"/>
    <n v="7155"/>
    <n v="2.5000000000000001E-2"/>
    <s v="145710"/>
    <d v="2024-09-11T00:00:00"/>
    <s v="MOTORCYCLE  COMPREHENSIVE"/>
    <n v="352000"/>
    <n v="1073.25"/>
    <n v="71.55"/>
    <n v="500"/>
  </r>
  <r>
    <s v="KHI/HO/D/MO/MC COMP/P/97157/09/2024"/>
    <m/>
    <x v="11"/>
    <s v="Punjab"/>
    <d v="2024-09-11T00:00:00"/>
    <d v="2025-09-11T00:00:00"/>
    <s v="ZAHID KHURSHEED"/>
    <s v="SUZUKI-GD-110S"/>
    <n v="8800"/>
    <n v="7155"/>
    <n v="2.5000000000000001E-2"/>
    <s v="147724"/>
    <d v="2024-09-11T00:00:00"/>
    <s v="MOTORCYCLE  COMPREHENSIVE"/>
    <n v="352000"/>
    <n v="1073.25"/>
    <n v="71.55"/>
    <n v="500"/>
  </r>
  <r>
    <s v="KHI/HO/D/MO/MC COMP/P/97159/09/2024"/>
    <m/>
    <x v="11"/>
    <s v="Punjab"/>
    <d v="2024-09-11T00:00:00"/>
    <d v="2025-09-11T00:00:00"/>
    <s v="HAFIZ ZAHID MEHMOOD"/>
    <s v="SUZUKI-GD-110S"/>
    <n v="8800"/>
    <n v="7155"/>
    <n v="2.5000000000000001E-2"/>
    <s v="147717"/>
    <d v="2024-09-11T00:00:00"/>
    <s v="MOTORCYCLE  COMPREHENSIVE"/>
    <n v="352000"/>
    <n v="1073.25"/>
    <n v="71.55"/>
    <n v="500"/>
  </r>
  <r>
    <s v="KHI/HO/D/MO/MC COMP/P/97161/09/2024"/>
    <m/>
    <x v="11"/>
    <s v="Punjab"/>
    <d v="2024-09-11T00:00:00"/>
    <d v="2025-09-11T00:00:00"/>
    <s v="IMRAN YAQOOB"/>
    <s v="SUZUKI-GD-110S"/>
    <n v="8800"/>
    <n v="7155"/>
    <n v="2.5000000000000001E-2"/>
    <s v="147726"/>
    <d v="2024-09-11T00:00:00"/>
    <s v="MOTORCYCLE  COMPREHENSIVE"/>
    <n v="352000"/>
    <n v="1073.25"/>
    <n v="71.55"/>
    <n v="500"/>
  </r>
  <r>
    <s v="KHI/HO/D/MO/MC COMP/P/97163/09/2024"/>
    <m/>
    <x v="2"/>
    <s v="South"/>
    <d v="2024-09-11T00:00:00"/>
    <d v="2025-09-11T00:00:00"/>
    <s v="SAJID ALI"/>
    <s v="SUZUKI-GD-110S"/>
    <n v="14960"/>
    <n v="12466"/>
    <n v="4.2500000000000003E-2"/>
    <s v="147637"/>
    <d v="2024-09-11T00:00:00"/>
    <s v="MOTORCYCLE  COMPREHENSIVE"/>
    <n v="352000"/>
    <n v="1869.9"/>
    <n v="124.66"/>
    <n v="500"/>
  </r>
  <r>
    <s v="KHI/HO/D/MO/MC COMP/P/97164/09/2024"/>
    <m/>
    <x v="2"/>
    <s v="South"/>
    <d v="2024-09-11T00:00:00"/>
    <d v="2025-09-11T00:00:00"/>
    <s v="MUHAMMAD OWAIS BHATTI"/>
    <s v="SUZUKI-GD-110S"/>
    <n v="14960"/>
    <n v="12466"/>
    <n v="4.2500000000000003E-2"/>
    <s v="147441"/>
    <d v="2024-09-11T00:00:00"/>
    <s v="MOTORCYCLE  COMPREHENSIVE"/>
    <n v="352000"/>
    <n v="1869.9"/>
    <n v="124.66"/>
    <n v="500"/>
  </r>
  <r>
    <s v="KHI/HO/D/MO/MC COMP/P/97166/09/2024"/>
    <m/>
    <x v="6"/>
    <s v="South"/>
    <d v="2024-09-11T00:00:00"/>
    <d v="2025-09-11T00:00:00"/>
    <s v="MUHAMMAD TAHA KHAN"/>
    <s v="SUZUKI-GD-110S"/>
    <n v="14960"/>
    <n v="12466"/>
    <n v="4.2500000000000003E-2"/>
    <s v="148082"/>
    <d v="2024-09-11T00:00:00"/>
    <s v="MOTORCYCLE  COMPREHENSIVE"/>
    <n v="352000"/>
    <n v="1869.9"/>
    <n v="124.66"/>
    <n v="500"/>
  </r>
  <r>
    <s v="KHI/HO/D/MO/MC COMP/P/97168/09/2024"/>
    <m/>
    <x v="7"/>
    <s v="South"/>
    <d v="2024-09-11T00:00:00"/>
    <d v="2025-09-11T00:00:00"/>
    <s v="ADNAN BASHIR"/>
    <s v="SUZUKI-GS 150"/>
    <n v="16235"/>
    <n v="13565"/>
    <n v="4.2500000000000003E-2"/>
    <s v="30092964"/>
    <d v="2024-09-11T00:00:00"/>
    <s v="MOTORCYCLE  COMPREHENSIVE"/>
    <n v="382000"/>
    <n v="2034.75"/>
    <n v="135.65"/>
    <n v="500"/>
  </r>
  <r>
    <s v="KHI/HO/D/MO/MC COMP/P/97172/09/2024"/>
    <m/>
    <x v="7"/>
    <s v="South"/>
    <d v="2024-09-11T00:00:00"/>
    <d v="2025-09-11T00:00:00"/>
    <s v="WAQAR ALI"/>
    <s v="SUZUKI-GR150 EURO II"/>
    <n v="23248"/>
    <n v="19610"/>
    <n v="4.2500914076782449E-2"/>
    <s v="113639"/>
    <d v="2024-09-11T00:00:00"/>
    <s v="MOTORCYCLE  COMPREHENSIVE"/>
    <n v="547000"/>
    <n v="2941.5"/>
    <n v="196.1"/>
    <n v="500"/>
  </r>
  <r>
    <s v="KHI/HO/D/MO/MC COMP/P/97173/09/2024"/>
    <m/>
    <x v="7"/>
    <s v="South"/>
    <d v="2025-09-12T00:00:00"/>
    <d v="2026-09-12T00:00:00"/>
    <s v="WAQAR ALI"/>
    <s v="SUZUKI-GR150 EURO II"/>
    <n v="23248"/>
    <n v="19610"/>
    <n v="4.2500914076782449E-2"/>
    <s v="113639"/>
    <d v="2024-09-11T00:00:00"/>
    <s v="MOTORCYCLE  COMPREHENSIVE"/>
    <n v="547000"/>
    <n v="2941.5"/>
    <n v="196.1"/>
    <n v="500"/>
  </r>
  <r>
    <s v="KHI/HO/D/MO/MC COMP/P/97174/09/2024"/>
    <m/>
    <x v="6"/>
    <s v="South"/>
    <d v="2024-09-11T00:00:00"/>
    <d v="2025-09-11T00:00:00"/>
    <s v="NAVEED FAZAL"/>
    <s v="SUZUKI-GD-110S"/>
    <n v="14960"/>
    <n v="12466"/>
    <n v="4.2500000000000003E-2"/>
    <s v="148323"/>
    <d v="2024-09-11T00:00:00"/>
    <s v="MOTORCYCLE  COMPREHENSIVE"/>
    <n v="352000"/>
    <n v="1869.9"/>
    <n v="124.66"/>
    <n v="500"/>
  </r>
  <r>
    <s v="KHI/HO/D/MO/MC COMP/P/97185/09/2024"/>
    <m/>
    <x v="6"/>
    <s v="South"/>
    <d v="2024-09-12T00:00:00"/>
    <d v="2025-09-12T00:00:00"/>
    <s v="HAJI ANIS"/>
    <s v="SUZUKI-GD-110S"/>
    <n v="14960"/>
    <n v="12466"/>
    <n v="4.2500000000000003E-2"/>
    <s v="148302"/>
    <d v="2024-09-12T00:00:00"/>
    <s v="MOTORCYCLE  COMPREHENSIVE"/>
    <n v="352000"/>
    <n v="1869.9"/>
    <n v="124.66"/>
    <n v="500"/>
  </r>
  <r>
    <s v="KHI/HO/D/MO/MC COMP/P/97186/09/2024"/>
    <m/>
    <x v="6"/>
    <s v="South"/>
    <d v="2025-09-13T00:00:00"/>
    <d v="2026-09-13T00:00:00"/>
    <s v="HAJI ANIS"/>
    <s v="SUZUKI-GD-110S"/>
    <n v="14960"/>
    <n v="12466"/>
    <n v="4.2500000000000003E-2"/>
    <s v="148302"/>
    <d v="2024-09-12T00:00:00"/>
    <s v="MOTORCYCLE  COMPREHENSIVE"/>
    <n v="352000"/>
    <n v="1869.9"/>
    <n v="124.66"/>
    <n v="500"/>
  </r>
  <r>
    <s v="KHI/HO/D/MO/MC COMP/P/97189/09/2024"/>
    <m/>
    <x v="6"/>
    <s v="South"/>
    <d v="2024-09-12T00:00:00"/>
    <d v="2025-09-12T00:00:00"/>
    <s v="SUMAIR"/>
    <s v="SUZUKI-GD-110S"/>
    <n v="14960"/>
    <n v="12466"/>
    <n v="4.2500000000000003E-2"/>
    <s v="148077"/>
    <d v="2024-09-12T00:00:00"/>
    <s v="MOTORCYCLE  COMPREHENSIVE"/>
    <n v="352000"/>
    <n v="1869.9"/>
    <n v="124.66"/>
    <n v="500"/>
  </r>
  <r>
    <s v="KHI/HO/D/MO/MC COMP/P/97190/09/2024"/>
    <m/>
    <x v="6"/>
    <s v="South"/>
    <d v="2025-09-13T00:00:00"/>
    <d v="2026-09-13T00:00:00"/>
    <s v="SUMAIR"/>
    <s v="SUZUKI-GD-110S"/>
    <n v="14960"/>
    <n v="12466"/>
    <n v="4.2500000000000003E-2"/>
    <s v="148077"/>
    <d v="2024-09-12T00:00:00"/>
    <s v="MOTORCYCLE  COMPREHENSIVE"/>
    <n v="352000"/>
    <n v="1869.9"/>
    <n v="124.66"/>
    <n v="500"/>
  </r>
  <r>
    <s v="KHI/HO/D/MO/MC COMP/P/97200/09/2024"/>
    <m/>
    <x v="6"/>
    <s v="South"/>
    <d v="2024-09-12T00:00:00"/>
    <d v="2025-09-12T00:00:00"/>
    <s v="ZAIN ANWER"/>
    <s v="SUZUKI-GSX 125"/>
    <n v="21208"/>
    <n v="17852"/>
    <n v="4.2501002004008019E-2"/>
    <s v="23102645"/>
    <d v="2024-09-12T00:00:00"/>
    <s v="MOTORCYCLE  COMPREHENSIVE"/>
    <n v="499000"/>
    <n v="2677.8"/>
    <n v="178.52"/>
    <n v="500"/>
  </r>
  <r>
    <s v="KHI/HO/D/MO/MC COMP/P/97201/09/2024"/>
    <m/>
    <x v="6"/>
    <s v="South"/>
    <d v="2025-09-13T00:00:00"/>
    <d v="2026-09-13T00:00:00"/>
    <s v="ZAIN ANWER"/>
    <s v="SUZUKI-GSX 125"/>
    <n v="21208"/>
    <n v="17852"/>
    <n v="4.2501002004008019E-2"/>
    <s v="23102645"/>
    <d v="2024-09-12T00:00:00"/>
    <s v="MOTORCYCLE  COMPREHENSIVE"/>
    <n v="499000"/>
    <n v="2677.8"/>
    <n v="178.52"/>
    <n v="500"/>
  </r>
  <r>
    <s v="KHI/HO/D/MO/MC COMP/P/97202/09/2024"/>
    <m/>
    <x v="18"/>
    <s v="South"/>
    <d v="2024-09-12T00:00:00"/>
    <d v="2025-09-12T00:00:00"/>
    <s v="Muhammad Ali"/>
    <s v="SUZUKI-GR150 EURO II"/>
    <n v="23248"/>
    <n v="19610"/>
    <n v="4.2500914076782449E-2"/>
    <s v="113684"/>
    <d v="2024-09-12T00:00:00"/>
    <s v="MOTORCYCLE  COMPREHENSIVE"/>
    <n v="547000"/>
    <n v="2941.5"/>
    <n v="196.1"/>
    <n v="500"/>
  </r>
  <r>
    <s v="KHI/HO/D/MO/MC COMP/P/97203/09/2024"/>
    <m/>
    <x v="6"/>
    <s v="South"/>
    <d v="2024-09-12T00:00:00"/>
    <d v="2025-09-12T00:00:00"/>
    <s v="SALMAN UDDIN RAJA"/>
    <s v="SUZUKI-GD-110S"/>
    <n v="14960"/>
    <n v="12466"/>
    <n v="4.2500000000000003E-2"/>
    <s v="148080"/>
    <d v="2024-09-12T00:00:00"/>
    <s v="MOTORCYCLE  COMPREHENSIVE"/>
    <n v="352000"/>
    <n v="1869.9"/>
    <n v="124.66"/>
    <n v="500"/>
  </r>
  <r>
    <s v="KHI/HO/D/MO/MC COMP/P/97204/09/2024"/>
    <m/>
    <x v="3"/>
    <s v="South"/>
    <d v="2024-09-12T00:00:00"/>
    <d v="2025-09-12T00:00:00"/>
    <s v="MUHAMMAD JUNAID"/>
    <s v="SUZUKI-GD-110S"/>
    <n v="14960"/>
    <n v="12466"/>
    <n v="4.2500000000000003E-2"/>
    <s v="148034"/>
    <d v="2024-09-12T00:00:00"/>
    <s v="MOTORCYCLE  COMPREHENSIVE"/>
    <n v="352000"/>
    <n v="1869.9"/>
    <n v="124.66"/>
    <n v="500"/>
  </r>
  <r>
    <s v="KHI/HO/D/MO/MC COMP/P/97205/09/2024"/>
    <m/>
    <x v="3"/>
    <s v="South"/>
    <d v="2025-09-13T00:00:00"/>
    <d v="2026-09-13T00:00:00"/>
    <s v="MUHAMMAD JUNAID"/>
    <s v="SUZUKI-GD-110S"/>
    <n v="14960"/>
    <n v="12466"/>
    <n v="4.2500000000000003E-2"/>
    <s v="148034"/>
    <d v="2024-09-12T00:00:00"/>
    <s v="MOTORCYCLE  COMPREHENSIVE"/>
    <n v="352000"/>
    <n v="1869.9"/>
    <n v="124.66"/>
    <n v="500"/>
  </r>
  <r>
    <s v="KHI/HO/D/MO/MC COMP/P/97206/09/2024"/>
    <m/>
    <x v="0"/>
    <s v="Punjab"/>
    <d v="2024-09-12T00:00:00"/>
    <d v="2025-09-12T00:00:00"/>
    <s v="IQRAR HAIDER"/>
    <s v="SUZUKI-GD-110S"/>
    <n v="8800"/>
    <n v="7155"/>
    <n v="2.5000000000000001E-2"/>
    <s v="147965"/>
    <d v="2024-09-12T00:00:00"/>
    <s v="MOTORCYCLE  COMPREHENSIVE"/>
    <n v="352000"/>
    <n v="1073.25"/>
    <n v="71.55"/>
    <n v="500"/>
  </r>
  <r>
    <s v="KHI/HO/D/MO/MC COMP/P/97207/09/2024"/>
    <m/>
    <x v="4"/>
    <s v="South"/>
    <d v="2024-09-12T00:00:00"/>
    <d v="2025-09-12T00:00:00"/>
    <s v="ILIYAN"/>
    <s v="SUZUKI-GS 150"/>
    <n v="16235"/>
    <n v="13565"/>
    <n v="4.2500000000000003E-2"/>
    <s v="30092773"/>
    <d v="2024-09-12T00:00:00"/>
    <s v="MOTORCYCLE  COMPREHENSIVE"/>
    <n v="382000"/>
    <n v="2034.75"/>
    <n v="135.65"/>
    <n v="500"/>
  </r>
  <r>
    <s v="KHI/HO/D/MO/MC COMP/P/97209/09/2024"/>
    <m/>
    <x v="4"/>
    <s v="South"/>
    <d v="2024-09-12T00:00:00"/>
    <d v="2025-09-12T00:00:00"/>
    <s v="ZUBAIR ATIQ"/>
    <s v="SUZUKI-GD-110S"/>
    <n v="14960"/>
    <n v="12466"/>
    <n v="4.2500000000000003E-2"/>
    <s v="147715"/>
    <d v="2024-09-12T00:00:00"/>
    <s v="MOTORCYCLE  COMPREHENSIVE"/>
    <n v="352000"/>
    <n v="1869.9"/>
    <n v="124.66"/>
    <n v="500"/>
  </r>
  <r>
    <s v="KHI/HO/D/MO/MC COMP/P/97211/09/2024"/>
    <m/>
    <x v="4"/>
    <s v="South"/>
    <d v="2024-09-12T00:00:00"/>
    <d v="2025-09-12T00:00:00"/>
    <s v="MOHSIM ALI"/>
    <s v="SUZUKI-GD-110S"/>
    <n v="14960"/>
    <n v="12466"/>
    <n v="4.2500000000000003E-2"/>
    <s v="146120"/>
    <d v="2024-09-12T00:00:00"/>
    <s v="MOTORCYCLE  COMPREHENSIVE"/>
    <n v="352000"/>
    <n v="1869.9"/>
    <n v="124.66"/>
    <n v="500"/>
  </r>
  <r>
    <s v="KHI/HO/D/MO/MC COMP/P/97213/09/2024"/>
    <m/>
    <x v="4"/>
    <s v="South"/>
    <d v="2024-09-12T00:00:00"/>
    <d v="2025-09-12T00:00:00"/>
    <s v="MUHAMMAD MUDASSIR"/>
    <s v="SUZUKI-GS 150"/>
    <n v="16235"/>
    <n v="13565"/>
    <n v="4.2500000000000003E-2"/>
    <s v="30092782"/>
    <d v="2024-09-12T00:00:00"/>
    <s v="MOTORCYCLE  COMPREHENSIVE"/>
    <n v="382000"/>
    <n v="2034.75"/>
    <n v="135.65"/>
    <n v="500"/>
  </r>
  <r>
    <s v="KHI/HO/D/MO/MC COMP/P/97217/09/2024"/>
    <m/>
    <x v="18"/>
    <s v="South"/>
    <d v="2024-09-12T00:00:00"/>
    <d v="2025-09-12T00:00:00"/>
    <s v="Syed Ovais Hussain Qadri"/>
    <s v="SUZUKI-GR150 EURO II"/>
    <n v="23248"/>
    <n v="19610"/>
    <n v="4.2500914076782449E-2"/>
    <s v="113620"/>
    <d v="2024-09-12T00:00:00"/>
    <s v="MOTORCYCLE  COMPREHENSIVE"/>
    <n v="547000"/>
    <n v="2941.5"/>
    <n v="196.1"/>
    <n v="500"/>
  </r>
  <r>
    <s v="KHI/HO/D/MO/MC COMP/P/97218/09/2024"/>
    <m/>
    <x v="4"/>
    <s v="South"/>
    <d v="2024-09-12T00:00:00"/>
    <d v="2025-09-12T00:00:00"/>
    <s v="FARHAN BADAR UDDIN"/>
    <s v="SUZUKI-GD-110S"/>
    <n v="14960"/>
    <n v="12466"/>
    <n v="4.2500000000000003E-2"/>
    <s v="148055"/>
    <d v="2024-09-12T00:00:00"/>
    <s v="MOTORCYCLE  COMPREHENSIVE"/>
    <n v="352000"/>
    <n v="1869.9"/>
    <n v="124.66"/>
    <n v="500"/>
  </r>
  <r>
    <s v="KHI/HO/D/MO/MC COMP/P/97220/09/2024"/>
    <m/>
    <x v="22"/>
    <s v="Punjab"/>
    <d v="2024-09-12T00:00:00"/>
    <d v="2025-09-12T00:00:00"/>
    <s v="NAWAZISH ALI"/>
    <s v="SUZUKI-GS 150"/>
    <n v="9550"/>
    <n v="7802"/>
    <n v="2.5000000000000001E-2"/>
    <s v="30092759"/>
    <d v="2024-09-12T00:00:00"/>
    <s v="MOTORCYCLE  COMPREHENSIVE"/>
    <n v="382000"/>
    <n v="1170.3"/>
    <n v="78.02"/>
    <n v="500"/>
  </r>
  <r>
    <s v="KHI/HO/D/MO/MC COMP/P/97223/09/2024"/>
    <m/>
    <x v="1"/>
    <s v="South"/>
    <d v="2024-09-12T00:00:00"/>
    <d v="2025-09-12T00:00:00"/>
    <s v="MUHAMMAD RIZWAN KHAN"/>
    <s v="SUZUKI-GD-110S"/>
    <n v="14960"/>
    <n v="12466"/>
    <n v="4.2500000000000003E-2"/>
    <s v="146877"/>
    <d v="2024-09-12T00:00:00"/>
    <s v="MOTORCYCLE  COMPREHENSIVE"/>
    <n v="352000"/>
    <n v="1869.9"/>
    <n v="124.66"/>
    <n v="500"/>
  </r>
  <r>
    <s v="KHI/HO/D/MO/MC COMP/P/97225/09/2024"/>
    <m/>
    <x v="22"/>
    <s v="Punjab"/>
    <d v="2024-09-12T00:00:00"/>
    <d v="2025-09-12T00:00:00"/>
    <s v="ABU BAKER"/>
    <s v="SUZUKI-GD-110S"/>
    <n v="8800"/>
    <n v="7155"/>
    <n v="2.5000000000000001E-2"/>
    <s v="147335"/>
    <d v="2024-09-12T00:00:00"/>
    <s v="MOTORCYCLE  COMPREHENSIVE"/>
    <n v="352000"/>
    <n v="1073.25"/>
    <n v="71.55"/>
    <n v="500"/>
  </r>
  <r>
    <s v="KHI/HO/D/MO/MC COMP/P/97229/09/2024"/>
    <m/>
    <x v="18"/>
    <s v="South"/>
    <d v="2024-09-12T00:00:00"/>
    <d v="2025-09-12T00:00:00"/>
    <s v="Irfan"/>
    <s v="SUZUKI-GD-110S"/>
    <n v="14960"/>
    <n v="12466"/>
    <n v="4.2500000000000003E-2"/>
    <s v="148339"/>
    <d v="2024-09-12T00:00:00"/>
    <s v="MOTORCYCLE  COMPREHENSIVE"/>
    <n v="352000"/>
    <n v="1869.9"/>
    <n v="124.66"/>
    <n v="500"/>
  </r>
  <r>
    <s v="KHI/HO/D/MO/MC COMP/P/97230/09/2024"/>
    <m/>
    <x v="18"/>
    <s v="South"/>
    <d v="2024-09-12T00:00:00"/>
    <d v="2025-09-12T00:00:00"/>
    <s v="Irfan"/>
    <s v="SUZUKI-GD-110S"/>
    <n v="14960"/>
    <n v="12466"/>
    <n v="4.2500000000000003E-2"/>
    <s v="148339"/>
    <d v="2024-09-12T00:00:00"/>
    <s v="MOTORCYCLE  COMPREHENSIVE"/>
    <n v="352000"/>
    <n v="1869.9"/>
    <n v="124.66"/>
    <n v="500"/>
  </r>
  <r>
    <s v="KHI/HO/D/MO/MC COMP/P/97231/09/2024"/>
    <m/>
    <x v="22"/>
    <s v="Punjab"/>
    <d v="2024-09-12T00:00:00"/>
    <d v="2025-09-12T00:00:00"/>
    <s v="MUHAMMAD AHMAD RAZA"/>
    <s v="SUZUKI-GD-110S"/>
    <n v="8800"/>
    <n v="7155"/>
    <n v="2.5000000000000001E-2"/>
    <s v="147340"/>
    <d v="2024-09-12T00:00:00"/>
    <s v="MOTORCYCLE  COMPREHENSIVE"/>
    <n v="352000"/>
    <n v="1073.25"/>
    <n v="71.55"/>
    <n v="500"/>
  </r>
  <r>
    <s v="KHI/HO/D/MO/MC COMP/P/97234/09/2024"/>
    <m/>
    <x v="6"/>
    <s v="South"/>
    <d v="2024-09-12T00:00:00"/>
    <d v="2025-09-12T00:00:00"/>
    <s v="FAISAL HUSSAIN"/>
    <s v="SUZUKI-GS 150"/>
    <n v="16235"/>
    <n v="13565"/>
    <n v="4.2500000000000003E-2"/>
    <s v="30092945"/>
    <d v="2024-09-12T00:00:00"/>
    <s v="MOTORCYCLE  COMPREHENSIVE"/>
    <n v="382000"/>
    <n v="2034.75"/>
    <n v="135.65"/>
    <n v="500"/>
  </r>
  <r>
    <s v="KHI/HO/D/MO/MC COMP/P/97235/09/2024"/>
    <m/>
    <x v="9"/>
    <s v="Punjab"/>
    <d v="2024-09-12T00:00:00"/>
    <d v="2025-09-12T00:00:00"/>
    <s v="M Umar Zaib"/>
    <s v="SUZUKI-GD-110S"/>
    <n v="8800"/>
    <n v="7155"/>
    <n v="2.5000000000000001E-2"/>
    <s v="146396"/>
    <d v="2024-09-12T00:00:00"/>
    <s v="MOTORCYCLE  COMPREHENSIVE"/>
    <n v="352000"/>
    <n v="1073.25"/>
    <n v="71.55"/>
    <n v="500"/>
  </r>
  <r>
    <s v="KHI/HO/D/MO/MC COMP/P/97237/09/2024"/>
    <m/>
    <x v="22"/>
    <s v="Punjab"/>
    <d v="2024-09-12T00:00:00"/>
    <d v="2025-09-12T00:00:00"/>
    <s v="MUHAMMAD FAHAD ASIF"/>
    <s v="SUZUKI-GS 150"/>
    <n v="9550"/>
    <n v="7802"/>
    <n v="2.5000000000000001E-2"/>
    <s v="30092375"/>
    <d v="2024-09-12T00:00:00"/>
    <s v="MOTORCYCLE  COMPREHENSIVE"/>
    <n v="382000"/>
    <n v="1170.3"/>
    <n v="78.02"/>
    <n v="500"/>
  </r>
  <r>
    <s v="KHI/HO/D/MO/MC COMP/P/97238/09/2024"/>
    <m/>
    <x v="19"/>
    <s v="Punjab"/>
    <d v="2024-09-12T00:00:00"/>
    <d v="2025-09-12T00:00:00"/>
    <s v="ASIF ZAFAR S/O ZAFAR ALI"/>
    <s v="SUZUKI-GS 150"/>
    <n v="9550"/>
    <n v="7802"/>
    <n v="2.5000000000000001E-2"/>
    <s v="30092681"/>
    <d v="2024-09-12T00:00:00"/>
    <s v="MOTORCYCLE  COMPREHENSIVE"/>
    <n v="382000"/>
    <n v="1170.3"/>
    <n v="78.02"/>
    <n v="500"/>
  </r>
  <r>
    <s v="KHI/HO/D/MO/MC COMP/P/97240/09/2024"/>
    <m/>
    <x v="22"/>
    <s v="Punjab"/>
    <d v="2024-09-12T00:00:00"/>
    <d v="2025-09-12T00:00:00"/>
    <s v="HAFIZ MUHAMMAD OMAR ZULFAQAR"/>
    <s v="SUZUKI-GS 150"/>
    <n v="9550"/>
    <n v="7802"/>
    <n v="2.5000000000000001E-2"/>
    <s v="30092757"/>
    <d v="2024-09-12T00:00:00"/>
    <s v="MOTORCYCLE  COMPREHENSIVE"/>
    <n v="382000"/>
    <n v="1170.3"/>
    <n v="78.02"/>
    <n v="500"/>
  </r>
  <r>
    <s v="KHI/HO/D/MO/MC COMP/P/97241/09/2024"/>
    <m/>
    <x v="22"/>
    <s v="Punjab"/>
    <d v="2024-09-12T00:00:00"/>
    <d v="2025-09-12T00:00:00"/>
    <s v="TAYYAB ALI"/>
    <s v="SUZUKI-GD-110S"/>
    <n v="8800"/>
    <n v="7155"/>
    <n v="2.5000000000000001E-2"/>
    <s v="147361"/>
    <d v="2024-09-12T00:00:00"/>
    <s v="MOTORCYCLE  COMPREHENSIVE"/>
    <n v="352000"/>
    <n v="1073.25"/>
    <n v="71.55"/>
    <n v="500"/>
  </r>
  <r>
    <s v="KHI/HO/D/MO/MC COMP/P/97247/09/2024"/>
    <m/>
    <x v="23"/>
    <s v="South"/>
    <d v="2024-09-12T00:00:00"/>
    <d v="2025-09-12T00:00:00"/>
    <s v="Mohsin Ali Nagori"/>
    <s v="SUZUKI-GD-110S"/>
    <n v="14960"/>
    <n v="12466"/>
    <n v="4.2500000000000003E-2"/>
    <s v="147814"/>
    <d v="2024-09-12T00:00:00"/>
    <s v="MOTORCYCLE  COMPREHENSIVE"/>
    <n v="352000"/>
    <n v="1869.9"/>
    <n v="124.66"/>
    <n v="500"/>
  </r>
  <r>
    <s v="KHI/HO/D/MO/MC COMP/P/97248/09/2024"/>
    <m/>
    <x v="23"/>
    <s v="South"/>
    <d v="2024-09-12T00:00:00"/>
    <d v="2025-09-12T00:00:00"/>
    <s v="Najjamuddin Leghari"/>
    <s v="SUZUKI-GD-110S"/>
    <n v="14960"/>
    <n v="12466"/>
    <n v="4.2500000000000003E-2"/>
    <s v="147279"/>
    <d v="2024-09-12T00:00:00"/>
    <s v="MOTORCYCLE  COMPREHENSIVE"/>
    <n v="352000"/>
    <n v="1869.9"/>
    <n v="124.66"/>
    <n v="500"/>
  </r>
  <r>
    <s v="KHI/HO/D/MO/MC COMP/P/97249/09/2024"/>
    <m/>
    <x v="5"/>
    <s v="South"/>
    <d v="2024-09-12T00:00:00"/>
    <d v="2025-09-12T00:00:00"/>
    <s v="NADEEM AHMED"/>
    <s v="SUZUKI-GR150 EURO II"/>
    <n v="23248"/>
    <n v="19610"/>
    <n v="4.2500914076782449E-2"/>
    <s v="113705"/>
    <d v="2024-09-12T00:00:00"/>
    <s v="MOTORCYCLE  COMPREHENSIVE"/>
    <n v="547000"/>
    <n v="2941.5"/>
    <n v="196.1"/>
    <n v="500"/>
  </r>
  <r>
    <s v="KHI/HO/D/MO/MC COMP/P/97250/09/2024"/>
    <m/>
    <x v="18"/>
    <s v="South"/>
    <d v="2024-09-12T00:00:00"/>
    <d v="2025-09-12T00:00:00"/>
    <s v="Ahmed Zaib"/>
    <s v="SUZUKI-GD-110S"/>
    <n v="14960"/>
    <n v="12466"/>
    <n v="4.2500000000000003E-2"/>
    <s v="146211"/>
    <d v="2024-09-12T00:00:00"/>
    <s v="MOTORCYCLE  COMPREHENSIVE"/>
    <n v="352000"/>
    <n v="1869.9"/>
    <n v="124.66"/>
    <n v="500"/>
  </r>
  <r>
    <s v="KHI/HO/D/MO/MC COMP/P/97251/09/2024"/>
    <m/>
    <x v="1"/>
    <s v="South"/>
    <d v="2024-09-12T00:00:00"/>
    <d v="2025-09-12T00:00:00"/>
    <s v="MUHAMMAD AHMED RAZA"/>
    <s v="SUZUKI-GD-110S"/>
    <n v="14960"/>
    <n v="12466"/>
    <n v="4.2500000000000003E-2"/>
    <s v="147497"/>
    <d v="2024-09-12T00:00:00"/>
    <s v="MOTORCYCLE  COMPREHENSIVE"/>
    <n v="352000"/>
    <n v="1869.9"/>
    <n v="124.66"/>
    <n v="500"/>
  </r>
  <r>
    <s v="KHI/HO/D/MO/MC COMP/P/97252/09/2024"/>
    <m/>
    <x v="1"/>
    <s v="South"/>
    <d v="2025-09-13T00:00:00"/>
    <d v="2026-09-13T00:00:00"/>
    <s v="MUHAMMAD AHMED RAZA"/>
    <s v="SUZUKI-GD-110S"/>
    <n v="14960"/>
    <n v="12466"/>
    <n v="4.2500000000000003E-2"/>
    <s v="147497"/>
    <d v="2024-09-12T00:00:00"/>
    <s v="MOTORCYCLE  COMPREHENSIVE"/>
    <n v="352000"/>
    <n v="1869.9"/>
    <n v="124.66"/>
    <n v="500"/>
  </r>
  <r>
    <s v="KHI/HO/D/MO/MC COMP/P/97253/09/2024"/>
    <m/>
    <x v="23"/>
    <s v="South"/>
    <d v="2024-09-12T00:00:00"/>
    <d v="2025-09-12T00:00:00"/>
    <s v="Muhammad Faizan"/>
    <s v="SUZUKI-GD-110S"/>
    <n v="14960"/>
    <n v="12466"/>
    <n v="4.2500000000000003E-2"/>
    <s v="147816"/>
    <d v="2024-09-12T00:00:00"/>
    <s v="MOTORCYCLE  COMPREHENSIVE"/>
    <n v="352000"/>
    <n v="1869.9"/>
    <n v="124.66"/>
    <n v="500"/>
  </r>
  <r>
    <s v="KHI/HO/D/MO/MC COMP/P/97254/09/2024"/>
    <m/>
    <x v="4"/>
    <s v="South"/>
    <d v="2024-09-12T00:00:00"/>
    <d v="2025-09-12T00:00:00"/>
    <s v="ADNAN"/>
    <s v="SUZUKI-GD-110S"/>
    <n v="14960"/>
    <n v="12466"/>
    <n v="4.2500000000000003E-2"/>
    <s v="146365"/>
    <d v="2024-09-12T00:00:00"/>
    <s v="MOTORCYCLE  COMPREHENSIVE"/>
    <n v="352000"/>
    <n v="1869.9"/>
    <n v="124.66"/>
    <n v="500"/>
  </r>
  <r>
    <s v="KHI/HO/D/MO/MC COMP/P/97255/09/2024"/>
    <m/>
    <x v="4"/>
    <s v="South"/>
    <d v="2024-09-12T00:00:00"/>
    <d v="2025-09-12T00:00:00"/>
    <s v="M KASHIF SHEIKH"/>
    <s v="SUZUKI-GD-110S"/>
    <n v="14960"/>
    <n v="12466"/>
    <n v="4.2500000000000003E-2"/>
    <s v="147131"/>
    <d v="2024-09-12T00:00:00"/>
    <s v="MOTORCYCLE  COMPREHENSIVE"/>
    <n v="352000"/>
    <n v="1869.9"/>
    <n v="124.66"/>
    <n v="500"/>
  </r>
  <r>
    <s v="KHI/HO/D/MO/MC COMP/P/97256/09/2024"/>
    <m/>
    <x v="4"/>
    <s v="South"/>
    <d v="2025-09-13T00:00:00"/>
    <d v="2026-09-13T00:00:00"/>
    <s v="M KASHIF SHEIKH"/>
    <s v="SUZUKI-GD-110S"/>
    <n v="14960"/>
    <n v="12466"/>
    <n v="4.2500000000000003E-2"/>
    <s v="147131"/>
    <d v="2024-09-12T00:00:00"/>
    <s v="MOTORCYCLE  COMPREHENSIVE"/>
    <n v="352000"/>
    <n v="1869.9"/>
    <n v="124.66"/>
    <n v="500"/>
  </r>
  <r>
    <s v="KHI/HO/D/MO/MC COMP/P/97257/09/2024"/>
    <m/>
    <x v="4"/>
    <s v="South"/>
    <d v="2024-09-12T00:00:00"/>
    <d v="2025-09-12T00:00:00"/>
    <s v="ZAIN UL ABEDIN"/>
    <s v="SUZUKI-GS 150"/>
    <n v="16235"/>
    <n v="13565"/>
    <n v="4.2500000000000003E-2"/>
    <s v="30092765"/>
    <d v="2024-09-12T00:00:00"/>
    <s v="MOTORCYCLE  COMPREHENSIVE"/>
    <n v="382000"/>
    <n v="2034.75"/>
    <n v="135.65"/>
    <n v="500"/>
  </r>
  <r>
    <s v="KHI/HO/D/MO/MC COMP/P/97258/09/2024"/>
    <m/>
    <x v="4"/>
    <s v="South"/>
    <d v="2025-09-13T00:00:00"/>
    <d v="2026-09-13T00:00:00"/>
    <s v="ZAIN UL ABEDIN"/>
    <s v="SUZUKI-GS 150"/>
    <n v="16235"/>
    <n v="13565"/>
    <n v="4.2500000000000003E-2"/>
    <s v="30092765"/>
    <d v="2024-09-12T00:00:00"/>
    <s v="MOTORCYCLE  COMPREHENSIVE"/>
    <n v="382000"/>
    <n v="2034.75"/>
    <n v="135.65"/>
    <n v="500"/>
  </r>
  <r>
    <s v="KHI/HO/D/MO/MC COMP/P/97259/09/2024"/>
    <m/>
    <x v="4"/>
    <s v="South"/>
    <d v="2024-09-12T00:00:00"/>
    <d v="2025-09-12T00:00:00"/>
    <s v="MEHMOOD KHATRI"/>
    <s v="SUZUKI-GD-110S"/>
    <n v="14960"/>
    <n v="12466"/>
    <n v="4.2500000000000003E-2"/>
    <s v="147713"/>
    <d v="2024-09-12T00:00:00"/>
    <s v="MOTORCYCLE  COMPREHENSIVE"/>
    <n v="352000"/>
    <n v="1869.9"/>
    <n v="124.66"/>
    <n v="500"/>
  </r>
  <r>
    <s v="KHI/HO/D/MO/MC COMP/P/97260/09/2024"/>
    <m/>
    <x v="4"/>
    <s v="South"/>
    <d v="2024-09-12T00:00:00"/>
    <d v="2025-09-12T00:00:00"/>
    <s v="S MIZAN UL HAQ HASHMI"/>
    <s v="SUZUKI-GS 150"/>
    <n v="16235"/>
    <n v="13565"/>
    <n v="4.2500000000000003E-2"/>
    <s v="30092916"/>
    <d v="2024-09-12T00:00:00"/>
    <s v="MOTORCYCLE  COMPREHENSIVE"/>
    <n v="382000"/>
    <n v="2034.75"/>
    <n v="135.65"/>
    <n v="500"/>
  </r>
  <r>
    <s v="KHI/HO/D/MO/MC COMP/P/97261/09/2024"/>
    <m/>
    <x v="4"/>
    <s v="South"/>
    <d v="2025-09-13T00:00:00"/>
    <d v="2026-09-13T00:00:00"/>
    <s v="S MIZAN UL HAQ HASHMI"/>
    <s v="SUZUKI-GS 150"/>
    <n v="16235"/>
    <n v="13565"/>
    <n v="4.2500000000000003E-2"/>
    <s v="30092916"/>
    <d v="2024-09-12T00:00:00"/>
    <s v="MOTORCYCLE  COMPREHENSIVE"/>
    <n v="382000"/>
    <n v="2034.75"/>
    <n v="135.65"/>
    <n v="500"/>
  </r>
  <r>
    <s v="KHI/HO/D/MO/MC COMP/P/97262/09/2024"/>
    <m/>
    <x v="4"/>
    <s v="South"/>
    <d v="2024-09-12T00:00:00"/>
    <d v="2025-09-12T00:00:00"/>
    <s v="MUHAMMAD YASEEN"/>
    <s v="SUZUKI-GD-110S"/>
    <n v="14960"/>
    <n v="12466"/>
    <n v="4.2500000000000003E-2"/>
    <s v="148071"/>
    <d v="2024-09-12T00:00:00"/>
    <s v="MOTORCYCLE  COMPREHENSIVE"/>
    <n v="352000"/>
    <n v="1869.9"/>
    <n v="124.66"/>
    <n v="500"/>
  </r>
  <r>
    <s v="KHI/HO/D/MO/MC COMP/P/97263/09/2024"/>
    <m/>
    <x v="4"/>
    <s v="South"/>
    <d v="2025-09-13T00:00:00"/>
    <d v="2026-09-13T00:00:00"/>
    <s v="MUHAMMAD YASEEN"/>
    <s v="SUZUKI-GD-110S"/>
    <n v="14960"/>
    <n v="12466"/>
    <n v="4.2500000000000003E-2"/>
    <s v="148071"/>
    <d v="2024-09-12T00:00:00"/>
    <s v="MOTORCYCLE  COMPREHENSIVE"/>
    <n v="352000"/>
    <n v="1869.9"/>
    <n v="124.66"/>
    <n v="500"/>
  </r>
  <r>
    <s v="KHI/HO/D/MO/MC COMP/P/97264/09/2024"/>
    <m/>
    <x v="4"/>
    <s v="South"/>
    <d v="2024-09-12T00:00:00"/>
    <d v="2025-09-12T00:00:00"/>
    <s v="SHAMSHAD ALI RAJPUT"/>
    <s v="SUZUKI-GD-110S"/>
    <n v="14960"/>
    <n v="12466"/>
    <n v="4.2500000000000003E-2"/>
    <s v="147712"/>
    <d v="2024-09-12T00:00:00"/>
    <s v="MOTORCYCLE  COMPREHENSIVE"/>
    <n v="352000"/>
    <n v="1869.9"/>
    <n v="124.66"/>
    <n v="500"/>
  </r>
  <r>
    <s v="KHI/HO/D/MO/MC COMP/P/97265/09/2024"/>
    <m/>
    <x v="4"/>
    <s v="South"/>
    <d v="2025-09-13T00:00:00"/>
    <d v="2026-09-13T00:00:00"/>
    <s v="SHAMSHAD ALI RAJPUT"/>
    <s v="SUZUKI-GD-110S"/>
    <n v="14960"/>
    <n v="12466"/>
    <n v="4.2500000000000003E-2"/>
    <s v="147712"/>
    <d v="2024-09-12T00:00:00"/>
    <s v="MOTORCYCLE  COMPREHENSIVE"/>
    <n v="352000"/>
    <n v="1869.9"/>
    <n v="124.66"/>
    <n v="500"/>
  </r>
  <r>
    <s v="KHI/HO/D/MO/MC COMP/P/97266/09/2024"/>
    <m/>
    <x v="4"/>
    <s v="South"/>
    <d v="2024-09-12T00:00:00"/>
    <d v="2025-09-12T00:00:00"/>
    <s v="UMAIR MALIK"/>
    <s v="SUZUKI-GD-110S"/>
    <n v="14960"/>
    <n v="12466"/>
    <n v="4.2500000000000003E-2"/>
    <s v="146120"/>
    <d v="2024-09-12T00:00:00"/>
    <s v="MOTORCYCLE  COMPREHENSIVE"/>
    <n v="352000"/>
    <n v="1869.9"/>
    <n v="124.66"/>
    <n v="500"/>
  </r>
  <r>
    <s v="KHI/HO/D/MO/MC COMP/P/97273/09/2024"/>
    <m/>
    <x v="6"/>
    <s v="South"/>
    <d v="2024-09-13T00:00:00"/>
    <d v="2025-09-13T00:00:00"/>
    <s v="MUHAMMAD NAWAZ KHAN"/>
    <s v="SUZUKI-GR150 EURO II"/>
    <n v="23248"/>
    <n v="19610"/>
    <n v="4.2500914076782449E-2"/>
    <s v="113622"/>
    <d v="2024-09-13T00:00:00"/>
    <s v="MOTORCYCLE  COMPREHENSIVE"/>
    <n v="547000"/>
    <n v="2941.5"/>
    <n v="196.1"/>
    <n v="500"/>
  </r>
  <r>
    <s v="KHI/HO/D/MO/MC COMP/P/97274/09/2024"/>
    <m/>
    <x v="6"/>
    <s v="South"/>
    <d v="2025-09-14T00:00:00"/>
    <d v="2026-09-14T00:00:00"/>
    <s v="MUHAMMAD NAWAZ KHAN"/>
    <s v="SUZUKI-GR150 EURO II"/>
    <n v="23248"/>
    <n v="19610"/>
    <n v="4.2500914076782449E-2"/>
    <s v="113622"/>
    <d v="2024-09-13T00:00:00"/>
    <s v="MOTORCYCLE  COMPREHENSIVE"/>
    <n v="547000"/>
    <n v="2941.5"/>
    <n v="196.1"/>
    <n v="500"/>
  </r>
  <r>
    <s v="KHI/HO/D/MO/MC COMP/P/97283/09/2024"/>
    <m/>
    <x v="18"/>
    <s v="South"/>
    <d v="2024-09-13T00:00:00"/>
    <d v="2025-09-13T00:00:00"/>
    <s v="Shahid Hassan Khan"/>
    <s v="SUZUKI-GD-110S"/>
    <n v="14960"/>
    <n v="12466"/>
    <n v="4.2500000000000003E-2"/>
    <s v="147093"/>
    <d v="2024-09-13T00:00:00"/>
    <s v="MOTORCYCLE  COMPREHENSIVE"/>
    <n v="352000"/>
    <n v="1869.9"/>
    <n v="124.66"/>
    <n v="500"/>
  </r>
  <r>
    <s v="KHI/HO/D/MO/MC COMP/P/97292/09/2024"/>
    <m/>
    <x v="4"/>
    <s v="South"/>
    <d v="2024-09-13T00:00:00"/>
    <d v="2025-09-13T00:00:00"/>
    <s v="IQBAL HAMEED"/>
    <s v="SUZUKI-GD-110S"/>
    <n v="14960"/>
    <n v="12466"/>
    <n v="4.2500000000000003E-2"/>
    <s v="148062"/>
    <d v="2024-09-13T00:00:00"/>
    <s v="MOTORCYCLE  COMPREHENSIVE"/>
    <n v="352000"/>
    <n v="1869.9"/>
    <n v="124.66"/>
    <n v="500"/>
  </r>
  <r>
    <s v="KHI/HO/D/MO/MC COMP/P/97293/09/2024"/>
    <m/>
    <x v="4"/>
    <s v="South"/>
    <d v="2025-09-14T00:00:00"/>
    <d v="2026-09-14T00:00:00"/>
    <s v="IQBAL HAMEED"/>
    <s v="SUZUKI-GD-110S"/>
    <n v="14960"/>
    <n v="12466"/>
    <n v="4.2500000000000003E-2"/>
    <s v="148062"/>
    <d v="2024-09-13T00:00:00"/>
    <s v="MOTORCYCLE  COMPREHENSIVE"/>
    <n v="352000"/>
    <n v="1869.9"/>
    <n v="124.66"/>
    <n v="500"/>
  </r>
  <r>
    <s v="KHI/HO/D/MO/MC COMP/P/97294/09/2024"/>
    <m/>
    <x v="6"/>
    <s v="South"/>
    <d v="2024-09-13T00:00:00"/>
    <d v="2025-09-13T00:00:00"/>
    <s v="UMAIR IRSHAD"/>
    <s v="SUZUKI-GD-110S"/>
    <n v="14960"/>
    <n v="12466"/>
    <n v="4.2500000000000003E-2"/>
    <s v="148160"/>
    <d v="2024-09-13T00:00:00"/>
    <s v="MOTORCYCLE  COMPREHENSIVE"/>
    <n v="352000"/>
    <n v="1869.9"/>
    <n v="124.66"/>
    <n v="500"/>
  </r>
  <r>
    <s v="KHI/HO/D/MO/MC COMP/P/97295/09/2024"/>
    <m/>
    <x v="6"/>
    <s v="South"/>
    <d v="2025-09-14T00:00:00"/>
    <d v="2026-09-14T00:00:00"/>
    <s v="UMAIR IRSHAD"/>
    <s v="SUZUKI-GD-110S"/>
    <n v="14960"/>
    <n v="12466"/>
    <n v="4.2500000000000003E-2"/>
    <s v="148160"/>
    <d v="2024-09-13T00:00:00"/>
    <s v="MOTORCYCLE  COMPREHENSIVE"/>
    <n v="352000"/>
    <n v="1869.9"/>
    <n v="124.66"/>
    <n v="500"/>
  </r>
  <r>
    <s v="KHI/HO/D/MO/MC COMP/P/97304/09/2024"/>
    <m/>
    <x v="6"/>
    <s v="South"/>
    <d v="2024-09-13T00:00:00"/>
    <d v="2025-09-13T00:00:00"/>
    <s v="MUHAMMAD WAHEED QAMAR"/>
    <s v="SUZUKI-GD-110S"/>
    <n v="14960"/>
    <n v="12466"/>
    <n v="4.2500000000000003E-2"/>
    <s v="148144"/>
    <d v="2024-09-13T00:00:00"/>
    <s v="MOTORCYCLE  COMPREHENSIVE"/>
    <n v="352000"/>
    <n v="1869.9"/>
    <n v="124.66"/>
    <n v="500"/>
  </r>
  <r>
    <s v="KHI/HO/D/MO/MC COMP/P/97305/09/2024"/>
    <m/>
    <x v="6"/>
    <s v="South"/>
    <d v="2025-09-14T00:00:00"/>
    <d v="2026-09-14T00:00:00"/>
    <s v="MUHAMMAD WAHEED QAMAR"/>
    <s v="SUZUKI-GD-110S"/>
    <n v="14960"/>
    <n v="12466"/>
    <n v="4.2500000000000003E-2"/>
    <s v="148144"/>
    <d v="2024-09-13T00:00:00"/>
    <s v="MOTORCYCLE  COMPREHENSIVE"/>
    <n v="352000"/>
    <n v="1869.9"/>
    <n v="124.66"/>
    <n v="500"/>
  </r>
  <r>
    <s v="KHI/HO/D/MO/MC COMP/P/97312/09/2024"/>
    <m/>
    <x v="0"/>
    <s v="Punjab"/>
    <d v="2024-09-13T00:00:00"/>
    <d v="2025-09-13T00:00:00"/>
    <s v="MUHAMMAD ASHRAF"/>
    <s v="SUZUKI-GD-110S"/>
    <n v="8800"/>
    <n v="7155"/>
    <n v="2.5000000000000001E-2"/>
    <s v="147946"/>
    <d v="2024-09-13T00:00:00"/>
    <s v="MOTORCYCLE  COMPREHENSIVE"/>
    <n v="352000"/>
    <n v="1073.25"/>
    <n v="71.55"/>
    <n v="500"/>
  </r>
  <r>
    <s v="KHI/HO/D/MO/MC COMP/P/97313/09/2024"/>
    <m/>
    <x v="2"/>
    <s v="South"/>
    <d v="2024-09-13T00:00:00"/>
    <d v="2025-09-13T00:00:00"/>
    <s v="SHAH KHALID"/>
    <s v="SUZUKI-GD-110S"/>
    <n v="23248"/>
    <n v="19610"/>
    <n v="4.2500914076782449E-2"/>
    <s v="113701"/>
    <d v="2024-09-13T00:00:00"/>
    <s v="MOTORCYCLE  COMPREHENSIVE"/>
    <n v="547000"/>
    <n v="2941.5"/>
    <n v="196.1"/>
    <n v="500"/>
  </r>
  <r>
    <s v="KHI/HO/D/MO/MC COMP/P/97314/09/2024"/>
    <m/>
    <x v="5"/>
    <s v="South"/>
    <d v="2024-09-13T00:00:00"/>
    <d v="2025-09-13T00:00:00"/>
    <s v="ASIF RAZA MUGHAL"/>
    <s v="SUZUKI-GS 150"/>
    <n v="16235"/>
    <n v="13565"/>
    <n v="4.2500000000000003E-2"/>
    <s v="30092993"/>
    <d v="2024-09-13T00:00:00"/>
    <s v="MOTORCYCLE  COMPREHENSIVE"/>
    <n v="382000"/>
    <n v="2034.75"/>
    <n v="135.65"/>
    <n v="500"/>
  </r>
  <r>
    <s v="KHI/HO/D/MO/MC COMP/P/97315/09/2024"/>
    <m/>
    <x v="5"/>
    <s v="South"/>
    <d v="2025-09-14T00:00:00"/>
    <d v="2026-09-14T00:00:00"/>
    <s v="ASIF RAZA MUGHAL"/>
    <s v="SUZUKI-GS 150"/>
    <n v="16235"/>
    <n v="13565"/>
    <n v="4.2500000000000003E-2"/>
    <s v="30092993"/>
    <d v="2024-09-13T00:00:00"/>
    <s v="MOTORCYCLE  COMPREHENSIVE"/>
    <n v="382000"/>
    <n v="2034.75"/>
    <n v="135.65"/>
    <n v="500"/>
  </r>
  <r>
    <s v="KHI/HO/D/MO/MC COMP/P/97316/09/2024"/>
    <m/>
    <x v="3"/>
    <s v="South"/>
    <d v="2024-09-13T00:00:00"/>
    <d v="2025-09-13T00:00:00"/>
    <s v="Shahzad #4230108714181"/>
    <s v="SUZUKI-GD-110S"/>
    <n v="14960"/>
    <n v="12466"/>
    <n v="4.2500000000000003E-2"/>
    <s v="148186"/>
    <d v="2024-09-13T00:00:00"/>
    <s v="MOTORCYCLE  COMPREHENSIVE"/>
    <n v="352000"/>
    <n v="1869.9"/>
    <n v="124.66"/>
    <n v="500"/>
  </r>
  <r>
    <s v="KHI/HO/D/MO/MC COMP/P/97318/09/2024"/>
    <m/>
    <x v="15"/>
    <s v="Punjab"/>
    <d v="2024-09-13T00:00:00"/>
    <d v="2025-09-13T00:00:00"/>
    <s v="UMAR SULEMAN"/>
    <s v="SUZUKI-GSX 125"/>
    <n v="12475"/>
    <n v="10323"/>
    <n v="2.5000000000000001E-2"/>
    <s v="23102641"/>
    <d v="2024-09-13T00:00:00"/>
    <s v="MOTORCYCLE  COMPREHENSIVE"/>
    <n v="499000"/>
    <n v="1548.45"/>
    <n v="103.23"/>
    <n v="500"/>
  </r>
  <r>
    <s v="KHI/HO/D/MO/MC COMP/P/97319/09/2024"/>
    <m/>
    <x v="15"/>
    <s v="Punjab"/>
    <d v="2024-09-13T00:00:00"/>
    <d v="2025-09-13T00:00:00"/>
    <s v="USMAN AHMAD"/>
    <s v="SUZUKI-GD-110S"/>
    <n v="8800"/>
    <n v="7155"/>
    <n v="2.5000000000000001E-2"/>
    <s v="147053"/>
    <d v="2024-09-13T00:00:00"/>
    <s v="MOTORCYCLE  COMPREHENSIVE"/>
    <n v="352000"/>
    <n v="1073.25"/>
    <n v="71.55"/>
    <n v="500"/>
  </r>
  <r>
    <s v="KHI/HO/D/MO/MC COMP/P/97320/09/2024"/>
    <m/>
    <x v="6"/>
    <s v="South"/>
    <d v="2024-09-13T00:00:00"/>
    <d v="2025-09-13T00:00:00"/>
    <s v="DANIAL RAZA"/>
    <s v="SUZUKI-GD-110S"/>
    <n v="14960"/>
    <n v="12466"/>
    <n v="4.2500000000000003E-2"/>
    <s v="148238"/>
    <d v="2024-09-13T00:00:00"/>
    <s v="MOTORCYCLE  COMPREHENSIVE"/>
    <n v="352000"/>
    <n v="1869.9"/>
    <n v="124.66"/>
    <n v="500"/>
  </r>
  <r>
    <s v="KHI/HO/D/MO/MC COMP/P/97322/09/2024"/>
    <m/>
    <x v="5"/>
    <s v="South"/>
    <d v="2024-09-13T00:00:00"/>
    <d v="2025-09-13T00:00:00"/>
    <s v="MUHAMMAD AKRAM SOOMRO"/>
    <s v="SUZUKI-GD-110S"/>
    <n v="14960"/>
    <n v="12466"/>
    <n v="4.2500000000000003E-2"/>
    <s v="148040"/>
    <d v="2024-09-13T00:00:00"/>
    <s v="MOTORCYCLE  COMPREHENSIVE"/>
    <n v="352000"/>
    <n v="1869.9"/>
    <n v="124.66"/>
    <n v="500"/>
  </r>
  <r>
    <s v="KHI/HO/D/MO/MC COMP/P/97323/09/2024"/>
    <m/>
    <x v="15"/>
    <s v="Punjab"/>
    <d v="2024-09-13T00:00:00"/>
    <d v="2025-09-13T00:00:00"/>
    <s v="HAFIZ MUHAMMAD USMAN JAFFAR"/>
    <s v="SUZUKI-GS 150"/>
    <n v="9550"/>
    <n v="7802"/>
    <n v="2.5000000000000001E-2"/>
    <s v="30092560"/>
    <d v="2024-09-13T00:00:00"/>
    <s v="MOTORCYCLE  COMPREHENSIVE"/>
    <n v="382000"/>
    <n v="1170.3"/>
    <n v="78.02"/>
    <n v="500"/>
  </r>
  <r>
    <s v="KHI/HO/D/MO/MC COMP/P/97324/09/2024"/>
    <m/>
    <x v="5"/>
    <s v="South"/>
    <d v="2024-09-13T00:00:00"/>
    <d v="2025-09-13T00:00:00"/>
    <s v="MUHAMMAD NOMAN BASHIR"/>
    <s v="SUZUKI-GSX 125"/>
    <n v="21208"/>
    <n v="17852"/>
    <n v="4.2501002004008019E-2"/>
    <s v="23102612"/>
    <d v="2024-09-13T00:00:00"/>
    <s v="MOTORCYCLE  COMPREHENSIVE"/>
    <n v="499000"/>
    <n v="2677.8"/>
    <n v="178.52"/>
    <n v="500"/>
  </r>
  <r>
    <s v="KHI/HO/D/MO/MC COMP/P/97325/09/2024"/>
    <m/>
    <x v="15"/>
    <s v="Punjab"/>
    <d v="2024-09-13T00:00:00"/>
    <d v="2025-09-13T00:00:00"/>
    <s v="UMAR HAYAT"/>
    <s v="SUZUKI-GD-110S"/>
    <n v="8800"/>
    <n v="7155"/>
    <n v="2.5000000000000001E-2"/>
    <s v="147016"/>
    <d v="2024-09-13T00:00:00"/>
    <s v="MOTORCYCLE  COMPREHENSIVE"/>
    <n v="352000"/>
    <n v="1073.25"/>
    <n v="71.55"/>
    <n v="500"/>
  </r>
  <r>
    <s v="KHI/HO/D/MO/MC COMP/P/97327/09/2024"/>
    <m/>
    <x v="15"/>
    <s v="Punjab"/>
    <d v="2024-09-13T00:00:00"/>
    <d v="2025-09-13T00:00:00"/>
    <s v="MUHAMMAD AQIB"/>
    <s v="SUZUKI-GSX 125"/>
    <n v="12475"/>
    <n v="10323"/>
    <n v="2.5000000000000001E-2"/>
    <s v="23102619"/>
    <d v="2024-09-13T00:00:00"/>
    <s v="MOTORCYCLE  COMPREHENSIVE"/>
    <n v="499000"/>
    <n v="1548.45"/>
    <n v="103.23"/>
    <n v="500"/>
  </r>
  <r>
    <s v="KHI/HO/D/MO/MC COMP/P/97328/09/2024"/>
    <m/>
    <x v="7"/>
    <s v="South"/>
    <d v="2024-09-13T00:00:00"/>
    <d v="2025-09-13T00:00:00"/>
    <s v="SAMI AHMED"/>
    <s v="SUZUKI-GS 150"/>
    <n v="16235"/>
    <n v="13565"/>
    <n v="4.2500000000000003E-2"/>
    <s v="30092965"/>
    <d v="2024-09-13T00:00:00"/>
    <s v="MOTORCYCLE  COMPREHENSIVE"/>
    <n v="382000"/>
    <n v="2034.75"/>
    <n v="135.65"/>
    <n v="500"/>
  </r>
  <r>
    <s v="KHI/HO/D/MO/MC COMP/P/97330/09/2024"/>
    <m/>
    <x v="15"/>
    <s v="Punjab"/>
    <d v="2024-09-13T00:00:00"/>
    <d v="2025-09-13T00:00:00"/>
    <s v="AHMED RIAZ"/>
    <s v="SUZUKI-GD-110S"/>
    <n v="8800"/>
    <n v="7155"/>
    <n v="2.5000000000000001E-2"/>
    <s v="147068"/>
    <d v="2024-09-13T00:00:00"/>
    <s v="MOTORCYCLE  COMPREHENSIVE"/>
    <n v="352000"/>
    <n v="1073.25"/>
    <n v="71.55"/>
    <n v="500"/>
  </r>
  <r>
    <s v="KHI/HO/D/MO/MC COMP/P/97331/09/2024"/>
    <m/>
    <x v="15"/>
    <s v="Punjab"/>
    <d v="2024-09-13T00:00:00"/>
    <d v="2025-09-13T00:00:00"/>
    <s v="AMEER HAMZA"/>
    <s v="SUZUKI-GD-110S"/>
    <n v="8800"/>
    <n v="7155"/>
    <n v="2.5000000000000001E-2"/>
    <s v="147052"/>
    <d v="2024-09-13T00:00:00"/>
    <s v="MOTORCYCLE  COMPREHENSIVE"/>
    <n v="352000"/>
    <n v="1073.25"/>
    <n v="71.55"/>
    <n v="500"/>
  </r>
  <r>
    <s v="KHI/HO/D/MO/MC COMP/P/97333/09/2024"/>
    <m/>
    <x v="15"/>
    <s v="Punjab"/>
    <d v="2024-09-13T00:00:00"/>
    <d v="2025-09-13T00:00:00"/>
    <s v="NASIR LATIF"/>
    <s v="SUZUKI-GD-110S"/>
    <n v="8800"/>
    <n v="7155"/>
    <n v="2.5000000000000001E-2"/>
    <s v="147569"/>
    <d v="2024-09-13T00:00:00"/>
    <s v="MOTORCYCLE  COMPREHENSIVE"/>
    <n v="352000"/>
    <n v="1073.25"/>
    <n v="71.55"/>
    <n v="500"/>
  </r>
  <r>
    <s v="KHI/HO/D/MO/MC COMP/P/97334/09/2024"/>
    <m/>
    <x v="7"/>
    <s v="South"/>
    <d v="2024-09-13T00:00:00"/>
    <d v="2025-09-13T00:00:00"/>
    <s v="MOHSIN AHMED"/>
    <s v="SUZUKI-GD-110S"/>
    <n v="14960"/>
    <n v="12466"/>
    <n v="4.2500000000000003E-2"/>
    <s v="148197"/>
    <d v="2024-09-13T00:00:00"/>
    <s v="MOTORCYCLE  COMPREHENSIVE"/>
    <n v="352000"/>
    <n v="1869.9"/>
    <n v="124.66"/>
    <n v="500"/>
  </r>
  <r>
    <s v="KHI/HO/D/MO/MC COMP/P/97335/09/2024"/>
    <m/>
    <x v="5"/>
    <s v="South"/>
    <d v="2024-09-13T00:00:00"/>
    <d v="2025-09-13T00:00:00"/>
    <s v="FAISAL SIDDIQUI"/>
    <s v="SUZUKI-GS 150"/>
    <n v="16235"/>
    <n v="13565"/>
    <n v="4.2500000000000003E-2"/>
    <s v="30092994"/>
    <d v="2024-09-13T00:00:00"/>
    <s v="MOTORCYCLE  COMPREHENSIVE"/>
    <n v="382000"/>
    <n v="2034.75"/>
    <n v="135.65"/>
    <n v="500"/>
  </r>
  <r>
    <s v="KHI/HO/D/MO/MC COMP/P/97336/09/2024"/>
    <m/>
    <x v="5"/>
    <s v="South"/>
    <d v="2025-09-14T00:00:00"/>
    <d v="2026-09-14T00:00:00"/>
    <s v="FAISAL SIDDIQUI"/>
    <s v="SUZUKI-GS 150"/>
    <n v="16235"/>
    <n v="13565"/>
    <n v="4.2500000000000003E-2"/>
    <s v="30092994"/>
    <d v="2024-09-13T00:00:00"/>
    <s v="MOTORCYCLE  COMPREHENSIVE"/>
    <n v="382000"/>
    <n v="2034.75"/>
    <n v="135.65"/>
    <n v="500"/>
  </r>
  <r>
    <s v="KHI/HO/D/MO/MC COMP/P/97338/09/2024"/>
    <m/>
    <x v="15"/>
    <s v="Punjab"/>
    <d v="2024-09-13T00:00:00"/>
    <d v="2025-09-13T00:00:00"/>
    <s v="HUMZA ASLAM"/>
    <s v="SUZUKI-GD-110S"/>
    <n v="8800"/>
    <n v="7155"/>
    <n v="2.5000000000000001E-2"/>
    <s v="147564"/>
    <d v="2024-09-13T00:00:00"/>
    <s v="MOTORCYCLE  COMPREHENSIVE"/>
    <n v="352000"/>
    <n v="1073.25"/>
    <n v="71.55"/>
    <n v="500"/>
  </r>
  <r>
    <s v="KHI/HO/D/MO/MC COMP/P/97339/09/2024"/>
    <m/>
    <x v="15"/>
    <s v="Punjab"/>
    <d v="2024-09-13T00:00:00"/>
    <d v="2025-09-13T00:00:00"/>
    <s v="MUHAMMAD NAVEED"/>
    <s v="SUZUKI-GD-110S"/>
    <n v="8800"/>
    <n v="7155"/>
    <n v="2.5000000000000001E-2"/>
    <s v="147017"/>
    <d v="2024-09-13T00:00:00"/>
    <s v="MOTORCYCLE  COMPREHENSIVE"/>
    <n v="352000"/>
    <n v="1073.25"/>
    <n v="71.55"/>
    <n v="500"/>
  </r>
  <r>
    <s v="KHI/HO/D/MO/MC COMP/P/97340/09/2024"/>
    <m/>
    <x v="5"/>
    <s v="South"/>
    <d v="2024-09-13T00:00:00"/>
    <d v="2025-09-13T00:00:00"/>
    <s v="SHAHZAIB KHAN KHAWAR"/>
    <s v="SUZUKI-GS 150"/>
    <n v="16235"/>
    <n v="13565"/>
    <n v="4.2500000000000003E-2"/>
    <s v="30092543"/>
    <d v="2024-09-13T00:00:00"/>
    <s v="MOTORCYCLE  COMPREHENSIVE"/>
    <n v="382000"/>
    <n v="2034.75"/>
    <n v="135.65"/>
    <n v="500"/>
  </r>
  <r>
    <s v="KHI/HO/D/MO/MC COMP/P/97341/09/2024"/>
    <m/>
    <x v="5"/>
    <s v="South"/>
    <d v="2025-09-14T00:00:00"/>
    <d v="2026-09-14T00:00:00"/>
    <s v="SHAHZAIB KHAN KHAWAR"/>
    <s v="SUZUKI-GS 150"/>
    <n v="16235"/>
    <n v="13565"/>
    <n v="4.2500000000000003E-2"/>
    <s v="30092543"/>
    <d v="2024-09-13T00:00:00"/>
    <s v="MOTORCYCLE  COMPREHENSIVE"/>
    <n v="382000"/>
    <n v="2034.75"/>
    <n v="135.65"/>
    <n v="500"/>
  </r>
  <r>
    <s v="KHI/HO/D/MO/MC COMP/P/97342/09/2024"/>
    <m/>
    <x v="5"/>
    <s v="South"/>
    <d v="2024-09-13T00:00:00"/>
    <d v="2025-09-13T00:00:00"/>
    <s v="KHALID ABBASI"/>
    <s v="SUZUKI-GD-110S"/>
    <n v="14960"/>
    <n v="12466"/>
    <n v="4.2500000000000003E-2"/>
    <s v="146869"/>
    <d v="2024-09-13T00:00:00"/>
    <s v="MOTORCYCLE  COMPREHENSIVE"/>
    <n v="352000"/>
    <n v="1869.9"/>
    <n v="124.66"/>
    <n v="500"/>
  </r>
  <r>
    <s v="KHI/HO/D/MO/MC COMP/P/97343/09/2024"/>
    <m/>
    <x v="5"/>
    <s v="South"/>
    <d v="2025-09-14T00:00:00"/>
    <d v="2026-09-14T00:00:00"/>
    <s v="KHALID ABBASI"/>
    <s v="SUZUKI-GD-110S"/>
    <n v="14960"/>
    <n v="12466"/>
    <n v="4.2500000000000003E-2"/>
    <s v="146869"/>
    <d v="2024-09-13T00:00:00"/>
    <s v="MOTORCYCLE  COMPREHENSIVE"/>
    <n v="352000"/>
    <n v="1869.9"/>
    <n v="124.66"/>
    <n v="500"/>
  </r>
  <r>
    <s v="KHI/HO/D/MO/MC COMP/P/97344/09/2024"/>
    <m/>
    <x v="3"/>
    <s v="South"/>
    <d v="2024-09-13T00:00:00"/>
    <d v="2025-09-13T00:00:00"/>
    <s v="SAMEER JAWAID"/>
    <s v="SUZUKI-GD-110S"/>
    <n v="14960"/>
    <n v="12466"/>
    <n v="4.2500000000000003E-2"/>
    <s v="148190"/>
    <d v="2024-09-13T00:00:00"/>
    <s v="MOTORCYCLE  COMPREHENSIVE"/>
    <n v="352000"/>
    <n v="1869.9"/>
    <n v="124.66"/>
    <n v="500"/>
  </r>
  <r>
    <s v="KHI/HO/D/MO/MC COMP/P/97345/09/2024"/>
    <m/>
    <x v="3"/>
    <s v="South"/>
    <d v="2024-09-13T00:00:00"/>
    <d v="2025-09-13T00:00:00"/>
    <s v="MUHAMMAD UMAIR"/>
    <s v="SUZUKI-GD-110S"/>
    <n v="14960"/>
    <n v="12466"/>
    <n v="4.2500000000000003E-2"/>
    <s v="148167"/>
    <d v="2024-09-13T00:00:00"/>
    <s v="MOTORCYCLE  COMPREHENSIVE"/>
    <n v="352000"/>
    <n v="1869.9"/>
    <n v="124.66"/>
    <n v="500"/>
  </r>
  <r>
    <s v="KHI/HO/D/MO/MC COMP/P/97346/09/2024"/>
    <m/>
    <x v="3"/>
    <s v="South"/>
    <d v="2024-09-13T00:00:00"/>
    <d v="2025-09-13T00:00:00"/>
    <s v="MUHAMMAD MUJAHID"/>
    <s v="SUZUKI-GD-110S"/>
    <n v="14960"/>
    <n v="12466"/>
    <n v="4.2500000000000003E-2"/>
    <s v="148187"/>
    <d v="2024-09-13T00:00:00"/>
    <s v="MOTORCYCLE  COMPREHENSIVE"/>
    <n v="352000"/>
    <n v="1869.9"/>
    <n v="124.66"/>
    <n v="500"/>
  </r>
  <r>
    <s v="KHI/HO/D/MO/MC COMP/P/97347/09/2024"/>
    <m/>
    <x v="18"/>
    <s v="South"/>
    <d v="2024-09-14T00:00:00"/>
    <d v="2025-09-14T00:00:00"/>
    <s v="Ejaz Ahmed"/>
    <s v="SUZUKI-GD-110S"/>
    <n v="14960"/>
    <n v="12466"/>
    <n v="4.2500000000000003E-2"/>
    <s v="146201"/>
    <d v="2024-09-14T00:00:00"/>
    <s v="MOTORCYCLE  COMPREHENSIVE"/>
    <n v="352000"/>
    <n v="1869.9"/>
    <n v="124.66"/>
    <n v="500"/>
  </r>
  <r>
    <s v="KHI/HO/D/MO/MC COMP/P/97348/09/2024"/>
    <m/>
    <x v="18"/>
    <s v="South"/>
    <d v="2025-09-15T00:00:00"/>
    <d v="2026-09-15T00:00:00"/>
    <s v="Ejaz Ahmed"/>
    <s v="SUZUKI-GD-110S"/>
    <n v="14960"/>
    <n v="12466"/>
    <n v="4.2500000000000003E-2"/>
    <s v="146201"/>
    <d v="2024-09-14T00:00:00"/>
    <s v="MOTORCYCLE  COMPREHENSIVE"/>
    <n v="352000"/>
    <n v="1869.9"/>
    <n v="124.66"/>
    <n v="500"/>
  </r>
  <r>
    <s v="KHI/HO/D/MO/MC COMP/P/97349/09/2024"/>
    <m/>
    <x v="18"/>
    <s v="South"/>
    <d v="2024-09-14T00:00:00"/>
    <d v="2025-09-14T00:00:00"/>
    <s v="Kumail Abbas"/>
    <s v="SUZUKI-GD-110S"/>
    <n v="14960"/>
    <n v="12466"/>
    <n v="4.2500000000000003E-2"/>
    <s v="148341"/>
    <d v="2024-09-14T00:00:00"/>
    <s v="MOTORCYCLE  COMPREHENSIVE"/>
    <n v="352000"/>
    <n v="1869.9"/>
    <n v="124.66"/>
    <n v="500"/>
  </r>
  <r>
    <s v="KHI/HO/D/MO/MC COMP/P/97350/09/2024"/>
    <m/>
    <x v="18"/>
    <s v="South"/>
    <d v="2025-09-15T00:00:00"/>
    <d v="2026-09-15T00:00:00"/>
    <s v="Kumail Abbas"/>
    <s v="SUZUKI-GD-110S"/>
    <n v="14960"/>
    <n v="12466"/>
    <n v="4.2500000000000003E-2"/>
    <s v="148341"/>
    <d v="2024-09-14T00:00:00"/>
    <s v="MOTORCYCLE  COMPREHENSIVE"/>
    <n v="352000"/>
    <n v="1869.9"/>
    <n v="124.66"/>
    <n v="500"/>
  </r>
  <r>
    <s v="KHI/HO/D/MO/MC COMP/P/97351/09/2024"/>
    <m/>
    <x v="13"/>
    <s v="Punjab"/>
    <d v="2024-09-14T00:00:00"/>
    <d v="2025-09-14T00:00:00"/>
    <s v="SYED MASOOD ALI JAFARY"/>
    <s v="SUZUKI-GR150 EURO II"/>
    <n v="13675"/>
    <n v="11358"/>
    <n v="2.5000000000000001E-2"/>
    <s v="113694"/>
    <d v="2024-09-14T00:00:00"/>
    <s v="MOTORCYCLE  COMPREHENSIVE"/>
    <n v="547000"/>
    <n v="1703.7"/>
    <n v="113.58"/>
    <n v="500"/>
  </r>
  <r>
    <s v="KHI/HO/D/MO/MC COMP/P/97352/09/2024"/>
    <m/>
    <x v="18"/>
    <s v="South"/>
    <d v="2024-09-14T00:00:00"/>
    <d v="2025-09-14T00:00:00"/>
    <s v="Pervez"/>
    <s v="SUZUKI-GD-110S"/>
    <n v="14960"/>
    <n v="12466"/>
    <n v="4.2500000000000003E-2"/>
    <s v="147102"/>
    <d v="2024-09-14T00:00:00"/>
    <s v="MOTORCYCLE  COMPREHENSIVE"/>
    <n v="352000"/>
    <n v="1869.9"/>
    <n v="124.66"/>
    <n v="500"/>
  </r>
  <r>
    <s v="KHI/HO/D/MO/MC COMP/P/97353/09/2024"/>
    <m/>
    <x v="13"/>
    <s v="Punjab"/>
    <d v="2024-09-14T00:00:00"/>
    <d v="2025-09-14T00:00:00"/>
    <s v="TARIQ SULEMAN"/>
    <s v="SUZUKI-GD-110S"/>
    <n v="8800"/>
    <n v="7155"/>
    <n v="2.5000000000000001E-2"/>
    <s v="147931"/>
    <d v="2024-09-14T00:00:00"/>
    <s v="MOTORCYCLE  COMPREHENSIVE"/>
    <n v="352000"/>
    <n v="1073.25"/>
    <n v="71.55"/>
    <n v="500"/>
  </r>
  <r>
    <s v="KHI/HO/D/MO/MC COMP/P/97354/09/2024"/>
    <m/>
    <x v="18"/>
    <s v="South"/>
    <d v="2024-09-14T00:00:00"/>
    <d v="2025-09-14T00:00:00"/>
    <s v="Muhammad Owais Siddiqui"/>
    <s v="SUZUKI-GS 150"/>
    <n v="16235"/>
    <n v="13565"/>
    <n v="4.2500000000000003E-2"/>
    <s v="30092792"/>
    <d v="2024-09-14T00:00:00"/>
    <s v="MOTORCYCLE  COMPREHENSIVE"/>
    <n v="382000"/>
    <n v="2034.75"/>
    <n v="135.65"/>
    <n v="500"/>
  </r>
  <r>
    <s v="KHI/HO/D/MO/MC COMP/P/97355/09/2024"/>
    <m/>
    <x v="18"/>
    <s v="South"/>
    <d v="2025-09-15T00:00:00"/>
    <d v="2026-09-15T00:00:00"/>
    <s v="Muhammad Owais Siddiqui"/>
    <s v="SUZUKI-GS 150"/>
    <n v="16235"/>
    <n v="13565"/>
    <n v="4.2500000000000003E-2"/>
    <s v="30092792"/>
    <d v="2024-09-14T00:00:00"/>
    <s v="MOTORCYCLE  COMPREHENSIVE"/>
    <n v="382000"/>
    <n v="2034.75"/>
    <n v="135.65"/>
    <n v="500"/>
  </r>
  <r>
    <s v="KHI/HO/D/MO/MC COMP/P/97357/09/2024"/>
    <m/>
    <x v="1"/>
    <s v="South"/>
    <d v="2024-09-14T00:00:00"/>
    <d v="2025-09-14T00:00:00"/>
    <s v="MUHAMMAD ARIF ANSARI"/>
    <s v="SUZUKI-GD-110S"/>
    <n v="14960"/>
    <n v="12466"/>
    <n v="4.2500000000000003E-2"/>
    <s v="148335"/>
    <d v="2024-09-14T00:00:00"/>
    <s v="MOTORCYCLE  COMPREHENSIVE"/>
    <n v="352000"/>
    <n v="1869.9"/>
    <n v="124.66"/>
    <n v="500"/>
  </r>
  <r>
    <s v="KHI/HO/D/MO/MC COMP/P/97358/09/2024"/>
    <m/>
    <x v="2"/>
    <s v="South"/>
    <d v="2024-09-14T00:00:00"/>
    <d v="2025-09-14T00:00:00"/>
    <s v="SALMAN WAHEED"/>
    <s v="SUZUKI-GD-110S"/>
    <n v="14960"/>
    <n v="12466"/>
    <n v="4.2500000000000003E-2"/>
    <s v="148050"/>
    <d v="2024-09-14T00:00:00"/>
    <s v="MOTORCYCLE  COMPREHENSIVE"/>
    <n v="352000"/>
    <n v="1869.9"/>
    <n v="124.66"/>
    <n v="500"/>
  </r>
  <r>
    <s v="KHI/HO/D/MO/MC COMP/P/97361/09/2024"/>
    <m/>
    <x v="8"/>
    <s v="Punjab"/>
    <d v="2024-09-14T00:00:00"/>
    <d v="2025-09-14T00:00:00"/>
    <s v="ARSLAN BAIG"/>
    <s v="SUZUKI-GD-110S"/>
    <n v="8800"/>
    <n v="7155"/>
    <n v="2.5000000000000001E-2"/>
    <s v="147066"/>
    <d v="2024-09-14T00:00:00"/>
    <s v="MOTORCYCLE  COMPREHENSIVE"/>
    <n v="352000"/>
    <n v="1073.25"/>
    <n v="71.55"/>
    <n v="500"/>
  </r>
  <r>
    <s v="KHI/HO/D/MO/MC COMP/P/97362/09/2024"/>
    <m/>
    <x v="8"/>
    <s v="Punjab"/>
    <d v="2024-09-14T00:00:00"/>
    <d v="2025-09-14T00:00:00"/>
    <s v="TARIQ MASIH"/>
    <s v="SUZUKI-GR150 EURO II"/>
    <n v="13675"/>
    <n v="11358"/>
    <n v="2.5000000000000001E-2"/>
    <s v="113593"/>
    <d v="2024-09-14T00:00:00"/>
    <s v="MOTORCYCLE  COMPREHENSIVE"/>
    <n v="547000"/>
    <n v="1703.7"/>
    <n v="113.58"/>
    <n v="500"/>
  </r>
  <r>
    <s v="KHI/HO/D/MO/MC COMP/P/97363/09/2024"/>
    <m/>
    <x v="8"/>
    <s v="Punjab"/>
    <d v="2024-09-14T00:00:00"/>
    <d v="2025-09-14T00:00:00"/>
    <s v="FARHAN AHMAD"/>
    <s v="SUZUKI-GD-110S"/>
    <n v="8800"/>
    <n v="7155"/>
    <n v="2.5000000000000001E-2"/>
    <s v="146884"/>
    <d v="2024-09-14T00:00:00"/>
    <s v="MOTORCYCLE  COMPREHENSIVE"/>
    <n v="352000"/>
    <n v="1073.25"/>
    <n v="71.55"/>
    <n v="500"/>
  </r>
  <r>
    <s v="KHI/HO/D/MO/MC COMP/P/97364/09/2024"/>
    <m/>
    <x v="8"/>
    <s v="Punjab"/>
    <d v="2024-09-14T00:00:00"/>
    <d v="2025-09-14T00:00:00"/>
    <s v="MURTAZA ALI"/>
    <s v="SUZUKI-GD-110S"/>
    <n v="8800"/>
    <n v="7155"/>
    <n v="2.5000000000000001E-2"/>
    <s v="147039"/>
    <d v="2024-09-14T00:00:00"/>
    <s v="MOTORCYCLE  COMPREHENSIVE"/>
    <n v="352000"/>
    <n v="1073.25"/>
    <n v="71.55"/>
    <n v="500"/>
  </r>
  <r>
    <s v="KHI/HO/D/MO/MC COMP/P/97365/09/2024"/>
    <m/>
    <x v="1"/>
    <s v="South"/>
    <d v="2024-09-14T00:00:00"/>
    <d v="2025-09-14T00:00:00"/>
    <s v="USMAN NADEEM"/>
    <s v="SUZUKI-GD-110S"/>
    <n v="14960"/>
    <n v="12466"/>
    <n v="4.2500000000000003E-2"/>
    <s v="146808"/>
    <d v="2024-09-14T00:00:00"/>
    <s v="MOTORCYCLE  COMPREHENSIVE"/>
    <n v="352000"/>
    <n v="1869.9"/>
    <n v="124.66"/>
    <n v="500"/>
  </r>
  <r>
    <s v="KHI/HO/D/MO/MC COMP/P/97366/09/2024"/>
    <m/>
    <x v="1"/>
    <s v="South"/>
    <d v="2025-09-15T00:00:00"/>
    <d v="2026-09-15T00:00:00"/>
    <s v="USMAN NADEEM"/>
    <s v="SUZUKI-GD-110S"/>
    <n v="14960"/>
    <n v="12466"/>
    <n v="4.2500000000000003E-2"/>
    <s v="146808"/>
    <d v="2024-09-14T00:00:00"/>
    <s v="MOTORCYCLE  COMPREHENSIVE"/>
    <n v="352000"/>
    <n v="1869.9"/>
    <n v="124.66"/>
    <n v="500"/>
  </r>
  <r>
    <s v="KHI/HO/D/MO/MC COMP/P/97368/09/2024"/>
    <m/>
    <x v="6"/>
    <s v="South"/>
    <d v="2024-09-14T00:00:00"/>
    <d v="2025-09-14T00:00:00"/>
    <s v="IRFAN"/>
    <s v="SUZUKI-GD-110S"/>
    <n v="14960"/>
    <n v="12466"/>
    <n v="4.2500000000000003E-2"/>
    <s v="148002"/>
    <d v="2024-09-14T00:00:00"/>
    <s v="MOTORCYCLE  COMPREHENSIVE"/>
    <n v="352000"/>
    <n v="1869.9"/>
    <n v="124.66"/>
    <n v="500"/>
  </r>
  <r>
    <s v="KHI/HO/D/MO/MC COMP/P/97369/09/2024"/>
    <m/>
    <x v="18"/>
    <s v="South"/>
    <d v="2024-09-14T00:00:00"/>
    <d v="2025-09-14T00:00:00"/>
    <s v="Haseeb Sheikh"/>
    <s v="SUZUKI-GS 150"/>
    <n v="16235"/>
    <n v="13565"/>
    <n v="4.2500000000000003E-2"/>
    <s v="30092779"/>
    <d v="2024-09-14T00:00:00"/>
    <s v="MOTORCYCLE  COMPREHENSIVE"/>
    <n v="382000"/>
    <n v="2034.75"/>
    <n v="135.65"/>
    <n v="500"/>
  </r>
  <r>
    <s v="KHI/HO/D/MO/MC COMP/P/97370/09/2024"/>
    <m/>
    <x v="2"/>
    <s v="South"/>
    <d v="2024-09-14T00:00:00"/>
    <d v="2025-09-14T00:00:00"/>
    <s v="RIZWAN SULEMAN"/>
    <s v="SUZUKI-GD-110S"/>
    <n v="14960"/>
    <n v="12466"/>
    <n v="4.2500000000000003E-2"/>
    <s v="148338"/>
    <d v="2024-09-14T00:00:00"/>
    <s v="MOTORCYCLE  COMPREHENSIVE"/>
    <n v="352000"/>
    <n v="1869.9"/>
    <n v="124.66"/>
    <n v="500"/>
  </r>
  <r>
    <s v="KHI/HO/D/MO/MC COMP/P/97371/09/2024"/>
    <m/>
    <x v="18"/>
    <s v="South"/>
    <d v="2024-09-14T00:00:00"/>
    <d v="2025-09-14T00:00:00"/>
    <s v="Ibrar Altaf Hussain"/>
    <s v="SUZUKI-GR150 EURO II"/>
    <n v="23248"/>
    <n v="19610"/>
    <n v="4.2500914076782449E-2"/>
    <s v="113703"/>
    <d v="2024-09-14T00:00:00"/>
    <s v="MOTORCYCLE  COMPREHENSIVE"/>
    <n v="547000"/>
    <n v="2941.5"/>
    <n v="196.1"/>
    <n v="500"/>
  </r>
  <r>
    <s v="KHI/HO/D/MO/MC COMP/P/97372/09/2024"/>
    <m/>
    <x v="1"/>
    <s v="South"/>
    <d v="2024-09-14T00:00:00"/>
    <d v="2025-09-14T00:00:00"/>
    <s v="MUHAMMAD SALEEM"/>
    <s v="SUZUKI-GD-110S"/>
    <n v="14960"/>
    <n v="12466"/>
    <n v="4.2500000000000003E-2"/>
    <s v="148042"/>
    <d v="2024-09-14T00:00:00"/>
    <s v="MOTORCYCLE  COMPREHENSIVE"/>
    <n v="352000"/>
    <n v="1869.9"/>
    <n v="124.66"/>
    <n v="500"/>
  </r>
  <r>
    <s v="KHI/HO/D/MO/MC COMP/P/97373/09/2024"/>
    <m/>
    <x v="3"/>
    <s v="South"/>
    <d v="2024-09-14T00:00:00"/>
    <d v="2025-09-14T00:00:00"/>
    <s v="MUHAMMAD HAMZA"/>
    <s v="SUZUKI-GD-110S"/>
    <n v="14960"/>
    <n v="12466"/>
    <n v="4.2500000000000003E-2"/>
    <s v="148017"/>
    <d v="2024-09-14T00:00:00"/>
    <s v="MOTORCYCLE  COMPREHENSIVE"/>
    <n v="352000"/>
    <n v="1869.9"/>
    <n v="124.66"/>
    <n v="500"/>
  </r>
  <r>
    <s v="KHI/HO/D/MO/MC COMP/P/97374/09/2024"/>
    <m/>
    <x v="0"/>
    <s v="Punjab"/>
    <d v="2024-09-14T00:00:00"/>
    <d v="2025-09-14T00:00:00"/>
    <s v="MUHAMMAD FARHAN"/>
    <s v="SUZUKI-GD-110S"/>
    <n v="8800"/>
    <n v="7155"/>
    <n v="2.5000000000000001E-2"/>
    <s v="147903"/>
    <d v="2024-09-14T00:00:00"/>
    <s v="MOTORCYCLE  COMPREHENSIVE"/>
    <n v="352000"/>
    <n v="1073.25"/>
    <n v="71.55"/>
    <n v="500"/>
  </r>
  <r>
    <s v="KHI/HO/D/MO/MC COMP/P/97376/09/2024"/>
    <m/>
    <x v="0"/>
    <s v="Punjab"/>
    <d v="2024-09-14T00:00:00"/>
    <d v="2025-09-14T00:00:00"/>
    <s v="AHSAN RAZA"/>
    <s v="SUZUKI-GD-110S"/>
    <n v="8800"/>
    <n v="7155"/>
    <n v="2.5000000000000001E-2"/>
    <s v="147951"/>
    <d v="2024-09-14T00:00:00"/>
    <s v="MOTORCYCLE  COMPREHENSIVE"/>
    <n v="352000"/>
    <n v="1073.25"/>
    <n v="71.55"/>
    <n v="500"/>
  </r>
  <r>
    <s v="KHI/HO/D/MO/MC COMP/P/97377/09/2024"/>
    <m/>
    <x v="5"/>
    <s v="South"/>
    <d v="2024-09-14T00:00:00"/>
    <d v="2025-09-14T00:00:00"/>
    <s v="AHSAN IMRAN FAROOQUI"/>
    <s v="SUZUKI-GS 150"/>
    <n v="16235"/>
    <n v="13565"/>
    <n v="4.2500000000000003E-2"/>
    <s v="30092866"/>
    <d v="2024-09-14T00:00:00"/>
    <s v="MOTORCYCLE  COMPREHENSIVE"/>
    <n v="382000"/>
    <n v="2034.75"/>
    <n v="135.65"/>
    <n v="500"/>
  </r>
  <r>
    <s v="KHI/HO/D/MO/MC COMP/P/97378/09/2024"/>
    <m/>
    <x v="3"/>
    <s v="South"/>
    <d v="2024-09-14T00:00:00"/>
    <d v="2025-09-14T00:00:00"/>
    <s v="KHAN MUHAMMAD"/>
    <s v="SUZUKI-GD-110S"/>
    <n v="14960"/>
    <n v="12466"/>
    <n v="4.2500000000000003E-2"/>
    <s v="147627"/>
    <d v="2024-09-14T00:00:00"/>
    <s v="MOTORCYCLE  COMPREHENSIVE"/>
    <n v="352000"/>
    <n v="1869.9"/>
    <n v="124.66"/>
    <n v="500"/>
  </r>
  <r>
    <s v="KHI/HO/D/MO/MC COMP/P/97379/09/2024"/>
    <m/>
    <x v="5"/>
    <s v="South"/>
    <d v="2024-09-14T00:00:00"/>
    <d v="2025-09-14T00:00:00"/>
    <s v="MUHAMMAD ADNAN FAROOQUI"/>
    <s v="SUZUKI-GS 150"/>
    <n v="16235"/>
    <n v="13565"/>
    <n v="4.2500000000000003E-2"/>
    <s v="30092822"/>
    <d v="2024-09-14T00:00:00"/>
    <s v="MOTORCYCLE  COMPREHENSIVE"/>
    <n v="382000"/>
    <n v="2034.75"/>
    <n v="135.65"/>
    <n v="500"/>
  </r>
  <r>
    <s v="KHI/HO/D/MO/MC COMP/P/97380/09/2024"/>
    <m/>
    <x v="3"/>
    <s v="South"/>
    <d v="2024-09-14T00:00:00"/>
    <d v="2025-09-14T00:00:00"/>
    <s v="MEHDI HAIDER"/>
    <s v="SUZUKI-GD-110S"/>
    <n v="14960"/>
    <n v="12466"/>
    <n v="4.2500000000000003E-2"/>
    <s v="147645"/>
    <d v="2024-09-14T00:00:00"/>
    <s v="MOTORCYCLE  COMPREHENSIVE"/>
    <n v="352000"/>
    <n v="1869.9"/>
    <n v="124.66"/>
    <n v="500"/>
  </r>
  <r>
    <s v="KHI/HO/D/MO/MC COMP/P/97381/09/2024"/>
    <m/>
    <x v="3"/>
    <s v="South"/>
    <d v="2024-09-14T00:00:00"/>
    <d v="2025-09-14T00:00:00"/>
    <s v="SANA UR REHMAN KHAN LODHI"/>
    <s v="SUZUKI-GSX 125"/>
    <n v="21208"/>
    <n v="17852"/>
    <n v="4.2501002004008019E-2"/>
    <s v="23100137"/>
    <d v="2024-09-14T00:00:00"/>
    <s v="MOTORCYCLE  COMPREHENSIVE"/>
    <n v="499000"/>
    <n v="2677.8"/>
    <n v="178.52"/>
    <n v="500"/>
  </r>
  <r>
    <s v="KHI/HO/D/MO/MC COMP/P/97382/09/2024"/>
    <m/>
    <x v="3"/>
    <s v="South"/>
    <d v="2025-09-15T00:00:00"/>
    <d v="2026-09-15T00:00:00"/>
    <s v="SANA UR REHMAN KHAN LODHI"/>
    <s v="SUZUKI-GSX 125"/>
    <n v="21208"/>
    <n v="17852"/>
    <n v="4.2501002004008019E-2"/>
    <s v="23100137"/>
    <d v="2024-09-14T00:00:00"/>
    <s v="MOTORCYCLE  COMPREHENSIVE"/>
    <n v="499000"/>
    <n v="2677.8"/>
    <n v="178.52"/>
    <n v="500"/>
  </r>
  <r>
    <s v="KHI/HO/D/MO/MC COMP/P/97383/09/2024"/>
    <m/>
    <x v="23"/>
    <s v="South"/>
    <d v="2024-09-14T00:00:00"/>
    <d v="2025-09-14T00:00:00"/>
    <s v="Faiq Baig"/>
    <s v="SUZUKI-GR150 EURO II"/>
    <n v="23248"/>
    <n v="19610"/>
    <n v="4.2500914076782449E-2"/>
    <s v="113687"/>
    <d v="2024-09-14T00:00:00"/>
    <s v="MOTORCYCLE  COMPREHENSIVE"/>
    <n v="547000"/>
    <n v="2941.5"/>
    <n v="196.1"/>
    <n v="500"/>
  </r>
  <r>
    <s v="KHI/HO/D/MO/MC COMP/P/97384/09/2024"/>
    <m/>
    <x v="12"/>
    <s v="Punjab"/>
    <d v="2024-09-14T00:00:00"/>
    <d v="2025-09-14T00:00:00"/>
    <s v="IHSAN UR REHMAN"/>
    <s v="SUZUKI-GD-110S"/>
    <n v="8800"/>
    <n v="7155"/>
    <n v="2.5000000000000001E-2"/>
    <s v="147572"/>
    <d v="2024-09-14T00:00:00"/>
    <s v="MOTORCYCLE  COMPREHENSIVE"/>
    <n v="352000"/>
    <n v="1073.25"/>
    <n v="71.55"/>
    <n v="500"/>
  </r>
  <r>
    <s v="KHI/HO/D/MO/MC COMP/P/97385/09/2024"/>
    <m/>
    <x v="12"/>
    <s v="Punjab"/>
    <d v="2024-09-14T00:00:00"/>
    <d v="2025-09-14T00:00:00"/>
    <s v="MUHAMMAD ZAMAN"/>
    <s v="SUZUKI-GD-110S"/>
    <n v="8800"/>
    <n v="7155"/>
    <n v="2.5000000000000001E-2"/>
    <s v="147563"/>
    <d v="2024-09-14T00:00:00"/>
    <s v="MOTORCYCLE  COMPREHENSIVE"/>
    <n v="352000"/>
    <n v="1073.25"/>
    <n v="71.55"/>
    <n v="500"/>
  </r>
  <r>
    <s v="KHI/HO/D/MO/MC COMP/P/97386/09/2024"/>
    <m/>
    <x v="12"/>
    <s v="Punjab"/>
    <d v="2024-09-14T00:00:00"/>
    <d v="2025-09-14T00:00:00"/>
    <s v="WAJID HUSSAIN"/>
    <s v="SUZUKI-GD-110S"/>
    <n v="8800"/>
    <n v="7155"/>
    <n v="2.5000000000000001E-2"/>
    <s v="146523"/>
    <d v="2024-09-14T00:00:00"/>
    <s v="MOTORCYCLE  COMPREHENSIVE"/>
    <n v="352000"/>
    <n v="1073.25"/>
    <n v="71.55"/>
    <n v="500"/>
  </r>
  <r>
    <s v="KHI/HO/D/MO/MC COMP/P/97387/09/2024"/>
    <m/>
    <x v="14"/>
    <s v="Punjab"/>
    <d v="2024-09-14T00:00:00"/>
    <d v="2025-09-14T00:00:00"/>
    <s v="ADEEL AHMAD"/>
    <s v="SUZUKI-GD-110S"/>
    <n v="8800"/>
    <n v="7155"/>
    <n v="2.5000000000000001E-2"/>
    <s v="147404"/>
    <d v="2024-09-14T00:00:00"/>
    <s v="MOTORCYCLE  COMPREHENSIVE"/>
    <n v="352000"/>
    <n v="1073.25"/>
    <n v="71.55"/>
    <n v="500"/>
  </r>
  <r>
    <s v="KHI/HO/D/MO/MC COMP/P/97388/09/2024"/>
    <m/>
    <x v="5"/>
    <s v="South"/>
    <d v="2024-09-14T00:00:00"/>
    <d v="2025-09-14T00:00:00"/>
    <s v="SOHAIL AHMED"/>
    <s v="SUZUKI-GS 150"/>
    <n v="16235"/>
    <n v="13565"/>
    <n v="4.2500000000000003E-2"/>
    <s v="30092988"/>
    <d v="2024-09-14T00:00:00"/>
    <s v="MOTORCYCLE  COMPREHENSIVE"/>
    <n v="382000"/>
    <n v="2034.75"/>
    <n v="135.65"/>
    <n v="500"/>
  </r>
  <r>
    <s v="KHI/HO/D/MO/MC COMP/P/97389/09/2024"/>
    <m/>
    <x v="5"/>
    <s v="South"/>
    <d v="2025-09-15T00:00:00"/>
    <d v="2026-09-15T00:00:00"/>
    <s v="SOHAIL AHMED"/>
    <s v="SUZUKI-GS 150"/>
    <n v="16235"/>
    <n v="13565"/>
    <n v="4.2500000000000003E-2"/>
    <s v="30092988"/>
    <d v="2024-09-14T00:00:00"/>
    <s v="MOTORCYCLE  COMPREHENSIVE"/>
    <n v="382000"/>
    <n v="2034.75"/>
    <n v="135.65"/>
    <n v="500"/>
  </r>
  <r>
    <s v="KHI/HO/D/MO/MC COMP/P/97390/09/2024"/>
    <m/>
    <x v="5"/>
    <s v="South"/>
    <d v="2024-09-14T00:00:00"/>
    <d v="2025-09-14T00:00:00"/>
    <s v="ABDULLAH"/>
    <s v="SUZUKI-GD-110S"/>
    <n v="14960"/>
    <n v="12466"/>
    <n v="4.2500000000000003E-2"/>
    <s v="148212"/>
    <d v="2024-09-14T00:00:00"/>
    <s v="MOTORCYCLE  COMPREHENSIVE"/>
    <n v="352000"/>
    <n v="1869.9"/>
    <n v="124.66"/>
    <n v="500"/>
  </r>
  <r>
    <s v="KHI/HO/D/MO/MC COMP/P/97391/09/2024"/>
    <m/>
    <x v="5"/>
    <s v="South"/>
    <d v="2024-09-14T00:00:00"/>
    <d v="2025-09-14T00:00:00"/>
    <s v="OSAMA JAMIL"/>
    <s v="SUZUKI-GD-110S"/>
    <n v="14960"/>
    <n v="12466"/>
    <n v="4.2500000000000003E-2"/>
    <s v="148290"/>
    <d v="2024-09-14T00:00:00"/>
    <s v="MOTORCYCLE  COMPREHENSIVE"/>
    <n v="352000"/>
    <n v="1869.9"/>
    <n v="124.66"/>
    <n v="500"/>
  </r>
  <r>
    <s v="KHI/HO/D/MO/MC COMP/P/97392/09/2024"/>
    <m/>
    <x v="5"/>
    <s v="South"/>
    <d v="2025-09-15T00:00:00"/>
    <d v="2026-09-15T00:00:00"/>
    <s v="OSAMA JAMIL"/>
    <s v="SUZUKI-GD-110S"/>
    <n v="14960"/>
    <n v="12466"/>
    <n v="4.2500000000000003E-2"/>
    <s v="148290"/>
    <d v="2024-09-14T00:00:00"/>
    <s v="MOTORCYCLE  COMPREHENSIVE"/>
    <n v="352000"/>
    <n v="1869.9"/>
    <n v="124.66"/>
    <n v="500"/>
  </r>
  <r>
    <s v="KHI/HO/D/MO/MC COMP/P/97393/09/2024"/>
    <m/>
    <x v="5"/>
    <s v="South"/>
    <d v="2024-09-14T00:00:00"/>
    <d v="2025-09-14T00:00:00"/>
    <s v="SYED FARAZ HUSSAIN ZAIDI"/>
    <s v="SUZUKI-GD-110S"/>
    <n v="14960"/>
    <n v="12466"/>
    <n v="4.2500000000000003E-2"/>
    <s v="148304"/>
    <d v="2024-09-14T00:00:00"/>
    <s v="MOTORCYCLE  COMPREHENSIVE"/>
    <n v="352000"/>
    <n v="1869.9"/>
    <n v="124.66"/>
    <n v="500"/>
  </r>
  <r>
    <s v="KHI/HO/D/MO/MC COMP/P/97394/09/2024"/>
    <m/>
    <x v="5"/>
    <s v="South"/>
    <d v="2024-09-14T00:00:00"/>
    <d v="2025-09-14T00:00:00"/>
    <s v="MUZAMMIL"/>
    <s v="SUZUKI-GD-110S"/>
    <n v="14960"/>
    <n v="12466"/>
    <n v="4.2500000000000003E-2"/>
    <s v="148283"/>
    <d v="2024-09-14T00:00:00"/>
    <s v="MOTORCYCLE  COMPREHENSIVE"/>
    <n v="352000"/>
    <n v="1869.9"/>
    <n v="124.66"/>
    <n v="500"/>
  </r>
  <r>
    <s v="KHI/HO/D/MO/MC COMP/P/97395/09/2024"/>
    <m/>
    <x v="5"/>
    <s v="South"/>
    <d v="2025-09-15T00:00:00"/>
    <d v="2026-09-15T00:00:00"/>
    <s v="MUZAMMIL"/>
    <s v="SUZUKI-GD-110S"/>
    <n v="14960"/>
    <n v="12466"/>
    <n v="4.2500000000000003E-2"/>
    <s v="148283"/>
    <d v="2024-09-14T00:00:00"/>
    <s v="MOTORCYCLE  COMPREHENSIVE"/>
    <n v="352000"/>
    <n v="1869.9"/>
    <n v="124.66"/>
    <n v="500"/>
  </r>
  <r>
    <s v="KHI/HO/D/MO/MC COMP/P/97445/09/2024"/>
    <m/>
    <x v="6"/>
    <s v="South"/>
    <d v="2024-09-16T00:00:00"/>
    <d v="2025-09-16T00:00:00"/>
    <s v="TALHA SABIR"/>
    <s v="SUZUKI-GD-110S"/>
    <n v="14960"/>
    <n v="12466"/>
    <n v="4.2500000000000003E-2"/>
    <s v="148203"/>
    <d v="2024-09-16T00:00:00"/>
    <s v="MOTORCYCLE  COMPREHENSIVE"/>
    <n v="352000"/>
    <n v="1869.9"/>
    <n v="124.66"/>
    <n v="500"/>
  </r>
  <r>
    <s v="KHI/HO/D/MO/MC COMP/P/97450/09/2024"/>
    <m/>
    <x v="15"/>
    <s v="Punjab"/>
    <d v="2024-09-16T00:00:00"/>
    <d v="2025-09-16T00:00:00"/>
    <s v="FAIZAN SHAHID"/>
    <s v="SUZUKI-GD-110S"/>
    <n v="8800"/>
    <n v="7155"/>
    <n v="2.5000000000000001E-2"/>
    <s v="147550"/>
    <d v="2024-09-16T00:00:00"/>
    <s v="MOTORCYCLE  COMPREHENSIVE"/>
    <n v="352000"/>
    <n v="1073.25"/>
    <n v="71.55"/>
    <n v="500"/>
  </r>
  <r>
    <s v="KHI/HO/D/MO/MC COMP/P/97452/09/2024"/>
    <m/>
    <x v="15"/>
    <s v="Punjab"/>
    <d v="2024-09-16T00:00:00"/>
    <d v="2025-09-16T00:00:00"/>
    <s v="AMIR HUSSAIN"/>
    <s v="SUZUKI-GD-110S"/>
    <n v="8800"/>
    <n v="7155"/>
    <n v="2.5000000000000001E-2"/>
    <s v="147530"/>
    <d v="2024-09-16T00:00:00"/>
    <s v="MOTORCYCLE  COMPREHENSIVE"/>
    <n v="352000"/>
    <n v="1073.25"/>
    <n v="71.55"/>
    <n v="500"/>
  </r>
  <r>
    <s v="KHI/HO/D/MO/MC COMP/P/97454/09/2024"/>
    <m/>
    <x v="15"/>
    <s v="Punjab"/>
    <d v="2024-09-16T00:00:00"/>
    <d v="2025-09-16T00:00:00"/>
    <s v="MUHAMMAD JAVED"/>
    <s v="SUZUKI-GD-110S"/>
    <n v="8800"/>
    <n v="7155"/>
    <n v="2.5000000000000001E-2"/>
    <s v="147571"/>
    <d v="2024-09-16T00:00:00"/>
    <s v="MOTORCYCLE  COMPREHENSIVE"/>
    <n v="352000"/>
    <n v="1073.25"/>
    <n v="71.55"/>
    <n v="500"/>
  </r>
  <r>
    <s v="KHI/HO/D/MO/MC COMP/P/97456/09/2024"/>
    <m/>
    <x v="15"/>
    <s v="Punjab"/>
    <d v="2024-09-16T00:00:00"/>
    <d v="2025-09-16T00:00:00"/>
    <s v="SHEIKH SAIF ULLAH"/>
    <s v="SUZUKI-GD-110S"/>
    <n v="8800"/>
    <n v="7155"/>
    <n v="2.5000000000000001E-2"/>
    <s v="147552"/>
    <d v="2024-09-16T00:00:00"/>
    <s v="MOTORCYCLE  COMPREHENSIVE"/>
    <n v="352000"/>
    <n v="1073.25"/>
    <n v="71.55"/>
    <n v="500"/>
  </r>
  <r>
    <s v="KHI/HO/D/MO/MC COMP/P/97457/09/2024"/>
    <m/>
    <x v="15"/>
    <s v="Punjab"/>
    <d v="2024-09-16T00:00:00"/>
    <d v="2025-09-16T00:00:00"/>
    <s v="YASIR MAHMOOD"/>
    <s v="SUZUKI-GD-110S"/>
    <n v="8800"/>
    <n v="7155"/>
    <n v="2.5000000000000001E-2"/>
    <s v="147553"/>
    <d v="2024-09-16T00:00:00"/>
    <s v="MOTORCYCLE  COMPREHENSIVE"/>
    <n v="352000"/>
    <n v="1073.25"/>
    <n v="71.55"/>
    <n v="500"/>
  </r>
  <r>
    <s v="KHI/HO/D/MO/MC COMP/P/97463/09/2024"/>
    <m/>
    <x v="15"/>
    <s v="Punjab"/>
    <d v="2024-09-16T00:00:00"/>
    <d v="2025-09-16T00:00:00"/>
    <s v="MUHAMMAD HASHIM YATTO"/>
    <s v="SUZUKI-GR150 EURO II"/>
    <n v="13675"/>
    <n v="11358"/>
    <n v="2.5000000000000001E-2"/>
    <s v="113311"/>
    <d v="2024-09-16T00:00:00"/>
    <s v="MOTORCYCLE  COMPREHENSIVE"/>
    <n v="547000"/>
    <n v="1703.7"/>
    <n v="113.58"/>
    <n v="500"/>
  </r>
  <r>
    <s v="KHI/HO/D/MO/MC COMP/P/97466/09/2024"/>
    <m/>
    <x v="15"/>
    <s v="Punjab"/>
    <d v="2024-09-16T00:00:00"/>
    <d v="2025-09-16T00:00:00"/>
    <s v="MUHAMMAD FAIZAN"/>
    <s v="SUZUKI-GD-110S"/>
    <n v="8800"/>
    <n v="7155"/>
    <n v="2.5000000000000001E-2"/>
    <s v="147047"/>
    <d v="2024-09-16T00:00:00"/>
    <s v="MOTORCYCLE  COMPREHENSIVE"/>
    <n v="352000"/>
    <n v="1073.25"/>
    <n v="71.55"/>
    <n v="500"/>
  </r>
  <r>
    <s v="KHI/HO/D/MO/MC COMP/P/97468/09/2024"/>
    <m/>
    <x v="15"/>
    <s v="Punjab"/>
    <d v="2024-09-16T00:00:00"/>
    <d v="2025-09-16T00:00:00"/>
    <s v="MUHAMMAD USAMA KHAN"/>
    <s v="SUZUKI-GSX 125"/>
    <n v="12475"/>
    <n v="10323"/>
    <n v="2.5000000000000001E-2"/>
    <s v="23102477"/>
    <d v="2024-09-16T00:00:00"/>
    <s v="MOTORCYCLE  COMPREHENSIVE"/>
    <n v="499000"/>
    <n v="1548.45"/>
    <n v="103.23"/>
    <n v="500"/>
  </r>
  <r>
    <s v="KHI/HO/D/MO/MC COMP/P/97469/09/2024"/>
    <m/>
    <x v="15"/>
    <s v="Punjab"/>
    <d v="2024-09-16T00:00:00"/>
    <d v="2025-09-16T00:00:00"/>
    <s v="WASEEM SAJID RAMAY"/>
    <s v="SUZUKI-GD-110S"/>
    <n v="8800"/>
    <n v="7155"/>
    <n v="2.5000000000000001E-2"/>
    <s v="147153"/>
    <d v="2024-09-16T00:00:00"/>
    <s v="MOTORCYCLE  COMPREHENSIVE"/>
    <n v="352000"/>
    <n v="1073.25"/>
    <n v="71.55"/>
    <n v="500"/>
  </r>
  <r>
    <s v="KHI/HO/D/MO/MC COMP/P/97470/09/2024"/>
    <m/>
    <x v="15"/>
    <s v="Punjab"/>
    <d v="2024-09-16T00:00:00"/>
    <d v="2025-09-16T00:00:00"/>
    <s v="TAHA ZUBAIR"/>
    <s v="SUZUKI-GR150 EURO II"/>
    <n v="13675"/>
    <n v="11358"/>
    <n v="2.5000000000000001E-2"/>
    <s v="113568"/>
    <d v="2024-09-16T00:00:00"/>
    <s v="MOTORCYCLE  COMPREHENSIVE"/>
    <n v="547000"/>
    <n v="1703.7"/>
    <n v="113.58"/>
    <n v="500"/>
  </r>
  <r>
    <s v="KHI/HO/D/MO/MC COMP/P/97477/09/2024"/>
    <m/>
    <x v="6"/>
    <s v="South"/>
    <d v="2024-09-16T00:00:00"/>
    <d v="2025-09-16T00:00:00"/>
    <s v="ABDUL MANNAN"/>
    <s v="SUZUKI-GD-110S"/>
    <n v="14960"/>
    <n v="12466"/>
    <n v="4.2500000000000003E-2"/>
    <s v="148237"/>
    <d v="2024-09-16T00:00:00"/>
    <s v="MOTORCYCLE  COMPREHENSIVE"/>
    <n v="352000"/>
    <n v="1869.9"/>
    <n v="124.66"/>
    <n v="500"/>
  </r>
  <r>
    <s v="KHI/HO/D/MO/MC COMP/P/97478/09/2024"/>
    <m/>
    <x v="6"/>
    <s v="South"/>
    <d v="2025-09-17T00:00:00"/>
    <d v="2026-09-17T00:00:00"/>
    <s v="ABDUL MANNAN"/>
    <s v="SUZUKI-GD-110S"/>
    <n v="14960"/>
    <n v="12466"/>
    <n v="4.2500000000000003E-2"/>
    <s v="148237"/>
    <d v="2024-09-16T00:00:00"/>
    <s v="MOTORCYCLE  COMPREHENSIVE"/>
    <n v="352000"/>
    <n v="1869.9"/>
    <n v="124.66"/>
    <n v="500"/>
  </r>
  <r>
    <s v="KHI/HO/D/MO/MC COMP/P/97479/09/2024"/>
    <m/>
    <x v="2"/>
    <s v="South"/>
    <d v="2024-09-16T00:00:00"/>
    <d v="2025-09-16T00:00:00"/>
    <s v="MUHAMMAD ISHAQ"/>
    <s v="SUZUKI-GD-110S"/>
    <n v="14960"/>
    <n v="12466"/>
    <n v="4.2500000000000003E-2"/>
    <s v="148336"/>
    <d v="2024-09-16T00:00:00"/>
    <s v="MOTORCYCLE  COMPREHENSIVE"/>
    <n v="352000"/>
    <n v="1869.9"/>
    <n v="124.66"/>
    <n v="500"/>
  </r>
  <r>
    <s v="KHI/HO/D/MO/MC COMP/P/97480/09/2024"/>
    <m/>
    <x v="2"/>
    <s v="South"/>
    <d v="2025-09-17T00:00:00"/>
    <d v="2026-09-17T00:00:00"/>
    <s v="MUHAMMAD ISHAQ"/>
    <s v="SUZUKI-GD-110S"/>
    <n v="14960"/>
    <n v="12466"/>
    <n v="4.2500000000000003E-2"/>
    <s v="148336"/>
    <d v="2024-09-16T00:00:00"/>
    <s v="MOTORCYCLE  COMPREHENSIVE"/>
    <n v="352000"/>
    <n v="1869.9"/>
    <n v="124.66"/>
    <n v="500"/>
  </r>
  <r>
    <s v="KHI/HO/D/MO/MC COMP/P/97483/09/2024"/>
    <m/>
    <x v="5"/>
    <s v="South"/>
    <d v="2024-09-16T00:00:00"/>
    <d v="2025-09-16T00:00:00"/>
    <s v="MOHSIN NAEEM KHAN"/>
    <s v="SUZUKI-GD-110S"/>
    <n v="14365"/>
    <n v="11953"/>
    <n v="4.2500000000000003E-2"/>
    <s v="147680"/>
    <d v="2024-09-16T00:00:00"/>
    <s v="MOTORCYCLE  COMPREHENSIVE"/>
    <n v="338000"/>
    <n v="1792.95"/>
    <n v="119.53"/>
    <n v="500"/>
  </r>
  <r>
    <s v="KHI/HO/D/MO/MC COMP/P/97487/09/2024"/>
    <m/>
    <x v="1"/>
    <s v="South"/>
    <d v="2024-09-16T00:00:00"/>
    <d v="2025-09-16T00:00:00"/>
    <s v="MUHAMMAD SOHAIB  SAIF"/>
    <s v="SUZUKI-GD-110S"/>
    <n v="14960"/>
    <n v="12466"/>
    <n v="4.2500000000000003E-2"/>
    <s v="148340"/>
    <d v="2024-09-16T00:00:00"/>
    <s v="MOTORCYCLE  COMPREHENSIVE"/>
    <n v="352000"/>
    <n v="1869.9"/>
    <n v="124.66"/>
    <n v="500"/>
  </r>
  <r>
    <s v="KHI/HO/D/MO/MC COMP/P/97501/09/2024"/>
    <m/>
    <x v="2"/>
    <s v="South"/>
    <d v="2024-09-16T00:00:00"/>
    <d v="2025-09-16T00:00:00"/>
    <s v="NADEEM AHMED"/>
    <s v="SUZUKI-GD-110S"/>
    <n v="14960"/>
    <n v="12466"/>
    <n v="4.2500000000000003E-2"/>
    <s v="148046"/>
    <d v="2024-09-16T00:00:00"/>
    <s v="MOTORCYCLE  COMPREHENSIVE"/>
    <n v="352000"/>
    <n v="1869.9"/>
    <n v="124.66"/>
    <n v="500"/>
  </r>
  <r>
    <s v="KHI/HO/D/MO/MC COMP/P/97502/09/2024"/>
    <m/>
    <x v="1"/>
    <s v="South"/>
    <d v="2024-09-16T00:00:00"/>
    <d v="2025-09-16T00:00:00"/>
    <s v="AMEER HAMZA"/>
    <s v="SUZUKI-GD-110S"/>
    <n v="14960"/>
    <n v="12466"/>
    <n v="4.2500000000000003E-2"/>
    <s v="148334"/>
    <d v="2024-09-16T00:00:00"/>
    <s v="MOTORCYCLE  COMPREHENSIVE"/>
    <n v="352000"/>
    <n v="1869.9"/>
    <n v="124.66"/>
    <n v="500"/>
  </r>
  <r>
    <s v="KHI/HO/D/MO/MC COMP/P/97503/09/2024"/>
    <m/>
    <x v="1"/>
    <s v="South"/>
    <d v="2025-09-17T00:00:00"/>
    <d v="2026-09-17T00:00:00"/>
    <s v="AMEER HAMZA"/>
    <s v="SUZUKI-GD-110S"/>
    <n v="14960"/>
    <n v="12466"/>
    <n v="4.2500000000000003E-2"/>
    <s v="148334"/>
    <d v="2024-09-16T00:00:00"/>
    <s v="MOTORCYCLE  COMPREHENSIVE"/>
    <n v="352000"/>
    <n v="1869.9"/>
    <n v="124.66"/>
    <n v="500"/>
  </r>
  <r>
    <s v="KHI/HO/D/MO/MC COMP/P/97510/09/2024"/>
    <m/>
    <x v="2"/>
    <s v="South"/>
    <d v="2024-09-16T00:00:00"/>
    <d v="2025-09-16T00:00:00"/>
    <s v="REHAN HUSSAIN"/>
    <s v="SUZUKI-GD-110S"/>
    <n v="14960"/>
    <n v="12466"/>
    <n v="4.2500000000000003E-2"/>
    <s v="147192"/>
    <d v="2024-09-16T00:00:00"/>
    <s v="MOTORCYCLE  COMPREHENSIVE"/>
    <n v="352000"/>
    <n v="1869.9"/>
    <n v="124.66"/>
    <n v="500"/>
  </r>
  <r>
    <s v="KHI/HO/D/MO/MC COMP/P/97511/09/2024"/>
    <m/>
    <x v="2"/>
    <s v="South"/>
    <d v="2025-09-17T00:00:00"/>
    <d v="2026-09-17T00:00:00"/>
    <s v="REHAN HUSSAIN"/>
    <s v="SUZUKI-GD-110S"/>
    <n v="14960"/>
    <n v="12466"/>
    <n v="4.2500000000000003E-2"/>
    <s v="147192"/>
    <d v="2024-09-16T00:00:00"/>
    <s v="MOTORCYCLE  COMPREHENSIVE"/>
    <n v="352000"/>
    <n v="1869.9"/>
    <n v="124.66"/>
    <n v="500"/>
  </r>
  <r>
    <s v="KHI/HO/D/MO/MC COMP/P/97513/09/2024"/>
    <m/>
    <x v="1"/>
    <s v="South"/>
    <d v="2024-09-16T00:00:00"/>
    <d v="2025-09-16T00:00:00"/>
    <s v="UMER HANIF"/>
    <s v="SUZUKI-GD-110S"/>
    <n v="14960"/>
    <n v="12466"/>
    <n v="4.2500000000000003E-2"/>
    <s v="148001"/>
    <d v="2024-09-16T00:00:00"/>
    <s v="MOTORCYCLE  COMPREHENSIVE"/>
    <n v="352000"/>
    <n v="1869.9"/>
    <n v="124.66"/>
    <n v="500"/>
  </r>
  <r>
    <s v="KHI/HO/D/MO/MC COMP/P/97524/09/2024"/>
    <m/>
    <x v="2"/>
    <s v="South"/>
    <d v="2024-09-16T00:00:00"/>
    <d v="2025-09-16T00:00:00"/>
    <s v="SYED RIAZ ALI"/>
    <s v="SUZUKI-GD-110S"/>
    <n v="14960"/>
    <n v="12466"/>
    <n v="4.2500000000000003E-2"/>
    <s v="148045"/>
    <d v="2024-09-16T00:00:00"/>
    <s v="MOTORCYCLE  COMPREHENSIVE"/>
    <n v="352000"/>
    <n v="1869.9"/>
    <n v="124.66"/>
    <n v="500"/>
  </r>
  <r>
    <s v="KHI/HO/D/MO/MC COMP/P/97526/09/2024"/>
    <m/>
    <x v="5"/>
    <s v="South"/>
    <d v="2024-09-16T00:00:00"/>
    <d v="2025-09-16T00:00:00"/>
    <s v="MEHMOOD UL HASSAN"/>
    <s v="SUZUKI-GR150 EURO II"/>
    <n v="23248"/>
    <n v="19610"/>
    <n v="4.2500914076782449E-2"/>
    <s v="113682"/>
    <d v="2024-09-16T00:00:00"/>
    <s v="MOTORCYCLE  COMPREHENSIVE"/>
    <n v="547000"/>
    <n v="2941.5"/>
    <n v="196.1"/>
    <n v="500"/>
  </r>
  <r>
    <s v="KHI/HO/D/MO/MC COMP/P/97527/09/2024"/>
    <m/>
    <x v="5"/>
    <s v="South"/>
    <d v="2025-09-17T00:00:00"/>
    <d v="2026-09-17T00:00:00"/>
    <s v="MEHMOOD UL HASSAN"/>
    <s v="SUZUKI-GR150 EURO II"/>
    <n v="23248"/>
    <n v="19610"/>
    <n v="4.2500914076782449E-2"/>
    <s v="113682"/>
    <d v="2024-09-16T00:00:00"/>
    <s v="MOTORCYCLE  COMPREHENSIVE"/>
    <n v="547000"/>
    <n v="2941.5"/>
    <n v="196.1"/>
    <n v="500"/>
  </r>
  <r>
    <s v="KHI/HO/D/MO/MC COMP/P/97530/09/2024"/>
    <m/>
    <x v="1"/>
    <s v="South"/>
    <d v="2024-09-16T00:00:00"/>
    <d v="2025-09-16T00:00:00"/>
    <s v="KHURRAM IQBAL"/>
    <s v="SUZUKI-GD-110S"/>
    <n v="14960"/>
    <n v="12466"/>
    <n v="4.2500000000000003E-2"/>
    <s v="147971"/>
    <d v="2024-09-16T00:00:00"/>
    <s v="MOTORCYCLE  COMPREHENSIVE"/>
    <n v="352000"/>
    <n v="1869.9"/>
    <n v="124.66"/>
    <n v="500"/>
  </r>
  <r>
    <s v="KHI/HO/D/MO/MC COMP/P/97543/09/2024"/>
    <m/>
    <x v="1"/>
    <s v="South"/>
    <d v="2024-09-16T00:00:00"/>
    <d v="2025-09-16T00:00:00"/>
    <s v="TAHA BIN ASAD"/>
    <s v="SUZUKI-GD-110S"/>
    <n v="14960"/>
    <n v="12466"/>
    <n v="4.2500000000000003E-2"/>
    <s v="148044"/>
    <d v="2024-09-16T00:00:00"/>
    <s v="MOTORCYCLE  COMPREHENSIVE"/>
    <n v="352000"/>
    <n v="1869.9"/>
    <n v="124.66"/>
    <n v="500"/>
  </r>
  <r>
    <s v="KHI/HO/D/MO/MC COMP/P/97544/09/2024"/>
    <m/>
    <x v="1"/>
    <s v="South"/>
    <d v="2025-09-17T00:00:00"/>
    <d v="2026-09-17T00:00:00"/>
    <s v="TAHA BIN ASAD"/>
    <s v="SUZUKI-GD-110S"/>
    <n v="14960"/>
    <n v="12466"/>
    <n v="4.2500000000000003E-2"/>
    <s v="148044"/>
    <d v="2024-09-16T00:00:00"/>
    <s v="MOTORCYCLE  COMPREHENSIVE"/>
    <n v="352000"/>
    <n v="1869.9"/>
    <n v="124.66"/>
    <n v="500"/>
  </r>
  <r>
    <s v="KHI/HO/D/MO/MC COMP/P/97546/09/2024"/>
    <m/>
    <x v="23"/>
    <s v="South"/>
    <d v="2024-09-16T00:00:00"/>
    <d v="2025-09-16T00:00:00"/>
    <s v="Muhammad Shoaib Shah"/>
    <s v="SUZUKI-GS-150"/>
    <n v="16235"/>
    <n v="13565"/>
    <n v="4.2500000000000003E-2"/>
    <s v="30092955"/>
    <d v="2024-09-16T00:00:00"/>
    <s v="MOTORCYCLE  COMPREHENSIVE"/>
    <n v="382000"/>
    <n v="2034.75"/>
    <n v="135.65"/>
    <n v="500"/>
  </r>
  <r>
    <s v="KHI/HO/D/MO/MC COMP/P/97550/09/2024"/>
    <m/>
    <x v="1"/>
    <s v="South"/>
    <d v="2024-09-16T00:00:00"/>
    <d v="2025-09-16T00:00:00"/>
    <s v="MUHAMMAD REHAN"/>
    <s v="SUZUKI-GD-110S"/>
    <n v="14960"/>
    <n v="12466"/>
    <n v="4.2500000000000003E-2"/>
    <s v="147505"/>
    <d v="2024-09-16T00:00:00"/>
    <s v="MOTORCYCLE  COMPREHENSIVE"/>
    <n v="352000"/>
    <n v="1869.9"/>
    <n v="124.66"/>
    <n v="500"/>
  </r>
  <r>
    <s v="KHI/HO/D/MO/MC COMP/P/97551/09/2024"/>
    <m/>
    <x v="18"/>
    <s v="South"/>
    <d v="2024-09-16T00:00:00"/>
    <d v="2025-09-16T00:00:00"/>
    <s v="GUL MUHAMMAD"/>
    <s v="SUZUKI-GR150 EURO II"/>
    <n v="23248"/>
    <n v="19610"/>
    <n v="4.2500914076782449E-2"/>
    <s v="113653"/>
    <d v="2024-09-16T00:00:00"/>
    <s v="MOTORCYCLE  COMPREHENSIVE"/>
    <n v="547000"/>
    <n v="2941.5"/>
    <n v="196.1"/>
    <n v="500"/>
  </r>
  <r>
    <s v="KHI/HO/D/MO/MC COMP/P/97552/09/2024"/>
    <m/>
    <x v="18"/>
    <s v="South"/>
    <d v="2025-09-17T00:00:00"/>
    <d v="2026-09-17T00:00:00"/>
    <s v="GUL MUHAMMAD"/>
    <s v="SUZUKI-GR150 EURO II"/>
    <n v="23248"/>
    <n v="19610"/>
    <n v="4.2500914076782449E-2"/>
    <s v="113653"/>
    <d v="2024-09-16T00:00:00"/>
    <s v="MOTORCYCLE  COMPREHENSIVE"/>
    <n v="547000"/>
    <n v="2941.5"/>
    <n v="196.1"/>
    <n v="500"/>
  </r>
  <r>
    <s v="KHI/HO/D/MO/MC COMP/P/97553/09/2024"/>
    <m/>
    <x v="18"/>
    <s v="South"/>
    <d v="2024-09-16T00:00:00"/>
    <d v="2025-09-16T00:00:00"/>
    <s v="Imran"/>
    <s v="SUZUKI-GD-110S"/>
    <n v="14960"/>
    <n v="12466"/>
    <n v="4.2500000000000003E-2"/>
    <s v="148049"/>
    <d v="2024-09-16T00:00:00"/>
    <s v="MOTORCYCLE  COMPREHENSIVE"/>
    <n v="352000"/>
    <n v="1869.9"/>
    <n v="124.66"/>
    <n v="500"/>
  </r>
  <r>
    <s v="KHI/HO/D/MO/MC COMP/P/97554/09/2024"/>
    <m/>
    <x v="18"/>
    <s v="South"/>
    <d v="2024-09-16T00:00:00"/>
    <d v="2025-09-16T00:00:00"/>
    <s v="Muhammad Rizwan"/>
    <s v="SUZUKI-GD-110S"/>
    <n v="14960"/>
    <n v="12466"/>
    <n v="4.2500000000000003E-2"/>
    <s v="146964"/>
    <d v="2024-09-16T00:00:00"/>
    <s v="MOTORCYCLE  COMPREHENSIVE"/>
    <n v="352000"/>
    <n v="1869.9"/>
    <n v="124.66"/>
    <n v="500"/>
  </r>
  <r>
    <s v="KHI/HO/D/MO/MC COMP/P/97570/09/2024"/>
    <m/>
    <x v="19"/>
    <s v="Punjab"/>
    <d v="2024-09-18T00:00:00"/>
    <d v="2025-09-18T00:00:00"/>
    <s v="MUBASHAR ALI GHAURI S/O MUHAMMAD ALI GHAURI"/>
    <s v="SUZUKI-GD-110S"/>
    <n v="8800"/>
    <n v="7155"/>
    <n v="2.5000000000000001E-2"/>
    <s v="143217"/>
    <d v="2024-09-18T00:00:00"/>
    <s v="MOTORCYCLE  COMPREHENSIVE"/>
    <n v="352000"/>
    <n v="1073.25"/>
    <n v="71.55"/>
    <n v="500"/>
  </r>
  <r>
    <s v="KHI/HO/D/MO/MC COMP/P/97573/09/2024"/>
    <m/>
    <x v="19"/>
    <s v="Punjab"/>
    <d v="2024-09-18T00:00:00"/>
    <d v="2025-09-18T00:00:00"/>
    <s v="ABDUL JABBAR S/O SHUJAH U DIN"/>
    <s v="SUZUKI-GD-110S"/>
    <n v="8800"/>
    <n v="7155"/>
    <n v="2.5000000000000001E-2"/>
    <s v="143079"/>
    <d v="2024-09-18T00:00:00"/>
    <s v="MOTORCYCLE  COMPREHENSIVE"/>
    <n v="352000"/>
    <n v="1073.25"/>
    <n v="71.55"/>
    <n v="500"/>
  </r>
  <r>
    <s v="KHI/HO/D/MO/MC COMP/P/97581/09/2024"/>
    <m/>
    <x v="17"/>
    <s v="Punjab"/>
    <d v="2024-09-18T00:00:00"/>
    <d v="2025-09-18T00:00:00"/>
    <s v="Muhammad Numan Rafi"/>
    <s v="SUZUKI-GS 150"/>
    <n v="9550"/>
    <n v="7802"/>
    <n v="2.5000000000000001E-2"/>
    <s v="30092498"/>
    <d v="2024-09-18T00:00:00"/>
    <s v="MOTORCYCLE  COMPREHENSIVE"/>
    <n v="382000"/>
    <n v="1170.3"/>
    <n v="78.02"/>
    <n v="500"/>
  </r>
  <r>
    <s v="KHI/HO/D/MO/MC COMP/P/97583/09/2024"/>
    <m/>
    <x v="17"/>
    <s v="Punjab"/>
    <d v="2024-09-18T00:00:00"/>
    <d v="2025-09-18T00:00:00"/>
    <s v="Muhammad Subhan Tahir"/>
    <s v="SUZUKI-GD-110S"/>
    <n v="8800"/>
    <n v="7155"/>
    <n v="2.5000000000000001E-2"/>
    <s v="146337"/>
    <d v="2024-09-18T00:00:00"/>
    <s v="MOTORCYCLE  COMPREHENSIVE"/>
    <n v="352000"/>
    <n v="1073.25"/>
    <n v="71.55"/>
    <n v="500"/>
  </r>
  <r>
    <s v="KHI/HO/D/MO/MC COMP/P/97584/09/2024"/>
    <m/>
    <x v="17"/>
    <s v="Punjab"/>
    <d v="2024-09-18T00:00:00"/>
    <d v="2025-09-18T00:00:00"/>
    <s v="Mahmood Ahmed"/>
    <s v="SUZUKI-GS 150"/>
    <n v="9550"/>
    <n v="7802"/>
    <n v="2.5000000000000001E-2"/>
    <s v="30092488"/>
    <d v="2024-09-18T00:00:00"/>
    <s v="MOTORCYCLE  COMPREHENSIVE"/>
    <n v="382000"/>
    <n v="1170.3"/>
    <n v="78.02"/>
    <n v="500"/>
  </r>
  <r>
    <s v="KHI/HO/D/MO/MC COMP/P/97586/09/2024"/>
    <m/>
    <x v="17"/>
    <s v="Punjab"/>
    <d v="2024-09-18T00:00:00"/>
    <d v="2025-09-18T00:00:00"/>
    <s v="Muhammad Shaheer Zafar"/>
    <s v="SUZUKI-GR150 EURO II"/>
    <n v="13675"/>
    <n v="11358"/>
    <n v="2.5000000000000001E-2"/>
    <s v="113384"/>
    <d v="2024-09-18T00:00:00"/>
    <s v="MOTORCYCLE  COMPREHENSIVE"/>
    <n v="547000"/>
    <n v="1703.7"/>
    <n v="113.58"/>
    <n v="500"/>
  </r>
  <r>
    <s v="KHI/HO/D/MO/MC COMP/P/97587/09/2024"/>
    <m/>
    <x v="17"/>
    <s v="Punjab"/>
    <d v="2024-09-18T00:00:00"/>
    <d v="2025-09-18T00:00:00"/>
    <s v="Khadija Ahmed"/>
    <s v="SUZUKI-GS-150"/>
    <n v="9550"/>
    <n v="7802"/>
    <n v="2.5000000000000001E-2"/>
    <s v="30092495"/>
    <d v="2024-09-18T00:00:00"/>
    <s v="MOTORCYCLE  COMPREHENSIVE"/>
    <n v="382000"/>
    <n v="1170.3"/>
    <n v="78.02"/>
    <n v="500"/>
  </r>
  <r>
    <s v="KHI/HO/D/MO/MC COMP/P/97589/09/2024"/>
    <m/>
    <x v="17"/>
    <s v="Punjab"/>
    <d v="2024-09-18T00:00:00"/>
    <d v="2025-09-18T00:00:00"/>
    <s v="Khyzer Hayat Shareef"/>
    <s v="SUZUKI-GR150 EURO II"/>
    <n v="13675"/>
    <n v="11358"/>
    <n v="2.5000000000000001E-2"/>
    <s v="111621"/>
    <d v="2024-09-18T00:00:00"/>
    <s v="MOTORCYCLE  COMPREHENSIVE"/>
    <n v="547000"/>
    <n v="1703.7"/>
    <n v="113.58"/>
    <n v="500"/>
  </r>
  <r>
    <s v="KHI/HO/D/MO/MC COMP/P/97591/09/2024"/>
    <m/>
    <x v="17"/>
    <s v="Punjab"/>
    <d v="2024-09-18T00:00:00"/>
    <d v="2025-09-18T00:00:00"/>
    <s v="Ather Haseeb Roa"/>
    <s v="SUZUKI-GD-110S"/>
    <n v="8800"/>
    <n v="7155"/>
    <n v="2.5000000000000001E-2"/>
    <s v="146281"/>
    <d v="2024-09-18T00:00:00"/>
    <s v="MOTORCYCLE  COMPREHENSIVE"/>
    <n v="352000"/>
    <n v="1073.25"/>
    <n v="71.55"/>
    <n v="500"/>
  </r>
  <r>
    <s v="KHI/HO/D/MO/MC COMP/P/97595/09/2024"/>
    <m/>
    <x v="17"/>
    <s v="Punjab"/>
    <d v="2024-09-18T00:00:00"/>
    <d v="2025-09-18T00:00:00"/>
    <s v="Arslan Naveed"/>
    <s v="SUZUKI-GR150 EURO II"/>
    <n v="13675"/>
    <n v="11358"/>
    <n v="2.5000000000000001E-2"/>
    <s v="113163"/>
    <d v="2024-09-18T00:00:00"/>
    <s v="MOTORCYCLE  COMPREHENSIVE"/>
    <n v="547000"/>
    <n v="1703.7"/>
    <n v="113.58"/>
    <n v="500"/>
  </r>
  <r>
    <s v="KHI/HO/D/MO/MC COMP/P/97603/09/2024"/>
    <m/>
    <x v="19"/>
    <s v="Punjab"/>
    <d v="2024-09-18T00:00:00"/>
    <d v="2025-09-18T00:00:00"/>
    <s v="NAQQASH ASHRAF S/O MIRZA MUHAMAD ASHRAF"/>
    <s v="SUZUKI-GR150 EURO II"/>
    <n v="13675"/>
    <n v="11358"/>
    <n v="2.5000000000000001E-2"/>
    <s v="113668"/>
    <d v="2024-09-18T00:00:00"/>
    <s v="MOTORCYCLE  COMPREHENSIVE"/>
    <n v="547000"/>
    <n v="1703.7"/>
    <n v="113.58"/>
    <n v="500"/>
  </r>
  <r>
    <s v="KHI/HO/D/MO/MC COMP/P/97604/09/2024"/>
    <m/>
    <x v="16"/>
    <s v="Punjab"/>
    <d v="2024-09-18T00:00:00"/>
    <d v="2025-09-18T00:00:00"/>
    <s v="ADEEL JAMIL"/>
    <s v="SUZUKI-GS-150"/>
    <n v="9550"/>
    <n v="7802"/>
    <n v="2.5000000000000001E-2"/>
    <s v="30092551"/>
    <d v="2024-09-18T00:00:00"/>
    <s v="MOTORCYCLE  COMPREHENSIVE"/>
    <n v="382000"/>
    <n v="1170.3"/>
    <n v="78.02"/>
    <n v="500"/>
  </r>
  <r>
    <s v="KHI/HO/D/MO/MC COMP/P/97610/09/2024"/>
    <m/>
    <x v="24"/>
    <s v="Punjab"/>
    <d v="2024-09-18T00:00:00"/>
    <d v="2025-09-18T00:00:00"/>
    <s v="KAMRAN AHMAD BHATTI"/>
    <s v="SUZUKI-GD-110S"/>
    <n v="8800"/>
    <n v="7155"/>
    <n v="2.5000000000000001E-2"/>
    <s v="147257"/>
    <d v="2024-09-18T00:00:00"/>
    <s v="MOTORCYCLE  COMPREHENSIVE"/>
    <n v="352000"/>
    <n v="1073.25"/>
    <n v="71.55"/>
    <n v="500"/>
  </r>
  <r>
    <s v="KHI/HO/D/MO/MC COMP/P/97612/09/2024"/>
    <m/>
    <x v="2"/>
    <s v="South"/>
    <d v="2024-09-18T00:00:00"/>
    <d v="2025-09-18T00:00:00"/>
    <s v="RAHEEL AKHTAR"/>
    <s v="SUZUKI-GR150 EURO II"/>
    <n v="23248"/>
    <n v="19610"/>
    <n v="4.2500914076782449E-2"/>
    <s v="113527"/>
    <d v="2024-09-18T00:00:00"/>
    <s v="MOTORCYCLE  COMPREHENSIVE"/>
    <n v="547000"/>
    <n v="2941.5"/>
    <n v="196.1"/>
    <n v="500"/>
  </r>
  <r>
    <s v="KHI/HO/D/MO/MC COMP/P/97613/09/2024"/>
    <m/>
    <x v="24"/>
    <s v="Punjab"/>
    <d v="2024-09-18T00:00:00"/>
    <d v="2025-09-18T00:00:00"/>
    <s v="SABIR ALI"/>
    <s v="SUZUKI-GS 150"/>
    <n v="9550"/>
    <n v="7802"/>
    <n v="2.5000000000000001E-2"/>
    <s v="30092878"/>
    <d v="2024-09-18T00:00:00"/>
    <s v="MOTORCYCLE  COMPREHENSIVE"/>
    <n v="382000"/>
    <n v="1170.3"/>
    <n v="78.02"/>
    <n v="500"/>
  </r>
  <r>
    <s v="KHI/HO/D/MO/MC COMP/P/97615/09/2024"/>
    <m/>
    <x v="24"/>
    <s v="Punjab"/>
    <d v="2024-09-18T00:00:00"/>
    <d v="2025-09-18T00:00:00"/>
    <s v="RASHID IQBAL"/>
    <s v="SUZUKI-GR150 EURO II"/>
    <n v="13675"/>
    <n v="11358"/>
    <n v="2.5000000000000001E-2"/>
    <s v="113699"/>
    <d v="2024-09-18T00:00:00"/>
    <s v="MOTORCYCLE  COMPREHENSIVE"/>
    <n v="547000"/>
    <n v="1703.7"/>
    <n v="113.58"/>
    <n v="500"/>
  </r>
  <r>
    <s v="KHI/HO/D/MO/MC COMP/P/97616/09/2024"/>
    <m/>
    <x v="19"/>
    <s v="Punjab"/>
    <d v="2024-09-18T00:00:00"/>
    <d v="2025-09-18T00:00:00"/>
    <s v="ABDUL REHMAN FAROOQI S/O MUHAMMAD IJAZ"/>
    <s v="SUZUKI-GD-110S"/>
    <n v="8800"/>
    <n v="7155"/>
    <n v="2.5000000000000001E-2"/>
    <s v="146889"/>
    <d v="2024-09-18T00:00:00"/>
    <s v="MOTORCYCLE  COMPREHENSIVE"/>
    <n v="352000"/>
    <n v="1073.25"/>
    <n v="71.55"/>
    <n v="500"/>
  </r>
  <r>
    <s v="KHI/HO/D/MO/MC COMP/P/97617/09/2024"/>
    <m/>
    <x v="24"/>
    <s v="Punjab"/>
    <d v="2024-09-18T00:00:00"/>
    <d v="2025-09-18T00:00:00"/>
    <s v="UMAIR ALI"/>
    <s v="SUZUKI-GD-110S"/>
    <n v="8800"/>
    <n v="7155"/>
    <n v="2.5000000000000001E-2"/>
    <s v="147914"/>
    <d v="2024-09-18T00:00:00"/>
    <s v="MOTORCYCLE  COMPREHENSIVE"/>
    <n v="352000"/>
    <n v="1073.25"/>
    <n v="71.55"/>
    <n v="500"/>
  </r>
  <r>
    <s v="KHI/HO/D/MO/MC COMP/P/97619/09/2024"/>
    <m/>
    <x v="11"/>
    <s v="Punjab"/>
    <d v="2024-09-18T00:00:00"/>
    <d v="2025-09-18T00:00:00"/>
    <s v="JUNAID SHAHID"/>
    <s v="SUZUKI-GD-110S"/>
    <n v="8800"/>
    <n v="7155"/>
    <n v="2.5000000000000001E-2"/>
    <s v="147442"/>
    <d v="2024-09-18T00:00:00"/>
    <s v="MOTORCYCLE  COMPREHENSIVE"/>
    <n v="352000"/>
    <n v="1073.25"/>
    <n v="71.55"/>
    <n v="500"/>
  </r>
  <r>
    <s v="KHI/HO/D/MO/MC COMP/P/97620/09/2024"/>
    <m/>
    <x v="16"/>
    <s v="Punjab"/>
    <d v="2024-09-18T00:00:00"/>
    <d v="2025-09-18T00:00:00"/>
    <s v="BILAL SAJJAD"/>
    <s v="SUZUKI-GD-110S"/>
    <n v="8800"/>
    <n v="7155"/>
    <n v="2.5000000000000001E-2"/>
    <s v="145991"/>
    <d v="2024-09-18T00:00:00"/>
    <s v="MOTORCYCLE  COMPREHENSIVE"/>
    <n v="352000"/>
    <n v="1073.25"/>
    <n v="71.55"/>
    <n v="500"/>
  </r>
  <r>
    <s v="KHI/HO/D/MO/MC COMP/P/97621/09/2024"/>
    <m/>
    <x v="11"/>
    <s v="Punjab"/>
    <d v="2024-09-18T00:00:00"/>
    <d v="2025-09-18T00:00:00"/>
    <s v="MUHAMMAD ZUBAIR"/>
    <s v="SUZUKI-GSX 125"/>
    <n v="12475"/>
    <n v="10323"/>
    <n v="2.5000000000000001E-2"/>
    <s v="23102597"/>
    <d v="2024-09-18T00:00:00"/>
    <s v="MOTORCYCLE  COMPREHENSIVE"/>
    <n v="499000"/>
    <n v="1548.45"/>
    <n v="103.23"/>
    <n v="500"/>
  </r>
  <r>
    <s v="KHI/HO/D/MO/MC COMP/P/97623/09/2024"/>
    <m/>
    <x v="11"/>
    <s v="Punjab"/>
    <d v="2024-09-18T00:00:00"/>
    <d v="2025-09-18T00:00:00"/>
    <s v="MUBASHAR HUSSAIN"/>
    <s v="SUZUKI-GD-110S"/>
    <n v="8800"/>
    <n v="7155"/>
    <n v="2.5000000000000001E-2"/>
    <s v="147445"/>
    <d v="2024-09-18T00:00:00"/>
    <s v="MOTORCYCLE  COMPREHENSIVE"/>
    <n v="352000"/>
    <n v="1073.25"/>
    <n v="71.55"/>
    <n v="500"/>
  </r>
  <r>
    <s v="KHI/HO/D/MO/MC COMP/P/97624/09/2024"/>
    <m/>
    <x v="3"/>
    <s v="South"/>
    <d v="2024-09-18T00:00:00"/>
    <d v="2025-09-18T00:00:00"/>
    <s v="DEEPAK CHANDA RAM"/>
    <s v="SUZUKI-GD-110S"/>
    <n v="14960"/>
    <n v="12466"/>
    <n v="4.2500000000000003E-2"/>
    <s v="148033"/>
    <d v="2024-09-18T00:00:00"/>
    <s v="MOTORCYCLE  COMPREHENSIVE"/>
    <n v="352000"/>
    <n v="1869.9"/>
    <n v="124.66"/>
    <n v="500"/>
  </r>
  <r>
    <s v="KHI/HO/D/MO/MC COMP/P/97625/09/2024"/>
    <m/>
    <x v="11"/>
    <s v="Punjab"/>
    <d v="2024-09-18T00:00:00"/>
    <d v="2025-09-18T00:00:00"/>
    <s v="SALMAN ASHFAQ"/>
    <s v="SUZUKI-GD-110S"/>
    <n v="8800"/>
    <n v="7155"/>
    <n v="2.5000000000000001E-2"/>
    <s v="147443"/>
    <d v="2024-09-18T00:00:00"/>
    <s v="MOTORCYCLE  COMPREHENSIVE"/>
    <n v="352000"/>
    <n v="1073.25"/>
    <n v="71.55"/>
    <n v="500"/>
  </r>
  <r>
    <s v="KHI/HO/D/MO/MC COMP/P/97626/09/2024"/>
    <m/>
    <x v="2"/>
    <s v="South"/>
    <d v="2024-09-18T00:00:00"/>
    <d v="2025-09-18T00:00:00"/>
    <s v="MUHAMMAD HASSAN HASAN SHAIKH"/>
    <s v="SUZUKI-GD-110S"/>
    <n v="14960"/>
    <n v="12466"/>
    <n v="4.2500000000000003E-2"/>
    <s v="148447"/>
    <d v="2024-09-18T00:00:00"/>
    <s v="MOTORCYCLE  COMPREHENSIVE"/>
    <n v="352000"/>
    <n v="1869.9"/>
    <n v="124.66"/>
    <n v="500"/>
  </r>
  <r>
    <s v="KHI/HO/D/MO/MC COMP/P/97633/09/2024"/>
    <m/>
    <x v="9"/>
    <s v="Punjab"/>
    <d v="2024-09-18T00:00:00"/>
    <d v="2025-09-18T00:00:00"/>
    <s v="Raheel Shukat"/>
    <s v="SUZUKI-GS-150"/>
    <n v="9550"/>
    <n v="7802"/>
    <n v="2.5000000000000001E-2"/>
    <s v="30092940"/>
    <d v="2024-09-18T00:00:00"/>
    <s v="MOTORCYCLE  COMPREHENSIVE"/>
    <n v="382000"/>
    <n v="1170.3"/>
    <n v="78.02"/>
    <n v="500"/>
  </r>
  <r>
    <s v="KHI/HO/D/MO/MC COMP/P/97636/09/2024"/>
    <m/>
    <x v="9"/>
    <s v="Punjab"/>
    <d v="2024-09-18T00:00:00"/>
    <d v="2025-09-18T00:00:00"/>
    <s v="Usama Ahmad"/>
    <s v="SUZUKI-GS 150"/>
    <n v="9550"/>
    <n v="7802"/>
    <n v="2.5000000000000001E-2"/>
    <s v="30092935"/>
    <d v="2024-09-18T00:00:00"/>
    <s v="MOTORCYCLE  COMPREHENSIVE"/>
    <n v="382000"/>
    <n v="1170.3"/>
    <n v="78.02"/>
    <n v="500"/>
  </r>
  <r>
    <s v="KHI/HO/D/MO/MC COMP/P/97638/09/2024"/>
    <m/>
    <x v="11"/>
    <s v="Punjab"/>
    <d v="2024-09-18T00:00:00"/>
    <d v="2025-09-18T00:00:00"/>
    <s v="MUHAMMAD NASEEB"/>
    <s v="SUZUKI-GD-110S"/>
    <n v="8800"/>
    <n v="7155"/>
    <n v="2.5000000000000001E-2"/>
    <s v="147447"/>
    <d v="2024-09-18T00:00:00"/>
    <s v="MOTORCYCLE  COMPREHENSIVE"/>
    <n v="352000"/>
    <n v="1073.25"/>
    <n v="71.55"/>
    <n v="500"/>
  </r>
  <r>
    <s v="KHI/HO/D/MO/MC COMP/P/97639/09/2024"/>
    <m/>
    <x v="11"/>
    <s v="Punjab"/>
    <d v="2024-09-18T00:00:00"/>
    <d v="2025-09-18T00:00:00"/>
    <s v="AHMAD RAZA"/>
    <s v="SUZUKI-GD-110S"/>
    <n v="8800"/>
    <n v="7155"/>
    <n v="2.5000000000000001E-2"/>
    <s v="147452"/>
    <d v="2024-09-18T00:00:00"/>
    <s v="MOTORCYCLE  COMPREHENSIVE"/>
    <n v="352000"/>
    <n v="1073.25"/>
    <n v="71.55"/>
    <n v="500"/>
  </r>
  <r>
    <s v="KHI/HO/D/MO/MC COMP/P/97641/09/2024"/>
    <m/>
    <x v="12"/>
    <s v="Punjab"/>
    <d v="2024-09-18T00:00:00"/>
    <d v="2025-09-18T00:00:00"/>
    <s v="MUHAMMAD ZUBAIR"/>
    <s v="SUZUKI-GD-110S"/>
    <n v="8800"/>
    <n v="7155"/>
    <n v="2.5000000000000001E-2"/>
    <s v="138831"/>
    <d v="2024-09-18T00:00:00"/>
    <s v="MOTORCYCLE  COMPREHENSIVE"/>
    <n v="352000"/>
    <n v="1073.25"/>
    <n v="71.55"/>
    <n v="500"/>
  </r>
  <r>
    <s v="KHI/HO/D/MO/MC COMP/P/97642/09/2024"/>
    <m/>
    <x v="11"/>
    <s v="Punjab"/>
    <d v="2024-09-18T00:00:00"/>
    <d v="2025-09-18T00:00:00"/>
    <s v="UMAIR IFTIKHAR"/>
    <s v="SUZUKI-GD-110S"/>
    <n v="8800"/>
    <n v="7155"/>
    <n v="2.5000000000000001E-2"/>
    <s v="147435"/>
    <d v="2024-09-18T00:00:00"/>
    <s v="MOTORCYCLE  COMPREHENSIVE"/>
    <n v="352000"/>
    <n v="1073.25"/>
    <n v="71.55"/>
    <n v="500"/>
  </r>
  <r>
    <s v="KHI/HO/D/MO/MC COMP/P/97644/09/2024"/>
    <m/>
    <x v="6"/>
    <s v="South"/>
    <d v="2024-09-18T00:00:00"/>
    <d v="2025-09-18T00:00:00"/>
    <s v="KHURRAM ABDUL RASHEED GHAZIANI"/>
    <s v="SUZUKI-GSX 125"/>
    <n v="21208"/>
    <n v="17852"/>
    <n v="4.2501002004008019E-2"/>
    <s v="23102692"/>
    <d v="2024-09-18T00:00:00"/>
    <s v="MOTORCYCLE  COMPREHENSIVE"/>
    <n v="499000"/>
    <n v="2677.8"/>
    <n v="178.52"/>
    <n v="500"/>
  </r>
  <r>
    <s v="KHI/HO/D/MO/MC COMP/P/97645/09/2024"/>
    <m/>
    <x v="6"/>
    <s v="South"/>
    <d v="2025-09-19T00:00:00"/>
    <d v="2026-09-19T00:00:00"/>
    <s v="KHURRAM ABDUL RASHEED GHAZIANI"/>
    <s v="SUZUKI-GSX 125"/>
    <n v="21208"/>
    <n v="17852"/>
    <n v="4.2501002004008019E-2"/>
    <s v="23102692"/>
    <d v="2024-09-18T00:00:00"/>
    <s v="MOTORCYCLE  COMPREHENSIVE"/>
    <n v="499000"/>
    <n v="2677.8"/>
    <n v="178.52"/>
    <n v="500"/>
  </r>
  <r>
    <s v="KHI/HO/D/MO/MC COMP/P/97647/09/2024"/>
    <m/>
    <x v="10"/>
    <s v="Punjab"/>
    <d v="2024-09-18T00:00:00"/>
    <d v="2025-09-18T00:00:00"/>
    <s v="INAYAT QADIR"/>
    <s v="SUZUKI-GD-110S"/>
    <n v="8800"/>
    <n v="7155"/>
    <n v="2.5000000000000001E-2"/>
    <s v="147893"/>
    <d v="2024-09-18T00:00:00"/>
    <s v="MOTORCYCLE  COMPREHENSIVE"/>
    <n v="352000"/>
    <n v="1073.25"/>
    <n v="71.55"/>
    <n v="500"/>
  </r>
  <r>
    <s v="KHI/HO/D/MO/MC COMP/P/97648/09/2024"/>
    <m/>
    <x v="16"/>
    <s v="Punjab"/>
    <d v="2024-09-18T00:00:00"/>
    <d v="2025-09-18T00:00:00"/>
    <s v="TAHIR MEHMOOD KAYANI"/>
    <s v="SUZUKI-GS-150"/>
    <n v="9550"/>
    <n v="7802"/>
    <n v="2.5000000000000001E-2"/>
    <s v="30092286"/>
    <d v="2024-09-18T00:00:00"/>
    <s v="MOTORCYCLE  COMPREHENSIVE"/>
    <n v="382000"/>
    <n v="1170.3"/>
    <n v="78.02"/>
    <n v="500"/>
  </r>
  <r>
    <s v="KHI/HO/D/MO/MC COMP/P/97650/09/2024"/>
    <m/>
    <x v="10"/>
    <s v="Punjab"/>
    <d v="2024-09-18T00:00:00"/>
    <d v="2025-09-18T00:00:00"/>
    <s v="ZEESHAN IBRAHEEM"/>
    <s v="SUZUKI-GD-110S"/>
    <n v="8800"/>
    <n v="7155"/>
    <n v="2.5000000000000001E-2"/>
    <s v="147989"/>
    <d v="2024-09-18T00:00:00"/>
    <s v="MOTORCYCLE  COMPREHENSIVE"/>
    <n v="352000"/>
    <n v="1073.25"/>
    <n v="71.55"/>
    <n v="500"/>
  </r>
  <r>
    <s v="KHI/HO/D/MO/MC COMP/P/97651/09/2024"/>
    <m/>
    <x v="9"/>
    <s v="Punjab"/>
    <d v="2024-09-18T00:00:00"/>
    <d v="2025-09-18T00:00:00"/>
    <s v="Abdul Jabbar"/>
    <s v="SUZUKI-GD-110S"/>
    <n v="8800"/>
    <n v="7155"/>
    <n v="2.5000000000000001E-2"/>
    <s v="147343"/>
    <d v="2024-09-18T00:00:00"/>
    <s v="MOTORCYCLE  COMPREHENSIVE"/>
    <n v="352000"/>
    <n v="1073.25"/>
    <n v="71.55"/>
    <n v="500"/>
  </r>
  <r>
    <s v="KHI/HO/D/MO/MC COMP/P/97652/09/2024"/>
    <m/>
    <x v="9"/>
    <s v="Punjab"/>
    <d v="2024-09-18T00:00:00"/>
    <d v="2025-09-18T00:00:00"/>
    <s v="Muhammad Abbas"/>
    <s v="SUZUKI-GS-150"/>
    <n v="9550"/>
    <n v="7802"/>
    <n v="2.5000000000000001E-2"/>
    <s v="30092932"/>
    <d v="2024-09-18T00:00:00"/>
    <s v="MOTORCYCLE  COMPREHENSIVE"/>
    <n v="382000"/>
    <n v="1170.3"/>
    <n v="78.02"/>
    <n v="500"/>
  </r>
  <r>
    <s v="KHI/HO/D/MO/MC COMP/P/97653/09/2024"/>
    <m/>
    <x v="15"/>
    <s v="Punjab"/>
    <d v="2024-09-18T00:00:00"/>
    <d v="2025-09-18T00:00:00"/>
    <s v="ABDUL KHALIQ"/>
    <s v="SUZUKI-GD-110S"/>
    <n v="8800"/>
    <n v="7155"/>
    <n v="2.5000000000000001E-2"/>
    <s v="147045"/>
    <d v="2024-09-18T00:00:00"/>
    <s v="MOTORCYCLE  COMPREHENSIVE"/>
    <n v="352000"/>
    <n v="1073.25"/>
    <n v="71.55"/>
    <n v="500"/>
  </r>
  <r>
    <s v="KHI/HO/D/MO/MC COMP/P/97654/09/2024"/>
    <m/>
    <x v="1"/>
    <s v="South"/>
    <d v="2024-09-18T00:00:00"/>
    <d v="2025-09-18T00:00:00"/>
    <s v="HARIS QADEER KHAN"/>
    <s v="SUZUKI-GSX 125"/>
    <n v="21208"/>
    <n v="17852"/>
    <n v="4.2501002004008019E-2"/>
    <s v="23102659"/>
    <d v="2024-09-18T00:00:00"/>
    <s v="MOTORCYCLE  COMPREHENSIVE"/>
    <n v="499000"/>
    <n v="2677.8"/>
    <n v="178.52"/>
    <n v="500"/>
  </r>
  <r>
    <s v="KHI/HO/D/MO/MC COMP/P/97655/09/2024"/>
    <m/>
    <x v="15"/>
    <s v="Punjab"/>
    <d v="2024-09-18T00:00:00"/>
    <d v="2025-09-18T00:00:00"/>
    <s v="ABDUL REHMAN"/>
    <s v="SUZUKI-GD-110S"/>
    <n v="8800"/>
    <n v="7155"/>
    <n v="2.5000000000000001E-2"/>
    <s v="147057"/>
    <d v="2024-09-18T00:00:00"/>
    <s v="MOTORCYCLE  COMPREHENSIVE"/>
    <n v="352000"/>
    <n v="1073.25"/>
    <n v="71.55"/>
    <n v="500"/>
  </r>
  <r>
    <s v="KHI/HO/D/MO/MC COMP/P/97659/09/2024"/>
    <m/>
    <x v="15"/>
    <s v="Punjab"/>
    <d v="2024-09-18T00:00:00"/>
    <d v="2025-09-18T00:00:00"/>
    <s v="MUHAMMAD ZAFAR IQBAL"/>
    <s v="SUZUKI-GD-110S"/>
    <n v="8800"/>
    <n v="7155"/>
    <n v="2.5000000000000001E-2"/>
    <s v="147013"/>
    <d v="2024-09-18T00:00:00"/>
    <s v="MOTORCYCLE  COMPREHENSIVE"/>
    <n v="352000"/>
    <n v="1073.25"/>
    <n v="71.55"/>
    <n v="500"/>
  </r>
  <r>
    <s v="KHI/HO/D/MO/MC COMP/P/97662/09/2024"/>
    <m/>
    <x v="15"/>
    <s v="Punjab"/>
    <d v="2024-09-18T00:00:00"/>
    <d v="2025-09-18T00:00:00"/>
    <s v="MUHAMMAD JAMIL BABER"/>
    <s v="SUZUKI-GD-110S"/>
    <n v="8800"/>
    <n v="7155"/>
    <n v="2.5000000000000001E-2"/>
    <s v="147809"/>
    <d v="2024-09-18T00:00:00"/>
    <s v="MOTORCYCLE  COMPREHENSIVE"/>
    <n v="352000"/>
    <n v="1073.25"/>
    <n v="71.55"/>
    <n v="500"/>
  </r>
  <r>
    <s v="KHI/HO/D/MO/MC COMP/P/97663/09/2024"/>
    <m/>
    <x v="15"/>
    <s v="Punjab"/>
    <d v="2024-09-18T00:00:00"/>
    <d v="2025-09-18T00:00:00"/>
    <s v="MUHAMMAD NAEEM"/>
    <s v="SUZUKI-GD-110S"/>
    <n v="8800"/>
    <n v="7155"/>
    <n v="2.5000000000000001E-2"/>
    <s v="147556"/>
    <d v="2024-09-18T00:00:00"/>
    <s v="MOTORCYCLE  COMPREHENSIVE"/>
    <n v="352000"/>
    <n v="1073.25"/>
    <n v="71.55"/>
    <n v="500"/>
  </r>
  <r>
    <s v="KHI/HO/D/MO/MC COMP/P/97667/09/2024"/>
    <m/>
    <x v="3"/>
    <s v="South"/>
    <d v="2024-09-18T00:00:00"/>
    <d v="2025-09-18T00:00:00"/>
    <s v="MUHAMMAD SAAD ZUBAIR"/>
    <s v="SUZUKI-GD-110S"/>
    <n v="14960"/>
    <n v="12466"/>
    <n v="4.2500000000000003E-2"/>
    <s v="148449"/>
    <d v="2024-09-18T00:00:00"/>
    <s v="MOTORCYCLE  COMPREHENSIVE"/>
    <n v="352000"/>
    <n v="1869.9"/>
    <n v="124.66"/>
    <n v="500"/>
  </r>
  <r>
    <s v="KHI/HO/D/MO/MC COMP/P/97671/09/2024"/>
    <m/>
    <x v="12"/>
    <s v="Punjab"/>
    <d v="2024-09-18T00:00:00"/>
    <d v="2025-09-18T00:00:00"/>
    <s v="MUHAMMAD SOHAIL"/>
    <s v="SUZUKI-GD-110S"/>
    <n v="8800"/>
    <n v="7155"/>
    <n v="2.5000000000000001E-2"/>
    <s v="147562"/>
    <d v="2024-09-18T00:00:00"/>
    <s v="MOTORCYCLE  COMPREHENSIVE"/>
    <n v="352000"/>
    <n v="1073.25"/>
    <n v="71.55"/>
    <n v="500"/>
  </r>
  <r>
    <s v="KHI/HO/D/MO/MC COMP/P/97672/09/2024"/>
    <m/>
    <x v="12"/>
    <s v="Punjab"/>
    <d v="2024-09-18T00:00:00"/>
    <d v="2025-09-18T00:00:00"/>
    <s v="WAKEEL AHMAD"/>
    <s v="SUZUKI-GSX 125"/>
    <n v="12475"/>
    <n v="10323"/>
    <n v="2.5000000000000001E-2"/>
    <s v="23102598"/>
    <d v="2024-09-18T00:00:00"/>
    <s v="MOTORCYCLE  COMPREHENSIVE"/>
    <n v="499000"/>
    <n v="1548.45"/>
    <n v="103.23"/>
    <n v="500"/>
  </r>
  <r>
    <s v="KHI/HO/D/MO/MC COMP/P/97673/09/2024"/>
    <m/>
    <x v="12"/>
    <s v="Punjab"/>
    <d v="2024-09-18T00:00:00"/>
    <d v="2025-09-18T00:00:00"/>
    <s v="FARJAD HUSSAIN"/>
    <s v="SUZUKI-GD-110S"/>
    <n v="8800"/>
    <n v="7155"/>
    <n v="2.5000000000000001E-2"/>
    <s v="147538"/>
    <d v="2024-09-18T00:00:00"/>
    <s v="MOTORCYCLE  COMPREHENSIVE"/>
    <n v="352000"/>
    <n v="1073.25"/>
    <n v="71.55"/>
    <n v="500"/>
  </r>
  <r>
    <s v="KHI/HO/D/MO/MC COMP/P/97674/09/2024"/>
    <m/>
    <x v="12"/>
    <s v="Punjab"/>
    <d v="2024-09-18T00:00:00"/>
    <d v="2025-09-18T00:00:00"/>
    <s v="MUHAMMAD IRFAN"/>
    <s v="SUZUKI-GD-110S"/>
    <n v="8800"/>
    <n v="7155"/>
    <n v="2.5000000000000001E-2"/>
    <s v="147558"/>
    <d v="2024-09-18T00:00:00"/>
    <s v="MOTORCYCLE  COMPREHENSIVE"/>
    <n v="352000"/>
    <n v="1073.25"/>
    <n v="71.55"/>
    <n v="500"/>
  </r>
  <r>
    <s v="KHI/HO/D/MO/MC COMP/P/97695/09/2024"/>
    <m/>
    <x v="15"/>
    <s v="Punjab"/>
    <d v="2024-09-19T00:00:00"/>
    <d v="2025-09-19T00:00:00"/>
    <s v="AMIR ALI"/>
    <s v="SUZUKI-GD-110S"/>
    <n v="8800"/>
    <n v="7155"/>
    <n v="2.5000000000000001E-2"/>
    <s v="147565"/>
    <d v="2024-09-19T00:00:00"/>
    <s v="MOTORCYCLE  COMPREHENSIVE"/>
    <n v="352000"/>
    <n v="1073.25"/>
    <n v="71.55"/>
    <n v="500"/>
  </r>
  <r>
    <s v="KHI/HO/D/MO/MC COMP/P/97696/09/2024"/>
    <m/>
    <x v="15"/>
    <s v="Punjab"/>
    <d v="2024-09-19T00:00:00"/>
    <d v="2025-09-19T00:00:00"/>
    <s v="ZAHEER AHMAD"/>
    <s v="SUZUKI-GD-110S"/>
    <n v="8800"/>
    <n v="7155"/>
    <n v="2.5000000000000001E-2"/>
    <s v="147549"/>
    <d v="2024-09-19T00:00:00"/>
    <s v="MOTORCYCLE  COMPREHENSIVE"/>
    <n v="352000"/>
    <n v="1073.25"/>
    <n v="71.55"/>
    <n v="500"/>
  </r>
  <r>
    <s v="KHI/HO/D/MO/MC COMP/P/97698/09/2024"/>
    <m/>
    <x v="15"/>
    <s v="Punjab"/>
    <d v="2024-09-19T00:00:00"/>
    <d v="2025-09-19T00:00:00"/>
    <s v="MUHAMMAD NUMAN ATHAR"/>
    <s v="SUZUKI-GD-110S"/>
    <n v="8800"/>
    <n v="7155"/>
    <n v="2.5000000000000001E-2"/>
    <s v="147620"/>
    <d v="2024-09-19T00:00:00"/>
    <s v="MOTORCYCLE  COMPREHENSIVE"/>
    <n v="352000"/>
    <n v="1073.25"/>
    <n v="71.55"/>
    <n v="500"/>
  </r>
  <r>
    <s v="KHI/HO/D/MO/MC COMP/P/97699/09/2024"/>
    <m/>
    <x v="25"/>
    <s v="Punjab"/>
    <d v="2024-09-19T00:00:00"/>
    <d v="2025-09-19T00:00:00"/>
    <s v="USAMA BIN TARIQ"/>
    <s v="SUZUKI-GS 150"/>
    <n v="9550"/>
    <n v="7802"/>
    <n v="2.5000000000000001E-2"/>
    <s v="PKG30092297"/>
    <d v="2024-09-19T00:00:00"/>
    <s v="MOTORCYCLE  COMPREHENSIVE"/>
    <n v="382000"/>
    <n v="1170.3"/>
    <n v="78.02"/>
    <n v="500"/>
  </r>
  <r>
    <s v="KHI/HO/D/MO/MC COMP/P/97701/09/2024"/>
    <m/>
    <x v="15"/>
    <s v="Punjab"/>
    <d v="2024-09-19T00:00:00"/>
    <d v="2025-09-19T00:00:00"/>
    <s v="MURTAZA EJAZ BAIG"/>
    <s v="SUZUKI-GD-110S"/>
    <n v="8800"/>
    <n v="7155"/>
    <n v="2.5000000000000001E-2"/>
    <s v="146896"/>
    <d v="2024-09-19T00:00:00"/>
    <s v="MOTORCYCLE  COMPREHENSIVE"/>
    <n v="352000"/>
    <n v="1073.25"/>
    <n v="71.55"/>
    <n v="500"/>
  </r>
  <r>
    <s v="KHI/HO/D/MO/MC COMP/P/97703/09/2024"/>
    <m/>
    <x v="15"/>
    <s v="Punjab"/>
    <d v="2024-09-19T00:00:00"/>
    <d v="2025-09-19T00:00:00"/>
    <s v="MEHRAN ALI"/>
    <s v="SUZUKI-GD-110S"/>
    <n v="8800"/>
    <n v="7155"/>
    <n v="2.5000000000000001E-2"/>
    <s v="147167"/>
    <d v="2024-09-19T00:00:00"/>
    <s v="MOTORCYCLE  COMPREHENSIVE"/>
    <n v="352000"/>
    <n v="1073.25"/>
    <n v="71.55"/>
    <n v="500"/>
  </r>
  <r>
    <s v="KHI/HO/D/MO/MC COMP/P/97704/09/2024"/>
    <m/>
    <x v="25"/>
    <s v="Punjab"/>
    <d v="2024-09-19T00:00:00"/>
    <d v="2025-09-19T00:00:00"/>
    <s v="SHERYAR AHMED"/>
    <s v="SUZUKI-GS 150"/>
    <n v="9550"/>
    <n v="7802"/>
    <n v="2.5000000000000001E-2"/>
    <s v="PKG30092269"/>
    <d v="2024-09-19T00:00:00"/>
    <s v="MOTORCYCLE  COMPREHENSIVE"/>
    <n v="382000"/>
    <n v="1170.3"/>
    <n v="78.02"/>
    <n v="500"/>
  </r>
  <r>
    <s v="KHI/HO/D/MO/MC COMP/P/97705/09/2024"/>
    <m/>
    <x v="15"/>
    <s v="Punjab"/>
    <d v="2024-09-19T00:00:00"/>
    <d v="2025-09-19T00:00:00"/>
    <s v="JAVED LIAQAT"/>
    <s v="SUZUKI-GD-110S"/>
    <n v="8800"/>
    <n v="7155"/>
    <n v="2.5000000000000001E-2"/>
    <s v="147160"/>
    <d v="2024-09-19T00:00:00"/>
    <s v="MOTORCYCLE  COMPREHENSIVE"/>
    <n v="352000"/>
    <n v="1073.25"/>
    <n v="71.55"/>
    <n v="500"/>
  </r>
  <r>
    <s v="KHI/HO/D/MO/MC COMP/P/97707/09/2024"/>
    <m/>
    <x v="25"/>
    <s v="Punjab"/>
    <d v="2024-09-19T00:00:00"/>
    <d v="2025-09-19T00:00:00"/>
    <s v="SATWAT JAMAL"/>
    <s v="SUZUKI-GD-110S"/>
    <n v="8800"/>
    <n v="7155"/>
    <n v="2.5000000000000001E-2"/>
    <s v="E487-146891"/>
    <d v="2024-09-19T00:00:00"/>
    <s v="MOTORCYCLE  COMPREHENSIVE"/>
    <n v="352000"/>
    <n v="1073.25"/>
    <n v="71.55"/>
    <n v="500"/>
  </r>
  <r>
    <s v="KHI/HO/D/MO/MC COMP/P/97708/09/2024"/>
    <m/>
    <x v="15"/>
    <s v="Punjab"/>
    <d v="2024-09-19T00:00:00"/>
    <d v="2025-09-19T00:00:00"/>
    <s v="ADNAN SARWAR"/>
    <s v="SUZUKI-GD-110S"/>
    <n v="8800"/>
    <n v="7155"/>
    <n v="2.5000000000000001E-2"/>
    <s v="147040"/>
    <d v="2024-09-19T00:00:00"/>
    <s v="MOTORCYCLE  COMPREHENSIVE"/>
    <n v="352000"/>
    <n v="1073.25"/>
    <n v="71.55"/>
    <n v="500"/>
  </r>
  <r>
    <s v="KHI/HO/D/MO/MC COMP/P/97709/09/2024"/>
    <m/>
    <x v="15"/>
    <s v="Punjab"/>
    <d v="2024-09-19T00:00:00"/>
    <d v="2025-09-19T00:00:00"/>
    <s v="TAMOOR ASHFAQ"/>
    <s v="SUZUKI-GD-110S"/>
    <n v="8800"/>
    <n v="7155"/>
    <n v="2.5000000000000001E-2"/>
    <s v="147065"/>
    <d v="2024-09-19T00:00:00"/>
    <s v="MOTORCYCLE  COMPREHENSIVE"/>
    <n v="352000"/>
    <n v="1073.25"/>
    <n v="71.55"/>
    <n v="500"/>
  </r>
  <r>
    <s v="KHI/HO/D/MO/MC COMP/P/97710/09/2024"/>
    <m/>
    <x v="25"/>
    <s v="Punjab"/>
    <d v="2024-09-19T00:00:00"/>
    <d v="2025-09-19T00:00:00"/>
    <s v="SAAD BIN YASIR"/>
    <s v="SUZUKI-GS 150"/>
    <n v="9550"/>
    <n v="7802"/>
    <n v="2.5000000000000001E-2"/>
    <s v="PKG30092505"/>
    <d v="2024-09-19T00:00:00"/>
    <s v="MOTORCYCLE  COMPREHENSIVE"/>
    <n v="382000"/>
    <n v="1170.3"/>
    <n v="78.02"/>
    <n v="500"/>
  </r>
  <r>
    <s v="KHI/HO/D/MO/MC COMP/P/97712/09/2024"/>
    <m/>
    <x v="15"/>
    <s v="Punjab"/>
    <d v="2024-09-19T00:00:00"/>
    <d v="2025-09-19T00:00:00"/>
    <s v="MUHAMMAD MOHSIN MAJEED"/>
    <s v="SUZUKI-GSX 125"/>
    <n v="12475"/>
    <n v="10323"/>
    <n v="2.5000000000000001E-2"/>
    <s v="23102549"/>
    <d v="2024-09-19T00:00:00"/>
    <s v="MOTORCYCLE  COMPREHENSIVE"/>
    <n v="499000"/>
    <n v="1548.45"/>
    <n v="103.23"/>
    <n v="500"/>
  </r>
  <r>
    <s v="KHI/HO/D/MO/MC COMP/P/97713/09/2024"/>
    <m/>
    <x v="15"/>
    <s v="Punjab"/>
    <d v="2024-09-19T00:00:00"/>
    <d v="2025-09-19T00:00:00"/>
    <s v="MAZHAR HUSSAIN"/>
    <s v="SUZUKI-GD-110S"/>
    <n v="8800"/>
    <n v="7155"/>
    <n v="2.5000000000000001E-2"/>
    <s v="147807"/>
    <d v="2024-09-19T00:00:00"/>
    <s v="MOTORCYCLE  COMPREHENSIVE"/>
    <n v="352000"/>
    <n v="1073.25"/>
    <n v="71.55"/>
    <n v="500"/>
  </r>
  <r>
    <s v="KHI/HO/D/MO/MC COMP/P/97714/09/2024"/>
    <m/>
    <x v="25"/>
    <s v="Punjab"/>
    <d v="2024-09-19T00:00:00"/>
    <d v="2025-09-19T00:00:00"/>
    <s v="MUHAMMAD USMAN"/>
    <s v="SUZUKI-GS 150"/>
    <n v="9550"/>
    <n v="7802"/>
    <n v="2.5000000000000001E-2"/>
    <s v="PKG30092183"/>
    <d v="2024-09-19T00:00:00"/>
    <s v="MOTORCYCLE  COMPREHENSIVE"/>
    <n v="382000"/>
    <n v="1170.3"/>
    <n v="78.02"/>
    <n v="500"/>
  </r>
  <r>
    <s v="KHI/HO/D/MO/MC COMP/P/97715/09/2024"/>
    <m/>
    <x v="12"/>
    <s v="Punjab"/>
    <d v="2024-09-19T00:00:00"/>
    <d v="2025-09-19T00:00:00"/>
    <s v="MUHAMMAD MUSHTAQ"/>
    <s v="SUZUKI-GD-110S"/>
    <n v="8800"/>
    <n v="7155"/>
    <n v="2.5000000000000001E-2"/>
    <s v="146915"/>
    <d v="2024-09-19T00:00:00"/>
    <s v="MOTORCYCLE  COMPREHENSIVE"/>
    <n v="352000"/>
    <n v="1073.25"/>
    <n v="71.55"/>
    <n v="500"/>
  </r>
  <r>
    <s v="KHI/HO/D/MO/MC COMP/P/97717/09/2024"/>
    <m/>
    <x v="15"/>
    <s v="Punjab"/>
    <d v="2024-09-19T00:00:00"/>
    <d v="2025-09-19T00:00:00"/>
    <s v="TAHIR ABBAS HASHMI"/>
    <s v="SUZUKI-GD-110S"/>
    <n v="8800"/>
    <n v="7155"/>
    <n v="2.5000000000000001E-2"/>
    <s v="147819"/>
    <d v="2024-09-19T00:00:00"/>
    <s v="MOTORCYCLE  COMPREHENSIVE"/>
    <n v="352000"/>
    <n v="1073.25"/>
    <n v="71.55"/>
    <n v="500"/>
  </r>
  <r>
    <s v="KHI/HO/D/MO/MC COMP/P/97718/09/2024"/>
    <m/>
    <x v="1"/>
    <s v="South"/>
    <d v="2024-09-19T00:00:00"/>
    <d v="2025-09-19T00:00:00"/>
    <s v="SHERAZ ALI"/>
    <s v="SUZUKI-GS 150"/>
    <n v="16235"/>
    <n v="13565"/>
    <n v="4.2500000000000003E-2"/>
    <s v="30093074"/>
    <d v="2024-09-19T00:00:00"/>
    <s v="MOTORCYCLE  COMPREHENSIVE"/>
    <n v="382000"/>
    <n v="2034.75"/>
    <n v="135.65"/>
    <n v="500"/>
  </r>
  <r>
    <s v="KHI/HO/D/MO/MC COMP/P/97719/09/2024"/>
    <m/>
    <x v="1"/>
    <s v="South"/>
    <d v="2025-09-20T00:00:00"/>
    <d v="2026-09-20T00:00:00"/>
    <s v="SHERAZ ALI"/>
    <s v="SUZUKI-GS 150"/>
    <n v="16235"/>
    <n v="13565"/>
    <n v="4.2500000000000003E-2"/>
    <s v="30093074"/>
    <d v="2024-09-19T00:00:00"/>
    <s v="MOTORCYCLE  COMPREHENSIVE"/>
    <n v="382000"/>
    <n v="2034.75"/>
    <n v="135.65"/>
    <n v="500"/>
  </r>
  <r>
    <s v="KHI/HO/D/MO/MC COMP/P/97720/09/2024"/>
    <m/>
    <x v="12"/>
    <s v="Punjab"/>
    <d v="2024-09-19T00:00:00"/>
    <d v="2025-09-19T00:00:00"/>
    <s v="ZAHEER UD DIN BABAR MUGHAL"/>
    <s v="SUZUKI-GD-110S"/>
    <n v="8800"/>
    <n v="7155"/>
    <n v="2.5000000000000001E-2"/>
    <s v="147229"/>
    <d v="2024-09-19T00:00:00"/>
    <s v="MOTORCYCLE  COMPREHENSIVE"/>
    <n v="352000"/>
    <n v="1073.25"/>
    <n v="71.55"/>
    <n v="500"/>
  </r>
  <r>
    <s v="KHI/HO/D/MO/MC COMP/P/97721/09/2024"/>
    <m/>
    <x v="15"/>
    <s v="Punjab"/>
    <d v="2024-09-19T00:00:00"/>
    <d v="2025-09-19T00:00:00"/>
    <s v="MUHAMMAD AHMAD"/>
    <s v="SUZUKI-GD-110S"/>
    <n v="8800"/>
    <n v="7155"/>
    <n v="2.5000000000000001E-2"/>
    <s v="147526"/>
    <d v="2024-09-19T00:00:00"/>
    <s v="MOTORCYCLE  COMPREHENSIVE"/>
    <n v="352000"/>
    <n v="1073.25"/>
    <n v="71.55"/>
    <n v="500"/>
  </r>
  <r>
    <s v="KHI/HO/D/MO/MC COMP/P/97723/09/2024"/>
    <m/>
    <x v="15"/>
    <s v="Punjab"/>
    <d v="2024-09-19T00:00:00"/>
    <d v="2025-09-19T00:00:00"/>
    <s v="MUHAMMAD UMAIR"/>
    <s v="SUZUKI-GSX 125"/>
    <n v="12475"/>
    <n v="10323"/>
    <n v="2.5000000000000001E-2"/>
    <s v="23102662"/>
    <d v="2024-09-19T00:00:00"/>
    <s v="MOTORCYCLE  COMPREHENSIVE"/>
    <n v="499000"/>
    <n v="1548.45"/>
    <n v="103.23"/>
    <n v="500"/>
  </r>
  <r>
    <s v="KHI/HO/D/MO/MC COMP/P/97724/09/2024"/>
    <m/>
    <x v="15"/>
    <s v="Punjab"/>
    <d v="2024-09-19T00:00:00"/>
    <d v="2025-09-19T00:00:00"/>
    <s v="ZEESHAN ALI"/>
    <s v="SUZUKI-GD-110S"/>
    <n v="8800"/>
    <n v="7155"/>
    <n v="2.5000000000000001E-2"/>
    <s v="147987"/>
    <d v="2024-09-19T00:00:00"/>
    <s v="MOTORCYCLE  COMPREHENSIVE"/>
    <n v="352000"/>
    <n v="1073.25"/>
    <n v="71.55"/>
    <n v="500"/>
  </r>
  <r>
    <s v="KHI/HO/D/MO/MC COMP/P/97727/09/2024"/>
    <m/>
    <x v="15"/>
    <s v="Punjab"/>
    <d v="2024-09-19T00:00:00"/>
    <d v="2025-09-19T00:00:00"/>
    <s v="SAMI ULLAH"/>
    <s v="SUZUKI-GD-110S"/>
    <n v="8800"/>
    <n v="7155"/>
    <n v="2.5000000000000001E-2"/>
    <s v="147554"/>
    <d v="2024-09-19T00:00:00"/>
    <s v="MOTORCYCLE  COMPREHENSIVE"/>
    <n v="352000"/>
    <n v="1073.25"/>
    <n v="71.55"/>
    <n v="500"/>
  </r>
  <r>
    <s v="KHI/HO/D/MO/MC COMP/P/97728/09/2024"/>
    <m/>
    <x v="15"/>
    <s v="Punjab"/>
    <d v="2024-09-19T00:00:00"/>
    <d v="2025-09-19T00:00:00"/>
    <s v="MUZAMMIL AMIN"/>
    <s v="SUZUKI-GD-110S"/>
    <n v="8800"/>
    <n v="7155"/>
    <n v="2.5000000000000001E-2"/>
    <s v="147551"/>
    <d v="2024-09-19T00:00:00"/>
    <s v="MOTORCYCLE  COMPREHENSIVE"/>
    <n v="352000"/>
    <n v="1073.25"/>
    <n v="71.55"/>
    <n v="500"/>
  </r>
  <r>
    <s v="KHI/HO/D/MO/MC COMP/P/97729/09/2024"/>
    <m/>
    <x v="12"/>
    <s v="Punjab"/>
    <d v="2024-09-19T00:00:00"/>
    <d v="2025-09-19T00:00:00"/>
    <s v="SHOUKAT ALI"/>
    <s v="SUZUKI-GD-110S"/>
    <n v="8800"/>
    <n v="7155"/>
    <n v="2.5000000000000001E-2"/>
    <s v="147520"/>
    <d v="2024-09-19T00:00:00"/>
    <s v="MOTORCYCLE  COMPREHENSIVE"/>
    <n v="352000"/>
    <n v="1073.25"/>
    <n v="71.55"/>
    <n v="500"/>
  </r>
  <r>
    <s v="KHI/HO/D/MO/MC COMP/P/97730/09/2024"/>
    <m/>
    <x v="15"/>
    <s v="Punjab"/>
    <d v="2024-09-19T00:00:00"/>
    <d v="2025-09-19T00:00:00"/>
    <s v="SADDAM AHMAD"/>
    <s v="SUZUKI-GD-110S"/>
    <n v="8800"/>
    <n v="7155"/>
    <n v="2.5000000000000001E-2"/>
    <s v="147573"/>
    <d v="2024-09-19T00:00:00"/>
    <s v="MOTORCYCLE  COMPREHENSIVE"/>
    <n v="352000"/>
    <n v="1073.25"/>
    <n v="71.55"/>
    <n v="500"/>
  </r>
  <r>
    <s v="KHI/HO/D/MO/MC COMP/P/97731/09/2024"/>
    <m/>
    <x v="15"/>
    <s v="Punjab"/>
    <d v="2024-09-19T00:00:00"/>
    <d v="2025-09-19T00:00:00"/>
    <s v="SYED SHOAIB UR REHMAN SHAH"/>
    <s v="SUZUKI-GSX 125"/>
    <n v="12475"/>
    <n v="10323"/>
    <n v="2.5000000000000001E-2"/>
    <s v="23102647"/>
    <d v="2024-09-19T00:00:00"/>
    <s v="MOTORCYCLE  COMPREHENSIVE"/>
    <n v="499000"/>
    <n v="1548.45"/>
    <n v="103.23"/>
    <n v="500"/>
  </r>
  <r>
    <s v="KHI/HO/D/MO/MC COMP/P/97732/09/2024"/>
    <m/>
    <x v="25"/>
    <s v="Punjab"/>
    <d v="2024-09-19T00:00:00"/>
    <d v="2025-09-19T00:00:00"/>
    <s v="MUHAMMAD IFTIKHAR AZAM"/>
    <s v="SUZUKI-GSX 125"/>
    <n v="12475"/>
    <n v="10323"/>
    <n v="2.5000000000000001E-2"/>
    <s v="QS157FMI-D*23102493*"/>
    <d v="2024-09-19T00:00:00"/>
    <s v="MOTORCYCLE  COMPREHENSIVE"/>
    <n v="499000"/>
    <n v="1548.45"/>
    <n v="103.23"/>
    <n v="500"/>
  </r>
  <r>
    <s v="KHI/HO/D/MO/MC COMP/P/97734/09/2024"/>
    <m/>
    <x v="25"/>
    <s v="Punjab"/>
    <d v="2024-09-19T00:00:00"/>
    <d v="2025-09-19T00:00:00"/>
    <s v="Mubashir Hussain"/>
    <s v="SUZUKI-GR150 EURO II"/>
    <n v="13675"/>
    <n v="11358"/>
    <n v="2.5000000000000001E-2"/>
    <s v="G42B-113500"/>
    <d v="2024-09-19T00:00:00"/>
    <s v="MOTORCYCLE  COMPREHENSIVE"/>
    <n v="547000"/>
    <n v="1703.7"/>
    <n v="113.58"/>
    <n v="500"/>
  </r>
  <r>
    <s v="KHI/HO/D/MO/MC COMP/P/97735/09/2024"/>
    <m/>
    <x v="6"/>
    <s v="South"/>
    <d v="2024-09-19T00:00:00"/>
    <d v="2025-09-19T00:00:00"/>
    <s v="MUHAMMAD KHURRAM"/>
    <s v="SUZUKI-GD-110S"/>
    <n v="14960"/>
    <n v="12466"/>
    <n v="4.2500000000000003E-2"/>
    <s v="148232"/>
    <d v="2024-09-19T00:00:00"/>
    <s v="MOTORCYCLE  COMPREHENSIVE"/>
    <n v="352000"/>
    <n v="1869.9"/>
    <n v="124.66"/>
    <n v="500"/>
  </r>
  <r>
    <s v="KHI/HO/D/MO/MC COMP/P/97736/09/2024"/>
    <m/>
    <x v="6"/>
    <s v="South"/>
    <d v="2025-09-20T00:00:00"/>
    <d v="2026-09-20T00:00:00"/>
    <s v="MUHAMMAD KHURRAM"/>
    <s v="SUZUKI-GD-110S"/>
    <n v="14960"/>
    <n v="12466"/>
    <n v="4.2500000000000003E-2"/>
    <s v="148232"/>
    <d v="2024-09-19T00:00:00"/>
    <s v="MOTORCYCLE  COMPREHENSIVE"/>
    <n v="352000"/>
    <n v="1869.9"/>
    <n v="124.66"/>
    <n v="500"/>
  </r>
  <r>
    <s v="KHI/HO/D/MO/MC COMP/P/97737/09/2024"/>
    <m/>
    <x v="15"/>
    <s v="Punjab"/>
    <d v="2024-09-19T00:00:00"/>
    <d v="2025-09-19T00:00:00"/>
    <s v="SYED ABDULLAH WASEEM"/>
    <s v="SUZUKI-GSX 125"/>
    <n v="12475"/>
    <n v="10323"/>
    <n v="2.5000000000000001E-2"/>
    <s v="23102663"/>
    <d v="2024-09-19T00:00:00"/>
    <s v="MOTORCYCLE  COMPREHENSIVE"/>
    <n v="499000"/>
    <n v="1548.45"/>
    <n v="103.23"/>
    <n v="500"/>
  </r>
  <r>
    <s v="KHI/HO/D/MO/MC COMP/P/97744/09/2024"/>
    <m/>
    <x v="3"/>
    <s v="South"/>
    <d v="2024-09-19T00:00:00"/>
    <d v="2025-09-19T00:00:00"/>
    <s v="MUHAMMAD ANAS PIRZADA"/>
    <s v="SUZUKI-GD-110S"/>
    <n v="14960"/>
    <n v="12466"/>
    <n v="4.2500000000000003E-2"/>
    <s v="148196"/>
    <d v="2024-09-19T00:00:00"/>
    <s v="MOTORCYCLE  COMPREHENSIVE"/>
    <n v="352000"/>
    <n v="1869.9"/>
    <n v="124.66"/>
    <n v="500"/>
  </r>
  <r>
    <s v="KHI/HO/D/MO/MC COMP/P/97750/09/2024"/>
    <m/>
    <x v="18"/>
    <s v="South"/>
    <d v="2024-09-19T00:00:00"/>
    <d v="2025-09-19T00:00:00"/>
    <s v="Muhammad Kashif"/>
    <s v="SUZUKI-GD-110S"/>
    <n v="14960"/>
    <n v="12466"/>
    <n v="4.2500000000000003E-2"/>
    <s v="148039"/>
    <d v="2024-09-19T00:00:00"/>
    <s v="MOTORCYCLE  COMPREHENSIVE"/>
    <n v="352000"/>
    <n v="1869.9"/>
    <n v="124.66"/>
    <n v="500"/>
  </r>
  <r>
    <s v="KHI/HO/D/MO/MC COMP/P/97751/09/2024"/>
    <m/>
    <x v="9"/>
    <s v="Punjab"/>
    <d v="2024-09-19T00:00:00"/>
    <d v="2025-09-19T00:00:00"/>
    <s v="Chaudary Muhammad Suhaib"/>
    <s v="SUZUKI-GD-110S"/>
    <n v="8800"/>
    <n v="7155"/>
    <n v="2.5000000000000001E-2"/>
    <s v="147602"/>
    <d v="2024-09-19T00:00:00"/>
    <s v="MOTORCYCLE  COMPREHENSIVE"/>
    <n v="352000"/>
    <n v="1073.25"/>
    <n v="71.55"/>
    <n v="500"/>
  </r>
  <r>
    <s v="KHI/HO/D/MO/MC COMP/P/97754/09/2024"/>
    <m/>
    <x v="26"/>
    <s v="Punjab"/>
    <d v="2024-09-19T00:00:00"/>
    <d v="2025-09-19T00:00:00"/>
    <s v="Muhammad Khalid"/>
    <s v="SUZUKI-GSX 125"/>
    <n v="12475"/>
    <n v="10323"/>
    <n v="2.5000000000000001E-2"/>
    <s v="23102445"/>
    <d v="2024-09-19T00:00:00"/>
    <s v="MOTORCYCLE  COMPREHENSIVE"/>
    <n v="499000"/>
    <n v="1548.45"/>
    <n v="103.23"/>
    <n v="500"/>
  </r>
  <r>
    <s v="KHI/HO/D/MO/MC COMP/P/97758/09/2024"/>
    <m/>
    <x v="3"/>
    <s v="South"/>
    <d v="2024-09-19T00:00:00"/>
    <d v="2025-09-19T00:00:00"/>
    <s v="ZUBAIR"/>
    <s v="SUZUKI-GD-110S"/>
    <n v="14960"/>
    <n v="12466"/>
    <n v="4.2500000000000003E-2"/>
    <s v="148195"/>
    <d v="2024-09-19T00:00:00"/>
    <s v="MOTORCYCLE  COMPREHENSIVE"/>
    <n v="352000"/>
    <n v="1869.9"/>
    <n v="124.66"/>
    <n v="500"/>
  </r>
  <r>
    <s v="KHI/HO/D/MO/MC COMP/P/97759/09/2024"/>
    <m/>
    <x v="3"/>
    <s v="South"/>
    <d v="2025-09-20T00:00:00"/>
    <d v="2026-09-20T00:00:00"/>
    <s v="ZUBAIR"/>
    <s v="SUZUKI-GD-110S"/>
    <n v="14960"/>
    <n v="12466"/>
    <n v="4.2500000000000003E-2"/>
    <s v="148195"/>
    <d v="2024-09-19T00:00:00"/>
    <s v="MOTORCYCLE  COMPREHENSIVE"/>
    <n v="352000"/>
    <n v="1869.9"/>
    <n v="124.66"/>
    <n v="500"/>
  </r>
  <r>
    <s v="KHI/HO/D/MO/MC COMP/P/97760/09/2024"/>
    <m/>
    <x v="26"/>
    <s v="Punjab"/>
    <d v="2024-09-19T00:00:00"/>
    <d v="2025-09-19T00:00:00"/>
    <s v="Babar Khan"/>
    <s v="SUZUKI-GSX 125"/>
    <n v="12475"/>
    <n v="10323"/>
    <n v="2.5000000000000001E-2"/>
    <s v="23102447"/>
    <d v="2024-09-19T00:00:00"/>
    <s v="MOTORCYCLE  COMPREHENSIVE"/>
    <n v="499000"/>
    <n v="1548.45"/>
    <n v="103.23"/>
    <n v="500"/>
  </r>
  <r>
    <s v="KHI/HO/D/MO/MC COMP/P/97762/09/2024"/>
    <m/>
    <x v="12"/>
    <s v="Punjab"/>
    <d v="2024-09-19T00:00:00"/>
    <d v="2025-09-19T00:00:00"/>
    <s v="MUHAMMAD ASIF"/>
    <s v="SUZUKI-GD-110S"/>
    <n v="8800"/>
    <n v="7155"/>
    <n v="2.5000000000000001E-2"/>
    <s v="147541"/>
    <d v="2024-09-19T00:00:00"/>
    <s v="MOTORCYCLE  COMPREHENSIVE"/>
    <n v="352000"/>
    <n v="1073.25"/>
    <n v="71.55"/>
    <n v="500"/>
  </r>
  <r>
    <s v="KHI/HO/D/MO/MC COMP/P/97765/09/2024"/>
    <m/>
    <x v="1"/>
    <s v="South"/>
    <d v="2024-09-19T00:00:00"/>
    <d v="2025-09-19T00:00:00"/>
    <s v="SARFARAZ SHOUKAT"/>
    <s v="SUZUKI-GSX 125"/>
    <n v="21208"/>
    <n v="17852"/>
    <n v="4.2501002004008019E-2"/>
    <s v="23102738"/>
    <d v="2024-09-19T00:00:00"/>
    <s v="MOTORCYCLE  COMPREHENSIVE"/>
    <n v="499000"/>
    <n v="2677.8"/>
    <n v="178.52"/>
    <n v="500"/>
  </r>
  <r>
    <s v="KHI/HO/D/MO/MC COMP/P/97766/09/2024"/>
    <m/>
    <x v="1"/>
    <s v="South"/>
    <d v="2025-09-20T00:00:00"/>
    <d v="2026-09-20T00:00:00"/>
    <s v="SARFARAZ SHOUKAT"/>
    <s v="SUZUKI-GSX 125"/>
    <n v="21208"/>
    <n v="17852"/>
    <n v="4.2501002004008019E-2"/>
    <s v="23102738"/>
    <d v="2024-09-19T00:00:00"/>
    <s v="MOTORCYCLE  COMPREHENSIVE"/>
    <n v="499000"/>
    <n v="2677.8"/>
    <n v="178.52"/>
    <n v="500"/>
  </r>
  <r>
    <s v="KHI/HO/D/MO/MC COMP/P/97767/09/2024"/>
    <m/>
    <x v="12"/>
    <s v="Punjab"/>
    <d v="2024-09-19T00:00:00"/>
    <d v="2025-09-19T00:00:00"/>
    <s v="MUHAMMAD HANIF"/>
    <s v="SUZUKI-GD-110S"/>
    <n v="8800"/>
    <n v="7155"/>
    <n v="2.5000000000000001E-2"/>
    <s v="147220"/>
    <d v="2024-09-19T00:00:00"/>
    <s v="MOTORCYCLE  COMPREHENSIVE"/>
    <n v="352000"/>
    <n v="1073.25"/>
    <n v="71.55"/>
    <n v="500"/>
  </r>
  <r>
    <s v="KHI/HO/D/MO/MC COMP/P/97771/09/2024"/>
    <m/>
    <x v="7"/>
    <s v="South"/>
    <d v="2024-09-19T00:00:00"/>
    <d v="2025-09-19T00:00:00"/>
    <s v="MUHAMMAD YOUNUS GHANI WALA"/>
    <s v="SUZUKI-GR150 EURO II"/>
    <n v="23248"/>
    <n v="19610"/>
    <n v="4.2500914076782449E-2"/>
    <s v="113735"/>
    <d v="2024-09-19T00:00:00"/>
    <s v="MOTORCYCLE  COMPREHENSIVE"/>
    <n v="547000"/>
    <n v="2941.5"/>
    <n v="196.1"/>
    <n v="500"/>
  </r>
  <r>
    <s v="KHI/HO/D/MO/MC COMP/P/97772/09/2024"/>
    <m/>
    <x v="7"/>
    <s v="South"/>
    <d v="2025-09-20T00:00:00"/>
    <d v="2026-09-20T00:00:00"/>
    <s v="MUHAMMAD YOUNUS GHANI WALA"/>
    <s v="SUZUKI-GR150 EURO II"/>
    <n v="23248"/>
    <n v="19610"/>
    <n v="4.2500914076782449E-2"/>
    <s v="113735"/>
    <d v="2024-09-19T00:00:00"/>
    <s v="MOTORCYCLE  COMPREHENSIVE"/>
    <n v="547000"/>
    <n v="2941.5"/>
    <n v="196.1"/>
    <n v="500"/>
  </r>
  <r>
    <s v="KHI/HO/D/MO/MC COMP/P/97773/09/2024"/>
    <m/>
    <x v="12"/>
    <s v="Punjab"/>
    <d v="2024-09-19T00:00:00"/>
    <d v="2025-09-19T00:00:00"/>
    <s v="MUHAMMAD IDREES"/>
    <s v="SUZUKI-GD-110S"/>
    <n v="8800"/>
    <n v="7155"/>
    <n v="2.5000000000000001E-2"/>
    <s v="147528"/>
    <d v="2024-09-19T00:00:00"/>
    <s v="MOTORCYCLE  COMPREHENSIVE"/>
    <n v="352000"/>
    <n v="1073.25"/>
    <n v="71.55"/>
    <n v="500"/>
  </r>
  <r>
    <s v="KHI/HO/D/MO/MC COMP/P/97774/09/2024"/>
    <m/>
    <x v="12"/>
    <s v="Punjab"/>
    <d v="2024-09-19T00:00:00"/>
    <d v="2025-09-19T00:00:00"/>
    <s v="SHUJA HAIDER"/>
    <s v="SUZUKI-GD-110S"/>
    <n v="8800"/>
    <n v="7155"/>
    <n v="2.5000000000000001E-2"/>
    <s v="147525"/>
    <d v="2024-09-19T00:00:00"/>
    <s v="MOTORCYCLE  COMPREHENSIVE"/>
    <n v="352000"/>
    <n v="1073.25"/>
    <n v="71.55"/>
    <n v="500"/>
  </r>
  <r>
    <s v="KHI/HO/D/MO/MC COMP/P/97775/09/2024"/>
    <m/>
    <x v="12"/>
    <s v="Punjab"/>
    <d v="2024-09-19T00:00:00"/>
    <d v="2025-09-19T00:00:00"/>
    <s v="Ali Mohsin  Raza"/>
    <s v="SUZUKI-GD-110S"/>
    <n v="8800"/>
    <n v="7155"/>
    <n v="2.5000000000000001E-2"/>
    <s v="147519"/>
    <d v="2024-09-19T00:00:00"/>
    <s v="MOTORCYCLE  COMPREHENSIVE"/>
    <n v="352000"/>
    <n v="1073.25"/>
    <n v="71.55"/>
    <n v="500"/>
  </r>
  <r>
    <s v="KHI/HO/D/MO/MC COMP/P/97776/09/2024"/>
    <m/>
    <x v="13"/>
    <s v="Punjab"/>
    <d v="2024-09-19T00:00:00"/>
    <d v="2025-09-19T00:00:00"/>
    <s v="MALIK MUHAMMAD AHSAN HUSSAIN"/>
    <s v="SUZUKI-GD-110S"/>
    <n v="8800"/>
    <n v="7155"/>
    <n v="2.5000000000000001E-2"/>
    <s v="146445"/>
    <d v="2024-09-19T00:00:00"/>
    <s v="MOTORCYCLE  COMPREHENSIVE"/>
    <n v="352000"/>
    <n v="1073.25"/>
    <n v="71.55"/>
    <n v="500"/>
  </r>
  <r>
    <s v="KHI/HO/D/MO/MC COMP/P/97777/09/2024"/>
    <m/>
    <x v="23"/>
    <s v="South"/>
    <d v="2024-09-19T00:00:00"/>
    <d v="2025-09-19T00:00:00"/>
    <s v="Ahmed Adil"/>
    <s v="SUZUKI-GR150 EURO II"/>
    <n v="23248"/>
    <n v="19610"/>
    <n v="4.2500914076782449E-2"/>
    <s v="113680"/>
    <d v="2024-09-19T00:00:00"/>
    <s v="MOTORCYCLE  COMPREHENSIVE"/>
    <n v="547000"/>
    <n v="2941.5"/>
    <n v="196.1"/>
    <n v="500"/>
  </r>
  <r>
    <s v="KHI/HO/D/MO/MC COMP/P/97778/09/2024"/>
    <m/>
    <x v="13"/>
    <s v="Punjab"/>
    <d v="2024-09-19T00:00:00"/>
    <d v="2025-09-19T00:00:00"/>
    <s v="MUHAMMAD FAHEEM IQBAL"/>
    <s v="SUZUKI-GD-110S"/>
    <n v="8800"/>
    <n v="7155"/>
    <n v="2.5000000000000001E-2"/>
    <s v="147926"/>
    <d v="2024-09-19T00:00:00"/>
    <s v="MOTORCYCLE  COMPREHENSIVE"/>
    <n v="352000"/>
    <n v="1073.25"/>
    <n v="71.55"/>
    <n v="500"/>
  </r>
  <r>
    <s v="KHI/HO/D/MO/MC COMP/P/97779/09/2024"/>
    <m/>
    <x v="23"/>
    <s v="South"/>
    <d v="2024-09-19T00:00:00"/>
    <d v="2025-09-19T00:00:00"/>
    <s v="Muhammad Saleem Nathani"/>
    <s v="SUZUKI-GD-110S"/>
    <n v="14960"/>
    <n v="12466"/>
    <n v="4.2500000000000003E-2"/>
    <s v="146966"/>
    <d v="2024-09-19T00:00:00"/>
    <s v="MOTORCYCLE  COMPREHENSIVE"/>
    <n v="352000"/>
    <n v="1869.9"/>
    <n v="124.66"/>
    <n v="500"/>
  </r>
  <r>
    <s v="KHI/HO/D/MO/MC COMP/P/97780/09/2024"/>
    <m/>
    <x v="13"/>
    <s v="Punjab"/>
    <d v="2024-09-19T00:00:00"/>
    <d v="2025-09-19T00:00:00"/>
    <s v="MUHAMMAD IMRAN"/>
    <s v="SUZUKI-GD-110S"/>
    <n v="8800"/>
    <n v="7155"/>
    <n v="2.5000000000000001E-2"/>
    <s v="145624"/>
    <d v="2024-09-19T00:00:00"/>
    <s v="MOTORCYCLE  COMPREHENSIVE"/>
    <n v="352000"/>
    <n v="1073.25"/>
    <n v="71.55"/>
    <n v="500"/>
  </r>
  <r>
    <s v="KHI/HO/D/MO/MC COMP/P/97781/09/2024"/>
    <m/>
    <x v="13"/>
    <s v="Punjab"/>
    <d v="2024-09-19T00:00:00"/>
    <d v="2025-09-19T00:00:00"/>
    <s v="MUDASIR ALI TAHIR"/>
    <s v="SUZUKI-GS 150"/>
    <n v="9550"/>
    <n v="7802"/>
    <n v="2.5000000000000001E-2"/>
    <s v="30092906"/>
    <d v="2024-09-19T00:00:00"/>
    <s v="MOTORCYCLE  COMPREHENSIVE"/>
    <n v="382000"/>
    <n v="1170.3"/>
    <n v="78.02"/>
    <n v="500"/>
  </r>
  <r>
    <s v="KHI/HO/D/MO/MC COMP/P/97782/09/2024"/>
    <m/>
    <x v="13"/>
    <s v="Punjab"/>
    <d v="2024-09-19T00:00:00"/>
    <d v="2025-09-19T00:00:00"/>
    <s v="KHURRAM MALIK"/>
    <s v="SUZUKI-GD-110S"/>
    <n v="8800"/>
    <n v="7155"/>
    <n v="2.5000000000000001E-2"/>
    <s v="145929"/>
    <d v="2024-09-19T00:00:00"/>
    <s v="MOTORCYCLE  COMPREHENSIVE"/>
    <n v="352000"/>
    <n v="1073.25"/>
    <n v="71.55"/>
    <n v="500"/>
  </r>
  <r>
    <s v="KHI/HO/D/MO/MC COMP/P/97783/09/2024"/>
    <m/>
    <x v="16"/>
    <s v="Punjab"/>
    <d v="2024-09-19T00:00:00"/>
    <d v="2025-09-19T00:00:00"/>
    <s v="MUHAMMAD AHMED"/>
    <s v="SUZUKI-GSX 125"/>
    <n v="12475"/>
    <n v="10323"/>
    <n v="2.5000000000000001E-2"/>
    <s v="23102514"/>
    <d v="2024-09-19T00:00:00"/>
    <s v="MOTORCYCLE  COMPREHENSIVE"/>
    <n v="499000"/>
    <n v="1548.45"/>
    <n v="103.23"/>
    <n v="500"/>
  </r>
  <r>
    <s v="KHI/HO/D/MO/MC COMP/P/97784/09/2024"/>
    <m/>
    <x v="16"/>
    <s v="Punjab"/>
    <d v="2024-09-19T00:00:00"/>
    <d v="2025-09-19T00:00:00"/>
    <s v="Muhammad Irfan"/>
    <s v="SUZUKI-GS-150"/>
    <n v="9550"/>
    <n v="7802"/>
    <n v="2.5000000000000001E-2"/>
    <s v="30092634"/>
    <d v="2024-09-19T00:00:00"/>
    <s v="MOTORCYCLE  COMPREHENSIVE"/>
    <n v="382000"/>
    <n v="1170.3"/>
    <n v="78.02"/>
    <n v="500"/>
  </r>
  <r>
    <s v="KHI/HO/D/MO/MC COMP/P/97785/09/2024"/>
    <m/>
    <x v="16"/>
    <s v="Punjab"/>
    <d v="2024-09-19T00:00:00"/>
    <d v="2025-09-19T00:00:00"/>
    <s v="Hamza Khalid"/>
    <s v="SUZUKI-GS-150"/>
    <n v="9550"/>
    <n v="7802"/>
    <n v="2.5000000000000001E-2"/>
    <s v="30092521"/>
    <d v="2024-09-19T00:00:00"/>
    <s v="MOTORCYCLE  COMPREHENSIVE"/>
    <n v="382000"/>
    <n v="1170.3"/>
    <n v="78.02"/>
    <n v="500"/>
  </r>
  <r>
    <s v="KHI/HO/D/MO/MC COMP/P/97786/09/2024"/>
    <m/>
    <x v="16"/>
    <s v="Punjab"/>
    <d v="2024-09-19T00:00:00"/>
    <d v="2025-09-19T00:00:00"/>
    <s v="Hassan Latif"/>
    <s v="SUZUKI-GS 150"/>
    <n v="9550"/>
    <n v="7802"/>
    <n v="2.5000000000000001E-2"/>
    <s v="30092630"/>
    <d v="2024-09-19T00:00:00"/>
    <s v="MOTORCYCLE  COMPREHENSIVE"/>
    <n v="382000"/>
    <n v="1170.3"/>
    <n v="78.02"/>
    <n v="500"/>
  </r>
  <r>
    <s v="KHI/HO/D/MO/MC COMP/P/97787/09/2024"/>
    <m/>
    <x v="16"/>
    <s v="Punjab"/>
    <d v="2024-09-19T00:00:00"/>
    <d v="2025-09-19T00:00:00"/>
    <s v="Muhammad Asad Raza"/>
    <s v="SUZUKI-GD-110S"/>
    <n v="8800"/>
    <n v="7155"/>
    <n v="2.5000000000000001E-2"/>
    <s v="147258"/>
    <d v="2024-09-19T00:00:00"/>
    <s v="MOTORCYCLE  COMPREHENSIVE"/>
    <n v="352000"/>
    <n v="1073.25"/>
    <n v="71.55"/>
    <n v="500"/>
  </r>
  <r>
    <s v="KHI/HO/D/MO/MC COMP/P/97788/09/2024"/>
    <m/>
    <x v="16"/>
    <s v="Punjab"/>
    <d v="2024-09-19T00:00:00"/>
    <d v="2025-09-19T00:00:00"/>
    <s v="Abdul Razzaq"/>
    <s v="SUZUKI-GS-150"/>
    <n v="9550"/>
    <n v="7802"/>
    <n v="2.5000000000000001E-2"/>
    <s v="30092516"/>
    <d v="2024-09-19T00:00:00"/>
    <s v="MOTORCYCLE  COMPREHENSIVE"/>
    <n v="382000"/>
    <n v="1170.3"/>
    <n v="78.02"/>
    <n v="500"/>
  </r>
  <r>
    <s v="KHI/HO/D/MO/MC COMP/P/97789/09/2024"/>
    <m/>
    <x v="16"/>
    <s v="Punjab"/>
    <d v="2024-09-19T00:00:00"/>
    <d v="2025-09-19T00:00:00"/>
    <s v="Sheikh Adil Bin Tariq"/>
    <s v="SUZUKI-GS 150"/>
    <n v="9550"/>
    <n v="7802"/>
    <n v="2.5000000000000001E-2"/>
    <s v="30092640"/>
    <d v="2024-09-19T00:00:00"/>
    <s v="MOTORCYCLE  COMPREHENSIVE"/>
    <n v="382000"/>
    <n v="1170.3"/>
    <n v="78.02"/>
    <n v="500"/>
  </r>
  <r>
    <s v="KHI/HO/D/MO/MC COMP/P/97790/09/2024"/>
    <m/>
    <x v="16"/>
    <s v="Punjab"/>
    <d v="2024-09-19T00:00:00"/>
    <d v="2025-09-19T00:00:00"/>
    <s v="Shams ud din"/>
    <s v="SUZUKI-GSX 125"/>
    <n v="12475"/>
    <n v="10323"/>
    <n v="2.5000000000000001E-2"/>
    <s v="23102537"/>
    <d v="2024-09-19T00:00:00"/>
    <s v="MOTORCYCLE  COMPREHENSIVE"/>
    <n v="499000"/>
    <n v="1548.45"/>
    <n v="103.23"/>
    <n v="500"/>
  </r>
  <r>
    <s v="KHI/HO/D/MO/MC COMP/P/97791/09/2024"/>
    <m/>
    <x v="16"/>
    <s v="Punjab"/>
    <d v="2024-09-19T00:00:00"/>
    <d v="2025-09-19T00:00:00"/>
    <s v="Malik Muneeb Akram"/>
    <s v="SUZUKI-GR150 EURO II"/>
    <n v="13675"/>
    <n v="11358"/>
    <n v="2.5000000000000001E-2"/>
    <s v="113617"/>
    <d v="2024-09-19T00:00:00"/>
    <s v="MOTORCYCLE  COMPREHENSIVE"/>
    <n v="547000"/>
    <n v="1703.7"/>
    <n v="113.58"/>
    <n v="500"/>
  </r>
  <r>
    <s v="KHI/HO/D/MO/MC COMP/P/97792/09/2024"/>
    <m/>
    <x v="16"/>
    <s v="Punjab"/>
    <d v="2024-09-19T00:00:00"/>
    <d v="2025-09-19T00:00:00"/>
    <s v="Muhammad Usman Ali"/>
    <s v="SUZUKI-GR150 EURO II"/>
    <n v="13675"/>
    <n v="11358"/>
    <n v="2.5000000000000001E-2"/>
    <s v="113409"/>
    <d v="2024-09-19T00:00:00"/>
    <s v="MOTORCYCLE  COMPREHENSIVE"/>
    <n v="547000"/>
    <n v="1703.7"/>
    <n v="113.58"/>
    <n v="500"/>
  </r>
  <r>
    <s v="KHI/HO/D/MO/MC COMP/P/97793/09/2024"/>
    <m/>
    <x v="16"/>
    <s v="Punjab"/>
    <d v="2024-09-19T00:00:00"/>
    <d v="2025-09-19T00:00:00"/>
    <s v="Muhammad Nasir"/>
    <s v="SUZUKI-GSX 125"/>
    <n v="12475"/>
    <n v="10323"/>
    <n v="2.5000000000000001E-2"/>
    <s v="23102587"/>
    <d v="2024-09-19T00:00:00"/>
    <s v="MOTORCYCLE  COMPREHENSIVE"/>
    <n v="499000"/>
    <n v="1548.45"/>
    <n v="103.23"/>
    <n v="500"/>
  </r>
  <r>
    <s v="KHI/HO/D/MO/MC COMP/P/97794/09/2024"/>
    <m/>
    <x v="16"/>
    <s v="Punjab"/>
    <d v="2024-09-19T00:00:00"/>
    <d v="2025-09-19T00:00:00"/>
    <s v="Noman Asif"/>
    <s v="SUZUKI-GSX 125"/>
    <n v="12475"/>
    <n v="10323"/>
    <n v="2.5000000000000001E-2"/>
    <s v="23102578"/>
    <d v="2024-09-19T00:00:00"/>
    <s v="MOTORCYCLE  COMPREHENSIVE"/>
    <n v="499000"/>
    <n v="1548.45"/>
    <n v="103.23"/>
    <n v="500"/>
  </r>
  <r>
    <s v="KHI/HO/D/MO/MC COMP/P/97799/09/2024"/>
    <m/>
    <x v="16"/>
    <s v="Punjab"/>
    <d v="2024-09-20T00:00:00"/>
    <d v="2025-09-20T00:00:00"/>
    <s v="Muhammad Mohsin"/>
    <s v="SUZUKI-GD-110S"/>
    <n v="8800"/>
    <n v="7155"/>
    <n v="2.5000000000000001E-2"/>
    <s v="146724"/>
    <d v="2024-09-20T00:00:00"/>
    <s v="MOTORCYCLE  COMPREHENSIVE"/>
    <n v="352000"/>
    <n v="1073.25"/>
    <n v="71.55"/>
    <n v="500"/>
  </r>
  <r>
    <s v="KHI/HO/D/MO/MC COMP/P/97800/09/2024"/>
    <m/>
    <x v="26"/>
    <s v="Punjab"/>
    <d v="2024-09-20T00:00:00"/>
    <d v="2025-09-20T00:00:00"/>
    <s v="Sohail Iqbal"/>
    <s v="SUZUKI-GD-110S"/>
    <n v="8800"/>
    <n v="7155"/>
    <n v="2.4999928977474495E-2"/>
    <s v="145607"/>
    <d v="2024-09-20T00:00:00"/>
    <s v="MOTORCYCLE  COMPREHENSIVE"/>
    <n v="352001"/>
    <n v="1073.25"/>
    <n v="71.55"/>
    <n v="500"/>
  </r>
  <r>
    <s v="KHI/HO/D/MO/MC COMP/P/97801/09/2024"/>
    <m/>
    <x v="16"/>
    <s v="Punjab"/>
    <d v="2024-09-20T00:00:00"/>
    <d v="2025-09-20T00:00:00"/>
    <s v="Muhammad Farrukh Waseem"/>
    <s v="SUZUKI-GR150 EURO II"/>
    <n v="13675"/>
    <n v="11358"/>
    <n v="2.5000000000000001E-2"/>
    <s v="113408"/>
    <d v="2024-09-20T00:00:00"/>
    <s v="MOTORCYCLE  COMPREHENSIVE"/>
    <n v="547000"/>
    <n v="1703.7"/>
    <n v="113.58"/>
    <n v="500"/>
  </r>
  <r>
    <s v="KHI/HO/D/MO/MC COMP/P/97804/09/2024"/>
    <m/>
    <x v="16"/>
    <s v="Punjab"/>
    <d v="2024-09-20T00:00:00"/>
    <d v="2025-09-20T00:00:00"/>
    <s v="Muhammad Talha"/>
    <s v="SUZUKI-GS 150"/>
    <n v="9550"/>
    <n v="7802"/>
    <n v="2.5000000000000001E-2"/>
    <s v="30092525"/>
    <d v="2024-09-20T00:00:00"/>
    <s v="MOTORCYCLE  COMPREHENSIVE"/>
    <n v="382000"/>
    <n v="1170.3"/>
    <n v="78.02"/>
    <n v="500"/>
  </r>
  <r>
    <s v="KHI/HO/D/MO/MC COMP/P/97806/09/2024"/>
    <m/>
    <x v="26"/>
    <s v="Punjab"/>
    <d v="2024-09-20T00:00:00"/>
    <d v="2025-09-20T00:00:00"/>
    <s v="Muhammad Ahmad"/>
    <s v="SUZUKI-GS 150"/>
    <n v="9550"/>
    <n v="7802"/>
    <n v="2.4999934555145143E-2"/>
    <s v="30092407"/>
    <d v="2024-09-20T00:00:00"/>
    <s v="MOTORCYCLE  COMPREHENSIVE"/>
    <n v="382001"/>
    <n v="1170.3"/>
    <n v="78.02"/>
    <n v="500"/>
  </r>
  <r>
    <s v="KHI/HO/D/MO/MC COMP/P/97807/09/2024"/>
    <m/>
    <x v="16"/>
    <s v="Punjab"/>
    <d v="2024-09-20T00:00:00"/>
    <d v="2025-09-20T00:00:00"/>
    <s v="Salman Ashraf"/>
    <s v="SUZUKI-GR150 EURO II"/>
    <n v="13675"/>
    <n v="11358"/>
    <n v="2.5000000000000001E-2"/>
    <s v="113528"/>
    <d v="2024-09-20T00:00:00"/>
    <s v="MOTORCYCLE  COMPREHENSIVE"/>
    <n v="547000"/>
    <n v="1703.7"/>
    <n v="113.58"/>
    <n v="500"/>
  </r>
  <r>
    <s v="KHI/HO/D/MO/MC COMP/P/97808/09/2024"/>
    <m/>
    <x v="26"/>
    <s v="Punjab"/>
    <d v="2024-09-20T00:00:00"/>
    <d v="2025-09-20T00:00:00"/>
    <s v="Khurram Shahzad Sheikh"/>
    <s v="SUZUKI-GD-110S"/>
    <n v="8800"/>
    <n v="7155"/>
    <n v="2.4999928977474495E-2"/>
    <s v="165863"/>
    <d v="2024-09-20T00:00:00"/>
    <s v="MOTORCYCLE  COMPREHENSIVE"/>
    <n v="352001"/>
    <n v="1073.25"/>
    <n v="71.55"/>
    <n v="500"/>
  </r>
  <r>
    <s v="KHI/HO/D/MO/MC COMP/P/97809/09/2024"/>
    <m/>
    <x v="16"/>
    <s v="Punjab"/>
    <d v="2024-09-20T00:00:00"/>
    <d v="2025-09-20T00:00:00"/>
    <s v="Sheikh Shoaib Shahzad"/>
    <s v="SUZUKI-GS-150"/>
    <n v="9550"/>
    <n v="7802"/>
    <n v="2.5000000000000001E-2"/>
    <s v="30092659"/>
    <d v="2024-09-20T00:00:00"/>
    <s v="MOTORCYCLE  COMPREHENSIVE"/>
    <n v="382000"/>
    <n v="1170.3"/>
    <n v="78.02"/>
    <n v="500"/>
  </r>
  <r>
    <s v="KHI/HO/D/MO/MC COMP/P/97810/09/2024"/>
    <m/>
    <x v="26"/>
    <s v="Punjab"/>
    <d v="2024-09-20T00:00:00"/>
    <d v="2025-09-20T00:00:00"/>
    <s v="Muhammad Iqbal"/>
    <s v="SUZUKI-GR150 EURO II"/>
    <n v="13675"/>
    <n v="11358"/>
    <n v="2.499995429624443E-2"/>
    <s v="113437"/>
    <d v="2024-09-20T00:00:00"/>
    <s v="MOTORCYCLE  COMPREHENSIVE"/>
    <n v="547001"/>
    <n v="1703.7"/>
    <n v="113.58"/>
    <n v="500"/>
  </r>
  <r>
    <s v="KHI/HO/D/MO/MC COMP/P/97811/09/2024"/>
    <m/>
    <x v="16"/>
    <s v="Punjab"/>
    <d v="2024-09-20T00:00:00"/>
    <d v="2025-09-20T00:00:00"/>
    <s v="Nashit Zahid"/>
    <s v="SUZUKI-GS 150"/>
    <n v="9550"/>
    <n v="7802"/>
    <n v="2.5000000000000001E-2"/>
    <s v="30092637"/>
    <d v="2024-09-20T00:00:00"/>
    <s v="MOTORCYCLE  COMPREHENSIVE"/>
    <n v="382000"/>
    <n v="1170.3"/>
    <n v="78.02"/>
    <n v="500"/>
  </r>
  <r>
    <s v="KHI/HO/D/MO/MC COMP/P/97812/09/2024"/>
    <m/>
    <x v="26"/>
    <s v="Punjab"/>
    <d v="2024-09-20T00:00:00"/>
    <d v="2025-09-20T00:00:00"/>
    <s v="Mirza Atif Baig"/>
    <s v="SUZUKI-GR150 EURO II"/>
    <n v="13675"/>
    <n v="11358"/>
    <n v="2.499995429624443E-2"/>
    <s v="113440"/>
    <d v="2024-09-20T00:00:00"/>
    <s v="MOTORCYCLE  COMPREHENSIVE"/>
    <n v="547001"/>
    <n v="1703.7"/>
    <n v="113.58"/>
    <n v="500"/>
  </r>
  <r>
    <s v="KHI/HO/D/MO/MC COMP/P/97817/09/2024"/>
    <m/>
    <x v="26"/>
    <s v="Punjab"/>
    <d v="2024-09-20T00:00:00"/>
    <d v="2025-09-20T00:00:00"/>
    <s v="Tariq Mahmood Haji Bhagh"/>
    <s v="SUZUKI-GD-110S"/>
    <n v="8800"/>
    <n v="7155"/>
    <n v="2.4999928977474495E-2"/>
    <s v="145627"/>
    <d v="2024-09-20T00:00:00"/>
    <s v="MOTORCYCLE  COMPREHENSIVE"/>
    <n v="352001"/>
    <n v="1073.25"/>
    <n v="71.55"/>
    <n v="500"/>
  </r>
  <r>
    <s v="KHI/HO/D/MO/MC COMP/P/97819/09/2024"/>
    <m/>
    <x v="26"/>
    <s v="Punjab"/>
    <d v="2024-09-20T00:00:00"/>
    <d v="2025-09-20T00:00:00"/>
    <s v="Mahboob Ahmad"/>
    <s v="SUZUKI-GD-110S"/>
    <n v="8800"/>
    <n v="7155"/>
    <n v="2.4999928977474495E-2"/>
    <s v="145626"/>
    <d v="2024-09-20T00:00:00"/>
    <s v="MOTORCYCLE  COMPREHENSIVE"/>
    <n v="352001"/>
    <n v="1073.25"/>
    <n v="71.55"/>
    <n v="500"/>
  </r>
  <r>
    <s v="KHI/HO/D/MO/MC COMP/P/97820/09/2024"/>
    <m/>
    <x v="26"/>
    <s v="Punjab"/>
    <d v="2024-09-20T00:00:00"/>
    <d v="2025-09-20T00:00:00"/>
    <s v="Syed Amjad Hussain Naqvi"/>
    <s v="SUZUKI-GD-110S"/>
    <n v="8800"/>
    <n v="7155"/>
    <n v="2.4999928977474495E-2"/>
    <s v="145615"/>
    <d v="2024-09-20T00:00:00"/>
    <s v="MOTORCYCLE  COMPREHENSIVE"/>
    <n v="352001"/>
    <n v="1073.25"/>
    <n v="71.55"/>
    <n v="500"/>
  </r>
  <r>
    <s v="KHI/HO/D/MO/MC COMP/P/97822/09/2024"/>
    <m/>
    <x v="16"/>
    <s v="Punjab"/>
    <d v="2024-09-20T00:00:00"/>
    <d v="2025-09-20T00:00:00"/>
    <s v="Naveed Ahmad"/>
    <s v="SUZUKI-GSX 125"/>
    <n v="12475"/>
    <n v="10323"/>
    <n v="2.5000000000000001E-2"/>
    <s v="23102625"/>
    <d v="2024-09-20T00:00:00"/>
    <s v="MOTORCYCLE  COMPREHENSIVE"/>
    <n v="499000"/>
    <n v="1548.45"/>
    <n v="103.23"/>
    <n v="500"/>
  </r>
  <r>
    <s v="KHI/HO/D/MO/MC COMP/P/97825/09/2024"/>
    <m/>
    <x v="16"/>
    <s v="Punjab"/>
    <d v="2024-09-20T00:00:00"/>
    <d v="2025-09-20T00:00:00"/>
    <s v="Muhammad Faizan Mumtaz"/>
    <s v="SUZUKI-GS 150"/>
    <n v="9550"/>
    <n v="7802"/>
    <n v="2.5000000000000001E-2"/>
    <s v="30092667"/>
    <d v="2024-09-20T00:00:00"/>
    <s v="MOTORCYCLE  COMPREHENSIVE"/>
    <n v="382000"/>
    <n v="1170.3"/>
    <n v="78.02"/>
    <n v="500"/>
  </r>
  <r>
    <s v="KHI/HO/D/MO/MC COMP/P/97827/09/2024"/>
    <m/>
    <x v="6"/>
    <s v="South"/>
    <d v="2024-09-20T00:00:00"/>
    <d v="2025-09-20T00:00:00"/>
    <s v="ABID HUSSAIN SHAH"/>
    <s v="SUZUKI-GD-110S"/>
    <n v="14960"/>
    <n v="12466"/>
    <n v="4.2500000000000003E-2"/>
    <s v="148191"/>
    <d v="2024-09-20T00:00:00"/>
    <s v="MOTORCYCLE  COMPREHENSIVE"/>
    <n v="352000"/>
    <n v="1869.9"/>
    <n v="124.66"/>
    <n v="500"/>
  </r>
  <r>
    <s v="KHI/HO/D/MO/MC COMP/P/97828/09/2024"/>
    <m/>
    <x v="6"/>
    <s v="South"/>
    <d v="2025-09-21T00:00:00"/>
    <d v="2026-09-21T00:00:00"/>
    <s v="ABID HUSSAIN SHAH"/>
    <s v="SUZUKI-GD-110S"/>
    <n v="14960"/>
    <n v="12466"/>
    <n v="4.2500000000000003E-2"/>
    <s v="148191"/>
    <d v="2024-09-20T00:00:00"/>
    <s v="MOTORCYCLE  COMPREHENSIVE"/>
    <n v="352000"/>
    <n v="1869.9"/>
    <n v="124.66"/>
    <n v="500"/>
  </r>
  <r>
    <s v="KHI/HO/D/MO/MC COMP/P/97832/09/2024"/>
    <m/>
    <x v="1"/>
    <s v="South"/>
    <d v="2024-09-20T00:00:00"/>
    <d v="2025-09-20T00:00:00"/>
    <s v="HARIS ANWAR ULLAH SHAIKH"/>
    <s v="SUZUKI-GD-110S"/>
    <n v="14960"/>
    <n v="12466"/>
    <n v="4.2500000000000003E-2"/>
    <s v="148458"/>
    <d v="2024-09-20T00:00:00"/>
    <s v="MOTORCYCLE  COMPREHENSIVE"/>
    <n v="352000"/>
    <n v="1869.9"/>
    <n v="124.66"/>
    <n v="500"/>
  </r>
  <r>
    <s v="KHI/HO/D/MO/MC COMP/P/97833/09/2024"/>
    <m/>
    <x v="1"/>
    <s v="South"/>
    <d v="2025-09-21T00:00:00"/>
    <d v="2026-09-21T00:00:00"/>
    <s v="HARIS ANWAR ULLAH SHAIKH"/>
    <s v="SUZUKI-GD-110S"/>
    <n v="14960"/>
    <n v="12466"/>
    <n v="4.2500000000000003E-2"/>
    <s v="148458"/>
    <d v="2024-09-20T00:00:00"/>
    <s v="MOTORCYCLE  COMPREHENSIVE"/>
    <n v="352000"/>
    <n v="1869.9"/>
    <n v="124.66"/>
    <n v="500"/>
  </r>
  <r>
    <s v="KHI/HO/D/MO/MC COMP/P/97838/09/2024"/>
    <m/>
    <x v="12"/>
    <s v="Punjab"/>
    <d v="2024-09-20T00:00:00"/>
    <d v="2025-09-20T00:00:00"/>
    <s v="SAIFUR REHMAN"/>
    <s v="SUZUKI-GD-110S"/>
    <n v="8800"/>
    <n v="7155"/>
    <n v="2.5000000000000001E-2"/>
    <s v="147531"/>
    <d v="2024-09-20T00:00:00"/>
    <s v="MOTORCYCLE  COMPREHENSIVE"/>
    <n v="352000"/>
    <n v="1073.25"/>
    <n v="71.55"/>
    <n v="500"/>
  </r>
  <r>
    <s v="KHI/HO/D/MO/MC COMP/P/97840/09/2024"/>
    <m/>
    <x v="8"/>
    <s v="Punjab"/>
    <d v="2024-09-20T00:00:00"/>
    <d v="2025-09-20T00:00:00"/>
    <s v="KASHIF GHAFOOR"/>
    <s v="SUZUKI-GD-110S"/>
    <n v="8800"/>
    <n v="7155"/>
    <n v="2.5000000000000001E-2"/>
    <s v="147063"/>
    <d v="2024-09-20T00:00:00"/>
    <s v="MOTORCYCLE  COMPREHENSIVE"/>
    <n v="352000"/>
    <n v="1073.25"/>
    <n v="71.55"/>
    <n v="500"/>
  </r>
  <r>
    <s v="KHI/HO/D/MO/MC COMP/P/97841/09/2024"/>
    <m/>
    <x v="12"/>
    <s v="Punjab"/>
    <d v="2024-09-20T00:00:00"/>
    <d v="2025-09-20T00:00:00"/>
    <s v="MUHAMMAD IDREES"/>
    <s v="SUZUKI-GSX 125"/>
    <n v="12475"/>
    <n v="10323"/>
    <n v="2.5000000000000001E-2"/>
    <s v="23102615"/>
    <d v="2024-09-20T00:00:00"/>
    <s v="MOTORCYCLE  COMPREHENSIVE"/>
    <n v="499000"/>
    <n v="1548.45"/>
    <n v="103.23"/>
    <n v="500"/>
  </r>
  <r>
    <s v="KHI/HO/D/MO/MC COMP/P/97842/09/2024"/>
    <m/>
    <x v="12"/>
    <s v="Punjab"/>
    <d v="2024-09-20T00:00:00"/>
    <d v="2025-09-20T00:00:00"/>
    <s v="NABEEL IJAZ"/>
    <s v="SUZUKI-GSX 125"/>
    <n v="12475"/>
    <n v="10323"/>
    <n v="2.5000000000000001E-2"/>
    <s v="23102584"/>
    <d v="2024-09-20T00:00:00"/>
    <s v="MOTORCYCLE  COMPREHENSIVE"/>
    <n v="499000"/>
    <n v="1548.45"/>
    <n v="103.23"/>
    <n v="500"/>
  </r>
  <r>
    <s v="KHI/HO/D/MO/MC COMP/P/97844/09/2024"/>
    <m/>
    <x v="8"/>
    <s v="Punjab"/>
    <d v="2024-09-20T00:00:00"/>
    <d v="2025-09-20T00:00:00"/>
    <s v="TASSAWAR SULTAN"/>
    <s v="SUZUKI-GD-110S"/>
    <n v="8800"/>
    <n v="7155"/>
    <n v="2.5000000000000001E-2"/>
    <s v="147033"/>
    <d v="2024-09-20T00:00:00"/>
    <s v="MOTORCYCLE  COMPREHENSIVE"/>
    <n v="352000"/>
    <n v="1073.25"/>
    <n v="71.55"/>
    <n v="500"/>
  </r>
  <r>
    <s v="KHI/HO/D/MO/MC COMP/P/97848/09/2024"/>
    <m/>
    <x v="8"/>
    <s v="Punjab"/>
    <d v="2024-09-20T00:00:00"/>
    <d v="2025-09-20T00:00:00"/>
    <s v="SYED AYAN RAZA RIZVI"/>
    <s v="SUZUKI-GD-110S"/>
    <n v="8800"/>
    <n v="7155"/>
    <n v="2.5000000000000001E-2"/>
    <s v="147077"/>
    <d v="2024-09-20T00:00:00"/>
    <s v="MOTORCYCLE  COMPREHENSIVE"/>
    <n v="352000"/>
    <n v="1073.25"/>
    <n v="71.55"/>
    <n v="500"/>
  </r>
  <r>
    <s v="KHI/HO/D/MO/MC COMP/P/97853/09/2024"/>
    <m/>
    <x v="12"/>
    <s v="Punjab"/>
    <d v="2024-09-20T00:00:00"/>
    <d v="2025-09-20T00:00:00"/>
    <s v="YASIR NOMAN DAR"/>
    <s v="SUZUKI-GSX 125"/>
    <n v="12475"/>
    <n v="10323"/>
    <n v="2.5000000000000001E-2"/>
    <s v="23102651"/>
    <d v="2024-09-20T00:00:00"/>
    <s v="MOTORCYCLE  COMPREHENSIVE"/>
    <n v="499000"/>
    <n v="1548.45"/>
    <n v="103.23"/>
    <n v="500"/>
  </r>
  <r>
    <s v="KHI/HO/D/MO/MC COMP/P/97857/09/2024"/>
    <m/>
    <x v="8"/>
    <s v="Punjab"/>
    <d v="2024-09-20T00:00:00"/>
    <d v="2025-09-20T00:00:00"/>
    <s v="ASGHAR ALI"/>
    <s v="SUZUKI-GD-110S"/>
    <n v="8800"/>
    <n v="7155"/>
    <n v="2.5000000000000001E-2"/>
    <s v="147874"/>
    <d v="2024-09-20T00:00:00"/>
    <s v="MOTORCYCLE  COMPREHENSIVE"/>
    <n v="352000"/>
    <n v="1073.25"/>
    <n v="71.55"/>
    <n v="500"/>
  </r>
  <r>
    <s v="KHI/HO/D/MO/MC COMP/P/97859/09/2024"/>
    <m/>
    <x v="8"/>
    <s v="Punjab"/>
    <d v="2024-09-20T00:00:00"/>
    <d v="2025-09-20T00:00:00"/>
    <s v="YASEEN"/>
    <s v="SUZUKI-GD-110S"/>
    <n v="8800"/>
    <n v="7155"/>
    <n v="2.5000000000000001E-2"/>
    <s v="147868"/>
    <d v="2024-09-20T00:00:00"/>
    <s v="MOTORCYCLE  COMPREHENSIVE"/>
    <n v="352000"/>
    <n v="1073.25"/>
    <n v="71.55"/>
    <n v="500"/>
  </r>
  <r>
    <s v="KHI/HO/D/MO/MC COMP/P/97860/09/2024"/>
    <m/>
    <x v="8"/>
    <s v="Punjab"/>
    <d v="2024-09-20T00:00:00"/>
    <d v="2025-09-20T00:00:00"/>
    <s v="MUHAMMAD UZAIR"/>
    <s v="SUZUKI-GD-110S"/>
    <n v="8800"/>
    <n v="7155"/>
    <n v="2.5000000000000001E-2"/>
    <s v="147875"/>
    <d v="2024-09-20T00:00:00"/>
    <s v="MOTORCYCLE  COMPREHENSIVE"/>
    <n v="352000"/>
    <n v="1073.25"/>
    <n v="71.55"/>
    <n v="500"/>
  </r>
  <r>
    <s v="KHI/HO/D/MO/MC COMP/P/97861/09/2024"/>
    <m/>
    <x v="8"/>
    <s v="Punjab"/>
    <d v="2024-09-20T00:00:00"/>
    <d v="2025-09-20T00:00:00"/>
    <s v="FAROOQ AHMAD FAROOQI"/>
    <s v="SUZUKI-GD-110S"/>
    <n v="8800"/>
    <n v="7155"/>
    <n v="2.5000000000000001E-2"/>
    <s v="147877"/>
    <d v="2024-09-20T00:00:00"/>
    <s v="MOTORCYCLE  COMPREHENSIVE"/>
    <n v="352000"/>
    <n v="1073.25"/>
    <n v="71.55"/>
    <n v="500"/>
  </r>
  <r>
    <s v="KHI/HO/D/MO/MC COMP/P/97862/09/2024"/>
    <m/>
    <x v="1"/>
    <s v="South"/>
    <d v="2024-09-20T00:00:00"/>
    <d v="2025-09-20T00:00:00"/>
    <s v="IRFAN ABDUL RAZZAQ"/>
    <s v="SUZUKI-GD-110S"/>
    <n v="14960"/>
    <n v="12466"/>
    <n v="4.2500000000000003E-2"/>
    <s v="147978"/>
    <d v="2024-09-20T00:00:00"/>
    <s v="MOTORCYCLE  COMPREHENSIVE"/>
    <n v="352000"/>
    <n v="1869.9"/>
    <n v="124.66"/>
    <n v="500"/>
  </r>
  <r>
    <s v="KHI/HO/D/MO/MC COMP/P/97863/09/2024"/>
    <m/>
    <x v="1"/>
    <s v="South"/>
    <d v="2025-09-21T00:00:00"/>
    <d v="2026-09-21T00:00:00"/>
    <s v="IRFAN ABDUL RAZZAQ"/>
    <s v="SUZUKI-GD-110S"/>
    <n v="14960"/>
    <n v="12466"/>
    <n v="4.2500000000000003E-2"/>
    <s v="147978"/>
    <d v="2024-09-20T00:00:00"/>
    <s v="MOTORCYCLE  COMPREHENSIVE"/>
    <n v="352000"/>
    <n v="1869.9"/>
    <n v="124.66"/>
    <n v="500"/>
  </r>
  <r>
    <s v="KHI/HO/D/MO/MC COMP/P/97867/09/2024"/>
    <m/>
    <x v="27"/>
    <s v="Punjab"/>
    <d v="2024-09-20T00:00:00"/>
    <d v="2025-09-20T00:00:00"/>
    <s v="MANZAR LATEEF"/>
    <s v="SUZUKI-GD-110S"/>
    <n v="8800"/>
    <n v="7155"/>
    <n v="2.5000000000000001E-2"/>
    <s v="145097"/>
    <d v="2024-09-20T00:00:00"/>
    <s v="MOTORCYCLE  COMPREHENSIVE"/>
    <n v="352000"/>
    <n v="1073.25"/>
    <n v="71.55"/>
    <n v="500"/>
  </r>
  <r>
    <s v="KHI/HO/D/MO/MC COMP/P/97868/09/2024"/>
    <m/>
    <x v="12"/>
    <s v="Punjab"/>
    <d v="2024-09-20T00:00:00"/>
    <d v="2025-09-20T00:00:00"/>
    <s v="ARSLAN"/>
    <s v="SUZUKI-GSX 125"/>
    <n v="12475"/>
    <n v="10323"/>
    <n v="2.5000000000000001E-2"/>
    <s v="23100408"/>
    <d v="2024-09-20T00:00:00"/>
    <s v="MOTORCYCLE  COMPREHENSIVE"/>
    <n v="499000"/>
    <n v="1548.45"/>
    <n v="103.23"/>
    <n v="500"/>
  </r>
  <r>
    <s v="KHI/HO/D/MO/MC COMP/P/97869/09/2024"/>
    <m/>
    <x v="27"/>
    <s v="Punjab"/>
    <d v="2024-09-20T00:00:00"/>
    <d v="2025-09-20T00:00:00"/>
    <s v="SHEIKH M.NOMAN SHAHID"/>
    <s v="SUZUKI-GD-110S"/>
    <n v="8800"/>
    <n v="7155"/>
    <n v="2.5000000000000001E-2"/>
    <s v="145814"/>
    <d v="2024-09-20T00:00:00"/>
    <s v="MOTORCYCLE  COMPREHENSIVE"/>
    <n v="352000"/>
    <n v="1073.25"/>
    <n v="71.55"/>
    <n v="500"/>
  </r>
  <r>
    <s v="KHI/HO/D/MO/MC COMP/P/97872/09/2024"/>
    <m/>
    <x v="27"/>
    <s v="Punjab"/>
    <d v="2024-09-20T00:00:00"/>
    <d v="2025-09-20T00:00:00"/>
    <s v="KASHIF MEHMOOD"/>
    <s v="SUZUKI-GD-110S"/>
    <n v="8800"/>
    <n v="7155"/>
    <n v="2.5000000000000001E-2"/>
    <s v="145812"/>
    <d v="2024-09-20T00:00:00"/>
    <s v="MOTORCYCLE  COMPREHENSIVE"/>
    <n v="352000"/>
    <n v="1073.25"/>
    <n v="71.55"/>
    <n v="500"/>
  </r>
  <r>
    <s v="KHI/HO/D/MO/MC COMP/P/97873/09/2024"/>
    <m/>
    <x v="27"/>
    <s v="Punjab"/>
    <d v="2024-09-20T00:00:00"/>
    <d v="2025-09-20T00:00:00"/>
    <s v="SHEIKH GHULAM NABI"/>
    <s v="SUZUKI-GR150 EURO II"/>
    <n v="13675"/>
    <n v="11358"/>
    <n v="2.5000000000000001E-2"/>
    <s v="113298"/>
    <d v="2024-09-20T00:00:00"/>
    <s v="MOTORCYCLE  COMPREHENSIVE"/>
    <n v="547000"/>
    <n v="1703.7"/>
    <n v="113.58"/>
    <n v="500"/>
  </r>
  <r>
    <s v="KHI/HO/D/MO/MC COMP/P/97876/09/2024"/>
    <m/>
    <x v="25"/>
    <s v="Punjab"/>
    <d v="2024-09-20T00:00:00"/>
    <d v="2025-09-20T00:00:00"/>
    <s v="MUHAMMAD NAUMAAN SHAFIQUE"/>
    <s v="SUZUKI-GS 150"/>
    <n v="9550"/>
    <n v="7802"/>
    <n v="2.5000000000000001E-2"/>
    <s v="PKG30092593"/>
    <d v="2024-09-20T00:00:00"/>
    <s v="MOTORCYCLE  COMPREHENSIVE"/>
    <n v="382000"/>
    <n v="1170.3"/>
    <n v="78.02"/>
    <n v="500"/>
  </r>
  <r>
    <s v="KHI/HO/D/MO/MC COMP/P/97878/09/2024"/>
    <m/>
    <x v="25"/>
    <s v="Punjab"/>
    <d v="2024-09-20T00:00:00"/>
    <d v="2025-09-20T00:00:00"/>
    <s v="LAIBA RASHEED"/>
    <s v="SUZUKI-GS 150"/>
    <n v="9550"/>
    <n v="7802"/>
    <n v="2.5000000000000001E-2"/>
    <s v="PKG30092655"/>
    <d v="2024-09-20T00:00:00"/>
    <s v="MOTORCYCLE  COMPREHENSIVE"/>
    <n v="382000"/>
    <n v="1170.3"/>
    <n v="78.02"/>
    <n v="500"/>
  </r>
  <r>
    <s v="KHI/HO/D/MO/MC COMP/P/97882/09/2024"/>
    <m/>
    <x v="7"/>
    <s v="South"/>
    <d v="2024-09-20T00:00:00"/>
    <d v="2025-09-20T00:00:00"/>
    <s v="MUHAMMAD YOUSUF"/>
    <s v="SUZUKI-GD-110S"/>
    <n v="14960"/>
    <n v="12466"/>
    <n v="4.2500000000000003E-2"/>
    <s v="148243"/>
    <d v="2024-09-20T00:00:00"/>
    <s v="MOTORCYCLE  COMPREHENSIVE"/>
    <n v="352000"/>
    <n v="1869.9"/>
    <n v="124.66"/>
    <n v="500"/>
  </r>
  <r>
    <s v="KHI/HO/D/MO/MC COMP/P/97883/09/2024"/>
    <m/>
    <x v="7"/>
    <s v="South"/>
    <d v="2025-09-21T00:00:00"/>
    <d v="2026-09-21T00:00:00"/>
    <s v="MUHAMMAD YOUSUF"/>
    <s v="SUZUKI-GD-110S"/>
    <n v="14960"/>
    <n v="12466"/>
    <n v="4.2500000000000003E-2"/>
    <s v="148243"/>
    <d v="2024-09-20T00:00:00"/>
    <s v="MOTORCYCLE  COMPREHENSIVE"/>
    <n v="352000"/>
    <n v="1869.9"/>
    <n v="124.66"/>
    <n v="500"/>
  </r>
  <r>
    <s v="KHI/HO/D/MO/MC COMP/P/97885/09/2024"/>
    <m/>
    <x v="12"/>
    <s v="Punjab"/>
    <d v="2024-09-20T00:00:00"/>
    <d v="2025-09-20T00:00:00"/>
    <s v="MUHAMMAD ADEEL"/>
    <s v="SUZUKI-GD-110S"/>
    <n v="8800"/>
    <n v="7155"/>
    <n v="2.5000000000000001E-2"/>
    <s v="147535"/>
    <d v="2024-09-20T00:00:00"/>
    <s v="MOTORCYCLE  COMPREHENSIVE"/>
    <n v="352000"/>
    <n v="1073.25"/>
    <n v="71.55"/>
    <n v="500"/>
  </r>
  <r>
    <s v="KHI/HO/D/MO/MC COMP/P/97886/09/2024"/>
    <m/>
    <x v="14"/>
    <s v="Punjab"/>
    <d v="2024-09-20T00:00:00"/>
    <d v="2025-09-20T00:00:00"/>
    <s v="MUHAMMAD IBRAHIM"/>
    <s v="SUZUKI-GR150 EURO II"/>
    <n v="13675"/>
    <n v="11358"/>
    <n v="2.5000000000000001E-2"/>
    <s v="113692"/>
    <d v="2024-09-20T00:00:00"/>
    <s v="MOTORCYCLE  COMPREHENSIVE"/>
    <n v="547000"/>
    <n v="1703.7"/>
    <n v="113.58"/>
    <n v="500"/>
  </r>
  <r>
    <s v="KHI/HO/D/MO/MC COMP/P/97887/09/2024"/>
    <m/>
    <x v="1"/>
    <s v="South"/>
    <d v="2024-09-20T00:00:00"/>
    <d v="2025-09-20T00:00:00"/>
    <s v="MUHAMMAD ANIS"/>
    <s v="SUZUKI-GD-110S"/>
    <n v="14960"/>
    <n v="12466"/>
    <n v="4.2500000000000003E-2"/>
    <s v="148439"/>
    <d v="2024-09-20T00:00:00"/>
    <s v="MOTORCYCLE  COMPREHENSIVE"/>
    <n v="352000"/>
    <n v="1869.9"/>
    <n v="124.66"/>
    <n v="500"/>
  </r>
  <r>
    <s v="KHI/HO/D/MO/MC COMP/P/97888/09/2024"/>
    <m/>
    <x v="1"/>
    <s v="South"/>
    <d v="2025-09-21T00:00:00"/>
    <d v="2026-09-21T00:00:00"/>
    <s v="MUHAMMAD ANIS"/>
    <s v="SUZUKI-GD-110S"/>
    <n v="14960"/>
    <n v="12466"/>
    <n v="4.2500000000000003E-2"/>
    <s v="148439"/>
    <d v="2024-09-20T00:00:00"/>
    <s v="MOTORCYCLE  COMPREHENSIVE"/>
    <n v="352000"/>
    <n v="1869.9"/>
    <n v="124.66"/>
    <n v="500"/>
  </r>
  <r>
    <s v="KHI/HO/D/MO/MC COMP/P/97889/09/2024"/>
    <m/>
    <x v="3"/>
    <s v="South"/>
    <d v="2024-09-20T00:00:00"/>
    <d v="2025-09-20T00:00:00"/>
    <s v="SYED OWAIS AHMED"/>
    <s v="SUZUKI-GD-110S"/>
    <n v="14960"/>
    <n v="12466"/>
    <n v="4.2500000000000003E-2"/>
    <s v="148446"/>
    <d v="2024-09-20T00:00:00"/>
    <s v="MOTORCYCLE  COMPREHENSIVE"/>
    <n v="352000"/>
    <n v="1869.9"/>
    <n v="124.66"/>
    <n v="500"/>
  </r>
  <r>
    <s v="KHI/HO/D/MO/MC COMP/P/97891/09/2024"/>
    <m/>
    <x v="0"/>
    <s v="Punjab"/>
    <d v="2024-09-20T00:00:00"/>
    <d v="2025-09-20T00:00:00"/>
    <s v="ABDUL JABBAR"/>
    <s v="SUZUKI-GD-110S"/>
    <n v="8800"/>
    <n v="7155"/>
    <n v="2.5000000000000001E-2"/>
    <s v="147642"/>
    <d v="2024-09-20T00:00:00"/>
    <s v="MOTORCYCLE  COMPREHENSIVE"/>
    <n v="352000"/>
    <n v="1073.25"/>
    <n v="71.55"/>
    <n v="500"/>
  </r>
  <r>
    <s v="KHI/HO/D/MO/MC COMP/P/97892/09/2024"/>
    <m/>
    <x v="0"/>
    <s v="Punjab"/>
    <d v="2024-09-20T00:00:00"/>
    <d v="2025-09-20T00:00:00"/>
    <s v="MUHAMMAD KHALID"/>
    <s v="SUZUKI-GD-110S"/>
    <n v="8800"/>
    <n v="7155"/>
    <n v="2.5000000000000001E-2"/>
    <s v="147605"/>
    <d v="2024-09-20T00:00:00"/>
    <s v="MOTORCYCLE  COMPREHENSIVE"/>
    <n v="352000"/>
    <n v="1073.25"/>
    <n v="71.55"/>
    <n v="500"/>
  </r>
  <r>
    <s v="KHI/HO/D/MO/MC COMP/P/97893/09/2024"/>
    <m/>
    <x v="0"/>
    <s v="Punjab"/>
    <d v="2024-09-20T00:00:00"/>
    <d v="2025-09-20T00:00:00"/>
    <s v="MUHAMMAD HUSSAIN"/>
    <s v="SUZUKI-GD-110S"/>
    <n v="8800"/>
    <n v="7155"/>
    <n v="2.5000000000000001E-2"/>
    <s v="144523"/>
    <d v="2024-09-20T00:00:00"/>
    <s v="MOTORCYCLE  COMPREHENSIVE"/>
    <n v="352000"/>
    <n v="1073.25"/>
    <n v="71.55"/>
    <n v="500"/>
  </r>
  <r>
    <s v="KHI/HO/D/MO/MC COMP/P/97894/09/2024"/>
    <m/>
    <x v="16"/>
    <s v="Punjab"/>
    <d v="2024-09-21T00:00:00"/>
    <d v="2025-09-21T00:00:00"/>
    <s v="Usama tayyab"/>
    <s v="SUZUKI-GSX 125"/>
    <n v="12475"/>
    <n v="10323"/>
    <n v="2.5000000000000001E-2"/>
    <s v="23102545"/>
    <d v="2024-09-21T00:00:00"/>
    <s v="MOTORCYCLE  COMPREHENSIVE"/>
    <n v="499000"/>
    <n v="1548.45"/>
    <n v="103.23"/>
    <n v="500"/>
  </r>
  <r>
    <s v="KHI/HO/D/MO/MC COMP/P/97895/09/2024"/>
    <m/>
    <x v="16"/>
    <s v="Punjab"/>
    <d v="2024-09-21T00:00:00"/>
    <d v="2025-09-21T00:00:00"/>
    <s v="Abdul Rehman"/>
    <s v="SUZUKI-GS 150"/>
    <n v="9550"/>
    <n v="7802"/>
    <n v="2.5000000000000001E-2"/>
    <s v="30092281"/>
    <d v="2024-09-21T00:00:00"/>
    <s v="MOTORCYCLE  COMPREHENSIVE"/>
    <n v="382000"/>
    <n v="1170.3"/>
    <n v="78.02"/>
    <n v="500"/>
  </r>
  <r>
    <s v="KHI/HO/D/MO/MC COMP/P/97896/09/2024"/>
    <m/>
    <x v="16"/>
    <s v="Punjab"/>
    <d v="2024-09-21T00:00:00"/>
    <d v="2025-09-21T00:00:00"/>
    <s v="Awais Arif"/>
    <s v="SUZUKI-GD-110S"/>
    <n v="8800"/>
    <n v="7155"/>
    <n v="2.5000000000000001E-2"/>
    <s v="146727"/>
    <d v="2024-09-21T00:00:00"/>
    <s v="MOTORCYCLE  COMPREHENSIVE"/>
    <n v="352000"/>
    <n v="1073.25"/>
    <n v="71.55"/>
    <n v="500"/>
  </r>
  <r>
    <s v="KHI/HO/D/MO/MC COMP/P/97897/09/2024"/>
    <m/>
    <x v="16"/>
    <s v="Punjab"/>
    <d v="2024-09-21T00:00:00"/>
    <d v="2025-09-21T00:00:00"/>
    <s v="Ali Javed"/>
    <s v="SUZUKI-GSX 125"/>
    <n v="12475"/>
    <n v="10323"/>
    <n v="2.5000000000000001E-2"/>
    <s v="23102637"/>
    <d v="2024-09-21T00:00:00"/>
    <s v="MOTORCYCLE  COMPREHENSIVE"/>
    <n v="499000"/>
    <n v="1548.45"/>
    <n v="103.23"/>
    <n v="500"/>
  </r>
  <r>
    <s v="KHI/HO/D/MO/MC COMP/P/97898/09/2024"/>
    <m/>
    <x v="16"/>
    <s v="Punjab"/>
    <d v="2024-09-21T00:00:00"/>
    <d v="2025-09-21T00:00:00"/>
    <s v="Naseeb khan"/>
    <s v="SUZUKI-GS 150"/>
    <n v="9550"/>
    <n v="7802"/>
    <n v="2.5000000000000001E-2"/>
    <s v="30092287"/>
    <d v="2024-09-21T00:00:00"/>
    <s v="MOTORCYCLE  COMPREHENSIVE"/>
    <n v="382000"/>
    <n v="1170.3"/>
    <n v="78.02"/>
    <n v="500"/>
  </r>
  <r>
    <s v="KHI/HO/D/MO/MC COMP/P/97901/09/2024"/>
    <m/>
    <x v="9"/>
    <s v="Punjab"/>
    <d v="2024-09-21T00:00:00"/>
    <d v="2025-09-21T00:00:00"/>
    <s v="Ahsan Raza"/>
    <s v="SUZUKI-GS 150"/>
    <n v="9550"/>
    <n v="7802"/>
    <n v="2.5000000000000001E-2"/>
    <s v="30092936"/>
    <d v="2024-09-21T00:00:00"/>
    <s v="MOTORCYCLE  COMPREHENSIVE"/>
    <n v="382000"/>
    <n v="1170.3"/>
    <n v="78.02"/>
    <n v="500"/>
  </r>
  <r>
    <s v="KHI/HO/D/MO/MC COMP/P/97903/09/2024"/>
    <m/>
    <x v="9"/>
    <s v="Punjab"/>
    <d v="2024-09-21T00:00:00"/>
    <d v="2025-09-21T00:00:00"/>
    <s v="M Nadeem"/>
    <s v="SUZUKI-GS 150"/>
    <n v="9550"/>
    <n v="7802"/>
    <n v="2.5000000000000001E-2"/>
    <s v="30092938"/>
    <d v="2024-09-21T00:00:00"/>
    <s v="MOTORCYCLE  COMPREHENSIVE"/>
    <n v="382000"/>
    <n v="1170.3"/>
    <n v="78.02"/>
    <n v="500"/>
  </r>
  <r>
    <s v="KHI/HO/D/MO/MC COMP/P/97906/09/2024"/>
    <m/>
    <x v="18"/>
    <s v="South"/>
    <d v="2024-09-21T00:00:00"/>
    <d v="2025-09-21T00:00:00"/>
    <s v="RIZWAN MUHAMMAD"/>
    <s v="SUZUKI-GD-110S"/>
    <n v="14960"/>
    <n v="12466"/>
    <n v="4.2500000000000003E-2"/>
    <s v="148019"/>
    <d v="2024-09-21T00:00:00"/>
    <s v="MOTORCYCLE  COMPREHENSIVE"/>
    <n v="352000"/>
    <n v="1869.9"/>
    <n v="124.66"/>
    <n v="500"/>
  </r>
  <r>
    <s v="KHI/HO/D/MO/MC COMP/P/97907/09/2024"/>
    <m/>
    <x v="18"/>
    <s v="South"/>
    <d v="2025-09-22T00:00:00"/>
    <d v="2026-09-22T00:00:00"/>
    <s v="RIZWAN MUHAMMAD"/>
    <s v="SUZUKI-GD-110S"/>
    <n v="14960"/>
    <n v="12466"/>
    <n v="4.2500000000000003E-2"/>
    <s v="148019"/>
    <d v="2024-09-21T00:00:00"/>
    <s v="MOTORCYCLE  COMPREHENSIVE"/>
    <n v="352000"/>
    <n v="1869.9"/>
    <n v="124.66"/>
    <n v="500"/>
  </r>
  <r>
    <s v="KHI/HO/D/MO/MC COMP/P/97908/09/2024"/>
    <m/>
    <x v="9"/>
    <s v="Punjab"/>
    <d v="2024-09-21T00:00:00"/>
    <d v="2025-09-21T00:00:00"/>
    <s v="Imran Shukat"/>
    <s v="SUZUKI-GSX 125"/>
    <n v="12475"/>
    <n v="10323"/>
    <n v="2.5000000000000001E-2"/>
    <s v="23102557"/>
    <d v="2024-09-21T00:00:00"/>
    <s v="MOTORCYCLE  COMPREHENSIVE"/>
    <n v="499000"/>
    <n v="1548.45"/>
    <n v="103.23"/>
    <n v="500"/>
  </r>
  <r>
    <s v="KHI/HO/D/MO/MC COMP/P/97909/09/2024"/>
    <m/>
    <x v="3"/>
    <s v="South"/>
    <d v="2024-09-21T00:00:00"/>
    <d v="2025-09-21T00:00:00"/>
    <s v="ABDUL RAHIM"/>
    <s v="SUZUKI-GD-110S"/>
    <n v="14960"/>
    <n v="12466"/>
    <n v="4.2500000000000003E-2"/>
    <s v="148321"/>
    <d v="2024-09-21T00:00:00"/>
    <s v="MOTORCYCLE  COMPREHENSIVE"/>
    <n v="352000"/>
    <n v="1869.9"/>
    <n v="124.66"/>
    <n v="500"/>
  </r>
  <r>
    <s v="KHI/HO/D/MO/MC COMP/P/97910/09/2024"/>
    <m/>
    <x v="2"/>
    <s v="South"/>
    <d v="2024-09-21T00:00:00"/>
    <d v="2025-09-21T00:00:00"/>
    <s v="IMRAN AHMED SIDDIQUI"/>
    <s v="SUZUKI-GS 150"/>
    <n v="16235"/>
    <n v="13565"/>
    <n v="4.2500000000000003E-2"/>
    <s v="30093091"/>
    <d v="2024-09-21T00:00:00"/>
    <s v="MOTORCYCLE  COMPREHENSIVE"/>
    <n v="382000"/>
    <n v="2034.75"/>
    <n v="135.65"/>
    <n v="500"/>
  </r>
  <r>
    <s v="KHI/HO/D/MO/MC COMP/P/97912/09/2024"/>
    <m/>
    <x v="5"/>
    <s v="South"/>
    <d v="2024-09-21T00:00:00"/>
    <d v="2025-09-21T00:00:00"/>
    <s v="SYED MUGHEERA IBRAHIM"/>
    <s v="SUZUKI-GD-110S"/>
    <n v="14960"/>
    <n v="12466"/>
    <n v="4.2500000000000003E-2"/>
    <s v="148557"/>
    <d v="2024-09-21T00:00:00"/>
    <s v="MOTORCYCLE  COMPREHENSIVE"/>
    <n v="352000"/>
    <n v="1869.9"/>
    <n v="124.66"/>
    <n v="500"/>
  </r>
  <r>
    <s v="KHI/HO/D/MO/MC COMP/P/97917/09/2024"/>
    <m/>
    <x v="3"/>
    <s v="South"/>
    <d v="2024-09-21T00:00:00"/>
    <d v="2025-09-21T00:00:00"/>
    <s v="MUHAMMAD WAQAR"/>
    <s v="SUZUKI-GD-110S"/>
    <n v="14960"/>
    <n v="12466"/>
    <n v="4.2500000000000003E-2"/>
    <s v="148566"/>
    <d v="2024-09-21T00:00:00"/>
    <s v="MOTORCYCLE  COMPREHENSIVE"/>
    <n v="352000"/>
    <n v="1869.9"/>
    <n v="124.66"/>
    <n v="500"/>
  </r>
  <r>
    <s v="KHI/HO/D/MO/MC COMP/P/97918/09/2024"/>
    <m/>
    <x v="3"/>
    <s v="South"/>
    <d v="2025-09-22T00:00:00"/>
    <d v="2026-09-22T00:00:00"/>
    <s v="MUHAMMAD WAQAR"/>
    <s v="SUZUKI-GD-110S"/>
    <n v="14960"/>
    <n v="12466"/>
    <n v="4.2500000000000003E-2"/>
    <s v="148566"/>
    <d v="2024-09-21T00:00:00"/>
    <s v="MOTORCYCLE  COMPREHENSIVE"/>
    <n v="352000"/>
    <n v="1869.9"/>
    <n v="124.66"/>
    <n v="500"/>
  </r>
  <r>
    <s v="KHI/HO/D/MO/MC COMP/P/97921/09/2024"/>
    <m/>
    <x v="25"/>
    <s v="Punjab"/>
    <d v="2024-09-21T00:00:00"/>
    <d v="2025-09-21T00:00:00"/>
    <s v="MUHAMMAD ANAS RAZA"/>
    <s v="SUZUKI-GS 150"/>
    <n v="9550"/>
    <n v="7802"/>
    <n v="2.5000000000000001E-2"/>
    <s v="PKG30092706"/>
    <d v="2024-09-21T00:00:00"/>
    <s v="MOTORCYCLE  COMPREHENSIVE"/>
    <n v="382000"/>
    <n v="1170.3"/>
    <n v="78.02"/>
    <n v="500"/>
  </r>
  <r>
    <s v="KHI/HO/D/MO/MC COMP/P/97922/09/2024"/>
    <m/>
    <x v="6"/>
    <s v="South"/>
    <d v="2024-09-21T00:00:00"/>
    <d v="2025-09-21T00:00:00"/>
    <s v="SUFIYAN KHALID"/>
    <s v="SUZUKI-GD-110S"/>
    <n v="14960"/>
    <n v="12466"/>
    <n v="4.2500000000000003E-2"/>
    <s v="146912"/>
    <d v="2024-09-21T00:00:00"/>
    <s v="MOTORCYCLE  COMPREHENSIVE"/>
    <n v="352000"/>
    <n v="1869.9"/>
    <n v="124.66"/>
    <n v="500"/>
  </r>
  <r>
    <s v="KHI/HO/D/MO/MC COMP/P/97923/09/2024"/>
    <m/>
    <x v="6"/>
    <s v="South"/>
    <d v="2025-09-22T00:00:00"/>
    <d v="2026-09-22T00:00:00"/>
    <s v="SUFIYAN KHALID"/>
    <s v="SUZUKI-GD-110S"/>
    <n v="14960"/>
    <n v="12466"/>
    <n v="4.2500000000000003E-2"/>
    <s v="146912"/>
    <d v="2024-09-21T00:00:00"/>
    <s v="MOTORCYCLE  COMPREHENSIVE"/>
    <n v="352000"/>
    <n v="1869.9"/>
    <n v="124.66"/>
    <n v="500"/>
  </r>
  <r>
    <s v="KHI/HO/D/MO/MC COMP/P/97924/09/2024"/>
    <m/>
    <x v="5"/>
    <s v="South"/>
    <d v="2024-09-21T00:00:00"/>
    <d v="2025-09-21T00:00:00"/>
    <s v="ALI AHMED KHAN"/>
    <s v="SUZUKI-GD-110S"/>
    <n v="14960"/>
    <n v="12466"/>
    <n v="4.2500000000000003E-2"/>
    <s v="148220"/>
    <d v="2024-09-21T00:00:00"/>
    <s v="MOTORCYCLE  COMPREHENSIVE"/>
    <n v="352000"/>
    <n v="1869.9"/>
    <n v="124.66"/>
    <n v="500"/>
  </r>
  <r>
    <s v="KHI/HO/D/MO/MC COMP/P/97925/09/2024"/>
    <m/>
    <x v="18"/>
    <s v="South"/>
    <d v="2024-09-21T00:00:00"/>
    <d v="2025-09-21T00:00:00"/>
    <s v="DANISH KHAN"/>
    <s v="SUZUKI-GD-110S"/>
    <n v="14960"/>
    <n v="12466"/>
    <n v="4.2500000000000003E-2"/>
    <s v="147983"/>
    <d v="2024-09-21T00:00:00"/>
    <s v="MOTORCYCLE  COMPREHENSIVE"/>
    <n v="352000"/>
    <n v="1869.9"/>
    <n v="124.66"/>
    <n v="500"/>
  </r>
  <r>
    <s v="KHI/HO/D/MO/MC COMP/P/97926/09/2024"/>
    <m/>
    <x v="18"/>
    <s v="South"/>
    <d v="2024-09-21T00:00:00"/>
    <d v="2025-09-21T00:00:00"/>
    <s v="SADDAM ALI"/>
    <s v="SUZUKI-GS 150"/>
    <n v="16235"/>
    <n v="13565"/>
    <n v="4.2500000000000003E-2"/>
    <s v="30092962"/>
    <d v="2024-09-21T00:00:00"/>
    <s v="MOTORCYCLE  COMPREHENSIVE"/>
    <n v="382000"/>
    <n v="2034.75"/>
    <n v="135.65"/>
    <n v="500"/>
  </r>
  <r>
    <s v="KHI/HO/D/MO/MC COMP/P/97927/09/2024"/>
    <m/>
    <x v="18"/>
    <s v="South"/>
    <d v="2025-09-22T00:00:00"/>
    <d v="2026-09-22T00:00:00"/>
    <s v="SADDAM ALI"/>
    <s v="SUZUKI-GS 150"/>
    <n v="16235"/>
    <n v="13565"/>
    <n v="4.2500000000000003E-2"/>
    <s v="30092962"/>
    <d v="2024-09-21T00:00:00"/>
    <s v="MOTORCYCLE  COMPREHENSIVE"/>
    <n v="382000"/>
    <n v="2034.75"/>
    <n v="135.65"/>
    <n v="500"/>
  </r>
  <r>
    <s v="KHI/HO/D/MO/MC COMP/P/97928/09/2024"/>
    <m/>
    <x v="25"/>
    <s v="Punjab"/>
    <d v="2024-09-21T00:00:00"/>
    <d v="2025-09-21T00:00:00"/>
    <s v="MUHAMMAD AHSAN AFRIDI"/>
    <s v="SUZUKI-GS 150"/>
    <n v="9550"/>
    <n v="7802"/>
    <n v="2.5000000000000001E-2"/>
    <s v="PKG30092719"/>
    <d v="2024-09-21T00:00:00"/>
    <s v="MOTORCYCLE  COMPREHENSIVE"/>
    <n v="382000"/>
    <n v="1170.3"/>
    <n v="78.02"/>
    <n v="500"/>
  </r>
  <r>
    <s v="KHI/HO/D/MO/MC COMP/P/97929/09/2024"/>
    <m/>
    <x v="20"/>
    <s v="Punjab"/>
    <d v="2024-09-21T00:00:00"/>
    <d v="2025-09-21T00:00:00"/>
    <s v="MUHAMMAD HAMZA BUTT"/>
    <s v="SUZUKI-GD-110S"/>
    <n v="8800"/>
    <n v="7155"/>
    <n v="2.5000000000000001E-2"/>
    <s v="147690"/>
    <d v="2024-09-21T00:00:00"/>
    <s v="MOTORCYCLE  COMPREHENSIVE"/>
    <n v="352000"/>
    <n v="1073.25"/>
    <n v="71.55"/>
    <n v="500"/>
  </r>
  <r>
    <s v="KHI/HO/D/MO/MC COMP/P/97930/09/2024"/>
    <m/>
    <x v="25"/>
    <s v="Punjab"/>
    <d v="2024-09-21T00:00:00"/>
    <d v="2025-09-21T00:00:00"/>
    <s v="MUHAMMAD AMMAR"/>
    <s v="SUZUKI-GS 150"/>
    <n v="9550"/>
    <n v="7802"/>
    <n v="2.5000000000000001E-2"/>
    <s v="PKG30092134"/>
    <d v="2024-09-21T00:00:00"/>
    <s v="MOTORCYCLE  COMPREHENSIVE"/>
    <n v="382000"/>
    <n v="1170.3"/>
    <n v="78.02"/>
    <n v="500"/>
  </r>
  <r>
    <s v="KHI/HO/D/MO/MC COMP/P/97931/09/2024"/>
    <m/>
    <x v="20"/>
    <s v="Punjab"/>
    <d v="2024-09-21T00:00:00"/>
    <d v="2025-09-21T00:00:00"/>
    <s v="KHAWAR HUSSAIN"/>
    <s v="SUZUKI-GSX 125"/>
    <n v="12475"/>
    <n v="10323"/>
    <n v="2.5000000000000001E-2"/>
    <s v="23102495"/>
    <d v="2024-09-21T00:00:00"/>
    <s v="MOTORCYCLE  COMPREHENSIVE"/>
    <n v="499000"/>
    <n v="1548.45"/>
    <n v="103.23"/>
    <n v="500"/>
  </r>
  <r>
    <s v="KHI/HO/D/MO/MC COMP/P/97932/09/2024"/>
    <m/>
    <x v="1"/>
    <s v="South"/>
    <d v="2024-09-21T00:00:00"/>
    <d v="2025-09-21T00:00:00"/>
    <s v="WAQAS ANJUM"/>
    <s v="SUZUKI-GD-110S"/>
    <n v="14960"/>
    <n v="12466"/>
    <n v="4.2500000000000003E-2"/>
    <s v="148783"/>
    <d v="2024-09-21T00:00:00"/>
    <s v="MOTORCYCLE  COMPREHENSIVE"/>
    <n v="352000"/>
    <n v="1869.9"/>
    <n v="124.66"/>
    <n v="500"/>
  </r>
  <r>
    <s v="KHI/HO/D/MO/MC COMP/P/97933/09/2024"/>
    <m/>
    <x v="1"/>
    <s v="South"/>
    <d v="2025-09-22T00:00:00"/>
    <d v="2026-09-22T00:00:00"/>
    <s v="WAQAS ANJUM"/>
    <s v="SUZUKI-GD-110S"/>
    <n v="14960"/>
    <n v="12466"/>
    <n v="4.2500000000000003E-2"/>
    <s v="148783"/>
    <d v="2024-09-21T00:00:00"/>
    <s v="MOTORCYCLE  COMPREHENSIVE"/>
    <n v="352000"/>
    <n v="1869.9"/>
    <n v="124.66"/>
    <n v="500"/>
  </r>
  <r>
    <s v="KHI/HO/D/MO/MC COMP/P/97934/09/2024"/>
    <m/>
    <x v="20"/>
    <s v="Punjab"/>
    <d v="2024-09-21T00:00:00"/>
    <d v="2025-09-21T00:00:00"/>
    <s v="ADIL JAVAID AWAN"/>
    <s v="SUZUKI-GD-110S"/>
    <n v="8800"/>
    <n v="7155"/>
    <n v="2.5000000000000001E-2"/>
    <s v="147475"/>
    <d v="2024-09-21T00:00:00"/>
    <s v="MOTORCYCLE  COMPREHENSIVE"/>
    <n v="352000"/>
    <n v="1073.25"/>
    <n v="71.55"/>
    <n v="500"/>
  </r>
  <r>
    <s v="KHI/HO/D/MO/MC COMP/P/97936/09/2024"/>
    <m/>
    <x v="2"/>
    <s v="South"/>
    <d v="2024-09-21T00:00:00"/>
    <d v="2025-09-21T00:00:00"/>
    <s v="RAJAB ALI"/>
    <s v="SUZUKI-GD-110S"/>
    <n v="14960"/>
    <n v="12466"/>
    <n v="4.2500000000000003E-2"/>
    <s v="148803"/>
    <d v="2024-09-21T00:00:00"/>
    <s v="MOTORCYCLE  COMPREHENSIVE"/>
    <n v="352000"/>
    <n v="1869.9"/>
    <n v="124.66"/>
    <n v="500"/>
  </r>
  <r>
    <s v="KHI/HO/D/MO/MC COMP/P/97937/09/2024"/>
    <m/>
    <x v="20"/>
    <s v="Punjab"/>
    <d v="2024-09-21T00:00:00"/>
    <d v="2025-09-21T00:00:00"/>
    <s v="AHMED YAR"/>
    <s v="SUZUKI-GD-110S"/>
    <n v="8800"/>
    <n v="7155"/>
    <n v="2.5000000000000001E-2"/>
    <s v="147142"/>
    <d v="2024-09-21T00:00:00"/>
    <s v="MOTORCYCLE  COMPREHENSIVE"/>
    <n v="352000"/>
    <n v="1073.25"/>
    <n v="71.55"/>
    <n v="500"/>
  </r>
  <r>
    <s v="KHI/HO/D/MO/MC COMP/P/97938/09/2024"/>
    <m/>
    <x v="20"/>
    <s v="Punjab"/>
    <d v="2024-09-21T00:00:00"/>
    <d v="2025-09-21T00:00:00"/>
    <s v="MUHAMMAD HUSSAIN"/>
    <s v="SUZUKI-GD-110S"/>
    <n v="8800"/>
    <n v="7155"/>
    <n v="2.5000000000000001E-2"/>
    <s v="147104"/>
    <d v="2024-09-21T00:00:00"/>
    <s v="MOTORCYCLE  COMPREHENSIVE"/>
    <n v="352000"/>
    <n v="1073.25"/>
    <n v="71.55"/>
    <n v="500"/>
  </r>
  <r>
    <s v="KHI/HO/D/MO/MC COMP/P/97939/09/2024"/>
    <m/>
    <x v="20"/>
    <s v="Punjab"/>
    <d v="2024-09-21T00:00:00"/>
    <d v="2025-09-21T00:00:00"/>
    <s v="MOEZ"/>
    <s v="SUZUKI-GS 150"/>
    <n v="9550"/>
    <n v="7802"/>
    <n v="2.5000000000000001E-2"/>
    <s v="30092662"/>
    <d v="2024-09-21T00:00:00"/>
    <s v="MOTORCYCLE  COMPREHENSIVE"/>
    <n v="382000"/>
    <n v="1170.3"/>
    <n v="78.02"/>
    <n v="500"/>
  </r>
  <r>
    <s v="KHI/HO/D/MO/MC COMP/P/97940/09/2024"/>
    <m/>
    <x v="1"/>
    <s v="South"/>
    <d v="2024-09-21T00:00:00"/>
    <d v="2025-09-21T00:00:00"/>
    <s v="MUHAMMAD HAMMAD ABID"/>
    <s v="SUZUKI-GD-110S"/>
    <n v="14960"/>
    <n v="12466"/>
    <n v="4.2500000000000003E-2"/>
    <s v="147969"/>
    <d v="2024-09-21T00:00:00"/>
    <s v="MOTORCYCLE  COMPREHENSIVE"/>
    <n v="352000"/>
    <n v="1869.9"/>
    <n v="124.66"/>
    <n v="500"/>
  </r>
  <r>
    <s v="KHI/HO/D/MO/MC COMP/P/97941/09/2024"/>
    <m/>
    <x v="20"/>
    <s v="Punjab"/>
    <d v="2024-09-21T00:00:00"/>
    <d v="2025-09-21T00:00:00"/>
    <s v="MUHAMMAD RAZA"/>
    <s v="SUZUKI-GR150 EURO II"/>
    <n v="13675"/>
    <n v="11358"/>
    <n v="2.5000000000000001E-2"/>
    <s v="113590"/>
    <d v="2024-09-21T00:00:00"/>
    <s v="MOTORCYCLE  COMPREHENSIVE"/>
    <n v="547000"/>
    <n v="1703.7"/>
    <n v="113.58"/>
    <n v="500"/>
  </r>
  <r>
    <s v="KHI/HO/D/MO/MC COMP/P/97942/09/2024"/>
    <m/>
    <x v="20"/>
    <s v="Punjab"/>
    <d v="2024-09-21T00:00:00"/>
    <d v="2025-09-21T00:00:00"/>
    <s v="MUHAMMAD AKMAL"/>
    <s v="SUZUKI-GD-110S"/>
    <n v="8800"/>
    <n v="7155"/>
    <n v="2.5000000000000001E-2"/>
    <s v="147477"/>
    <d v="2024-09-21T00:00:00"/>
    <s v="MOTORCYCLE  COMPREHENSIVE"/>
    <n v="352000"/>
    <n v="1073.25"/>
    <n v="71.55"/>
    <n v="500"/>
  </r>
  <r>
    <s v="KHI/HO/D/MO/MC COMP/P/97943/09/2024"/>
    <m/>
    <x v="20"/>
    <s v="Punjab"/>
    <d v="2024-09-21T00:00:00"/>
    <d v="2025-09-21T00:00:00"/>
    <s v="MIAN GHOUS ALI"/>
    <s v="SUZUKI-GD-110S"/>
    <n v="8800"/>
    <n v="7155"/>
    <n v="2.5000000000000001E-2"/>
    <s v="147283"/>
    <d v="2024-09-21T00:00:00"/>
    <s v="MOTORCYCLE  COMPREHENSIVE"/>
    <n v="352000"/>
    <n v="1073.25"/>
    <n v="71.55"/>
    <n v="500"/>
  </r>
  <r>
    <s v="KHI/HO/D/MO/MC COMP/P/97944/09/2024"/>
    <m/>
    <x v="20"/>
    <s v="Punjab"/>
    <d v="2024-09-21T00:00:00"/>
    <d v="2025-09-21T00:00:00"/>
    <s v="ATHER NASEEM BUTT"/>
    <s v="SUZUKI-GD-110S"/>
    <n v="8800"/>
    <n v="7155"/>
    <n v="2.5000000000000001E-2"/>
    <s v="146890"/>
    <d v="2024-09-21T00:00:00"/>
    <s v="MOTORCYCLE  COMPREHENSIVE"/>
    <n v="352000"/>
    <n v="1073.25"/>
    <n v="71.55"/>
    <n v="500"/>
  </r>
  <r>
    <s v="KHI/HO/D/MO/MC COMP/P/97945/09/2024"/>
    <m/>
    <x v="6"/>
    <s v="South"/>
    <d v="2024-09-21T00:00:00"/>
    <d v="2025-09-21T00:00:00"/>
    <s v="NABEEL"/>
    <s v="SUZUKI-GD-110S"/>
    <n v="14960"/>
    <n v="12466"/>
    <n v="4.2500000000000003E-2"/>
    <s v="148198"/>
    <d v="2024-09-21T00:00:00"/>
    <s v="MOTORCYCLE  COMPREHENSIVE"/>
    <n v="352000"/>
    <n v="1869.9"/>
    <n v="124.66"/>
    <n v="500"/>
  </r>
  <r>
    <s v="KHI/HO/D/MO/MC COMP/P/97946/09/2024"/>
    <m/>
    <x v="5"/>
    <s v="South"/>
    <d v="2024-09-21T00:00:00"/>
    <d v="2025-09-21T00:00:00"/>
    <s v="CHEMICA-S (PVT) LTD"/>
    <s v="SUZUKI-GD-110S"/>
    <n v="14960"/>
    <n v="12466"/>
    <n v="4.2500000000000003E-2"/>
    <s v="148333"/>
    <d v="2024-09-21T00:00:00"/>
    <s v="MOTORCYCLE  COMPREHENSIVE"/>
    <n v="352000"/>
    <n v="1869.9"/>
    <n v="124.66"/>
    <n v="500"/>
  </r>
  <r>
    <s v="KHI/HO/D/MO/MC COMP/P/97947/09/2024"/>
    <m/>
    <x v="5"/>
    <s v="South"/>
    <d v="2024-09-21T00:00:00"/>
    <d v="2025-09-21T00:00:00"/>
    <s v="RAHEEL"/>
    <s v="SUZUKI-GS 150"/>
    <n v="16235"/>
    <n v="13565"/>
    <n v="4.2500000000000003E-2"/>
    <s v="30093099"/>
    <d v="2024-09-21T00:00:00"/>
    <s v="MOTORCYCLE  COMPREHENSIVE"/>
    <n v="382000"/>
    <n v="2034.75"/>
    <n v="135.65"/>
    <n v="500"/>
  </r>
  <r>
    <s v="KHI/HO/D/MO/MC COMP/P/97948/09/2024"/>
    <m/>
    <x v="5"/>
    <s v="South"/>
    <d v="2025-09-22T00:00:00"/>
    <d v="2026-09-22T00:00:00"/>
    <s v="RAHEEL"/>
    <s v="SUZUKI-GS 150"/>
    <n v="16235"/>
    <n v="13565"/>
    <n v="4.2500000000000003E-2"/>
    <s v="30093099"/>
    <d v="2024-09-21T00:00:00"/>
    <s v="MOTORCYCLE  COMPREHENSIVE"/>
    <n v="382000"/>
    <n v="2034.75"/>
    <n v="135.65"/>
    <n v="500"/>
  </r>
  <r>
    <s v="KHI/HO/D/MO/MC COMP/P/97949/09/2024"/>
    <m/>
    <x v="5"/>
    <s v="South"/>
    <d v="2024-09-21T00:00:00"/>
    <d v="2025-09-21T00:00:00"/>
    <s v="NOAMAN AHMAD KHAN"/>
    <s v="SUZUKI-GS 150"/>
    <n v="16235"/>
    <n v="13565"/>
    <n v="4.2500000000000003E-2"/>
    <s v="30093098"/>
    <d v="2024-09-21T00:00:00"/>
    <s v="MOTORCYCLE  COMPREHENSIVE"/>
    <n v="382000"/>
    <n v="2034.75"/>
    <n v="135.65"/>
    <n v="500"/>
  </r>
  <r>
    <s v="KHI/HO/D/MO/MC COMP/P/97950/09/2024"/>
    <m/>
    <x v="5"/>
    <s v="South"/>
    <d v="2024-09-21T00:00:00"/>
    <d v="2025-09-21T00:00:00"/>
    <s v="JANISAR ALI"/>
    <s v="SUZUKI-GS 150"/>
    <n v="16235"/>
    <n v="13565"/>
    <n v="4.2500000000000003E-2"/>
    <s v="30093041"/>
    <d v="2024-09-21T00:00:00"/>
    <s v="MOTORCYCLE  COMPREHENSIVE"/>
    <n v="382000"/>
    <n v="2034.75"/>
    <n v="135.65"/>
    <n v="500"/>
  </r>
  <r>
    <s v="KHI/HO/D/MO/MC COMP/P/97951/09/2024"/>
    <m/>
    <x v="5"/>
    <s v="South"/>
    <d v="2025-09-22T00:00:00"/>
    <d v="2026-09-22T00:00:00"/>
    <s v="JANISAR ALI"/>
    <s v="SUZUKI-GS 150"/>
    <n v="16235"/>
    <n v="13565"/>
    <n v="4.2500000000000003E-2"/>
    <s v="30093041"/>
    <d v="2024-09-21T00:00:00"/>
    <s v="MOTORCYCLE  COMPREHENSIVE"/>
    <n v="382000"/>
    <n v="2034.75"/>
    <n v="135.65"/>
    <n v="500"/>
  </r>
  <r>
    <s v="KHI/HO/D/MO/MC COMP/P/97952/09/2024"/>
    <m/>
    <x v="5"/>
    <s v="South"/>
    <d v="2024-09-21T00:00:00"/>
    <d v="2025-09-21T00:00:00"/>
    <s v="MUHAMMAD USMAN SIDDIQUI"/>
    <s v="SUZUKI-GSX 125"/>
    <n v="21208"/>
    <n v="17852"/>
    <n v="4.2501002004008019E-2"/>
    <s v="23102602"/>
    <d v="2024-09-21T00:00:00"/>
    <s v="MOTORCYCLE  COMPREHENSIVE"/>
    <n v="499000"/>
    <n v="2677.8"/>
    <n v="178.52"/>
    <n v="500"/>
  </r>
  <r>
    <s v="KHI/HO/D/MO/MC COMP/P/97953/09/2024"/>
    <m/>
    <x v="5"/>
    <s v="South"/>
    <d v="2025-09-22T00:00:00"/>
    <d v="2026-09-22T00:00:00"/>
    <s v="MUHAMMAD USMAN SIDDIQUI"/>
    <s v="SUZUKI-GSX 125"/>
    <n v="21208"/>
    <n v="17852"/>
    <n v="4.2501002004008019E-2"/>
    <s v="23102602"/>
    <d v="2024-09-21T00:00:00"/>
    <s v="MOTORCYCLE  COMPREHENSIVE"/>
    <n v="499000"/>
    <n v="2677.8"/>
    <n v="178.52"/>
    <n v="500"/>
  </r>
  <r>
    <s v="KHI/HO/D/MO/MC COMP/P/97954/09/2024"/>
    <m/>
    <x v="13"/>
    <s v="Punjab"/>
    <d v="2024-09-21T00:00:00"/>
    <d v="2025-09-21T00:00:00"/>
    <s v="MUHAMMAD USMAN"/>
    <s v="SUZUKI-GD-110S"/>
    <n v="8800"/>
    <n v="7155"/>
    <n v="2.5000000000000001E-2"/>
    <s v="147922"/>
    <d v="2024-09-21T00:00:00"/>
    <s v="MOTORCYCLE  COMPREHENSIVE"/>
    <n v="352000"/>
    <n v="1073.25"/>
    <n v="71.55"/>
    <n v="500"/>
  </r>
  <r>
    <s v="KHI/HO/D/MO/MC COMP/P/97955/09/2024"/>
    <m/>
    <x v="5"/>
    <s v="South"/>
    <d v="2024-09-21T00:00:00"/>
    <d v="2025-09-21T00:00:00"/>
    <s v="MEHAR ALI"/>
    <s v="SUZUKI-GD-110S"/>
    <n v="14960"/>
    <n v="12466"/>
    <n v="4.2500000000000003E-2"/>
    <s v="147722"/>
    <d v="2024-09-21T00:00:00"/>
    <s v="MOTORCYCLE  COMPREHENSIVE"/>
    <n v="352000"/>
    <n v="1869.9"/>
    <n v="124.66"/>
    <n v="500"/>
  </r>
  <r>
    <s v="KHI/HO/D/MO/MC COMP/P/97956/09/2024"/>
    <m/>
    <x v="5"/>
    <s v="South"/>
    <d v="2024-09-21T00:00:00"/>
    <d v="2025-09-21T00:00:00"/>
    <s v="TALAL AMJAD"/>
    <s v="SUZUKI-GD-110S"/>
    <n v="14960"/>
    <n v="12466"/>
    <n v="4.2500000000000003E-2"/>
    <s v="148043"/>
    <d v="2024-09-21T00:00:00"/>
    <s v="MOTORCYCLE  COMPREHENSIVE"/>
    <n v="352000"/>
    <n v="1869.9"/>
    <n v="124.66"/>
    <n v="500"/>
  </r>
  <r>
    <s v="KHI/HO/D/MO/MC COMP/P/97957/09/2024"/>
    <m/>
    <x v="5"/>
    <s v="South"/>
    <d v="2025-09-22T00:00:00"/>
    <d v="2026-09-22T00:00:00"/>
    <s v="TALAL AMJAD"/>
    <s v="SUZUKI-GD-110S"/>
    <n v="14960"/>
    <n v="12466"/>
    <n v="4.2500000000000003E-2"/>
    <s v="148043"/>
    <d v="2024-09-21T00:00:00"/>
    <s v="MOTORCYCLE  COMPREHENSIVE"/>
    <n v="352000"/>
    <n v="1869.9"/>
    <n v="124.66"/>
    <n v="500"/>
  </r>
  <r>
    <s v="KHI/HO/D/MO/MC COMP/P/97958/09/2024"/>
    <m/>
    <x v="5"/>
    <s v="South"/>
    <d v="2024-09-21T00:00:00"/>
    <d v="2025-09-21T00:00:00"/>
    <s v="LIAQUAT ALI ASAD"/>
    <s v="SUZUKI-GD-110S"/>
    <n v="14960"/>
    <n v="12466"/>
    <n v="4.2500000000000003E-2"/>
    <s v="148337"/>
    <d v="2024-09-21T00:00:00"/>
    <s v="MOTORCYCLE  COMPREHENSIVE"/>
    <n v="352000"/>
    <n v="1869.9"/>
    <n v="124.66"/>
    <n v="500"/>
  </r>
  <r>
    <s v="KHI/HO/D/MO/MC COMP/P/97959/09/2024"/>
    <m/>
    <x v="5"/>
    <s v="South"/>
    <d v="2024-09-21T00:00:00"/>
    <d v="2025-09-21T00:00:00"/>
    <s v="IMRAN ULLAH"/>
    <s v="SUZUKI-GD-110S"/>
    <n v="14960"/>
    <n v="12466"/>
    <n v="4.2500000000000003E-2"/>
    <s v="148223"/>
    <d v="2024-09-21T00:00:00"/>
    <s v="MOTORCYCLE  COMPREHENSIVE"/>
    <n v="352000"/>
    <n v="1869.9"/>
    <n v="124.66"/>
    <n v="500"/>
  </r>
  <r>
    <s v="KHI/HO/D/MO/MC COMP/P/97960/09/2024"/>
    <m/>
    <x v="5"/>
    <s v="South"/>
    <d v="2024-09-21T00:00:00"/>
    <d v="2025-09-21T00:00:00"/>
    <s v="MUHAMMAD WAQAS"/>
    <s v="SUZUKI-GD-110S"/>
    <n v="14960"/>
    <n v="12466"/>
    <n v="4.2500000000000003E-2"/>
    <s v="148239"/>
    <d v="2024-09-21T00:00:00"/>
    <s v="MOTORCYCLE  COMPREHENSIVE"/>
    <n v="352000"/>
    <n v="1869.9"/>
    <n v="124.66"/>
    <n v="500"/>
  </r>
  <r>
    <s v="KHI/HO/D/MO/MC COMP/P/97961/09/2024"/>
    <m/>
    <x v="5"/>
    <s v="South"/>
    <d v="2024-09-21T00:00:00"/>
    <d v="2025-09-21T00:00:00"/>
    <s v="SYED MAISAM ABBAS ZAIDI"/>
    <s v="SUZUKI-GSX 125"/>
    <n v="21208"/>
    <n v="17852"/>
    <n v="4.2501002004008019E-2"/>
    <s v="23102676"/>
    <d v="2024-09-21T00:00:00"/>
    <s v="MOTORCYCLE  COMPREHENSIVE"/>
    <n v="499000"/>
    <n v="2677.8"/>
    <n v="178.52"/>
    <n v="500"/>
  </r>
  <r>
    <s v="KHI/HO/D/MO/MC COMP/P/97962/09/2024"/>
    <m/>
    <x v="5"/>
    <s v="South"/>
    <d v="2024-09-21T00:00:00"/>
    <d v="2025-09-21T00:00:00"/>
    <s v="BABAR ULLAH KHAN"/>
    <s v="SUZUKI-GD-110S"/>
    <n v="14960"/>
    <n v="12466"/>
    <n v="4.2500000000000003E-2"/>
    <s v="148038"/>
    <d v="2024-09-21T00:00:00"/>
    <s v="MOTORCYCLE  COMPREHENSIVE"/>
    <n v="352000"/>
    <n v="1869.9"/>
    <n v="124.66"/>
    <n v="500"/>
  </r>
  <r>
    <s v="KHI/HO/D/MO/MC COMP/P/97963/09/2024"/>
    <m/>
    <x v="5"/>
    <s v="South"/>
    <d v="2025-09-22T00:00:00"/>
    <d v="2026-09-22T00:00:00"/>
    <s v="BABAR ULLAH KHAN"/>
    <s v="SUZUKI-GD-110S"/>
    <n v="14960"/>
    <n v="12466"/>
    <n v="4.2500000000000003E-2"/>
    <s v="148038"/>
    <d v="2024-09-21T00:00:00"/>
    <s v="MOTORCYCLE  COMPREHENSIVE"/>
    <n v="352000"/>
    <n v="1869.9"/>
    <n v="124.66"/>
    <n v="500"/>
  </r>
  <r>
    <s v="KHI/HO/D/MO/MC COMP/P/97964/09/2024"/>
    <m/>
    <x v="5"/>
    <s v="South"/>
    <d v="2024-09-21T00:00:00"/>
    <d v="2025-09-21T00:00:00"/>
    <s v="MUHAMMAD ARSHAD KAMAL"/>
    <s v="SUZUKI-GD-110S"/>
    <n v="14960"/>
    <n v="12466"/>
    <n v="4.2500000000000003E-2"/>
    <s v="148036"/>
    <d v="2024-09-21T00:00:00"/>
    <s v="MOTORCYCLE  COMPREHENSIVE"/>
    <n v="352000"/>
    <n v="1869.9"/>
    <n v="124.66"/>
    <n v="500"/>
  </r>
  <r>
    <s v="KHI/HO/D/MO/MC COMP/P/97965/09/2024"/>
    <m/>
    <x v="5"/>
    <s v="South"/>
    <d v="2024-09-21T00:00:00"/>
    <d v="2025-09-21T00:00:00"/>
    <s v="MOEEZ HUSSAIN ANSARI"/>
    <s v="SUZUKI-GD-110S"/>
    <n v="14960"/>
    <n v="12466"/>
    <n v="4.2500000000000003E-2"/>
    <s v="144512"/>
    <d v="2024-09-21T00:00:00"/>
    <s v="MOTORCYCLE  COMPREHENSIVE"/>
    <n v="352000"/>
    <n v="1869.9"/>
    <n v="124.66"/>
    <n v="500"/>
  </r>
  <r>
    <s v="KHI/HO/D/MO/MC COMP/P/97966/09/2024"/>
    <m/>
    <x v="5"/>
    <s v="South"/>
    <d v="2025-09-22T00:00:00"/>
    <d v="2026-09-22T00:00:00"/>
    <s v="MOEEZ HUSSAIN ANSARI"/>
    <s v="SUZUKI-GD-110S"/>
    <n v="14960"/>
    <n v="12466"/>
    <n v="4.2500000000000003E-2"/>
    <s v="144512"/>
    <d v="2024-09-21T00:00:00"/>
    <s v="MOTORCYCLE  COMPREHENSIVE"/>
    <n v="352000"/>
    <n v="1869.9"/>
    <n v="124.66"/>
    <n v="500"/>
  </r>
  <r>
    <s v="KHI/HO/D/MO/MC COMP/P/97967/09/2024"/>
    <m/>
    <x v="5"/>
    <s v="South"/>
    <d v="2024-09-21T00:00:00"/>
    <d v="2025-09-21T00:00:00"/>
    <s v="GHULAM MURTAZA"/>
    <s v="SUZUKI-GD-110S"/>
    <n v="14960"/>
    <n v="12466"/>
    <n v="4.2500000000000003E-2"/>
    <s v="148559"/>
    <d v="2024-09-21T00:00:00"/>
    <s v="MOTORCYCLE  COMPREHENSIVE"/>
    <n v="352000"/>
    <n v="1869.9"/>
    <n v="124.66"/>
    <n v="500"/>
  </r>
  <r>
    <s v="KHI/HO/D/MO/MC COMP/P/97968/09/2024"/>
    <m/>
    <x v="5"/>
    <s v="South"/>
    <d v="2025-09-22T00:00:00"/>
    <d v="2026-09-22T00:00:00"/>
    <s v="GHULAM MURTAZA"/>
    <s v="SUZUKI-GD-110S"/>
    <n v="14960"/>
    <n v="12466"/>
    <n v="4.2500000000000003E-2"/>
    <s v="148559"/>
    <d v="2024-09-21T00:00:00"/>
    <s v="MOTORCYCLE  COMPREHENSIVE"/>
    <n v="352000"/>
    <n v="1869.9"/>
    <n v="124.66"/>
    <n v="500"/>
  </r>
  <r>
    <s v="KHI/HO/D/MO/MC COMP/P/97971/09/2024"/>
    <m/>
    <x v="23"/>
    <s v="South"/>
    <d v="2024-09-22T00:00:00"/>
    <d v="2025-09-22T00:00:00"/>
    <s v="Umair Azam"/>
    <s v="SUZUKI-GS 150"/>
    <n v="16235"/>
    <n v="13565"/>
    <n v="4.2500000000000003E-2"/>
    <s v="30092957"/>
    <d v="2024-09-22T00:00:00"/>
    <s v="MOTORCYCLE  COMPREHENSIVE"/>
    <n v="382000"/>
    <n v="2034.75"/>
    <n v="135.65"/>
    <n v="500"/>
  </r>
  <r>
    <s v="KHI/HO/D/MO/MC COMP/P/97972/09/2024"/>
    <m/>
    <x v="23"/>
    <s v="South"/>
    <d v="2024-09-22T00:00:00"/>
    <d v="2025-09-22T00:00:00"/>
    <s v="Adeel Faraz Siddiqui"/>
    <s v="SUZUKI-GD-110S"/>
    <n v="14960"/>
    <n v="12466"/>
    <n v="4.2500000000000003E-2"/>
    <s v="147266"/>
    <d v="2024-09-22T00:00:00"/>
    <s v="MOTORCYCLE  COMPREHENSIVE"/>
    <n v="352000"/>
    <n v="1869.9"/>
    <n v="124.66"/>
    <n v="500"/>
  </r>
  <r>
    <s v="KHI/HO/D/MO/MC COMP/P/97986/09/2024"/>
    <m/>
    <x v="6"/>
    <s v="South"/>
    <d v="2024-09-23T00:00:00"/>
    <d v="2025-09-23T00:00:00"/>
    <s v="NADIR ALI"/>
    <s v="SUZUKI-GD-110S"/>
    <n v="14960"/>
    <n v="12466"/>
    <n v="4.2500000000000003E-2"/>
    <s v="148244"/>
    <d v="2024-09-23T00:00:00"/>
    <s v="MOTORCYCLE  COMPREHENSIVE"/>
    <n v="352000"/>
    <n v="1869.9"/>
    <n v="124.66"/>
    <n v="500"/>
  </r>
  <r>
    <s v="KHI/HO/D/MO/MC COMP/P/97989/09/2024"/>
    <m/>
    <x v="6"/>
    <s v="South"/>
    <d v="2024-09-23T00:00:00"/>
    <d v="2025-09-23T00:00:00"/>
    <s v="MAQBOOL"/>
    <s v="SUZUKI-GD-110S"/>
    <n v="14960"/>
    <n v="12466"/>
    <n v="4.2500000000000003E-2"/>
    <s v="147438"/>
    <d v="2024-09-23T00:00:00"/>
    <s v="MOTORCYCLE  COMPREHENSIVE"/>
    <n v="352000"/>
    <n v="1869.9"/>
    <n v="124.66"/>
    <n v="500"/>
  </r>
  <r>
    <s v="KHI/HO/D/MO/MC COMP/P/97990/09/2024"/>
    <m/>
    <x v="6"/>
    <s v="South"/>
    <d v="2025-09-24T00:00:00"/>
    <d v="2026-09-24T00:00:00"/>
    <s v="MAQBOOL"/>
    <s v="SUZUKI-GD-110S"/>
    <n v="14960"/>
    <n v="12466"/>
    <n v="4.2500000000000003E-2"/>
    <s v="147438"/>
    <d v="2024-09-23T00:00:00"/>
    <s v="MOTORCYCLE  COMPREHENSIVE"/>
    <n v="352000"/>
    <n v="1869.9"/>
    <n v="124.66"/>
    <n v="500"/>
  </r>
  <r>
    <s v="KHI/HO/D/MO/MC COMP/P/97998/09/2024"/>
    <m/>
    <x v="5"/>
    <s v="South"/>
    <d v="2024-09-23T00:00:00"/>
    <d v="2025-09-23T00:00:00"/>
    <s v="MUHAMMAD SOHAIL KHAN"/>
    <s v="SUZUKI-GD-110S"/>
    <n v="14960"/>
    <n v="12466"/>
    <n v="4.2500000000000003E-2"/>
    <s v="147850"/>
    <d v="2024-09-23T00:00:00"/>
    <s v="MOTORCYCLE  COMPREHENSIVE"/>
    <n v="352000"/>
    <n v="1869.9"/>
    <n v="124.66"/>
    <n v="500"/>
  </r>
  <r>
    <s v="KHI/HO/D/MO/MC COMP/P/98005/09/2024"/>
    <m/>
    <x v="24"/>
    <s v="Punjab"/>
    <d v="2024-09-23T00:00:00"/>
    <d v="2025-09-23T00:00:00"/>
    <s v="RIASAT ALI"/>
    <s v="SUZUKI-GD-110S"/>
    <n v="8800"/>
    <n v="7155"/>
    <n v="2.5000000000000001E-2"/>
    <s v="147915"/>
    <d v="2024-09-23T00:00:00"/>
    <s v="MOTORCYCLE  COMPREHENSIVE"/>
    <n v="352000"/>
    <n v="1073.25"/>
    <n v="71.55"/>
    <n v="500"/>
  </r>
  <r>
    <s v="KHI/HO/D/MO/MC COMP/P/98007/09/2024"/>
    <m/>
    <x v="24"/>
    <s v="Punjab"/>
    <d v="2024-09-23T00:00:00"/>
    <d v="2025-09-23T00:00:00"/>
    <s v="MUHAMMAD SOHAIL"/>
    <s v="SUZUKI-GD-110S"/>
    <n v="8800"/>
    <n v="7155"/>
    <n v="2.5000000000000001E-2"/>
    <s v="147908"/>
    <d v="2024-09-23T00:00:00"/>
    <s v="MOTORCYCLE  COMPREHENSIVE"/>
    <n v="352000"/>
    <n v="1073.25"/>
    <n v="71.55"/>
    <n v="500"/>
  </r>
  <r>
    <s v="KHI/HO/D/MO/MC COMP/P/98008/09/2024"/>
    <m/>
    <x v="24"/>
    <s v="Punjab"/>
    <d v="2024-09-23T00:00:00"/>
    <d v="2025-09-23T00:00:00"/>
    <s v="GHOUS ALI TARIQ"/>
    <s v="SUZUKI-GSX 125"/>
    <n v="12475"/>
    <n v="10323"/>
    <n v="2.5000000000000001E-2"/>
    <s v="23102569"/>
    <d v="2024-09-23T00:00:00"/>
    <s v="MOTORCYCLE  COMPREHENSIVE"/>
    <n v="499000"/>
    <n v="1548.45"/>
    <n v="103.23"/>
    <n v="500"/>
  </r>
  <r>
    <s v="KHI/HO/D/MO/MC COMP/P/98010/09/2024"/>
    <m/>
    <x v="3"/>
    <s v="South"/>
    <d v="2024-09-23T00:00:00"/>
    <d v="2025-09-23T00:00:00"/>
    <s v="HUZAIFA"/>
    <s v="SUZUKI-GD-110S"/>
    <n v="14960"/>
    <n v="12466"/>
    <n v="4.2500000000000003E-2"/>
    <s v="148568"/>
    <d v="2024-09-23T00:00:00"/>
    <s v="MOTORCYCLE  COMPREHENSIVE"/>
    <n v="352000"/>
    <n v="1869.9"/>
    <n v="124.66"/>
    <n v="500"/>
  </r>
  <r>
    <s v="KHI/HO/D/MO/MC COMP/P/98013/09/2024"/>
    <m/>
    <x v="3"/>
    <s v="South"/>
    <d v="2024-09-23T00:00:00"/>
    <d v="2025-09-23T00:00:00"/>
    <s v="MUSTAQEEM"/>
    <s v="SUZUKI-GD-110S"/>
    <n v="14960"/>
    <n v="12466"/>
    <n v="4.2500000000000003E-2"/>
    <s v="148797"/>
    <d v="2024-09-23T00:00:00"/>
    <s v="MOTORCYCLE  COMPREHENSIVE"/>
    <n v="352000"/>
    <n v="1869.9"/>
    <n v="124.66"/>
    <n v="500"/>
  </r>
  <r>
    <s v="KHI/HO/D/MO/MC COMP/P/98016/09/2024"/>
    <m/>
    <x v="24"/>
    <s v="Punjab"/>
    <d v="2024-09-23T00:00:00"/>
    <d v="2025-09-23T00:00:00"/>
    <s v="YAWAR SOHAIL SUNDHU"/>
    <s v="SUZUKI-GD-110S"/>
    <n v="8800"/>
    <n v="7155"/>
    <n v="2.5000000000000001E-2"/>
    <s v="147909"/>
    <d v="2024-09-23T00:00:00"/>
    <s v="MOTORCYCLE  COMPREHENSIVE"/>
    <n v="352000"/>
    <n v="1073.25"/>
    <n v="71.55"/>
    <n v="500"/>
  </r>
  <r>
    <s v="KHI/HO/D/MO/MC COMP/P/98019/09/2024"/>
    <m/>
    <x v="21"/>
    <s v="Punjab"/>
    <d v="2024-09-23T00:00:00"/>
    <d v="2025-09-23T00:00:00"/>
    <s v="MUHAMMAD MUHSIN RAMZAN"/>
    <s v="SUZUKI-GD-110S"/>
    <n v="8800"/>
    <n v="7155"/>
    <n v="2.5000000000000001E-2"/>
    <s v="148165"/>
    <d v="2024-09-23T00:00:00"/>
    <s v="MOTORCYCLE  COMPREHENSIVE"/>
    <n v="352000"/>
    <n v="1073.25"/>
    <n v="71.55"/>
    <n v="500"/>
  </r>
  <r>
    <s v="KHI/HO/D/MO/MC COMP/P/98022/09/2024"/>
    <m/>
    <x v="11"/>
    <s v="Punjab"/>
    <d v="2024-09-23T00:00:00"/>
    <d v="2025-09-23T00:00:00"/>
    <s v="HASSAN SHAHID"/>
    <s v="SUZUKI-GSX 125"/>
    <n v="12475"/>
    <n v="10323"/>
    <n v="2.5000000000000001E-2"/>
    <s v="23102671"/>
    <d v="2024-09-23T00:00:00"/>
    <s v="MOTORCYCLE  COMPREHENSIVE"/>
    <n v="499000"/>
    <n v="1548.45"/>
    <n v="103.23"/>
    <n v="500"/>
  </r>
  <r>
    <s v="KHI/HO/D/MO/MC COMP/P/98023/09/2024"/>
    <m/>
    <x v="5"/>
    <s v="South"/>
    <d v="2024-09-23T00:00:00"/>
    <d v="2025-09-23T00:00:00"/>
    <s v="UMAIR KHAN"/>
    <s v="SUZUKI-GD-110S"/>
    <n v="14960"/>
    <n v="12466"/>
    <n v="4.2500000000000003E-2"/>
    <s v="148554"/>
    <d v="2024-09-23T00:00:00"/>
    <s v="MOTORCYCLE  COMPREHENSIVE"/>
    <n v="352000"/>
    <n v="1869.9"/>
    <n v="124.66"/>
    <n v="500"/>
  </r>
  <r>
    <s v="KHI/HO/D/MO/MC COMP/P/98024/09/2024"/>
    <m/>
    <x v="5"/>
    <s v="South"/>
    <d v="2025-09-24T00:00:00"/>
    <d v="2026-09-24T00:00:00"/>
    <s v="UMAIR KHAN"/>
    <s v="SUZUKI-GD-110S"/>
    <n v="14960"/>
    <n v="12466"/>
    <n v="4.2500000000000003E-2"/>
    <s v="148554"/>
    <d v="2024-09-23T00:00:00"/>
    <s v="MOTORCYCLE  COMPREHENSIVE"/>
    <n v="352000"/>
    <n v="1869.9"/>
    <n v="124.66"/>
    <n v="500"/>
  </r>
  <r>
    <s v="KHI/HO/D/MO/MC COMP/P/98025/09/2024"/>
    <m/>
    <x v="11"/>
    <s v="Punjab"/>
    <d v="2024-09-23T00:00:00"/>
    <d v="2025-09-23T00:00:00"/>
    <s v="MUHAMMAD AHMAD SAEED"/>
    <s v="SUZUKI-GD-110S"/>
    <n v="8800"/>
    <n v="7155"/>
    <n v="2.5000000000000001E-2"/>
    <s v="147618"/>
    <d v="2024-09-23T00:00:00"/>
    <s v="MOTORCYCLE  COMPREHENSIVE"/>
    <n v="352000"/>
    <n v="1073.25"/>
    <n v="71.55"/>
    <n v="500"/>
  </r>
  <r>
    <s v="KHI/HO/D/MO/MC COMP/P/98027/09/2024"/>
    <m/>
    <x v="11"/>
    <s v="Punjab"/>
    <d v="2024-09-23T00:00:00"/>
    <d v="2025-09-23T00:00:00"/>
    <s v="MUHAMMAD ASIF NADEEM"/>
    <s v="SUZUKI-GD-110S"/>
    <n v="8800"/>
    <n v="7155"/>
    <n v="2.5000000000000001E-2"/>
    <s v="148158"/>
    <d v="2024-09-23T00:00:00"/>
    <s v="MOTORCYCLE  COMPREHENSIVE"/>
    <n v="352000"/>
    <n v="1073.25"/>
    <n v="71.55"/>
    <n v="500"/>
  </r>
  <r>
    <s v="KHI/HO/D/MO/MC COMP/P/98030/09/2024"/>
    <m/>
    <x v="3"/>
    <s v="South"/>
    <d v="2024-09-23T00:00:00"/>
    <d v="2025-09-23T00:00:00"/>
    <s v="WINGSMEN"/>
    <s v="SUZUKI-GD-110S"/>
    <n v="14960"/>
    <n v="12466"/>
    <n v="4.2500000000000003E-2"/>
    <s v="148733"/>
    <d v="2024-09-23T00:00:00"/>
    <s v="MOTORCYCLE  COMPREHENSIVE"/>
    <n v="352000"/>
    <n v="1869.9"/>
    <n v="124.66"/>
    <n v="500"/>
  </r>
  <r>
    <s v="KHI/HO/D/MO/MC COMP/P/98031/09/2024"/>
    <m/>
    <x v="3"/>
    <s v="South"/>
    <d v="2025-09-24T00:00:00"/>
    <d v="2026-09-24T00:00:00"/>
    <s v="WINGSMEN"/>
    <s v="SUZUKI-GD-110S"/>
    <n v="14960"/>
    <n v="12466"/>
    <n v="4.2500000000000003E-2"/>
    <s v="148733"/>
    <d v="2024-09-23T00:00:00"/>
    <s v="MOTORCYCLE  COMPREHENSIVE"/>
    <n v="352000"/>
    <n v="1869.9"/>
    <n v="124.66"/>
    <n v="500"/>
  </r>
  <r>
    <s v="KHI/HO/D/MO/MC COMP/P/98033/09/2024"/>
    <m/>
    <x v="11"/>
    <s v="Punjab"/>
    <d v="2024-09-23T00:00:00"/>
    <d v="2025-09-23T00:00:00"/>
    <s v="AKHTAR ALI"/>
    <s v="SUZUKI-GD-110S"/>
    <n v="8800"/>
    <n v="7155"/>
    <n v="2.5000000000000001E-2"/>
    <s v="148314"/>
    <d v="2024-09-23T00:00:00"/>
    <s v="MOTORCYCLE  COMPREHENSIVE"/>
    <n v="352000"/>
    <n v="1073.25"/>
    <n v="71.55"/>
    <n v="500"/>
  </r>
  <r>
    <s v="KHI/HO/D/MO/MC COMP/P/98034/09/2024"/>
    <m/>
    <x v="11"/>
    <s v="Punjab"/>
    <d v="2024-09-23T00:00:00"/>
    <d v="2025-09-23T00:00:00"/>
    <s v="INAM UL HAQ"/>
    <s v="SUZUKI-GS 150"/>
    <n v="9550"/>
    <n v="7802"/>
    <n v="2.5000000000000001E-2"/>
    <s v="30092997"/>
    <d v="2024-09-23T00:00:00"/>
    <s v="MOTORCYCLE  COMPREHENSIVE"/>
    <n v="382000"/>
    <n v="1170.3"/>
    <n v="78.02"/>
    <n v="500"/>
  </r>
  <r>
    <s v="KHI/HO/D/MO/MC COMP/P/98035/09/2024"/>
    <m/>
    <x v="0"/>
    <s v="Punjab"/>
    <d v="2024-09-23T00:00:00"/>
    <d v="2025-09-23T00:00:00"/>
    <s v="ABDUL RAZZAQ"/>
    <s v="SUZUKI-GD-110S"/>
    <n v="8800"/>
    <n v="7155"/>
    <n v="2.5000000000000001E-2"/>
    <s v="148486"/>
    <d v="2024-09-23T00:00:00"/>
    <s v="MOTORCYCLE  COMPREHENSIVE"/>
    <n v="352000"/>
    <n v="1073.25"/>
    <n v="71.55"/>
    <n v="500"/>
  </r>
  <r>
    <s v="KHI/HO/D/MO/MC COMP/P/98038/09/2024"/>
    <m/>
    <x v="0"/>
    <s v="Punjab"/>
    <d v="2024-09-23T00:00:00"/>
    <d v="2025-09-23T00:00:00"/>
    <s v="MUZAFFAR AHMED"/>
    <s v="SUZUKI-GR150 EURO II"/>
    <n v="13675"/>
    <n v="11358"/>
    <n v="2.5000000000000001E-2"/>
    <s v="113681"/>
    <d v="2024-09-23T00:00:00"/>
    <s v="MOTORCYCLE  COMPREHENSIVE"/>
    <n v="547000"/>
    <n v="1703.7"/>
    <n v="113.58"/>
    <n v="500"/>
  </r>
  <r>
    <s v="KHI/HO/D/MO/MC COMP/P/98042/09/2024"/>
    <m/>
    <x v="2"/>
    <s v="South"/>
    <d v="2024-09-23T00:00:00"/>
    <d v="2025-09-23T00:00:00"/>
    <s v="ZAHID"/>
    <s v="SUZUKI-GR150 EURO II"/>
    <n v="23248"/>
    <n v="19610"/>
    <n v="4.2500914076782449E-2"/>
    <s v="113737"/>
    <d v="2024-09-23T00:00:00"/>
    <s v="MOTORCYCLE  COMPREHENSIVE"/>
    <n v="547000"/>
    <n v="2941.5"/>
    <n v="196.1"/>
    <n v="500"/>
  </r>
  <r>
    <s v="KHI/HO/D/MO/MC COMP/P/98043/09/2024"/>
    <m/>
    <x v="10"/>
    <s v="Punjab"/>
    <d v="2024-09-23T00:00:00"/>
    <d v="2025-09-23T00:00:00"/>
    <s v="UMER"/>
    <s v="SUZUKI-GS 150"/>
    <n v="9550"/>
    <n v="7802"/>
    <n v="2.5000000000000001E-2"/>
    <s v="30092942"/>
    <d v="2024-09-23T00:00:00"/>
    <s v="MOTORCYCLE  COMPREHENSIVE"/>
    <n v="382000"/>
    <n v="1170.3"/>
    <n v="78.02"/>
    <n v="500"/>
  </r>
  <r>
    <s v="KHI/HO/D/MO/MC COMP/P/98045/09/2024"/>
    <m/>
    <x v="10"/>
    <s v="Punjab"/>
    <d v="2024-09-23T00:00:00"/>
    <d v="2025-09-23T00:00:00"/>
    <s v="SAJID ALI"/>
    <s v="SUZUKI-GS 150"/>
    <n v="9550"/>
    <n v="7802"/>
    <n v="2.5000000000000001E-2"/>
    <s v="30092953"/>
    <d v="2024-09-23T00:00:00"/>
    <s v="MOTORCYCLE  COMPREHENSIVE"/>
    <n v="382000"/>
    <n v="1170.3"/>
    <n v="78.02"/>
    <n v="500"/>
  </r>
  <r>
    <s v="KHI/HO/D/MO/MC COMP/P/98046/09/2024"/>
    <m/>
    <x v="10"/>
    <s v="Punjab"/>
    <d v="2024-09-23T00:00:00"/>
    <d v="2025-09-23T00:00:00"/>
    <s v="SAJID ALI"/>
    <s v="SUZUKI-GS 150"/>
    <n v="9550"/>
    <n v="7802"/>
    <n v="2.5000000000000001E-2"/>
    <s v="30092953"/>
    <d v="2024-09-23T00:00:00"/>
    <s v="MOTORCYCLE  COMPREHENSIVE"/>
    <n v="382000"/>
    <n v="1170.3"/>
    <n v="78.02"/>
    <n v="500"/>
  </r>
  <r>
    <s v="KHI/HO/D/MO/MC COMP/P/98048/09/2024"/>
    <m/>
    <x v="10"/>
    <s v="Punjab"/>
    <d v="2024-09-23T00:00:00"/>
    <d v="2025-09-23T00:00:00"/>
    <s v="SHERAZ AHMAD"/>
    <s v="SUZUKI-GD-110S"/>
    <n v="8800"/>
    <n v="7155"/>
    <n v="2.5000000000000001E-2"/>
    <s v="147801"/>
    <d v="2024-09-23T00:00:00"/>
    <s v="MOTORCYCLE  COMPREHENSIVE"/>
    <n v="352000"/>
    <n v="1073.25"/>
    <n v="71.55"/>
    <n v="500"/>
  </r>
  <r>
    <s v="KHI/HO/D/MO/MC COMP/P/98049/09/2024"/>
    <m/>
    <x v="26"/>
    <s v="Punjab"/>
    <d v="2024-09-23T00:00:00"/>
    <d v="2025-09-23T00:00:00"/>
    <s v="Tariq Mehmood"/>
    <s v="SUZUKI-GD-110S"/>
    <n v="8800"/>
    <n v="7155"/>
    <n v="2.4999928977474495E-2"/>
    <s v="145657"/>
    <d v="2024-09-23T00:00:00"/>
    <s v="MOTORCYCLE  COMPREHENSIVE"/>
    <n v="352001"/>
    <n v="1073.25"/>
    <n v="71.55"/>
    <n v="500"/>
  </r>
  <r>
    <s v="KHI/HO/D/MO/MC COMP/P/98051/09/2024"/>
    <m/>
    <x v="10"/>
    <s v="Punjab"/>
    <d v="2024-09-23T00:00:00"/>
    <d v="2025-09-23T00:00:00"/>
    <s v="RANA ZAHEER UL HASSAN"/>
    <s v="SUZUKI-GS 150"/>
    <n v="9550"/>
    <n v="7802"/>
    <n v="2.5000000000000001E-2"/>
    <s v="30092941"/>
    <d v="2024-09-23T00:00:00"/>
    <s v="MOTORCYCLE  COMPREHENSIVE"/>
    <n v="382000"/>
    <n v="1170.3"/>
    <n v="78.02"/>
    <n v="500"/>
  </r>
  <r>
    <s v="KHI/HO/D/MO/MC COMP/P/98053/09/2024"/>
    <m/>
    <x v="26"/>
    <s v="Punjab"/>
    <d v="2024-09-23T00:00:00"/>
    <d v="2025-09-23T00:00:00"/>
    <s v="Babar Iqbal"/>
    <s v="SUZUKI-GD-110S"/>
    <n v="8800"/>
    <n v="7155"/>
    <n v="2.4999928977474495E-2"/>
    <s v="145612"/>
    <d v="2024-09-23T00:00:00"/>
    <s v="MOTORCYCLE  COMPREHENSIVE"/>
    <n v="352001"/>
    <n v="1073.25"/>
    <n v="71.55"/>
    <n v="500"/>
  </r>
  <r>
    <s v="KHI/HO/D/MO/MC COMP/P/98054/09/2024"/>
    <m/>
    <x v="26"/>
    <s v="Punjab"/>
    <d v="2024-09-23T00:00:00"/>
    <d v="2025-09-23T00:00:00"/>
    <s v="Mudassar Nazir"/>
    <s v="SUZUKI-GD-110S"/>
    <n v="8800"/>
    <n v="7155"/>
    <n v="2.4999928977474495E-2"/>
    <s v="145613"/>
    <d v="2024-09-23T00:00:00"/>
    <s v="MOTORCYCLE  COMPREHENSIVE"/>
    <n v="352001"/>
    <n v="1073.25"/>
    <n v="71.55"/>
    <n v="500"/>
  </r>
  <r>
    <s v="KHI/HO/D/MO/MC COMP/P/98055/09/2024"/>
    <m/>
    <x v="10"/>
    <s v="Punjab"/>
    <d v="2024-09-23T00:00:00"/>
    <d v="2025-09-23T00:00:00"/>
    <s v="MUHAMMAD USMAN AKRAM"/>
    <s v="SUZUKI-GS 150"/>
    <n v="9550"/>
    <n v="7802"/>
    <n v="2.5000000000000001E-2"/>
    <s v="30092950"/>
    <d v="2024-09-23T00:00:00"/>
    <s v="MOTORCYCLE  COMPREHENSIVE"/>
    <n v="382000"/>
    <n v="1170.3"/>
    <n v="78.02"/>
    <n v="500"/>
  </r>
  <r>
    <s v="KHI/HO/D/MO/MC COMP/P/98058/09/2024"/>
    <m/>
    <x v="26"/>
    <s v="Punjab"/>
    <d v="2024-09-23T00:00:00"/>
    <d v="2025-09-23T00:00:00"/>
    <s v="Hassan Mansoor Ghumman"/>
    <s v="SUZUKI-GD-110S"/>
    <n v="8800"/>
    <n v="7155"/>
    <n v="2.4999928977474495E-2"/>
    <s v="146544"/>
    <d v="2024-09-23T00:00:00"/>
    <s v="MOTORCYCLE  COMPREHENSIVE"/>
    <n v="352001"/>
    <n v="1073.25"/>
    <n v="71.55"/>
    <n v="500"/>
  </r>
  <r>
    <s v="KHI/HO/D/MO/MC COMP/P/98059/09/2024"/>
    <m/>
    <x v="10"/>
    <s v="Punjab"/>
    <d v="2024-09-23T00:00:00"/>
    <d v="2025-09-23T00:00:00"/>
    <s v="HAFIZ MUHAMMAD ZEESHAN"/>
    <s v="SUZUKI-GS 150"/>
    <n v="9550"/>
    <n v="7802"/>
    <n v="2.5000000000000001E-2"/>
    <s v="30092074"/>
    <d v="2024-09-23T00:00:00"/>
    <s v="MOTORCYCLE  COMPREHENSIVE"/>
    <n v="382000"/>
    <n v="1170.3"/>
    <n v="78.02"/>
    <n v="500"/>
  </r>
  <r>
    <s v="KHI/HO/D/MO/MC COMP/P/98060/09/2024"/>
    <m/>
    <x v="26"/>
    <s v="Punjab"/>
    <d v="2024-09-23T00:00:00"/>
    <d v="2025-09-23T00:00:00"/>
    <s v="Hamaz Iqbal"/>
    <s v="SUZUKI-GD-110S"/>
    <n v="8800"/>
    <n v="7155"/>
    <n v="2.4999928977474495E-2"/>
    <s v="145617"/>
    <d v="2024-09-23T00:00:00"/>
    <s v="MOTORCYCLE  COMPREHENSIVE"/>
    <n v="352001"/>
    <n v="1073.25"/>
    <n v="71.55"/>
    <n v="500"/>
  </r>
  <r>
    <s v="KHI/HO/D/MO/MC COMP/P/98062/09/2024"/>
    <m/>
    <x v="26"/>
    <s v="Punjab"/>
    <d v="2024-09-23T00:00:00"/>
    <d v="2025-09-23T00:00:00"/>
    <s v="Muhammad Usman"/>
    <s v="SUZUKI-GD-110S"/>
    <n v="8800"/>
    <n v="7155"/>
    <n v="2.4999928977474495E-2"/>
    <s v="146589"/>
    <d v="2024-09-23T00:00:00"/>
    <s v="MOTORCYCLE  COMPREHENSIVE"/>
    <n v="352001"/>
    <n v="1073.25"/>
    <n v="71.55"/>
    <n v="500"/>
  </r>
  <r>
    <s v="KHI/HO/D/MO/MC COMP/P/98064/09/2024"/>
    <m/>
    <x v="26"/>
    <s v="Punjab"/>
    <d v="2024-09-23T00:00:00"/>
    <d v="2025-09-23T00:00:00"/>
    <s v="Abdul Karim"/>
    <s v="SUZUKI-GD-110S"/>
    <n v="8800"/>
    <n v="7155"/>
    <n v="2.4999928977474495E-2"/>
    <s v="143594"/>
    <d v="2024-09-23T00:00:00"/>
    <s v="MOTORCYCLE  COMPREHENSIVE"/>
    <n v="352001"/>
    <n v="1073.25"/>
    <n v="71.55"/>
    <n v="500"/>
  </r>
  <r>
    <s v="KHI/HO/D/MO/MC COMP/P/98066/09/2024"/>
    <m/>
    <x v="26"/>
    <s v="Punjab"/>
    <d v="2024-09-23T00:00:00"/>
    <d v="2025-09-23T00:00:00"/>
    <s v="Muhammad Shahzad Arif"/>
    <s v="SUZUKI-GSX 125"/>
    <n v="12475"/>
    <n v="10323"/>
    <n v="2.4999949899899999E-2"/>
    <s v="23102527"/>
    <d v="2024-09-23T00:00:00"/>
    <s v="MOTORCYCLE  COMPREHENSIVE"/>
    <n v="499001"/>
    <n v="1548.45"/>
    <n v="103.23"/>
    <n v="500"/>
  </r>
  <r>
    <s v="KHI/HO/D/MO/MC COMP/P/98068/09/2024"/>
    <m/>
    <x v="26"/>
    <s v="Punjab"/>
    <d v="2024-09-23T00:00:00"/>
    <d v="2025-09-23T00:00:00"/>
    <s v="Manzoor Ahmed"/>
    <s v="SUZUKI-GD-110S"/>
    <n v="8800"/>
    <n v="7155"/>
    <n v="2.4999928977474495E-2"/>
    <s v="143468"/>
    <d v="2024-09-23T00:00:00"/>
    <s v="MOTORCYCLE  COMPREHENSIVE"/>
    <n v="352001"/>
    <n v="1073.25"/>
    <n v="71.55"/>
    <n v="500"/>
  </r>
  <r>
    <s v="KHI/HO/D/MO/MC COMP/P/98070/09/2024"/>
    <m/>
    <x v="26"/>
    <s v="Punjab"/>
    <d v="2024-09-23T00:00:00"/>
    <d v="2025-09-23T00:00:00"/>
    <s v="Mateen Ahmed Tariq"/>
    <s v="SUZUKI-GD-110S"/>
    <n v="8800"/>
    <n v="7155"/>
    <n v="2.4999928977474495E-2"/>
    <s v="143431"/>
    <d v="2024-09-23T00:00:00"/>
    <s v="MOTORCYCLE  COMPREHENSIVE"/>
    <n v="352001"/>
    <n v="1073.25"/>
    <n v="71.55"/>
    <n v="500"/>
  </r>
  <r>
    <s v="KHI/HO/D/MO/MC COMP/P/98081/09/2024"/>
    <m/>
    <x v="0"/>
    <s v="Punjab"/>
    <d v="2024-09-23T00:00:00"/>
    <d v="2025-09-23T00:00:00"/>
    <s v="MUHAMMAD ANWAR"/>
    <s v="SUZUKI-GD-110S"/>
    <n v="8800"/>
    <n v="7155"/>
    <n v="2.5000000000000001E-2"/>
    <s v="148483"/>
    <d v="2024-09-23T00:00:00"/>
    <s v="MOTORCYCLE  COMPREHENSIVE"/>
    <n v="352000"/>
    <n v="1073.25"/>
    <n v="71.55"/>
    <n v="500"/>
  </r>
  <r>
    <s v="KHI/HO/D/MO/MC COMP/P/98082/09/2024"/>
    <m/>
    <x v="0"/>
    <s v="Punjab"/>
    <d v="2024-09-23T00:00:00"/>
    <d v="2025-09-23T00:00:00"/>
    <s v="FAISAL KHURSHID"/>
    <s v="SUZUKI-GS 150"/>
    <n v="9550"/>
    <n v="7802"/>
    <n v="2.5000000000000001E-2"/>
    <s v="30092913"/>
    <d v="2024-09-23T00:00:00"/>
    <s v="MOTORCYCLE  COMPREHENSIVE"/>
    <n v="382000"/>
    <n v="1170.3"/>
    <n v="78.02"/>
    <n v="500"/>
  </r>
  <r>
    <s v="KHI/HO/D/MO/MC COMP/P/98089/09/2024"/>
    <m/>
    <x v="4"/>
    <s v="South"/>
    <d v="2024-09-23T00:00:00"/>
    <d v="2025-09-23T00:00:00"/>
    <s v="SAIM AHMED"/>
    <s v="SUZUKI-GSX 125"/>
    <n v="21208"/>
    <n v="17852"/>
    <n v="4.2501002004008019E-2"/>
    <s v="23102628"/>
    <d v="2024-09-23T00:00:00"/>
    <s v="MOTORCYCLE  COMPREHENSIVE"/>
    <n v="499000"/>
    <n v="2677.8"/>
    <n v="178.52"/>
    <n v="500"/>
  </r>
  <r>
    <s v="KHI/HO/D/MO/MC COMP/P/98090/09/2024"/>
    <m/>
    <x v="4"/>
    <s v="South"/>
    <d v="2024-09-23T00:00:00"/>
    <d v="2025-09-23T00:00:00"/>
    <s v="M ALI KANANI"/>
    <s v="SUZUKI-GD-110S"/>
    <n v="14960"/>
    <n v="12466"/>
    <n v="4.2500000000000003E-2"/>
    <s v="148075"/>
    <d v="2024-09-23T00:00:00"/>
    <s v="MOTORCYCLE  COMPREHENSIVE"/>
    <n v="352000"/>
    <n v="1869.9"/>
    <n v="124.66"/>
    <n v="500"/>
  </r>
  <r>
    <s v="KHI/HO/D/MO/MC COMP/P/98091/09/2024"/>
    <m/>
    <x v="4"/>
    <s v="South"/>
    <d v="2025-09-24T00:00:00"/>
    <d v="2026-09-24T00:00:00"/>
    <s v="M ALI KANANI"/>
    <s v="SUZUKI-GD-110S"/>
    <n v="14960"/>
    <n v="12466"/>
    <n v="4.2500000000000003E-2"/>
    <s v="148075"/>
    <d v="2024-09-23T00:00:00"/>
    <s v="MOTORCYCLE  COMPREHENSIVE"/>
    <n v="352000"/>
    <n v="1869.9"/>
    <n v="124.66"/>
    <n v="500"/>
  </r>
  <r>
    <s v="KHI/HO/D/MO/MC COMP/P/98092/09/2024"/>
    <m/>
    <x v="4"/>
    <s v="South"/>
    <d v="2024-09-23T00:00:00"/>
    <d v="2025-09-23T00:00:00"/>
    <s v="MISBA UL HASSAN"/>
    <s v="SUZUKI-GR150 EURO II"/>
    <n v="23248"/>
    <n v="19610"/>
    <n v="4.2500914076782449E-2"/>
    <s v="113671"/>
    <d v="2024-09-23T00:00:00"/>
    <s v="MOTORCYCLE  COMPREHENSIVE"/>
    <n v="547000"/>
    <n v="2941.5"/>
    <n v="196.1"/>
    <n v="500"/>
  </r>
  <r>
    <s v="KHI/HO/D/MO/MC COMP/P/98093/09/2024"/>
    <m/>
    <x v="4"/>
    <s v="South"/>
    <d v="2025-09-24T00:00:00"/>
    <d v="2026-09-24T00:00:00"/>
    <s v="MISBA UL HASSAN"/>
    <s v="SUZUKI-GR150 EURO II"/>
    <n v="23248"/>
    <n v="19610"/>
    <n v="4.2500914076782449E-2"/>
    <s v="113671"/>
    <d v="2024-09-23T00:00:00"/>
    <s v="MOTORCYCLE  COMPREHENSIVE"/>
    <n v="547000"/>
    <n v="2941.5"/>
    <n v="196.1"/>
    <n v="500"/>
  </r>
  <r>
    <s v="KHI/HO/D/MO/MC COMP/P/98094/09/2024"/>
    <m/>
    <x v="4"/>
    <s v="South"/>
    <d v="2024-09-23T00:00:00"/>
    <d v="2025-09-23T00:00:00"/>
    <s v="ABDUL MAJEED"/>
    <s v="SUZUKI-GD-110S"/>
    <n v="14960"/>
    <n v="12466"/>
    <n v="4.2500000000000003E-2"/>
    <s v="148074"/>
    <d v="2024-09-23T00:00:00"/>
    <s v="MOTORCYCLE  COMPREHENSIVE"/>
    <n v="352000"/>
    <n v="1869.9"/>
    <n v="124.66"/>
    <n v="500"/>
  </r>
  <r>
    <s v="KHI/HO/D/MO/MC COMP/P/98095/09/2024"/>
    <m/>
    <x v="4"/>
    <s v="South"/>
    <d v="2024-09-23T00:00:00"/>
    <d v="2025-09-23T00:00:00"/>
    <s v="M TALHA QURESHI"/>
    <s v="SUZUKI-GD-110S"/>
    <n v="14960"/>
    <n v="12466"/>
    <n v="4.2500000000000003E-2"/>
    <s v="147711"/>
    <d v="2024-09-23T00:00:00"/>
    <s v="MOTORCYCLE  COMPREHENSIVE"/>
    <n v="352000"/>
    <n v="1869.9"/>
    <n v="124.66"/>
    <n v="500"/>
  </r>
  <r>
    <s v="KHI/HO/D/MO/MC COMP/P/98096/09/2024"/>
    <m/>
    <x v="4"/>
    <s v="South"/>
    <d v="2024-09-23T00:00:00"/>
    <d v="2025-09-23T00:00:00"/>
    <s v="AKBER NASRULLAH BACHLANI"/>
    <s v="SUZUKI-GD-110S"/>
    <n v="14960"/>
    <n v="12466"/>
    <n v="4.2500000000000003E-2"/>
    <s v="148069"/>
    <d v="2024-09-23T00:00:00"/>
    <s v="MOTORCYCLE  COMPREHENSIVE"/>
    <n v="352000"/>
    <n v="1869.9"/>
    <n v="124.66"/>
    <n v="500"/>
  </r>
  <r>
    <s v="KHI/HO/D/MO/MC COMP/P/98117/09/2024"/>
    <m/>
    <x v="19"/>
    <s v="Punjab"/>
    <d v="2024-09-24T00:00:00"/>
    <d v="2025-09-24T00:00:00"/>
    <s v="HAROON BUTT S/O SOHAIL ANJUM"/>
    <s v="SUZUKI-GD-110S"/>
    <n v="8800"/>
    <n v="7155"/>
    <n v="2.5000000000000001E-2"/>
    <s v="147244"/>
    <d v="2024-09-24T00:00:00"/>
    <s v="MOTORCYCLE  COMPREHENSIVE"/>
    <n v="352000"/>
    <n v="1073.25"/>
    <n v="71.55"/>
    <n v="500"/>
  </r>
  <r>
    <s v="KHI/HO/D/MO/MC COMP/P/98123/09/2024"/>
    <m/>
    <x v="0"/>
    <s v="Punjab"/>
    <d v="2024-09-24T00:00:00"/>
    <d v="2025-09-24T00:00:00"/>
    <s v="RASHID SHABBIR"/>
    <s v="SUZUKI-GD-110S"/>
    <n v="8800"/>
    <n v="7155"/>
    <n v="2.5000000000000001E-2"/>
    <s v="147640"/>
    <d v="2024-09-24T00:00:00"/>
    <s v="MOTORCYCLE  COMPREHENSIVE"/>
    <n v="352000"/>
    <n v="1073.25"/>
    <n v="71.55"/>
    <n v="500"/>
  </r>
  <r>
    <s v="KHI/HO/D/MO/MC COMP/P/98125/09/2024"/>
    <m/>
    <x v="0"/>
    <s v="Punjab"/>
    <d v="2024-09-24T00:00:00"/>
    <d v="2025-09-24T00:00:00"/>
    <s v="MUHAMMAD NOMAN"/>
    <s v="SUZUKI-GS 150"/>
    <n v="9550"/>
    <n v="7802"/>
    <n v="2.5000000000000001E-2"/>
    <s v="30092470"/>
    <d v="2024-09-24T00:00:00"/>
    <s v="MOTORCYCLE  COMPREHENSIVE"/>
    <n v="382000"/>
    <n v="1170.3"/>
    <n v="78.02"/>
    <n v="500"/>
  </r>
  <r>
    <s v="KHI/HO/D/MO/MC COMP/P/98126/09/2024"/>
    <m/>
    <x v="19"/>
    <s v="Punjab"/>
    <d v="2024-09-24T00:00:00"/>
    <d v="2025-09-24T00:00:00"/>
    <s v="TAHIR AYUB S/O MUHAMMAD AYUB"/>
    <s v="SUZUKI-GD-110S"/>
    <n v="8800"/>
    <n v="7155"/>
    <n v="2.5000000000000001E-2"/>
    <s v="147026"/>
    <d v="2024-09-24T00:00:00"/>
    <s v="MOTORCYCLE  COMPREHENSIVE"/>
    <n v="352000"/>
    <n v="1073.25"/>
    <n v="71.55"/>
    <n v="500"/>
  </r>
  <r>
    <s v="KHI/HO/D/MO/MC COMP/P/98127/09/2024"/>
    <m/>
    <x v="1"/>
    <s v="South"/>
    <d v="2024-09-24T00:00:00"/>
    <d v="2025-09-24T00:00:00"/>
    <s v="ALI ABBAS"/>
    <s v="SUZUKI-GD-110S"/>
    <n v="14960"/>
    <n v="12466"/>
    <n v="4.2500000000000003E-2"/>
    <s v="148541"/>
    <d v="2024-09-24T00:00:00"/>
    <s v="MOTORCYCLE  COMPREHENSIVE"/>
    <n v="352000"/>
    <n v="1869.9"/>
    <n v="124.66"/>
    <n v="500"/>
  </r>
  <r>
    <s v="KHI/HO/D/MO/MC COMP/P/98128/09/2024"/>
    <m/>
    <x v="1"/>
    <s v="South"/>
    <d v="2025-09-25T00:00:00"/>
    <d v="2026-09-25T00:00:00"/>
    <s v="ALI ABBAS"/>
    <s v="SUZUKI-GD-110S"/>
    <n v="14960"/>
    <n v="12466"/>
    <n v="4.2500000000000003E-2"/>
    <s v="148541"/>
    <d v="2024-09-24T00:00:00"/>
    <s v="MOTORCYCLE  COMPREHENSIVE"/>
    <n v="352000"/>
    <n v="1869.9"/>
    <n v="124.66"/>
    <n v="500"/>
  </r>
  <r>
    <s v="KHI/HO/D/MO/MC COMP/P/98129/09/2024"/>
    <m/>
    <x v="6"/>
    <s v="South"/>
    <d v="2024-09-24T00:00:00"/>
    <d v="2025-09-24T00:00:00"/>
    <s v="ABDUL REHMAN PIRWANI"/>
    <s v="SUZUKI-GD-110S"/>
    <n v="14960"/>
    <n v="12466"/>
    <n v="4.2500000000000003E-2"/>
    <s v="148245"/>
    <d v="2024-09-24T00:00:00"/>
    <s v="MOTORCYCLE  COMPREHENSIVE"/>
    <n v="352000"/>
    <n v="1869.9"/>
    <n v="124.66"/>
    <n v="500"/>
  </r>
  <r>
    <s v="KHI/HO/D/MO/MC COMP/P/98131/09/2024"/>
    <m/>
    <x v="4"/>
    <s v="South"/>
    <d v="2024-09-24T00:00:00"/>
    <d v="2025-09-24T00:00:00"/>
    <s v="AMIN ASLAM"/>
    <s v="SUZUKI-GS 150"/>
    <n v="16235"/>
    <n v="13565"/>
    <n v="4.2500000000000003E-2"/>
    <s v="30092990"/>
    <d v="2024-09-24T00:00:00"/>
    <s v="MOTORCYCLE  COMPREHENSIVE"/>
    <n v="382000"/>
    <n v="2034.75"/>
    <n v="135.65"/>
    <n v="500"/>
  </r>
  <r>
    <s v="KHI/HO/D/MO/MC COMP/P/98132/09/2024"/>
    <m/>
    <x v="4"/>
    <s v="South"/>
    <d v="2025-09-25T00:00:00"/>
    <d v="2026-09-25T00:00:00"/>
    <s v="AMIN ASLAM"/>
    <s v="SUZUKI-GS 150"/>
    <n v="16235"/>
    <n v="13565"/>
    <n v="4.2500000000000003E-2"/>
    <s v="30092990"/>
    <d v="2024-09-24T00:00:00"/>
    <s v="MOTORCYCLE  COMPREHENSIVE"/>
    <n v="382000"/>
    <n v="2034.75"/>
    <n v="135.65"/>
    <n v="500"/>
  </r>
  <r>
    <s v="KHI/HO/D/MO/MC COMP/P/98134/09/2024"/>
    <m/>
    <x v="3"/>
    <s v="South"/>
    <d v="2024-09-24T00:00:00"/>
    <d v="2025-09-24T00:00:00"/>
    <s v="ASIF"/>
    <s v="SUZUKI-GD-110S"/>
    <n v="14960"/>
    <n v="12466"/>
    <n v="4.2500000000000003E-2"/>
    <s v="148028"/>
    <d v="2024-09-24T00:00:00"/>
    <s v="MOTORCYCLE  COMPREHENSIVE"/>
    <n v="352000"/>
    <n v="1869.9"/>
    <n v="124.66"/>
    <n v="500"/>
  </r>
  <r>
    <s v="KHI/HO/D/MO/MC COMP/P/98135/09/2024"/>
    <m/>
    <x v="3"/>
    <s v="South"/>
    <d v="2025-09-25T00:00:00"/>
    <d v="2026-09-25T00:00:00"/>
    <s v="ASIF"/>
    <s v="SUZUKI-GD-110S"/>
    <n v="14960"/>
    <n v="12466"/>
    <n v="4.2500000000000003E-2"/>
    <s v="148028"/>
    <d v="2024-09-24T00:00:00"/>
    <s v="MOTORCYCLE  COMPREHENSIVE"/>
    <n v="352000"/>
    <n v="1869.9"/>
    <n v="124.66"/>
    <n v="500"/>
  </r>
  <r>
    <s v="KHI/HO/D/MO/MC COMP/P/98138/09/2024"/>
    <m/>
    <x v="18"/>
    <s v="South"/>
    <d v="2024-09-24T00:00:00"/>
    <d v="2025-09-24T00:00:00"/>
    <s v="NISAR HUSSAIN"/>
    <s v="SUZUKI-GD-110S"/>
    <n v="14960"/>
    <n v="12466"/>
    <n v="4.2500000000000003E-2"/>
    <s v="148051"/>
    <d v="2024-09-24T00:00:00"/>
    <s v="MOTORCYCLE  COMPREHENSIVE"/>
    <n v="352000"/>
    <n v="1869.9"/>
    <n v="124.66"/>
    <n v="500"/>
  </r>
  <r>
    <s v="KHI/HO/D/MO/MC COMP/P/98141/09/2024"/>
    <m/>
    <x v="11"/>
    <s v="Punjab"/>
    <d v="2024-09-24T00:00:00"/>
    <d v="2025-09-24T00:00:00"/>
    <s v="FAISAL MUSHTAQ"/>
    <s v="SUZUKI-GS 150SE"/>
    <n v="9550"/>
    <n v="7802"/>
    <n v="2.5000000000000001E-2"/>
    <s v="30092921"/>
    <d v="2024-09-24T00:00:00"/>
    <s v="MOTORCYCLE  COMPREHENSIVE"/>
    <n v="382000"/>
    <n v="1170.3"/>
    <n v="78.02"/>
    <n v="500"/>
  </r>
  <r>
    <s v="KHI/HO/D/MO/MC COMP/P/98143/09/2024"/>
    <m/>
    <x v="1"/>
    <s v="South"/>
    <d v="2024-09-24T00:00:00"/>
    <d v="2025-09-24T00:00:00"/>
    <s v="AADIL HUSSAIN"/>
    <s v="SUZUKI-GD-110S"/>
    <n v="14960"/>
    <n v="12466"/>
    <n v="4.2500000000000003E-2"/>
    <s v="147973"/>
    <d v="2024-09-24T00:00:00"/>
    <s v="MOTORCYCLE  COMPREHENSIVE"/>
    <n v="352000"/>
    <n v="1869.9"/>
    <n v="124.66"/>
    <n v="500"/>
  </r>
  <r>
    <s v="KHI/HO/D/MO/MC COMP/P/98145/09/2024"/>
    <m/>
    <x v="20"/>
    <s v="Punjab"/>
    <d v="2024-09-24T00:00:00"/>
    <d v="2025-09-24T00:00:00"/>
    <s v="MUHAMMAD ASGHAR"/>
    <s v="SUZUKI-GD-110S"/>
    <n v="8800"/>
    <n v="7155"/>
    <n v="2.5000000000000001E-2"/>
    <s v="147440"/>
    <d v="2024-09-24T00:00:00"/>
    <s v="MOTORCYCLE  COMPREHENSIVE"/>
    <n v="352000"/>
    <n v="1073.25"/>
    <n v="71.55"/>
    <n v="500"/>
  </r>
  <r>
    <s v="KHI/HO/D/MO/MC COMP/P/98146/09/2024"/>
    <m/>
    <x v="2"/>
    <s v="South"/>
    <d v="2024-09-24T00:00:00"/>
    <d v="2025-09-24T00:00:00"/>
    <s v="MUHAMMAD SALMAN"/>
    <s v="SUZUKI-GD-110S"/>
    <n v="14960"/>
    <n v="12466"/>
    <n v="4.2500000000000003E-2"/>
    <s v="148715"/>
    <d v="2024-09-24T00:00:00"/>
    <s v="MOTORCYCLE  COMPREHENSIVE"/>
    <n v="352000"/>
    <n v="1869.9"/>
    <n v="124.66"/>
    <n v="500"/>
  </r>
  <r>
    <s v="KHI/HO/D/MO/MC COMP/P/98147/09/2024"/>
    <m/>
    <x v="2"/>
    <s v="South"/>
    <d v="2025-09-25T00:00:00"/>
    <d v="2026-09-25T00:00:00"/>
    <s v="MUHAMMAD SALMAN"/>
    <s v="SUZUKI-GD-110S"/>
    <n v="14960"/>
    <n v="12466"/>
    <n v="4.2500000000000003E-2"/>
    <s v="148715"/>
    <d v="2024-09-24T00:00:00"/>
    <s v="MOTORCYCLE  COMPREHENSIVE"/>
    <n v="352000"/>
    <n v="1869.9"/>
    <n v="124.66"/>
    <n v="500"/>
  </r>
  <r>
    <s v="KHI/HO/D/MO/MC COMP/P/98148/09/2024"/>
    <m/>
    <x v="20"/>
    <s v="Punjab"/>
    <d v="2024-09-24T00:00:00"/>
    <d v="2025-09-24T00:00:00"/>
    <s v="UMER FAROOQ"/>
    <s v="SUZUKI-GD-110S"/>
    <n v="8800"/>
    <n v="7155"/>
    <n v="2.5000000000000001E-2"/>
    <s v="147424"/>
    <d v="2024-09-24T00:00:00"/>
    <s v="MOTORCYCLE  COMPREHENSIVE"/>
    <n v="352000"/>
    <n v="1073.25"/>
    <n v="71.55"/>
    <n v="500"/>
  </r>
  <r>
    <s v="KHI/HO/D/MO/MC COMP/P/98150/09/2024"/>
    <m/>
    <x v="20"/>
    <s v="Punjab"/>
    <d v="2024-09-24T00:00:00"/>
    <d v="2025-09-24T00:00:00"/>
    <s v="ABDUL WAHEED ARSHAD"/>
    <s v="SUZUKI-GD-110S"/>
    <n v="8800"/>
    <n v="7155"/>
    <n v="2.5000000000000001E-2"/>
    <s v="147696"/>
    <d v="2024-09-24T00:00:00"/>
    <s v="MOTORCYCLE  COMPREHENSIVE"/>
    <n v="352000"/>
    <n v="1073.25"/>
    <n v="71.55"/>
    <n v="500"/>
  </r>
  <r>
    <s v="KHI/HO/D/MO/MC COMP/P/98151/09/2024"/>
    <m/>
    <x v="3"/>
    <s v="South"/>
    <d v="2024-09-24T00:00:00"/>
    <d v="2025-09-24T00:00:00"/>
    <s v="MUHAMMAD EBAD"/>
    <s v="SUZUKI-GD-110S"/>
    <n v="14960"/>
    <n v="12466"/>
    <n v="4.2500000000000003E-2"/>
    <s v="148442"/>
    <d v="2024-09-24T00:00:00"/>
    <s v="MOTORCYCLE  COMPREHENSIVE"/>
    <n v="352000"/>
    <n v="1869.9"/>
    <n v="124.66"/>
    <n v="500"/>
  </r>
  <r>
    <s v="KHI/HO/D/MO/MC COMP/P/98152/09/2024"/>
    <m/>
    <x v="3"/>
    <s v="South"/>
    <d v="2025-09-25T00:00:00"/>
    <d v="2026-09-25T00:00:00"/>
    <s v="MUHAMMAD EBAD"/>
    <s v="SUZUKI-GD-110S"/>
    <n v="14960"/>
    <n v="12466"/>
    <n v="4.2500000000000003E-2"/>
    <s v="148442"/>
    <d v="2024-09-24T00:00:00"/>
    <s v="MOTORCYCLE  COMPREHENSIVE"/>
    <n v="352000"/>
    <n v="1869.9"/>
    <n v="124.66"/>
    <n v="500"/>
  </r>
  <r>
    <s v="KHI/HO/D/MO/MC COMP/P/98153/09/2024"/>
    <m/>
    <x v="20"/>
    <s v="Punjab"/>
    <d v="2024-09-24T00:00:00"/>
    <d v="2025-09-24T00:00:00"/>
    <s v="KHALIQ JAVAID WARRAICH"/>
    <s v="SUZUKI-GD-110S"/>
    <n v="8800"/>
    <n v="7155"/>
    <n v="2.5000000000000001E-2"/>
    <s v="147145"/>
    <d v="2024-09-24T00:00:00"/>
    <s v="MOTORCYCLE  COMPREHENSIVE"/>
    <n v="352000"/>
    <n v="1073.25"/>
    <n v="71.55"/>
    <n v="500"/>
  </r>
  <r>
    <s v="KHI/HO/D/MO/MC COMP/P/98154/09/2024"/>
    <m/>
    <x v="20"/>
    <s v="Punjab"/>
    <d v="2024-09-24T00:00:00"/>
    <d v="2025-09-24T00:00:00"/>
    <s v="MUHAMMAD UMAR"/>
    <s v="SUZUKI-GS 150"/>
    <n v="9550"/>
    <n v="7802"/>
    <n v="2.5000000000000001E-2"/>
    <s v="30092676"/>
    <d v="2024-09-24T00:00:00"/>
    <s v="MOTORCYCLE  COMPREHENSIVE"/>
    <n v="382000"/>
    <n v="1170.3"/>
    <n v="78.02"/>
    <n v="500"/>
  </r>
  <r>
    <s v="KHI/HO/D/MO/MC COMP/P/98155/09/2024"/>
    <m/>
    <x v="2"/>
    <s v="South"/>
    <d v="2024-09-24T00:00:00"/>
    <d v="2025-09-24T00:00:00"/>
    <s v="RANA SOHAIL"/>
    <s v="SUZUKI-GD-110S"/>
    <n v="14960"/>
    <n v="12466"/>
    <n v="4.2500000000000003E-2"/>
    <s v="148700"/>
    <d v="2024-09-24T00:00:00"/>
    <s v="MOTORCYCLE  COMPREHENSIVE"/>
    <n v="352000"/>
    <n v="1869.9"/>
    <n v="124.66"/>
    <n v="500"/>
  </r>
  <r>
    <s v="KHI/HO/D/MO/MC COMP/P/98156/09/2024"/>
    <m/>
    <x v="20"/>
    <s v="Punjab"/>
    <d v="2024-09-24T00:00:00"/>
    <d v="2025-09-24T00:00:00"/>
    <s v="ABDUL GHAFAR"/>
    <s v="SUZUKI-GD-110S"/>
    <n v="8800"/>
    <n v="7155"/>
    <n v="2.5000000000000001E-2"/>
    <s v="146907"/>
    <d v="2024-09-24T00:00:00"/>
    <s v="MOTORCYCLE  COMPREHENSIVE"/>
    <n v="352000"/>
    <n v="1073.25"/>
    <n v="71.55"/>
    <n v="500"/>
  </r>
  <r>
    <s v="KHI/HO/D/MO/MC COMP/P/98157/09/2024"/>
    <m/>
    <x v="20"/>
    <s v="Punjab"/>
    <d v="2024-09-24T00:00:00"/>
    <d v="2025-09-24T00:00:00"/>
    <s v="ABDUL GHAFAR"/>
    <s v="SUZUKI-GD-110S"/>
    <n v="8800"/>
    <n v="7155"/>
    <n v="2.5000000000000001E-2"/>
    <s v="146907"/>
    <d v="2024-09-24T00:00:00"/>
    <s v="MOTORCYCLE  COMPREHENSIVE"/>
    <n v="352000"/>
    <n v="1073.25"/>
    <n v="71.55"/>
    <n v="500"/>
  </r>
  <r>
    <s v="KHI/HO/D/MO/MC COMP/P/98159/09/2024"/>
    <m/>
    <x v="20"/>
    <s v="Punjab"/>
    <d v="2024-09-24T00:00:00"/>
    <d v="2025-09-24T00:00:00"/>
    <s v="MUDASSAR NADEEM"/>
    <s v="SUZUKI-GR150 EURO II"/>
    <n v="13675"/>
    <n v="11358"/>
    <n v="2.5000000000000001E-2"/>
    <s v="113603"/>
    <d v="2024-09-24T00:00:00"/>
    <s v="MOTORCYCLE  COMPREHENSIVE"/>
    <n v="547000"/>
    <n v="1703.7"/>
    <n v="113.58"/>
    <n v="500"/>
  </r>
  <r>
    <s v="KHI/HO/D/MO/MC COMP/P/98160/09/2024"/>
    <m/>
    <x v="3"/>
    <s v="South"/>
    <d v="2024-09-24T00:00:00"/>
    <d v="2025-09-24T00:00:00"/>
    <s v="MUHAMMAD ASHSAN KHAWAR"/>
    <s v="SUZUKI-GD-110S"/>
    <n v="14960"/>
    <n v="12466"/>
    <n v="4.2500000000000003E-2"/>
    <s v="148778"/>
    <d v="2024-09-24T00:00:00"/>
    <s v="MOTORCYCLE  COMPREHENSIVE"/>
    <n v="352000"/>
    <n v="1869.9"/>
    <n v="124.66"/>
    <n v="500"/>
  </r>
  <r>
    <s v="KHI/HO/D/MO/MC COMP/P/98161/09/2024"/>
    <m/>
    <x v="3"/>
    <s v="South"/>
    <d v="2025-09-25T00:00:00"/>
    <d v="2026-09-25T00:00:00"/>
    <s v="MUHAMMAD ASHSAN KHAWAR"/>
    <s v="SUZUKI-GD-110S"/>
    <n v="14960"/>
    <n v="12466"/>
    <n v="4.2500000000000003E-2"/>
    <s v="148778"/>
    <d v="2024-09-24T00:00:00"/>
    <s v="MOTORCYCLE  COMPREHENSIVE"/>
    <n v="352000"/>
    <n v="1869.9"/>
    <n v="124.66"/>
    <n v="500"/>
  </r>
  <r>
    <s v="KHI/HO/D/MO/MC COMP/P/98163/09/2024"/>
    <m/>
    <x v="20"/>
    <s v="Punjab"/>
    <d v="2024-09-24T00:00:00"/>
    <d v="2025-09-24T00:00:00"/>
    <s v="ARSLAN MEHMOOD"/>
    <s v="SUZUKI-GD-110S"/>
    <n v="8800"/>
    <n v="7155"/>
    <n v="2.5000000000000001E-2"/>
    <s v="147143"/>
    <d v="2024-09-24T00:00:00"/>
    <s v="MOTORCYCLE  COMPREHENSIVE"/>
    <n v="352000"/>
    <n v="1073.25"/>
    <n v="71.55"/>
    <n v="500"/>
  </r>
  <r>
    <s v="KHI/HO/D/MO/MC COMP/P/98166/09/2024"/>
    <m/>
    <x v="20"/>
    <s v="Punjab"/>
    <d v="2024-09-24T00:00:00"/>
    <d v="2025-09-24T00:00:00"/>
    <s v="MUHAMMAD TANVEER"/>
    <s v="SUZUKI-GD-110S"/>
    <n v="8800"/>
    <n v="7155"/>
    <n v="2.5000000000000001E-2"/>
    <s v="147121"/>
    <d v="2024-09-24T00:00:00"/>
    <s v="MOTORCYCLE  COMPREHENSIVE"/>
    <n v="352000"/>
    <n v="1073.25"/>
    <n v="71.55"/>
    <n v="500"/>
  </r>
  <r>
    <s v="KHI/HO/D/MO/MC COMP/P/98169/09/2024"/>
    <m/>
    <x v="20"/>
    <s v="Punjab"/>
    <d v="2024-09-24T00:00:00"/>
    <d v="2025-09-24T00:00:00"/>
    <s v="ZAIN AHMED"/>
    <s v="SUZUKI-GD-110S"/>
    <n v="8800"/>
    <n v="7155"/>
    <n v="2.5000000000000001E-2"/>
    <s v="147694"/>
    <d v="2024-09-24T00:00:00"/>
    <s v="MOTORCYCLE  COMPREHENSIVE"/>
    <n v="352000"/>
    <n v="1073.25"/>
    <n v="71.55"/>
    <n v="500"/>
  </r>
  <r>
    <s v="KHI/HO/D/MO/MC COMP/P/98179/09/2024"/>
    <m/>
    <x v="2"/>
    <s v="South"/>
    <d v="2024-09-24T00:00:00"/>
    <d v="2025-09-24T00:00:00"/>
    <s v="KAMAL QASER"/>
    <s v="SUZUKI-GD-110S"/>
    <n v="14960"/>
    <n v="12466"/>
    <n v="4.2500000000000003E-2"/>
    <s v="148699"/>
    <d v="2024-09-24T00:00:00"/>
    <s v="MOTORCYCLE  COMPREHENSIVE"/>
    <n v="352000"/>
    <n v="1869.9"/>
    <n v="124.66"/>
    <n v="500"/>
  </r>
  <r>
    <s v="KHI/HO/D/MO/MC COMP/P/98180/09/2024"/>
    <m/>
    <x v="2"/>
    <s v="South"/>
    <d v="2025-09-25T00:00:00"/>
    <d v="2026-09-25T00:00:00"/>
    <s v="KAMAL QASER"/>
    <s v="SUZUKI-GD-110S"/>
    <n v="14960"/>
    <n v="12466"/>
    <n v="4.2500000000000003E-2"/>
    <s v="148699"/>
    <d v="2024-09-24T00:00:00"/>
    <s v="MOTORCYCLE  COMPREHENSIVE"/>
    <n v="352000"/>
    <n v="1869.9"/>
    <n v="124.66"/>
    <n v="500"/>
  </r>
  <r>
    <s v="KHI/HO/D/MO/MC COMP/P/98181/09/2024"/>
    <m/>
    <x v="3"/>
    <s v="South"/>
    <d v="2024-09-24T00:00:00"/>
    <d v="2025-09-24T00:00:00"/>
    <s v="SUMAIRA"/>
    <s v="SUZUKI-GD-110S"/>
    <n v="14960"/>
    <n v="12466"/>
    <n v="4.2500000000000003E-2"/>
    <s v="148742"/>
    <d v="2024-09-24T00:00:00"/>
    <s v="MOTORCYCLE  COMPREHENSIVE"/>
    <n v="352000"/>
    <n v="1869.9"/>
    <n v="124.66"/>
    <n v="500"/>
  </r>
  <r>
    <s v="KHI/HO/D/MO/MC COMP/P/98184/09/2024"/>
    <m/>
    <x v="0"/>
    <s v="Punjab"/>
    <d v="2024-09-24T00:00:00"/>
    <d v="2025-09-24T00:00:00"/>
    <s v="BASHIR AHMAD"/>
    <s v="SUZUKI-GD-110S"/>
    <n v="8800"/>
    <n v="7155"/>
    <n v="2.5000000000000001E-2"/>
    <s v="148478"/>
    <d v="2024-09-24T00:00:00"/>
    <s v="MOTORCYCLE  COMPREHENSIVE"/>
    <n v="352000"/>
    <n v="1073.25"/>
    <n v="71.55"/>
    <n v="500"/>
  </r>
  <r>
    <s v="KHI/HO/D/MO/MC COMP/P/98185/09/2024"/>
    <m/>
    <x v="2"/>
    <s v="South"/>
    <d v="2024-09-24T00:00:00"/>
    <d v="2025-09-24T00:00:00"/>
    <s v="PERVAIZ"/>
    <s v="SUZUKI-GD-110S"/>
    <n v="14960"/>
    <n v="12466"/>
    <n v="4.2500000000000003E-2"/>
    <s v="148456"/>
    <d v="2024-09-24T00:00:00"/>
    <s v="MOTORCYCLE  COMPREHENSIVE"/>
    <n v="352000"/>
    <n v="1869.9"/>
    <n v="124.66"/>
    <n v="500"/>
  </r>
  <r>
    <s v="KHI/HO/D/MO/MC COMP/P/98187/09/2024"/>
    <m/>
    <x v="2"/>
    <s v="South"/>
    <d v="2024-09-24T00:00:00"/>
    <d v="2025-09-24T00:00:00"/>
    <s v="SYED HASAN ALI SHAH"/>
    <s v="SUZUKI-GD-110 EURO II"/>
    <n v="14960"/>
    <n v="12466"/>
    <n v="4.2500000000000003E-2"/>
    <s v="148544"/>
    <d v="2024-09-24T00:00:00"/>
    <s v="MOTORCYCLE  COMPREHENSIVE"/>
    <n v="352000"/>
    <n v="1869.9"/>
    <n v="124.66"/>
    <n v="500"/>
  </r>
  <r>
    <s v="KHI/HO/D/MO/MC COMP/P/98188/09/2024"/>
    <m/>
    <x v="2"/>
    <s v="South"/>
    <d v="2025-09-25T00:00:00"/>
    <d v="2026-09-25T00:00:00"/>
    <s v="SYED HASAN ALI SHAH"/>
    <s v="SUZUKI-GD-110 EURO II"/>
    <n v="14960"/>
    <n v="12466"/>
    <n v="4.2500000000000003E-2"/>
    <s v="148544"/>
    <d v="2024-09-24T00:00:00"/>
    <s v="MOTORCYCLE  COMPREHENSIVE"/>
    <n v="352000"/>
    <n v="1869.9"/>
    <n v="124.66"/>
    <n v="500"/>
  </r>
  <r>
    <s v="KHI/HO/D/MO/MC COMP/P/98189/09/2024"/>
    <m/>
    <x v="3"/>
    <s v="South"/>
    <d v="2024-09-24T00:00:00"/>
    <d v="2025-09-24T00:00:00"/>
    <s v="SHAHBAZ IFTIKHAR"/>
    <s v="SUZUKI-GD-110S"/>
    <n v="14960"/>
    <n v="12466"/>
    <n v="4.2500000000000003E-2"/>
    <s v="148563"/>
    <d v="2024-09-24T00:00:00"/>
    <s v="MOTORCYCLE  COMPREHENSIVE"/>
    <n v="352000"/>
    <n v="1869.9"/>
    <n v="124.66"/>
    <n v="500"/>
  </r>
  <r>
    <s v="KHI/HO/D/MO/MC COMP/P/98190/09/2024"/>
    <m/>
    <x v="3"/>
    <s v="South"/>
    <d v="2024-09-24T00:00:00"/>
    <d v="2025-09-24T00:00:00"/>
    <s v="AMIR UL HASAN"/>
    <s v="SUZUKI-GD-110S"/>
    <n v="14960"/>
    <n v="12466"/>
    <n v="4.2500000000000003E-2"/>
    <s v="148727"/>
    <d v="2024-09-24T00:00:00"/>
    <s v="MOTORCYCLE  COMPREHENSIVE"/>
    <n v="352000"/>
    <n v="1869.9"/>
    <n v="124.66"/>
    <n v="500"/>
  </r>
  <r>
    <s v="KHI/HO/D/MO/MC COMP/P/98191/09/2024"/>
    <m/>
    <x v="3"/>
    <s v="South"/>
    <d v="2025-09-25T00:00:00"/>
    <d v="2026-09-25T00:00:00"/>
    <s v="AMIR UL HASAN"/>
    <s v="SUZUKI-GD-110S"/>
    <n v="14960"/>
    <n v="12466"/>
    <n v="4.2500000000000003E-2"/>
    <s v="148727"/>
    <d v="2024-09-24T00:00:00"/>
    <s v="MOTORCYCLE  COMPREHENSIVE"/>
    <n v="352000"/>
    <n v="1869.9"/>
    <n v="124.66"/>
    <n v="500"/>
  </r>
  <r>
    <s v="KHI/HO/D/MO/MC COMP/P/98205/09/2024"/>
    <m/>
    <x v="26"/>
    <s v="Punjab"/>
    <d v="2024-09-25T00:00:00"/>
    <d v="2025-09-25T00:00:00"/>
    <s v="Shahid Hussain"/>
    <s v="SUZUKI-GSX 125"/>
    <n v="12475"/>
    <n v="10323"/>
    <n v="2.4999949899899999E-2"/>
    <s v="23102556"/>
    <d v="2024-09-25T00:00:00"/>
    <s v="MOTORCYCLE  COMPREHENSIVE"/>
    <n v="499001"/>
    <n v="1548.45"/>
    <n v="103.23"/>
    <n v="500"/>
  </r>
  <r>
    <s v="KHI/HO/D/MO/MC COMP/P/98206/09/2024"/>
    <m/>
    <x v="26"/>
    <s v="Punjab"/>
    <d v="2024-09-25T00:00:00"/>
    <d v="2025-09-25T00:00:00"/>
    <s v="Ameer Hamza"/>
    <s v="SUZUKI-GD-110S"/>
    <n v="8800"/>
    <n v="7155"/>
    <n v="2.4999928977474495E-2"/>
    <s v="147137"/>
    <d v="2024-09-25T00:00:00"/>
    <s v="MOTORCYCLE  COMPREHENSIVE"/>
    <n v="352001"/>
    <n v="1073.25"/>
    <n v="71.55"/>
    <n v="500"/>
  </r>
  <r>
    <s v="KHI/HO/D/MO/MC COMP/P/98207/09/2024"/>
    <m/>
    <x v="26"/>
    <s v="Punjab"/>
    <d v="2024-09-25T00:00:00"/>
    <d v="2025-09-25T00:00:00"/>
    <s v="Junaid Said"/>
    <s v="SUZUKI-GD-110S"/>
    <n v="8800"/>
    <n v="7155"/>
    <n v="2.4999928977474495E-2"/>
    <s v="147085"/>
    <d v="2024-09-25T00:00:00"/>
    <s v="MOTORCYCLE  COMPREHENSIVE"/>
    <n v="352001"/>
    <n v="1073.25"/>
    <n v="71.55"/>
    <n v="500"/>
  </r>
  <r>
    <s v="KHI/HO/D/MO/MC COMP/P/98208/09/2024"/>
    <m/>
    <x v="26"/>
    <s v="Punjab"/>
    <d v="2024-09-25T00:00:00"/>
    <d v="2025-09-25T00:00:00"/>
    <s v="Muhammad Adnan Khan"/>
    <s v="SUZUKI-GS 150"/>
    <n v="9550"/>
    <n v="7802"/>
    <n v="2.4999934555145143E-2"/>
    <s v="30092677"/>
    <d v="2024-09-25T00:00:00"/>
    <s v="MOTORCYCLE  COMPREHENSIVE"/>
    <n v="382001"/>
    <n v="1170.3"/>
    <n v="78.02"/>
    <n v="500"/>
  </r>
  <r>
    <s v="KHI/HO/D/MO/MC COMP/P/98210/09/2024"/>
    <m/>
    <x v="26"/>
    <s v="Punjab"/>
    <d v="2024-09-25T00:00:00"/>
    <d v="2025-09-25T00:00:00"/>
    <s v="Muhammad Haroon"/>
    <s v="SUZUKI-GS 150"/>
    <n v="9550"/>
    <n v="7802"/>
    <n v="2.4999934555145143E-2"/>
    <s v="30092038"/>
    <d v="2024-09-25T00:00:00"/>
    <s v="MOTORCYCLE  COMPREHENSIVE"/>
    <n v="382001"/>
    <n v="1170.3"/>
    <n v="78.02"/>
    <n v="500"/>
  </r>
  <r>
    <s v="KHI/HO/D/MO/MC COMP/P/98214/09/2024"/>
    <m/>
    <x v="1"/>
    <s v="South"/>
    <d v="2024-09-25T00:00:00"/>
    <d v="2025-09-25T00:00:00"/>
    <s v="AMIR RAFIQUE AHMED"/>
    <s v="SUZUKI-GSX 125"/>
    <n v="21208"/>
    <n v="17852"/>
    <n v="4.2501002004008019E-2"/>
    <s v="23102743"/>
    <d v="2024-09-25T00:00:00"/>
    <s v="MOTORCYCLE  COMPREHENSIVE"/>
    <n v="499000"/>
    <n v="2677.8"/>
    <n v="178.52"/>
    <n v="500"/>
  </r>
  <r>
    <s v="KHI/HO/D/MO/MC COMP/P/98215/09/2024"/>
    <m/>
    <x v="1"/>
    <s v="South"/>
    <d v="2025-09-26T00:00:00"/>
    <d v="2026-09-26T00:00:00"/>
    <s v="AMIR RAFIQUE AHMED"/>
    <s v="SUZUKI-GSX 125"/>
    <n v="21208"/>
    <n v="17852"/>
    <n v="4.2501002004008019E-2"/>
    <s v="23102743"/>
    <d v="2024-09-25T00:00:00"/>
    <s v="MOTORCYCLE  COMPREHENSIVE"/>
    <n v="499000"/>
    <n v="2677.8"/>
    <n v="178.52"/>
    <n v="500"/>
  </r>
  <r>
    <s v="KHI/HO/D/MO/MC COMP/P/98221/09/2024"/>
    <m/>
    <x v="1"/>
    <s v="South"/>
    <d v="2024-09-25T00:00:00"/>
    <d v="2025-09-25T00:00:00"/>
    <s v="SALMAN RAZA"/>
    <s v="SUZUKI-GD-110S"/>
    <n v="14960"/>
    <n v="12466"/>
    <n v="4.2500000000000003E-2"/>
    <s v="148513"/>
    <d v="2024-09-25T00:00:00"/>
    <s v="MOTORCYCLE  COMPREHENSIVE"/>
    <n v="352000"/>
    <n v="1869.9"/>
    <n v="124.66"/>
    <n v="500"/>
  </r>
  <r>
    <s v="KHI/HO/D/MO/MC COMP/P/98230/09/2024"/>
    <m/>
    <x v="1"/>
    <s v="South"/>
    <d v="2024-09-25T00:00:00"/>
    <d v="2025-09-25T00:00:00"/>
    <s v="SHAN CERAMICS"/>
    <s v="SUZUKI-GSX 125"/>
    <n v="21208"/>
    <n v="17852"/>
    <n v="4.2501002004008019E-2"/>
    <s v="23102670"/>
    <d v="2024-09-25T00:00:00"/>
    <s v="MOTORCYCLE  COMPREHENSIVE"/>
    <n v="499000"/>
    <n v="2677.8"/>
    <n v="178.52"/>
    <n v="500"/>
  </r>
  <r>
    <s v="KHI/HO/D/MO/MC COMP/P/98231/09/2024"/>
    <m/>
    <x v="1"/>
    <s v="South"/>
    <d v="2025-09-26T00:00:00"/>
    <d v="2026-09-26T00:00:00"/>
    <s v="SHAN CERAMICS"/>
    <s v="SUZUKI-GSX 125"/>
    <n v="21208"/>
    <n v="17852"/>
    <n v="4.2501002004008019E-2"/>
    <s v="23102670"/>
    <d v="2024-09-25T00:00:00"/>
    <s v="MOTORCYCLE  COMPREHENSIVE"/>
    <n v="499000"/>
    <n v="2677.8"/>
    <n v="178.52"/>
    <n v="500"/>
  </r>
  <r>
    <s v="KHI/HO/D/MO/MC COMP/P/98235/09/2024"/>
    <m/>
    <x v="1"/>
    <s v="South"/>
    <d v="2024-09-25T00:00:00"/>
    <d v="2025-09-25T00:00:00"/>
    <s v="MUNEEB UR REHMAN"/>
    <s v="SUZUKI-GD-110S"/>
    <n v="14960"/>
    <n v="12466"/>
    <n v="4.2500000000000003E-2"/>
    <s v="148041"/>
    <d v="2024-09-25T00:00:00"/>
    <s v="MOTORCYCLE  COMPREHENSIVE"/>
    <n v="352000"/>
    <n v="1869.9"/>
    <n v="124.66"/>
    <n v="500"/>
  </r>
  <r>
    <s v="KHI/HO/D/MO/MC COMP/P/98236/09/2024"/>
    <m/>
    <x v="1"/>
    <s v="South"/>
    <d v="2025-09-26T00:00:00"/>
    <d v="2026-09-26T00:00:00"/>
    <s v="MUNEEB UR REHMAN"/>
    <s v="SUZUKI-GD-110S"/>
    <n v="14960"/>
    <n v="12466"/>
    <n v="4.2500000000000003E-2"/>
    <s v="148041"/>
    <d v="2024-09-25T00:00:00"/>
    <s v="MOTORCYCLE  COMPREHENSIVE"/>
    <n v="352000"/>
    <n v="1869.9"/>
    <n v="124.66"/>
    <n v="500"/>
  </r>
  <r>
    <s v="KHI/HO/D/MO/MC COMP/P/98237/09/2024"/>
    <m/>
    <x v="6"/>
    <s v="South"/>
    <d v="2024-09-25T00:00:00"/>
    <d v="2025-09-25T00:00:00"/>
    <s v="ASAD WALI"/>
    <s v="SUZUKI-GD-110S"/>
    <n v="14960"/>
    <n v="12466"/>
    <n v="4.2500000000000003E-2"/>
    <s v="148674"/>
    <d v="2024-09-25T00:00:00"/>
    <s v="MOTORCYCLE  COMPREHENSIVE"/>
    <n v="352000"/>
    <n v="1869.9"/>
    <n v="124.66"/>
    <n v="500"/>
  </r>
  <r>
    <s v="KHI/HO/D/MO/MC COMP/P/98238/09/2024"/>
    <m/>
    <x v="6"/>
    <s v="South"/>
    <d v="2025-09-26T00:00:00"/>
    <d v="2026-09-26T00:00:00"/>
    <s v="ASAD WALI"/>
    <s v="SUZUKI-GD-110S"/>
    <n v="14960"/>
    <n v="12466"/>
    <n v="4.2500000000000003E-2"/>
    <s v="148674"/>
    <d v="2024-09-25T00:00:00"/>
    <s v="MOTORCYCLE  COMPREHENSIVE"/>
    <n v="352000"/>
    <n v="1869.9"/>
    <n v="124.66"/>
    <n v="500"/>
  </r>
  <r>
    <s v="KHI/HO/D/MO/MC COMP/P/98239/09/2024"/>
    <m/>
    <x v="6"/>
    <s v="South"/>
    <d v="2024-09-25T00:00:00"/>
    <d v="2025-09-25T00:00:00"/>
    <s v="OSAMA RASHID"/>
    <s v="SUZUKI-GD-110S"/>
    <n v="14960"/>
    <n v="12466"/>
    <n v="4.2500000000000003E-2"/>
    <s v="148671"/>
    <d v="2024-09-25T00:00:00"/>
    <s v="MOTORCYCLE  COMPREHENSIVE"/>
    <n v="352000"/>
    <n v="1869.9"/>
    <n v="124.66"/>
    <n v="500"/>
  </r>
  <r>
    <s v="KHI/HO/D/MO/MC COMP/P/98240/09/2024"/>
    <m/>
    <x v="6"/>
    <s v="South"/>
    <d v="2025-09-26T00:00:00"/>
    <d v="2026-09-26T00:00:00"/>
    <s v="OSAMA RASHID"/>
    <s v="SUZUKI-GD-110S"/>
    <n v="14960"/>
    <n v="12466"/>
    <n v="4.2500000000000003E-2"/>
    <s v="148671"/>
    <d v="2024-09-25T00:00:00"/>
    <s v="MOTORCYCLE  COMPREHENSIVE"/>
    <n v="352000"/>
    <n v="1869.9"/>
    <n v="124.66"/>
    <n v="500"/>
  </r>
  <r>
    <s v="KHI/HO/D/MO/MC COMP/P/98241/09/2024"/>
    <m/>
    <x v="6"/>
    <s v="South"/>
    <d v="2024-09-25T00:00:00"/>
    <d v="2025-09-25T00:00:00"/>
    <s v="MUHAMMAD FARHAN KHAN"/>
    <s v="SUZUKI-GR150 EURO II"/>
    <n v="23248"/>
    <n v="19610"/>
    <n v="4.2500914076782449E-2"/>
    <s v="113689"/>
    <d v="2024-09-25T00:00:00"/>
    <s v="MOTORCYCLE  COMPREHENSIVE"/>
    <n v="547000"/>
    <n v="2941.5"/>
    <n v="196.1"/>
    <n v="500"/>
  </r>
  <r>
    <s v="KHI/HO/D/MO/MC COMP/P/98247/09/2024"/>
    <m/>
    <x v="6"/>
    <s v="South"/>
    <d v="2024-09-25T00:00:00"/>
    <d v="2025-09-25T00:00:00"/>
    <s v="SOHAIL ALI"/>
    <s v="SUZUKI-GD-110S"/>
    <n v="14960"/>
    <n v="12466"/>
    <n v="4.2500000000000003E-2"/>
    <s v="147614"/>
    <d v="2024-09-25T00:00:00"/>
    <s v="MOTORCYCLE  COMPREHENSIVE"/>
    <n v="352000"/>
    <n v="1869.9"/>
    <n v="124.66"/>
    <n v="500"/>
  </r>
  <r>
    <s v="KHI/HO/D/MO/MC COMP/P/98248/09/2024"/>
    <m/>
    <x v="6"/>
    <s v="South"/>
    <d v="2025-09-26T00:00:00"/>
    <d v="2026-09-26T00:00:00"/>
    <s v="SOHAIL ALI"/>
    <s v="SUZUKI-GD-110S"/>
    <n v="14960"/>
    <n v="12466"/>
    <n v="4.2500000000000003E-2"/>
    <s v="147614"/>
    <d v="2024-09-25T00:00:00"/>
    <s v="MOTORCYCLE  COMPREHENSIVE"/>
    <n v="352000"/>
    <n v="1869.9"/>
    <n v="124.66"/>
    <n v="500"/>
  </r>
  <r>
    <s v="KHI/HO/D/MO/MC COMP/P/98251/09/2024"/>
    <m/>
    <x v="0"/>
    <s v="Punjab"/>
    <d v="2024-09-25T00:00:00"/>
    <d v="2025-09-25T00:00:00"/>
    <s v="UMAR FAROOQ"/>
    <s v="SUZUKI-GD-110S"/>
    <n v="8800"/>
    <n v="7155"/>
    <n v="2.5000000000000001E-2"/>
    <s v="148487"/>
    <d v="2024-09-25T00:00:00"/>
    <s v="MOTORCYCLE  COMPREHENSIVE"/>
    <n v="352000"/>
    <n v="1073.25"/>
    <n v="71.55"/>
    <n v="500"/>
  </r>
  <r>
    <s v="KHI/HO/D/MO/MC COMP/P/98255/09/2024"/>
    <m/>
    <x v="1"/>
    <s v="South"/>
    <d v="2024-09-25T00:00:00"/>
    <d v="2025-09-25T00:00:00"/>
    <s v="USAMA SALEEM"/>
    <s v="SUZUKI-GD-110S"/>
    <n v="14960"/>
    <n v="12466"/>
    <n v="4.2500000000000003E-2"/>
    <s v="148787"/>
    <d v="2024-09-25T00:00:00"/>
    <s v="MOTORCYCLE  COMPREHENSIVE"/>
    <n v="352000"/>
    <n v="1869.9"/>
    <n v="124.66"/>
    <n v="500"/>
  </r>
  <r>
    <s v="KHI/HO/D/MO/MC COMP/P/98257/09/2024"/>
    <m/>
    <x v="18"/>
    <s v="South"/>
    <d v="2024-09-25T00:00:00"/>
    <d v="2025-09-25T00:00:00"/>
    <s v="NOOR ZADA"/>
    <s v="SUZUKI-GD-110S"/>
    <n v="14960"/>
    <n v="12466"/>
    <n v="4.2500000000000003E-2"/>
    <s v="148810"/>
    <d v="2024-09-25T00:00:00"/>
    <s v="MOTORCYCLE  COMPREHENSIVE"/>
    <n v="352000"/>
    <n v="1869.9"/>
    <n v="124.66"/>
    <n v="500"/>
  </r>
  <r>
    <s v="KHI/HO/D/MO/MC COMP/P/98258/09/2024"/>
    <m/>
    <x v="11"/>
    <s v="Punjab"/>
    <d v="2024-09-25T00:00:00"/>
    <d v="2025-09-25T00:00:00"/>
    <s v="SALMAN SAEED"/>
    <s v="SUZUKI-GS 150"/>
    <n v="9550"/>
    <n v="7802"/>
    <n v="2.5000000000000001E-2"/>
    <s v="30093000"/>
    <d v="2024-09-25T00:00:00"/>
    <s v="MOTORCYCLE  COMPREHENSIVE"/>
    <n v="382000"/>
    <n v="1170.3"/>
    <n v="78.02"/>
    <n v="500"/>
  </r>
  <r>
    <s v="KHI/HO/D/MO/MC COMP/P/98262/09/2024"/>
    <m/>
    <x v="15"/>
    <s v="Punjab"/>
    <d v="2024-09-25T00:00:00"/>
    <d v="2025-09-25T00:00:00"/>
    <s v="ALI RAZA"/>
    <s v="SUZUKI-GSX 125"/>
    <n v="12475"/>
    <n v="10323"/>
    <n v="2.5000000000000001E-2"/>
    <s v="23102623"/>
    <d v="2024-09-25T00:00:00"/>
    <s v="MOTORCYCLE  COMPREHENSIVE"/>
    <n v="499000"/>
    <n v="1548.45"/>
    <n v="103.23"/>
    <n v="500"/>
  </r>
  <r>
    <s v="KHI/HO/D/MO/MC COMP/P/98264/09/2024"/>
    <m/>
    <x v="15"/>
    <s v="Punjab"/>
    <d v="2024-09-25T00:00:00"/>
    <d v="2025-09-25T00:00:00"/>
    <s v="MUHAMMAD USMAN NADEEM"/>
    <s v="SUZUKI-GSX 125"/>
    <n v="12475"/>
    <n v="10323"/>
    <n v="2.5000000000000001E-2"/>
    <s v="23102604"/>
    <d v="2024-09-25T00:00:00"/>
    <s v="MOTORCYCLE  COMPREHENSIVE"/>
    <n v="499000"/>
    <n v="1548.45"/>
    <n v="103.23"/>
    <n v="500"/>
  </r>
  <r>
    <s v="KHI/HO/D/MO/MC COMP/P/98272/09/2024"/>
    <m/>
    <x v="15"/>
    <s v="Punjab"/>
    <d v="2024-09-25T00:00:00"/>
    <d v="2025-09-25T00:00:00"/>
    <s v="MUHAMMAD ANEES SARWAR"/>
    <s v="SUZUKI-GD-110S"/>
    <n v="8800"/>
    <n v="7155"/>
    <n v="2.5000000000000001E-2"/>
    <s v="147546"/>
    <d v="2024-09-25T00:00:00"/>
    <s v="MOTORCYCLE  COMPREHENSIVE"/>
    <n v="352000"/>
    <n v="1073.25"/>
    <n v="71.55"/>
    <n v="500"/>
  </r>
  <r>
    <s v="KHI/HO/D/MO/MC COMP/P/98274/09/2024"/>
    <m/>
    <x v="15"/>
    <s v="Punjab"/>
    <d v="2024-09-25T00:00:00"/>
    <d v="2025-09-25T00:00:00"/>
    <s v="ARBAB ALI"/>
    <s v="SUZUKI-GD-110S"/>
    <n v="8800"/>
    <n v="7155"/>
    <n v="2.5000000000000001E-2"/>
    <s v="148221"/>
    <d v="2024-09-25T00:00:00"/>
    <s v="MOTORCYCLE  COMPREHENSIVE"/>
    <n v="352000"/>
    <n v="1073.25"/>
    <n v="71.55"/>
    <n v="500"/>
  </r>
  <r>
    <s v="KHI/HO/D/MO/MC COMP/P/98276/09/2024"/>
    <m/>
    <x v="15"/>
    <s v="Punjab"/>
    <d v="2024-09-25T00:00:00"/>
    <d v="2025-09-25T00:00:00"/>
    <s v="MUHAMMAD AWAIS"/>
    <s v="SUZUKI-GD-110S"/>
    <n v="8800"/>
    <n v="7155"/>
    <n v="2.5000000000000001E-2"/>
    <s v="148120"/>
    <d v="2024-09-25T00:00:00"/>
    <s v="MOTORCYCLE  COMPREHENSIVE"/>
    <n v="352000"/>
    <n v="1073.25"/>
    <n v="71.55"/>
    <n v="500"/>
  </r>
  <r>
    <s v="KHI/HO/D/MO/MC COMP/P/98280/09/2024"/>
    <m/>
    <x v="15"/>
    <s v="Punjab"/>
    <d v="2024-09-25T00:00:00"/>
    <d v="2025-09-25T00:00:00"/>
    <s v="MUHAMMAD WAQAR"/>
    <s v="SUZUKI-GS 150"/>
    <n v="9550"/>
    <n v="7802"/>
    <n v="2.5000000000000001E-2"/>
    <s v="30093033"/>
    <d v="2024-09-25T00:00:00"/>
    <s v="MOTORCYCLE  COMPREHENSIVE"/>
    <n v="382000"/>
    <n v="1170.3"/>
    <n v="78.02"/>
    <n v="500"/>
  </r>
  <r>
    <s v="KHI/HO/D/MO/MC COMP/P/98281/09/2024"/>
    <m/>
    <x v="15"/>
    <s v="Punjab"/>
    <d v="2024-09-25T00:00:00"/>
    <d v="2025-09-25T00:00:00"/>
    <s v="IRFAN ALI"/>
    <s v="SUZUKI-GD-110S"/>
    <n v="8800"/>
    <n v="7155"/>
    <n v="2.5000000000000001E-2"/>
    <s v="148115"/>
    <d v="2024-09-25T00:00:00"/>
    <s v="MOTORCYCLE  COMPREHENSIVE"/>
    <n v="352000"/>
    <n v="1073.25"/>
    <n v="71.55"/>
    <n v="500"/>
  </r>
  <r>
    <s v="KHI/HO/D/MO/MC COMP/P/98284/09/2024"/>
    <m/>
    <x v="15"/>
    <s v="Punjab"/>
    <d v="2024-09-25T00:00:00"/>
    <d v="2025-09-25T00:00:00"/>
    <s v="ARSLAN ARSHAD"/>
    <s v="SUZUKI-GS 150"/>
    <n v="9550"/>
    <n v="7802"/>
    <n v="2.5000000000000001E-2"/>
    <s v="30093036"/>
    <d v="2024-09-25T00:00:00"/>
    <s v="MOTORCYCLE  COMPREHENSIVE"/>
    <n v="382000"/>
    <n v="1170.3"/>
    <n v="78.02"/>
    <n v="500"/>
  </r>
  <r>
    <s v="KHI/HO/D/MO/MC COMP/P/98285/09/2024"/>
    <m/>
    <x v="2"/>
    <s v="South"/>
    <d v="2024-09-25T00:00:00"/>
    <d v="2025-09-25T00:00:00"/>
    <s v="MUHAMMAD DANIYAL"/>
    <s v="SUZUKI-GS 150"/>
    <n v="16235"/>
    <n v="13565"/>
    <n v="4.2500000000000003E-2"/>
    <s v="30093145"/>
    <d v="2024-09-25T00:00:00"/>
    <s v="MOTORCYCLE  COMPREHENSIVE"/>
    <n v="382000"/>
    <n v="2034.75"/>
    <n v="135.65"/>
    <n v="500"/>
  </r>
  <r>
    <s v="KHI/HO/D/MO/MC COMP/P/98287/09/2024"/>
    <m/>
    <x v="15"/>
    <s v="Punjab"/>
    <d v="2024-09-25T00:00:00"/>
    <d v="2025-09-25T00:00:00"/>
    <s v="ALI NAKASH"/>
    <s v="SUZUKI-GS 150"/>
    <n v="9550"/>
    <n v="7802"/>
    <n v="2.5000000000000001E-2"/>
    <s v="30093039"/>
    <d v="2024-09-25T00:00:00"/>
    <s v="MOTORCYCLE  COMPREHENSIVE"/>
    <n v="382000"/>
    <n v="1170.3"/>
    <n v="78.02"/>
    <n v="500"/>
  </r>
  <r>
    <s v="KHI/HO/D/MO/MC COMP/P/98288/09/2024"/>
    <m/>
    <x v="1"/>
    <s v="South"/>
    <d v="2024-09-25T00:00:00"/>
    <d v="2025-09-25T00:00:00"/>
    <s v="IMTIAZ KHAN"/>
    <s v="SUZUKI-GD-110S"/>
    <n v="14960"/>
    <n v="12466"/>
    <n v="4.2500000000000003E-2"/>
    <s v="148031"/>
    <d v="2024-09-25T00:00:00"/>
    <s v="MOTORCYCLE  COMPREHENSIVE"/>
    <n v="352000"/>
    <n v="1869.9"/>
    <n v="124.66"/>
    <n v="500"/>
  </r>
  <r>
    <s v="KHI/HO/D/MO/MC COMP/P/98289/09/2024"/>
    <m/>
    <x v="1"/>
    <s v="South"/>
    <d v="2025-09-26T00:00:00"/>
    <d v="2026-09-26T00:00:00"/>
    <s v="IMTIAZ KHAN"/>
    <s v="SUZUKI-GD-110S"/>
    <n v="14960"/>
    <n v="12466"/>
    <n v="4.2500000000000003E-2"/>
    <s v="148031"/>
    <d v="2024-09-25T00:00:00"/>
    <s v="MOTORCYCLE  COMPREHENSIVE"/>
    <n v="352000"/>
    <n v="1869.9"/>
    <n v="124.66"/>
    <n v="500"/>
  </r>
  <r>
    <s v="KHI/HO/D/MO/MC COMP/P/98290/09/2024"/>
    <m/>
    <x v="15"/>
    <s v="Punjab"/>
    <d v="2024-09-25T00:00:00"/>
    <d v="2025-09-25T00:00:00"/>
    <s v="AJMAL YASEEN"/>
    <s v="SUZUKI-GD-110S"/>
    <n v="8800"/>
    <n v="7155"/>
    <n v="2.5000000000000001E-2"/>
    <s v="147643"/>
    <d v="2024-09-25T00:00:00"/>
    <s v="MOTORCYCLE  COMPREHENSIVE"/>
    <n v="352000"/>
    <n v="1073.25"/>
    <n v="71.55"/>
    <n v="500"/>
  </r>
  <r>
    <s v="KHI/HO/D/MO/MC COMP/P/98292/09/2024"/>
    <m/>
    <x v="2"/>
    <s v="South"/>
    <d v="2024-09-25T00:00:00"/>
    <d v="2025-09-25T00:00:00"/>
    <s v="ALI MUHAMMAD"/>
    <s v="SUZUKI-GSX 125"/>
    <n v="21208"/>
    <n v="17852"/>
    <n v="4.2501002004008019E-2"/>
    <s v="23100380"/>
    <d v="2024-09-25T00:00:00"/>
    <s v="MOTORCYCLE  COMPREHENSIVE"/>
    <n v="499000"/>
    <n v="2677.8"/>
    <n v="178.52"/>
    <n v="500"/>
  </r>
  <r>
    <s v="KHI/HO/D/MO/MC COMP/P/98293/09/2024"/>
    <m/>
    <x v="2"/>
    <s v="South"/>
    <d v="2025-09-26T00:00:00"/>
    <d v="2026-09-26T00:00:00"/>
    <s v="ALI MUHAMMAD"/>
    <s v="SUZUKI-GSX 125"/>
    <n v="21208"/>
    <n v="17852"/>
    <n v="4.2501002004008019E-2"/>
    <s v="23100380"/>
    <d v="2024-09-25T00:00:00"/>
    <s v="MOTORCYCLE  COMPREHENSIVE"/>
    <n v="499000"/>
    <n v="2677.8"/>
    <n v="178.52"/>
    <n v="500"/>
  </r>
  <r>
    <s v="KHI/HO/D/MO/MC COMP/P/98297/09/2024"/>
    <m/>
    <x v="14"/>
    <s v="Punjab"/>
    <d v="2024-09-25T00:00:00"/>
    <d v="2025-09-25T00:00:00"/>
    <s v="MUHAMMAD  AWAIS"/>
    <s v="SUZUKI-GR150 EURO II"/>
    <n v="13675"/>
    <n v="11358"/>
    <n v="2.5000000000000001E-2"/>
    <s v="113501"/>
    <d v="2024-09-25T00:00:00"/>
    <s v="MOTORCYCLE  COMPREHENSIVE"/>
    <n v="547000"/>
    <n v="1703.7"/>
    <n v="113.58"/>
    <n v="500"/>
  </r>
  <r>
    <s v="KHI/HO/D/MO/MC COMP/P/98307/09/2024"/>
    <m/>
    <x v="6"/>
    <s v="South"/>
    <d v="2024-09-25T00:00:00"/>
    <d v="2025-09-25T00:00:00"/>
    <s v="MUHAMMAD TARIQ"/>
    <s v="SUZUKI-GD-110S"/>
    <n v="14960"/>
    <n v="12466"/>
    <n v="4.2500000000000003E-2"/>
    <s v="148661"/>
    <d v="2024-09-25T00:00:00"/>
    <s v="MOTORCYCLE  COMPREHENSIVE"/>
    <n v="352000"/>
    <n v="1869.9"/>
    <n v="124.66"/>
    <n v="500"/>
  </r>
  <r>
    <s v="KHI/HO/D/MO/MC COMP/P/98310/09/2024"/>
    <m/>
    <x v="18"/>
    <s v="South"/>
    <d v="2024-09-25T00:00:00"/>
    <d v="2025-09-25T00:00:00"/>
    <s v="SHEHERYAL ALI"/>
    <s v="SUZUKI-GD-110S"/>
    <n v="14960"/>
    <n v="12466"/>
    <n v="4.2500000000000003E-2"/>
    <s v="148542"/>
    <d v="2024-09-25T00:00:00"/>
    <s v="MOTORCYCLE  COMPREHENSIVE"/>
    <n v="352000"/>
    <n v="1869.9"/>
    <n v="124.66"/>
    <n v="500"/>
  </r>
  <r>
    <s v="KHI/HO/D/MO/MC COMP/P/98311/09/2024"/>
    <m/>
    <x v="18"/>
    <s v="South"/>
    <d v="2025-09-26T00:00:00"/>
    <d v="2026-09-26T00:00:00"/>
    <s v="SHEHERYAL ALI"/>
    <s v="SUZUKI-GD-110S"/>
    <n v="14960"/>
    <n v="12466"/>
    <n v="4.2500000000000003E-2"/>
    <s v="148542"/>
    <d v="2024-09-25T00:00:00"/>
    <s v="MOTORCYCLE  COMPREHENSIVE"/>
    <n v="352000"/>
    <n v="1869.9"/>
    <n v="124.66"/>
    <n v="500"/>
  </r>
  <r>
    <s v="KHI/HO/D/MO/MC COMP/P/98312/09/2024"/>
    <m/>
    <x v="18"/>
    <s v="South"/>
    <d v="2024-09-25T00:00:00"/>
    <d v="2025-09-25T00:00:00"/>
    <s v="DANISH WALI"/>
    <s v="SUZUKI-GD-110S"/>
    <n v="14960"/>
    <n v="12466"/>
    <n v="4.2500000000000003E-2"/>
    <s v="148546"/>
    <d v="2024-09-25T00:00:00"/>
    <s v="MOTORCYCLE  COMPREHENSIVE"/>
    <n v="352000"/>
    <n v="1869.9"/>
    <n v="124.66"/>
    <n v="500"/>
  </r>
  <r>
    <s v="KHI/HO/D/MO/MC COMP/P/98313/09/2024"/>
    <m/>
    <x v="18"/>
    <s v="South"/>
    <d v="2025-09-26T00:00:00"/>
    <d v="2026-09-26T00:00:00"/>
    <s v="DANISH WALI"/>
    <s v="SUZUKI-GD-110S"/>
    <n v="14960"/>
    <n v="12466"/>
    <n v="4.2500000000000003E-2"/>
    <s v="148546"/>
    <d v="2024-09-25T00:00:00"/>
    <s v="MOTORCYCLE  COMPREHENSIVE"/>
    <n v="352000"/>
    <n v="1869.9"/>
    <n v="124.66"/>
    <n v="500"/>
  </r>
  <r>
    <s v="KHI/HO/D/MO/MC COMP/P/98314/09/2024"/>
    <m/>
    <x v="18"/>
    <s v="South"/>
    <d v="2024-09-25T00:00:00"/>
    <d v="2025-09-25T00:00:00"/>
    <s v="MUHAMMAD FARHAN KHAN"/>
    <s v="SUZUKI-GD-110S"/>
    <n v="14960"/>
    <n v="12466"/>
    <n v="4.2500000000000003E-2"/>
    <s v="148545"/>
    <d v="2024-09-25T00:00:00"/>
    <s v="MOTORCYCLE  COMPREHENSIVE"/>
    <n v="352000"/>
    <n v="1869.9"/>
    <n v="124.66"/>
    <n v="500"/>
  </r>
  <r>
    <s v="KHI/HO/D/MO/MC COMP/P/98315/09/2024"/>
    <m/>
    <x v="18"/>
    <s v="South"/>
    <d v="2025-09-26T00:00:00"/>
    <d v="2026-09-26T00:00:00"/>
    <s v="MUHAMMAD FARHAN KHAN"/>
    <s v="SUZUKI-GD-110S"/>
    <n v="14960"/>
    <n v="12466"/>
    <n v="4.2500000000000003E-2"/>
    <s v="148545"/>
    <d v="2024-09-25T00:00:00"/>
    <s v="MOTORCYCLE  COMPREHENSIVE"/>
    <n v="352000"/>
    <n v="1869.9"/>
    <n v="124.66"/>
    <n v="500"/>
  </r>
  <r>
    <s v="KHI/HO/D/MO/MC COMP/P/98316/09/2024"/>
    <m/>
    <x v="23"/>
    <s v="South"/>
    <d v="2024-09-25T00:00:00"/>
    <d v="2025-09-25T00:00:00"/>
    <s v="Jahangir Shaikh"/>
    <s v="SUZUKI-GD-110S"/>
    <n v="14960"/>
    <n v="12466"/>
    <n v="4.2500000000000003E-2"/>
    <s v="148200"/>
    <d v="2024-09-25T00:00:00"/>
    <s v="MOTORCYCLE  COMPREHENSIVE"/>
    <n v="352000"/>
    <n v="1869.9"/>
    <n v="124.66"/>
    <n v="500"/>
  </r>
  <r>
    <s v="KHI/HO/D/MO/MC COMP/P/98317/09/2024"/>
    <m/>
    <x v="23"/>
    <s v="South"/>
    <d v="2024-09-25T00:00:00"/>
    <d v="2025-09-25T00:00:00"/>
    <s v="Imran Ahmed Khan"/>
    <s v="SUZUKI-GD-110S"/>
    <n v="14960"/>
    <n v="12466"/>
    <n v="4.2500000000000003E-2"/>
    <s v="148201"/>
    <d v="2024-09-25T00:00:00"/>
    <s v="MOTORCYCLE  COMPREHENSIVE"/>
    <n v="352000"/>
    <n v="1869.9"/>
    <n v="124.66"/>
    <n v="500"/>
  </r>
  <r>
    <s v="KHI/HO/D/MO/MC COMP/P/98323/09/2024"/>
    <m/>
    <x v="19"/>
    <s v="Punjab"/>
    <d v="2024-09-26T00:00:00"/>
    <d v="2025-09-26T00:00:00"/>
    <s v="NOUMAN ULLAH S/O AMAN ULLAH"/>
    <s v="SUZUKI-GD-110S"/>
    <n v="8800"/>
    <n v="7155"/>
    <n v="2.5000000000000001E-2"/>
    <s v="143214"/>
    <d v="2024-09-26T00:00:00"/>
    <s v="MOTORCYCLE  COMPREHENSIVE"/>
    <n v="352000"/>
    <n v="1073.25"/>
    <n v="71.55"/>
    <n v="500"/>
  </r>
  <r>
    <s v="KHI/HO/D/MO/MC COMP/P/98331/09/2024"/>
    <m/>
    <x v="19"/>
    <s v="Punjab"/>
    <d v="2024-09-26T00:00:00"/>
    <d v="2025-09-26T00:00:00"/>
    <s v="MUHAMMAD RAFIQ S/O ABDUL GHAFAR"/>
    <s v="SUZUKI-GD-110S"/>
    <n v="13675"/>
    <n v="11358"/>
    <n v="2.5000000000000001E-2"/>
    <s v="113618"/>
    <d v="2024-09-26T00:00:00"/>
    <s v="MOTORCYCLE  COMPREHENSIVE"/>
    <n v="547000"/>
    <n v="1703.7"/>
    <n v="113.58"/>
    <n v="500"/>
  </r>
  <r>
    <s v="KHI/HO/D/MO/MC COMP/P/98340/09/2024"/>
    <m/>
    <x v="1"/>
    <s v="South"/>
    <d v="2024-09-26T00:00:00"/>
    <d v="2025-09-26T00:00:00"/>
    <s v="WARIS BAIG"/>
    <s v="SUZUKI-GS 150"/>
    <n v="16235"/>
    <n v="13565"/>
    <n v="4.2500000000000003E-2"/>
    <s v="30093175"/>
    <d v="2024-09-26T00:00:00"/>
    <s v="MOTORCYCLE  COMPREHENSIVE"/>
    <n v="382000"/>
    <n v="2034.75"/>
    <n v="135.65"/>
    <n v="500"/>
  </r>
  <r>
    <s v="KHI/HO/D/MO/MC COMP/P/98342/09/2024"/>
    <m/>
    <x v="1"/>
    <s v="South"/>
    <d v="2024-09-26T00:00:00"/>
    <d v="2025-09-26T00:00:00"/>
    <s v="MUHAMMAD HUZAIFA"/>
    <s v="SUZUKI-GSX 125"/>
    <n v="21208"/>
    <n v="17852"/>
    <n v="4.2501002004008019E-2"/>
    <s v="23102721"/>
    <d v="2024-09-26T00:00:00"/>
    <s v="MOTORCYCLE  COMPREHENSIVE"/>
    <n v="499000"/>
    <n v="2677.8"/>
    <n v="178.52"/>
    <n v="500"/>
  </r>
  <r>
    <s v="KHI/HO/D/MO/MC COMP/P/98343/09/2024"/>
    <m/>
    <x v="1"/>
    <s v="South"/>
    <d v="2025-09-27T00:00:00"/>
    <d v="2026-09-27T00:00:00"/>
    <s v="MUHAMMAD HUZAIFA"/>
    <s v="SUZUKI-GSX 125"/>
    <n v="21208"/>
    <n v="17852"/>
    <n v="4.2501002004008019E-2"/>
    <s v="23102721"/>
    <d v="2024-09-26T00:00:00"/>
    <s v="MOTORCYCLE  COMPREHENSIVE"/>
    <n v="499000"/>
    <n v="2677.8"/>
    <n v="178.52"/>
    <n v="500"/>
  </r>
  <r>
    <s v="KHI/HO/D/MO/MC COMP/P/98344/09/2024"/>
    <m/>
    <x v="6"/>
    <s v="South"/>
    <d v="2024-09-26T00:00:00"/>
    <d v="2025-09-26T00:00:00"/>
    <s v="HADI AFSAR"/>
    <s v="SUZUKI-GD-110S"/>
    <n v="14960"/>
    <n v="12466"/>
    <n v="4.2500000000000003E-2"/>
    <s v="148675"/>
    <d v="2024-09-26T00:00:00"/>
    <s v="MOTORCYCLE  COMPREHENSIVE"/>
    <n v="352000"/>
    <n v="1869.9"/>
    <n v="124.66"/>
    <n v="500"/>
  </r>
  <r>
    <s v="KHI/HO/D/MO/MC COMP/P/98345/09/2024"/>
    <m/>
    <x v="1"/>
    <s v="South"/>
    <d v="2024-09-26T00:00:00"/>
    <d v="2025-09-26T00:00:00"/>
    <s v="SYED SHAH OWAIS ALAM"/>
    <s v="SUZUKI-GS 150"/>
    <n v="16235"/>
    <n v="13565"/>
    <n v="4.2500000000000003E-2"/>
    <s v="30093179"/>
    <d v="2024-09-26T00:00:00"/>
    <s v="MOTORCYCLE  COMPREHENSIVE"/>
    <n v="382000"/>
    <n v="2034.75"/>
    <n v="135.65"/>
    <n v="500"/>
  </r>
  <r>
    <s v="KHI/HO/D/MO/MC COMP/P/98346/09/2024"/>
    <m/>
    <x v="6"/>
    <s v="South"/>
    <d v="2024-09-26T00:00:00"/>
    <d v="2025-09-26T00:00:00"/>
    <s v="ABID ALI"/>
    <s v="SUZUKI-GD-110S"/>
    <n v="14960"/>
    <n v="12466"/>
    <n v="4.2500000000000003E-2"/>
    <s v="148677"/>
    <d v="2024-09-26T00:00:00"/>
    <s v="MOTORCYCLE  COMPREHENSIVE"/>
    <n v="352000"/>
    <n v="1869.9"/>
    <n v="124.66"/>
    <n v="500"/>
  </r>
  <r>
    <s v="KHI/HO/D/MO/MC COMP/P/98347/09/2024"/>
    <m/>
    <x v="21"/>
    <s v="Punjab"/>
    <d v="2024-09-26T00:00:00"/>
    <d v="2025-09-26T00:00:00"/>
    <s v="SAEED AHMAD QADRI"/>
    <s v="SUZUKI-GD-110S"/>
    <n v="8800"/>
    <n v="7155"/>
    <n v="2.5000000000000001E-2"/>
    <s v="147928"/>
    <d v="2024-09-26T00:00:00"/>
    <s v="MOTORCYCLE  COMPREHENSIVE"/>
    <n v="352000"/>
    <n v="1073.25"/>
    <n v="71.55"/>
    <n v="500"/>
  </r>
  <r>
    <s v="KHI/HO/D/MO/MC COMP/P/98348/09/2024"/>
    <m/>
    <x v="5"/>
    <s v="South"/>
    <d v="2024-09-26T00:00:00"/>
    <d v="2025-09-26T00:00:00"/>
    <s v="AMYN AZIZ"/>
    <s v="SUZUKI-GS 150"/>
    <n v="16235"/>
    <n v="13565"/>
    <n v="4.2500000000000003E-2"/>
    <s v="30093118"/>
    <d v="2024-09-26T00:00:00"/>
    <s v="MOTORCYCLE  COMPREHENSIVE"/>
    <n v="382000"/>
    <n v="2034.75"/>
    <n v="135.65"/>
    <n v="500"/>
  </r>
  <r>
    <s v="KHI/HO/D/MO/MC COMP/P/98350/09/2024"/>
    <m/>
    <x v="15"/>
    <s v="Punjab"/>
    <d v="2024-09-26T00:00:00"/>
    <d v="2025-09-26T00:00:00"/>
    <s v="MUHAMMAD SHAHID"/>
    <s v="SUZUKI-GD-110S"/>
    <n v="8800"/>
    <n v="7155"/>
    <n v="2.5000000000000001E-2"/>
    <s v="148129"/>
    <d v="2024-09-26T00:00:00"/>
    <s v="MOTORCYCLE  COMPREHENSIVE"/>
    <n v="352000"/>
    <n v="1073.25"/>
    <n v="71.55"/>
    <n v="500"/>
  </r>
  <r>
    <s v="KHI/HO/D/MO/MC COMP/P/98351/09/2024"/>
    <m/>
    <x v="5"/>
    <s v="South"/>
    <d v="2024-09-26T00:00:00"/>
    <d v="2025-09-26T00:00:00"/>
    <s v="EBAD YAR KHAN"/>
    <s v="SUZUKI-GS 150"/>
    <n v="16235"/>
    <n v="13565"/>
    <n v="4.2500000000000003E-2"/>
    <s v="30093114"/>
    <d v="2024-09-26T00:00:00"/>
    <s v="MOTORCYCLE  COMPREHENSIVE"/>
    <n v="382000"/>
    <n v="2034.75"/>
    <n v="135.65"/>
    <n v="500"/>
  </r>
  <r>
    <s v="KHI/HO/D/MO/MC COMP/P/98352/09/2024"/>
    <m/>
    <x v="15"/>
    <s v="Punjab"/>
    <d v="2024-09-26T00:00:00"/>
    <d v="2025-09-26T00:00:00"/>
    <s v="IMRAN ASGHAR"/>
    <s v="SUZUKI-GD-110S"/>
    <n v="8800"/>
    <n v="7155"/>
    <n v="2.5000000000000001E-2"/>
    <s v="148213"/>
    <d v="2024-09-26T00:00:00"/>
    <s v="MOTORCYCLE  COMPREHENSIVE"/>
    <n v="352000"/>
    <n v="1073.25"/>
    <n v="71.55"/>
    <n v="500"/>
  </r>
  <r>
    <s v="KHI/HO/D/MO/MC COMP/P/98353/09/2024"/>
    <m/>
    <x v="15"/>
    <s v="Punjab"/>
    <d v="2024-09-26T00:00:00"/>
    <d v="2025-09-26T00:00:00"/>
    <s v="MUHAMMAD ABDULLAH"/>
    <s v="SUZUKI-GD-110S"/>
    <n v="8800"/>
    <n v="7155"/>
    <n v="2.5000000000000001E-2"/>
    <s v="148097"/>
    <d v="2024-09-26T00:00:00"/>
    <s v="MOTORCYCLE  COMPREHENSIVE"/>
    <n v="352000"/>
    <n v="1073.25"/>
    <n v="71.55"/>
    <n v="500"/>
  </r>
  <r>
    <s v="KHI/HO/D/MO/MC COMP/P/98354/09/2024"/>
    <m/>
    <x v="15"/>
    <s v="Punjab"/>
    <d v="2024-09-26T00:00:00"/>
    <d v="2025-09-26T00:00:00"/>
    <s v="MUHAMMAD RIZWAN"/>
    <s v="SUZUKI-GSX 125"/>
    <n v="12475"/>
    <n v="10323"/>
    <n v="2.5000000000000001E-2"/>
    <s v="23102653"/>
    <d v="2024-09-26T00:00:00"/>
    <s v="MOTORCYCLE  COMPREHENSIVE"/>
    <n v="499000"/>
    <n v="1548.45"/>
    <n v="103.23"/>
    <n v="500"/>
  </r>
  <r>
    <s v="KHI/HO/D/MO/MC COMP/P/98355/09/2024"/>
    <m/>
    <x v="15"/>
    <s v="Punjab"/>
    <d v="2024-09-26T00:00:00"/>
    <d v="2025-09-26T00:00:00"/>
    <s v="MUHAMMAD BILAL"/>
    <s v="SUZUKI-GD-110S"/>
    <n v="8800"/>
    <n v="7155"/>
    <n v="2.5000000000000001E-2"/>
    <s v="148138"/>
    <d v="2024-09-26T00:00:00"/>
    <s v="MOTORCYCLE  COMPREHENSIVE"/>
    <n v="352000"/>
    <n v="1073.25"/>
    <n v="71.55"/>
    <n v="500"/>
  </r>
  <r>
    <s v="KHI/HO/D/MO/MC COMP/P/98358/09/2024"/>
    <m/>
    <x v="1"/>
    <s v="South"/>
    <d v="2024-09-26T00:00:00"/>
    <d v="2025-09-26T00:00:00"/>
    <s v="MUHAMMAD AMMAR RAZA"/>
    <s v="SUZUKI-GR150 EURO II"/>
    <n v="23248"/>
    <n v="19610"/>
    <n v="4.2500914076782449E-2"/>
    <s v="113782"/>
    <d v="2024-09-26T00:00:00"/>
    <s v="MOTORCYCLE  COMPREHENSIVE"/>
    <n v="547000"/>
    <n v="2941.5"/>
    <n v="196.1"/>
    <n v="500"/>
  </r>
  <r>
    <s v="KHI/HO/D/MO/MC COMP/P/98359/09/2024"/>
    <m/>
    <x v="1"/>
    <s v="South"/>
    <d v="2025-09-27T00:00:00"/>
    <d v="2026-09-27T00:00:00"/>
    <s v="MUHAMMAD AMMAR RAZA"/>
    <s v="SUZUKI-GR150 EURO II"/>
    <n v="23248"/>
    <n v="19610"/>
    <n v="4.2500914076782449E-2"/>
    <s v="113782"/>
    <d v="2024-09-26T00:00:00"/>
    <s v="MOTORCYCLE  COMPREHENSIVE"/>
    <n v="547000"/>
    <n v="2941.5"/>
    <n v="196.1"/>
    <n v="500"/>
  </r>
  <r>
    <s v="KHI/HO/D/MO/MC COMP/P/98360/09/2024"/>
    <m/>
    <x v="15"/>
    <s v="Punjab"/>
    <d v="2024-09-26T00:00:00"/>
    <d v="2025-09-26T00:00:00"/>
    <s v="MUHAMMAD RASHID"/>
    <s v="SUZUKI-GD-110S"/>
    <n v="8800"/>
    <n v="7155"/>
    <n v="2.5000000000000001E-2"/>
    <s v="148135"/>
    <d v="2024-09-26T00:00:00"/>
    <s v="MOTORCYCLE  COMPREHENSIVE"/>
    <n v="352000"/>
    <n v="1073.25"/>
    <n v="71.55"/>
    <n v="500"/>
  </r>
  <r>
    <s v="KHI/HO/D/MO/MC COMP/P/98361/09/2024"/>
    <m/>
    <x v="15"/>
    <s v="Punjab"/>
    <d v="2024-09-26T00:00:00"/>
    <d v="2025-09-26T00:00:00"/>
    <s v="MUHAMMAD RASHID"/>
    <s v="SUZUKI-GD-110S"/>
    <n v="8800"/>
    <n v="7155"/>
    <n v="2.5000000000000001E-2"/>
    <s v="148135"/>
    <d v="2024-09-26T00:00:00"/>
    <s v="MOTORCYCLE  COMPREHENSIVE"/>
    <n v="352000"/>
    <n v="1073.25"/>
    <n v="71.55"/>
    <n v="500"/>
  </r>
  <r>
    <s v="KHI/HO/D/MO/MC COMP/P/98364/09/2024"/>
    <m/>
    <x v="2"/>
    <s v="South"/>
    <d v="2024-09-26T00:00:00"/>
    <d v="2025-09-26T00:00:00"/>
    <s v="MUHAMMAD USMAN ALI"/>
    <s v="SUZUKI-GD-110S"/>
    <n v="14960"/>
    <n v="12466"/>
    <n v="4.2500000000000003E-2"/>
    <s v="148705"/>
    <d v="2024-09-26T00:00:00"/>
    <s v="MOTORCYCLE  COMPREHENSIVE"/>
    <n v="352000"/>
    <n v="1869.9"/>
    <n v="124.66"/>
    <n v="500"/>
  </r>
  <r>
    <s v="KHI/HO/D/MO/MC COMP/P/98365/09/2024"/>
    <m/>
    <x v="2"/>
    <s v="South"/>
    <d v="2025-09-27T00:00:00"/>
    <d v="2026-09-27T00:00:00"/>
    <s v="MUHAMMAD USMAN ALI"/>
    <s v="SUZUKI-GD-110S"/>
    <n v="14960"/>
    <n v="12466"/>
    <n v="4.2500000000000003E-2"/>
    <s v="148705"/>
    <d v="2024-09-26T00:00:00"/>
    <s v="MOTORCYCLE  COMPREHENSIVE"/>
    <n v="352000"/>
    <n v="1869.9"/>
    <n v="124.66"/>
    <n v="500"/>
  </r>
  <r>
    <s v="KHI/HO/D/MO/MC COMP/P/98366/09/2024"/>
    <m/>
    <x v="3"/>
    <s v="South"/>
    <d v="2024-09-26T00:00:00"/>
    <d v="2025-09-26T00:00:00"/>
    <s v="HASSAN MUSTAQEEM"/>
    <s v="SUZUKI-GR150 EURO II"/>
    <n v="23248"/>
    <n v="19610"/>
    <n v="4.2500914076782449E-2"/>
    <s v="113791"/>
    <d v="2024-09-26T00:00:00"/>
    <s v="MOTORCYCLE  COMPREHENSIVE"/>
    <n v="547000"/>
    <n v="2941.5"/>
    <n v="196.1"/>
    <n v="500"/>
  </r>
  <r>
    <s v="KHI/HO/D/MO/MC COMP/P/98367/09/2024"/>
    <m/>
    <x v="3"/>
    <s v="South"/>
    <d v="2025-09-27T00:00:00"/>
    <d v="2026-09-27T00:00:00"/>
    <s v="HASSAN MUSTAQEEM"/>
    <s v="SUZUKI-GR150 EURO II"/>
    <n v="23248"/>
    <n v="19610"/>
    <n v="4.2500914076782449E-2"/>
    <s v="113791"/>
    <d v="2024-09-26T00:00:00"/>
    <s v="MOTORCYCLE  COMPREHENSIVE"/>
    <n v="547000"/>
    <n v="2941.5"/>
    <n v="196.1"/>
    <n v="500"/>
  </r>
  <r>
    <s v="KHI/HO/D/MO/MC COMP/P/98368/09/2024"/>
    <m/>
    <x v="15"/>
    <s v="Punjab"/>
    <d v="2024-09-26T00:00:00"/>
    <d v="2025-09-26T00:00:00"/>
    <s v="MUHAMMAD ZIA UR REHMAN"/>
    <s v="SUZUKI-GS-150"/>
    <n v="9550"/>
    <n v="7802"/>
    <n v="2.5000000000000001E-2"/>
    <s v="30093032"/>
    <d v="2024-09-26T00:00:00"/>
    <s v="MOTORCYCLE  COMPREHENSIVE"/>
    <n v="382000"/>
    <n v="1170.3"/>
    <n v="78.02"/>
    <n v="500"/>
  </r>
  <r>
    <s v="KHI/HO/D/MO/MC COMP/P/98369/09/2024"/>
    <m/>
    <x v="1"/>
    <s v="South"/>
    <d v="2024-09-26T00:00:00"/>
    <d v="2025-09-26T00:00:00"/>
    <s v="MUHAMMAD HASSAN RAFIQ"/>
    <s v="SUZUKI-GS-150"/>
    <n v="16235"/>
    <n v="13565"/>
    <n v="4.2500000000000003E-2"/>
    <s v="30093180"/>
    <d v="2024-09-26T00:00:00"/>
    <s v="MOTORCYCLE  COMPREHENSIVE"/>
    <n v="382000"/>
    <n v="2034.75"/>
    <n v="135.65"/>
    <n v="500"/>
  </r>
  <r>
    <s v="KHI/HO/D/MO/MC COMP/P/98370/09/2024"/>
    <m/>
    <x v="15"/>
    <s v="Punjab"/>
    <d v="2024-09-26T00:00:00"/>
    <d v="2025-09-26T00:00:00"/>
    <s v="AHTISHAM ALI"/>
    <s v="SUZUKI-GD-110S"/>
    <n v="8800"/>
    <n v="7155"/>
    <n v="2.5000000000000001E-2"/>
    <s v="148228"/>
    <d v="2024-09-26T00:00:00"/>
    <s v="MOTORCYCLE  COMPREHENSIVE"/>
    <n v="352000"/>
    <n v="1073.25"/>
    <n v="71.55"/>
    <n v="500"/>
  </r>
  <r>
    <s v="KHI/HO/D/MO/MC COMP/P/98373/09/2024"/>
    <m/>
    <x v="15"/>
    <s v="Punjab"/>
    <d v="2024-09-26T00:00:00"/>
    <d v="2025-09-26T00:00:00"/>
    <s v="TAHIR SHABBBIR"/>
    <s v="SUZUKI-GD-110S"/>
    <n v="8800"/>
    <n v="7155"/>
    <n v="2.5000000000000001E-2"/>
    <s v="148219"/>
    <d v="2024-09-26T00:00:00"/>
    <s v="MOTORCYCLE  COMPREHENSIVE"/>
    <n v="352000"/>
    <n v="1073.25"/>
    <n v="71.55"/>
    <n v="500"/>
  </r>
  <r>
    <s v="KHI/HO/D/MO/MC COMP/P/98375/09/2024"/>
    <m/>
    <x v="3"/>
    <s v="South"/>
    <d v="2024-09-26T00:00:00"/>
    <d v="2025-09-26T00:00:00"/>
    <s v="ABDUL SATTAR GHAZI"/>
    <s v="SUZUKI-GD-110S"/>
    <n v="14960"/>
    <n v="12466"/>
    <n v="4.2500000000000003E-2"/>
    <s v="148434"/>
    <d v="2024-09-26T00:00:00"/>
    <s v="MOTORCYCLE  COMPREHENSIVE"/>
    <n v="352000"/>
    <n v="1869.9"/>
    <n v="124.66"/>
    <n v="500"/>
  </r>
  <r>
    <s v="KHI/HO/D/MO/MC COMP/P/98376/09/2024"/>
    <m/>
    <x v="3"/>
    <s v="South"/>
    <d v="2025-09-27T00:00:00"/>
    <d v="2026-09-27T00:00:00"/>
    <s v="ABDUL SATTAR GHAZI"/>
    <s v="SUZUKI-GD-110S"/>
    <n v="14960"/>
    <n v="12466"/>
    <n v="4.2500000000000003E-2"/>
    <s v="148434"/>
    <d v="2024-09-26T00:00:00"/>
    <s v="MOTORCYCLE  COMPREHENSIVE"/>
    <n v="352000"/>
    <n v="1869.9"/>
    <n v="124.66"/>
    <n v="500"/>
  </r>
  <r>
    <s v="KHI/HO/D/MO/MC COMP/P/98378/09/2024"/>
    <m/>
    <x v="3"/>
    <s v="South"/>
    <d v="2024-09-26T00:00:00"/>
    <d v="2025-09-26T00:00:00"/>
    <s v="MUHAMMAD MOHSIN KHAN"/>
    <s v="SUZUKI-GD-110S"/>
    <n v="14960"/>
    <n v="12466"/>
    <n v="4.2500000000000003E-2"/>
    <s v="148774"/>
    <d v="2024-09-26T00:00:00"/>
    <s v="MOTORCYCLE  COMPREHENSIVE"/>
    <n v="352000"/>
    <n v="1869.9"/>
    <n v="124.66"/>
    <n v="500"/>
  </r>
  <r>
    <s v="KHI/HO/D/MO/MC COMP/P/98379/09/2024"/>
    <m/>
    <x v="3"/>
    <s v="South"/>
    <d v="2025-09-27T00:00:00"/>
    <d v="2026-09-27T00:00:00"/>
    <s v="MUHAMMAD MOHSIN KHAN"/>
    <s v="SUZUKI-GD-110S"/>
    <n v="14960"/>
    <n v="12466"/>
    <n v="4.2500000000000003E-2"/>
    <s v="148774"/>
    <d v="2024-09-26T00:00:00"/>
    <s v="MOTORCYCLE  COMPREHENSIVE"/>
    <n v="352000"/>
    <n v="1869.9"/>
    <n v="124.66"/>
    <n v="500"/>
  </r>
  <r>
    <s v="KHI/HO/D/MO/MC COMP/P/98380/09/2024"/>
    <m/>
    <x v="15"/>
    <s v="Punjab"/>
    <d v="2024-09-26T00:00:00"/>
    <d v="2025-09-26T00:00:00"/>
    <s v="TARIQ SOHAIL"/>
    <s v="SUZUKI-GD-110S"/>
    <n v="8800"/>
    <n v="7155"/>
    <n v="2.5000000000000001E-2"/>
    <s v="148096"/>
    <d v="2024-09-26T00:00:00"/>
    <s v="MOTORCYCLE  COMPREHENSIVE"/>
    <n v="352000"/>
    <n v="1073.25"/>
    <n v="71.55"/>
    <n v="500"/>
  </r>
  <r>
    <s v="KHI/HO/D/MO/MC COMP/P/98381/09/2024"/>
    <m/>
    <x v="15"/>
    <s v="Punjab"/>
    <d v="2024-09-26T00:00:00"/>
    <d v="2025-09-26T00:00:00"/>
    <s v="MUHAMMAD YAR"/>
    <s v="SUZUKI-GD-110S"/>
    <n v="8800"/>
    <n v="7155"/>
    <n v="2.5000000000000001E-2"/>
    <s v="148226"/>
    <d v="2024-09-26T00:00:00"/>
    <s v="MOTORCYCLE  COMPREHENSIVE"/>
    <n v="352000"/>
    <n v="1073.25"/>
    <n v="71.55"/>
    <n v="500"/>
  </r>
  <r>
    <s v="KHI/HO/D/MO/MC COMP/P/98383/09/2024"/>
    <m/>
    <x v="0"/>
    <s v="Punjab"/>
    <d v="2024-09-26T00:00:00"/>
    <d v="2025-09-26T00:00:00"/>
    <s v="MUHAMMAD HAMZA ALTAF"/>
    <s v="SUZUKI-GD-110S"/>
    <n v="8800"/>
    <n v="7155"/>
    <n v="2.5000000000000001E-2"/>
    <s v="148497"/>
    <d v="2024-09-26T00:00:00"/>
    <s v="MOTORCYCLE  COMPREHENSIVE"/>
    <n v="352000"/>
    <n v="1073.25"/>
    <n v="71.55"/>
    <n v="500"/>
  </r>
  <r>
    <s v="KHI/HO/D/MO/MC COMP/P/98384/09/2024"/>
    <m/>
    <x v="15"/>
    <s v="Punjab"/>
    <d v="2024-09-26T00:00:00"/>
    <d v="2025-09-26T00:00:00"/>
    <s v="SHAKEEL AHMAD"/>
    <s v="SUZUKI-GD-110S"/>
    <n v="8800"/>
    <n v="7155"/>
    <n v="2.5000000000000001E-2"/>
    <s v="148215"/>
    <d v="2024-09-26T00:00:00"/>
    <s v="MOTORCYCLE  COMPREHENSIVE"/>
    <n v="352000"/>
    <n v="1073.25"/>
    <n v="71.55"/>
    <n v="500"/>
  </r>
  <r>
    <s v="KHI/HO/D/MO/MC COMP/P/98385/09/2024"/>
    <m/>
    <x v="3"/>
    <s v="South"/>
    <d v="2024-09-26T00:00:00"/>
    <d v="2025-09-26T00:00:00"/>
    <s v="KAMIL"/>
    <s v="SUZUKI-GD-110S"/>
    <n v="14960"/>
    <n v="12466"/>
    <n v="4.2500000000000003E-2"/>
    <s v="148952"/>
    <d v="2024-09-26T00:00:00"/>
    <s v="MOTORCYCLE  COMPREHENSIVE"/>
    <n v="352000"/>
    <n v="1869.9"/>
    <n v="124.66"/>
    <n v="500"/>
  </r>
  <r>
    <s v="KHI/HO/D/MO/MC COMP/P/98386/09/2024"/>
    <m/>
    <x v="3"/>
    <s v="South"/>
    <d v="2025-09-27T00:00:00"/>
    <d v="2026-09-27T00:00:00"/>
    <s v="KAMIL"/>
    <s v="SUZUKI-GD-110S"/>
    <n v="14960"/>
    <n v="12466"/>
    <n v="4.2500000000000003E-2"/>
    <s v="148952"/>
    <d v="2024-09-26T00:00:00"/>
    <s v="MOTORCYCLE  COMPREHENSIVE"/>
    <n v="352000"/>
    <n v="1869.9"/>
    <n v="124.66"/>
    <n v="500"/>
  </r>
  <r>
    <s v="KHI/HO/D/MO/MC COMP/P/98387/09/2024"/>
    <m/>
    <x v="15"/>
    <s v="Punjab"/>
    <d v="2024-09-26T00:00:00"/>
    <d v="2025-09-26T00:00:00"/>
    <s v="NAQASH HUSSAIN"/>
    <s v="SUZUKI-GD-110S"/>
    <n v="8800"/>
    <n v="7155"/>
    <n v="2.5000000000000001E-2"/>
    <s v="148142"/>
    <d v="2024-09-26T00:00:00"/>
    <s v="MOTORCYCLE  COMPREHENSIVE"/>
    <n v="352000"/>
    <n v="1073.25"/>
    <n v="71.55"/>
    <n v="500"/>
  </r>
  <r>
    <s v="KHI/HO/D/MO/MC COMP/P/98389/09/2024"/>
    <m/>
    <x v="15"/>
    <s v="Punjab"/>
    <d v="2024-09-26T00:00:00"/>
    <d v="2025-09-26T00:00:00"/>
    <s v="HAFIZ MUHAMMAD SUFYAN"/>
    <s v="SUZUKI-GD-110S"/>
    <n v="8800"/>
    <n v="7155"/>
    <n v="2.5000000000000001E-2"/>
    <s v="148116"/>
    <d v="2024-09-26T00:00:00"/>
    <s v="MOTORCYCLE  COMPREHENSIVE"/>
    <n v="352000"/>
    <n v="1073.25"/>
    <n v="71.55"/>
    <n v="500"/>
  </r>
  <r>
    <s v="KHI/HO/D/MO/MC COMP/P/98395/09/2024"/>
    <m/>
    <x v="3"/>
    <s v="South"/>
    <d v="2024-09-26T00:00:00"/>
    <d v="2025-09-26T00:00:00"/>
    <s v="HASSAN ASIF"/>
    <s v="SUZUKI-GS 150"/>
    <n v="16235"/>
    <n v="13565"/>
    <n v="4.2500000000000003E-2"/>
    <s v="30093174"/>
    <d v="2024-09-26T00:00:00"/>
    <s v="MOTORCYCLE  COMPREHENSIVE"/>
    <n v="382000"/>
    <n v="2034.75"/>
    <n v="135.65"/>
    <n v="500"/>
  </r>
  <r>
    <s v="KHI/HO/D/MO/MC COMP/P/98396/09/2024"/>
    <m/>
    <x v="3"/>
    <s v="South"/>
    <d v="2024-09-26T00:00:00"/>
    <d v="2025-09-26T00:00:00"/>
    <s v="Hassan Asif"/>
    <s v="SUZUKI-GS 150"/>
    <n v="16235"/>
    <n v="13565"/>
    <n v="4.2500000000000003E-2"/>
    <s v="30093174"/>
    <d v="2024-09-26T00:00:00"/>
    <s v="MOTORCYCLE  COMPREHENSIVE"/>
    <n v="382000"/>
    <n v="2034.75"/>
    <n v="135.65"/>
    <n v="500"/>
  </r>
  <r>
    <s v="KHI/HO/D/MO/MC COMP/P/98401/09/2024"/>
    <m/>
    <x v="2"/>
    <s v="South"/>
    <d v="2024-09-26T00:00:00"/>
    <d v="2025-09-26T00:00:00"/>
    <s v="MUHAMMAD SOHAIL"/>
    <s v="SUZUKI-GD-110S"/>
    <n v="14960"/>
    <n v="12466"/>
    <n v="4.2500000000000003E-2"/>
    <s v="148706"/>
    <d v="2024-09-26T00:00:00"/>
    <s v="MOTORCYCLE  COMPREHENSIVE"/>
    <n v="352000"/>
    <n v="1869.9"/>
    <n v="124.66"/>
    <n v="500"/>
  </r>
  <r>
    <s v="KHI/HO/D/MO/MC COMP/P/98410/09/2024"/>
    <m/>
    <x v="18"/>
    <s v="South"/>
    <d v="2024-09-26T00:00:00"/>
    <d v="2025-09-26T00:00:00"/>
    <s v="SYED MUHAMMAD AHSAN IMAM"/>
    <s v="SUZUKI-GR150 EURO II"/>
    <n v="23248"/>
    <n v="19610"/>
    <n v="4.2500914076782449E-2"/>
    <s v="113741"/>
    <d v="2024-09-26T00:00:00"/>
    <s v="MOTORCYCLE  COMPREHENSIVE"/>
    <n v="547000"/>
    <n v="2941.5"/>
    <n v="196.1"/>
    <n v="500"/>
  </r>
  <r>
    <s v="KHI/HO/D/MO/MC COMP/P/98411/09/2024"/>
    <m/>
    <x v="7"/>
    <s v="South"/>
    <d v="2024-09-26T00:00:00"/>
    <d v="2025-09-26T00:00:00"/>
    <s v="UMAIR KHAN"/>
    <s v="SUZUKI-GD-110S"/>
    <n v="14960"/>
    <n v="12466"/>
    <n v="4.2500000000000003E-2"/>
    <s v="148194"/>
    <d v="2024-09-26T00:00:00"/>
    <s v="MOTORCYCLE  COMPREHENSIVE"/>
    <n v="352000"/>
    <n v="1869.9"/>
    <n v="124.66"/>
    <n v="500"/>
  </r>
  <r>
    <s v="KHI/HO/D/MO/MC COMP/P/98412/09/2024"/>
    <m/>
    <x v="7"/>
    <s v="South"/>
    <d v="2025-09-27T00:00:00"/>
    <d v="2026-09-27T00:00:00"/>
    <s v="UMAIR KHAN"/>
    <s v="SUZUKI-GD-110S"/>
    <n v="14960"/>
    <n v="12466"/>
    <n v="4.2500000000000003E-2"/>
    <s v="148194"/>
    <d v="2024-09-26T00:00:00"/>
    <s v="MOTORCYCLE  COMPREHENSIVE"/>
    <n v="352000"/>
    <n v="1869.9"/>
    <n v="124.66"/>
    <n v="500"/>
  </r>
  <r>
    <s v="KHI/HO/D/MO/MC COMP/P/98413/09/2024"/>
    <m/>
    <x v="5"/>
    <s v="South"/>
    <d v="2024-09-26T00:00:00"/>
    <d v="2025-09-26T00:00:00"/>
    <s v="KASHIF JAWED KHAN"/>
    <s v="SUZUKI-GD-110S"/>
    <n v="14960"/>
    <n v="12466"/>
    <n v="4.2500000000000003E-2"/>
    <s v="148721"/>
    <d v="2024-09-26T00:00:00"/>
    <s v="MOTORCYCLE  COMPREHENSIVE"/>
    <n v="352000"/>
    <n v="1869.9"/>
    <n v="124.66"/>
    <n v="500"/>
  </r>
  <r>
    <s v="KHI/HO/D/MO/MC COMP/P/98414/09/2024"/>
    <m/>
    <x v="5"/>
    <s v="South"/>
    <d v="2025-09-27T00:00:00"/>
    <d v="2026-09-27T00:00:00"/>
    <s v="KASHIF JAWED KHAN"/>
    <s v="SUZUKI-GD-110S"/>
    <n v="14960"/>
    <n v="12466"/>
    <n v="4.2500000000000003E-2"/>
    <s v="148721"/>
    <d v="2024-09-26T00:00:00"/>
    <s v="MOTORCYCLE  COMPREHENSIVE"/>
    <n v="352000"/>
    <n v="1869.9"/>
    <n v="124.66"/>
    <n v="500"/>
  </r>
  <r>
    <s v="KHI/HO/D/MO/MC COMP/P/98415/09/2024"/>
    <m/>
    <x v="5"/>
    <s v="South"/>
    <d v="2024-09-26T00:00:00"/>
    <d v="2025-09-26T00:00:00"/>
    <s v="SYED JUNAID UR REHMAN BUKHARI"/>
    <s v="SUZUKI-GD-110S"/>
    <n v="14960"/>
    <n v="12466"/>
    <n v="4.2500000000000003E-2"/>
    <s v="148556"/>
    <d v="2024-09-26T00:00:00"/>
    <s v="MOTORCYCLE  COMPREHENSIVE"/>
    <n v="352000"/>
    <n v="1869.9"/>
    <n v="124.66"/>
    <n v="500"/>
  </r>
  <r>
    <s v="KHI/HO/D/MO/MC COMP/P/98416/09/2024"/>
    <m/>
    <x v="5"/>
    <s v="South"/>
    <d v="2025-09-27T00:00:00"/>
    <d v="2026-09-27T00:00:00"/>
    <s v="SYED JUNAID UR REHMAN BUKHARI"/>
    <s v="SUZUKI-GD-110S"/>
    <n v="14960"/>
    <n v="12466"/>
    <n v="4.2500000000000003E-2"/>
    <s v="148556"/>
    <d v="2024-09-26T00:00:00"/>
    <s v="MOTORCYCLE  COMPREHENSIVE"/>
    <n v="352000"/>
    <n v="1869.9"/>
    <n v="124.66"/>
    <n v="500"/>
  </r>
  <r>
    <s v="KHI/HO/D/MO/MC COMP/P/98418/09/2024"/>
    <m/>
    <x v="5"/>
    <s v="South"/>
    <d v="2024-09-26T00:00:00"/>
    <d v="2025-09-26T00:00:00"/>
    <s v="MUHAMMAD YASIR IQBAL"/>
    <s v="SUZUKI-GD-110S"/>
    <n v="14960"/>
    <n v="12466"/>
    <n v="4.2500000000000003E-2"/>
    <s v="148690"/>
    <d v="2024-09-26T00:00:00"/>
    <s v="MOTORCYCLE  COMPREHENSIVE"/>
    <n v="352000"/>
    <n v="1869.9"/>
    <n v="124.66"/>
    <n v="500"/>
  </r>
  <r>
    <s v="KHI/HO/D/MO/MC COMP/P/98419/09/2024"/>
    <m/>
    <x v="3"/>
    <s v="South"/>
    <d v="2024-09-26T00:00:00"/>
    <d v="2025-09-26T00:00:00"/>
    <s v="SHEHROZ SHAMS"/>
    <s v="SUZUKI-GD-110S"/>
    <n v="14960"/>
    <n v="12466"/>
    <n v="4.2500000000000003E-2"/>
    <s v="148937"/>
    <d v="2024-09-26T00:00:00"/>
    <s v="MOTORCYCLE  COMPREHENSIVE"/>
    <n v="352000"/>
    <n v="1869.9"/>
    <n v="124.66"/>
    <n v="500"/>
  </r>
  <r>
    <s v="KHI/HO/D/MO/MC COMP/P/98420/09/2024"/>
    <m/>
    <x v="3"/>
    <s v="South"/>
    <d v="2025-09-27T00:00:00"/>
    <d v="2026-09-27T00:00:00"/>
    <s v="SHEHROZ SHAMS"/>
    <s v="SUZUKI-GD-110S"/>
    <n v="14960"/>
    <n v="12466"/>
    <n v="4.2500000000000003E-2"/>
    <s v="148937"/>
    <d v="2024-09-26T00:00:00"/>
    <s v="MOTORCYCLE  COMPREHENSIVE"/>
    <n v="352000"/>
    <n v="1869.9"/>
    <n v="124.66"/>
    <n v="500"/>
  </r>
  <r>
    <s v="KHI/HO/D/MO/MC COMP/P/98422/09/2024"/>
    <m/>
    <x v="5"/>
    <s v="South"/>
    <d v="2024-09-26T00:00:00"/>
    <d v="2025-09-26T00:00:00"/>
    <s v="MUHAMMAD ALI"/>
    <s v="SUZUKI-GD-110S"/>
    <n v="14960"/>
    <n v="12466"/>
    <n v="4.2500000000000003E-2"/>
    <s v="146280"/>
    <d v="2024-09-26T00:00:00"/>
    <s v="MOTORCYCLE  COMPREHENSIVE"/>
    <n v="352000"/>
    <n v="1869.9"/>
    <n v="124.66"/>
    <n v="500"/>
  </r>
  <r>
    <s v="KHI/HO/D/MO/MC COMP/P/98423/09/2024"/>
    <m/>
    <x v="13"/>
    <s v="Punjab"/>
    <d v="2024-09-26T00:00:00"/>
    <d v="2025-09-26T00:00:00"/>
    <s v="RANA MUHAMMAD FAYYAZ"/>
    <s v="SUZUKI-GSX 125"/>
    <n v="12475"/>
    <n v="10323"/>
    <n v="2.5000000000000001E-2"/>
    <s v="23102742"/>
    <d v="2024-09-26T00:00:00"/>
    <s v="MOTORCYCLE  COMPREHENSIVE"/>
    <n v="499000"/>
    <n v="1548.45"/>
    <n v="103.23"/>
    <n v="500"/>
  </r>
  <r>
    <s v="KHI/HO/D/MO/MC COMP/P/98424/09/2024"/>
    <m/>
    <x v="5"/>
    <s v="South"/>
    <d v="2024-09-26T00:00:00"/>
    <d v="2025-09-26T00:00:00"/>
    <s v="SYED MUHAMMAD ZARYAB"/>
    <s v="SUZUKI-GD-110S"/>
    <n v="14960"/>
    <n v="12466"/>
    <n v="4.2500000000000003E-2"/>
    <s v="147960"/>
    <d v="2024-09-26T00:00:00"/>
    <s v="MOTORCYCLE  COMPREHENSIVE"/>
    <n v="352000"/>
    <n v="1869.9"/>
    <n v="124.66"/>
    <n v="500"/>
  </r>
  <r>
    <s v="KHI/HO/D/MO/MC COMP/P/98425/09/2024"/>
    <m/>
    <x v="5"/>
    <s v="South"/>
    <d v="2025-09-27T00:00:00"/>
    <d v="2026-09-27T00:00:00"/>
    <s v="SYED MUHAMMAD ZARYAB"/>
    <s v="SUZUKI-GD-110S"/>
    <n v="14960"/>
    <n v="12466"/>
    <n v="4.2500000000000003E-2"/>
    <s v="147960"/>
    <d v="2024-09-26T00:00:00"/>
    <s v="MOTORCYCLE  COMPREHENSIVE"/>
    <n v="352000"/>
    <n v="1869.9"/>
    <n v="124.66"/>
    <n v="500"/>
  </r>
  <r>
    <s v="KHI/HO/D/MO/MC COMP/P/98427/09/2024"/>
    <m/>
    <x v="5"/>
    <s v="South"/>
    <d v="2024-09-26T00:00:00"/>
    <d v="2025-09-26T00:00:00"/>
    <s v="SHOAIB MAZHAR"/>
    <s v="SUZUKI-GD-110S"/>
    <n v="14960"/>
    <n v="12466"/>
    <n v="4.2500000000000003E-2"/>
    <s v="148555"/>
    <d v="2024-09-26T00:00:00"/>
    <s v="MOTORCYCLE  COMPREHENSIVE"/>
    <n v="352000"/>
    <n v="1869.9"/>
    <n v="124.66"/>
    <n v="500"/>
  </r>
  <r>
    <s v="KHI/HO/D/MO/MC COMP/P/98428/09/2024"/>
    <m/>
    <x v="5"/>
    <s v="South"/>
    <d v="2025-09-27T00:00:00"/>
    <d v="2026-09-27T00:00:00"/>
    <s v="SHOAIB MAZHAR"/>
    <s v="SUZUKI-GD-110S"/>
    <n v="14960"/>
    <n v="12466"/>
    <n v="4.2500000000000003E-2"/>
    <s v="148555"/>
    <d v="2024-09-26T00:00:00"/>
    <s v="MOTORCYCLE  COMPREHENSIVE"/>
    <n v="352000"/>
    <n v="1869.9"/>
    <n v="124.66"/>
    <n v="500"/>
  </r>
  <r>
    <s v="KHI/HO/D/MO/MC COMP/P/98429/09/2024"/>
    <m/>
    <x v="3"/>
    <s v="South"/>
    <d v="2024-09-26T00:00:00"/>
    <d v="2025-09-26T00:00:00"/>
    <s v="ABDUL RASHEED"/>
    <s v="SUZUKI-GD-110S"/>
    <n v="14960"/>
    <n v="12466"/>
    <n v="4.2500000000000003E-2"/>
    <s v="148949"/>
    <d v="2024-09-26T00:00:00"/>
    <s v="MOTORCYCLE  COMPREHENSIVE"/>
    <n v="352000"/>
    <n v="1869.9"/>
    <n v="124.66"/>
    <n v="500"/>
  </r>
  <r>
    <s v="KHI/HO/D/MO/MC COMP/P/98430/09/2024"/>
    <m/>
    <x v="14"/>
    <s v="Punjab"/>
    <d v="2024-09-26T00:00:00"/>
    <d v="2025-09-26T00:00:00"/>
    <s v="MOEEN AKHTAR"/>
    <s v="SUZUKI-GD-110S"/>
    <n v="8800"/>
    <n v="7155"/>
    <n v="2.5000000000000001E-2"/>
    <s v="148346"/>
    <d v="2024-09-26T00:00:00"/>
    <s v="MOTORCYCLE  COMPREHENSIVE"/>
    <n v="352000"/>
    <n v="1073.25"/>
    <n v="71.55"/>
    <n v="500"/>
  </r>
  <r>
    <s v="KHI/HO/D/MO/MC COMP/P/98431/09/2024"/>
    <m/>
    <x v="5"/>
    <s v="South"/>
    <d v="2024-09-26T00:00:00"/>
    <d v="2025-09-26T00:00:00"/>
    <s v="MUHAMMAD JHANGIR"/>
    <s v="SUZUKI-GD-110S"/>
    <n v="14960"/>
    <n v="12466"/>
    <n v="4.2500000000000003E-2"/>
    <s v="148562"/>
    <d v="2024-09-26T00:00:00"/>
    <s v="MOTORCYCLE  COMPREHENSIVE"/>
    <n v="352000"/>
    <n v="1869.9"/>
    <n v="124.66"/>
    <n v="500"/>
  </r>
  <r>
    <s v="KHI/HO/D/MO/MC COMP/P/98432/09/2024"/>
    <m/>
    <x v="5"/>
    <s v="South"/>
    <d v="2025-09-27T00:00:00"/>
    <d v="2026-09-27T00:00:00"/>
    <s v="MUHAMMAD JHANGIR"/>
    <s v="SUZUKI-GD-110S"/>
    <n v="14960"/>
    <n v="12466"/>
    <n v="4.2500000000000003E-2"/>
    <s v="148562"/>
    <d v="2024-09-26T00:00:00"/>
    <s v="MOTORCYCLE  COMPREHENSIVE"/>
    <n v="352000"/>
    <n v="1869.9"/>
    <n v="124.66"/>
    <n v="500"/>
  </r>
  <r>
    <s v="KHI/HO/D/MO/MC COMP/P/98433/09/2024"/>
    <m/>
    <x v="5"/>
    <s v="South"/>
    <d v="2024-09-26T00:00:00"/>
    <d v="2025-09-26T00:00:00"/>
    <s v="RIZWAN"/>
    <s v="SUZUKI-GD-110S"/>
    <n v="14960"/>
    <n v="12466"/>
    <n v="4.2500000000000003E-2"/>
    <s v="148692"/>
    <d v="2024-09-26T00:00:00"/>
    <s v="MOTORCYCLE  COMPREHENSIVE"/>
    <n v="352000"/>
    <n v="1869.9"/>
    <n v="124.66"/>
    <n v="500"/>
  </r>
  <r>
    <s v="KHI/HO/D/MO/MC COMP/P/98434/09/2024"/>
    <m/>
    <x v="5"/>
    <s v="South"/>
    <d v="2025-09-27T00:00:00"/>
    <d v="2026-09-27T00:00:00"/>
    <s v="RIZWAN"/>
    <s v="SUZUKI-GD-110S"/>
    <n v="14960"/>
    <n v="12466"/>
    <n v="4.2500000000000003E-2"/>
    <s v="148692"/>
    <d v="2024-09-26T00:00:00"/>
    <s v="MOTORCYCLE  COMPREHENSIVE"/>
    <n v="352000"/>
    <n v="1869.9"/>
    <n v="124.66"/>
    <n v="500"/>
  </r>
  <r>
    <s v="KHI/HO/D/MO/MC COMP/P/98435/09/2024"/>
    <m/>
    <x v="5"/>
    <s v="South"/>
    <d v="2024-09-26T00:00:00"/>
    <d v="2025-09-26T00:00:00"/>
    <s v="HUSSNAIN HYDER"/>
    <s v="SUZUKI-GS 150"/>
    <n v="16235"/>
    <n v="13565"/>
    <n v="4.2500000000000003E-2"/>
    <s v="30093119"/>
    <d v="2024-09-26T00:00:00"/>
    <s v="MOTORCYCLE  COMPREHENSIVE"/>
    <n v="382000"/>
    <n v="2034.75"/>
    <n v="135.65"/>
    <n v="500"/>
  </r>
  <r>
    <s v="KHI/HO/D/MO/MC COMP/P/98436/09/2024"/>
    <m/>
    <x v="4"/>
    <s v="South"/>
    <d v="2024-09-26T00:00:00"/>
    <d v="2025-09-26T00:00:00"/>
    <s v="ABDUL REHMAN"/>
    <s v="SUZUKI-GD-110S"/>
    <n v="14960"/>
    <n v="12466"/>
    <n v="4.2500000000000003E-2"/>
    <s v="146895"/>
    <d v="2024-09-26T00:00:00"/>
    <s v="MOTORCYCLE  COMPREHENSIVE"/>
    <n v="352000"/>
    <n v="1869.9"/>
    <n v="124.66"/>
    <n v="500"/>
  </r>
  <r>
    <s v="KHI/HO/D/MO/MC COMP/P/98437/09/2024"/>
    <m/>
    <x v="5"/>
    <s v="South"/>
    <d v="2024-09-26T00:00:00"/>
    <d v="2025-09-26T00:00:00"/>
    <s v="GHULAM SHABBIR"/>
    <s v="SUZUKI-GS 150"/>
    <n v="16235"/>
    <n v="13565"/>
    <n v="4.2500000000000003E-2"/>
    <s v="30093113"/>
    <d v="2024-09-26T00:00:00"/>
    <s v="MOTORCYCLE  COMPREHENSIVE"/>
    <n v="382000"/>
    <n v="2034.75"/>
    <n v="135.65"/>
    <n v="500"/>
  </r>
  <r>
    <s v="KHI/HO/D/MO/MC COMP/P/98438/09/2024"/>
    <m/>
    <x v="4"/>
    <s v="South"/>
    <d v="2024-09-26T00:00:00"/>
    <d v="2025-09-26T00:00:00"/>
    <s v="MUHAMMAD YASIN"/>
    <s v="SUZUKI-GD-110S"/>
    <n v="14960"/>
    <n v="12466"/>
    <n v="4.2500000000000003E-2"/>
    <s v="148511"/>
    <d v="2024-09-26T00:00:00"/>
    <s v="MOTORCYCLE  COMPREHENSIVE"/>
    <n v="352000"/>
    <n v="1869.9"/>
    <n v="124.66"/>
    <n v="500"/>
  </r>
  <r>
    <s v="KHI/HO/D/MO/MC COMP/P/98439/09/2024"/>
    <m/>
    <x v="4"/>
    <s v="South"/>
    <d v="2025-09-27T00:00:00"/>
    <d v="2026-09-27T00:00:00"/>
    <s v="MUHAMMAD YASIN"/>
    <s v="SUZUKI-GD-110S"/>
    <n v="14960"/>
    <n v="12466"/>
    <n v="4.2500000000000003E-2"/>
    <s v="148511"/>
    <d v="2024-09-26T00:00:00"/>
    <s v="MOTORCYCLE  COMPREHENSIVE"/>
    <n v="352000"/>
    <n v="1869.9"/>
    <n v="124.66"/>
    <n v="500"/>
  </r>
  <r>
    <s v="KHI/HO/D/MO/MC COMP/P/98440/09/2024"/>
    <m/>
    <x v="4"/>
    <s v="South"/>
    <d v="2024-09-26T00:00:00"/>
    <d v="2025-09-26T00:00:00"/>
    <s v="BILAL AKRAM"/>
    <s v="SUZUKI-GSX 125"/>
    <n v="21208"/>
    <n v="17852"/>
    <n v="4.2501002004008019E-2"/>
    <s v="23102703"/>
    <d v="2024-09-26T00:00:00"/>
    <s v="MOTORCYCLE  COMPREHENSIVE"/>
    <n v="499000"/>
    <n v="2677.8"/>
    <n v="178.52"/>
    <n v="500"/>
  </r>
  <r>
    <s v="KHI/HO/D/MO/MC COMP/P/98441/09/2024"/>
    <m/>
    <x v="4"/>
    <s v="South"/>
    <d v="2025-09-27T00:00:00"/>
    <d v="2026-09-27T00:00:00"/>
    <s v="BILAL AKRAM"/>
    <s v="SUZUKI-GSX 125"/>
    <n v="21208"/>
    <n v="17852"/>
    <n v="4.2501002004008019E-2"/>
    <s v="23102703"/>
    <d v="2024-09-26T00:00:00"/>
    <s v="MOTORCYCLE  COMPREHENSIVE"/>
    <n v="499000"/>
    <n v="2677.8"/>
    <n v="178.52"/>
    <n v="500"/>
  </r>
  <r>
    <s v="KHI/HO/D/MO/MC COMP/P/98442/09/2024"/>
    <m/>
    <x v="4"/>
    <s v="South"/>
    <d v="2024-09-26T00:00:00"/>
    <d v="2025-09-26T00:00:00"/>
    <s v="MUHAMMAD AHSAN"/>
    <s v="SUZUKI-GD-110S"/>
    <n v="14960"/>
    <n v="12466"/>
    <n v="4.2500000000000003E-2"/>
    <s v="148506"/>
    <d v="2024-09-26T00:00:00"/>
    <s v="MOTORCYCLE  COMPREHENSIVE"/>
    <n v="352000"/>
    <n v="1869.9"/>
    <n v="124.66"/>
    <n v="500"/>
  </r>
  <r>
    <s v="KHI/HO/D/MO/MC COMP/P/98443/09/2024"/>
    <m/>
    <x v="4"/>
    <s v="South"/>
    <d v="2025-09-27T00:00:00"/>
    <d v="2026-09-27T00:00:00"/>
    <s v="MUHAMMAD AHSAN"/>
    <s v="SUZUKI-GD-110S"/>
    <n v="14960"/>
    <n v="12466"/>
    <n v="4.2500000000000003E-2"/>
    <s v="148506"/>
    <d v="2024-09-26T00:00:00"/>
    <s v="MOTORCYCLE  COMPREHENSIVE"/>
    <n v="352000"/>
    <n v="1869.9"/>
    <n v="124.66"/>
    <n v="500"/>
  </r>
  <r>
    <s v="KHI/HO/D/MO/MC COMP/P/98444/09/2024"/>
    <m/>
    <x v="4"/>
    <s v="South"/>
    <d v="2024-09-26T00:00:00"/>
    <d v="2025-09-26T00:00:00"/>
    <s v="IRSHAD"/>
    <s v="SUZUKI-GS 150"/>
    <n v="16235"/>
    <n v="13565"/>
    <n v="4.2500000000000003E-2"/>
    <s v="30093112"/>
    <d v="2024-09-26T00:00:00"/>
    <s v="MOTORCYCLE  COMPREHENSIVE"/>
    <n v="382000"/>
    <n v="2034.75"/>
    <n v="135.65"/>
    <n v="500"/>
  </r>
  <r>
    <s v="KHI/HO/D/MO/MC COMP/P/98445/09/2024"/>
    <m/>
    <x v="4"/>
    <s v="South"/>
    <d v="2025-09-27T00:00:00"/>
    <d v="2026-09-27T00:00:00"/>
    <s v="IRSHAD"/>
    <s v="SUZUKI-GS 150"/>
    <n v="16235"/>
    <n v="13565"/>
    <n v="4.2500000000000003E-2"/>
    <s v="30093112"/>
    <d v="2024-09-26T00:00:00"/>
    <s v="MOTORCYCLE  COMPREHENSIVE"/>
    <n v="382000"/>
    <n v="2034.75"/>
    <n v="135.65"/>
    <n v="500"/>
  </r>
  <r>
    <s v="KHI/HO/D/MO/MC COMP/P/98446/09/2024"/>
    <m/>
    <x v="4"/>
    <s v="South"/>
    <d v="2024-09-26T00:00:00"/>
    <d v="2025-09-26T00:00:00"/>
    <s v="MUHAMMAD SAAD"/>
    <s v="SUZUKI-GR150 EURO II"/>
    <n v="23248"/>
    <n v="19610"/>
    <n v="4.2500914076782449E-2"/>
    <s v="113602"/>
    <d v="2024-09-26T00:00:00"/>
    <s v="MOTORCYCLE  COMPREHENSIVE"/>
    <n v="547000"/>
    <n v="2941.5"/>
    <n v="196.1"/>
    <n v="500"/>
  </r>
  <r>
    <s v="KHI/HO/D/MO/MC COMP/P/98447/09/2024"/>
    <m/>
    <x v="4"/>
    <s v="South"/>
    <d v="2025-09-27T00:00:00"/>
    <d v="2026-09-27T00:00:00"/>
    <s v="MUHAMMAD SAAD"/>
    <s v="SUZUKI-GR150 EURO II"/>
    <n v="23248"/>
    <n v="19610"/>
    <n v="4.2500914076782449E-2"/>
    <s v="113602"/>
    <d v="2024-09-26T00:00:00"/>
    <s v="MOTORCYCLE  COMPREHENSIVE"/>
    <n v="547000"/>
    <n v="2941.5"/>
    <n v="196.1"/>
    <n v="500"/>
  </r>
  <r>
    <s v="KHI/HO/D/MO/MC COMP/P/98448/09/2024"/>
    <m/>
    <x v="4"/>
    <s v="South"/>
    <d v="2024-09-26T00:00:00"/>
    <d v="2025-09-26T00:00:00"/>
    <s v="RAHAB UL FAHAM"/>
    <s v="SUZUKI-GS 150"/>
    <n v="16235"/>
    <n v="13565"/>
    <n v="4.2500000000000003E-2"/>
    <s v="30093111"/>
    <d v="2024-09-26T00:00:00"/>
    <s v="MOTORCYCLE  COMPREHENSIVE"/>
    <n v="382000"/>
    <n v="2034.75"/>
    <n v="135.65"/>
    <n v="500"/>
  </r>
  <r>
    <s v="KHI/HO/D/MO/MC COMP/P/98449/09/2024"/>
    <m/>
    <x v="4"/>
    <s v="South"/>
    <d v="2024-09-26T00:00:00"/>
    <d v="2025-09-26T00:00:00"/>
    <s v="TARNUM ZEHRA"/>
    <s v="SUZUKI-GS 150"/>
    <n v="16235"/>
    <n v="13565"/>
    <n v="4.2500000000000003E-2"/>
    <s v="30092922"/>
    <d v="2024-09-26T00:00:00"/>
    <s v="MOTORCYCLE  COMPREHENSIVE"/>
    <n v="382000"/>
    <n v="2034.75"/>
    <n v="135.65"/>
    <n v="500"/>
  </r>
  <r>
    <s v="KHI/HO/D/MO/MC COMP/P/98450/09/2024"/>
    <m/>
    <x v="4"/>
    <s v="South"/>
    <d v="2025-09-27T00:00:00"/>
    <d v="2026-09-27T00:00:00"/>
    <s v="TARNUM ZEHRA"/>
    <s v="SUZUKI-GS 150"/>
    <n v="16235"/>
    <n v="13565"/>
    <n v="4.2500000000000003E-2"/>
    <s v="30092922"/>
    <d v="2024-09-26T00:00:00"/>
    <s v="MOTORCYCLE  COMPREHENSIVE"/>
    <n v="382000"/>
    <n v="2034.75"/>
    <n v="135.65"/>
    <n v="500"/>
  </r>
  <r>
    <s v="KHI/HO/D/MO/MC COMP/P/98451/09/2024"/>
    <m/>
    <x v="4"/>
    <s v="South"/>
    <d v="2024-09-26T00:00:00"/>
    <d v="2025-09-26T00:00:00"/>
    <s v="JAHANZAIB SALEEM"/>
    <s v="SUZUKI-GS 150"/>
    <n v="16235"/>
    <n v="13565"/>
    <n v="4.2500000000000003E-2"/>
    <s v="30093115"/>
    <d v="2024-09-26T00:00:00"/>
    <s v="MOTORCYCLE  COMPREHENSIVE"/>
    <n v="382000"/>
    <n v="2034.75"/>
    <n v="135.65"/>
    <n v="500"/>
  </r>
  <r>
    <s v="KHI/HO/D/MO/MC COMP/P/98452/09/2024"/>
    <m/>
    <x v="4"/>
    <s v="South"/>
    <d v="2024-09-26T00:00:00"/>
    <d v="2025-09-26T00:00:00"/>
    <s v="MUHAMMAD SAMEER"/>
    <s v="SUZUKI-GD-110S"/>
    <n v="14960"/>
    <n v="12466"/>
    <n v="4.2500000000000003E-2"/>
    <s v="147625"/>
    <d v="2024-09-26T00:00:00"/>
    <s v="MOTORCYCLE  COMPREHENSIVE"/>
    <n v="352000"/>
    <n v="1869.9"/>
    <n v="124.66"/>
    <n v="500"/>
  </r>
  <r>
    <s v="KHI/HO/D/MO/MC COMP/P/98473/09/2024"/>
    <m/>
    <x v="2"/>
    <s v="South"/>
    <d v="2024-09-27T00:00:00"/>
    <d v="2025-09-27T00:00:00"/>
    <s v="MUHAMMAD IMRAN KHAN"/>
    <s v="SUZUKI-GD-110S"/>
    <n v="14960"/>
    <n v="12466"/>
    <n v="4.2500000000000003E-2"/>
    <s v="148646"/>
    <d v="2024-09-27T00:00:00"/>
    <s v="MOTORCYCLE  COMPREHENSIVE"/>
    <n v="352000"/>
    <n v="1869.9"/>
    <n v="124.66"/>
    <n v="500"/>
  </r>
  <r>
    <s v="KHI/HO/D/MO/MC COMP/P/98474/09/2024"/>
    <m/>
    <x v="2"/>
    <s v="South"/>
    <d v="2025-09-28T00:00:00"/>
    <d v="2026-09-28T00:00:00"/>
    <s v="MUHAMMAD IMRAN KHAN"/>
    <s v="SUZUKI-GD-110S"/>
    <n v="14960"/>
    <n v="12466"/>
    <n v="4.2500000000000003E-2"/>
    <s v="148646"/>
    <d v="2024-09-27T00:00:00"/>
    <s v="MOTORCYCLE  COMPREHENSIVE"/>
    <n v="352000"/>
    <n v="1869.9"/>
    <n v="124.66"/>
    <n v="500"/>
  </r>
  <r>
    <s v="KHI/HO/D/MO/MC COMP/P/98485/09/2024"/>
    <m/>
    <x v="19"/>
    <s v="Punjab"/>
    <d v="2024-09-27T00:00:00"/>
    <d v="2025-09-27T00:00:00"/>
    <s v="FAISAL ASGHAR S/O MUHAMMAD ASGHAR"/>
    <s v="SUZUKI-GD-110S"/>
    <n v="8800"/>
    <n v="7155"/>
    <n v="2.5000000000000001E-2"/>
    <s v="147292"/>
    <d v="2024-09-27T00:00:00"/>
    <s v="MOTORCYCLE  COMPREHENSIVE"/>
    <n v="352000"/>
    <n v="1073.25"/>
    <n v="71.55"/>
    <n v="500"/>
  </r>
  <r>
    <s v="KHI/HO/D/MO/MC COMP/P/98486/09/2024"/>
    <m/>
    <x v="0"/>
    <s v="Punjab"/>
    <d v="2024-09-27T00:00:00"/>
    <d v="2025-09-27T00:00:00"/>
    <s v="TANVEER HUSSAIN"/>
    <s v="SUZUKI-GS 150"/>
    <n v="9550"/>
    <n v="7802"/>
    <n v="2.5000000000000001E-2"/>
    <s v="30092199"/>
    <d v="2024-09-27T00:00:00"/>
    <s v="MOTORCYCLE  COMPREHENSIVE"/>
    <n v="382000"/>
    <n v="1170.3"/>
    <n v="78.02"/>
    <n v="500"/>
  </r>
  <r>
    <s v="KHI/HO/D/MO/MC COMP/P/98487/09/2024"/>
    <m/>
    <x v="19"/>
    <s v="Punjab"/>
    <d v="2024-09-27T00:00:00"/>
    <d v="2025-09-27T00:00:00"/>
    <s v="GULZAR AHMED S/O GHULAM NABI"/>
    <s v="SUZUKI-GS 150"/>
    <n v="9550"/>
    <n v="7802"/>
    <n v="2.5000000000000001E-2"/>
    <s v="30092556"/>
    <d v="2024-09-27T00:00:00"/>
    <s v="MOTORCYCLE  COMPREHENSIVE"/>
    <n v="382000"/>
    <n v="1170.3"/>
    <n v="78.02"/>
    <n v="500"/>
  </r>
  <r>
    <s v="KHI/HO/D/MO/MC COMP/P/98488/09/2024"/>
    <m/>
    <x v="2"/>
    <s v="South"/>
    <d v="2024-09-27T00:00:00"/>
    <d v="2025-09-27T00:00:00"/>
    <s v="MUHAMMAD ADEEL"/>
    <s v="SUZUKI-GD-110S"/>
    <n v="14960"/>
    <n v="12466"/>
    <n v="4.2500000000000003E-2"/>
    <s v="148710"/>
    <d v="2024-09-27T00:00:00"/>
    <s v="MOTORCYCLE  COMPREHENSIVE"/>
    <n v="352000"/>
    <n v="1869.9"/>
    <n v="124.66"/>
    <n v="500"/>
  </r>
  <r>
    <s v="KHI/HO/D/MO/MC COMP/P/98489/09/2024"/>
    <m/>
    <x v="19"/>
    <s v="Punjab"/>
    <d v="2024-09-27T00:00:00"/>
    <d v="2025-09-27T00:00:00"/>
    <s v="ZUBAIR ASHRAF S/O MUHAMMAD ASHRAF"/>
    <s v="SUZUKI-GD-110S"/>
    <n v="8800"/>
    <n v="7155"/>
    <n v="2.5000000000000001E-2"/>
    <s v="143225"/>
    <d v="2024-09-27T00:00:00"/>
    <s v="MOTORCYCLE  COMPREHENSIVE"/>
    <n v="352000"/>
    <n v="1073.25"/>
    <n v="71.55"/>
    <n v="500"/>
  </r>
  <r>
    <s v="KHI/HO/D/MO/MC COMP/P/98490/09/2024"/>
    <m/>
    <x v="6"/>
    <s v="South"/>
    <d v="2024-09-27T00:00:00"/>
    <d v="2025-09-27T00:00:00"/>
    <s v="MUHAMMAD AHMED"/>
    <s v="SUZUKI-GSX 125"/>
    <n v="21208"/>
    <n v="17852"/>
    <n v="4.2501002004008019E-2"/>
    <s v="23102660"/>
    <d v="2024-09-27T00:00:00"/>
    <s v="MOTORCYCLE  COMPREHENSIVE"/>
    <n v="499000"/>
    <n v="2677.8"/>
    <n v="178.52"/>
    <n v="500"/>
  </r>
  <r>
    <s v="KHI/HO/D/MO/MC COMP/P/98491/09/2024"/>
    <m/>
    <x v="6"/>
    <s v="South"/>
    <d v="2025-09-28T00:00:00"/>
    <d v="2026-09-28T00:00:00"/>
    <s v="MUHAMMAD AHMED"/>
    <s v="SUZUKI-GSX 125"/>
    <n v="21208"/>
    <n v="17852"/>
    <n v="4.2501002004008019E-2"/>
    <s v="23102660"/>
    <d v="2024-09-27T00:00:00"/>
    <s v="MOTORCYCLE  COMPREHENSIVE"/>
    <n v="499000"/>
    <n v="2677.8"/>
    <n v="178.52"/>
    <n v="500"/>
  </r>
  <r>
    <s v="KHI/HO/D/MO/MC COMP/P/98492/09/2024"/>
    <m/>
    <x v="19"/>
    <s v="Punjab"/>
    <d v="2024-09-27T00:00:00"/>
    <d v="2025-09-27T00:00:00"/>
    <s v="SHEHROZ TARIQ S/O MUHAMMAD TARIQ"/>
    <s v="SUZUKI-GD-110S"/>
    <n v="8800"/>
    <n v="7155"/>
    <n v="2.5000000000000001E-2"/>
    <s v="147982"/>
    <d v="2024-09-27T00:00:00"/>
    <s v="MOTORCYCLE  COMPREHENSIVE"/>
    <n v="352000"/>
    <n v="1073.25"/>
    <n v="71.55"/>
    <n v="500"/>
  </r>
  <r>
    <s v="KHI/HO/D/MO/MC COMP/P/98493/09/2024"/>
    <m/>
    <x v="6"/>
    <s v="South"/>
    <d v="2024-09-27T00:00:00"/>
    <d v="2025-09-27T00:00:00"/>
    <s v="MUHAMMAD RASHID SHAH"/>
    <s v="SUZUKI-GS 150"/>
    <n v="16235"/>
    <n v="13565"/>
    <n v="4.2500000000000003E-2"/>
    <s v="30093157"/>
    <d v="2024-09-27T00:00:00"/>
    <s v="MOTORCYCLE  COMPREHENSIVE"/>
    <n v="382000"/>
    <n v="2034.75"/>
    <n v="135.65"/>
    <n v="500"/>
  </r>
  <r>
    <s v="KHI/HO/D/MO/MC COMP/P/98494/09/2024"/>
    <m/>
    <x v="6"/>
    <s v="South"/>
    <d v="2025-09-28T00:00:00"/>
    <d v="2026-09-28T00:00:00"/>
    <s v="MUHAMMAD RASHID SHAH"/>
    <s v="SUZUKI-GS 150"/>
    <n v="16235"/>
    <n v="13565"/>
    <n v="4.2500000000000003E-2"/>
    <s v="30093157"/>
    <d v="2024-09-27T00:00:00"/>
    <s v="MOTORCYCLE  COMPREHENSIVE"/>
    <n v="382000"/>
    <n v="2034.75"/>
    <n v="135.65"/>
    <n v="500"/>
  </r>
  <r>
    <s v="KHI/HO/D/MO/MC COMP/P/98495/09/2024"/>
    <m/>
    <x v="6"/>
    <s v="South"/>
    <d v="2024-09-27T00:00:00"/>
    <d v="2025-09-27T00:00:00"/>
    <s v="IMRAN ALI"/>
    <s v="SUZUKI-GD-110S"/>
    <n v="16235"/>
    <n v="13565"/>
    <n v="4.2500000000000003E-2"/>
    <s v="30093167"/>
    <d v="2024-09-27T00:00:00"/>
    <s v="MOTORCYCLE  COMPREHENSIVE"/>
    <n v="382000"/>
    <n v="2034.75"/>
    <n v="135.65"/>
    <n v="500"/>
  </r>
  <r>
    <s v="KHI/HO/D/MO/MC COMP/P/98496/09/2024"/>
    <m/>
    <x v="6"/>
    <s v="South"/>
    <d v="2024-09-27T00:00:00"/>
    <d v="2025-09-27T00:00:00"/>
    <s v="MUHAMMAD FAROOQ AHMED TIRMIZI"/>
    <s v="SUZUKI-GS 150"/>
    <n v="16235"/>
    <n v="13565"/>
    <n v="4.2500000000000003E-2"/>
    <s v="30093152"/>
    <d v="2024-09-27T00:00:00"/>
    <s v="MOTORCYCLE  COMPREHENSIVE"/>
    <n v="382000"/>
    <n v="2034.75"/>
    <n v="135.65"/>
    <n v="500"/>
  </r>
  <r>
    <s v="KHI/HO/D/MO/MC COMP/P/98497/09/2024"/>
    <m/>
    <x v="6"/>
    <s v="South"/>
    <d v="2025-09-28T00:00:00"/>
    <d v="2026-09-28T00:00:00"/>
    <s v="MUHAMMAD FAROOQ AHMED TIRMIZI"/>
    <s v="SUZUKI-GS 150"/>
    <n v="16235"/>
    <n v="13565"/>
    <n v="4.2500000000000003E-2"/>
    <s v="30093152"/>
    <d v="2024-09-27T00:00:00"/>
    <s v="MOTORCYCLE  COMPREHENSIVE"/>
    <n v="382000"/>
    <n v="2034.75"/>
    <n v="135.65"/>
    <n v="500"/>
  </r>
  <r>
    <s v="KHI/HO/D/MO/MC COMP/P/98498/09/2024"/>
    <m/>
    <x v="18"/>
    <s v="South"/>
    <d v="2024-09-27T00:00:00"/>
    <d v="2025-09-27T00:00:00"/>
    <s v="NAHEED BEGUM"/>
    <s v="SUZUKI-GS 150"/>
    <n v="16235"/>
    <n v="13565"/>
    <n v="4.2500000000000003E-2"/>
    <s v="30093168"/>
    <d v="2024-09-27T00:00:00"/>
    <s v="MOTORCYCLE  COMPREHENSIVE"/>
    <n v="382000"/>
    <n v="2034.75"/>
    <n v="135.65"/>
    <n v="500"/>
  </r>
  <r>
    <s v="KHI/HO/D/MO/MC COMP/P/98499/09/2024"/>
    <m/>
    <x v="18"/>
    <s v="South"/>
    <d v="2025-09-28T00:00:00"/>
    <d v="2026-09-28T00:00:00"/>
    <s v="NAHEED BEGUM"/>
    <s v="SUZUKI-GS 150"/>
    <n v="16235"/>
    <n v="13565"/>
    <n v="4.2500000000000003E-2"/>
    <s v="30093168"/>
    <d v="2024-09-27T00:00:00"/>
    <s v="MOTORCYCLE  COMPREHENSIVE"/>
    <n v="382000"/>
    <n v="2034.75"/>
    <n v="135.65"/>
    <n v="500"/>
  </r>
  <r>
    <s v="KHI/HO/D/MO/MC COMP/P/98500/09/2024"/>
    <m/>
    <x v="19"/>
    <s v="Punjab"/>
    <d v="2024-09-27T00:00:00"/>
    <d v="2025-09-27T00:00:00"/>
    <s v="DANISH MEHMOOD S/O SAJID MEHMOOD"/>
    <s v="SUZUKI-GD-110S"/>
    <n v="8800"/>
    <n v="7155"/>
    <n v="2.5000000000000001E-2"/>
    <s v="146664"/>
    <d v="2024-09-27T00:00:00"/>
    <s v="MOTORCYCLE  COMPREHENSIVE"/>
    <n v="352000"/>
    <n v="1073.25"/>
    <n v="71.55"/>
    <n v="500"/>
  </r>
  <r>
    <s v="KHI/HO/D/MO/MC COMP/P/98501/09/2024"/>
    <m/>
    <x v="18"/>
    <s v="South"/>
    <d v="2024-09-27T00:00:00"/>
    <d v="2025-09-27T00:00:00"/>
    <s v="ASIM ABBAS TALPUR"/>
    <s v="SUZUKI-GSX 125"/>
    <n v="21208"/>
    <n v="17852"/>
    <n v="4.2501002004008019E-2"/>
    <s v="23102713"/>
    <d v="2024-09-27T00:00:00"/>
    <s v="MOTORCYCLE  COMPREHENSIVE"/>
    <n v="499000"/>
    <n v="2677.8"/>
    <n v="178.52"/>
    <n v="500"/>
  </r>
  <r>
    <s v="KHI/HO/D/MO/MC COMP/P/98502/09/2024"/>
    <m/>
    <x v="18"/>
    <s v="South"/>
    <d v="2025-09-28T00:00:00"/>
    <d v="2026-09-28T00:00:00"/>
    <s v="ASIM ABBAS TALPUR"/>
    <s v="SUZUKI-GSX 125"/>
    <n v="21208"/>
    <n v="17852"/>
    <n v="4.2501002004008019E-2"/>
    <s v="23102713"/>
    <d v="2024-09-27T00:00:00"/>
    <s v="MOTORCYCLE  COMPREHENSIVE"/>
    <n v="499000"/>
    <n v="2677.8"/>
    <n v="178.52"/>
    <n v="500"/>
  </r>
  <r>
    <s v="KHI/HO/D/MO/MC COMP/P/98505/09/2024"/>
    <m/>
    <x v="11"/>
    <s v="Punjab"/>
    <d v="2024-09-27T00:00:00"/>
    <d v="2025-09-27T00:00:00"/>
    <s v="MUHAMMAD NADEEM"/>
    <s v="SUZUKI-GD-110S"/>
    <n v="8800"/>
    <n v="7155"/>
    <n v="2.5000000000000001E-2"/>
    <s v="148189"/>
    <d v="2024-09-27T00:00:00"/>
    <s v="MOTORCYCLE  COMPREHENSIVE"/>
    <n v="352000"/>
    <n v="1073.25"/>
    <n v="71.55"/>
    <n v="500"/>
  </r>
  <r>
    <s v="KHI/HO/D/MO/MC COMP/P/98506/09/2024"/>
    <m/>
    <x v="11"/>
    <s v="Punjab"/>
    <d v="2024-09-27T00:00:00"/>
    <d v="2025-09-27T00:00:00"/>
    <s v="SAJID RASHEED"/>
    <s v="SUZUKI-GD-110S"/>
    <n v="8800"/>
    <n v="7155"/>
    <n v="2.5000000000000001E-2"/>
    <s v="148202"/>
    <d v="2024-09-27T00:00:00"/>
    <s v="MOTORCYCLE  COMPREHENSIVE"/>
    <n v="352000"/>
    <n v="1073.25"/>
    <n v="71.55"/>
    <n v="500"/>
  </r>
  <r>
    <s v="KHI/HO/D/MO/MC COMP/P/98508/09/2024"/>
    <m/>
    <x v="11"/>
    <s v="Punjab"/>
    <d v="2024-09-27T00:00:00"/>
    <d v="2025-09-27T00:00:00"/>
    <s v="SIKUNDAR ALI"/>
    <s v="SUZUKI-GD-110S"/>
    <n v="8800"/>
    <n v="7155"/>
    <n v="2.5000000000000001E-2"/>
    <s v="148280"/>
    <d v="2024-09-27T00:00:00"/>
    <s v="MOTORCYCLE  COMPREHENSIVE"/>
    <n v="352000"/>
    <n v="1073.25"/>
    <n v="71.55"/>
    <n v="500"/>
  </r>
  <r>
    <s v="KHI/HO/D/MO/MC COMP/P/98512/09/2024"/>
    <m/>
    <x v="22"/>
    <s v="Punjab"/>
    <d v="2024-09-27T00:00:00"/>
    <d v="2025-09-27T00:00:00"/>
    <s v="SHIEKH AHSAN ALI"/>
    <s v="SUZUKI-GS 150"/>
    <n v="9550"/>
    <n v="7802"/>
    <n v="2.5000000000000001E-2"/>
    <s v="30092902"/>
    <d v="2024-09-27T00:00:00"/>
    <s v="MOTORCYCLE  COMPREHENSIVE"/>
    <n v="382000"/>
    <n v="1170.3"/>
    <n v="78.02"/>
    <n v="500"/>
  </r>
  <r>
    <s v="KHI/HO/D/MO/MC COMP/P/98513/09/2024"/>
    <m/>
    <x v="22"/>
    <s v="Punjab"/>
    <d v="2024-09-27T00:00:00"/>
    <d v="2025-09-27T00:00:00"/>
    <s v="HAKIM ALI"/>
    <s v="SUZUKI-GD-110S"/>
    <n v="8800"/>
    <n v="7155"/>
    <n v="2.5000000000000001E-2"/>
    <s v="147773"/>
    <d v="2024-09-27T00:00:00"/>
    <s v="MOTORCYCLE  COMPREHENSIVE"/>
    <n v="352000"/>
    <n v="1073.25"/>
    <n v="71.55"/>
    <n v="500"/>
  </r>
  <r>
    <s v="KHI/HO/D/MO/MC COMP/P/98514/09/2024"/>
    <m/>
    <x v="22"/>
    <s v="Punjab"/>
    <d v="2024-09-27T00:00:00"/>
    <d v="2025-09-27T00:00:00"/>
    <s v="MUSHTAQ AHMAD"/>
    <s v="SUZUKI-GD-110S"/>
    <n v="8800"/>
    <n v="7155"/>
    <n v="2.5000000000000001E-2"/>
    <s v="147351"/>
    <d v="2024-09-27T00:00:00"/>
    <s v="MOTORCYCLE  COMPREHENSIVE"/>
    <n v="352000"/>
    <n v="1073.25"/>
    <n v="71.55"/>
    <n v="500"/>
  </r>
  <r>
    <s v="KHI/HO/D/MO/MC COMP/P/98516/09/2024"/>
    <m/>
    <x v="22"/>
    <s v="Punjab"/>
    <d v="2024-09-27T00:00:00"/>
    <d v="2025-09-27T00:00:00"/>
    <s v="ABID AKRAM"/>
    <s v="SUZUKI-GD-110S"/>
    <n v="8800"/>
    <n v="7155"/>
    <n v="2.5000000000000001E-2"/>
    <s v="148325"/>
    <d v="2024-09-27T00:00:00"/>
    <s v="MOTORCYCLE  COMPREHENSIVE"/>
    <n v="352000"/>
    <n v="1073.25"/>
    <n v="71.55"/>
    <n v="500"/>
  </r>
  <r>
    <s v="KHI/HO/D/MO/MC COMP/P/98518/09/2024"/>
    <m/>
    <x v="6"/>
    <s v="South"/>
    <d v="2024-09-27T00:00:00"/>
    <d v="2025-09-27T00:00:00"/>
    <s v="SALIK MAHMUD QURESHI"/>
    <s v="SUZUKI-GS 150"/>
    <n v="16235"/>
    <n v="13565"/>
    <n v="4.2500000000000003E-2"/>
    <s v="30093169"/>
    <d v="2024-09-27T00:00:00"/>
    <s v="MOTORCYCLE  COMPREHENSIVE"/>
    <n v="382000"/>
    <n v="2034.75"/>
    <n v="135.65"/>
    <n v="500"/>
  </r>
  <r>
    <s v="KHI/HO/D/MO/MC COMP/P/98520/09/2024"/>
    <m/>
    <x v="18"/>
    <s v="South"/>
    <d v="2024-09-27T00:00:00"/>
    <d v="2025-09-27T00:00:00"/>
    <s v="SHAIKH FAISAL"/>
    <s v="SUZUKI-GD-110S"/>
    <n v="14960"/>
    <n v="12466"/>
    <n v="4.2500000000000003E-2"/>
    <s v="148440"/>
    <d v="2024-09-27T00:00:00"/>
    <s v="MOTORCYCLE  COMPREHENSIVE"/>
    <n v="352000"/>
    <n v="1869.9"/>
    <n v="124.66"/>
    <n v="500"/>
  </r>
  <r>
    <s v="KHI/HO/D/MO/MC COMP/P/98521/09/2024"/>
    <m/>
    <x v="18"/>
    <s v="South"/>
    <d v="2025-09-28T00:00:00"/>
    <d v="2026-09-28T00:00:00"/>
    <s v="SHAIKH FAISAL"/>
    <s v="SUZUKI-GD-110S"/>
    <n v="14960"/>
    <n v="12466"/>
    <n v="4.2500000000000003E-2"/>
    <s v="148440"/>
    <d v="2024-09-27T00:00:00"/>
    <s v="MOTORCYCLE  COMPREHENSIVE"/>
    <n v="352000"/>
    <n v="1869.9"/>
    <n v="124.66"/>
    <n v="500"/>
  </r>
  <r>
    <s v="KHI/HO/D/MO/MC COMP/P/98525/09/2024"/>
    <m/>
    <x v="3"/>
    <s v="South"/>
    <d v="2024-09-27T00:00:00"/>
    <d v="2025-09-27T00:00:00"/>
    <s v="RIAZ AHMED"/>
    <s v="SUZUKI-GSX 125"/>
    <n v="21208"/>
    <n v="17852"/>
    <n v="4.2501002004008019E-2"/>
    <s v="23102544"/>
    <d v="2024-09-27T00:00:00"/>
    <s v="MOTORCYCLE  COMPREHENSIVE"/>
    <n v="499000"/>
    <n v="2677.8"/>
    <n v="178.52"/>
    <n v="500"/>
  </r>
  <r>
    <s v="KHI/HO/D/MO/MC COMP/P/98533/09/2024"/>
    <m/>
    <x v="3"/>
    <s v="South"/>
    <d v="2024-09-27T00:00:00"/>
    <d v="2025-09-27T00:00:00"/>
    <s v="MIRZA AFZAL BAIG"/>
    <s v="SUZUKI-GD-110S"/>
    <n v="14960"/>
    <n v="12466"/>
    <n v="4.2500000000000003E-2"/>
    <s v="148927"/>
    <d v="2024-09-27T00:00:00"/>
    <s v="MOTORCYCLE  COMPREHENSIVE"/>
    <n v="352000"/>
    <n v="1869.9"/>
    <n v="124.66"/>
    <n v="500"/>
  </r>
  <r>
    <s v="KHI/HO/D/MO/MC COMP/P/98534/09/2024"/>
    <m/>
    <x v="3"/>
    <s v="South"/>
    <d v="2025-09-28T00:00:00"/>
    <d v="2026-09-28T00:00:00"/>
    <s v="MIRZA AFZAL BAIG"/>
    <s v="SUZUKI-GD-110S"/>
    <n v="14960"/>
    <n v="12466"/>
    <n v="4.2500000000000003E-2"/>
    <s v="148927"/>
    <d v="2024-09-27T00:00:00"/>
    <s v="MOTORCYCLE  COMPREHENSIVE"/>
    <n v="352000"/>
    <n v="1869.9"/>
    <n v="124.66"/>
    <n v="500"/>
  </r>
  <r>
    <s v="KHI/HO/D/MO/MC COMP/P/98536/09/2024"/>
    <m/>
    <x v="19"/>
    <s v="Punjab"/>
    <d v="2024-09-27T00:00:00"/>
    <d v="2025-09-27T00:00:00"/>
    <s v="KIRAN SHEHZADI S/O MUHAMMAD ASIF"/>
    <s v="SUZUKI-GR150 EURO II"/>
    <n v="13675"/>
    <n v="11358"/>
    <n v="2.5000000000000001E-2"/>
    <s v="113600"/>
    <d v="2024-09-27T00:00:00"/>
    <s v="MOTORCYCLE  COMPREHENSIVE"/>
    <n v="547000"/>
    <n v="1703.7"/>
    <n v="113.58"/>
    <n v="500"/>
  </r>
  <r>
    <s v="KHI/HO/D/MO/MC COMP/P/98537/09/2024"/>
    <m/>
    <x v="19"/>
    <s v="Punjab"/>
    <d v="2024-09-27T00:00:00"/>
    <d v="2025-09-27T00:00:00"/>
    <s v="CH ZAKA ULLAH S/O CH.ABDULLAH KHAN"/>
    <s v="SUZUKI-GD-110S"/>
    <n v="8800"/>
    <n v="7155"/>
    <n v="2.5000000000000001E-2"/>
    <s v="147023"/>
    <d v="2024-09-27T00:00:00"/>
    <s v="MOTORCYCLE  COMPREHENSIVE"/>
    <n v="352000"/>
    <n v="1073.25"/>
    <n v="71.55"/>
    <n v="500"/>
  </r>
  <r>
    <s v="KHI/HO/D/MO/MC COMP/P/98539/09/2024"/>
    <m/>
    <x v="5"/>
    <s v="South"/>
    <d v="2024-09-27T00:00:00"/>
    <d v="2025-09-27T00:00:00"/>
    <s v="ABDULLAH MUNEER"/>
    <s v="SUZUKI-GD-110S"/>
    <n v="14960"/>
    <n v="12466"/>
    <n v="4.2500000000000003E-2"/>
    <s v="148561"/>
    <d v="2024-09-27T00:00:00"/>
    <s v="MOTORCYCLE  COMPREHENSIVE"/>
    <n v="352000"/>
    <n v="1869.9"/>
    <n v="124.66"/>
    <n v="500"/>
  </r>
  <r>
    <s v="KHI/HO/D/MO/MC COMP/P/98544/09/2024"/>
    <m/>
    <x v="1"/>
    <s v="South"/>
    <d v="2024-09-28T00:00:00"/>
    <d v="2025-09-28T00:00:00"/>
    <s v="WALEEDUDDIN"/>
    <s v="SUZUKI-GD-110S"/>
    <n v="14960"/>
    <n v="12466"/>
    <n v="4.2500000000000003E-2"/>
    <s v="148788"/>
    <d v="2024-09-28T00:00:00"/>
    <s v="MOTORCYCLE  COMPREHENSIVE"/>
    <n v="352000"/>
    <n v="1869.9"/>
    <n v="124.66"/>
    <n v="500"/>
  </r>
  <r>
    <s v="KHI/HO/D/MO/MC COMP/P/98545/09/2024"/>
    <m/>
    <x v="1"/>
    <s v="South"/>
    <d v="2025-09-29T00:00:00"/>
    <d v="2026-09-29T00:00:00"/>
    <s v="WALEEDUDDIN"/>
    <s v="SUZUKI-GD-110S"/>
    <n v="14960"/>
    <n v="12466"/>
    <n v="4.2500000000000003E-2"/>
    <s v="148788"/>
    <d v="2024-09-28T00:00:00"/>
    <s v="MOTORCYCLE  COMPREHENSIVE"/>
    <n v="352000"/>
    <n v="1869.9"/>
    <n v="124.66"/>
    <n v="500"/>
  </r>
  <r>
    <s v="KHI/HO/D/MO/MC COMP/P/98548/09/2024"/>
    <m/>
    <x v="1"/>
    <s v="South"/>
    <d v="2024-09-28T00:00:00"/>
    <d v="2025-09-28T00:00:00"/>
    <s v="SYED FARHAN MOBIN"/>
    <s v="SUZUKI-GS 150"/>
    <n v="16235"/>
    <n v="13565"/>
    <n v="4.2500000000000003E-2"/>
    <s v="30093171"/>
    <d v="2024-09-28T00:00:00"/>
    <s v="MOTORCYCLE  COMPREHENSIVE"/>
    <n v="382000"/>
    <n v="2034.75"/>
    <n v="135.65"/>
    <n v="500"/>
  </r>
  <r>
    <s v="KHI/HO/D/MO/MC COMP/P/98549/09/2024"/>
    <m/>
    <x v="1"/>
    <s v="South"/>
    <d v="2025-09-29T00:00:00"/>
    <d v="2026-09-29T00:00:00"/>
    <s v="SYED FARHAN MOBIN"/>
    <s v="SUZUKI-GS 150"/>
    <n v="16235"/>
    <n v="13565"/>
    <n v="4.2500000000000003E-2"/>
    <s v="30093171"/>
    <d v="2024-09-28T00:00:00"/>
    <s v="MOTORCYCLE  COMPREHENSIVE"/>
    <n v="382000"/>
    <n v="2034.75"/>
    <n v="135.65"/>
    <n v="500"/>
  </r>
  <r>
    <s v="KHI/HO/D/MO/MC COMP/P/98553/09/2024"/>
    <m/>
    <x v="2"/>
    <s v="South"/>
    <d v="2024-09-28T00:00:00"/>
    <d v="2025-09-28T00:00:00"/>
    <s v="ALTAF HUSSAIN"/>
    <s v="SUZUKI-GD-110S"/>
    <n v="14960"/>
    <n v="12466"/>
    <n v="4.2500000000000003E-2"/>
    <s v="148956"/>
    <d v="2024-09-28T00:00:00"/>
    <s v="MOTORCYCLE  COMPREHENSIVE"/>
    <n v="352000"/>
    <n v="1869.9"/>
    <n v="124.66"/>
    <n v="500"/>
  </r>
  <r>
    <s v="KHI/HO/D/MO/MC COMP/P/98555/09/2024"/>
    <m/>
    <x v="2"/>
    <s v="South"/>
    <d v="2024-09-28T00:00:00"/>
    <d v="2025-09-28T00:00:00"/>
    <s v="MUHAMMAD RIZWAN"/>
    <s v="SUZUKI-GR150 EURO II"/>
    <n v="23248"/>
    <n v="19610"/>
    <n v="4.2500914076782449E-2"/>
    <s v="113846"/>
    <d v="2024-09-28T00:00:00"/>
    <s v="MOTORCYCLE  COMPREHENSIVE"/>
    <n v="547000"/>
    <n v="2941.5"/>
    <n v="196.1"/>
    <n v="500"/>
  </r>
  <r>
    <s v="KHI/HO/D/MO/MC COMP/P/98556/09/2024"/>
    <m/>
    <x v="2"/>
    <s v="South"/>
    <d v="2025-09-29T00:00:00"/>
    <d v="2026-09-29T00:00:00"/>
    <s v="MUHAMMAD RIZWAN"/>
    <s v="SUZUKI-GR150 EURO II"/>
    <n v="23248"/>
    <n v="19610"/>
    <n v="4.2500914076782449E-2"/>
    <s v="113846"/>
    <d v="2024-09-28T00:00:00"/>
    <s v="MOTORCYCLE  COMPREHENSIVE"/>
    <n v="547000"/>
    <n v="2941.5"/>
    <n v="196.1"/>
    <n v="500"/>
  </r>
  <r>
    <s v="KHI/HO/D/MO/MC COMP/P/98557/09/2024"/>
    <m/>
    <x v="2"/>
    <s v="South"/>
    <d v="2024-09-28T00:00:00"/>
    <d v="2025-09-28T00:00:00"/>
    <s v="FARHAN ALI"/>
    <s v="SUZUKI-GR150 EURO II"/>
    <n v="23248"/>
    <n v="19610"/>
    <n v="4.2500914076782449E-2"/>
    <s v="113847"/>
    <d v="2024-09-28T00:00:00"/>
    <s v="MOTORCYCLE  COMPREHENSIVE"/>
    <n v="547000"/>
    <n v="2941.5"/>
    <n v="196.1"/>
    <n v="500"/>
  </r>
  <r>
    <s v="KHI/HO/D/MO/MC COMP/P/98558/09/2024"/>
    <m/>
    <x v="2"/>
    <s v="South"/>
    <d v="2025-09-29T00:00:00"/>
    <d v="2026-09-29T00:00:00"/>
    <s v="FARHAN ALI"/>
    <s v="SUZUKI-GR150 EURO II"/>
    <n v="23248"/>
    <n v="19610"/>
    <n v="4.2500914076782449E-2"/>
    <s v="113847"/>
    <d v="2024-09-28T00:00:00"/>
    <s v="MOTORCYCLE  COMPREHENSIVE"/>
    <n v="547000"/>
    <n v="2941.5"/>
    <n v="196.1"/>
    <n v="500"/>
  </r>
  <r>
    <s v="KHI/HO/D/MO/MC COMP/P/98559/09/2024"/>
    <m/>
    <x v="1"/>
    <s v="South"/>
    <d v="2024-09-28T00:00:00"/>
    <d v="2025-09-28T00:00:00"/>
    <s v="ASADULLAH"/>
    <s v="SUZUKI-GD-110S"/>
    <n v="14960"/>
    <n v="12466"/>
    <n v="4.2500000000000003E-2"/>
    <s v="147533"/>
    <d v="2024-09-28T00:00:00"/>
    <s v="MOTORCYCLE  COMPREHENSIVE"/>
    <n v="352000"/>
    <n v="1869.9"/>
    <n v="124.66"/>
    <n v="500"/>
  </r>
  <r>
    <s v="KHI/HO/D/MO/MC COMP/P/98560/09/2024"/>
    <m/>
    <x v="1"/>
    <s v="South"/>
    <d v="2025-09-29T00:00:00"/>
    <d v="2026-09-29T00:00:00"/>
    <s v="ASADULLAH"/>
    <s v="SUZUKI-GD-110S"/>
    <n v="14960"/>
    <n v="12466"/>
    <n v="4.2500000000000003E-2"/>
    <s v="147533"/>
    <d v="2024-09-28T00:00:00"/>
    <s v="MOTORCYCLE  COMPREHENSIVE"/>
    <n v="352000"/>
    <n v="1869.9"/>
    <n v="124.66"/>
    <n v="500"/>
  </r>
  <r>
    <s v="KHI/HO/D/MO/MC COMP/P/98561/09/2024"/>
    <m/>
    <x v="7"/>
    <s v="South"/>
    <d v="2024-09-28T00:00:00"/>
    <d v="2025-09-28T00:00:00"/>
    <s v="ABDUL GHAFOOR HIGORA"/>
    <s v="SUZUKI-GS 150"/>
    <n v="16235"/>
    <n v="13565"/>
    <n v="4.2500000000000003E-2"/>
    <s v="30091786"/>
    <d v="2024-09-28T00:00:00"/>
    <s v="MOTORCYCLE  COMPREHENSIVE"/>
    <n v="382000"/>
    <n v="2034.75"/>
    <n v="135.65"/>
    <n v="500"/>
  </r>
  <r>
    <s v="KHI/HO/D/MO/MC COMP/P/98562/09/2024"/>
    <m/>
    <x v="1"/>
    <s v="South"/>
    <d v="2024-09-28T00:00:00"/>
    <d v="2025-09-28T00:00:00"/>
    <s v="MUHAMMAD USMAN KHAN"/>
    <s v="SUZUKI-GD-110S"/>
    <n v="14960"/>
    <n v="12466"/>
    <n v="4.2500000000000003E-2"/>
    <s v="148510"/>
    <d v="2024-09-28T00:00:00"/>
    <s v="MOTORCYCLE  COMPREHENSIVE"/>
    <n v="352000"/>
    <n v="1869.9"/>
    <n v="124.66"/>
    <n v="500"/>
  </r>
  <r>
    <s v="KHI/HO/D/MO/MC COMP/P/98563/09/2024"/>
    <m/>
    <x v="1"/>
    <s v="South"/>
    <d v="2025-09-29T00:00:00"/>
    <d v="2026-09-29T00:00:00"/>
    <s v="MUHAMMAD USMAN KHAN"/>
    <s v="SUZUKI-GD-110S"/>
    <n v="14960"/>
    <n v="12466"/>
    <n v="4.2500000000000003E-2"/>
    <s v="148510"/>
    <d v="2024-09-28T00:00:00"/>
    <s v="MOTORCYCLE  COMPREHENSIVE"/>
    <n v="352000"/>
    <n v="1869.9"/>
    <n v="124.66"/>
    <n v="500"/>
  </r>
  <r>
    <s v="KHI/HO/D/MO/MC COMP/P/98564/09/2024"/>
    <m/>
    <x v="20"/>
    <s v="Punjab"/>
    <d v="2024-09-28T00:00:00"/>
    <d v="2025-09-28T00:00:00"/>
    <s v="ABDULLAH"/>
    <s v="SUZUKI-GD-110S"/>
    <n v="8800"/>
    <n v="7155"/>
    <n v="2.5000000000000001E-2"/>
    <s v="147765"/>
    <d v="2024-09-28T00:00:00"/>
    <s v="MOTORCYCLE  COMPREHENSIVE"/>
    <n v="352000"/>
    <n v="1073.25"/>
    <n v="71.55"/>
    <n v="500"/>
  </r>
  <r>
    <s v="KHI/HO/D/MO/MC COMP/P/98565/09/2024"/>
    <m/>
    <x v="20"/>
    <s v="Punjab"/>
    <d v="2024-09-28T00:00:00"/>
    <d v="2025-09-28T00:00:00"/>
    <s v="MUHAMMAD JAVED NAEEM"/>
    <s v="SUZUKI-GD-110S"/>
    <n v="8800"/>
    <n v="7155"/>
    <n v="2.5000000000000001E-2"/>
    <s v="148270"/>
    <d v="2024-09-28T00:00:00"/>
    <s v="MOTORCYCLE  COMPREHENSIVE"/>
    <n v="352000"/>
    <n v="1073.25"/>
    <n v="71.55"/>
    <n v="500"/>
  </r>
  <r>
    <s v="KHI/HO/D/MO/MC COMP/P/98566/09/2024"/>
    <m/>
    <x v="20"/>
    <s v="Punjab"/>
    <d v="2024-09-28T00:00:00"/>
    <d v="2025-09-28T00:00:00"/>
    <s v="MUHAMMAD AFZAL MUGHAL"/>
    <s v="SUZUKI-GD-110S"/>
    <n v="8800"/>
    <n v="7155"/>
    <n v="2.5000000000000001E-2"/>
    <s v="148263"/>
    <d v="2024-09-28T00:00:00"/>
    <s v="MOTORCYCLE  COMPREHENSIVE"/>
    <n v="352000"/>
    <n v="1073.25"/>
    <n v="71.55"/>
    <n v="500"/>
  </r>
  <r>
    <s v="KHI/HO/D/MO/MC COMP/P/98567/09/2024"/>
    <m/>
    <x v="20"/>
    <s v="Punjab"/>
    <d v="2024-09-28T00:00:00"/>
    <d v="2025-09-28T00:00:00"/>
    <s v="MUHAMMAD ARSLAN TARIQ"/>
    <s v="SUZUKI-GD-110S"/>
    <n v="8800"/>
    <n v="7155"/>
    <n v="2.5000000000000001E-2"/>
    <s v="147845"/>
    <d v="2024-09-28T00:00:00"/>
    <s v="MOTORCYCLE  COMPREHENSIVE"/>
    <n v="352000"/>
    <n v="1073.25"/>
    <n v="71.55"/>
    <n v="500"/>
  </r>
  <r>
    <s v="KHI/HO/D/MO/MC COMP/P/98568/09/2024"/>
    <m/>
    <x v="20"/>
    <s v="Punjab"/>
    <d v="2024-09-28T00:00:00"/>
    <d v="2025-09-28T00:00:00"/>
    <s v="NAMAT ULLAH"/>
    <s v="SUZUKI-GD-110S"/>
    <n v="8800"/>
    <n v="7155"/>
    <n v="2.5000000000000001E-2"/>
    <s v="147766"/>
    <d v="2024-09-28T00:00:00"/>
    <s v="MOTORCYCLE  COMPREHENSIVE"/>
    <n v="352000"/>
    <n v="1073.25"/>
    <n v="71.55"/>
    <n v="500"/>
  </r>
  <r>
    <s v="KHI/HO/D/MO/MC COMP/P/98569/09/2024"/>
    <m/>
    <x v="6"/>
    <s v="South"/>
    <d v="2024-09-28T00:00:00"/>
    <d v="2025-09-28T00:00:00"/>
    <s v="MUHAMMAD RAMEEZ"/>
    <s v="SUZUKI-GD-110S"/>
    <n v="14960"/>
    <n v="12466"/>
    <n v="4.2500000000000003E-2"/>
    <s v="148884"/>
    <d v="2024-09-28T00:00:00"/>
    <s v="MOTORCYCLE  COMPREHENSIVE"/>
    <n v="352000"/>
    <n v="1869.9"/>
    <n v="124.66"/>
    <n v="500"/>
  </r>
  <r>
    <s v="KHI/HO/D/MO/MC COMP/P/98570/09/2024"/>
    <m/>
    <x v="6"/>
    <s v="South"/>
    <d v="2025-09-29T00:00:00"/>
    <d v="2026-09-29T00:00:00"/>
    <s v="MUHAMMAD RAMEEZ"/>
    <s v="SUZUKI-GD-110S"/>
    <n v="14960"/>
    <n v="12466"/>
    <n v="4.2500000000000003E-2"/>
    <s v="148884"/>
    <d v="2024-09-28T00:00:00"/>
    <s v="MOTORCYCLE  COMPREHENSIVE"/>
    <n v="352000"/>
    <n v="1869.9"/>
    <n v="124.66"/>
    <n v="500"/>
  </r>
  <r>
    <s v="KHI/HO/D/MO/MC COMP/P/98570/09/2024"/>
    <m/>
    <x v="15"/>
    <s v="Punjab"/>
    <d v="2024-09-28T00:00:00"/>
    <d v="2025-09-28T00:00:00"/>
    <s v="ABU BAKAR"/>
    <s v="SUZUKI-GD-110S"/>
    <n v="8800"/>
    <n v="7155"/>
    <n v="2.5000000000000001E-2"/>
    <s v="148128"/>
    <d v="2024-09-28T00:00:00"/>
    <s v="MOTORCYCLE  COMPREHENSIVE"/>
    <n v="352000"/>
    <n v="1073.25"/>
    <n v="71.55"/>
    <n v="500"/>
  </r>
  <r>
    <s v="KHI/HO/D/MO/MC COMP/P/98571/09/2024"/>
    <m/>
    <x v="15"/>
    <s v="Punjab"/>
    <d v="2024-09-28T00:00:00"/>
    <d v="2025-09-28T00:00:00"/>
    <s v="NIGHBAN ALI"/>
    <s v="SUZUKI-GD-110S"/>
    <n v="8800"/>
    <n v="7155"/>
    <n v="2.5000000000000001E-2"/>
    <s v="148205"/>
    <d v="2024-09-28T00:00:00"/>
    <s v="MOTORCYCLE  COMPREHENSIVE"/>
    <n v="352000"/>
    <n v="1073.25"/>
    <n v="71.55"/>
    <n v="500"/>
  </r>
  <r>
    <s v="KHI/HO/D/MO/MC COMP/P/98572/09/2024"/>
    <m/>
    <x v="15"/>
    <s v="Punjab"/>
    <d v="2024-09-28T00:00:00"/>
    <d v="2025-09-28T00:00:00"/>
    <s v="MUHAMMAD FAROOQ"/>
    <s v="SUZUKI-GD-110S"/>
    <n v="8800"/>
    <n v="7155"/>
    <n v="2.5000000000000001E-2"/>
    <s v="148117"/>
    <d v="2024-09-28T00:00:00"/>
    <s v="MOTORCYCLE  COMPREHENSIVE"/>
    <n v="352000"/>
    <n v="1073.25"/>
    <n v="71.55"/>
    <n v="500"/>
  </r>
  <r>
    <s v="KHI/HO/D/MO/MC COMP/P/98573/09/2024"/>
    <m/>
    <x v="8"/>
    <s v="Punjab"/>
    <d v="2024-09-28T00:00:00"/>
    <d v="2025-09-28T00:00:00"/>
    <s v="SHAHBAZ HUSSAIN"/>
    <s v="SUZUKI-GD-110S"/>
    <n v="8800"/>
    <n v="7155"/>
    <n v="2.5000000000000001E-2"/>
    <s v="147838"/>
    <d v="2024-09-28T00:00:00"/>
    <s v="MOTORCYCLE  COMPREHENSIVE"/>
    <n v="352000"/>
    <n v="1073.25"/>
    <n v="71.55"/>
    <n v="500"/>
  </r>
  <r>
    <s v="KHI/HO/D/MO/MC COMP/P/98574/09/2024"/>
    <m/>
    <x v="8"/>
    <s v="Punjab"/>
    <d v="2024-09-28T00:00:00"/>
    <d v="2025-09-28T00:00:00"/>
    <s v="ASHFAQ AHMAD"/>
    <s v="SUZUKI-GD-110S"/>
    <n v="8800"/>
    <n v="7155"/>
    <n v="2.5000000000000001E-2"/>
    <s v="148301"/>
    <d v="2024-09-28T00:00:00"/>
    <s v="MOTORCYCLE  COMPREHENSIVE"/>
    <n v="352000"/>
    <n v="1073.25"/>
    <n v="71.55"/>
    <n v="500"/>
  </r>
  <r>
    <s v="KHI/HO/D/MO/MC COMP/P/98575/09/2024"/>
    <m/>
    <x v="5"/>
    <s v="South"/>
    <d v="2024-09-28T00:00:00"/>
    <d v="2025-09-28T00:00:00"/>
    <s v="SHIRAZ UL HASSAN"/>
    <s v="SUZUKI-GD-110S"/>
    <n v="14960"/>
    <n v="12466"/>
    <n v="4.2500000000000003E-2"/>
    <s v="144482"/>
    <d v="2024-09-28T00:00:00"/>
    <s v="MOTORCYCLE  COMPREHENSIVE"/>
    <n v="352000"/>
    <n v="1869.9"/>
    <n v="124.66"/>
    <n v="500"/>
  </r>
  <r>
    <s v="KHI/HO/D/MO/MC COMP/P/98576/09/2024"/>
    <m/>
    <x v="5"/>
    <s v="South"/>
    <d v="2025-09-29T00:00:00"/>
    <d v="2026-09-29T00:00:00"/>
    <s v="SHIRAZ UL HASSAN"/>
    <s v="SUZUKI-GD-110S"/>
    <n v="14960"/>
    <n v="12466"/>
    <n v="4.2500000000000003E-2"/>
    <s v="144482"/>
    <d v="2024-09-28T00:00:00"/>
    <s v="MOTORCYCLE  COMPREHENSIVE"/>
    <n v="352000"/>
    <n v="1869.9"/>
    <n v="124.66"/>
    <n v="500"/>
  </r>
  <r>
    <s v="KHI/HO/D/MO/MC COMP/P/98577/09/2024"/>
    <m/>
    <x v="1"/>
    <s v="South"/>
    <d v="2024-09-29T00:00:00"/>
    <d v="2025-09-29T00:00:00"/>
    <s v="FARAZ HUSSAIN"/>
    <s v="SUZUKI-GD-110S"/>
    <n v="14960"/>
    <n v="12466"/>
    <n v="4.2500000000000003E-2"/>
    <s v="148976"/>
    <d v="2024-09-29T00:00:00"/>
    <s v="MOTORCYCLE  COMPREHENSIVE"/>
    <n v="352000"/>
    <n v="1869.9"/>
    <n v="124.66"/>
    <n v="500"/>
  </r>
  <r>
    <s v="KHI/HO/D/MO/MC COMP/P/98578/09/2024"/>
    <m/>
    <x v="23"/>
    <s v="South"/>
    <d v="2024-09-29T00:00:00"/>
    <d v="2025-09-29T00:00:00"/>
    <s v="Hussum Uddin Sahito"/>
    <s v="SUZUKI-GD-110S"/>
    <n v="14960"/>
    <n v="12466"/>
    <n v="4.2500000000000003E-2"/>
    <s v="148767"/>
    <d v="2024-09-29T00:00:00"/>
    <s v="MOTORCYCLE  COMPREHENSIVE"/>
    <n v="352000"/>
    <n v="1869.9"/>
    <n v="124.66"/>
    <n v="500"/>
  </r>
  <r>
    <s v="KHI/HO/D/MO/MC COMP/P/98579/09/2024"/>
    <m/>
    <x v="23"/>
    <s v="South"/>
    <d v="2025-09-30T00:00:00"/>
    <d v="2026-09-30T00:00:00"/>
    <s v="Hussum Uddin Sahito"/>
    <s v="SUZUKI-GD-110S"/>
    <n v="14960"/>
    <n v="12466"/>
    <n v="4.2500000000000003E-2"/>
    <s v="148767"/>
    <d v="2024-09-29T00:00:00"/>
    <s v="MOTORCYCLE  COMPREHENSIVE"/>
    <n v="352000"/>
    <n v="1869.9"/>
    <n v="124.66"/>
    <n v="500"/>
  </r>
  <r>
    <s v="KHI/HO/D/MO/MC COMP/P/98580/09/2024"/>
    <m/>
    <x v="7"/>
    <s v="South"/>
    <d v="2024-09-29T00:00:00"/>
    <d v="2025-09-29T00:00:00"/>
    <s v="MUHAMMAD FAISAL ASLAM"/>
    <s v="SUZUKI-GD-110S"/>
    <n v="14960"/>
    <n v="12466"/>
    <n v="4.2500000000000003E-2"/>
    <s v="146495"/>
    <d v="2024-09-29T00:00:00"/>
    <s v="MOTORCYCLE  COMPREHENSIVE"/>
    <n v="352000"/>
    <n v="1869.9"/>
    <n v="124.66"/>
    <n v="500"/>
  </r>
  <r>
    <s v="KHI/HO/D/MO/MC COMP/P/98581/09/2024"/>
    <m/>
    <x v="7"/>
    <s v="South"/>
    <d v="2025-09-30T00:00:00"/>
    <d v="2026-09-30T00:00:00"/>
    <s v="MUHAMMAD FAISAL ASLAM"/>
    <s v="SUZUKI-GD-110S"/>
    <n v="14960"/>
    <n v="12466"/>
    <n v="4.2500000000000003E-2"/>
    <s v="146495"/>
    <d v="2024-09-29T00:00:00"/>
    <s v="MOTORCYCLE  COMPREHENSIVE"/>
    <n v="352000"/>
    <n v="1869.9"/>
    <n v="124.66"/>
    <n v="500"/>
  </r>
  <r>
    <s v="KHI/HO/D/MO/MC COMP/P/98582/09/2024"/>
    <m/>
    <x v="23"/>
    <s v="South"/>
    <d v="2024-09-29T00:00:00"/>
    <d v="2025-09-29T00:00:00"/>
    <s v="Naeem ul Haq"/>
    <s v="SUZUKI-GR150 EURO II"/>
    <n v="23248"/>
    <n v="19610"/>
    <n v="4.2500914076782449E-2"/>
    <s v="113728"/>
    <d v="2024-09-29T00:00:00"/>
    <s v="MOTORCYCLE  COMPREHENSIVE"/>
    <n v="547000"/>
    <n v="2941.5"/>
    <n v="196.1"/>
    <n v="500"/>
  </r>
  <r>
    <s v="KHI/HO/D/MO/MC COMP/P/98583/09/2024"/>
    <m/>
    <x v="5"/>
    <s v="South"/>
    <d v="2024-09-29T00:00:00"/>
    <d v="2025-09-29T00:00:00"/>
    <s v="MUHAMMAD TAHIR FAROOQUI"/>
    <s v="SUZUKI-GD-110S"/>
    <n v="14960"/>
    <n v="12466"/>
    <n v="4.2500000000000003E-2"/>
    <s v="148564"/>
    <d v="2024-09-29T00:00:00"/>
    <s v="MOTORCYCLE  COMPREHENSIVE"/>
    <n v="352000"/>
    <n v="1869.9"/>
    <n v="124.66"/>
    <n v="500"/>
  </r>
  <r>
    <s v="KHI/HO/D/MO/MC COMP/P/98584/09/2024"/>
    <m/>
    <x v="5"/>
    <s v="South"/>
    <d v="2025-09-30T00:00:00"/>
    <d v="2026-09-30T00:00:00"/>
    <s v="MUHAMMAD TAHIR FAROOQUI"/>
    <s v="SUZUKI-GD-110S"/>
    <n v="14960"/>
    <n v="12466"/>
    <n v="4.2500000000000003E-2"/>
    <s v="148564"/>
    <d v="2024-09-29T00:00:00"/>
    <s v="MOTORCYCLE  COMPREHENSIVE"/>
    <n v="352000"/>
    <n v="1869.9"/>
    <n v="124.66"/>
    <n v="500"/>
  </r>
  <r>
    <s v="KHI/HO/D/MO/MC COMP/P/98585/09/2024"/>
    <m/>
    <x v="7"/>
    <s v="South"/>
    <d v="2024-09-29T00:00:00"/>
    <d v="2025-09-29T00:00:00"/>
    <s v="SAMI LIAQUAT ALI"/>
    <s v="SUZUKI-GS 150"/>
    <n v="16235"/>
    <n v="13565"/>
    <n v="4.2500000000000003E-2"/>
    <s v="30093151"/>
    <d v="2024-09-29T00:00:00"/>
    <s v="MOTORCYCLE  COMPREHENSIVE"/>
    <n v="382000"/>
    <n v="2034.75"/>
    <n v="135.65"/>
    <n v="500"/>
  </r>
  <r>
    <s v="KHI/HO/D/MO/MC COMP/P/98586/09/2024"/>
    <m/>
    <x v="4"/>
    <s v="South"/>
    <d v="2024-09-29T00:00:00"/>
    <d v="2025-09-29T00:00:00"/>
    <s v="SYED HASSAM ALI"/>
    <s v="SUZUKI-GR150 EURO II"/>
    <n v="23248"/>
    <n v="19610"/>
    <n v="4.2500914076782449E-2"/>
    <s v="113769"/>
    <d v="2024-09-29T00:00:00"/>
    <s v="MOTORCYCLE  COMPREHENSIVE"/>
    <n v="547000"/>
    <n v="2941.5"/>
    <n v="196.1"/>
    <n v="500"/>
  </r>
  <r>
    <s v="KHI/HO/D/MO/MC COMP/P/98587/09/2024"/>
    <m/>
    <x v="4"/>
    <s v="South"/>
    <d v="2025-09-30T00:00:00"/>
    <d v="2026-09-30T00:00:00"/>
    <s v="SYED HASSAM ALI"/>
    <s v="SUZUKI-GR150 EURO II"/>
    <n v="23248"/>
    <n v="19610"/>
    <n v="4.2500914076782449E-2"/>
    <s v="113769"/>
    <d v="2024-09-29T00:00:00"/>
    <s v="MOTORCYCLE  COMPREHENSIVE"/>
    <n v="547000"/>
    <n v="2941.5"/>
    <n v="196.1"/>
    <n v="500"/>
  </r>
  <r>
    <s v="KHI/HO/D/MO/MC COMP/P/98588/09/2024"/>
    <m/>
    <x v="4"/>
    <s v="South"/>
    <d v="2024-09-29T00:00:00"/>
    <d v="2025-09-29T00:00:00"/>
    <s v="MUHAMMAD FAIZ"/>
    <s v="SUZUKI-GS-150"/>
    <n v="16235"/>
    <n v="13565"/>
    <n v="4.2500000000000003E-2"/>
    <s v="30093161"/>
    <d v="2024-09-29T00:00:00"/>
    <s v="MOTORCYCLE  COMPREHENSIVE"/>
    <n v="382000"/>
    <n v="2034.75"/>
    <n v="135.65"/>
    <n v="500"/>
  </r>
  <r>
    <s v="KHI/HO/D/MO/MC COMP/P/98589/09/2024"/>
    <m/>
    <x v="4"/>
    <s v="South"/>
    <d v="2025-09-30T00:00:00"/>
    <d v="2026-09-30T00:00:00"/>
    <s v="MUHAMMAD FAIZ"/>
    <s v="SUZUKI-GS-150"/>
    <n v="16235"/>
    <n v="13565"/>
    <n v="4.2500000000000003E-2"/>
    <s v="30093161"/>
    <d v="2024-09-29T00:00:00"/>
    <s v="MOTORCYCLE  COMPREHENSIVE"/>
    <n v="382000"/>
    <n v="2034.75"/>
    <n v="135.65"/>
    <n v="500"/>
  </r>
  <r>
    <s v="KHI/HO/D/MO/MC COMP/P/98590/09/2024"/>
    <m/>
    <x v="4"/>
    <s v="South"/>
    <d v="2024-09-29T00:00:00"/>
    <d v="2025-09-29T00:00:00"/>
    <s v="IMRAN ALI"/>
    <s v="SUZUKI-GS 150"/>
    <n v="16235"/>
    <n v="13565"/>
    <n v="4.2500000000000003E-2"/>
    <s v="30093149"/>
    <d v="2024-09-29T00:00:00"/>
    <s v="MOTORCYCLE  COMPREHENSIVE"/>
    <n v="382000"/>
    <n v="2034.75"/>
    <n v="135.65"/>
    <n v="500"/>
  </r>
  <r>
    <s v="KHI/HO/D/MO/MC COMP/P/98591/09/2024"/>
    <m/>
    <x v="4"/>
    <s v="South"/>
    <d v="2025-09-30T00:00:00"/>
    <d v="2026-09-30T00:00:00"/>
    <s v="IMRAN ALI"/>
    <s v="SUZUKI-GS 150"/>
    <n v="16235"/>
    <n v="13565"/>
    <n v="4.2500000000000003E-2"/>
    <s v="30093149"/>
    <d v="2024-09-29T00:00:00"/>
    <s v="MOTORCYCLE  COMPREHENSIVE"/>
    <n v="382000"/>
    <n v="2034.75"/>
    <n v="135.65"/>
    <n v="500"/>
  </r>
  <r>
    <s v="KHI/HO/D/MO/MC COMP/P/98592/09/2024"/>
    <m/>
    <x v="4"/>
    <s v="South"/>
    <d v="2024-09-29T00:00:00"/>
    <d v="2025-09-29T00:00:00"/>
    <s v="HAMMAD NAEEM"/>
    <s v="SUZUKI-GD-110S"/>
    <n v="14960"/>
    <n v="12466"/>
    <n v="4.2500000000000003E-2"/>
    <s v="148617"/>
    <d v="2024-09-29T00:00:00"/>
    <s v="MOTORCYCLE  COMPREHENSIVE"/>
    <n v="352000"/>
    <n v="1869.9"/>
    <n v="124.66"/>
    <n v="500"/>
  </r>
  <r>
    <s v="KHI/HO/D/MO/MC COMP/P/98593/09/2024"/>
    <m/>
    <x v="4"/>
    <s v="South"/>
    <d v="2025-09-30T00:00:00"/>
    <d v="2026-09-30T00:00:00"/>
    <s v="HAMMAD NAEEM"/>
    <s v="SUZUKI-GD-110S"/>
    <n v="14960"/>
    <n v="12466"/>
    <n v="4.2500000000000003E-2"/>
    <s v="148617"/>
    <d v="2024-09-29T00:00:00"/>
    <s v="MOTORCYCLE  COMPREHENSIVE"/>
    <n v="352000"/>
    <n v="1869.9"/>
    <n v="124.66"/>
    <n v="500"/>
  </r>
  <r>
    <s v="KHI/HO/D/MO/MC COMP/P/98594/09/2024"/>
    <m/>
    <x v="4"/>
    <s v="South"/>
    <d v="2024-09-29T00:00:00"/>
    <d v="2025-09-29T00:00:00"/>
    <s v="AAMIR MALICK"/>
    <s v="SUZUKI-GD-110S"/>
    <n v="14960"/>
    <n v="12466"/>
    <n v="4.2500000000000003E-2"/>
    <s v="148507"/>
    <d v="2024-09-29T00:00:00"/>
    <s v="MOTORCYCLE  COMPREHENSIVE"/>
    <n v="352000"/>
    <n v="1869.9"/>
    <n v="124.66"/>
    <n v="500"/>
  </r>
  <r>
    <s v="KHI/HO/D/MO/MC COMP/P/98595/09/2024"/>
    <m/>
    <x v="4"/>
    <s v="South"/>
    <d v="2025-09-30T00:00:00"/>
    <d v="2026-09-30T00:00:00"/>
    <s v="AAMIR MALICK"/>
    <s v="SUZUKI-GD-110S"/>
    <n v="14960"/>
    <n v="12466"/>
    <n v="4.2500000000000003E-2"/>
    <s v="148507"/>
    <d v="2024-09-29T00:00:00"/>
    <s v="MOTORCYCLE  COMPREHENSIVE"/>
    <n v="352000"/>
    <n v="1869.9"/>
    <n v="124.66"/>
    <n v="500"/>
  </r>
  <r>
    <s v="KHI/HO/D/MO/MC COMP/P/98598/09/2024"/>
    <m/>
    <x v="2"/>
    <s v="South"/>
    <d v="2024-09-30T00:00:00"/>
    <d v="2025-09-30T00:00:00"/>
    <s v="MUHAMMAD YASIR"/>
    <s v="SUZUKI-GR150 EURO II"/>
    <n v="23248"/>
    <n v="19610"/>
    <n v="4.2500914076782449E-2"/>
    <s v="113845"/>
    <d v="2024-09-30T00:00:00"/>
    <s v="MOTORCYCLE  COMPREHENSIVE"/>
    <n v="547000"/>
    <n v="2941.5"/>
    <n v="196.1"/>
    <n v="500"/>
  </r>
  <r>
    <s v="KHI/HO/D/MO/MC COMP/P/98599/09/2024"/>
    <m/>
    <x v="2"/>
    <s v="South"/>
    <d v="2025-10-01T00:00:00"/>
    <d v="2026-10-01T00:00:00"/>
    <s v="MUHAMMAD YASIR"/>
    <s v="SUZUKI-GR150 EURO II"/>
    <n v="23248"/>
    <n v="19610"/>
    <n v="4.2500914076782449E-2"/>
    <s v="113845"/>
    <d v="2024-09-30T00:00:00"/>
    <s v="MOTORCYCLE  COMPREHENSIVE"/>
    <n v="547000"/>
    <n v="2941.5"/>
    <n v="196.1"/>
    <n v="500"/>
  </r>
  <r>
    <s v="KHI/HO/D/MO/MC COMP/P/98618/09/2024"/>
    <m/>
    <x v="18"/>
    <s v="South"/>
    <d v="2024-09-30T00:00:00"/>
    <d v="2025-09-30T00:00:00"/>
    <s v="MUHAMMAD MUSAIB"/>
    <s v="SUZUKI-GD-110S"/>
    <n v="14960"/>
    <n v="12466"/>
    <n v="4.2500000000000003E-2"/>
    <s v="146918"/>
    <d v="2024-09-30T00:00:00"/>
    <s v="MOTORCYCLE  COMPREHENSIVE"/>
    <n v="352000"/>
    <n v="1869.9"/>
    <n v="124.66"/>
    <n v="500"/>
  </r>
  <r>
    <s v="KHI/HO/D/MO/MC COMP/P/98619/09/2024"/>
    <m/>
    <x v="10"/>
    <s v="Punjab"/>
    <d v="2024-09-30T00:00:00"/>
    <d v="2025-09-30T00:00:00"/>
    <s v="MOUZ AHMAD"/>
    <s v="SUZUKI-GS 150"/>
    <n v="9550"/>
    <n v="7802"/>
    <n v="2.5000000000000001E-2"/>
    <s v="30093081"/>
    <d v="2024-09-30T00:00:00"/>
    <s v="MOTORCYCLE  COMPREHENSIVE"/>
    <n v="382000"/>
    <n v="1170.3"/>
    <n v="78.02"/>
    <n v="500"/>
  </r>
  <r>
    <s v="KHI/HO/D/MO/MC COMP/P/98621/09/2024"/>
    <m/>
    <x v="10"/>
    <s v="Punjab"/>
    <d v="2024-09-30T00:00:00"/>
    <d v="2025-09-30T00:00:00"/>
    <s v="IRFAN HAIDER"/>
    <s v="SUZUKI-GR150 EURO II"/>
    <n v="13675"/>
    <n v="11358"/>
    <n v="2.5000000000000001E-2"/>
    <s v="113713"/>
    <d v="2024-09-30T00:00:00"/>
    <s v="MOTORCYCLE  COMPREHENSIVE"/>
    <n v="547000"/>
    <n v="1703.7"/>
    <n v="113.58"/>
    <n v="500"/>
  </r>
  <r>
    <s v="KHI/HO/D/MO/MC COMP/P/98623/09/2024"/>
    <m/>
    <x v="10"/>
    <s v="Punjab"/>
    <d v="2024-09-30T00:00:00"/>
    <d v="2025-09-30T00:00:00"/>
    <s v="SHOAIB TARIQ RANA"/>
    <s v="SUZUKI-GS 150"/>
    <n v="9550"/>
    <n v="7802"/>
    <n v="2.5000000000000001E-2"/>
    <s v="30093076"/>
    <d v="2024-09-30T00:00:00"/>
    <s v="MOTORCYCLE  COMPREHENSIVE"/>
    <n v="382000"/>
    <n v="1170.3"/>
    <n v="78.02"/>
    <n v="500"/>
  </r>
  <r>
    <s v="KHI/HO/D/MO/MC COMP/P/98626/09/2024"/>
    <m/>
    <x v="10"/>
    <s v="Punjab"/>
    <d v="2024-09-30T00:00:00"/>
    <d v="2025-09-30T00:00:00"/>
    <s v="MUHAMMAD RIZWAN TARIQ"/>
    <s v="SUZUKI-GR150 EURO II"/>
    <n v="13675"/>
    <n v="11358"/>
    <n v="2.5000000000000001E-2"/>
    <s v="113710"/>
    <d v="2024-09-30T00:00:00"/>
    <s v="MOTORCYCLE  COMPREHENSIVE"/>
    <n v="547000"/>
    <n v="1703.7"/>
    <n v="113.58"/>
    <n v="500"/>
  </r>
  <r>
    <s v="KHI/HO/D/MO/MC COMP/P/98627/09/2024"/>
    <m/>
    <x v="17"/>
    <s v="Punjab"/>
    <d v="2024-09-30T00:00:00"/>
    <d v="2025-09-30T00:00:00"/>
    <s v="Muhammad Aamir Khan"/>
    <s v="SUZUKI-GS 150"/>
    <n v="9550"/>
    <n v="7802"/>
    <n v="2.5000000000000001E-2"/>
    <s v="30092829"/>
    <d v="2024-09-30T00:00:00"/>
    <s v="MOTORCYCLE  COMPREHENSIVE"/>
    <n v="382000"/>
    <n v="1170.3"/>
    <n v="78.02"/>
    <n v="500"/>
  </r>
  <r>
    <s v="KHI/HO/D/MO/MC COMP/P/98628/09/2024"/>
    <m/>
    <x v="17"/>
    <s v="Punjab"/>
    <d v="2024-09-30T00:00:00"/>
    <d v="2025-09-30T00:00:00"/>
    <s v="Malik Abdul Safoor"/>
    <s v="SUZUKI-GS 150"/>
    <n v="9550"/>
    <n v="7802"/>
    <n v="2.5000000000000001E-2"/>
    <s v="30092830"/>
    <d v="2024-09-30T00:00:00"/>
    <s v="MOTORCYCLE  COMPREHENSIVE"/>
    <n v="382000"/>
    <n v="1170.3"/>
    <n v="78.02"/>
    <n v="500"/>
  </r>
  <r>
    <s v="KHI/HO/D/MO/MC COMP/P/98630/09/2024"/>
    <m/>
    <x v="10"/>
    <s v="Punjab"/>
    <d v="2024-09-30T00:00:00"/>
    <d v="2025-09-30T00:00:00"/>
    <s v="MUHAMMAD ALI"/>
    <s v="SUZUKI-GD-110S"/>
    <n v="8800"/>
    <n v="7155"/>
    <n v="2.5000000000000001E-2"/>
    <s v="145957"/>
    <d v="2024-09-30T00:00:00"/>
    <s v="MOTORCYCLE  COMPREHENSIVE"/>
    <n v="352000"/>
    <n v="1073.25"/>
    <n v="71.55"/>
    <n v="500"/>
  </r>
  <r>
    <s v="KHI/HO/D/MO/MC COMP/P/98631/09/2024"/>
    <m/>
    <x v="17"/>
    <s v="Punjab"/>
    <d v="2024-09-30T00:00:00"/>
    <d v="2025-09-30T00:00:00"/>
    <s v="Waqas Ahmed"/>
    <s v="SUZUKI-GS 150"/>
    <n v="9550"/>
    <n v="7802"/>
    <n v="2.5000000000000001E-2"/>
    <s v="30092845"/>
    <d v="2024-09-30T00:00:00"/>
    <s v="MOTORCYCLE  COMPREHENSIVE"/>
    <n v="382000"/>
    <n v="1170.3"/>
    <n v="78.02"/>
    <n v="500"/>
  </r>
  <r>
    <s v="KHI/HO/D/MO/MC COMP/P/98632/09/2024"/>
    <m/>
    <x v="17"/>
    <s v="Punjab"/>
    <d v="2024-09-30T00:00:00"/>
    <d v="2025-09-30T00:00:00"/>
    <s v="Muhammad Faraz"/>
    <s v="SUZUKI-GS 150"/>
    <n v="9550"/>
    <n v="7802"/>
    <n v="2.5000000000000001E-2"/>
    <s v="30092846"/>
    <d v="2024-09-30T00:00:00"/>
    <s v="MOTORCYCLE  COMPREHENSIVE"/>
    <n v="382000"/>
    <n v="1170.3"/>
    <n v="78.02"/>
    <n v="500"/>
  </r>
  <r>
    <s v="KHI/HO/D/MO/MC COMP/P/98633/09/2024"/>
    <m/>
    <x v="17"/>
    <s v="Punjab"/>
    <d v="2024-09-30T00:00:00"/>
    <d v="2025-09-30T00:00:00"/>
    <s v="Rashid Alam"/>
    <s v="SUZUKI-GS 150"/>
    <n v="9550"/>
    <n v="7802"/>
    <n v="2.5000000000000001E-2"/>
    <s v="30092843"/>
    <d v="2024-09-30T00:00:00"/>
    <s v="MOTORCYCLE  COMPREHENSIVE"/>
    <n v="382000"/>
    <n v="1170.3"/>
    <n v="78.02"/>
    <n v="500"/>
  </r>
  <r>
    <s v="KHI/HO/D/MO/MC COMP/P/98634/09/2024"/>
    <m/>
    <x v="10"/>
    <s v="Punjab"/>
    <d v="2024-09-30T00:00:00"/>
    <d v="2025-09-30T00:00:00"/>
    <s v="FAIZAN"/>
    <s v="SUZUKI-GD-110S"/>
    <n v="8800"/>
    <n v="7155"/>
    <n v="2.5000000000000001E-2"/>
    <s v="148808"/>
    <d v="2024-09-30T00:00:00"/>
    <s v="MOTORCYCLE  COMPREHENSIVE"/>
    <n v="352000"/>
    <n v="1073.25"/>
    <n v="71.55"/>
    <n v="500"/>
  </r>
  <r>
    <s v="KHI/HO/D/MO/MC COMP/P/98635/09/2024"/>
    <m/>
    <x v="17"/>
    <s v="Punjab"/>
    <d v="2024-09-30T00:00:00"/>
    <d v="2025-09-30T00:00:00"/>
    <s v="Muhammad Bilal Asad Farooqi"/>
    <s v="SUZUKI-GS-150"/>
    <n v="9550"/>
    <n v="7802"/>
    <n v="2.5000000000000001E-2"/>
    <s v="30092842"/>
    <d v="2024-09-30T00:00:00"/>
    <s v="MOTORCYCLE  COMPREHENSIVE"/>
    <n v="382000"/>
    <n v="1170.3"/>
    <n v="78.02"/>
    <n v="500"/>
  </r>
  <r>
    <s v="KHI/HO/D/MO/MC COMP/P/98636/09/2024"/>
    <m/>
    <x v="8"/>
    <s v="Punjab"/>
    <d v="2024-09-30T00:00:00"/>
    <d v="2025-09-30T00:00:00"/>
    <s v="MUHAMMAD ZAIN ALI"/>
    <s v="SUZUKI-GSX 125"/>
    <n v="12475"/>
    <n v="10323"/>
    <n v="2.5000000000000001E-2"/>
    <s v="23100277"/>
    <d v="2024-09-30T00:00:00"/>
    <s v="MOTORCYCLE  COMPREHENSIVE"/>
    <n v="499000"/>
    <n v="1548.45"/>
    <n v="103.23"/>
    <n v="500"/>
  </r>
  <r>
    <s v="KHI/HO/D/MO/MC COMP/P/98638/09/2024"/>
    <m/>
    <x v="17"/>
    <s v="Punjab"/>
    <d v="2024-09-30T00:00:00"/>
    <d v="2025-09-30T00:00:00"/>
    <s v="Syed Anwar Shah"/>
    <s v="SUZUKI-GS 150"/>
    <n v="9550"/>
    <n v="7802"/>
    <n v="2.5000000000000001E-2"/>
    <s v="30092851"/>
    <d v="2024-09-30T00:00:00"/>
    <s v="MOTORCYCLE  COMPREHENSIVE"/>
    <n v="382000"/>
    <n v="1170.3"/>
    <n v="78.02"/>
    <n v="500"/>
  </r>
  <r>
    <s v="KHI/HO/D/MO/MC COMP/P/98640/09/2024"/>
    <m/>
    <x v="17"/>
    <s v="Punjab"/>
    <d v="2024-09-30T00:00:00"/>
    <d v="2025-09-30T00:00:00"/>
    <s v="Syed Shahzad Kazmi"/>
    <s v="SUZUKI-GS 150"/>
    <n v="9550"/>
    <n v="7802"/>
    <n v="2.5000000000000001E-2"/>
    <s v="30092827"/>
    <d v="2024-09-30T00:00:00"/>
    <s v="MOTORCYCLE  COMPREHENSIVE"/>
    <n v="382000"/>
    <n v="1170.3"/>
    <n v="78.02"/>
    <n v="500"/>
  </r>
  <r>
    <s v="KHI/HO/D/MO/MC COMP/P/98642/09/2024"/>
    <m/>
    <x v="17"/>
    <s v="Punjab"/>
    <d v="2024-09-30T00:00:00"/>
    <d v="2025-09-30T00:00:00"/>
    <s v="Bakhtiar Ahmed Awan"/>
    <s v="SUZUKI-GSX 125"/>
    <n v="12475"/>
    <n v="10323"/>
    <n v="2.5000000000000001E-2"/>
    <s v="22106376"/>
    <d v="2024-09-30T00:00:00"/>
    <s v="MOTORCYCLE  COMPREHENSIVE"/>
    <n v="499000"/>
    <n v="1548.45"/>
    <n v="103.23"/>
    <n v="500"/>
  </r>
  <r>
    <s v="KHI/HO/D/MO/MC COMP/P/98643/09/2024"/>
    <m/>
    <x v="15"/>
    <s v="Punjab"/>
    <d v="2024-09-30T00:00:00"/>
    <d v="2025-09-30T00:00:00"/>
    <s v="MUHAMMAD AMJAD"/>
    <s v="SUZUKI-GD-110S"/>
    <n v="8800"/>
    <n v="7155"/>
    <n v="2.5000000000000001E-2"/>
    <s v="148235"/>
    <d v="2024-09-30T00:00:00"/>
    <s v="MOTORCYCLE  COMPREHENSIVE"/>
    <n v="352000"/>
    <n v="1073.25"/>
    <n v="71.55"/>
    <n v="500"/>
  </r>
  <r>
    <s v="KHI/HO/D/MO/MC COMP/P/98645/09/2024"/>
    <m/>
    <x v="15"/>
    <s v="Punjab"/>
    <d v="2024-09-30T00:00:00"/>
    <d v="2025-09-30T00:00:00"/>
    <s v="AMIR NAZIR"/>
    <s v="SUZUKI-GS 150"/>
    <n v="9550"/>
    <n v="7802"/>
    <n v="2.5000000000000001E-2"/>
    <s v="30092579"/>
    <d v="2024-09-30T00:00:00"/>
    <s v="MOTORCYCLE  COMPREHENSIVE"/>
    <n v="382000"/>
    <n v="1170.3"/>
    <n v="78.02"/>
    <n v="500"/>
  </r>
  <r>
    <s v="KHI/HO/D/MO/MC COMP/P/98650/09/2024"/>
    <m/>
    <x v="3"/>
    <s v="South"/>
    <d v="2024-09-30T00:00:00"/>
    <d v="2025-09-30T00:00:00"/>
    <s v="MUHAMMAD SHAHID"/>
    <s v="SUZUKI-GSX 125"/>
    <n v="21208"/>
    <n v="17852"/>
    <n v="4.2501002004008019E-2"/>
    <s v="23102735"/>
    <d v="2024-09-30T00:00:00"/>
    <s v="MOTORCYCLE  COMPREHENSIVE"/>
    <n v="499000"/>
    <n v="2677.8"/>
    <n v="178.52"/>
    <n v="500"/>
  </r>
  <r>
    <s v="KHI/HO/D/MO/MC COMP/P/98651/09/2024"/>
    <m/>
    <x v="3"/>
    <s v="South"/>
    <d v="2025-10-01T00:00:00"/>
    <d v="2026-10-01T00:00:00"/>
    <s v="MUHAMMAD SHAHID"/>
    <s v="SUZUKI-GSX 125"/>
    <n v="21208"/>
    <n v="17852"/>
    <n v="4.2501002004008019E-2"/>
    <s v="23102735"/>
    <d v="2024-09-30T00:00:00"/>
    <s v="MOTORCYCLE  COMPREHENSIVE"/>
    <n v="499000"/>
    <n v="2677.8"/>
    <n v="178.52"/>
    <n v="500"/>
  </r>
  <r>
    <s v="KHI/HO/D/MO/MC COMP/P/98657/09/2024"/>
    <m/>
    <x v="3"/>
    <s v="South"/>
    <d v="2024-09-30T00:00:00"/>
    <d v="2025-09-30T00:00:00"/>
    <s v="MUHAMMAD AMJAD SALAM"/>
    <s v="SUZUKI-GR150 EURO II"/>
    <n v="23248"/>
    <n v="19610"/>
    <n v="4.2500914076782449E-2"/>
    <s v="113790"/>
    <d v="2024-09-30T00:00:00"/>
    <s v="MOTORCYCLE  COMPREHENSIVE"/>
    <n v="547000"/>
    <n v="2941.5"/>
    <n v="196.1"/>
    <n v="500"/>
  </r>
  <r>
    <s v="KHI/HO/D/MO/MC COMP/P/98658/09/2024"/>
    <m/>
    <x v="3"/>
    <s v="South"/>
    <d v="2025-10-01T00:00:00"/>
    <d v="2026-10-01T00:00:00"/>
    <s v="MUHAMMAD AMJAD SALAM"/>
    <s v="SUZUKI-GR150 EURO II"/>
    <n v="23248"/>
    <n v="19610"/>
    <n v="4.2500914076782449E-2"/>
    <s v="113790"/>
    <d v="2024-09-30T00:00:00"/>
    <s v="MOTORCYCLE  COMPREHENSIVE"/>
    <n v="547000"/>
    <n v="2941.5"/>
    <n v="196.1"/>
    <n v="500"/>
  </r>
  <r>
    <s v="KHI/HO/D/MO/MC COMP/P/98661/09/2024"/>
    <m/>
    <x v="18"/>
    <s v="South"/>
    <d v="2024-09-30T00:00:00"/>
    <d v="2025-09-30T00:00:00"/>
    <s v="KARSAZ (PRIVATE) LIMITED"/>
    <s v="SUZUKI-GSX 125"/>
    <n v="21208"/>
    <n v="17852"/>
    <n v="4.2501002004008019E-2"/>
    <s v="23102717"/>
    <d v="2024-09-30T00:00:00"/>
    <s v="MOTORCYCLE  COMPREHENSIVE"/>
    <n v="499000"/>
    <n v="2677.8"/>
    <n v="178.52"/>
    <n v="500"/>
  </r>
  <r>
    <s v="KHI/HO/D/MO/MC COMP/P/98662/09/2024"/>
    <m/>
    <x v="18"/>
    <s v="South"/>
    <d v="2025-10-01T00:00:00"/>
    <d v="2026-10-01T00:00:00"/>
    <s v="KARSAZ (PRIVATE) LIMITED"/>
    <s v="SUZUKI-GSX 125"/>
    <n v="21208"/>
    <n v="17852"/>
    <n v="4.2501002004008019E-2"/>
    <s v="23102717"/>
    <d v="2024-09-30T00:00:00"/>
    <s v="MOTORCYCLE  COMPREHENSIVE"/>
    <n v="499000"/>
    <n v="2677.8"/>
    <n v="178.52"/>
    <n v="500"/>
  </r>
  <r>
    <s v="KHI/HO/D/MO/MC COMP/P/98666/09/2024"/>
    <m/>
    <x v="0"/>
    <s v="Punjab"/>
    <d v="2024-09-30T00:00:00"/>
    <d v="2025-09-30T00:00:00"/>
    <s v="FAIZ AKHTAR"/>
    <s v="SUZUKI-GR150 EURO II"/>
    <n v="13675"/>
    <n v="11358"/>
    <n v="2.5000000000000001E-2"/>
    <s v="113688"/>
    <d v="2024-09-30T00:00:00"/>
    <s v="MOTORCYCLE  COMPREHENSIVE"/>
    <n v="547000"/>
    <n v="1703.7"/>
    <n v="113.58"/>
    <n v="500"/>
  </r>
  <r>
    <s v="KHI/HO/D/MO/MC COMP/P/98668/09/2024"/>
    <m/>
    <x v="18"/>
    <s v="South"/>
    <d v="2024-09-30T00:00:00"/>
    <d v="2025-09-30T00:00:00"/>
    <s v="SAMI ULLAH"/>
    <s v="SUZUKI-GD-110S"/>
    <n v="14960"/>
    <n v="12466"/>
    <n v="4.2500000000000003E-2"/>
    <s v="147631"/>
    <d v="2024-09-30T00:00:00"/>
    <s v="MOTORCYCLE  COMPREHENSIVE"/>
    <n v="352000"/>
    <n v="1869.9"/>
    <n v="124.66"/>
    <n v="500"/>
  </r>
  <r>
    <s v="KHI/HO/D/MO/MC COMP/P/98669/09/2024"/>
    <m/>
    <x v="18"/>
    <s v="South"/>
    <d v="2024-09-30T00:00:00"/>
    <d v="2025-09-30T00:00:00"/>
    <s v="SHER ALI KHAN"/>
    <s v="SUZUKI-GD-110S"/>
    <n v="14960"/>
    <n v="12466"/>
    <n v="4.2500000000000003E-2"/>
    <s v="147624"/>
    <d v="2024-09-30T00:00:00"/>
    <s v="MOTORCYCLE  COMPREHENSIVE"/>
    <n v="352000"/>
    <n v="1869.9"/>
    <n v="124.66"/>
    <n v="500"/>
  </r>
  <r>
    <s v="KHI/HO/D/MO/MC COMP/P/98686/09/2024"/>
    <m/>
    <x v="2"/>
    <s v="South"/>
    <d v="2024-09-30T00:00:00"/>
    <d v="2025-09-30T00:00:00"/>
    <s v="NOMAN AYUB"/>
    <s v="SUZUKI-GD-110S"/>
    <n v="14960"/>
    <n v="12466"/>
    <n v="4.2500000000000003E-2"/>
    <s v="149023"/>
    <d v="2024-09-30T00:00:00"/>
    <s v="MOTORCYCLE  COMPREHENSIVE"/>
    <n v="352000"/>
    <n v="1869.9"/>
    <n v="124.66"/>
    <n v="500"/>
  </r>
  <r>
    <s v="KHI/HO/D/MO/MC COMP/P/98698/09/2024"/>
    <m/>
    <x v="18"/>
    <s v="South"/>
    <d v="2024-09-30T00:00:00"/>
    <d v="2025-09-30T00:00:00"/>
    <s v="MUHAMMAD ANIS RAZA"/>
    <s v="SUZUKI-GD-110S"/>
    <n v="14960"/>
    <n v="12466"/>
    <n v="4.2500000000000003E-2"/>
    <s v="148909"/>
    <d v="2024-09-30T00:00:00"/>
    <s v="MOTORCYCLE  COMPREHENSIVE"/>
    <n v="352000"/>
    <n v="1869.9"/>
    <n v="124.66"/>
    <n v="500"/>
  </r>
  <r>
    <s v="KHI/HO/D/MO/MC COMP/P/98699/09/2024"/>
    <m/>
    <x v="18"/>
    <s v="South"/>
    <d v="2025-10-01T00:00:00"/>
    <d v="2026-10-01T00:00:00"/>
    <s v="MUHAMMAD ANIS RAZA"/>
    <s v="SUZUKI-GD-110S"/>
    <n v="14960"/>
    <n v="12466"/>
    <n v="4.2500000000000003E-2"/>
    <s v="148909"/>
    <d v="2024-09-30T00:00:00"/>
    <s v="MOTORCYCLE  COMPREHENSIVE"/>
    <n v="352000"/>
    <n v="1869.9"/>
    <n v="124.66"/>
    <n v="500"/>
  </r>
  <r>
    <s v="KHI/HO/D/MO/MC COMP/P/98700/09/2024"/>
    <m/>
    <x v="18"/>
    <s v="South"/>
    <d v="2024-09-30T00:00:00"/>
    <d v="2025-09-30T00:00:00"/>
    <s v="MUHAMMAD FURRUKH ALI"/>
    <s v="SUZUKI-GD-110S"/>
    <n v="14960"/>
    <n v="12466"/>
    <n v="4.2500000000000003E-2"/>
    <s v="148547"/>
    <d v="2024-09-30T00:00:00"/>
    <s v="MOTORCYCLE  COMPREHENSIVE"/>
    <n v="352000"/>
    <n v="1869.9"/>
    <n v="124.66"/>
    <n v="500"/>
  </r>
  <r>
    <s v="KHI/HO/D/MO/MC COMP/P/98701/09/2024"/>
    <m/>
    <x v="2"/>
    <s v="South"/>
    <d v="2024-09-30T00:00:00"/>
    <d v="2025-09-30T00:00:00"/>
    <s v="MUHAMMAD SALEEM"/>
    <s v="SUZUKI-GS 150"/>
    <n v="16235"/>
    <n v="13565"/>
    <n v="4.2500000000000003E-2"/>
    <s v="30093208"/>
    <d v="2024-09-30T00:00:00"/>
    <s v="MOTORCYCLE  COMPREHENSIVE"/>
    <n v="382000"/>
    <n v="2034.75"/>
    <n v="135.65"/>
    <n v="500"/>
  </r>
  <r>
    <s v="KHI/HO/D/MO/MC COMP/P/98702/09/2024"/>
    <m/>
    <x v="2"/>
    <s v="South"/>
    <d v="2024-09-30T00:00:00"/>
    <d v="2025-09-30T00:00:00"/>
    <s v="ABDUL QADIR"/>
    <s v="SUZUKI-GD-110S"/>
    <n v="14960"/>
    <n v="12466"/>
    <n v="4.2500000000000003E-2"/>
    <s v="148953"/>
    <d v="2024-09-30T00:00:00"/>
    <s v="MOTORCYCLE  COMPREHENSIVE"/>
    <n v="352000"/>
    <n v="1869.9"/>
    <n v="124.66"/>
    <n v="500"/>
  </r>
  <r>
    <s v="KHI/HO/D/MO/MC COMP/P/98703/09/2024"/>
    <m/>
    <x v="2"/>
    <s v="South"/>
    <d v="2025-10-01T00:00:00"/>
    <d v="2026-10-01T00:00:00"/>
    <s v="ABDUL QADIR"/>
    <s v="SUZUKI-GD-110S"/>
    <n v="14960"/>
    <n v="12466"/>
    <n v="4.2500000000000003E-2"/>
    <s v="148953"/>
    <d v="2024-09-30T00:00:00"/>
    <s v="MOTORCYCLE  COMPREHENSIVE"/>
    <n v="352000"/>
    <n v="1869.9"/>
    <n v="124.66"/>
    <n v="500"/>
  </r>
  <r>
    <s v="KHI/HO/D/MO/MC COMP/P/98704/09/2024"/>
    <m/>
    <x v="2"/>
    <s v="South"/>
    <d v="2024-09-30T00:00:00"/>
    <d v="2025-09-30T00:00:00"/>
    <s v="NOMAN BUTT"/>
    <s v="SUZUKI-GS 150"/>
    <n v="16235"/>
    <n v="13565"/>
    <n v="4.2500000000000003E-2"/>
    <s v="30093207"/>
    <d v="2024-09-30T00:00:00"/>
    <s v="MOTORCYCLE  COMPREHENSIVE"/>
    <n v="382000"/>
    <n v="2034.75"/>
    <n v="135.65"/>
    <n v="500"/>
  </r>
  <r>
    <s v="KHI/HO/D/MO/MC COMP/P/98705/09/2024"/>
    <m/>
    <x v="2"/>
    <s v="South"/>
    <d v="2025-10-01T00:00:00"/>
    <d v="2026-10-01T00:00:00"/>
    <s v="NOMAN BUTT"/>
    <s v="SUZUKI-GS 150"/>
    <n v="16235"/>
    <n v="13565"/>
    <n v="4.2500000000000003E-2"/>
    <s v="30093207"/>
    <d v="2024-09-30T00:00:00"/>
    <s v="MOTORCYCLE  COMPREHENSIVE"/>
    <n v="382000"/>
    <n v="2034.75"/>
    <n v="135.65"/>
    <n v="500"/>
  </r>
  <r>
    <s v="KHI/HO/D/MO/MC COMP/P/98706/09/2024"/>
    <m/>
    <x v="2"/>
    <s v="South"/>
    <d v="2024-09-30T00:00:00"/>
    <d v="2025-09-30T00:00:00"/>
    <s v="MUHAMMAD ALI"/>
    <s v="SUZUKI-GD-110S"/>
    <n v="14960"/>
    <n v="12466"/>
    <n v="4.2500000000000003E-2"/>
    <s v="148104"/>
    <d v="2024-09-30T00:00:00"/>
    <s v="MOTORCYCLE  COMPREHENSIVE"/>
    <n v="352000"/>
    <n v="1869.9"/>
    <n v="124.66"/>
    <n v="500"/>
  </r>
  <r>
    <s v="KHI/HO/D/MO/MC COMP/P/98707/09/2024"/>
    <m/>
    <x v="7"/>
    <s v="South"/>
    <d v="2024-09-30T00:00:00"/>
    <d v="2025-09-30T00:00:00"/>
    <s v="HAFIZ ADEEL AHMED"/>
    <s v="SUZUKI-GR150 EURO II"/>
    <n v="23248"/>
    <n v="19610"/>
    <n v="4.2500914076782449E-2"/>
    <s v="113764"/>
    <d v="2024-09-30T00:00:00"/>
    <s v="MOTORCYCLE  COMPREHENSIVE"/>
    <n v="547000"/>
    <n v="2941.5"/>
    <n v="196.1"/>
    <n v="500"/>
  </r>
  <r>
    <s v="KHI/HO/D/MO/MC COMP/P/98708/09/2024"/>
    <m/>
    <x v="5"/>
    <s v="South"/>
    <d v="2024-09-30T00:00:00"/>
    <d v="2025-09-30T00:00:00"/>
    <s v="MIR SHAHERYAR ALI"/>
    <s v="SUZUKI-GR150 EURO II"/>
    <n v="23248"/>
    <n v="19610"/>
    <n v="4.2500914076782449E-2"/>
    <s v="113778"/>
    <d v="2024-09-30T00:00:00"/>
    <s v="MOTORCYCLE  COMPREHENSIVE"/>
    <n v="547000"/>
    <n v="2941.5"/>
    <n v="196.1"/>
    <n v="500"/>
  </r>
  <r>
    <s v="KHI/HO/D/MO/MC COMP/P/98709/09/2024"/>
    <m/>
    <x v="5"/>
    <s v="South"/>
    <d v="2024-09-30T00:00:00"/>
    <d v="2025-09-30T00:00:00"/>
    <s v="ABDUL SAMAD"/>
    <s v="SUZUKI-GD-110S"/>
    <n v="14960"/>
    <n v="12466"/>
    <n v="4.2500000000000003E-2"/>
    <s v="148526"/>
    <d v="2024-09-30T00:00:00"/>
    <s v="MOTORCYCLE  COMPREHENSIVE"/>
    <n v="352000"/>
    <n v="1869.9"/>
    <n v="124.66"/>
    <n v="500"/>
  </r>
  <r>
    <s v="KHI/HO/D/MO/MC COMP/P/98710/09/2024"/>
    <m/>
    <x v="5"/>
    <s v="South"/>
    <d v="2024-09-30T00:00:00"/>
    <d v="2025-09-30T00:00:00"/>
    <s v="SHEERAZ MEHMOOD"/>
    <s v="SUZUKI-GR150 EURO II"/>
    <n v="23248"/>
    <n v="19610"/>
    <n v="4.2500914076782449E-2"/>
    <s v="113775"/>
    <d v="2024-09-30T00:00:00"/>
    <s v="MOTORCYCLE  COMPREHENSIVE"/>
    <n v="547000"/>
    <n v="2941.5"/>
    <n v="196.1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28A5F-B70E-4CEC-9635-82F93A9F8D2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owroom">
  <location ref="A3:C32" firstHeaderRow="0" firstDataRow="1" firstDataCol="1"/>
  <pivotFields count="18">
    <pivotField dataField="1" showAll="0"/>
    <pivotField showAll="0"/>
    <pivotField axis="axisRow" showAll="0">
      <items count="32">
        <item x="7"/>
        <item x="3"/>
        <item x="15"/>
        <item x="12"/>
        <item x="4"/>
        <item x="2"/>
        <item x="18"/>
        <item x="6"/>
        <item x="1"/>
        <item x="5"/>
        <item x="14"/>
        <item x="10"/>
        <item x="16"/>
        <item x="26"/>
        <item x="23"/>
        <item x="0"/>
        <item x="13"/>
        <item x="9"/>
        <item x="21"/>
        <item x="8"/>
        <item x="25"/>
        <item x="11"/>
        <item x="19"/>
        <item x="24"/>
        <item x="20"/>
        <item x="22"/>
        <item x="27"/>
        <item m="1" x="29"/>
        <item m="1" x="30"/>
        <item x="17"/>
        <item m="1" x="28"/>
        <item t="default"/>
      </items>
    </pivotField>
    <pivotField showAll="0"/>
    <pivotField numFmtId="166" showAll="0"/>
    <pivotField numFmtId="166" showAll="0"/>
    <pivotField showAll="0"/>
    <pivotField showAll="0"/>
    <pivotField dataField="1" numFmtId="37" showAll="0"/>
    <pivotField numFmtId="37" showAll="0"/>
    <pivotField numFmtId="10" showAll="0"/>
    <pivotField showAll="0"/>
    <pivotField showAll="0"/>
    <pivotField showAll="0"/>
    <pivotField showAll="0"/>
    <pivotField numFmtId="165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No. Of Policies" fld="0" subtotal="count" baseField="0" baseItem="0"/>
    <dataField name="Net Premium" fld="8" baseField="0" baseItem="0" numFmtId="165"/>
  </dataFields>
  <formats count="2">
    <format dxfId="27">
      <pivotArea outline="0" collapsedLevelsAreSubtotals="1" fieldPosition="0"/>
    </format>
    <format dxfId="26">
      <pivotArea dataOnly="0" labelOnly="1" outline="0" axis="axisValues" fieldPosition="0"/>
    </format>
  </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8"/>
  <sheetViews>
    <sheetView showGridLines="0" topLeftCell="A15" workbookViewId="0">
      <selection activeCell="K28" sqref="K28"/>
    </sheetView>
  </sheetViews>
  <sheetFormatPr defaultColWidth="0" defaultRowHeight="15" zeroHeight="1" x14ac:dyDescent="0.25"/>
  <cols>
    <col min="1" max="1" width="4.28515625" customWidth="1"/>
    <col min="2" max="2" width="0.5703125" customWidth="1"/>
    <col min="3" max="10" width="8.85546875" customWidth="1"/>
    <col min="11" max="11" width="12.5703125" customWidth="1"/>
    <col min="12" max="12" width="0.5703125" customWidth="1"/>
    <col min="13" max="13" width="4.140625" customWidth="1"/>
    <col min="14" max="21" width="0" hidden="1" customWidth="1"/>
    <col min="22" max="16384" width="8.85546875" hidden="1"/>
  </cols>
  <sheetData>
    <row r="1" spans="2:21" x14ac:dyDescent="0.25"/>
    <row r="2" spans="2:21" x14ac:dyDescent="0.25"/>
    <row r="3" spans="2:21" x14ac:dyDescent="0.25"/>
    <row r="4" spans="2:21" x14ac:dyDescent="0.25"/>
    <row r="5" spans="2:21" x14ac:dyDescent="0.25"/>
    <row r="6" spans="2:21" x14ac:dyDescent="0.25"/>
    <row r="7" spans="2:21" ht="15.75" thickBot="1" x14ac:dyDescent="0.3"/>
    <row r="8" spans="2:21" ht="3" customHeight="1" thickBot="1" x14ac:dyDescent="0.3">
      <c r="B8" s="17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2:21" ht="19.5" thickBot="1" x14ac:dyDescent="0.35">
      <c r="B9" s="20"/>
      <c r="C9" s="61" t="s">
        <v>139</v>
      </c>
      <c r="D9" s="62"/>
      <c r="E9" s="62"/>
      <c r="F9" s="62"/>
      <c r="G9" s="62"/>
      <c r="H9" s="62"/>
      <c r="I9" s="62"/>
      <c r="J9" s="62"/>
      <c r="K9" s="63"/>
      <c r="L9" s="21"/>
    </row>
    <row r="10" spans="2:21" ht="15.75" thickBot="1" x14ac:dyDescent="0.3">
      <c r="B10" s="20"/>
      <c r="C10" s="5"/>
      <c r="D10" s="6"/>
      <c r="E10" s="6"/>
      <c r="F10" s="6"/>
      <c r="G10" s="6"/>
      <c r="H10" s="6"/>
      <c r="I10" s="6"/>
      <c r="J10" s="6"/>
      <c r="K10" s="7"/>
      <c r="L10" s="21"/>
    </row>
    <row r="11" spans="2:21" s="11" customFormat="1" ht="23.45" customHeight="1" thickBot="1" x14ac:dyDescent="0.3">
      <c r="B11" s="22"/>
      <c r="C11" s="64" t="s">
        <v>138</v>
      </c>
      <c r="D11" s="65"/>
      <c r="E11" s="65"/>
      <c r="F11" s="65"/>
      <c r="G11" s="65"/>
      <c r="H11" s="65"/>
      <c r="I11" s="65"/>
      <c r="J11" s="65"/>
      <c r="K11" s="66"/>
      <c r="L11" s="23"/>
    </row>
    <row r="12" spans="2:21" ht="15.75" thickBot="1" x14ac:dyDescent="0.3">
      <c r="B12" s="20"/>
      <c r="C12" s="5"/>
      <c r="D12" s="6"/>
      <c r="E12" s="6"/>
      <c r="F12" s="6"/>
      <c r="G12" s="6"/>
      <c r="H12" s="6"/>
      <c r="I12" s="6"/>
      <c r="J12" s="6"/>
      <c r="K12" s="7"/>
      <c r="L12" s="21"/>
    </row>
    <row r="13" spans="2:21" ht="15.75" thickBot="1" x14ac:dyDescent="0.3">
      <c r="B13" s="20"/>
      <c r="C13" s="70" t="s">
        <v>44</v>
      </c>
      <c r="D13" s="71"/>
      <c r="E13" s="70" t="s">
        <v>45</v>
      </c>
      <c r="F13" s="71"/>
      <c r="G13" s="70" t="s">
        <v>46</v>
      </c>
      <c r="H13" s="71"/>
      <c r="I13" s="70" t="s">
        <v>47</v>
      </c>
      <c r="J13" s="72"/>
      <c r="K13" s="71"/>
      <c r="L13" s="21"/>
      <c r="M13" s="8"/>
      <c r="N13" s="8"/>
      <c r="O13" s="8"/>
      <c r="P13" s="8"/>
      <c r="Q13" s="8"/>
      <c r="R13" s="8"/>
      <c r="S13" s="8"/>
      <c r="T13" s="8"/>
      <c r="U13" s="8"/>
    </row>
    <row r="14" spans="2:21" ht="15.75" thickBot="1" x14ac:dyDescent="0.3">
      <c r="B14" s="20"/>
      <c r="C14" s="52"/>
      <c r="D14" s="53"/>
      <c r="E14" s="53"/>
      <c r="F14" s="53"/>
      <c r="G14" s="53"/>
      <c r="H14" s="53"/>
      <c r="I14" s="53"/>
      <c r="J14" s="53"/>
      <c r="K14" s="54"/>
      <c r="L14" s="21"/>
    </row>
    <row r="15" spans="2:21" ht="15.75" thickBot="1" x14ac:dyDescent="0.3">
      <c r="B15" s="20"/>
      <c r="C15" s="73" t="s">
        <v>0</v>
      </c>
      <c r="D15" s="74"/>
      <c r="E15" s="55" t="s">
        <v>3</v>
      </c>
      <c r="F15" s="75"/>
      <c r="G15" s="75"/>
      <c r="H15" s="75"/>
      <c r="I15" s="75"/>
      <c r="J15" s="75"/>
      <c r="K15" s="56"/>
      <c r="L15" s="21"/>
    </row>
    <row r="16" spans="2:21" ht="15.75" thickBot="1" x14ac:dyDescent="0.3">
      <c r="B16" s="20"/>
      <c r="C16" s="15"/>
      <c r="D16" s="16"/>
      <c r="E16" s="6"/>
      <c r="F16" s="6"/>
      <c r="G16" s="6"/>
      <c r="H16" s="6"/>
      <c r="I16" s="6"/>
      <c r="J16" s="6"/>
      <c r="K16" s="7"/>
      <c r="L16" s="21"/>
    </row>
    <row r="17" spans="2:12" ht="15.75" thickBot="1" x14ac:dyDescent="0.3">
      <c r="B17" s="20"/>
      <c r="C17" s="55" t="s">
        <v>1</v>
      </c>
      <c r="D17" s="56"/>
      <c r="E17" s="12" t="s">
        <v>4</v>
      </c>
      <c r="F17" s="13"/>
      <c r="G17" s="13"/>
      <c r="H17" s="13"/>
      <c r="I17" s="13"/>
      <c r="J17" s="13"/>
      <c r="K17" s="14"/>
      <c r="L17" s="21"/>
    </row>
    <row r="18" spans="2:12" x14ac:dyDescent="0.25">
      <c r="B18" s="20"/>
      <c r="C18" s="8"/>
      <c r="D18" s="8"/>
      <c r="L18" s="21"/>
    </row>
    <row r="19" spans="2:12" ht="15.75" thickBot="1" x14ac:dyDescent="0.3">
      <c r="B19" s="20"/>
      <c r="C19" s="8"/>
      <c r="D19" s="8"/>
      <c r="L19" s="21"/>
    </row>
    <row r="20" spans="2:12" ht="15.75" thickBot="1" x14ac:dyDescent="0.3">
      <c r="B20" s="20"/>
      <c r="C20" s="55" t="s">
        <v>5</v>
      </c>
      <c r="D20" s="56"/>
      <c r="E20" s="55" t="s">
        <v>6</v>
      </c>
      <c r="F20" s="56"/>
      <c r="H20" s="55" t="s">
        <v>9</v>
      </c>
      <c r="I20" s="56"/>
      <c r="J20" s="55" t="s">
        <v>10</v>
      </c>
      <c r="K20" s="56"/>
      <c r="L20" s="21"/>
    </row>
    <row r="21" spans="2:12" ht="15.75" thickBot="1" x14ac:dyDescent="0.3">
      <c r="B21" s="20"/>
      <c r="C21" s="57" t="s">
        <v>7</v>
      </c>
      <c r="D21" s="58"/>
      <c r="E21" s="55" t="s">
        <v>6</v>
      </c>
      <c r="F21" s="56"/>
      <c r="H21" s="55" t="s">
        <v>11</v>
      </c>
      <c r="I21" s="56"/>
      <c r="J21" s="55">
        <f>Detail!A1</f>
        <v>958</v>
      </c>
      <c r="K21" s="56"/>
      <c r="L21" s="21"/>
    </row>
    <row r="22" spans="2:12" ht="15.75" thickBot="1" x14ac:dyDescent="0.3">
      <c r="B22" s="20"/>
      <c r="C22" s="57" t="s">
        <v>8</v>
      </c>
      <c r="D22" s="58"/>
      <c r="E22" s="55" t="s">
        <v>6</v>
      </c>
      <c r="F22" s="56"/>
      <c r="L22" s="21"/>
    </row>
    <row r="23" spans="2:12" ht="15.75" thickBot="1" x14ac:dyDescent="0.3">
      <c r="B23" s="20"/>
      <c r="L23" s="21"/>
    </row>
    <row r="24" spans="2:12" ht="15.75" thickBot="1" x14ac:dyDescent="0.3">
      <c r="B24" s="20"/>
      <c r="C24" s="67"/>
      <c r="D24" s="68"/>
      <c r="E24" s="68"/>
      <c r="F24" s="68"/>
      <c r="G24" s="68"/>
      <c r="H24" s="68"/>
      <c r="I24" s="68"/>
      <c r="J24" s="68"/>
      <c r="K24" s="69"/>
      <c r="L24" s="21"/>
    </row>
    <row r="25" spans="2:12" ht="15.75" thickBot="1" x14ac:dyDescent="0.3">
      <c r="B25" s="20"/>
      <c r="C25" s="47" t="s">
        <v>2</v>
      </c>
      <c r="D25" s="48"/>
      <c r="L25" s="21"/>
    </row>
    <row r="26" spans="2:12" ht="15.75" thickBot="1" x14ac:dyDescent="0.3">
      <c r="B26" s="20"/>
      <c r="L26" s="21"/>
    </row>
    <row r="27" spans="2:12" ht="15.75" thickBot="1" x14ac:dyDescent="0.3">
      <c r="B27" s="20"/>
      <c r="C27" s="59" t="s">
        <v>12</v>
      </c>
      <c r="D27" s="60"/>
      <c r="J27" s="9"/>
      <c r="K27" s="29">
        <f>Detail!J1</f>
        <v>10619930</v>
      </c>
      <c r="L27" s="21"/>
    </row>
    <row r="28" spans="2:12" ht="15.75" thickBot="1" x14ac:dyDescent="0.3">
      <c r="B28" s="20"/>
      <c r="C28" s="59" t="s">
        <v>2578</v>
      </c>
      <c r="D28" s="60"/>
      <c r="J28" s="9"/>
      <c r="K28" s="29">
        <f>Detail!P1</f>
        <v>1004359.3500000035</v>
      </c>
      <c r="L28" s="21"/>
    </row>
    <row r="29" spans="2:12" ht="15.75" thickBot="1" x14ac:dyDescent="0.3">
      <c r="B29" s="20"/>
      <c r="C29" s="59" t="s">
        <v>13</v>
      </c>
      <c r="D29" s="60"/>
      <c r="J29" s="9"/>
      <c r="K29" s="29">
        <f>Detail!Q1</f>
        <v>66957.290000000605</v>
      </c>
      <c r="L29" s="21"/>
    </row>
    <row r="30" spans="2:12" ht="15.75" thickBot="1" x14ac:dyDescent="0.3">
      <c r="B30" s="20"/>
      <c r="C30" s="59" t="s">
        <v>14</v>
      </c>
      <c r="D30" s="60"/>
      <c r="J30" s="9"/>
      <c r="K30" s="29">
        <f>Detail!R1</f>
        <v>311500</v>
      </c>
      <c r="L30" s="21"/>
    </row>
    <row r="31" spans="2:12" ht="15.75" thickBot="1" x14ac:dyDescent="0.3">
      <c r="B31" s="20"/>
      <c r="C31" s="47" t="s">
        <v>15</v>
      </c>
      <c r="D31" s="48"/>
      <c r="J31" s="9"/>
      <c r="K31" s="29">
        <f>Detail!I1</f>
        <v>12797941</v>
      </c>
      <c r="L31" s="21"/>
    </row>
    <row r="32" spans="2:12" x14ac:dyDescent="0.25">
      <c r="B32" s="20"/>
      <c r="L32" s="21"/>
    </row>
    <row r="33" spans="2:12" ht="15.75" thickBot="1" x14ac:dyDescent="0.3">
      <c r="B33" s="20"/>
      <c r="L33" s="21"/>
    </row>
    <row r="34" spans="2:12" s="10" customFormat="1" ht="15.75" thickBot="1" x14ac:dyDescent="0.3">
      <c r="B34" s="24"/>
      <c r="C34" s="49" t="str">
        <f>CONCATENATE(C36,F36,C37)</f>
        <v>Payment Of PKR. Rs. 12,797,941/- be cheque in favour of M/s. Salaam Takaful Limited.</v>
      </c>
      <c r="D34" s="50"/>
      <c r="E34" s="50"/>
      <c r="F34" s="50"/>
      <c r="G34" s="50"/>
      <c r="H34" s="50"/>
      <c r="I34" s="50"/>
      <c r="J34" s="50"/>
      <c r="K34" s="51"/>
      <c r="L34" s="25"/>
    </row>
    <row r="35" spans="2:12" s="10" customFormat="1" ht="3" customHeight="1" thickBot="1" x14ac:dyDescent="0.3"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2:12" s="10" customFormat="1" hidden="1" x14ac:dyDescent="0.25">
      <c r="C36" s="10" t="s">
        <v>48</v>
      </c>
      <c r="F36" s="10" t="str">
        <f>TEXT(K31,"##,###,###")</f>
        <v>12,797,941</v>
      </c>
    </row>
    <row r="37" spans="2:12" s="10" customFormat="1" hidden="1" x14ac:dyDescent="0.25">
      <c r="C37" s="10" t="s">
        <v>16</v>
      </c>
    </row>
    <row r="38" spans="2:12" s="10" customFormat="1" x14ac:dyDescent="0.25"/>
  </sheetData>
  <mergeCells count="28">
    <mergeCell ref="C28:D28"/>
    <mergeCell ref="C29:D29"/>
    <mergeCell ref="C30:D30"/>
    <mergeCell ref="C9:K9"/>
    <mergeCell ref="C11:K11"/>
    <mergeCell ref="C24:K24"/>
    <mergeCell ref="G13:H13"/>
    <mergeCell ref="I13:K13"/>
    <mergeCell ref="E13:F13"/>
    <mergeCell ref="C13:D13"/>
    <mergeCell ref="C15:D15"/>
    <mergeCell ref="E15:K15"/>
    <mergeCell ref="C31:D31"/>
    <mergeCell ref="C34:K34"/>
    <mergeCell ref="C14:K14"/>
    <mergeCell ref="C17:D17"/>
    <mergeCell ref="C20:D20"/>
    <mergeCell ref="C21:D21"/>
    <mergeCell ref="C22:D22"/>
    <mergeCell ref="E20:F20"/>
    <mergeCell ref="E21:F21"/>
    <mergeCell ref="E22:F22"/>
    <mergeCell ref="H20:I20"/>
    <mergeCell ref="H21:I21"/>
    <mergeCell ref="J20:K20"/>
    <mergeCell ref="J21:K21"/>
    <mergeCell ref="C25:D25"/>
    <mergeCell ref="C27:D27"/>
  </mergeCell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009E-9C6E-46E0-AFC2-BF11BA307D51}">
  <dimension ref="A3:C44"/>
  <sheetViews>
    <sheetView topLeftCell="A19" workbookViewId="0">
      <selection activeCell="B4" sqref="B4"/>
    </sheetView>
  </sheetViews>
  <sheetFormatPr defaultRowHeight="15" x14ac:dyDescent="0.25"/>
  <cols>
    <col min="1" max="1" width="35.7109375" bestFit="1" customWidth="1"/>
    <col min="2" max="2" width="14.140625" style="1" bestFit="1" customWidth="1"/>
    <col min="3" max="3" width="12.85546875" bestFit="1" customWidth="1"/>
    <col min="4" max="4" width="5.28515625" bestFit="1" customWidth="1"/>
    <col min="5" max="5" width="12.140625" bestFit="1" customWidth="1"/>
    <col min="6" max="6" width="8.85546875" bestFit="1" customWidth="1"/>
    <col min="7" max="7" width="10.42578125" bestFit="1" customWidth="1"/>
    <col min="8" max="8" width="18" bestFit="1" customWidth="1"/>
    <col min="9" max="9" width="16.85546875" bestFit="1" customWidth="1"/>
    <col min="10" max="10" width="10.7109375" bestFit="1" customWidth="1"/>
    <col min="11" max="11" width="11.28515625" bestFit="1" customWidth="1"/>
    <col min="12" max="12" width="8.5703125" bestFit="1" customWidth="1"/>
    <col min="13" max="13" width="10.7109375" bestFit="1" customWidth="1"/>
    <col min="14" max="14" width="10.5703125" bestFit="1" customWidth="1"/>
    <col min="15" max="15" width="10.7109375" bestFit="1" customWidth="1"/>
    <col min="16" max="16" width="10.5703125" bestFit="1" customWidth="1"/>
    <col min="17" max="17" width="10.7109375" bestFit="1" customWidth="1"/>
    <col min="18" max="18" width="10.5703125" bestFit="1" customWidth="1"/>
    <col min="19" max="19" width="10.7109375" bestFit="1" customWidth="1"/>
    <col min="20" max="20" width="10.5703125" bestFit="1" customWidth="1"/>
    <col min="21" max="21" width="10.7109375" bestFit="1" customWidth="1"/>
    <col min="22" max="22" width="10.5703125" bestFit="1" customWidth="1"/>
    <col min="23" max="23" width="10.7109375" bestFit="1" customWidth="1"/>
    <col min="24" max="24" width="10.5703125" bestFit="1" customWidth="1"/>
    <col min="25" max="25" width="10.7109375" bestFit="1" customWidth="1"/>
    <col min="26" max="26" width="10.5703125" bestFit="1" customWidth="1"/>
    <col min="27" max="27" width="10.7109375" bestFit="1" customWidth="1"/>
    <col min="28" max="28" width="10.5703125" bestFit="1" customWidth="1"/>
    <col min="29" max="29" width="10.7109375" bestFit="1" customWidth="1"/>
    <col min="30" max="30" width="10.5703125" bestFit="1" customWidth="1"/>
    <col min="31" max="31" width="10.7109375" bestFit="1" customWidth="1"/>
    <col min="32" max="32" width="10.5703125" bestFit="1" customWidth="1"/>
    <col min="33" max="33" width="7.85546875" bestFit="1" customWidth="1"/>
    <col min="34" max="34" width="10.7109375" bestFit="1" customWidth="1"/>
    <col min="35" max="35" width="11.7109375" bestFit="1" customWidth="1"/>
    <col min="36" max="36" width="10.7109375" bestFit="1" customWidth="1"/>
    <col min="37" max="37" width="11.7109375" bestFit="1" customWidth="1"/>
    <col min="38" max="38" width="10.7109375" bestFit="1" customWidth="1"/>
    <col min="39" max="39" width="11.7109375" bestFit="1" customWidth="1"/>
    <col min="40" max="40" width="10.7109375" bestFit="1" customWidth="1"/>
    <col min="41" max="41" width="11.7109375" bestFit="1" customWidth="1"/>
    <col min="42" max="42" width="10.7109375" bestFit="1" customWidth="1"/>
    <col min="43" max="43" width="11.7109375" bestFit="1" customWidth="1"/>
    <col min="44" max="44" width="10.7109375" bestFit="1" customWidth="1"/>
    <col min="45" max="45" width="11.7109375" bestFit="1" customWidth="1"/>
    <col min="46" max="46" width="10.7109375" bestFit="1" customWidth="1"/>
    <col min="47" max="47" width="11.7109375" bestFit="1" customWidth="1"/>
    <col min="48" max="48" width="10.7109375" bestFit="1" customWidth="1"/>
    <col min="49" max="49" width="11.7109375" bestFit="1" customWidth="1"/>
    <col min="50" max="50" width="10.7109375" bestFit="1" customWidth="1"/>
    <col min="51" max="51" width="11.7109375" bestFit="1" customWidth="1"/>
    <col min="52" max="52" width="10.7109375" bestFit="1" customWidth="1"/>
    <col min="53" max="53" width="11.7109375" bestFit="1" customWidth="1"/>
    <col min="54" max="54" width="10.7109375" bestFit="1" customWidth="1"/>
    <col min="55" max="55" width="11.7109375" bestFit="1" customWidth="1"/>
    <col min="56" max="56" width="10.7109375" bestFit="1" customWidth="1"/>
    <col min="57" max="57" width="11.7109375" bestFit="1" customWidth="1"/>
    <col min="58" max="58" width="10.7109375" bestFit="1" customWidth="1"/>
    <col min="59" max="59" width="11.7109375" bestFit="1" customWidth="1"/>
    <col min="60" max="60" width="10.7109375" bestFit="1" customWidth="1"/>
    <col min="61" max="61" width="11.7109375" bestFit="1" customWidth="1"/>
    <col min="62" max="62" width="10.7109375" bestFit="1" customWidth="1"/>
    <col min="63" max="63" width="11.7109375" bestFit="1" customWidth="1"/>
    <col min="64" max="64" width="10.7109375" bestFit="1" customWidth="1"/>
    <col min="65" max="65" width="11.7109375" bestFit="1" customWidth="1"/>
    <col min="66" max="66" width="10.7109375" bestFit="1" customWidth="1"/>
    <col min="67" max="67" width="11.7109375" bestFit="1" customWidth="1"/>
    <col min="68" max="68" width="10.7109375" bestFit="1" customWidth="1"/>
    <col min="69" max="69" width="11.7109375" bestFit="1" customWidth="1"/>
    <col min="70" max="70" width="10.7109375" bestFit="1" customWidth="1"/>
    <col min="71" max="71" width="11.7109375" bestFit="1" customWidth="1"/>
    <col min="72" max="72" width="10.7109375" bestFit="1" customWidth="1"/>
    <col min="73" max="73" width="11.7109375" bestFit="1" customWidth="1"/>
    <col min="74" max="74" width="10.7109375" bestFit="1" customWidth="1"/>
    <col min="75" max="75" width="11.7109375" bestFit="1" customWidth="1"/>
    <col min="76" max="76" width="10.7109375" bestFit="1" customWidth="1"/>
    <col min="77" max="77" width="11.7109375" bestFit="1" customWidth="1"/>
    <col min="78" max="78" width="10.7109375" bestFit="1" customWidth="1"/>
    <col min="79" max="79" width="11.7109375" bestFit="1" customWidth="1"/>
    <col min="80" max="80" width="10.7109375" bestFit="1" customWidth="1"/>
    <col min="81" max="81" width="11.7109375" bestFit="1" customWidth="1"/>
    <col min="82" max="82" width="10.7109375" bestFit="1" customWidth="1"/>
    <col min="83" max="83" width="11.7109375" bestFit="1" customWidth="1"/>
    <col min="84" max="84" width="10.7109375" bestFit="1" customWidth="1"/>
    <col min="85" max="85" width="11.7109375" bestFit="1" customWidth="1"/>
    <col min="86" max="86" width="9" bestFit="1" customWidth="1"/>
    <col min="87" max="87" width="12.140625" bestFit="1" customWidth="1"/>
    <col min="88" max="88" width="11.28515625" bestFit="1" customWidth="1"/>
    <col min="89" max="89" width="10.7109375" bestFit="1" customWidth="1"/>
    <col min="90" max="90" width="11.28515625" bestFit="1" customWidth="1"/>
    <col min="91" max="91" width="10.7109375" bestFit="1" customWidth="1"/>
    <col min="92" max="92" width="11.28515625" bestFit="1" customWidth="1"/>
    <col min="93" max="93" width="10.7109375" bestFit="1" customWidth="1"/>
    <col min="94" max="94" width="11.28515625" bestFit="1" customWidth="1"/>
    <col min="95" max="95" width="10.7109375" bestFit="1" customWidth="1"/>
    <col min="96" max="96" width="11.28515625" bestFit="1" customWidth="1"/>
    <col min="97" max="97" width="8.5703125" bestFit="1" customWidth="1"/>
    <col min="98" max="98" width="10.7109375" bestFit="1" customWidth="1"/>
    <col min="99" max="99" width="10.5703125" bestFit="1" customWidth="1"/>
    <col min="100" max="100" width="10.7109375" bestFit="1" customWidth="1"/>
    <col min="101" max="101" width="10.5703125" bestFit="1" customWidth="1"/>
    <col min="102" max="102" width="10.7109375" bestFit="1" customWidth="1"/>
    <col min="103" max="103" width="10.5703125" bestFit="1" customWidth="1"/>
    <col min="104" max="104" width="10.7109375" bestFit="1" customWidth="1"/>
    <col min="105" max="105" width="10.5703125" bestFit="1" customWidth="1"/>
    <col min="106" max="106" width="10.7109375" bestFit="1" customWidth="1"/>
    <col min="107" max="107" width="10.5703125" bestFit="1" customWidth="1"/>
    <col min="108" max="108" width="10.7109375" bestFit="1" customWidth="1"/>
    <col min="109" max="109" width="10.5703125" bestFit="1" customWidth="1"/>
    <col min="110" max="110" width="10.7109375" bestFit="1" customWidth="1"/>
    <col min="111" max="111" width="10.5703125" bestFit="1" customWidth="1"/>
    <col min="112" max="112" width="10.7109375" bestFit="1" customWidth="1"/>
    <col min="113" max="113" width="10.5703125" bestFit="1" customWidth="1"/>
    <col min="114" max="114" width="10.7109375" bestFit="1" customWidth="1"/>
    <col min="115" max="115" width="10.5703125" bestFit="1" customWidth="1"/>
    <col min="116" max="116" width="10.7109375" bestFit="1" customWidth="1"/>
    <col min="117" max="117" width="10.5703125" bestFit="1" customWidth="1"/>
    <col min="119" max="119" width="10.7109375" bestFit="1" customWidth="1"/>
    <col min="120" max="120" width="11.7109375" bestFit="1" customWidth="1"/>
    <col min="121" max="121" width="10.7109375" bestFit="1" customWidth="1"/>
    <col min="122" max="122" width="11.7109375" bestFit="1" customWidth="1"/>
    <col min="123" max="123" width="10.7109375" bestFit="1" customWidth="1"/>
    <col min="124" max="124" width="11.7109375" bestFit="1" customWidth="1"/>
    <col min="125" max="125" width="10.7109375" bestFit="1" customWidth="1"/>
    <col min="126" max="126" width="11.7109375" bestFit="1" customWidth="1"/>
    <col min="127" max="127" width="10.7109375" bestFit="1" customWidth="1"/>
    <col min="128" max="128" width="11.7109375" bestFit="1" customWidth="1"/>
    <col min="129" max="129" width="10.7109375" bestFit="1" customWidth="1"/>
    <col min="130" max="130" width="11.7109375" bestFit="1" customWidth="1"/>
    <col min="131" max="131" width="10.7109375" bestFit="1" customWidth="1"/>
    <col min="132" max="132" width="11.7109375" bestFit="1" customWidth="1"/>
    <col min="133" max="133" width="10.7109375" bestFit="1" customWidth="1"/>
    <col min="134" max="134" width="11.7109375" bestFit="1" customWidth="1"/>
    <col min="135" max="135" width="10.7109375" bestFit="1" customWidth="1"/>
    <col min="136" max="136" width="11.7109375" bestFit="1" customWidth="1"/>
    <col min="137" max="137" width="10.7109375" bestFit="1" customWidth="1"/>
    <col min="138" max="138" width="11.7109375" bestFit="1" customWidth="1"/>
    <col min="139" max="139" width="10.7109375" bestFit="1" customWidth="1"/>
    <col min="140" max="140" width="11.7109375" bestFit="1" customWidth="1"/>
    <col min="141" max="141" width="10.7109375" bestFit="1" customWidth="1"/>
    <col min="142" max="142" width="11.7109375" bestFit="1" customWidth="1"/>
    <col min="143" max="143" width="10.7109375" bestFit="1" customWidth="1"/>
    <col min="144" max="144" width="11.7109375" bestFit="1" customWidth="1"/>
    <col min="145" max="145" width="10.7109375" bestFit="1" customWidth="1"/>
    <col min="146" max="146" width="11.7109375" bestFit="1" customWidth="1"/>
    <col min="147" max="147" width="10.7109375" bestFit="1" customWidth="1"/>
    <col min="148" max="148" width="11.7109375" bestFit="1" customWidth="1"/>
    <col min="149" max="149" width="10.7109375" bestFit="1" customWidth="1"/>
    <col min="150" max="150" width="11.7109375" bestFit="1" customWidth="1"/>
    <col min="151" max="151" width="10.7109375" bestFit="1" customWidth="1"/>
    <col min="152" max="152" width="11.7109375" bestFit="1" customWidth="1"/>
    <col min="153" max="153" width="10.7109375" bestFit="1" customWidth="1"/>
    <col min="154" max="154" width="11.7109375" bestFit="1" customWidth="1"/>
    <col min="155" max="155" width="10.7109375" bestFit="1" customWidth="1"/>
    <col min="156" max="156" width="11.7109375" bestFit="1" customWidth="1"/>
    <col min="157" max="157" width="10.7109375" bestFit="1" customWidth="1"/>
    <col min="158" max="158" width="11.7109375" bestFit="1" customWidth="1"/>
    <col min="159" max="159" width="10.7109375" bestFit="1" customWidth="1"/>
    <col min="160" max="160" width="11.7109375" bestFit="1" customWidth="1"/>
    <col min="161" max="161" width="10.7109375" bestFit="1" customWidth="1"/>
    <col min="162" max="162" width="11.7109375" bestFit="1" customWidth="1"/>
    <col min="163" max="163" width="10.7109375" bestFit="1" customWidth="1"/>
    <col min="164" max="164" width="11.7109375" bestFit="1" customWidth="1"/>
    <col min="165" max="165" width="10.7109375" bestFit="1" customWidth="1"/>
    <col min="166" max="166" width="11.7109375" bestFit="1" customWidth="1"/>
    <col min="167" max="167" width="10.7109375" bestFit="1" customWidth="1"/>
    <col min="168" max="168" width="11.7109375" bestFit="1" customWidth="1"/>
    <col min="169" max="169" width="10.7109375" bestFit="1" customWidth="1"/>
    <col min="170" max="170" width="11.7109375" bestFit="1" customWidth="1"/>
    <col min="171" max="171" width="10.42578125" bestFit="1" customWidth="1"/>
    <col min="172" max="172" width="18" bestFit="1" customWidth="1"/>
    <col min="173" max="173" width="16.85546875" bestFit="1" customWidth="1"/>
  </cols>
  <sheetData>
    <row r="3" spans="1:3" x14ac:dyDescent="0.25">
      <c r="A3" s="3" t="s">
        <v>43</v>
      </c>
      <c r="B3" t="s">
        <v>42</v>
      </c>
      <c r="C3" t="s">
        <v>41</v>
      </c>
    </row>
    <row r="4" spans="1:3" x14ac:dyDescent="0.25">
      <c r="A4" s="30" t="s">
        <v>33</v>
      </c>
      <c r="B4" s="4">
        <v>20</v>
      </c>
      <c r="C4" s="4">
        <v>347015</v>
      </c>
    </row>
    <row r="5" spans="1:3" x14ac:dyDescent="0.25">
      <c r="A5" s="30" t="s">
        <v>30</v>
      </c>
      <c r="B5" s="4">
        <v>70</v>
      </c>
      <c r="C5" s="4">
        <v>1141556</v>
      </c>
    </row>
    <row r="6" spans="1:3" x14ac:dyDescent="0.25">
      <c r="A6" s="30" t="s">
        <v>34</v>
      </c>
      <c r="B6" s="4">
        <v>100</v>
      </c>
      <c r="C6" s="4">
        <v>942850</v>
      </c>
    </row>
    <row r="7" spans="1:3" x14ac:dyDescent="0.25">
      <c r="A7" s="30" t="s">
        <v>37</v>
      </c>
      <c r="B7" s="4">
        <v>45</v>
      </c>
      <c r="C7" s="4">
        <v>432975</v>
      </c>
    </row>
    <row r="8" spans="1:3" x14ac:dyDescent="0.25">
      <c r="A8" s="30" t="s">
        <v>38</v>
      </c>
      <c r="B8" s="4">
        <v>59</v>
      </c>
      <c r="C8" s="4">
        <v>974062</v>
      </c>
    </row>
    <row r="9" spans="1:3" x14ac:dyDescent="0.25">
      <c r="A9" s="30" t="s">
        <v>36</v>
      </c>
      <c r="B9" s="4">
        <v>52</v>
      </c>
      <c r="C9" s="4">
        <v>877758</v>
      </c>
    </row>
    <row r="10" spans="1:3" x14ac:dyDescent="0.25">
      <c r="A10" s="30" t="s">
        <v>39</v>
      </c>
      <c r="B10" s="4">
        <v>50</v>
      </c>
      <c r="C10" s="4">
        <v>834195</v>
      </c>
    </row>
    <row r="11" spans="1:3" x14ac:dyDescent="0.25">
      <c r="A11" s="30" t="s">
        <v>31</v>
      </c>
      <c r="B11" s="4">
        <v>74</v>
      </c>
      <c r="C11" s="4">
        <v>1220962</v>
      </c>
    </row>
    <row r="12" spans="1:3" x14ac:dyDescent="0.25">
      <c r="A12" s="30" t="s">
        <v>35</v>
      </c>
      <c r="B12" s="4">
        <v>63</v>
      </c>
      <c r="C12" s="4">
        <v>1049077</v>
      </c>
    </row>
    <row r="13" spans="1:3" x14ac:dyDescent="0.25">
      <c r="A13" s="30" t="s">
        <v>32</v>
      </c>
      <c r="B13" s="4">
        <v>109</v>
      </c>
      <c r="C13" s="4">
        <v>1775912</v>
      </c>
    </row>
    <row r="14" spans="1:3" x14ac:dyDescent="0.25">
      <c r="A14" s="30" t="s">
        <v>49</v>
      </c>
      <c r="B14" s="4">
        <v>8</v>
      </c>
      <c r="C14" s="4">
        <v>80150</v>
      </c>
    </row>
    <row r="15" spans="1:3" x14ac:dyDescent="0.25">
      <c r="A15" s="30" t="s">
        <v>50</v>
      </c>
      <c r="B15" s="4">
        <v>16</v>
      </c>
      <c r="C15" s="4">
        <v>156550</v>
      </c>
    </row>
    <row r="16" spans="1:3" x14ac:dyDescent="0.25">
      <c r="A16" s="30" t="s">
        <v>85</v>
      </c>
      <c r="B16" s="4">
        <v>29</v>
      </c>
      <c r="C16" s="4">
        <v>310925</v>
      </c>
    </row>
    <row r="17" spans="1:3" x14ac:dyDescent="0.25">
      <c r="A17" s="30" t="s">
        <v>51</v>
      </c>
      <c r="B17" s="4">
        <v>25</v>
      </c>
      <c r="C17" s="4">
        <v>246700</v>
      </c>
    </row>
    <row r="18" spans="1:3" x14ac:dyDescent="0.25">
      <c r="A18" s="30" t="s">
        <v>52</v>
      </c>
      <c r="B18" s="4">
        <v>14</v>
      </c>
      <c r="C18" s="4">
        <v>236854</v>
      </c>
    </row>
    <row r="19" spans="1:3" x14ac:dyDescent="0.25">
      <c r="A19" s="30" t="s">
        <v>53</v>
      </c>
      <c r="B19" s="4">
        <v>30</v>
      </c>
      <c r="C19" s="4">
        <v>277500</v>
      </c>
    </row>
    <row r="20" spans="1:3" x14ac:dyDescent="0.25">
      <c r="A20" s="30" t="s">
        <v>54</v>
      </c>
      <c r="B20" s="4">
        <v>21</v>
      </c>
      <c r="C20" s="4">
        <v>207150</v>
      </c>
    </row>
    <row r="21" spans="1:3" x14ac:dyDescent="0.25">
      <c r="A21" s="30" t="s">
        <v>66</v>
      </c>
      <c r="B21" s="4">
        <v>18</v>
      </c>
      <c r="C21" s="4">
        <v>167325</v>
      </c>
    </row>
    <row r="22" spans="1:3" x14ac:dyDescent="0.25">
      <c r="A22" s="30" t="s">
        <v>71</v>
      </c>
      <c r="B22" s="4">
        <v>6</v>
      </c>
      <c r="C22" s="4">
        <v>59175</v>
      </c>
    </row>
    <row r="23" spans="1:3" x14ac:dyDescent="0.25">
      <c r="A23" s="30" t="s">
        <v>55</v>
      </c>
      <c r="B23" s="4">
        <v>16</v>
      </c>
      <c r="C23" s="4">
        <v>150100</v>
      </c>
    </row>
    <row r="24" spans="1:3" x14ac:dyDescent="0.25">
      <c r="A24" s="30" t="s">
        <v>69</v>
      </c>
      <c r="B24" s="4">
        <v>12</v>
      </c>
      <c r="C24" s="4">
        <v>120900</v>
      </c>
    </row>
    <row r="25" spans="1:3" x14ac:dyDescent="0.25">
      <c r="A25" s="30" t="s">
        <v>65</v>
      </c>
      <c r="B25" s="4">
        <v>28</v>
      </c>
      <c r="C25" s="4">
        <v>269425</v>
      </c>
    </row>
    <row r="26" spans="1:3" x14ac:dyDescent="0.25">
      <c r="A26" s="30" t="s">
        <v>70</v>
      </c>
      <c r="B26" s="4">
        <v>20</v>
      </c>
      <c r="C26" s="4">
        <v>204350</v>
      </c>
    </row>
    <row r="27" spans="1:3" x14ac:dyDescent="0.25">
      <c r="A27" s="30" t="s">
        <v>72</v>
      </c>
      <c r="B27" s="4">
        <v>8</v>
      </c>
      <c r="C27" s="4">
        <v>79700</v>
      </c>
    </row>
    <row r="28" spans="1:3" x14ac:dyDescent="0.25">
      <c r="A28" s="30" t="s">
        <v>78</v>
      </c>
      <c r="B28" s="4">
        <v>33</v>
      </c>
      <c r="C28" s="4">
        <v>313875</v>
      </c>
    </row>
    <row r="29" spans="1:3" x14ac:dyDescent="0.25">
      <c r="A29" s="30" t="s">
        <v>79</v>
      </c>
      <c r="B29" s="4">
        <v>10</v>
      </c>
      <c r="C29" s="4">
        <v>91000</v>
      </c>
    </row>
    <row r="30" spans="1:3" x14ac:dyDescent="0.25">
      <c r="A30" s="30" t="s">
        <v>84</v>
      </c>
      <c r="B30" s="4">
        <v>4</v>
      </c>
      <c r="C30" s="4">
        <v>40075</v>
      </c>
    </row>
    <row r="31" spans="1:3" x14ac:dyDescent="0.25">
      <c r="A31" s="30" t="s">
        <v>99</v>
      </c>
      <c r="B31" s="4">
        <v>18</v>
      </c>
      <c r="C31" s="4">
        <v>189825</v>
      </c>
    </row>
    <row r="32" spans="1:3" x14ac:dyDescent="0.25">
      <c r="A32" s="30" t="s">
        <v>40</v>
      </c>
      <c r="B32" s="4">
        <v>958</v>
      </c>
      <c r="C32" s="4">
        <v>12797941</v>
      </c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375C-9CAC-4F68-AD57-A0E165361B63}">
  <dimension ref="A1:S960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35.7109375" customWidth="1"/>
    <col min="2" max="2" width="30.42578125" bestFit="1" customWidth="1"/>
    <col min="3" max="3" width="26.85546875" customWidth="1"/>
    <col min="4" max="4" width="15" customWidth="1"/>
    <col min="5" max="5" width="13.42578125" bestFit="1" customWidth="1"/>
    <col min="6" max="6" width="12.28515625" bestFit="1" customWidth="1"/>
    <col min="7" max="7" width="32.7109375" customWidth="1"/>
    <col min="8" max="8" width="23.28515625" customWidth="1"/>
    <col min="9" max="10" width="10.85546875" bestFit="1" customWidth="1"/>
    <col min="11" max="11" width="10.85546875" customWidth="1"/>
    <col min="12" max="12" width="11.42578125" customWidth="1"/>
    <col min="13" max="13" width="11.85546875" bestFit="1" customWidth="1"/>
    <col min="14" max="14" width="31" customWidth="1"/>
    <col min="15" max="15" width="10.42578125" customWidth="1"/>
    <col min="16" max="16" width="11.42578125" bestFit="1" customWidth="1"/>
    <col min="17" max="17" width="9.5703125" bestFit="1" customWidth="1"/>
    <col min="18" max="18" width="13.140625" bestFit="1" customWidth="1"/>
    <col min="19" max="19" width="11.85546875" bestFit="1" customWidth="1"/>
  </cols>
  <sheetData>
    <row r="1" spans="1:18" x14ac:dyDescent="0.25">
      <c r="A1">
        <f>COUNTIFS(R3:R1048576,"&gt;=0")</f>
        <v>958</v>
      </c>
      <c r="I1" s="2">
        <f>SUBTOTAL(9,I3:I960)</f>
        <v>12797941</v>
      </c>
      <c r="J1" s="2">
        <f>SUBTOTAL(9,J3:J960)</f>
        <v>10619930</v>
      </c>
      <c r="K1" s="2"/>
      <c r="P1" s="2">
        <f>SUBTOTAL(9,P3:P625)</f>
        <v>1004359.3500000035</v>
      </c>
      <c r="Q1" s="2">
        <f>SUBTOTAL(9,Q3:Q625)</f>
        <v>66957.290000000605</v>
      </c>
      <c r="R1" s="2">
        <f>SUBTOTAL(9,R3:R625)</f>
        <v>311500</v>
      </c>
    </row>
    <row r="2" spans="1:18" x14ac:dyDescent="0.25">
      <c r="A2" s="31" t="s">
        <v>17</v>
      </c>
      <c r="B2" s="31" t="s">
        <v>83</v>
      </c>
      <c r="C2" s="31" t="s">
        <v>18</v>
      </c>
      <c r="D2" s="31" t="s">
        <v>2581</v>
      </c>
      <c r="E2" s="31" t="s">
        <v>19</v>
      </c>
      <c r="F2" s="31" t="s">
        <v>20</v>
      </c>
      <c r="G2" s="31" t="s">
        <v>21</v>
      </c>
      <c r="H2" s="31" t="s">
        <v>22</v>
      </c>
      <c r="I2" s="31" t="s">
        <v>23</v>
      </c>
      <c r="J2" s="31" t="s">
        <v>24</v>
      </c>
      <c r="K2" s="31" t="s">
        <v>2592</v>
      </c>
      <c r="L2" s="31" t="s">
        <v>25</v>
      </c>
      <c r="M2" s="31" t="s">
        <v>26</v>
      </c>
      <c r="N2" s="31" t="s">
        <v>27</v>
      </c>
      <c r="O2" s="31" t="s">
        <v>28</v>
      </c>
      <c r="P2" s="32" t="s">
        <v>2579</v>
      </c>
      <c r="Q2" s="31" t="s">
        <v>29</v>
      </c>
      <c r="R2" s="31" t="s">
        <v>14</v>
      </c>
    </row>
    <row r="3" spans="1:18" x14ac:dyDescent="0.25">
      <c r="A3" s="37" t="s">
        <v>140</v>
      </c>
      <c r="B3" s="37"/>
      <c r="C3" s="37" t="s">
        <v>53</v>
      </c>
      <c r="D3" s="37" t="s">
        <v>2582</v>
      </c>
      <c r="E3" s="38">
        <v>45537</v>
      </c>
      <c r="F3" s="38">
        <v>45902</v>
      </c>
      <c r="G3" s="37" t="s">
        <v>1097</v>
      </c>
      <c r="H3" s="37" t="s">
        <v>60</v>
      </c>
      <c r="I3" s="39">
        <v>8800</v>
      </c>
      <c r="J3" s="39">
        <v>7155</v>
      </c>
      <c r="K3" s="43">
        <f>I3/O3</f>
        <v>2.5000000000000001E-2</v>
      </c>
      <c r="L3" s="37" t="s">
        <v>1789</v>
      </c>
      <c r="M3" s="40">
        <v>45537</v>
      </c>
      <c r="N3" s="33" t="s">
        <v>57</v>
      </c>
      <c r="O3" s="41">
        <v>352000</v>
      </c>
      <c r="P3" s="34">
        <f>J3*15/100</f>
        <v>1073.25</v>
      </c>
      <c r="Q3" s="36">
        <f>J3*1/100</f>
        <v>71.55</v>
      </c>
      <c r="R3" s="35">
        <v>500</v>
      </c>
    </row>
    <row r="4" spans="1:18" x14ac:dyDescent="0.25">
      <c r="A4" s="37" t="s">
        <v>141</v>
      </c>
      <c r="B4" s="37"/>
      <c r="C4" s="37" t="s">
        <v>35</v>
      </c>
      <c r="D4" s="37" t="s">
        <v>36</v>
      </c>
      <c r="E4" s="38">
        <v>45537</v>
      </c>
      <c r="F4" s="38">
        <v>45902</v>
      </c>
      <c r="G4" s="37" t="s">
        <v>1098</v>
      </c>
      <c r="H4" s="37" t="s">
        <v>62</v>
      </c>
      <c r="I4" s="39">
        <v>23248</v>
      </c>
      <c r="J4" s="39">
        <v>19610</v>
      </c>
      <c r="K4" s="43">
        <f t="shared" ref="K4:K67" si="0">I4/O4</f>
        <v>4.2500914076782449E-2</v>
      </c>
      <c r="L4" s="37" t="s">
        <v>1790</v>
      </c>
      <c r="M4" s="40">
        <v>45537</v>
      </c>
      <c r="N4" s="33" t="s">
        <v>57</v>
      </c>
      <c r="O4" s="41">
        <v>547000</v>
      </c>
      <c r="P4" s="34">
        <f t="shared" ref="P4:P67" si="1">J4*15/100</f>
        <v>2941.5</v>
      </c>
      <c r="Q4" s="36">
        <f t="shared" ref="Q4:Q67" si="2">J4*1/100</f>
        <v>196.1</v>
      </c>
      <c r="R4" s="35">
        <v>500</v>
      </c>
    </row>
    <row r="5" spans="1:18" x14ac:dyDescent="0.25">
      <c r="A5" s="37" t="s">
        <v>142</v>
      </c>
      <c r="B5" s="37"/>
      <c r="C5" s="37" t="s">
        <v>35</v>
      </c>
      <c r="D5" s="37" t="s">
        <v>36</v>
      </c>
      <c r="E5" s="38">
        <v>45903</v>
      </c>
      <c r="F5" s="38">
        <v>46268</v>
      </c>
      <c r="G5" s="37" t="s">
        <v>1098</v>
      </c>
      <c r="H5" s="37" t="s">
        <v>62</v>
      </c>
      <c r="I5" s="39">
        <v>23248</v>
      </c>
      <c r="J5" s="39">
        <v>19610</v>
      </c>
      <c r="K5" s="43">
        <f t="shared" si="0"/>
        <v>4.2500914076782449E-2</v>
      </c>
      <c r="L5" s="37" t="s">
        <v>1790</v>
      </c>
      <c r="M5" s="40">
        <v>45537</v>
      </c>
      <c r="N5" s="33" t="s">
        <v>57</v>
      </c>
      <c r="O5" s="41">
        <v>547000</v>
      </c>
      <c r="P5" s="34">
        <f t="shared" si="1"/>
        <v>2941.5</v>
      </c>
      <c r="Q5" s="36">
        <f t="shared" si="2"/>
        <v>196.1</v>
      </c>
      <c r="R5" s="35">
        <v>500</v>
      </c>
    </row>
    <row r="6" spans="1:18" x14ac:dyDescent="0.25">
      <c r="A6" s="37" t="s">
        <v>143</v>
      </c>
      <c r="B6" s="37" t="s">
        <v>2583</v>
      </c>
      <c r="C6" s="37" t="s">
        <v>36</v>
      </c>
      <c r="D6" s="37" t="s">
        <v>36</v>
      </c>
      <c r="E6" s="38">
        <v>45537</v>
      </c>
      <c r="F6" s="38">
        <v>45902</v>
      </c>
      <c r="G6" s="37" t="s">
        <v>1099</v>
      </c>
      <c r="H6" s="37" t="s">
        <v>61</v>
      </c>
      <c r="I6" s="39">
        <v>16235</v>
      </c>
      <c r="J6" s="39">
        <v>13565</v>
      </c>
      <c r="K6" s="43">
        <f t="shared" si="0"/>
        <v>4.2500000000000003E-2</v>
      </c>
      <c r="L6" s="37" t="s">
        <v>1791</v>
      </c>
      <c r="M6" s="40">
        <v>45537</v>
      </c>
      <c r="N6" s="33" t="s">
        <v>57</v>
      </c>
      <c r="O6" s="41">
        <v>382000</v>
      </c>
      <c r="P6" s="34">
        <f t="shared" si="1"/>
        <v>2034.75</v>
      </c>
      <c r="Q6" s="36">
        <f t="shared" si="2"/>
        <v>135.65</v>
      </c>
      <c r="R6" s="35">
        <v>500</v>
      </c>
    </row>
    <row r="7" spans="1:18" x14ac:dyDescent="0.25">
      <c r="A7" s="37" t="s">
        <v>144</v>
      </c>
      <c r="B7" s="37" t="s">
        <v>2584</v>
      </c>
      <c r="C7" s="37" t="s">
        <v>36</v>
      </c>
      <c r="D7" s="37" t="s">
        <v>36</v>
      </c>
      <c r="E7" s="38">
        <v>45903</v>
      </c>
      <c r="F7" s="38">
        <v>46268</v>
      </c>
      <c r="G7" s="37" t="s">
        <v>1099</v>
      </c>
      <c r="H7" s="37" t="s">
        <v>61</v>
      </c>
      <c r="I7" s="39">
        <v>16235</v>
      </c>
      <c r="J7" s="39">
        <v>13565</v>
      </c>
      <c r="K7" s="43">
        <f t="shared" si="0"/>
        <v>4.2500000000000003E-2</v>
      </c>
      <c r="L7" s="37" t="s">
        <v>1791</v>
      </c>
      <c r="M7" s="40">
        <v>45537</v>
      </c>
      <c r="N7" s="33" t="s">
        <v>57</v>
      </c>
      <c r="O7" s="41">
        <v>382000</v>
      </c>
      <c r="P7" s="34">
        <f t="shared" si="1"/>
        <v>2034.75</v>
      </c>
      <c r="Q7" s="36">
        <f t="shared" si="2"/>
        <v>135.65</v>
      </c>
      <c r="R7" s="35">
        <v>500</v>
      </c>
    </row>
    <row r="8" spans="1:18" x14ac:dyDescent="0.25">
      <c r="A8" s="37" t="s">
        <v>145</v>
      </c>
      <c r="B8" s="37" t="s">
        <v>2585</v>
      </c>
      <c r="C8" s="37" t="s">
        <v>53</v>
      </c>
      <c r="D8" s="37" t="s">
        <v>2582</v>
      </c>
      <c r="E8" s="38">
        <v>45537</v>
      </c>
      <c r="F8" s="38">
        <v>45902</v>
      </c>
      <c r="G8" s="37" t="s">
        <v>1100</v>
      </c>
      <c r="H8" s="37" t="s">
        <v>61</v>
      </c>
      <c r="I8" s="39">
        <v>9550</v>
      </c>
      <c r="J8" s="39">
        <v>7802</v>
      </c>
      <c r="K8" s="43">
        <f t="shared" si="0"/>
        <v>2.5000000000000001E-2</v>
      </c>
      <c r="L8" s="37" t="s">
        <v>1792</v>
      </c>
      <c r="M8" s="40">
        <v>45537</v>
      </c>
      <c r="N8" s="33" t="s">
        <v>57</v>
      </c>
      <c r="O8" s="41">
        <v>382000</v>
      </c>
      <c r="P8" s="34">
        <f t="shared" si="1"/>
        <v>1170.3</v>
      </c>
      <c r="Q8" s="36">
        <f t="shared" si="2"/>
        <v>78.02</v>
      </c>
      <c r="R8" s="35">
        <v>500</v>
      </c>
    </row>
    <row r="9" spans="1:18" x14ac:dyDescent="0.25">
      <c r="A9" s="37" t="s">
        <v>146</v>
      </c>
      <c r="B9" s="37" t="s">
        <v>2586</v>
      </c>
      <c r="C9" s="37" t="s">
        <v>53</v>
      </c>
      <c r="D9" s="37" t="s">
        <v>2582</v>
      </c>
      <c r="E9" s="38">
        <v>45537</v>
      </c>
      <c r="F9" s="38">
        <v>45902</v>
      </c>
      <c r="G9" s="37" t="s">
        <v>1101</v>
      </c>
      <c r="H9" s="37" t="s">
        <v>60</v>
      </c>
      <c r="I9" s="39">
        <v>8800</v>
      </c>
      <c r="J9" s="39">
        <v>7155</v>
      </c>
      <c r="K9" s="43">
        <f t="shared" si="0"/>
        <v>2.5000000000000001E-2</v>
      </c>
      <c r="L9" s="37" t="s">
        <v>1793</v>
      </c>
      <c r="M9" s="40">
        <v>45537</v>
      </c>
      <c r="N9" s="33" t="s">
        <v>57</v>
      </c>
      <c r="O9" s="41">
        <v>352000</v>
      </c>
      <c r="P9" s="34">
        <f t="shared" si="1"/>
        <v>1073.25</v>
      </c>
      <c r="Q9" s="36">
        <f t="shared" si="2"/>
        <v>71.55</v>
      </c>
      <c r="R9" s="35">
        <v>500</v>
      </c>
    </row>
    <row r="10" spans="1:18" x14ac:dyDescent="0.25">
      <c r="A10" s="37" t="s">
        <v>147</v>
      </c>
      <c r="B10" s="37" t="s">
        <v>2587</v>
      </c>
      <c r="C10" s="37" t="s">
        <v>30</v>
      </c>
      <c r="D10" s="37" t="s">
        <v>36</v>
      </c>
      <c r="E10" s="38">
        <v>45537</v>
      </c>
      <c r="F10" s="38">
        <v>45902</v>
      </c>
      <c r="G10" s="37" t="s">
        <v>1102</v>
      </c>
      <c r="H10" s="37" t="s">
        <v>60</v>
      </c>
      <c r="I10" s="39">
        <v>14960</v>
      </c>
      <c r="J10" s="39">
        <v>12466</v>
      </c>
      <c r="K10" s="43">
        <f t="shared" si="0"/>
        <v>4.2500000000000003E-2</v>
      </c>
      <c r="L10" s="37" t="s">
        <v>1794</v>
      </c>
      <c r="M10" s="40">
        <v>45537</v>
      </c>
      <c r="N10" s="33" t="s">
        <v>57</v>
      </c>
      <c r="O10" s="41">
        <v>352000</v>
      </c>
      <c r="P10" s="34">
        <f t="shared" si="1"/>
        <v>1869.9</v>
      </c>
      <c r="Q10" s="36">
        <f t="shared" si="2"/>
        <v>124.66</v>
      </c>
      <c r="R10" s="35">
        <v>500</v>
      </c>
    </row>
    <row r="11" spans="1:18" x14ac:dyDescent="0.25">
      <c r="A11" s="37" t="s">
        <v>148</v>
      </c>
      <c r="B11" s="37" t="s">
        <v>2588</v>
      </c>
      <c r="C11" s="37" t="s">
        <v>30</v>
      </c>
      <c r="D11" s="37" t="s">
        <v>36</v>
      </c>
      <c r="E11" s="38">
        <v>45537</v>
      </c>
      <c r="F11" s="38">
        <v>45902</v>
      </c>
      <c r="G11" s="37" t="s">
        <v>1103</v>
      </c>
      <c r="H11" s="37" t="s">
        <v>60</v>
      </c>
      <c r="I11" s="39">
        <v>14960</v>
      </c>
      <c r="J11" s="39">
        <v>12466</v>
      </c>
      <c r="K11" s="43">
        <f t="shared" si="0"/>
        <v>4.2500000000000003E-2</v>
      </c>
      <c r="L11" s="37" t="s">
        <v>1795</v>
      </c>
      <c r="M11" s="40">
        <v>45537</v>
      </c>
      <c r="N11" s="33" t="s">
        <v>57</v>
      </c>
      <c r="O11" s="41">
        <v>352000</v>
      </c>
      <c r="P11" s="34">
        <f t="shared" si="1"/>
        <v>1869.9</v>
      </c>
      <c r="Q11" s="36">
        <f t="shared" si="2"/>
        <v>124.66</v>
      </c>
      <c r="R11" s="35">
        <v>500</v>
      </c>
    </row>
    <row r="12" spans="1:18" x14ac:dyDescent="0.25">
      <c r="A12" s="37" t="s">
        <v>149</v>
      </c>
      <c r="B12" s="37" t="s">
        <v>2589</v>
      </c>
      <c r="C12" s="37" t="s">
        <v>38</v>
      </c>
      <c r="D12" s="37" t="s">
        <v>36</v>
      </c>
      <c r="E12" s="38">
        <v>45537</v>
      </c>
      <c r="F12" s="38">
        <v>45902</v>
      </c>
      <c r="G12" s="37" t="s">
        <v>1104</v>
      </c>
      <c r="H12" s="37" t="s">
        <v>60</v>
      </c>
      <c r="I12" s="39">
        <v>14960</v>
      </c>
      <c r="J12" s="39">
        <v>12466</v>
      </c>
      <c r="K12" s="43">
        <f t="shared" si="0"/>
        <v>4.2500000000000003E-2</v>
      </c>
      <c r="L12" s="37" t="s">
        <v>1796</v>
      </c>
      <c r="M12" s="40">
        <v>45537</v>
      </c>
      <c r="N12" s="33" t="s">
        <v>57</v>
      </c>
      <c r="O12" s="41">
        <v>352000</v>
      </c>
      <c r="P12" s="34">
        <f t="shared" si="1"/>
        <v>1869.9</v>
      </c>
      <c r="Q12" s="36">
        <f t="shared" si="2"/>
        <v>124.66</v>
      </c>
      <c r="R12" s="35">
        <v>500</v>
      </c>
    </row>
    <row r="13" spans="1:18" x14ac:dyDescent="0.25">
      <c r="A13" s="37" t="s">
        <v>150</v>
      </c>
      <c r="B13" s="37" t="s">
        <v>2590</v>
      </c>
      <c r="C13" s="37" t="s">
        <v>38</v>
      </c>
      <c r="D13" s="37" t="s">
        <v>36</v>
      </c>
      <c r="E13" s="38">
        <v>45537</v>
      </c>
      <c r="F13" s="38">
        <v>45902</v>
      </c>
      <c r="G13" s="37" t="s">
        <v>101</v>
      </c>
      <c r="H13" s="37" t="s">
        <v>60</v>
      </c>
      <c r="I13" s="39">
        <v>14960</v>
      </c>
      <c r="J13" s="39">
        <v>12466</v>
      </c>
      <c r="K13" s="43">
        <f t="shared" si="0"/>
        <v>4.2500000000000003E-2</v>
      </c>
      <c r="L13" s="37" t="s">
        <v>1797</v>
      </c>
      <c r="M13" s="40">
        <v>45537</v>
      </c>
      <c r="N13" s="33" t="s">
        <v>57</v>
      </c>
      <c r="O13" s="41">
        <v>352000</v>
      </c>
      <c r="P13" s="34">
        <f t="shared" si="1"/>
        <v>1869.9</v>
      </c>
      <c r="Q13" s="36">
        <f t="shared" si="2"/>
        <v>124.66</v>
      </c>
      <c r="R13" s="35">
        <v>500</v>
      </c>
    </row>
    <row r="14" spans="1:18" x14ac:dyDescent="0.25">
      <c r="A14" s="37" t="s">
        <v>151</v>
      </c>
      <c r="B14" s="37" t="s">
        <v>2591</v>
      </c>
      <c r="C14" s="37" t="s">
        <v>38</v>
      </c>
      <c r="D14" s="37" t="s">
        <v>36</v>
      </c>
      <c r="E14" s="38">
        <v>45537</v>
      </c>
      <c r="F14" s="38">
        <v>45902</v>
      </c>
      <c r="G14" s="37" t="s">
        <v>1105</v>
      </c>
      <c r="H14" s="37" t="s">
        <v>60</v>
      </c>
      <c r="I14" s="39">
        <v>14960</v>
      </c>
      <c r="J14" s="39">
        <v>12466</v>
      </c>
      <c r="K14" s="43">
        <f t="shared" si="0"/>
        <v>4.2500000000000003E-2</v>
      </c>
      <c r="L14" s="37" t="s">
        <v>1798</v>
      </c>
      <c r="M14" s="40">
        <v>45537</v>
      </c>
      <c r="N14" s="33" t="s">
        <v>57</v>
      </c>
      <c r="O14" s="41">
        <v>352000</v>
      </c>
      <c r="P14" s="34">
        <f t="shared" si="1"/>
        <v>1869.9</v>
      </c>
      <c r="Q14" s="36">
        <f t="shared" si="2"/>
        <v>124.66</v>
      </c>
      <c r="R14" s="35">
        <v>500</v>
      </c>
    </row>
    <row r="15" spans="1:18" x14ac:dyDescent="0.25">
      <c r="A15" s="37" t="s">
        <v>152</v>
      </c>
      <c r="B15" s="37"/>
      <c r="C15" s="37" t="s">
        <v>32</v>
      </c>
      <c r="D15" s="37" t="s">
        <v>36</v>
      </c>
      <c r="E15" s="38">
        <v>45903</v>
      </c>
      <c r="F15" s="38">
        <v>46268</v>
      </c>
      <c r="G15" s="37" t="s">
        <v>1106</v>
      </c>
      <c r="H15" s="37" t="s">
        <v>61</v>
      </c>
      <c r="I15" s="39">
        <v>16235</v>
      </c>
      <c r="J15" s="39">
        <v>13565</v>
      </c>
      <c r="K15" s="43">
        <f t="shared" si="0"/>
        <v>4.2500000000000003E-2</v>
      </c>
      <c r="L15" s="37" t="s">
        <v>1799</v>
      </c>
      <c r="M15" s="40">
        <v>45537</v>
      </c>
      <c r="N15" s="33" t="s">
        <v>57</v>
      </c>
      <c r="O15" s="41">
        <v>382000</v>
      </c>
      <c r="P15" s="34">
        <f t="shared" si="1"/>
        <v>2034.75</v>
      </c>
      <c r="Q15" s="36">
        <f t="shared" si="2"/>
        <v>135.65</v>
      </c>
      <c r="R15" s="35">
        <v>500</v>
      </c>
    </row>
    <row r="16" spans="1:18" x14ac:dyDescent="0.25">
      <c r="A16" s="37" t="s">
        <v>153</v>
      </c>
      <c r="B16" s="37"/>
      <c r="C16" s="37" t="s">
        <v>53</v>
      </c>
      <c r="D16" s="37" t="s">
        <v>2582</v>
      </c>
      <c r="E16" s="38">
        <v>45537</v>
      </c>
      <c r="F16" s="38">
        <v>45902</v>
      </c>
      <c r="G16" s="37" t="s">
        <v>1107</v>
      </c>
      <c r="H16" s="37" t="s">
        <v>60</v>
      </c>
      <c r="I16" s="39">
        <v>8800</v>
      </c>
      <c r="J16" s="39">
        <v>7155</v>
      </c>
      <c r="K16" s="43">
        <f t="shared" si="0"/>
        <v>2.5000000000000001E-2</v>
      </c>
      <c r="L16" s="37" t="s">
        <v>1800</v>
      </c>
      <c r="M16" s="40">
        <v>45537</v>
      </c>
      <c r="N16" s="33" t="s">
        <v>57</v>
      </c>
      <c r="O16" s="41">
        <v>352000</v>
      </c>
      <c r="P16" s="34">
        <f t="shared" si="1"/>
        <v>1073.25</v>
      </c>
      <c r="Q16" s="36">
        <f t="shared" si="2"/>
        <v>71.55</v>
      </c>
      <c r="R16" s="35">
        <v>500</v>
      </c>
    </row>
    <row r="17" spans="1:18" x14ac:dyDescent="0.25">
      <c r="A17" s="37" t="s">
        <v>154</v>
      </c>
      <c r="B17" s="37"/>
      <c r="C17" s="37" t="s">
        <v>53</v>
      </c>
      <c r="D17" s="37" t="s">
        <v>2582</v>
      </c>
      <c r="E17" s="38">
        <v>45537</v>
      </c>
      <c r="F17" s="38">
        <v>45902</v>
      </c>
      <c r="G17" s="37" t="s">
        <v>1108</v>
      </c>
      <c r="H17" s="37" t="s">
        <v>60</v>
      </c>
      <c r="I17" s="39">
        <v>8800</v>
      </c>
      <c r="J17" s="39">
        <v>7155</v>
      </c>
      <c r="K17" s="43">
        <f t="shared" si="0"/>
        <v>2.5000000000000001E-2</v>
      </c>
      <c r="L17" s="37" t="s">
        <v>1801</v>
      </c>
      <c r="M17" s="40">
        <v>45537</v>
      </c>
      <c r="N17" s="33" t="s">
        <v>57</v>
      </c>
      <c r="O17" s="41">
        <v>352000</v>
      </c>
      <c r="P17" s="34">
        <f t="shared" si="1"/>
        <v>1073.25</v>
      </c>
      <c r="Q17" s="36">
        <f t="shared" si="2"/>
        <v>71.55</v>
      </c>
      <c r="R17" s="35">
        <v>500</v>
      </c>
    </row>
    <row r="18" spans="1:18" x14ac:dyDescent="0.25">
      <c r="A18" s="37" t="s">
        <v>155</v>
      </c>
      <c r="B18" s="37"/>
      <c r="C18" s="37" t="s">
        <v>31</v>
      </c>
      <c r="D18" s="37" t="s">
        <v>36</v>
      </c>
      <c r="E18" s="38">
        <v>45538</v>
      </c>
      <c r="F18" s="38">
        <v>45903</v>
      </c>
      <c r="G18" s="37" t="s">
        <v>58</v>
      </c>
      <c r="H18" s="37" t="s">
        <v>60</v>
      </c>
      <c r="I18" s="39">
        <v>14960</v>
      </c>
      <c r="J18" s="39">
        <v>12466</v>
      </c>
      <c r="K18" s="43">
        <f t="shared" si="0"/>
        <v>4.2500000000000003E-2</v>
      </c>
      <c r="L18" s="37" t="s">
        <v>1802</v>
      </c>
      <c r="M18" s="40">
        <v>45538</v>
      </c>
      <c r="N18" s="33" t="s">
        <v>57</v>
      </c>
      <c r="O18" s="41">
        <v>352000</v>
      </c>
      <c r="P18" s="34">
        <f t="shared" si="1"/>
        <v>1869.9</v>
      </c>
      <c r="Q18" s="36">
        <f t="shared" si="2"/>
        <v>124.66</v>
      </c>
      <c r="R18" s="35">
        <v>500</v>
      </c>
    </row>
    <row r="19" spans="1:18" x14ac:dyDescent="0.25">
      <c r="A19" s="37" t="s">
        <v>156</v>
      </c>
      <c r="B19" s="37"/>
      <c r="C19" s="37" t="s">
        <v>33</v>
      </c>
      <c r="D19" s="37" t="s">
        <v>36</v>
      </c>
      <c r="E19" s="38">
        <v>45538</v>
      </c>
      <c r="F19" s="38">
        <v>45903</v>
      </c>
      <c r="G19" s="37" t="s">
        <v>1109</v>
      </c>
      <c r="H19" s="37" t="s">
        <v>60</v>
      </c>
      <c r="I19" s="39">
        <v>14960</v>
      </c>
      <c r="J19" s="39">
        <v>12466</v>
      </c>
      <c r="K19" s="43">
        <f t="shared" si="0"/>
        <v>4.2500000000000003E-2</v>
      </c>
      <c r="L19" s="37" t="s">
        <v>1803</v>
      </c>
      <c r="M19" s="40">
        <v>45538</v>
      </c>
      <c r="N19" s="33" t="s">
        <v>57</v>
      </c>
      <c r="O19" s="41">
        <v>352000</v>
      </c>
      <c r="P19" s="34">
        <f t="shared" si="1"/>
        <v>1869.9</v>
      </c>
      <c r="Q19" s="36">
        <f t="shared" si="2"/>
        <v>124.66</v>
      </c>
      <c r="R19" s="35">
        <v>500</v>
      </c>
    </row>
    <row r="20" spans="1:18" x14ac:dyDescent="0.25">
      <c r="A20" s="37" t="s">
        <v>157</v>
      </c>
      <c r="B20" s="37"/>
      <c r="C20" s="37" t="s">
        <v>55</v>
      </c>
      <c r="D20" s="37" t="s">
        <v>2582</v>
      </c>
      <c r="E20" s="38">
        <v>45538</v>
      </c>
      <c r="F20" s="38">
        <v>45903</v>
      </c>
      <c r="G20" s="37" t="s">
        <v>1110</v>
      </c>
      <c r="H20" s="37" t="s">
        <v>61</v>
      </c>
      <c r="I20" s="39">
        <v>9550</v>
      </c>
      <c r="J20" s="39">
        <v>7802</v>
      </c>
      <c r="K20" s="43">
        <f t="shared" si="0"/>
        <v>2.5000000000000001E-2</v>
      </c>
      <c r="L20" s="37" t="s">
        <v>1804</v>
      </c>
      <c r="M20" s="40">
        <v>45538</v>
      </c>
      <c r="N20" s="33" t="s">
        <v>57</v>
      </c>
      <c r="O20" s="41">
        <v>382000</v>
      </c>
      <c r="P20" s="34">
        <f t="shared" si="1"/>
        <v>1170.3</v>
      </c>
      <c r="Q20" s="36">
        <f t="shared" si="2"/>
        <v>78.02</v>
      </c>
      <c r="R20" s="35">
        <v>500</v>
      </c>
    </row>
    <row r="21" spans="1:18" x14ac:dyDescent="0.25">
      <c r="A21" s="37" t="s">
        <v>158</v>
      </c>
      <c r="B21" s="37"/>
      <c r="C21" s="37" t="s">
        <v>55</v>
      </c>
      <c r="D21" s="37" t="s">
        <v>2582</v>
      </c>
      <c r="E21" s="38">
        <v>45538</v>
      </c>
      <c r="F21" s="38">
        <v>45903</v>
      </c>
      <c r="G21" s="37" t="s">
        <v>1111</v>
      </c>
      <c r="H21" s="37" t="s">
        <v>60</v>
      </c>
      <c r="I21" s="39">
        <v>8800</v>
      </c>
      <c r="J21" s="39">
        <v>7155</v>
      </c>
      <c r="K21" s="43">
        <f t="shared" si="0"/>
        <v>2.5000000000000001E-2</v>
      </c>
      <c r="L21" s="37" t="s">
        <v>1805</v>
      </c>
      <c r="M21" s="40">
        <v>45538</v>
      </c>
      <c r="N21" s="33" t="s">
        <v>57</v>
      </c>
      <c r="O21" s="41">
        <v>352000</v>
      </c>
      <c r="P21" s="34">
        <f t="shared" si="1"/>
        <v>1073.25</v>
      </c>
      <c r="Q21" s="36">
        <f t="shared" si="2"/>
        <v>71.55</v>
      </c>
      <c r="R21" s="35">
        <v>500</v>
      </c>
    </row>
    <row r="22" spans="1:18" x14ac:dyDescent="0.25">
      <c r="A22" s="37" t="s">
        <v>159</v>
      </c>
      <c r="B22" s="37"/>
      <c r="C22" s="37" t="s">
        <v>31</v>
      </c>
      <c r="D22" s="37" t="s">
        <v>36</v>
      </c>
      <c r="E22" s="38">
        <v>45904</v>
      </c>
      <c r="F22" s="38">
        <v>46269</v>
      </c>
      <c r="G22" s="37" t="s">
        <v>1112</v>
      </c>
      <c r="H22" s="37" t="s">
        <v>62</v>
      </c>
      <c r="I22" s="39">
        <v>23248</v>
      </c>
      <c r="J22" s="39">
        <v>19610</v>
      </c>
      <c r="K22" s="43">
        <f t="shared" si="0"/>
        <v>4.2500914076782449E-2</v>
      </c>
      <c r="L22" s="37" t="s">
        <v>1806</v>
      </c>
      <c r="M22" s="40">
        <v>45538</v>
      </c>
      <c r="N22" s="33" t="s">
        <v>57</v>
      </c>
      <c r="O22" s="41">
        <v>547000</v>
      </c>
      <c r="P22" s="34">
        <f t="shared" si="1"/>
        <v>2941.5</v>
      </c>
      <c r="Q22" s="36">
        <f t="shared" si="2"/>
        <v>196.1</v>
      </c>
      <c r="R22" s="35">
        <v>500</v>
      </c>
    </row>
    <row r="23" spans="1:18" x14ac:dyDescent="0.25">
      <c r="A23" s="37" t="s">
        <v>160</v>
      </c>
      <c r="B23" s="37"/>
      <c r="C23" s="37" t="s">
        <v>31</v>
      </c>
      <c r="D23" s="37" t="s">
        <v>36</v>
      </c>
      <c r="E23" s="38">
        <v>45538</v>
      </c>
      <c r="F23" s="38">
        <v>45903</v>
      </c>
      <c r="G23" s="37" t="s">
        <v>1113</v>
      </c>
      <c r="H23" s="37" t="s">
        <v>62</v>
      </c>
      <c r="I23" s="39">
        <v>23248</v>
      </c>
      <c r="J23" s="39">
        <v>19610</v>
      </c>
      <c r="K23" s="43">
        <f t="shared" si="0"/>
        <v>4.2500914076782449E-2</v>
      </c>
      <c r="L23" s="37" t="s">
        <v>1807</v>
      </c>
      <c r="M23" s="40">
        <v>45538</v>
      </c>
      <c r="N23" s="33" t="s">
        <v>57</v>
      </c>
      <c r="O23" s="41">
        <v>547000</v>
      </c>
      <c r="P23" s="34">
        <f t="shared" si="1"/>
        <v>2941.5</v>
      </c>
      <c r="Q23" s="36">
        <f t="shared" si="2"/>
        <v>196.1</v>
      </c>
      <c r="R23" s="35">
        <v>500</v>
      </c>
    </row>
    <row r="24" spans="1:18" x14ac:dyDescent="0.25">
      <c r="A24" s="37" t="s">
        <v>161</v>
      </c>
      <c r="B24" s="37"/>
      <c r="C24" s="37" t="s">
        <v>66</v>
      </c>
      <c r="D24" s="37" t="s">
        <v>2582</v>
      </c>
      <c r="E24" s="38">
        <v>45538</v>
      </c>
      <c r="F24" s="38">
        <v>45903</v>
      </c>
      <c r="G24" s="37" t="s">
        <v>1114</v>
      </c>
      <c r="H24" s="37" t="s">
        <v>60</v>
      </c>
      <c r="I24" s="39">
        <v>8800</v>
      </c>
      <c r="J24" s="39">
        <v>7155</v>
      </c>
      <c r="K24" s="43">
        <f t="shared" si="0"/>
        <v>2.5000000000000001E-2</v>
      </c>
      <c r="L24" s="37" t="s">
        <v>1808</v>
      </c>
      <c r="M24" s="40">
        <v>45538</v>
      </c>
      <c r="N24" s="33" t="s">
        <v>57</v>
      </c>
      <c r="O24" s="41">
        <v>352000</v>
      </c>
      <c r="P24" s="34">
        <f t="shared" si="1"/>
        <v>1073.25</v>
      </c>
      <c r="Q24" s="36">
        <f t="shared" si="2"/>
        <v>71.55</v>
      </c>
      <c r="R24" s="35">
        <v>500</v>
      </c>
    </row>
    <row r="25" spans="1:18" x14ac:dyDescent="0.25">
      <c r="A25" s="37" t="s">
        <v>162</v>
      </c>
      <c r="B25" s="37"/>
      <c r="C25" s="37" t="s">
        <v>50</v>
      </c>
      <c r="D25" s="37" t="s">
        <v>2582</v>
      </c>
      <c r="E25" s="38">
        <v>45538</v>
      </c>
      <c r="F25" s="38">
        <v>45903</v>
      </c>
      <c r="G25" s="37" t="s">
        <v>1115</v>
      </c>
      <c r="H25" s="37" t="s">
        <v>60</v>
      </c>
      <c r="I25" s="39">
        <v>8800</v>
      </c>
      <c r="J25" s="39">
        <v>7155</v>
      </c>
      <c r="K25" s="43">
        <f t="shared" si="0"/>
        <v>2.5000000000000001E-2</v>
      </c>
      <c r="L25" s="37" t="s">
        <v>1809</v>
      </c>
      <c r="M25" s="40">
        <v>45538</v>
      </c>
      <c r="N25" s="33" t="s">
        <v>57</v>
      </c>
      <c r="O25" s="41">
        <v>352000</v>
      </c>
      <c r="P25" s="34">
        <f t="shared" si="1"/>
        <v>1073.25</v>
      </c>
      <c r="Q25" s="36">
        <f t="shared" si="2"/>
        <v>71.55</v>
      </c>
      <c r="R25" s="35">
        <v>500</v>
      </c>
    </row>
    <row r="26" spans="1:18" x14ac:dyDescent="0.25">
      <c r="A26" s="37" t="s">
        <v>163</v>
      </c>
      <c r="B26" s="37"/>
      <c r="C26" s="37" t="s">
        <v>31</v>
      </c>
      <c r="D26" s="37" t="s">
        <v>36</v>
      </c>
      <c r="E26" s="38">
        <v>45538</v>
      </c>
      <c r="F26" s="38">
        <v>45903</v>
      </c>
      <c r="G26" s="37" t="s">
        <v>1116</v>
      </c>
      <c r="H26" s="37" t="s">
        <v>60</v>
      </c>
      <c r="I26" s="39">
        <v>14960</v>
      </c>
      <c r="J26" s="39">
        <v>12466</v>
      </c>
      <c r="K26" s="43">
        <f t="shared" si="0"/>
        <v>4.2500000000000003E-2</v>
      </c>
      <c r="L26" s="37" t="s">
        <v>1810</v>
      </c>
      <c r="M26" s="40">
        <v>45538</v>
      </c>
      <c r="N26" s="33" t="s">
        <v>57</v>
      </c>
      <c r="O26" s="41">
        <v>352000</v>
      </c>
      <c r="P26" s="34">
        <f t="shared" si="1"/>
        <v>1869.9</v>
      </c>
      <c r="Q26" s="36">
        <f t="shared" si="2"/>
        <v>124.66</v>
      </c>
      <c r="R26" s="35">
        <v>500</v>
      </c>
    </row>
    <row r="27" spans="1:18" x14ac:dyDescent="0.25">
      <c r="A27" s="37" t="s">
        <v>164</v>
      </c>
      <c r="B27" s="37"/>
      <c r="C27" s="37" t="s">
        <v>65</v>
      </c>
      <c r="D27" s="37" t="s">
        <v>2582</v>
      </c>
      <c r="E27" s="38">
        <v>45538</v>
      </c>
      <c r="F27" s="38">
        <v>45903</v>
      </c>
      <c r="G27" s="37" t="s">
        <v>1117</v>
      </c>
      <c r="H27" s="37" t="s">
        <v>62</v>
      </c>
      <c r="I27" s="39">
        <v>13675</v>
      </c>
      <c r="J27" s="39">
        <v>11358</v>
      </c>
      <c r="K27" s="43">
        <f t="shared" si="0"/>
        <v>2.5000000000000001E-2</v>
      </c>
      <c r="L27" s="37" t="s">
        <v>1811</v>
      </c>
      <c r="M27" s="40">
        <v>45538</v>
      </c>
      <c r="N27" s="33" t="s">
        <v>57</v>
      </c>
      <c r="O27" s="41">
        <v>547000</v>
      </c>
      <c r="P27" s="34">
        <f t="shared" si="1"/>
        <v>1703.7</v>
      </c>
      <c r="Q27" s="36">
        <f t="shared" si="2"/>
        <v>113.58</v>
      </c>
      <c r="R27" s="35">
        <v>500</v>
      </c>
    </row>
    <row r="28" spans="1:18" x14ac:dyDescent="0.25">
      <c r="A28" s="37" t="s">
        <v>165</v>
      </c>
      <c r="B28" s="37"/>
      <c r="C28" s="37" t="s">
        <v>65</v>
      </c>
      <c r="D28" s="37" t="s">
        <v>2582</v>
      </c>
      <c r="E28" s="38">
        <v>45538</v>
      </c>
      <c r="F28" s="38">
        <v>45903</v>
      </c>
      <c r="G28" s="37" t="s">
        <v>1117</v>
      </c>
      <c r="H28" s="37" t="s">
        <v>62</v>
      </c>
      <c r="I28" s="39">
        <v>13675</v>
      </c>
      <c r="J28" s="39">
        <v>11358</v>
      </c>
      <c r="K28" s="43">
        <f t="shared" si="0"/>
        <v>2.5000000000000001E-2</v>
      </c>
      <c r="L28" s="37" t="s">
        <v>1811</v>
      </c>
      <c r="M28" s="40">
        <v>45538</v>
      </c>
      <c r="N28" s="33" t="s">
        <v>57</v>
      </c>
      <c r="O28" s="41">
        <v>547000</v>
      </c>
      <c r="P28" s="34">
        <f t="shared" si="1"/>
        <v>1703.7</v>
      </c>
      <c r="Q28" s="36">
        <f t="shared" si="2"/>
        <v>113.58</v>
      </c>
      <c r="R28" s="35">
        <v>500</v>
      </c>
    </row>
    <row r="29" spans="1:18" x14ac:dyDescent="0.25">
      <c r="A29" s="37" t="s">
        <v>166</v>
      </c>
      <c r="B29" s="37"/>
      <c r="C29" s="37" t="s">
        <v>66</v>
      </c>
      <c r="D29" s="37" t="s">
        <v>2582</v>
      </c>
      <c r="E29" s="38">
        <v>45538</v>
      </c>
      <c r="F29" s="38">
        <v>45903</v>
      </c>
      <c r="G29" s="37" t="s">
        <v>1118</v>
      </c>
      <c r="H29" s="37" t="s">
        <v>60</v>
      </c>
      <c r="I29" s="39">
        <v>8800</v>
      </c>
      <c r="J29" s="39">
        <v>7155</v>
      </c>
      <c r="K29" s="43">
        <f t="shared" si="0"/>
        <v>2.5000000000000001E-2</v>
      </c>
      <c r="L29" s="37" t="s">
        <v>1812</v>
      </c>
      <c r="M29" s="40">
        <v>45538</v>
      </c>
      <c r="N29" s="33" t="s">
        <v>57</v>
      </c>
      <c r="O29" s="41">
        <v>352000</v>
      </c>
      <c r="P29" s="34">
        <f t="shared" si="1"/>
        <v>1073.25</v>
      </c>
      <c r="Q29" s="36">
        <f t="shared" si="2"/>
        <v>71.55</v>
      </c>
      <c r="R29" s="35">
        <v>500</v>
      </c>
    </row>
    <row r="30" spans="1:18" x14ac:dyDescent="0.25">
      <c r="A30" s="37" t="s">
        <v>167</v>
      </c>
      <c r="B30" s="37"/>
      <c r="C30" s="37" t="s">
        <v>65</v>
      </c>
      <c r="D30" s="37" t="s">
        <v>2582</v>
      </c>
      <c r="E30" s="38">
        <v>45538</v>
      </c>
      <c r="F30" s="38">
        <v>45903</v>
      </c>
      <c r="G30" s="37" t="s">
        <v>1119</v>
      </c>
      <c r="H30" s="37" t="s">
        <v>63</v>
      </c>
      <c r="I30" s="39">
        <v>12475</v>
      </c>
      <c r="J30" s="39">
        <v>10323</v>
      </c>
      <c r="K30" s="43">
        <f t="shared" si="0"/>
        <v>2.5000000000000001E-2</v>
      </c>
      <c r="L30" s="37" t="s">
        <v>1813</v>
      </c>
      <c r="M30" s="40">
        <v>45538</v>
      </c>
      <c r="N30" s="33" t="s">
        <v>57</v>
      </c>
      <c r="O30" s="41">
        <v>499000</v>
      </c>
      <c r="P30" s="34">
        <f t="shared" si="1"/>
        <v>1548.45</v>
      </c>
      <c r="Q30" s="36">
        <f t="shared" si="2"/>
        <v>103.23</v>
      </c>
      <c r="R30" s="35">
        <v>500</v>
      </c>
    </row>
    <row r="31" spans="1:18" x14ac:dyDescent="0.25">
      <c r="A31" s="37" t="s">
        <v>168</v>
      </c>
      <c r="B31" s="37"/>
      <c r="C31" s="37" t="s">
        <v>66</v>
      </c>
      <c r="D31" s="37" t="s">
        <v>2582</v>
      </c>
      <c r="E31" s="38">
        <v>45538</v>
      </c>
      <c r="F31" s="38">
        <v>45903</v>
      </c>
      <c r="G31" s="37" t="s">
        <v>1120</v>
      </c>
      <c r="H31" s="37" t="s">
        <v>61</v>
      </c>
      <c r="I31" s="39">
        <v>9550</v>
      </c>
      <c r="J31" s="39">
        <v>7802</v>
      </c>
      <c r="K31" s="43">
        <f t="shared" si="0"/>
        <v>2.5000000000000001E-2</v>
      </c>
      <c r="L31" s="37" t="s">
        <v>1814</v>
      </c>
      <c r="M31" s="40">
        <v>45538</v>
      </c>
      <c r="N31" s="33" t="s">
        <v>57</v>
      </c>
      <c r="O31" s="41">
        <v>382000</v>
      </c>
      <c r="P31" s="34">
        <f t="shared" si="1"/>
        <v>1170.3</v>
      </c>
      <c r="Q31" s="36">
        <f t="shared" si="2"/>
        <v>78.02</v>
      </c>
      <c r="R31" s="35">
        <v>500</v>
      </c>
    </row>
    <row r="32" spans="1:18" x14ac:dyDescent="0.25">
      <c r="A32" s="37" t="s">
        <v>169</v>
      </c>
      <c r="B32" s="37"/>
      <c r="C32" s="37" t="s">
        <v>37</v>
      </c>
      <c r="D32" s="37" t="s">
        <v>2582</v>
      </c>
      <c r="E32" s="38">
        <v>45538</v>
      </c>
      <c r="F32" s="38">
        <v>45903</v>
      </c>
      <c r="G32" s="37" t="s">
        <v>1121</v>
      </c>
      <c r="H32" s="37" t="s">
        <v>60</v>
      </c>
      <c r="I32" s="39">
        <v>8800</v>
      </c>
      <c r="J32" s="39">
        <v>7155</v>
      </c>
      <c r="K32" s="43">
        <f t="shared" si="0"/>
        <v>2.5000000000000001E-2</v>
      </c>
      <c r="L32" s="37" t="s">
        <v>1815</v>
      </c>
      <c r="M32" s="40">
        <v>45538</v>
      </c>
      <c r="N32" s="33" t="s">
        <v>57</v>
      </c>
      <c r="O32" s="41">
        <v>352000</v>
      </c>
      <c r="P32" s="34">
        <f t="shared" si="1"/>
        <v>1073.25</v>
      </c>
      <c r="Q32" s="36">
        <f t="shared" si="2"/>
        <v>71.55</v>
      </c>
      <c r="R32" s="35">
        <v>500</v>
      </c>
    </row>
    <row r="33" spans="1:18" x14ac:dyDescent="0.25">
      <c r="A33" s="37" t="s">
        <v>170</v>
      </c>
      <c r="B33" s="37"/>
      <c r="C33" s="37" t="s">
        <v>32</v>
      </c>
      <c r="D33" s="37" t="s">
        <v>36</v>
      </c>
      <c r="E33" s="38">
        <v>45538</v>
      </c>
      <c r="F33" s="38">
        <v>45903</v>
      </c>
      <c r="G33" s="37" t="s">
        <v>1122</v>
      </c>
      <c r="H33" s="37" t="s">
        <v>60</v>
      </c>
      <c r="I33" s="39">
        <v>14960</v>
      </c>
      <c r="J33" s="39">
        <v>12466</v>
      </c>
      <c r="K33" s="43">
        <f t="shared" si="0"/>
        <v>4.2500000000000003E-2</v>
      </c>
      <c r="L33" s="37" t="s">
        <v>1816</v>
      </c>
      <c r="M33" s="40">
        <v>45538</v>
      </c>
      <c r="N33" s="33" t="s">
        <v>57</v>
      </c>
      <c r="O33" s="41">
        <v>352000</v>
      </c>
      <c r="P33" s="34">
        <f t="shared" si="1"/>
        <v>1869.9</v>
      </c>
      <c r="Q33" s="36">
        <f t="shared" si="2"/>
        <v>124.66</v>
      </c>
      <c r="R33" s="35">
        <v>500</v>
      </c>
    </row>
    <row r="34" spans="1:18" x14ac:dyDescent="0.25">
      <c r="A34" s="37" t="s">
        <v>171</v>
      </c>
      <c r="B34" s="37"/>
      <c r="C34" s="37" t="s">
        <v>32</v>
      </c>
      <c r="D34" s="37" t="s">
        <v>36</v>
      </c>
      <c r="E34" s="38">
        <v>45538</v>
      </c>
      <c r="F34" s="38">
        <v>45903</v>
      </c>
      <c r="G34" s="37" t="s">
        <v>109</v>
      </c>
      <c r="H34" s="37" t="s">
        <v>60</v>
      </c>
      <c r="I34" s="39">
        <v>14960</v>
      </c>
      <c r="J34" s="39">
        <v>12466</v>
      </c>
      <c r="K34" s="43">
        <f t="shared" si="0"/>
        <v>4.2500000000000003E-2</v>
      </c>
      <c r="L34" s="37" t="s">
        <v>1817</v>
      </c>
      <c r="M34" s="40">
        <v>45538</v>
      </c>
      <c r="N34" s="33" t="s">
        <v>57</v>
      </c>
      <c r="O34" s="41">
        <v>352000</v>
      </c>
      <c r="P34" s="34">
        <f t="shared" si="1"/>
        <v>1869.9</v>
      </c>
      <c r="Q34" s="36">
        <f t="shared" si="2"/>
        <v>124.66</v>
      </c>
      <c r="R34" s="35">
        <v>500</v>
      </c>
    </row>
    <row r="35" spans="1:18" x14ac:dyDescent="0.25">
      <c r="A35" s="37" t="s">
        <v>172</v>
      </c>
      <c r="B35" s="37"/>
      <c r="C35" s="37" t="s">
        <v>54</v>
      </c>
      <c r="D35" s="37" t="s">
        <v>2582</v>
      </c>
      <c r="E35" s="38">
        <v>45538</v>
      </c>
      <c r="F35" s="38">
        <v>45903</v>
      </c>
      <c r="G35" s="37" t="s">
        <v>1123</v>
      </c>
      <c r="H35" s="37" t="s">
        <v>64</v>
      </c>
      <c r="I35" s="39">
        <v>9550</v>
      </c>
      <c r="J35" s="39">
        <v>7802</v>
      </c>
      <c r="K35" s="43">
        <f t="shared" si="0"/>
        <v>2.5000000000000001E-2</v>
      </c>
      <c r="L35" s="37" t="s">
        <v>1818</v>
      </c>
      <c r="M35" s="40">
        <v>45538</v>
      </c>
      <c r="N35" s="33" t="s">
        <v>57</v>
      </c>
      <c r="O35" s="41">
        <v>382000</v>
      </c>
      <c r="P35" s="34">
        <f t="shared" si="1"/>
        <v>1170.3</v>
      </c>
      <c r="Q35" s="36">
        <f t="shared" si="2"/>
        <v>78.02</v>
      </c>
      <c r="R35" s="35">
        <v>500</v>
      </c>
    </row>
    <row r="36" spans="1:18" x14ac:dyDescent="0.25">
      <c r="A36" s="37" t="s">
        <v>173</v>
      </c>
      <c r="B36" s="37"/>
      <c r="C36" s="37" t="s">
        <v>49</v>
      </c>
      <c r="D36" s="37" t="s">
        <v>2582</v>
      </c>
      <c r="E36" s="38">
        <v>45538</v>
      </c>
      <c r="F36" s="38">
        <v>45903</v>
      </c>
      <c r="G36" s="37" t="s">
        <v>1124</v>
      </c>
      <c r="H36" s="37" t="s">
        <v>60</v>
      </c>
      <c r="I36" s="39">
        <v>8800</v>
      </c>
      <c r="J36" s="39">
        <v>7155</v>
      </c>
      <c r="K36" s="43">
        <f t="shared" si="0"/>
        <v>2.5000000000000001E-2</v>
      </c>
      <c r="L36" s="37" t="s">
        <v>1819</v>
      </c>
      <c r="M36" s="40">
        <v>45538</v>
      </c>
      <c r="N36" s="33" t="s">
        <v>57</v>
      </c>
      <c r="O36" s="41">
        <v>352000</v>
      </c>
      <c r="P36" s="34">
        <f t="shared" si="1"/>
        <v>1073.25</v>
      </c>
      <c r="Q36" s="36">
        <f t="shared" si="2"/>
        <v>71.55</v>
      </c>
      <c r="R36" s="35">
        <v>500</v>
      </c>
    </row>
    <row r="37" spans="1:18" x14ac:dyDescent="0.25">
      <c r="A37" s="37" t="s">
        <v>174</v>
      </c>
      <c r="B37" s="37"/>
      <c r="C37" s="37" t="s">
        <v>49</v>
      </c>
      <c r="D37" s="37" t="s">
        <v>2582</v>
      </c>
      <c r="E37" s="38">
        <v>45538</v>
      </c>
      <c r="F37" s="38">
        <v>45903</v>
      </c>
      <c r="G37" s="37" t="s">
        <v>1125</v>
      </c>
      <c r="H37" s="37" t="s">
        <v>60</v>
      </c>
      <c r="I37" s="39">
        <v>8800</v>
      </c>
      <c r="J37" s="39">
        <v>7155</v>
      </c>
      <c r="K37" s="43">
        <f t="shared" si="0"/>
        <v>2.5000000000000001E-2</v>
      </c>
      <c r="L37" s="37" t="s">
        <v>1820</v>
      </c>
      <c r="M37" s="40">
        <v>45538</v>
      </c>
      <c r="N37" s="33" t="s">
        <v>57</v>
      </c>
      <c r="O37" s="41">
        <v>352000</v>
      </c>
      <c r="P37" s="34">
        <f t="shared" si="1"/>
        <v>1073.25</v>
      </c>
      <c r="Q37" s="36">
        <f t="shared" si="2"/>
        <v>71.55</v>
      </c>
      <c r="R37" s="35">
        <v>500</v>
      </c>
    </row>
    <row r="38" spans="1:18" x14ac:dyDescent="0.25">
      <c r="A38" s="37" t="s">
        <v>175</v>
      </c>
      <c r="B38" s="37"/>
      <c r="C38" s="37" t="s">
        <v>34</v>
      </c>
      <c r="D38" s="37" t="s">
        <v>2582</v>
      </c>
      <c r="E38" s="38">
        <v>45539</v>
      </c>
      <c r="F38" s="38">
        <v>45904</v>
      </c>
      <c r="G38" s="37" t="s">
        <v>1126</v>
      </c>
      <c r="H38" s="37" t="s">
        <v>60</v>
      </c>
      <c r="I38" s="39">
        <v>8800</v>
      </c>
      <c r="J38" s="39">
        <v>7155</v>
      </c>
      <c r="K38" s="43">
        <f t="shared" si="0"/>
        <v>2.5000000000000001E-2</v>
      </c>
      <c r="L38" s="37" t="s">
        <v>1821</v>
      </c>
      <c r="M38" s="40">
        <v>45539</v>
      </c>
      <c r="N38" s="33" t="s">
        <v>57</v>
      </c>
      <c r="O38" s="41">
        <v>352000</v>
      </c>
      <c r="P38" s="34">
        <f t="shared" si="1"/>
        <v>1073.25</v>
      </c>
      <c r="Q38" s="36">
        <f t="shared" si="2"/>
        <v>71.55</v>
      </c>
      <c r="R38" s="35">
        <v>500</v>
      </c>
    </row>
    <row r="39" spans="1:18" x14ac:dyDescent="0.25">
      <c r="A39" s="37" t="s">
        <v>176</v>
      </c>
      <c r="B39" s="37"/>
      <c r="C39" s="37" t="s">
        <v>34</v>
      </c>
      <c r="D39" s="37" t="s">
        <v>2582</v>
      </c>
      <c r="E39" s="38">
        <v>45539</v>
      </c>
      <c r="F39" s="38">
        <v>45904</v>
      </c>
      <c r="G39" s="37" t="s">
        <v>1127</v>
      </c>
      <c r="H39" s="37" t="s">
        <v>60</v>
      </c>
      <c r="I39" s="39">
        <v>8800</v>
      </c>
      <c r="J39" s="39">
        <v>7155</v>
      </c>
      <c r="K39" s="43">
        <f t="shared" si="0"/>
        <v>2.5000000000000001E-2</v>
      </c>
      <c r="L39" s="37" t="s">
        <v>1822</v>
      </c>
      <c r="M39" s="40">
        <v>45539</v>
      </c>
      <c r="N39" s="33" t="s">
        <v>57</v>
      </c>
      <c r="O39" s="41">
        <v>352000</v>
      </c>
      <c r="P39" s="34">
        <f t="shared" si="1"/>
        <v>1073.25</v>
      </c>
      <c r="Q39" s="36">
        <f t="shared" si="2"/>
        <v>71.55</v>
      </c>
      <c r="R39" s="35">
        <v>500</v>
      </c>
    </row>
    <row r="40" spans="1:18" x14ac:dyDescent="0.25">
      <c r="A40" s="37" t="s">
        <v>177</v>
      </c>
      <c r="B40" s="37"/>
      <c r="C40" s="37" t="s">
        <v>34</v>
      </c>
      <c r="D40" s="37" t="s">
        <v>2582</v>
      </c>
      <c r="E40" s="38">
        <v>45539</v>
      </c>
      <c r="F40" s="38">
        <v>45904</v>
      </c>
      <c r="G40" s="37" t="s">
        <v>1128</v>
      </c>
      <c r="H40" s="37" t="s">
        <v>60</v>
      </c>
      <c r="I40" s="39">
        <v>8800</v>
      </c>
      <c r="J40" s="39">
        <v>7155</v>
      </c>
      <c r="K40" s="43">
        <f t="shared" si="0"/>
        <v>2.5000000000000001E-2</v>
      </c>
      <c r="L40" s="37" t="s">
        <v>1823</v>
      </c>
      <c r="M40" s="40">
        <v>45539</v>
      </c>
      <c r="N40" s="33" t="s">
        <v>57</v>
      </c>
      <c r="O40" s="41">
        <v>352000</v>
      </c>
      <c r="P40" s="34">
        <f t="shared" si="1"/>
        <v>1073.25</v>
      </c>
      <c r="Q40" s="36">
        <f t="shared" si="2"/>
        <v>71.55</v>
      </c>
      <c r="R40" s="35">
        <v>500</v>
      </c>
    </row>
    <row r="41" spans="1:18" x14ac:dyDescent="0.25">
      <c r="A41" s="37" t="s">
        <v>178</v>
      </c>
      <c r="B41" s="37"/>
      <c r="C41" s="37" t="s">
        <v>53</v>
      </c>
      <c r="D41" s="37" t="s">
        <v>2582</v>
      </c>
      <c r="E41" s="38">
        <v>45539</v>
      </c>
      <c r="F41" s="38">
        <v>45904</v>
      </c>
      <c r="G41" s="37" t="s">
        <v>1129</v>
      </c>
      <c r="H41" s="37" t="s">
        <v>60</v>
      </c>
      <c r="I41" s="39">
        <v>8800</v>
      </c>
      <c r="J41" s="39">
        <v>7155</v>
      </c>
      <c r="K41" s="43">
        <f t="shared" si="0"/>
        <v>2.5000000000000001E-2</v>
      </c>
      <c r="L41" s="37" t="s">
        <v>1824</v>
      </c>
      <c r="M41" s="40">
        <v>45539</v>
      </c>
      <c r="N41" s="33" t="s">
        <v>57</v>
      </c>
      <c r="O41" s="41">
        <v>352000</v>
      </c>
      <c r="P41" s="34">
        <f t="shared" si="1"/>
        <v>1073.25</v>
      </c>
      <c r="Q41" s="36">
        <f t="shared" si="2"/>
        <v>71.55</v>
      </c>
      <c r="R41" s="35">
        <v>500</v>
      </c>
    </row>
    <row r="42" spans="1:18" x14ac:dyDescent="0.25">
      <c r="A42" s="37" t="s">
        <v>179</v>
      </c>
      <c r="B42" s="37"/>
      <c r="C42" s="37" t="s">
        <v>34</v>
      </c>
      <c r="D42" s="37" t="s">
        <v>2582</v>
      </c>
      <c r="E42" s="38">
        <v>45539</v>
      </c>
      <c r="F42" s="38">
        <v>45904</v>
      </c>
      <c r="G42" s="37" t="s">
        <v>1130</v>
      </c>
      <c r="H42" s="37" t="s">
        <v>60</v>
      </c>
      <c r="I42" s="39">
        <v>8800</v>
      </c>
      <c r="J42" s="39">
        <v>7155</v>
      </c>
      <c r="K42" s="43">
        <f t="shared" si="0"/>
        <v>2.5000000000000001E-2</v>
      </c>
      <c r="L42" s="37" t="s">
        <v>1825</v>
      </c>
      <c r="M42" s="40">
        <v>45539</v>
      </c>
      <c r="N42" s="33" t="s">
        <v>57</v>
      </c>
      <c r="O42" s="41">
        <v>352000</v>
      </c>
      <c r="P42" s="34">
        <f t="shared" si="1"/>
        <v>1073.25</v>
      </c>
      <c r="Q42" s="36">
        <f t="shared" si="2"/>
        <v>71.55</v>
      </c>
      <c r="R42" s="35">
        <v>500</v>
      </c>
    </row>
    <row r="43" spans="1:18" x14ac:dyDescent="0.25">
      <c r="A43" s="37" t="s">
        <v>180</v>
      </c>
      <c r="B43" s="37"/>
      <c r="C43" s="37" t="s">
        <v>34</v>
      </c>
      <c r="D43" s="37" t="s">
        <v>2582</v>
      </c>
      <c r="E43" s="38">
        <v>45539</v>
      </c>
      <c r="F43" s="38">
        <v>45904</v>
      </c>
      <c r="G43" s="37" t="s">
        <v>1131</v>
      </c>
      <c r="H43" s="37" t="s">
        <v>61</v>
      </c>
      <c r="I43" s="39">
        <v>9550</v>
      </c>
      <c r="J43" s="39">
        <v>7802</v>
      </c>
      <c r="K43" s="43">
        <f t="shared" si="0"/>
        <v>2.5000000000000001E-2</v>
      </c>
      <c r="L43" s="37" t="s">
        <v>1826</v>
      </c>
      <c r="M43" s="40">
        <v>45539</v>
      </c>
      <c r="N43" s="33" t="s">
        <v>57</v>
      </c>
      <c r="O43" s="41">
        <v>382000</v>
      </c>
      <c r="P43" s="34">
        <f t="shared" si="1"/>
        <v>1170.3</v>
      </c>
      <c r="Q43" s="36">
        <f t="shared" si="2"/>
        <v>78.02</v>
      </c>
      <c r="R43" s="35">
        <v>500</v>
      </c>
    </row>
    <row r="44" spans="1:18" x14ac:dyDescent="0.25">
      <c r="A44" s="37" t="s">
        <v>181</v>
      </c>
      <c r="B44" s="37"/>
      <c r="C44" s="37" t="s">
        <v>34</v>
      </c>
      <c r="D44" s="37" t="s">
        <v>2582</v>
      </c>
      <c r="E44" s="38">
        <v>45539</v>
      </c>
      <c r="F44" s="38">
        <v>45904</v>
      </c>
      <c r="G44" s="37" t="s">
        <v>1132</v>
      </c>
      <c r="H44" s="37" t="s">
        <v>61</v>
      </c>
      <c r="I44" s="39">
        <v>9550</v>
      </c>
      <c r="J44" s="39">
        <v>7802</v>
      </c>
      <c r="K44" s="43">
        <f t="shared" si="0"/>
        <v>2.5000000000000001E-2</v>
      </c>
      <c r="L44" s="37" t="s">
        <v>1827</v>
      </c>
      <c r="M44" s="40">
        <v>45539</v>
      </c>
      <c r="N44" s="33" t="s">
        <v>57</v>
      </c>
      <c r="O44" s="41">
        <v>382000</v>
      </c>
      <c r="P44" s="34">
        <f t="shared" si="1"/>
        <v>1170.3</v>
      </c>
      <c r="Q44" s="36">
        <f t="shared" si="2"/>
        <v>78.02</v>
      </c>
      <c r="R44" s="35">
        <v>500</v>
      </c>
    </row>
    <row r="45" spans="1:18" x14ac:dyDescent="0.25">
      <c r="A45" s="37" t="s">
        <v>182</v>
      </c>
      <c r="B45" s="37"/>
      <c r="C45" s="37" t="s">
        <v>34</v>
      </c>
      <c r="D45" s="37" t="s">
        <v>2582</v>
      </c>
      <c r="E45" s="38">
        <v>45539</v>
      </c>
      <c r="F45" s="38">
        <v>45904</v>
      </c>
      <c r="G45" s="37" t="s">
        <v>123</v>
      </c>
      <c r="H45" s="37" t="s">
        <v>63</v>
      </c>
      <c r="I45" s="39">
        <v>12475</v>
      </c>
      <c r="J45" s="39">
        <v>10323</v>
      </c>
      <c r="K45" s="43">
        <f t="shared" si="0"/>
        <v>2.5000000000000001E-2</v>
      </c>
      <c r="L45" s="37" t="s">
        <v>1828</v>
      </c>
      <c r="M45" s="40">
        <v>45539</v>
      </c>
      <c r="N45" s="33" t="s">
        <v>57</v>
      </c>
      <c r="O45" s="41">
        <v>499000</v>
      </c>
      <c r="P45" s="34">
        <f t="shared" si="1"/>
        <v>1548.45</v>
      </c>
      <c r="Q45" s="36">
        <f t="shared" si="2"/>
        <v>103.23</v>
      </c>
      <c r="R45" s="35">
        <v>500</v>
      </c>
    </row>
    <row r="46" spans="1:18" x14ac:dyDescent="0.25">
      <c r="A46" s="37" t="s">
        <v>183</v>
      </c>
      <c r="B46" s="37"/>
      <c r="C46" s="37" t="s">
        <v>34</v>
      </c>
      <c r="D46" s="37" t="s">
        <v>2582</v>
      </c>
      <c r="E46" s="38">
        <v>45539</v>
      </c>
      <c r="F46" s="38">
        <v>45904</v>
      </c>
      <c r="G46" s="37" t="s">
        <v>111</v>
      </c>
      <c r="H46" s="37" t="s">
        <v>60</v>
      </c>
      <c r="I46" s="39">
        <v>8800</v>
      </c>
      <c r="J46" s="39">
        <v>7155</v>
      </c>
      <c r="K46" s="43">
        <f t="shared" si="0"/>
        <v>2.5000000000000001E-2</v>
      </c>
      <c r="L46" s="37" t="s">
        <v>1829</v>
      </c>
      <c r="M46" s="40">
        <v>45539</v>
      </c>
      <c r="N46" s="33" t="s">
        <v>57</v>
      </c>
      <c r="O46" s="41">
        <v>352000</v>
      </c>
      <c r="P46" s="34">
        <f t="shared" si="1"/>
        <v>1073.25</v>
      </c>
      <c r="Q46" s="36">
        <f t="shared" si="2"/>
        <v>71.55</v>
      </c>
      <c r="R46" s="35">
        <v>500</v>
      </c>
    </row>
    <row r="47" spans="1:18" x14ac:dyDescent="0.25">
      <c r="A47" s="37" t="s">
        <v>184</v>
      </c>
      <c r="B47" s="37"/>
      <c r="C47" s="37" t="s">
        <v>34</v>
      </c>
      <c r="D47" s="37" t="s">
        <v>2582</v>
      </c>
      <c r="E47" s="38">
        <v>45539</v>
      </c>
      <c r="F47" s="38">
        <v>45904</v>
      </c>
      <c r="G47" s="37" t="s">
        <v>1133</v>
      </c>
      <c r="H47" s="37" t="s">
        <v>61</v>
      </c>
      <c r="I47" s="39">
        <v>9550</v>
      </c>
      <c r="J47" s="39">
        <v>7802</v>
      </c>
      <c r="K47" s="43">
        <f t="shared" si="0"/>
        <v>2.5000000000000001E-2</v>
      </c>
      <c r="L47" s="37" t="s">
        <v>1830</v>
      </c>
      <c r="M47" s="40">
        <v>45539</v>
      </c>
      <c r="N47" s="33" t="s">
        <v>57</v>
      </c>
      <c r="O47" s="41">
        <v>382000</v>
      </c>
      <c r="P47" s="34">
        <f t="shared" si="1"/>
        <v>1170.3</v>
      </c>
      <c r="Q47" s="36">
        <f t="shared" si="2"/>
        <v>78.02</v>
      </c>
      <c r="R47" s="35">
        <v>500</v>
      </c>
    </row>
    <row r="48" spans="1:18" x14ac:dyDescent="0.25">
      <c r="A48" s="37" t="s">
        <v>185</v>
      </c>
      <c r="B48" s="37"/>
      <c r="C48" s="37" t="s">
        <v>34</v>
      </c>
      <c r="D48" s="37" t="s">
        <v>2582</v>
      </c>
      <c r="E48" s="38">
        <v>45539</v>
      </c>
      <c r="F48" s="38">
        <v>45904</v>
      </c>
      <c r="G48" s="37" t="s">
        <v>126</v>
      </c>
      <c r="H48" s="37" t="s">
        <v>60</v>
      </c>
      <c r="I48" s="39">
        <v>8800</v>
      </c>
      <c r="J48" s="39">
        <v>7155</v>
      </c>
      <c r="K48" s="43">
        <f t="shared" si="0"/>
        <v>2.5000000000000001E-2</v>
      </c>
      <c r="L48" s="37" t="s">
        <v>1831</v>
      </c>
      <c r="M48" s="40">
        <v>45539</v>
      </c>
      <c r="N48" s="33" t="s">
        <v>57</v>
      </c>
      <c r="O48" s="41">
        <v>352000</v>
      </c>
      <c r="P48" s="34">
        <f t="shared" si="1"/>
        <v>1073.25</v>
      </c>
      <c r="Q48" s="36">
        <f t="shared" si="2"/>
        <v>71.55</v>
      </c>
      <c r="R48" s="35">
        <v>500</v>
      </c>
    </row>
    <row r="49" spans="1:18" x14ac:dyDescent="0.25">
      <c r="A49" s="37" t="s">
        <v>186</v>
      </c>
      <c r="B49" s="37"/>
      <c r="C49" s="37" t="s">
        <v>54</v>
      </c>
      <c r="D49" s="37" t="s">
        <v>2582</v>
      </c>
      <c r="E49" s="38">
        <v>45539</v>
      </c>
      <c r="F49" s="38">
        <v>45904</v>
      </c>
      <c r="G49" s="37" t="s">
        <v>1134</v>
      </c>
      <c r="H49" s="37" t="s">
        <v>60</v>
      </c>
      <c r="I49" s="39">
        <v>8800</v>
      </c>
      <c r="J49" s="39">
        <v>7155</v>
      </c>
      <c r="K49" s="43">
        <f t="shared" si="0"/>
        <v>2.5000000000000001E-2</v>
      </c>
      <c r="L49" s="37" t="s">
        <v>1832</v>
      </c>
      <c r="M49" s="40">
        <v>45539</v>
      </c>
      <c r="N49" s="33" t="s">
        <v>57</v>
      </c>
      <c r="O49" s="41">
        <v>352000</v>
      </c>
      <c r="P49" s="34">
        <f t="shared" si="1"/>
        <v>1073.25</v>
      </c>
      <c r="Q49" s="36">
        <f t="shared" si="2"/>
        <v>71.55</v>
      </c>
      <c r="R49" s="35">
        <v>500</v>
      </c>
    </row>
    <row r="50" spans="1:18" x14ac:dyDescent="0.25">
      <c r="A50" s="37" t="s">
        <v>187</v>
      </c>
      <c r="B50" s="37"/>
      <c r="C50" s="37" t="s">
        <v>34</v>
      </c>
      <c r="D50" s="37" t="s">
        <v>2582</v>
      </c>
      <c r="E50" s="38">
        <v>45539</v>
      </c>
      <c r="F50" s="38">
        <v>45904</v>
      </c>
      <c r="G50" s="37" t="s">
        <v>1135</v>
      </c>
      <c r="H50" s="37" t="s">
        <v>60</v>
      </c>
      <c r="I50" s="39">
        <v>8800</v>
      </c>
      <c r="J50" s="39">
        <v>7155</v>
      </c>
      <c r="K50" s="43">
        <f t="shared" si="0"/>
        <v>2.5000000000000001E-2</v>
      </c>
      <c r="L50" s="37" t="s">
        <v>1833</v>
      </c>
      <c r="M50" s="40">
        <v>45539</v>
      </c>
      <c r="N50" s="33" t="s">
        <v>57</v>
      </c>
      <c r="O50" s="41">
        <v>352000</v>
      </c>
      <c r="P50" s="34">
        <f t="shared" si="1"/>
        <v>1073.25</v>
      </c>
      <c r="Q50" s="36">
        <f t="shared" si="2"/>
        <v>71.55</v>
      </c>
      <c r="R50" s="35">
        <v>500</v>
      </c>
    </row>
    <row r="51" spans="1:18" x14ac:dyDescent="0.25">
      <c r="A51" s="37" t="s">
        <v>188</v>
      </c>
      <c r="B51" s="37"/>
      <c r="C51" s="37" t="s">
        <v>34</v>
      </c>
      <c r="D51" s="37" t="s">
        <v>2582</v>
      </c>
      <c r="E51" s="38">
        <v>45539</v>
      </c>
      <c r="F51" s="38">
        <v>45904</v>
      </c>
      <c r="G51" s="37" t="s">
        <v>1136</v>
      </c>
      <c r="H51" s="37" t="s">
        <v>61</v>
      </c>
      <c r="I51" s="39">
        <v>9550</v>
      </c>
      <c r="J51" s="39">
        <v>7802</v>
      </c>
      <c r="K51" s="43">
        <f t="shared" si="0"/>
        <v>2.5000000000000001E-2</v>
      </c>
      <c r="L51" s="37" t="s">
        <v>1834</v>
      </c>
      <c r="M51" s="40">
        <v>45539</v>
      </c>
      <c r="N51" s="33" t="s">
        <v>57</v>
      </c>
      <c r="O51" s="41">
        <v>382000</v>
      </c>
      <c r="P51" s="34">
        <f t="shared" si="1"/>
        <v>1170.3</v>
      </c>
      <c r="Q51" s="36">
        <f t="shared" si="2"/>
        <v>78.02</v>
      </c>
      <c r="R51" s="35">
        <v>500</v>
      </c>
    </row>
    <row r="52" spans="1:18" x14ac:dyDescent="0.25">
      <c r="A52" s="37" t="s">
        <v>189</v>
      </c>
      <c r="B52" s="37"/>
      <c r="C52" s="37" t="s">
        <v>34</v>
      </c>
      <c r="D52" s="37" t="s">
        <v>2582</v>
      </c>
      <c r="E52" s="38">
        <v>45539</v>
      </c>
      <c r="F52" s="38">
        <v>45904</v>
      </c>
      <c r="G52" s="37" t="s">
        <v>1137</v>
      </c>
      <c r="H52" s="37" t="s">
        <v>60</v>
      </c>
      <c r="I52" s="39">
        <v>8800</v>
      </c>
      <c r="J52" s="39">
        <v>7155</v>
      </c>
      <c r="K52" s="43">
        <f t="shared" si="0"/>
        <v>2.5000000000000001E-2</v>
      </c>
      <c r="L52" s="37" t="s">
        <v>1835</v>
      </c>
      <c r="M52" s="40">
        <v>45539</v>
      </c>
      <c r="N52" s="33" t="s">
        <v>57</v>
      </c>
      <c r="O52" s="41">
        <v>352000</v>
      </c>
      <c r="P52" s="34">
        <f t="shared" si="1"/>
        <v>1073.25</v>
      </c>
      <c r="Q52" s="36">
        <f t="shared" si="2"/>
        <v>71.55</v>
      </c>
      <c r="R52" s="35">
        <v>500</v>
      </c>
    </row>
    <row r="53" spans="1:18" x14ac:dyDescent="0.25">
      <c r="A53" s="37" t="s">
        <v>190</v>
      </c>
      <c r="B53" s="37"/>
      <c r="C53" s="37" t="s">
        <v>34</v>
      </c>
      <c r="D53" s="37" t="s">
        <v>2582</v>
      </c>
      <c r="E53" s="38">
        <v>45539</v>
      </c>
      <c r="F53" s="38">
        <v>45904</v>
      </c>
      <c r="G53" s="37" t="s">
        <v>1138</v>
      </c>
      <c r="H53" s="37" t="s">
        <v>60</v>
      </c>
      <c r="I53" s="39">
        <v>8800</v>
      </c>
      <c r="J53" s="39">
        <v>7155</v>
      </c>
      <c r="K53" s="43">
        <f t="shared" si="0"/>
        <v>2.5000000000000001E-2</v>
      </c>
      <c r="L53" s="37" t="s">
        <v>1836</v>
      </c>
      <c r="M53" s="40">
        <v>45539</v>
      </c>
      <c r="N53" s="33" t="s">
        <v>57</v>
      </c>
      <c r="O53" s="41">
        <v>352000</v>
      </c>
      <c r="P53" s="34">
        <f t="shared" si="1"/>
        <v>1073.25</v>
      </c>
      <c r="Q53" s="36">
        <f t="shared" si="2"/>
        <v>71.55</v>
      </c>
      <c r="R53" s="35">
        <v>500</v>
      </c>
    </row>
    <row r="54" spans="1:18" x14ac:dyDescent="0.25">
      <c r="A54" s="37" t="s">
        <v>191</v>
      </c>
      <c r="B54" s="37"/>
      <c r="C54" s="37" t="s">
        <v>54</v>
      </c>
      <c r="D54" s="37" t="s">
        <v>2582</v>
      </c>
      <c r="E54" s="38">
        <v>45539</v>
      </c>
      <c r="F54" s="38">
        <v>45904</v>
      </c>
      <c r="G54" s="37" t="s">
        <v>1139</v>
      </c>
      <c r="H54" s="37" t="s">
        <v>61</v>
      </c>
      <c r="I54" s="39">
        <v>9550</v>
      </c>
      <c r="J54" s="39">
        <v>7802</v>
      </c>
      <c r="K54" s="43">
        <f t="shared" si="0"/>
        <v>2.5000000000000001E-2</v>
      </c>
      <c r="L54" s="37" t="s">
        <v>1837</v>
      </c>
      <c r="M54" s="40">
        <v>45539</v>
      </c>
      <c r="N54" s="33" t="s">
        <v>57</v>
      </c>
      <c r="O54" s="41">
        <v>382000</v>
      </c>
      <c r="P54" s="34">
        <f t="shared" si="1"/>
        <v>1170.3</v>
      </c>
      <c r="Q54" s="36">
        <f t="shared" si="2"/>
        <v>78.02</v>
      </c>
      <c r="R54" s="35">
        <v>500</v>
      </c>
    </row>
    <row r="55" spans="1:18" x14ac:dyDescent="0.25">
      <c r="A55" s="37" t="s">
        <v>192</v>
      </c>
      <c r="B55" s="37"/>
      <c r="C55" s="37" t="s">
        <v>34</v>
      </c>
      <c r="D55" s="37" t="s">
        <v>2582</v>
      </c>
      <c r="E55" s="38">
        <v>45539</v>
      </c>
      <c r="F55" s="38">
        <v>45904</v>
      </c>
      <c r="G55" s="37" t="s">
        <v>1140</v>
      </c>
      <c r="H55" s="37" t="s">
        <v>60</v>
      </c>
      <c r="I55" s="39">
        <v>8800</v>
      </c>
      <c r="J55" s="39">
        <v>7155</v>
      </c>
      <c r="K55" s="43">
        <f t="shared" si="0"/>
        <v>2.5000000000000001E-2</v>
      </c>
      <c r="L55" s="37" t="s">
        <v>1838</v>
      </c>
      <c r="M55" s="40">
        <v>45539</v>
      </c>
      <c r="N55" s="33" t="s">
        <v>57</v>
      </c>
      <c r="O55" s="41">
        <v>352000</v>
      </c>
      <c r="P55" s="34">
        <f t="shared" si="1"/>
        <v>1073.25</v>
      </c>
      <c r="Q55" s="36">
        <f t="shared" si="2"/>
        <v>71.55</v>
      </c>
      <c r="R55" s="35">
        <v>500</v>
      </c>
    </row>
    <row r="56" spans="1:18" x14ac:dyDescent="0.25">
      <c r="A56" s="37" t="s">
        <v>193</v>
      </c>
      <c r="B56" s="37"/>
      <c r="C56" s="37" t="s">
        <v>54</v>
      </c>
      <c r="D56" s="37" t="s">
        <v>2582</v>
      </c>
      <c r="E56" s="38">
        <v>45539</v>
      </c>
      <c r="F56" s="38">
        <v>45904</v>
      </c>
      <c r="G56" s="37" t="s">
        <v>1141</v>
      </c>
      <c r="H56" s="37" t="s">
        <v>62</v>
      </c>
      <c r="I56" s="39">
        <v>13675</v>
      </c>
      <c r="J56" s="39">
        <v>11358</v>
      </c>
      <c r="K56" s="43">
        <f t="shared" si="0"/>
        <v>2.5000000000000001E-2</v>
      </c>
      <c r="L56" s="37" t="s">
        <v>1839</v>
      </c>
      <c r="M56" s="40">
        <v>45539</v>
      </c>
      <c r="N56" s="33" t="s">
        <v>57</v>
      </c>
      <c r="O56" s="41">
        <v>547000</v>
      </c>
      <c r="P56" s="34">
        <f t="shared" si="1"/>
        <v>1703.7</v>
      </c>
      <c r="Q56" s="36">
        <f t="shared" si="2"/>
        <v>113.58</v>
      </c>
      <c r="R56" s="35">
        <v>500</v>
      </c>
    </row>
    <row r="57" spans="1:18" x14ac:dyDescent="0.25">
      <c r="A57" s="37" t="s">
        <v>194</v>
      </c>
      <c r="B57" s="37"/>
      <c r="C57" s="37" t="s">
        <v>85</v>
      </c>
      <c r="D57" s="37" t="s">
        <v>2582</v>
      </c>
      <c r="E57" s="38">
        <v>45539</v>
      </c>
      <c r="F57" s="38">
        <v>45904</v>
      </c>
      <c r="G57" s="37" t="s">
        <v>1142</v>
      </c>
      <c r="H57" s="37" t="s">
        <v>61</v>
      </c>
      <c r="I57" s="39">
        <v>9550</v>
      </c>
      <c r="J57" s="39">
        <v>7802</v>
      </c>
      <c r="K57" s="43">
        <f t="shared" si="0"/>
        <v>2.5000000000000001E-2</v>
      </c>
      <c r="L57" s="37" t="s">
        <v>1840</v>
      </c>
      <c r="M57" s="40">
        <v>45539</v>
      </c>
      <c r="N57" s="33" t="s">
        <v>57</v>
      </c>
      <c r="O57" s="41">
        <v>382000</v>
      </c>
      <c r="P57" s="34">
        <f t="shared" si="1"/>
        <v>1170.3</v>
      </c>
      <c r="Q57" s="36">
        <f t="shared" si="2"/>
        <v>78.02</v>
      </c>
      <c r="R57" s="35">
        <v>500</v>
      </c>
    </row>
    <row r="58" spans="1:18" x14ac:dyDescent="0.25">
      <c r="A58" s="37" t="s">
        <v>195</v>
      </c>
      <c r="B58" s="37"/>
      <c r="C58" s="37" t="s">
        <v>31</v>
      </c>
      <c r="D58" s="37" t="s">
        <v>36</v>
      </c>
      <c r="E58" s="38">
        <v>45539</v>
      </c>
      <c r="F58" s="38">
        <v>45904</v>
      </c>
      <c r="G58" s="37" t="s">
        <v>1143</v>
      </c>
      <c r="H58" s="37" t="s">
        <v>60</v>
      </c>
      <c r="I58" s="39">
        <v>14960</v>
      </c>
      <c r="J58" s="39">
        <v>12466</v>
      </c>
      <c r="K58" s="43">
        <f t="shared" si="0"/>
        <v>4.2500000000000003E-2</v>
      </c>
      <c r="L58" s="37" t="s">
        <v>1841</v>
      </c>
      <c r="M58" s="40">
        <v>45539</v>
      </c>
      <c r="N58" s="33" t="s">
        <v>57</v>
      </c>
      <c r="O58" s="41">
        <v>352000</v>
      </c>
      <c r="P58" s="34">
        <f t="shared" si="1"/>
        <v>1869.9</v>
      </c>
      <c r="Q58" s="36">
        <f t="shared" si="2"/>
        <v>124.66</v>
      </c>
      <c r="R58" s="35">
        <v>500</v>
      </c>
    </row>
    <row r="59" spans="1:18" x14ac:dyDescent="0.25">
      <c r="A59" s="37" t="s">
        <v>196</v>
      </c>
      <c r="B59" s="37"/>
      <c r="C59" s="37" t="s">
        <v>35</v>
      </c>
      <c r="D59" s="37" t="s">
        <v>36</v>
      </c>
      <c r="E59" s="38">
        <v>45539</v>
      </c>
      <c r="F59" s="38">
        <v>45904</v>
      </c>
      <c r="G59" s="37" t="s">
        <v>1144</v>
      </c>
      <c r="H59" s="37" t="s">
        <v>60</v>
      </c>
      <c r="I59" s="39">
        <v>14960</v>
      </c>
      <c r="J59" s="39">
        <v>12466</v>
      </c>
      <c r="K59" s="43">
        <f t="shared" si="0"/>
        <v>4.2500000000000003E-2</v>
      </c>
      <c r="L59" s="37" t="s">
        <v>1842</v>
      </c>
      <c r="M59" s="40">
        <v>45539</v>
      </c>
      <c r="N59" s="33" t="s">
        <v>57</v>
      </c>
      <c r="O59" s="41">
        <v>352000</v>
      </c>
      <c r="P59" s="34">
        <f t="shared" si="1"/>
        <v>1869.9</v>
      </c>
      <c r="Q59" s="36">
        <f t="shared" si="2"/>
        <v>124.66</v>
      </c>
      <c r="R59" s="35">
        <v>500</v>
      </c>
    </row>
    <row r="60" spans="1:18" x14ac:dyDescent="0.25">
      <c r="A60" s="37" t="s">
        <v>197</v>
      </c>
      <c r="B60" s="37"/>
      <c r="C60" s="37" t="s">
        <v>54</v>
      </c>
      <c r="D60" s="37" t="s">
        <v>2582</v>
      </c>
      <c r="E60" s="38">
        <v>45539</v>
      </c>
      <c r="F60" s="38">
        <v>45904</v>
      </c>
      <c r="G60" s="37" t="s">
        <v>1145</v>
      </c>
      <c r="H60" s="37" t="s">
        <v>64</v>
      </c>
      <c r="I60" s="39">
        <v>9550</v>
      </c>
      <c r="J60" s="39">
        <v>7802</v>
      </c>
      <c r="K60" s="43">
        <f t="shared" si="0"/>
        <v>2.5000000000000001E-2</v>
      </c>
      <c r="L60" s="37" t="s">
        <v>1843</v>
      </c>
      <c r="M60" s="40">
        <v>45539</v>
      </c>
      <c r="N60" s="33" t="s">
        <v>57</v>
      </c>
      <c r="O60" s="41">
        <v>382000</v>
      </c>
      <c r="P60" s="34">
        <f t="shared" si="1"/>
        <v>1170.3</v>
      </c>
      <c r="Q60" s="36">
        <f t="shared" si="2"/>
        <v>78.02</v>
      </c>
      <c r="R60" s="35">
        <v>500</v>
      </c>
    </row>
    <row r="61" spans="1:18" x14ac:dyDescent="0.25">
      <c r="A61" s="37" t="s">
        <v>198</v>
      </c>
      <c r="B61" s="37"/>
      <c r="C61" s="37" t="s">
        <v>32</v>
      </c>
      <c r="D61" s="37" t="s">
        <v>36</v>
      </c>
      <c r="E61" s="38">
        <v>45539</v>
      </c>
      <c r="F61" s="38">
        <v>45904</v>
      </c>
      <c r="G61" s="37" t="s">
        <v>1146</v>
      </c>
      <c r="H61" s="37" t="s">
        <v>61</v>
      </c>
      <c r="I61" s="39">
        <v>16235</v>
      </c>
      <c r="J61" s="39">
        <v>13565</v>
      </c>
      <c r="K61" s="43">
        <f t="shared" si="0"/>
        <v>4.2500000000000003E-2</v>
      </c>
      <c r="L61" s="37" t="s">
        <v>1844</v>
      </c>
      <c r="M61" s="40">
        <v>45539</v>
      </c>
      <c r="N61" s="33" t="s">
        <v>57</v>
      </c>
      <c r="O61" s="41">
        <v>382000</v>
      </c>
      <c r="P61" s="34">
        <f t="shared" si="1"/>
        <v>2034.75</v>
      </c>
      <c r="Q61" s="36">
        <f t="shared" si="2"/>
        <v>135.65</v>
      </c>
      <c r="R61" s="35">
        <v>500</v>
      </c>
    </row>
    <row r="62" spans="1:18" x14ac:dyDescent="0.25">
      <c r="A62" s="37" t="s">
        <v>199</v>
      </c>
      <c r="B62" s="37"/>
      <c r="C62" s="37" t="s">
        <v>32</v>
      </c>
      <c r="D62" s="37" t="s">
        <v>36</v>
      </c>
      <c r="E62" s="38">
        <v>45905</v>
      </c>
      <c r="F62" s="38">
        <v>46270</v>
      </c>
      <c r="G62" s="37" t="s">
        <v>1146</v>
      </c>
      <c r="H62" s="37" t="s">
        <v>61</v>
      </c>
      <c r="I62" s="39">
        <v>16235</v>
      </c>
      <c r="J62" s="39">
        <v>13565</v>
      </c>
      <c r="K62" s="43">
        <f t="shared" si="0"/>
        <v>4.2500000000000003E-2</v>
      </c>
      <c r="L62" s="37" t="s">
        <v>1844</v>
      </c>
      <c r="M62" s="40">
        <v>45539</v>
      </c>
      <c r="N62" s="33" t="s">
        <v>57</v>
      </c>
      <c r="O62" s="41">
        <v>382000</v>
      </c>
      <c r="P62" s="34">
        <f t="shared" si="1"/>
        <v>2034.75</v>
      </c>
      <c r="Q62" s="36">
        <f t="shared" si="2"/>
        <v>135.65</v>
      </c>
      <c r="R62" s="35">
        <v>500</v>
      </c>
    </row>
    <row r="63" spans="1:18" x14ac:dyDescent="0.25">
      <c r="A63" s="37" t="s">
        <v>200</v>
      </c>
      <c r="B63" s="37"/>
      <c r="C63" s="37" t="s">
        <v>54</v>
      </c>
      <c r="D63" s="37" t="s">
        <v>2582</v>
      </c>
      <c r="E63" s="38">
        <v>45539</v>
      </c>
      <c r="F63" s="38">
        <v>45904</v>
      </c>
      <c r="G63" s="37" t="s">
        <v>1147</v>
      </c>
      <c r="H63" s="37" t="s">
        <v>64</v>
      </c>
      <c r="I63" s="39">
        <v>9550</v>
      </c>
      <c r="J63" s="39">
        <v>7802</v>
      </c>
      <c r="K63" s="43">
        <f t="shared" si="0"/>
        <v>2.5000000000000001E-2</v>
      </c>
      <c r="L63" s="37" t="s">
        <v>1845</v>
      </c>
      <c r="M63" s="40">
        <v>45539</v>
      </c>
      <c r="N63" s="33" t="s">
        <v>57</v>
      </c>
      <c r="O63" s="41">
        <v>382000</v>
      </c>
      <c r="P63" s="34">
        <f t="shared" si="1"/>
        <v>1170.3</v>
      </c>
      <c r="Q63" s="36">
        <f t="shared" si="2"/>
        <v>78.02</v>
      </c>
      <c r="R63" s="35">
        <v>500</v>
      </c>
    </row>
    <row r="64" spans="1:18" x14ac:dyDescent="0.25">
      <c r="A64" s="37" t="s">
        <v>201</v>
      </c>
      <c r="B64" s="37"/>
      <c r="C64" s="37" t="s">
        <v>54</v>
      </c>
      <c r="D64" s="37" t="s">
        <v>2582</v>
      </c>
      <c r="E64" s="38">
        <v>45539</v>
      </c>
      <c r="F64" s="38">
        <v>45904</v>
      </c>
      <c r="G64" s="37" t="s">
        <v>1148</v>
      </c>
      <c r="H64" s="37" t="s">
        <v>60</v>
      </c>
      <c r="I64" s="39">
        <v>8800</v>
      </c>
      <c r="J64" s="39">
        <v>7155</v>
      </c>
      <c r="K64" s="43">
        <f t="shared" si="0"/>
        <v>2.5000000000000001E-2</v>
      </c>
      <c r="L64" s="37" t="s">
        <v>1846</v>
      </c>
      <c r="M64" s="40">
        <v>45539</v>
      </c>
      <c r="N64" s="33" t="s">
        <v>57</v>
      </c>
      <c r="O64" s="41">
        <v>352000</v>
      </c>
      <c r="P64" s="34">
        <f t="shared" si="1"/>
        <v>1073.25</v>
      </c>
      <c r="Q64" s="36">
        <f t="shared" si="2"/>
        <v>71.55</v>
      </c>
      <c r="R64" s="35">
        <v>500</v>
      </c>
    </row>
    <row r="65" spans="1:19" x14ac:dyDescent="0.25">
      <c r="A65" s="37" t="s">
        <v>202</v>
      </c>
      <c r="B65" s="37"/>
      <c r="C65" s="37" t="s">
        <v>54</v>
      </c>
      <c r="D65" s="37" t="s">
        <v>2582</v>
      </c>
      <c r="E65" s="38">
        <v>45539</v>
      </c>
      <c r="F65" s="38">
        <v>45904</v>
      </c>
      <c r="G65" s="37" t="s">
        <v>1149</v>
      </c>
      <c r="H65" s="37" t="s">
        <v>60</v>
      </c>
      <c r="I65" s="39">
        <v>8800</v>
      </c>
      <c r="J65" s="39">
        <v>7155</v>
      </c>
      <c r="K65" s="43">
        <f t="shared" si="0"/>
        <v>2.5000000000000001E-2</v>
      </c>
      <c r="L65" s="37" t="s">
        <v>1847</v>
      </c>
      <c r="M65" s="40">
        <v>45539</v>
      </c>
      <c r="N65" s="33" t="s">
        <v>57</v>
      </c>
      <c r="O65" s="41">
        <v>352000</v>
      </c>
      <c r="P65" s="34">
        <f t="shared" si="1"/>
        <v>1073.25</v>
      </c>
      <c r="Q65" s="36">
        <f t="shared" si="2"/>
        <v>71.55</v>
      </c>
      <c r="R65" s="35">
        <v>500</v>
      </c>
    </row>
    <row r="66" spans="1:19" x14ac:dyDescent="0.25">
      <c r="A66" s="37" t="s">
        <v>203</v>
      </c>
      <c r="B66" s="37"/>
      <c r="C66" s="37" t="s">
        <v>99</v>
      </c>
      <c r="D66" s="37" t="s">
        <v>2582</v>
      </c>
      <c r="E66" s="38">
        <v>45540</v>
      </c>
      <c r="F66" s="38">
        <v>45905</v>
      </c>
      <c r="G66" s="37" t="s">
        <v>1150</v>
      </c>
      <c r="H66" s="37" t="s">
        <v>62</v>
      </c>
      <c r="I66" s="39">
        <v>13675</v>
      </c>
      <c r="J66" s="39">
        <v>11358</v>
      </c>
      <c r="K66" s="43">
        <f t="shared" si="0"/>
        <v>2.5000000000000001E-2</v>
      </c>
      <c r="L66" s="37" t="s">
        <v>1848</v>
      </c>
      <c r="M66" s="40">
        <v>45540</v>
      </c>
      <c r="N66" s="33" t="s">
        <v>57</v>
      </c>
      <c r="O66" s="41">
        <v>547000</v>
      </c>
      <c r="P66" s="34">
        <f t="shared" si="1"/>
        <v>1703.7</v>
      </c>
      <c r="Q66" s="36">
        <f t="shared" si="2"/>
        <v>113.58</v>
      </c>
      <c r="R66" s="35">
        <v>500</v>
      </c>
    </row>
    <row r="67" spans="1:19" x14ac:dyDescent="0.25">
      <c r="A67" s="37" t="s">
        <v>204</v>
      </c>
      <c r="B67" s="37"/>
      <c r="C67" s="37" t="s">
        <v>32</v>
      </c>
      <c r="D67" s="37" t="s">
        <v>36</v>
      </c>
      <c r="E67" s="38">
        <v>45540</v>
      </c>
      <c r="F67" s="38">
        <v>45905</v>
      </c>
      <c r="G67" s="37" t="s">
        <v>1151</v>
      </c>
      <c r="H67" s="37" t="s">
        <v>60</v>
      </c>
      <c r="I67" s="39">
        <v>14960</v>
      </c>
      <c r="J67" s="39">
        <v>12466</v>
      </c>
      <c r="K67" s="43">
        <f t="shared" si="0"/>
        <v>4.2500000000000003E-2</v>
      </c>
      <c r="L67" s="37" t="s">
        <v>1849</v>
      </c>
      <c r="M67" s="40">
        <v>45540</v>
      </c>
      <c r="N67" s="33" t="s">
        <v>57</v>
      </c>
      <c r="O67" s="41">
        <v>352000</v>
      </c>
      <c r="P67" s="34">
        <f t="shared" si="1"/>
        <v>1869.9</v>
      </c>
      <c r="Q67" s="36">
        <f t="shared" si="2"/>
        <v>124.66</v>
      </c>
      <c r="R67" s="35">
        <v>500</v>
      </c>
    </row>
    <row r="68" spans="1:19" x14ac:dyDescent="0.25">
      <c r="A68" s="37" t="s">
        <v>205</v>
      </c>
      <c r="B68" s="37"/>
      <c r="C68" s="37" t="s">
        <v>32</v>
      </c>
      <c r="D68" s="37" t="s">
        <v>36</v>
      </c>
      <c r="E68" s="38">
        <v>45906</v>
      </c>
      <c r="F68" s="38">
        <v>46271</v>
      </c>
      <c r="G68" s="37" t="s">
        <v>1151</v>
      </c>
      <c r="H68" s="37" t="s">
        <v>60</v>
      </c>
      <c r="I68" s="39">
        <v>14960</v>
      </c>
      <c r="J68" s="39">
        <v>12466</v>
      </c>
      <c r="K68" s="43">
        <f t="shared" ref="K68:K131" si="3">I68/O68</f>
        <v>4.2500000000000003E-2</v>
      </c>
      <c r="L68" s="37" t="s">
        <v>1849</v>
      </c>
      <c r="M68" s="40">
        <v>45540</v>
      </c>
      <c r="N68" s="33" t="s">
        <v>57</v>
      </c>
      <c r="O68" s="41">
        <v>352000</v>
      </c>
      <c r="P68" s="34">
        <f t="shared" ref="P68:P131" si="4">J68*15/100</f>
        <v>1869.9</v>
      </c>
      <c r="Q68" s="36">
        <f t="shared" ref="Q68:Q131" si="5">J68*1/100</f>
        <v>124.66</v>
      </c>
      <c r="R68" s="35">
        <v>500</v>
      </c>
    </row>
    <row r="69" spans="1:19" x14ac:dyDescent="0.25">
      <c r="A69" s="37" t="s">
        <v>206</v>
      </c>
      <c r="B69" s="37"/>
      <c r="C69" s="37" t="s">
        <v>32</v>
      </c>
      <c r="D69" s="37" t="s">
        <v>36</v>
      </c>
      <c r="E69" s="38">
        <v>45540</v>
      </c>
      <c r="F69" s="38">
        <v>45905</v>
      </c>
      <c r="G69" s="37" t="s">
        <v>1152</v>
      </c>
      <c r="H69" s="37" t="s">
        <v>60</v>
      </c>
      <c r="I69" s="39">
        <v>14960</v>
      </c>
      <c r="J69" s="39">
        <v>12466</v>
      </c>
      <c r="K69" s="43">
        <f t="shared" si="3"/>
        <v>4.2500000000000003E-2</v>
      </c>
      <c r="L69" s="37" t="s">
        <v>1850</v>
      </c>
      <c r="M69" s="40">
        <v>45540</v>
      </c>
      <c r="N69" s="33" t="s">
        <v>57</v>
      </c>
      <c r="O69" s="41">
        <v>352000</v>
      </c>
      <c r="P69" s="34">
        <f t="shared" si="4"/>
        <v>1869.9</v>
      </c>
      <c r="Q69" s="36">
        <f t="shared" si="5"/>
        <v>124.66</v>
      </c>
      <c r="R69" s="35">
        <v>500</v>
      </c>
    </row>
    <row r="70" spans="1:19" x14ac:dyDescent="0.25">
      <c r="A70" s="37" t="s">
        <v>207</v>
      </c>
      <c r="B70" s="37"/>
      <c r="C70" s="37" t="s">
        <v>34</v>
      </c>
      <c r="D70" s="37" t="s">
        <v>2582</v>
      </c>
      <c r="E70" s="38">
        <v>45540</v>
      </c>
      <c r="F70" s="38">
        <v>45905</v>
      </c>
      <c r="G70" s="37" t="s">
        <v>67</v>
      </c>
      <c r="H70" s="37" t="s">
        <v>61</v>
      </c>
      <c r="I70" s="39">
        <v>9550</v>
      </c>
      <c r="J70" s="39">
        <v>7802</v>
      </c>
      <c r="K70" s="43">
        <f t="shared" si="3"/>
        <v>2.5000000000000001E-2</v>
      </c>
      <c r="L70" s="37" t="s">
        <v>1851</v>
      </c>
      <c r="M70" s="40">
        <v>45540</v>
      </c>
      <c r="N70" s="33" t="s">
        <v>57</v>
      </c>
      <c r="O70" s="41">
        <v>382000</v>
      </c>
      <c r="P70" s="34">
        <f t="shared" si="4"/>
        <v>1170.3</v>
      </c>
      <c r="Q70" s="36">
        <f t="shared" si="5"/>
        <v>78.02</v>
      </c>
      <c r="R70" s="35">
        <v>500</v>
      </c>
    </row>
    <row r="71" spans="1:19" x14ac:dyDescent="0.25">
      <c r="A71" s="37" t="s">
        <v>208</v>
      </c>
      <c r="B71" s="37"/>
      <c r="C71" s="37" t="s">
        <v>34</v>
      </c>
      <c r="D71" s="37" t="s">
        <v>2582</v>
      </c>
      <c r="E71" s="38">
        <v>45540</v>
      </c>
      <c r="F71" s="38">
        <v>45905</v>
      </c>
      <c r="G71" s="37" t="s">
        <v>80</v>
      </c>
      <c r="H71" s="37" t="s">
        <v>61</v>
      </c>
      <c r="I71" s="39">
        <v>9550</v>
      </c>
      <c r="J71" s="39">
        <v>7802</v>
      </c>
      <c r="K71" s="43">
        <f t="shared" si="3"/>
        <v>2.5000000000000001E-2</v>
      </c>
      <c r="L71" s="37" t="s">
        <v>1852</v>
      </c>
      <c r="M71" s="40">
        <v>45540</v>
      </c>
      <c r="N71" s="33" t="s">
        <v>57</v>
      </c>
      <c r="O71" s="41">
        <v>382000</v>
      </c>
      <c r="P71" s="34">
        <f t="shared" si="4"/>
        <v>1170.3</v>
      </c>
      <c r="Q71" s="36">
        <f t="shared" si="5"/>
        <v>78.02</v>
      </c>
      <c r="R71" s="35">
        <v>500</v>
      </c>
    </row>
    <row r="72" spans="1:19" x14ac:dyDescent="0.25">
      <c r="A72" s="37" t="s">
        <v>209</v>
      </c>
      <c r="B72" s="37"/>
      <c r="C72" s="37" t="s">
        <v>34</v>
      </c>
      <c r="D72" s="37" t="s">
        <v>2582</v>
      </c>
      <c r="E72" s="38">
        <v>45540</v>
      </c>
      <c r="F72" s="38">
        <v>45905</v>
      </c>
      <c r="G72" s="37" t="s">
        <v>1153</v>
      </c>
      <c r="H72" s="37" t="s">
        <v>63</v>
      </c>
      <c r="I72" s="39">
        <v>12475</v>
      </c>
      <c r="J72" s="39">
        <v>10323</v>
      </c>
      <c r="K72" s="43">
        <f t="shared" si="3"/>
        <v>2.5000000000000001E-2</v>
      </c>
      <c r="L72" s="37" t="s">
        <v>1853</v>
      </c>
      <c r="M72" s="40">
        <v>45540</v>
      </c>
      <c r="N72" s="33" t="s">
        <v>57</v>
      </c>
      <c r="O72" s="41">
        <v>499000</v>
      </c>
      <c r="P72" s="34">
        <f t="shared" si="4"/>
        <v>1548.45</v>
      </c>
      <c r="Q72" s="36">
        <f t="shared" si="5"/>
        <v>103.23</v>
      </c>
      <c r="R72" s="35">
        <v>500</v>
      </c>
    </row>
    <row r="73" spans="1:19" x14ac:dyDescent="0.25">
      <c r="A73" s="42" t="s">
        <v>210</v>
      </c>
      <c r="B73" s="37"/>
      <c r="C73" s="37" t="s">
        <v>31</v>
      </c>
      <c r="D73" s="37" t="s">
        <v>36</v>
      </c>
      <c r="E73" s="38">
        <v>45849</v>
      </c>
      <c r="F73" s="38">
        <v>46214</v>
      </c>
      <c r="G73" s="37" t="s">
        <v>1154</v>
      </c>
      <c r="H73" s="37" t="s">
        <v>62</v>
      </c>
      <c r="I73" s="39">
        <v>13615</v>
      </c>
      <c r="J73" s="39">
        <v>11306</v>
      </c>
      <c r="K73" s="43">
        <f>I73/O73</f>
        <v>3.5363636363636361E-2</v>
      </c>
      <c r="L73" s="37" t="s">
        <v>1854</v>
      </c>
      <c r="M73" s="40">
        <v>45540</v>
      </c>
      <c r="N73" s="33" t="s">
        <v>57</v>
      </c>
      <c r="O73" s="41">
        <v>385000</v>
      </c>
      <c r="P73" s="34">
        <f t="shared" si="4"/>
        <v>1695.9</v>
      </c>
      <c r="Q73" s="36">
        <f t="shared" si="5"/>
        <v>113.06</v>
      </c>
      <c r="R73" s="35">
        <v>500</v>
      </c>
      <c r="S73" t="s">
        <v>2593</v>
      </c>
    </row>
    <row r="74" spans="1:19" x14ac:dyDescent="0.25">
      <c r="A74" s="37" t="s">
        <v>211</v>
      </c>
      <c r="B74" s="37"/>
      <c r="C74" s="37" t="s">
        <v>31</v>
      </c>
      <c r="D74" s="37" t="s">
        <v>36</v>
      </c>
      <c r="E74" s="38">
        <v>45540</v>
      </c>
      <c r="F74" s="38">
        <v>45905</v>
      </c>
      <c r="G74" s="37" t="s">
        <v>1155</v>
      </c>
      <c r="H74" s="37" t="s">
        <v>60</v>
      </c>
      <c r="I74" s="39">
        <v>14960</v>
      </c>
      <c r="J74" s="39">
        <v>12466</v>
      </c>
      <c r="K74" s="43">
        <f t="shared" si="3"/>
        <v>4.2500000000000003E-2</v>
      </c>
      <c r="L74" s="37" t="s">
        <v>1855</v>
      </c>
      <c r="M74" s="40">
        <v>45540</v>
      </c>
      <c r="N74" s="33" t="s">
        <v>57</v>
      </c>
      <c r="O74" s="41">
        <v>352000</v>
      </c>
      <c r="P74" s="34">
        <f t="shared" si="4"/>
        <v>1869.9</v>
      </c>
      <c r="Q74" s="36">
        <f t="shared" si="5"/>
        <v>124.66</v>
      </c>
      <c r="R74" s="35">
        <v>500</v>
      </c>
    </row>
    <row r="75" spans="1:19" x14ac:dyDescent="0.25">
      <c r="A75" s="37" t="s">
        <v>212</v>
      </c>
      <c r="B75" s="37"/>
      <c r="C75" s="37" t="s">
        <v>31</v>
      </c>
      <c r="D75" s="37" t="s">
        <v>36</v>
      </c>
      <c r="E75" s="38">
        <v>45906</v>
      </c>
      <c r="F75" s="38">
        <v>46271</v>
      </c>
      <c r="G75" s="37" t="s">
        <v>1155</v>
      </c>
      <c r="H75" s="37" t="s">
        <v>60</v>
      </c>
      <c r="I75" s="39">
        <v>14960</v>
      </c>
      <c r="J75" s="39">
        <v>12466</v>
      </c>
      <c r="K75" s="43">
        <f t="shared" si="3"/>
        <v>4.2500000000000003E-2</v>
      </c>
      <c r="L75" s="37" t="s">
        <v>1855</v>
      </c>
      <c r="M75" s="40">
        <v>45540</v>
      </c>
      <c r="N75" s="33" t="s">
        <v>57</v>
      </c>
      <c r="O75" s="41">
        <v>352000</v>
      </c>
      <c r="P75" s="34">
        <f t="shared" si="4"/>
        <v>1869.9</v>
      </c>
      <c r="Q75" s="36">
        <f t="shared" si="5"/>
        <v>124.66</v>
      </c>
      <c r="R75" s="35">
        <v>500</v>
      </c>
    </row>
    <row r="76" spans="1:19" x14ac:dyDescent="0.25">
      <c r="A76" s="37" t="s">
        <v>213</v>
      </c>
      <c r="B76" s="37"/>
      <c r="C76" s="37" t="s">
        <v>34</v>
      </c>
      <c r="D76" s="37" t="s">
        <v>2582</v>
      </c>
      <c r="E76" s="38">
        <v>45540</v>
      </c>
      <c r="F76" s="38">
        <v>45905</v>
      </c>
      <c r="G76" s="37" t="s">
        <v>1156</v>
      </c>
      <c r="H76" s="37" t="s">
        <v>60</v>
      </c>
      <c r="I76" s="39">
        <v>8800</v>
      </c>
      <c r="J76" s="39">
        <v>7155</v>
      </c>
      <c r="K76" s="43">
        <f t="shared" si="3"/>
        <v>2.5000000000000001E-2</v>
      </c>
      <c r="L76" s="37" t="s">
        <v>1856</v>
      </c>
      <c r="M76" s="40">
        <v>45540</v>
      </c>
      <c r="N76" s="33" t="s">
        <v>57</v>
      </c>
      <c r="O76" s="41">
        <v>352000</v>
      </c>
      <c r="P76" s="34">
        <f t="shared" si="4"/>
        <v>1073.25</v>
      </c>
      <c r="Q76" s="36">
        <f t="shared" si="5"/>
        <v>71.55</v>
      </c>
      <c r="R76" s="35">
        <v>500</v>
      </c>
    </row>
    <row r="77" spans="1:19" x14ac:dyDescent="0.25">
      <c r="A77" s="37" t="s">
        <v>214</v>
      </c>
      <c r="B77" s="37"/>
      <c r="C77" s="37" t="s">
        <v>34</v>
      </c>
      <c r="D77" s="37" t="s">
        <v>2582</v>
      </c>
      <c r="E77" s="38">
        <v>45540</v>
      </c>
      <c r="F77" s="38">
        <v>45905</v>
      </c>
      <c r="G77" s="37" t="s">
        <v>1157</v>
      </c>
      <c r="H77" s="37" t="s">
        <v>60</v>
      </c>
      <c r="I77" s="39">
        <v>8800</v>
      </c>
      <c r="J77" s="39">
        <v>7155</v>
      </c>
      <c r="K77" s="43">
        <f t="shared" si="3"/>
        <v>2.5000000000000001E-2</v>
      </c>
      <c r="L77" s="37" t="s">
        <v>1857</v>
      </c>
      <c r="M77" s="40">
        <v>45540</v>
      </c>
      <c r="N77" s="33" t="s">
        <v>57</v>
      </c>
      <c r="O77" s="41">
        <v>352000</v>
      </c>
      <c r="P77" s="34">
        <f t="shared" si="4"/>
        <v>1073.25</v>
      </c>
      <c r="Q77" s="36">
        <f t="shared" si="5"/>
        <v>71.55</v>
      </c>
      <c r="R77" s="35">
        <v>500</v>
      </c>
    </row>
    <row r="78" spans="1:19" x14ac:dyDescent="0.25">
      <c r="A78" s="37" t="s">
        <v>215</v>
      </c>
      <c r="B78" s="37"/>
      <c r="C78" s="37" t="s">
        <v>34</v>
      </c>
      <c r="D78" s="37" t="s">
        <v>2582</v>
      </c>
      <c r="E78" s="38">
        <v>45540</v>
      </c>
      <c r="F78" s="38">
        <v>45905</v>
      </c>
      <c r="G78" s="37" t="s">
        <v>1158</v>
      </c>
      <c r="H78" s="37" t="s">
        <v>60</v>
      </c>
      <c r="I78" s="39">
        <v>8800</v>
      </c>
      <c r="J78" s="39">
        <v>7155</v>
      </c>
      <c r="K78" s="43">
        <f t="shared" si="3"/>
        <v>2.5000000000000001E-2</v>
      </c>
      <c r="L78" s="37" t="s">
        <v>1858</v>
      </c>
      <c r="M78" s="40">
        <v>45540</v>
      </c>
      <c r="N78" s="33" t="s">
        <v>57</v>
      </c>
      <c r="O78" s="41">
        <v>352000</v>
      </c>
      <c r="P78" s="34">
        <f t="shared" si="4"/>
        <v>1073.25</v>
      </c>
      <c r="Q78" s="36">
        <f t="shared" si="5"/>
        <v>71.55</v>
      </c>
      <c r="R78" s="35">
        <v>500</v>
      </c>
    </row>
    <row r="79" spans="1:19" x14ac:dyDescent="0.25">
      <c r="A79" s="37" t="s">
        <v>216</v>
      </c>
      <c r="B79" s="37"/>
      <c r="C79" s="37" t="s">
        <v>34</v>
      </c>
      <c r="D79" s="37" t="s">
        <v>2582</v>
      </c>
      <c r="E79" s="38">
        <v>45540</v>
      </c>
      <c r="F79" s="38">
        <v>45905</v>
      </c>
      <c r="G79" s="37" t="s">
        <v>1159</v>
      </c>
      <c r="H79" s="37" t="s">
        <v>60</v>
      </c>
      <c r="I79" s="39">
        <v>8800</v>
      </c>
      <c r="J79" s="39">
        <v>7155</v>
      </c>
      <c r="K79" s="43">
        <f t="shared" si="3"/>
        <v>2.5000000000000001E-2</v>
      </c>
      <c r="L79" s="37" t="s">
        <v>1859</v>
      </c>
      <c r="M79" s="40">
        <v>45540</v>
      </c>
      <c r="N79" s="33" t="s">
        <v>57</v>
      </c>
      <c r="O79" s="41">
        <v>352000</v>
      </c>
      <c r="P79" s="34">
        <f t="shared" si="4"/>
        <v>1073.25</v>
      </c>
      <c r="Q79" s="36">
        <f t="shared" si="5"/>
        <v>71.55</v>
      </c>
      <c r="R79" s="35">
        <v>500</v>
      </c>
    </row>
    <row r="80" spans="1:19" x14ac:dyDescent="0.25">
      <c r="A80" s="37" t="s">
        <v>217</v>
      </c>
      <c r="B80" s="37"/>
      <c r="C80" s="37" t="s">
        <v>34</v>
      </c>
      <c r="D80" s="37" t="s">
        <v>2582</v>
      </c>
      <c r="E80" s="38">
        <v>45540</v>
      </c>
      <c r="F80" s="38">
        <v>45905</v>
      </c>
      <c r="G80" s="37" t="s">
        <v>1159</v>
      </c>
      <c r="H80" s="37" t="s">
        <v>60</v>
      </c>
      <c r="I80" s="39">
        <v>8800</v>
      </c>
      <c r="J80" s="39">
        <v>7155</v>
      </c>
      <c r="K80" s="43">
        <f t="shared" si="3"/>
        <v>2.5000000000000001E-2</v>
      </c>
      <c r="L80" s="37" t="s">
        <v>1859</v>
      </c>
      <c r="M80" s="40">
        <v>45540</v>
      </c>
      <c r="N80" s="33" t="s">
        <v>57</v>
      </c>
      <c r="O80" s="41">
        <v>352000</v>
      </c>
      <c r="P80" s="34">
        <f t="shared" si="4"/>
        <v>1073.25</v>
      </c>
      <c r="Q80" s="36">
        <f t="shared" si="5"/>
        <v>71.55</v>
      </c>
      <c r="R80" s="35">
        <v>500</v>
      </c>
    </row>
    <row r="81" spans="1:18" x14ac:dyDescent="0.25">
      <c r="A81" s="37" t="s">
        <v>218</v>
      </c>
      <c r="B81" s="37"/>
      <c r="C81" s="37" t="s">
        <v>34</v>
      </c>
      <c r="D81" s="37" t="s">
        <v>2582</v>
      </c>
      <c r="E81" s="38">
        <v>45540</v>
      </c>
      <c r="F81" s="38">
        <v>45905</v>
      </c>
      <c r="G81" s="37" t="s">
        <v>1160</v>
      </c>
      <c r="H81" s="37" t="s">
        <v>60</v>
      </c>
      <c r="I81" s="39">
        <v>8800</v>
      </c>
      <c r="J81" s="39">
        <v>7155</v>
      </c>
      <c r="K81" s="43">
        <f t="shared" si="3"/>
        <v>2.5000000000000001E-2</v>
      </c>
      <c r="L81" s="37" t="s">
        <v>1860</v>
      </c>
      <c r="M81" s="40">
        <v>45540</v>
      </c>
      <c r="N81" s="33" t="s">
        <v>57</v>
      </c>
      <c r="O81" s="41">
        <v>352000</v>
      </c>
      <c r="P81" s="34">
        <f t="shared" si="4"/>
        <v>1073.25</v>
      </c>
      <c r="Q81" s="36">
        <f t="shared" si="5"/>
        <v>71.55</v>
      </c>
      <c r="R81" s="35">
        <v>500</v>
      </c>
    </row>
    <row r="82" spans="1:18" x14ac:dyDescent="0.25">
      <c r="A82" s="37" t="s">
        <v>219</v>
      </c>
      <c r="B82" s="37"/>
      <c r="C82" s="37" t="s">
        <v>34</v>
      </c>
      <c r="D82" s="37" t="s">
        <v>2582</v>
      </c>
      <c r="E82" s="38">
        <v>45540</v>
      </c>
      <c r="F82" s="38">
        <v>45905</v>
      </c>
      <c r="G82" s="37" t="s">
        <v>1161</v>
      </c>
      <c r="H82" s="37" t="s">
        <v>60</v>
      </c>
      <c r="I82" s="39">
        <v>8800</v>
      </c>
      <c r="J82" s="39">
        <v>7155</v>
      </c>
      <c r="K82" s="43">
        <f t="shared" si="3"/>
        <v>2.5000000000000001E-2</v>
      </c>
      <c r="L82" s="37" t="s">
        <v>1861</v>
      </c>
      <c r="M82" s="40">
        <v>45540</v>
      </c>
      <c r="N82" s="33" t="s">
        <v>57</v>
      </c>
      <c r="O82" s="41">
        <v>352000</v>
      </c>
      <c r="P82" s="34">
        <f t="shared" si="4"/>
        <v>1073.25</v>
      </c>
      <c r="Q82" s="36">
        <f t="shared" si="5"/>
        <v>71.55</v>
      </c>
      <c r="R82" s="35">
        <v>500</v>
      </c>
    </row>
    <row r="83" spans="1:18" x14ac:dyDescent="0.25">
      <c r="A83" s="37" t="s">
        <v>220</v>
      </c>
      <c r="B83" s="37"/>
      <c r="C83" s="37" t="s">
        <v>34</v>
      </c>
      <c r="D83" s="37" t="s">
        <v>2582</v>
      </c>
      <c r="E83" s="38">
        <v>45540</v>
      </c>
      <c r="F83" s="38">
        <v>45905</v>
      </c>
      <c r="G83" s="37" t="s">
        <v>1162</v>
      </c>
      <c r="H83" s="37" t="s">
        <v>60</v>
      </c>
      <c r="I83" s="39">
        <v>8800</v>
      </c>
      <c r="J83" s="39">
        <v>7155</v>
      </c>
      <c r="K83" s="43">
        <f t="shared" si="3"/>
        <v>2.5000000000000001E-2</v>
      </c>
      <c r="L83" s="37" t="s">
        <v>1862</v>
      </c>
      <c r="M83" s="40">
        <v>45540</v>
      </c>
      <c r="N83" s="33" t="s">
        <v>57</v>
      </c>
      <c r="O83" s="41">
        <v>352000</v>
      </c>
      <c r="P83" s="34">
        <f t="shared" si="4"/>
        <v>1073.25</v>
      </c>
      <c r="Q83" s="36">
        <f t="shared" si="5"/>
        <v>71.55</v>
      </c>
      <c r="R83" s="35">
        <v>500</v>
      </c>
    </row>
    <row r="84" spans="1:18" x14ac:dyDescent="0.25">
      <c r="A84" s="37" t="s">
        <v>221</v>
      </c>
      <c r="B84" s="37"/>
      <c r="C84" s="37" t="s">
        <v>53</v>
      </c>
      <c r="D84" s="37" t="s">
        <v>2582</v>
      </c>
      <c r="E84" s="38">
        <v>45540</v>
      </c>
      <c r="F84" s="38">
        <v>45905</v>
      </c>
      <c r="G84" s="37" t="s">
        <v>1163</v>
      </c>
      <c r="H84" s="37" t="s">
        <v>60</v>
      </c>
      <c r="I84" s="39">
        <v>8800</v>
      </c>
      <c r="J84" s="39">
        <v>7155</v>
      </c>
      <c r="K84" s="43">
        <f t="shared" si="3"/>
        <v>2.5000000000000001E-2</v>
      </c>
      <c r="L84" s="37" t="s">
        <v>1863</v>
      </c>
      <c r="M84" s="40">
        <v>45540</v>
      </c>
      <c r="N84" s="33" t="s">
        <v>57</v>
      </c>
      <c r="O84" s="41">
        <v>352000</v>
      </c>
      <c r="P84" s="34">
        <f t="shared" si="4"/>
        <v>1073.25</v>
      </c>
      <c r="Q84" s="36">
        <f t="shared" si="5"/>
        <v>71.55</v>
      </c>
      <c r="R84" s="35">
        <v>500</v>
      </c>
    </row>
    <row r="85" spans="1:18" x14ac:dyDescent="0.25">
      <c r="A85" s="37" t="s">
        <v>222</v>
      </c>
      <c r="B85" s="37"/>
      <c r="C85" s="37" t="s">
        <v>31</v>
      </c>
      <c r="D85" s="37" t="s">
        <v>36</v>
      </c>
      <c r="E85" s="38">
        <v>45540</v>
      </c>
      <c r="F85" s="38">
        <v>45905</v>
      </c>
      <c r="G85" s="37" t="s">
        <v>1164</v>
      </c>
      <c r="H85" s="37" t="s">
        <v>60</v>
      </c>
      <c r="I85" s="39">
        <v>14960</v>
      </c>
      <c r="J85" s="39">
        <v>12466</v>
      </c>
      <c r="K85" s="43">
        <f t="shared" si="3"/>
        <v>4.2500000000000003E-2</v>
      </c>
      <c r="L85" s="37" t="s">
        <v>1864</v>
      </c>
      <c r="M85" s="40">
        <v>45540</v>
      </c>
      <c r="N85" s="33" t="s">
        <v>57</v>
      </c>
      <c r="O85" s="41">
        <v>352000</v>
      </c>
      <c r="P85" s="34">
        <f t="shared" si="4"/>
        <v>1869.9</v>
      </c>
      <c r="Q85" s="36">
        <f t="shared" si="5"/>
        <v>124.66</v>
      </c>
      <c r="R85" s="35">
        <v>500</v>
      </c>
    </row>
    <row r="86" spans="1:18" x14ac:dyDescent="0.25">
      <c r="A86" s="37" t="s">
        <v>223</v>
      </c>
      <c r="B86" s="37"/>
      <c r="C86" s="37" t="s">
        <v>31</v>
      </c>
      <c r="D86" s="37" t="s">
        <v>36</v>
      </c>
      <c r="E86" s="38">
        <v>45906</v>
      </c>
      <c r="F86" s="38">
        <v>46271</v>
      </c>
      <c r="G86" s="37" t="s">
        <v>1164</v>
      </c>
      <c r="H86" s="37" t="s">
        <v>60</v>
      </c>
      <c r="I86" s="39">
        <v>14960</v>
      </c>
      <c r="J86" s="39">
        <v>12466</v>
      </c>
      <c r="K86" s="43">
        <f t="shared" si="3"/>
        <v>4.2500000000000003E-2</v>
      </c>
      <c r="L86" s="37" t="s">
        <v>1864</v>
      </c>
      <c r="M86" s="40">
        <v>45540</v>
      </c>
      <c r="N86" s="33" t="s">
        <v>57</v>
      </c>
      <c r="O86" s="41">
        <v>352000</v>
      </c>
      <c r="P86" s="34">
        <f t="shared" si="4"/>
        <v>1869.9</v>
      </c>
      <c r="Q86" s="36">
        <f t="shared" si="5"/>
        <v>124.66</v>
      </c>
      <c r="R86" s="35">
        <v>500</v>
      </c>
    </row>
    <row r="87" spans="1:18" x14ac:dyDescent="0.25">
      <c r="A87" s="37" t="s">
        <v>224</v>
      </c>
      <c r="B87" s="37"/>
      <c r="C87" s="37" t="s">
        <v>54</v>
      </c>
      <c r="D87" s="37" t="s">
        <v>2582</v>
      </c>
      <c r="E87" s="38">
        <v>45541</v>
      </c>
      <c r="F87" s="38">
        <v>45906</v>
      </c>
      <c r="G87" s="37" t="s">
        <v>105</v>
      </c>
      <c r="H87" s="37" t="s">
        <v>60</v>
      </c>
      <c r="I87" s="39">
        <v>8800</v>
      </c>
      <c r="J87" s="39">
        <v>7155</v>
      </c>
      <c r="K87" s="43">
        <f t="shared" si="3"/>
        <v>2.5000000000000001E-2</v>
      </c>
      <c r="L87" s="37" t="s">
        <v>1865</v>
      </c>
      <c r="M87" s="40">
        <v>45541</v>
      </c>
      <c r="N87" s="33" t="s">
        <v>57</v>
      </c>
      <c r="O87" s="41">
        <v>352000</v>
      </c>
      <c r="P87" s="34">
        <f t="shared" si="4"/>
        <v>1073.25</v>
      </c>
      <c r="Q87" s="36">
        <f t="shared" si="5"/>
        <v>71.55</v>
      </c>
      <c r="R87" s="35">
        <v>500</v>
      </c>
    </row>
    <row r="88" spans="1:18" x14ac:dyDescent="0.25">
      <c r="A88" s="37" t="s">
        <v>225</v>
      </c>
      <c r="B88" s="37"/>
      <c r="C88" s="37" t="s">
        <v>54</v>
      </c>
      <c r="D88" s="37" t="s">
        <v>2582</v>
      </c>
      <c r="E88" s="38">
        <v>45541</v>
      </c>
      <c r="F88" s="38">
        <v>45906</v>
      </c>
      <c r="G88" s="37" t="s">
        <v>1165</v>
      </c>
      <c r="H88" s="37" t="s">
        <v>61</v>
      </c>
      <c r="I88" s="39">
        <v>9550</v>
      </c>
      <c r="J88" s="39">
        <v>7802</v>
      </c>
      <c r="K88" s="43">
        <f t="shared" si="3"/>
        <v>2.5000000000000001E-2</v>
      </c>
      <c r="L88" s="37" t="s">
        <v>1866</v>
      </c>
      <c r="M88" s="40">
        <v>45541</v>
      </c>
      <c r="N88" s="33" t="s">
        <v>57</v>
      </c>
      <c r="O88" s="41">
        <v>382000</v>
      </c>
      <c r="P88" s="34">
        <f t="shared" si="4"/>
        <v>1170.3</v>
      </c>
      <c r="Q88" s="36">
        <f t="shared" si="5"/>
        <v>78.02</v>
      </c>
      <c r="R88" s="35">
        <v>500</v>
      </c>
    </row>
    <row r="89" spans="1:18" x14ac:dyDescent="0.25">
      <c r="A89" s="37" t="s">
        <v>226</v>
      </c>
      <c r="B89" s="37"/>
      <c r="C89" s="37" t="s">
        <v>31</v>
      </c>
      <c r="D89" s="37" t="s">
        <v>36</v>
      </c>
      <c r="E89" s="38">
        <v>45541</v>
      </c>
      <c r="F89" s="38">
        <v>45906</v>
      </c>
      <c r="G89" s="37" t="s">
        <v>1166</v>
      </c>
      <c r="H89" s="37" t="s">
        <v>60</v>
      </c>
      <c r="I89" s="39">
        <v>14960</v>
      </c>
      <c r="J89" s="39">
        <v>12466</v>
      </c>
      <c r="K89" s="43">
        <f t="shared" si="3"/>
        <v>4.2500000000000003E-2</v>
      </c>
      <c r="L89" s="37" t="s">
        <v>1867</v>
      </c>
      <c r="M89" s="40">
        <v>45541</v>
      </c>
      <c r="N89" s="33" t="s">
        <v>57</v>
      </c>
      <c r="O89" s="41">
        <v>352000</v>
      </c>
      <c r="P89" s="34">
        <f t="shared" si="4"/>
        <v>1869.9</v>
      </c>
      <c r="Q89" s="36">
        <f t="shared" si="5"/>
        <v>124.66</v>
      </c>
      <c r="R89" s="35">
        <v>500</v>
      </c>
    </row>
    <row r="90" spans="1:18" x14ac:dyDescent="0.25">
      <c r="A90" s="37" t="s">
        <v>227</v>
      </c>
      <c r="B90" s="37"/>
      <c r="C90" s="37" t="s">
        <v>31</v>
      </c>
      <c r="D90" s="37" t="s">
        <v>36</v>
      </c>
      <c r="E90" s="38">
        <v>45907</v>
      </c>
      <c r="F90" s="38">
        <v>46272</v>
      </c>
      <c r="G90" s="37" t="s">
        <v>1166</v>
      </c>
      <c r="H90" s="37" t="s">
        <v>60</v>
      </c>
      <c r="I90" s="39">
        <v>14960</v>
      </c>
      <c r="J90" s="39">
        <v>12466</v>
      </c>
      <c r="K90" s="43">
        <f t="shared" si="3"/>
        <v>4.2500000000000003E-2</v>
      </c>
      <c r="L90" s="37" t="s">
        <v>1867</v>
      </c>
      <c r="M90" s="40">
        <v>45541</v>
      </c>
      <c r="N90" s="33" t="s">
        <v>57</v>
      </c>
      <c r="O90" s="41">
        <v>352000</v>
      </c>
      <c r="P90" s="34">
        <f t="shared" si="4"/>
        <v>1869.9</v>
      </c>
      <c r="Q90" s="36">
        <f t="shared" si="5"/>
        <v>124.66</v>
      </c>
      <c r="R90" s="35">
        <v>500</v>
      </c>
    </row>
    <row r="91" spans="1:18" x14ac:dyDescent="0.25">
      <c r="A91" s="37" t="s">
        <v>228</v>
      </c>
      <c r="B91" s="37"/>
      <c r="C91" s="37" t="s">
        <v>39</v>
      </c>
      <c r="D91" s="37" t="s">
        <v>36</v>
      </c>
      <c r="E91" s="38">
        <v>45541</v>
      </c>
      <c r="F91" s="38">
        <v>45906</v>
      </c>
      <c r="G91" s="37" t="s">
        <v>1167</v>
      </c>
      <c r="H91" s="37" t="s">
        <v>61</v>
      </c>
      <c r="I91" s="39">
        <v>16235</v>
      </c>
      <c r="J91" s="39">
        <v>13565</v>
      </c>
      <c r="K91" s="43">
        <f t="shared" si="3"/>
        <v>4.2500000000000003E-2</v>
      </c>
      <c r="L91" s="37" t="s">
        <v>1868</v>
      </c>
      <c r="M91" s="40">
        <v>45541</v>
      </c>
      <c r="N91" s="33" t="s">
        <v>57</v>
      </c>
      <c r="O91" s="41">
        <v>382000</v>
      </c>
      <c r="P91" s="34">
        <f t="shared" si="4"/>
        <v>2034.75</v>
      </c>
      <c r="Q91" s="36">
        <f t="shared" si="5"/>
        <v>135.65</v>
      </c>
      <c r="R91" s="35">
        <v>500</v>
      </c>
    </row>
    <row r="92" spans="1:18" x14ac:dyDescent="0.25">
      <c r="A92" s="37" t="s">
        <v>229</v>
      </c>
      <c r="B92" s="37"/>
      <c r="C92" s="37" t="s">
        <v>39</v>
      </c>
      <c r="D92" s="37" t="s">
        <v>36</v>
      </c>
      <c r="E92" s="38">
        <v>45907</v>
      </c>
      <c r="F92" s="38">
        <v>46272</v>
      </c>
      <c r="G92" s="37" t="s">
        <v>1167</v>
      </c>
      <c r="H92" s="37" t="s">
        <v>61</v>
      </c>
      <c r="I92" s="39">
        <v>16235</v>
      </c>
      <c r="J92" s="39">
        <v>13565</v>
      </c>
      <c r="K92" s="43">
        <f t="shared" si="3"/>
        <v>4.2500000000000003E-2</v>
      </c>
      <c r="L92" s="37" t="s">
        <v>1868</v>
      </c>
      <c r="M92" s="40">
        <v>45541</v>
      </c>
      <c r="N92" s="33" t="s">
        <v>57</v>
      </c>
      <c r="O92" s="41">
        <v>382000</v>
      </c>
      <c r="P92" s="34">
        <f t="shared" si="4"/>
        <v>2034.75</v>
      </c>
      <c r="Q92" s="36">
        <f t="shared" si="5"/>
        <v>135.65</v>
      </c>
      <c r="R92" s="35">
        <v>500</v>
      </c>
    </row>
    <row r="93" spans="1:18" x14ac:dyDescent="0.25">
      <c r="A93" s="37" t="s">
        <v>230</v>
      </c>
      <c r="B93" s="37"/>
      <c r="C93" s="37" t="s">
        <v>49</v>
      </c>
      <c r="D93" s="37" t="s">
        <v>2582</v>
      </c>
      <c r="E93" s="38">
        <v>45541</v>
      </c>
      <c r="F93" s="38">
        <v>45906</v>
      </c>
      <c r="G93" s="37" t="s">
        <v>1168</v>
      </c>
      <c r="H93" s="37" t="s">
        <v>60</v>
      </c>
      <c r="I93" s="39">
        <v>8800</v>
      </c>
      <c r="J93" s="39">
        <v>7155</v>
      </c>
      <c r="K93" s="43">
        <f t="shared" si="3"/>
        <v>2.5000000000000001E-2</v>
      </c>
      <c r="L93" s="37" t="s">
        <v>1869</v>
      </c>
      <c r="M93" s="40">
        <v>45541</v>
      </c>
      <c r="N93" s="33" t="s">
        <v>57</v>
      </c>
      <c r="O93" s="41">
        <v>352000</v>
      </c>
      <c r="P93" s="34">
        <f t="shared" si="4"/>
        <v>1073.25</v>
      </c>
      <c r="Q93" s="36">
        <f t="shared" si="5"/>
        <v>71.55</v>
      </c>
      <c r="R93" s="35">
        <v>500</v>
      </c>
    </row>
    <row r="94" spans="1:18" x14ac:dyDescent="0.25">
      <c r="A94" s="37" t="s">
        <v>231</v>
      </c>
      <c r="B94" s="37"/>
      <c r="C94" s="37" t="s">
        <v>37</v>
      </c>
      <c r="D94" s="37" t="s">
        <v>2582</v>
      </c>
      <c r="E94" s="38">
        <v>45542</v>
      </c>
      <c r="F94" s="38">
        <v>45907</v>
      </c>
      <c r="G94" s="37" t="s">
        <v>1169</v>
      </c>
      <c r="H94" s="37" t="s">
        <v>60</v>
      </c>
      <c r="I94" s="39">
        <v>8800</v>
      </c>
      <c r="J94" s="39">
        <v>7155</v>
      </c>
      <c r="K94" s="43">
        <f t="shared" si="3"/>
        <v>2.5000000000000001E-2</v>
      </c>
      <c r="L94" s="37" t="s">
        <v>1870</v>
      </c>
      <c r="M94" s="40">
        <v>45542</v>
      </c>
      <c r="N94" s="33" t="s">
        <v>57</v>
      </c>
      <c r="O94" s="41">
        <v>352000</v>
      </c>
      <c r="P94" s="34">
        <f t="shared" si="4"/>
        <v>1073.25</v>
      </c>
      <c r="Q94" s="36">
        <f t="shared" si="5"/>
        <v>71.55</v>
      </c>
      <c r="R94" s="35">
        <v>500</v>
      </c>
    </row>
    <row r="95" spans="1:18" x14ac:dyDescent="0.25">
      <c r="A95" s="37" t="s">
        <v>232</v>
      </c>
      <c r="B95" s="37"/>
      <c r="C95" s="37" t="s">
        <v>53</v>
      </c>
      <c r="D95" s="37" t="s">
        <v>2582</v>
      </c>
      <c r="E95" s="38">
        <v>45542</v>
      </c>
      <c r="F95" s="38">
        <v>45907</v>
      </c>
      <c r="G95" s="37" t="s">
        <v>1170</v>
      </c>
      <c r="H95" s="37" t="s">
        <v>61</v>
      </c>
      <c r="I95" s="39">
        <v>9550</v>
      </c>
      <c r="J95" s="39">
        <v>7802</v>
      </c>
      <c r="K95" s="43">
        <f t="shared" si="3"/>
        <v>2.5000000000000001E-2</v>
      </c>
      <c r="L95" s="37" t="s">
        <v>1871</v>
      </c>
      <c r="M95" s="40">
        <v>45542</v>
      </c>
      <c r="N95" s="33" t="s">
        <v>57</v>
      </c>
      <c r="O95" s="41">
        <v>382000</v>
      </c>
      <c r="P95" s="34">
        <f t="shared" si="4"/>
        <v>1170.3</v>
      </c>
      <c r="Q95" s="36">
        <f t="shared" si="5"/>
        <v>78.02</v>
      </c>
      <c r="R95" s="35">
        <v>500</v>
      </c>
    </row>
    <row r="96" spans="1:18" x14ac:dyDescent="0.25">
      <c r="A96" s="37" t="s">
        <v>233</v>
      </c>
      <c r="B96" s="37"/>
      <c r="C96" s="37" t="s">
        <v>37</v>
      </c>
      <c r="D96" s="37" t="s">
        <v>2582</v>
      </c>
      <c r="E96" s="38">
        <v>45542</v>
      </c>
      <c r="F96" s="38">
        <v>45907</v>
      </c>
      <c r="G96" s="37" t="s">
        <v>1171</v>
      </c>
      <c r="H96" s="37" t="s">
        <v>60</v>
      </c>
      <c r="I96" s="39">
        <v>8800</v>
      </c>
      <c r="J96" s="39">
        <v>7155</v>
      </c>
      <c r="K96" s="43">
        <f t="shared" si="3"/>
        <v>2.5000000000000001E-2</v>
      </c>
      <c r="L96" s="37" t="s">
        <v>1872</v>
      </c>
      <c r="M96" s="40">
        <v>45542</v>
      </c>
      <c r="N96" s="33" t="s">
        <v>57</v>
      </c>
      <c r="O96" s="41">
        <v>352000</v>
      </c>
      <c r="P96" s="34">
        <f t="shared" si="4"/>
        <v>1073.25</v>
      </c>
      <c r="Q96" s="36">
        <f t="shared" si="5"/>
        <v>71.55</v>
      </c>
      <c r="R96" s="35">
        <v>500</v>
      </c>
    </row>
    <row r="97" spans="1:18" x14ac:dyDescent="0.25">
      <c r="A97" s="37" t="s">
        <v>234</v>
      </c>
      <c r="B97" s="37"/>
      <c r="C97" s="37" t="s">
        <v>31</v>
      </c>
      <c r="D97" s="37" t="s">
        <v>36</v>
      </c>
      <c r="E97" s="38">
        <v>45542</v>
      </c>
      <c r="F97" s="38">
        <v>45907</v>
      </c>
      <c r="G97" s="37" t="s">
        <v>1172</v>
      </c>
      <c r="H97" s="37" t="s">
        <v>60</v>
      </c>
      <c r="I97" s="39">
        <v>14960</v>
      </c>
      <c r="J97" s="39">
        <v>12466</v>
      </c>
      <c r="K97" s="43">
        <f t="shared" si="3"/>
        <v>4.2500000000000003E-2</v>
      </c>
      <c r="L97" s="37" t="s">
        <v>1873</v>
      </c>
      <c r="M97" s="40">
        <v>45542</v>
      </c>
      <c r="N97" s="33" t="s">
        <v>57</v>
      </c>
      <c r="O97" s="41">
        <v>352000</v>
      </c>
      <c r="P97" s="34">
        <f t="shared" si="4"/>
        <v>1869.9</v>
      </c>
      <c r="Q97" s="36">
        <f t="shared" si="5"/>
        <v>124.66</v>
      </c>
      <c r="R97" s="35">
        <v>500</v>
      </c>
    </row>
    <row r="98" spans="1:18" x14ac:dyDescent="0.25">
      <c r="A98" s="37" t="s">
        <v>235</v>
      </c>
      <c r="B98" s="37"/>
      <c r="C98" s="37" t="s">
        <v>36</v>
      </c>
      <c r="D98" s="37" t="s">
        <v>36</v>
      </c>
      <c r="E98" s="38">
        <v>45542</v>
      </c>
      <c r="F98" s="38">
        <v>45907</v>
      </c>
      <c r="G98" s="37" t="s">
        <v>1173</v>
      </c>
      <c r="H98" s="37" t="s">
        <v>61</v>
      </c>
      <c r="I98" s="39">
        <v>16235</v>
      </c>
      <c r="J98" s="39">
        <v>13565</v>
      </c>
      <c r="K98" s="43">
        <f t="shared" si="3"/>
        <v>4.2500000000000003E-2</v>
      </c>
      <c r="L98" s="37" t="s">
        <v>1874</v>
      </c>
      <c r="M98" s="40">
        <v>45542</v>
      </c>
      <c r="N98" s="33" t="s">
        <v>57</v>
      </c>
      <c r="O98" s="41">
        <v>382000</v>
      </c>
      <c r="P98" s="34">
        <f t="shared" si="4"/>
        <v>2034.75</v>
      </c>
      <c r="Q98" s="36">
        <f t="shared" si="5"/>
        <v>135.65</v>
      </c>
      <c r="R98" s="35">
        <v>500</v>
      </c>
    </row>
    <row r="99" spans="1:18" x14ac:dyDescent="0.25">
      <c r="A99" s="37" t="s">
        <v>236</v>
      </c>
      <c r="B99" s="37"/>
      <c r="C99" s="37" t="s">
        <v>36</v>
      </c>
      <c r="D99" s="37" t="s">
        <v>36</v>
      </c>
      <c r="E99" s="38">
        <v>45908</v>
      </c>
      <c r="F99" s="38">
        <v>46273</v>
      </c>
      <c r="G99" s="37" t="s">
        <v>1173</v>
      </c>
      <c r="H99" s="37" t="s">
        <v>61</v>
      </c>
      <c r="I99" s="39">
        <v>16235</v>
      </c>
      <c r="J99" s="39">
        <v>13565</v>
      </c>
      <c r="K99" s="43">
        <f t="shared" si="3"/>
        <v>4.2500000000000003E-2</v>
      </c>
      <c r="L99" s="37" t="s">
        <v>1874</v>
      </c>
      <c r="M99" s="40">
        <v>45542</v>
      </c>
      <c r="N99" s="33" t="s">
        <v>57</v>
      </c>
      <c r="O99" s="41">
        <v>382000</v>
      </c>
      <c r="P99" s="34">
        <f t="shared" si="4"/>
        <v>2034.75</v>
      </c>
      <c r="Q99" s="36">
        <f t="shared" si="5"/>
        <v>135.65</v>
      </c>
      <c r="R99" s="35">
        <v>500</v>
      </c>
    </row>
    <row r="100" spans="1:18" x14ac:dyDescent="0.25">
      <c r="A100" s="37" t="s">
        <v>237</v>
      </c>
      <c r="B100" s="37"/>
      <c r="C100" s="37" t="s">
        <v>36</v>
      </c>
      <c r="D100" s="37" t="s">
        <v>36</v>
      </c>
      <c r="E100" s="38">
        <v>45542</v>
      </c>
      <c r="F100" s="38">
        <v>45907</v>
      </c>
      <c r="G100" s="37" t="s">
        <v>1174</v>
      </c>
      <c r="H100" s="37" t="s">
        <v>61</v>
      </c>
      <c r="I100" s="39">
        <v>16235</v>
      </c>
      <c r="J100" s="39">
        <v>13565</v>
      </c>
      <c r="K100" s="43">
        <f t="shared" si="3"/>
        <v>4.2500000000000003E-2</v>
      </c>
      <c r="L100" s="37" t="s">
        <v>1875</v>
      </c>
      <c r="M100" s="40">
        <v>45542</v>
      </c>
      <c r="N100" s="33" t="s">
        <v>57</v>
      </c>
      <c r="O100" s="41">
        <v>382000</v>
      </c>
      <c r="P100" s="34">
        <f t="shared" si="4"/>
        <v>2034.75</v>
      </c>
      <c r="Q100" s="36">
        <f t="shared" si="5"/>
        <v>135.65</v>
      </c>
      <c r="R100" s="35">
        <v>500</v>
      </c>
    </row>
    <row r="101" spans="1:18" x14ac:dyDescent="0.25">
      <c r="A101" s="37" t="s">
        <v>238</v>
      </c>
      <c r="B101" s="37"/>
      <c r="C101" s="37" t="s">
        <v>37</v>
      </c>
      <c r="D101" s="37" t="s">
        <v>2582</v>
      </c>
      <c r="E101" s="38">
        <v>45542</v>
      </c>
      <c r="F101" s="38">
        <v>45907</v>
      </c>
      <c r="G101" s="37" t="s">
        <v>1175</v>
      </c>
      <c r="H101" s="37" t="s">
        <v>60</v>
      </c>
      <c r="I101" s="39">
        <v>8800</v>
      </c>
      <c r="J101" s="39">
        <v>7155</v>
      </c>
      <c r="K101" s="43">
        <f t="shared" si="3"/>
        <v>2.5000000000000001E-2</v>
      </c>
      <c r="L101" s="37" t="s">
        <v>1876</v>
      </c>
      <c r="M101" s="40">
        <v>45542</v>
      </c>
      <c r="N101" s="33" t="s">
        <v>57</v>
      </c>
      <c r="O101" s="41">
        <v>352000</v>
      </c>
      <c r="P101" s="34">
        <f t="shared" si="4"/>
        <v>1073.25</v>
      </c>
      <c r="Q101" s="36">
        <f t="shared" si="5"/>
        <v>71.55</v>
      </c>
      <c r="R101" s="35">
        <v>500</v>
      </c>
    </row>
    <row r="102" spans="1:18" x14ac:dyDescent="0.25">
      <c r="A102" s="37" t="s">
        <v>239</v>
      </c>
      <c r="B102" s="37"/>
      <c r="C102" s="37" t="s">
        <v>33</v>
      </c>
      <c r="D102" s="37" t="s">
        <v>36</v>
      </c>
      <c r="E102" s="38">
        <v>45542</v>
      </c>
      <c r="F102" s="38">
        <v>45907</v>
      </c>
      <c r="G102" s="37" t="s">
        <v>81</v>
      </c>
      <c r="H102" s="37" t="s">
        <v>61</v>
      </c>
      <c r="I102" s="39">
        <v>16235</v>
      </c>
      <c r="J102" s="39">
        <v>13565</v>
      </c>
      <c r="K102" s="43">
        <f t="shared" si="3"/>
        <v>4.2500000000000003E-2</v>
      </c>
      <c r="L102" s="37" t="s">
        <v>1877</v>
      </c>
      <c r="M102" s="40">
        <v>45542</v>
      </c>
      <c r="N102" s="33" t="s">
        <v>57</v>
      </c>
      <c r="O102" s="41">
        <v>382000</v>
      </c>
      <c r="P102" s="34">
        <f t="shared" si="4"/>
        <v>2034.75</v>
      </c>
      <c r="Q102" s="36">
        <f t="shared" si="5"/>
        <v>135.65</v>
      </c>
      <c r="R102" s="35">
        <v>500</v>
      </c>
    </row>
    <row r="103" spans="1:18" x14ac:dyDescent="0.25">
      <c r="A103" s="37" t="s">
        <v>240</v>
      </c>
      <c r="B103" s="37"/>
      <c r="C103" s="37" t="s">
        <v>35</v>
      </c>
      <c r="D103" s="37" t="s">
        <v>36</v>
      </c>
      <c r="E103" s="38">
        <v>45542</v>
      </c>
      <c r="F103" s="38">
        <v>45907</v>
      </c>
      <c r="G103" s="37" t="s">
        <v>1176</v>
      </c>
      <c r="H103" s="37" t="s">
        <v>60</v>
      </c>
      <c r="I103" s="39">
        <v>14960</v>
      </c>
      <c r="J103" s="39">
        <v>12466</v>
      </c>
      <c r="K103" s="43">
        <f t="shared" si="3"/>
        <v>4.2500000000000003E-2</v>
      </c>
      <c r="L103" s="37" t="s">
        <v>1878</v>
      </c>
      <c r="M103" s="40">
        <v>45542</v>
      </c>
      <c r="N103" s="33" t="s">
        <v>57</v>
      </c>
      <c r="O103" s="41">
        <v>352000</v>
      </c>
      <c r="P103" s="34">
        <f t="shared" si="4"/>
        <v>1869.9</v>
      </c>
      <c r="Q103" s="36">
        <f t="shared" si="5"/>
        <v>124.66</v>
      </c>
      <c r="R103" s="35">
        <v>500</v>
      </c>
    </row>
    <row r="104" spans="1:18" x14ac:dyDescent="0.25">
      <c r="A104" s="37" t="s">
        <v>241</v>
      </c>
      <c r="B104" s="37"/>
      <c r="C104" s="37" t="s">
        <v>37</v>
      </c>
      <c r="D104" s="37" t="s">
        <v>2582</v>
      </c>
      <c r="E104" s="38">
        <v>45542</v>
      </c>
      <c r="F104" s="38">
        <v>45907</v>
      </c>
      <c r="G104" s="37" t="s">
        <v>1177</v>
      </c>
      <c r="H104" s="37" t="s">
        <v>63</v>
      </c>
      <c r="I104" s="39">
        <v>12475</v>
      </c>
      <c r="J104" s="39">
        <v>10323</v>
      </c>
      <c r="K104" s="43">
        <f t="shared" si="3"/>
        <v>2.5000000000000001E-2</v>
      </c>
      <c r="L104" s="37" t="s">
        <v>1879</v>
      </c>
      <c r="M104" s="40">
        <v>45542</v>
      </c>
      <c r="N104" s="33" t="s">
        <v>57</v>
      </c>
      <c r="O104" s="41">
        <v>499000</v>
      </c>
      <c r="P104" s="34">
        <f t="shared" si="4"/>
        <v>1548.45</v>
      </c>
      <c r="Q104" s="36">
        <f t="shared" si="5"/>
        <v>103.23</v>
      </c>
      <c r="R104" s="35">
        <v>500</v>
      </c>
    </row>
    <row r="105" spans="1:18" x14ac:dyDescent="0.25">
      <c r="A105" s="37" t="s">
        <v>242</v>
      </c>
      <c r="B105" s="37"/>
      <c r="C105" s="37" t="s">
        <v>37</v>
      </c>
      <c r="D105" s="37" t="s">
        <v>2582</v>
      </c>
      <c r="E105" s="38">
        <v>45542</v>
      </c>
      <c r="F105" s="38">
        <v>45907</v>
      </c>
      <c r="G105" s="37" t="s">
        <v>1178</v>
      </c>
      <c r="H105" s="37" t="s">
        <v>60</v>
      </c>
      <c r="I105" s="39">
        <v>8800</v>
      </c>
      <c r="J105" s="39">
        <v>7155</v>
      </c>
      <c r="K105" s="43">
        <f t="shared" si="3"/>
        <v>2.5000000000000001E-2</v>
      </c>
      <c r="L105" s="37" t="s">
        <v>1880</v>
      </c>
      <c r="M105" s="40">
        <v>45542</v>
      </c>
      <c r="N105" s="33" t="s">
        <v>57</v>
      </c>
      <c r="O105" s="41">
        <v>352000</v>
      </c>
      <c r="P105" s="34">
        <f t="shared" si="4"/>
        <v>1073.25</v>
      </c>
      <c r="Q105" s="36">
        <f t="shared" si="5"/>
        <v>71.55</v>
      </c>
      <c r="R105" s="35">
        <v>500</v>
      </c>
    </row>
    <row r="106" spans="1:18" x14ac:dyDescent="0.25">
      <c r="A106" s="37" t="s">
        <v>243</v>
      </c>
      <c r="B106" s="37"/>
      <c r="C106" s="37" t="s">
        <v>37</v>
      </c>
      <c r="D106" s="37" t="s">
        <v>2582</v>
      </c>
      <c r="E106" s="38">
        <v>45542</v>
      </c>
      <c r="F106" s="38">
        <v>45907</v>
      </c>
      <c r="G106" s="37" t="s">
        <v>1179</v>
      </c>
      <c r="H106" s="37" t="s">
        <v>61</v>
      </c>
      <c r="I106" s="39">
        <v>9550</v>
      </c>
      <c r="J106" s="39">
        <v>7802</v>
      </c>
      <c r="K106" s="43">
        <f t="shared" si="3"/>
        <v>2.5000000000000001E-2</v>
      </c>
      <c r="L106" s="37" t="s">
        <v>1881</v>
      </c>
      <c r="M106" s="40">
        <v>45542</v>
      </c>
      <c r="N106" s="33" t="s">
        <v>57</v>
      </c>
      <c r="O106" s="41">
        <v>382000</v>
      </c>
      <c r="P106" s="34">
        <f t="shared" si="4"/>
        <v>1170.3</v>
      </c>
      <c r="Q106" s="36">
        <f t="shared" si="5"/>
        <v>78.02</v>
      </c>
      <c r="R106" s="35">
        <v>500</v>
      </c>
    </row>
    <row r="107" spans="1:18" x14ac:dyDescent="0.25">
      <c r="A107" s="37" t="s">
        <v>244</v>
      </c>
      <c r="B107" s="37"/>
      <c r="C107" s="37" t="s">
        <v>37</v>
      </c>
      <c r="D107" s="37" t="s">
        <v>2582</v>
      </c>
      <c r="E107" s="38">
        <v>45542</v>
      </c>
      <c r="F107" s="38">
        <v>45907</v>
      </c>
      <c r="G107" s="37" t="s">
        <v>1180</v>
      </c>
      <c r="H107" s="37" t="s">
        <v>60</v>
      </c>
      <c r="I107" s="39">
        <v>8800</v>
      </c>
      <c r="J107" s="39">
        <v>7155</v>
      </c>
      <c r="K107" s="43">
        <f t="shared" si="3"/>
        <v>2.5000000000000001E-2</v>
      </c>
      <c r="L107" s="37" t="s">
        <v>1882</v>
      </c>
      <c r="M107" s="40">
        <v>45542</v>
      </c>
      <c r="N107" s="33" t="s">
        <v>57</v>
      </c>
      <c r="O107" s="41">
        <v>352000</v>
      </c>
      <c r="P107" s="34">
        <f t="shared" si="4"/>
        <v>1073.25</v>
      </c>
      <c r="Q107" s="36">
        <f t="shared" si="5"/>
        <v>71.55</v>
      </c>
      <c r="R107" s="35">
        <v>500</v>
      </c>
    </row>
    <row r="108" spans="1:18" x14ac:dyDescent="0.25">
      <c r="A108" s="37" t="s">
        <v>245</v>
      </c>
      <c r="B108" s="37"/>
      <c r="C108" s="37" t="s">
        <v>37</v>
      </c>
      <c r="D108" s="37" t="s">
        <v>2582</v>
      </c>
      <c r="E108" s="38">
        <v>45542</v>
      </c>
      <c r="F108" s="38">
        <v>45907</v>
      </c>
      <c r="G108" s="37" t="s">
        <v>1181</v>
      </c>
      <c r="H108" s="37" t="s">
        <v>60</v>
      </c>
      <c r="I108" s="39">
        <v>8800</v>
      </c>
      <c r="J108" s="39">
        <v>7155</v>
      </c>
      <c r="K108" s="43">
        <f t="shared" si="3"/>
        <v>2.5000000000000001E-2</v>
      </c>
      <c r="L108" s="37" t="s">
        <v>1883</v>
      </c>
      <c r="M108" s="40">
        <v>45542</v>
      </c>
      <c r="N108" s="33" t="s">
        <v>57</v>
      </c>
      <c r="O108" s="41">
        <v>352000</v>
      </c>
      <c r="P108" s="34">
        <f t="shared" si="4"/>
        <v>1073.25</v>
      </c>
      <c r="Q108" s="36">
        <f t="shared" si="5"/>
        <v>71.55</v>
      </c>
      <c r="R108" s="35">
        <v>500</v>
      </c>
    </row>
    <row r="109" spans="1:18" x14ac:dyDescent="0.25">
      <c r="A109" s="37" t="s">
        <v>246</v>
      </c>
      <c r="B109" s="37"/>
      <c r="C109" s="37" t="s">
        <v>70</v>
      </c>
      <c r="D109" s="37" t="s">
        <v>2582</v>
      </c>
      <c r="E109" s="38">
        <v>45544</v>
      </c>
      <c r="F109" s="38">
        <v>45909</v>
      </c>
      <c r="G109" s="37" t="s">
        <v>1182</v>
      </c>
      <c r="H109" s="37" t="s">
        <v>62</v>
      </c>
      <c r="I109" s="39">
        <v>13675</v>
      </c>
      <c r="J109" s="39">
        <v>11358</v>
      </c>
      <c r="K109" s="43">
        <f t="shared" si="3"/>
        <v>2.5000000000000001E-2</v>
      </c>
      <c r="L109" s="37" t="s">
        <v>1884</v>
      </c>
      <c r="M109" s="40">
        <v>45544</v>
      </c>
      <c r="N109" s="33" t="s">
        <v>57</v>
      </c>
      <c r="O109" s="41">
        <v>547000</v>
      </c>
      <c r="P109" s="34">
        <f t="shared" si="4"/>
        <v>1703.7</v>
      </c>
      <c r="Q109" s="36">
        <f t="shared" si="5"/>
        <v>113.58</v>
      </c>
      <c r="R109" s="35">
        <v>500</v>
      </c>
    </row>
    <row r="110" spans="1:18" x14ac:dyDescent="0.25">
      <c r="A110" s="37" t="s">
        <v>247</v>
      </c>
      <c r="B110" s="37"/>
      <c r="C110" s="37" t="s">
        <v>70</v>
      </c>
      <c r="D110" s="37" t="s">
        <v>2582</v>
      </c>
      <c r="E110" s="38">
        <v>45544</v>
      </c>
      <c r="F110" s="38">
        <v>45909</v>
      </c>
      <c r="G110" s="37" t="s">
        <v>1183</v>
      </c>
      <c r="H110" s="37" t="s">
        <v>63</v>
      </c>
      <c r="I110" s="39">
        <v>12475</v>
      </c>
      <c r="J110" s="39">
        <v>10323</v>
      </c>
      <c r="K110" s="43">
        <f t="shared" si="3"/>
        <v>2.5000000000000001E-2</v>
      </c>
      <c r="L110" s="37" t="s">
        <v>1885</v>
      </c>
      <c r="M110" s="40">
        <v>45544</v>
      </c>
      <c r="N110" s="33" t="s">
        <v>57</v>
      </c>
      <c r="O110" s="41">
        <v>499000</v>
      </c>
      <c r="P110" s="34">
        <f t="shared" si="4"/>
        <v>1548.45</v>
      </c>
      <c r="Q110" s="36">
        <f t="shared" si="5"/>
        <v>103.23</v>
      </c>
      <c r="R110" s="35">
        <v>500</v>
      </c>
    </row>
    <row r="111" spans="1:18" x14ac:dyDescent="0.25">
      <c r="A111" s="37" t="s">
        <v>248</v>
      </c>
      <c r="B111" s="37"/>
      <c r="C111" s="37" t="s">
        <v>70</v>
      </c>
      <c r="D111" s="37" t="s">
        <v>2582</v>
      </c>
      <c r="E111" s="38">
        <v>45544</v>
      </c>
      <c r="F111" s="38">
        <v>45909</v>
      </c>
      <c r="G111" s="37" t="s">
        <v>1184</v>
      </c>
      <c r="H111" s="37" t="s">
        <v>63</v>
      </c>
      <c r="I111" s="39">
        <v>12475</v>
      </c>
      <c r="J111" s="39">
        <v>10323</v>
      </c>
      <c r="K111" s="43">
        <f t="shared" si="3"/>
        <v>2.5000000000000001E-2</v>
      </c>
      <c r="L111" s="37" t="s">
        <v>1886</v>
      </c>
      <c r="M111" s="40">
        <v>45544</v>
      </c>
      <c r="N111" s="33" t="s">
        <v>57</v>
      </c>
      <c r="O111" s="41">
        <v>499000</v>
      </c>
      <c r="P111" s="34">
        <f t="shared" si="4"/>
        <v>1548.45</v>
      </c>
      <c r="Q111" s="36">
        <f t="shared" si="5"/>
        <v>103.23</v>
      </c>
      <c r="R111" s="35">
        <v>500</v>
      </c>
    </row>
    <row r="112" spans="1:18" x14ac:dyDescent="0.25">
      <c r="A112" s="37" t="s">
        <v>249</v>
      </c>
      <c r="B112" s="37"/>
      <c r="C112" s="37" t="s">
        <v>30</v>
      </c>
      <c r="D112" s="37" t="s">
        <v>36</v>
      </c>
      <c r="E112" s="38">
        <v>45544</v>
      </c>
      <c r="F112" s="38">
        <v>45909</v>
      </c>
      <c r="G112" s="37" t="s">
        <v>1185</v>
      </c>
      <c r="H112" s="37" t="s">
        <v>62</v>
      </c>
      <c r="I112" s="39">
        <v>23248</v>
      </c>
      <c r="J112" s="39">
        <v>19610</v>
      </c>
      <c r="K112" s="43">
        <f t="shared" si="3"/>
        <v>4.2500914076782449E-2</v>
      </c>
      <c r="L112" s="37" t="s">
        <v>1887</v>
      </c>
      <c r="M112" s="40">
        <v>45544</v>
      </c>
      <c r="N112" s="33" t="s">
        <v>57</v>
      </c>
      <c r="O112" s="41">
        <v>547000</v>
      </c>
      <c r="P112" s="34">
        <f t="shared" si="4"/>
        <v>2941.5</v>
      </c>
      <c r="Q112" s="36">
        <f t="shared" si="5"/>
        <v>196.1</v>
      </c>
      <c r="R112" s="35">
        <v>500</v>
      </c>
    </row>
    <row r="113" spans="1:18" x14ac:dyDescent="0.25">
      <c r="A113" s="37" t="s">
        <v>250</v>
      </c>
      <c r="B113" s="37"/>
      <c r="C113" s="37" t="s">
        <v>30</v>
      </c>
      <c r="D113" s="37" t="s">
        <v>36</v>
      </c>
      <c r="E113" s="38">
        <v>45544</v>
      </c>
      <c r="F113" s="38">
        <v>45909</v>
      </c>
      <c r="G113" s="37" t="s">
        <v>1186</v>
      </c>
      <c r="H113" s="37" t="s">
        <v>60</v>
      </c>
      <c r="I113" s="39">
        <v>14960</v>
      </c>
      <c r="J113" s="39">
        <v>12466</v>
      </c>
      <c r="K113" s="43">
        <f t="shared" si="3"/>
        <v>4.2500000000000003E-2</v>
      </c>
      <c r="L113" s="37" t="s">
        <v>1888</v>
      </c>
      <c r="M113" s="40">
        <v>45544</v>
      </c>
      <c r="N113" s="33" t="s">
        <v>57</v>
      </c>
      <c r="O113" s="41">
        <v>352000</v>
      </c>
      <c r="P113" s="34">
        <f t="shared" si="4"/>
        <v>1869.9</v>
      </c>
      <c r="Q113" s="36">
        <f t="shared" si="5"/>
        <v>124.66</v>
      </c>
      <c r="R113" s="35">
        <v>500</v>
      </c>
    </row>
    <row r="114" spans="1:18" x14ac:dyDescent="0.25">
      <c r="A114" s="37" t="s">
        <v>251</v>
      </c>
      <c r="B114" s="37"/>
      <c r="C114" s="37" t="s">
        <v>32</v>
      </c>
      <c r="D114" s="37" t="s">
        <v>36</v>
      </c>
      <c r="E114" s="38">
        <v>45544</v>
      </c>
      <c r="F114" s="38">
        <v>45909</v>
      </c>
      <c r="G114" s="37" t="s">
        <v>1187</v>
      </c>
      <c r="H114" s="37" t="s">
        <v>64</v>
      </c>
      <c r="I114" s="39">
        <v>16235</v>
      </c>
      <c r="J114" s="39">
        <v>13565</v>
      </c>
      <c r="K114" s="43">
        <f t="shared" si="3"/>
        <v>4.2500000000000003E-2</v>
      </c>
      <c r="L114" s="37" t="s">
        <v>1889</v>
      </c>
      <c r="M114" s="40">
        <v>45544</v>
      </c>
      <c r="N114" s="33" t="s">
        <v>57</v>
      </c>
      <c r="O114" s="41">
        <v>382000</v>
      </c>
      <c r="P114" s="34">
        <f t="shared" si="4"/>
        <v>2034.75</v>
      </c>
      <c r="Q114" s="36">
        <f t="shared" si="5"/>
        <v>135.65</v>
      </c>
      <c r="R114" s="35">
        <v>500</v>
      </c>
    </row>
    <row r="115" spans="1:18" x14ac:dyDescent="0.25">
      <c r="A115" s="37" t="s">
        <v>252</v>
      </c>
      <c r="B115" s="37"/>
      <c r="C115" s="37" t="s">
        <v>78</v>
      </c>
      <c r="D115" s="37" t="s">
        <v>2582</v>
      </c>
      <c r="E115" s="38">
        <v>45544</v>
      </c>
      <c r="F115" s="38">
        <v>45909</v>
      </c>
      <c r="G115" s="37" t="s">
        <v>1188</v>
      </c>
      <c r="H115" s="37" t="s">
        <v>60</v>
      </c>
      <c r="I115" s="39">
        <v>8800</v>
      </c>
      <c r="J115" s="39">
        <v>7155</v>
      </c>
      <c r="K115" s="43">
        <f t="shared" si="3"/>
        <v>2.5000000000000001E-2</v>
      </c>
      <c r="L115" s="37" t="s">
        <v>1890</v>
      </c>
      <c r="M115" s="40">
        <v>45544</v>
      </c>
      <c r="N115" s="33" t="s">
        <v>57</v>
      </c>
      <c r="O115" s="41">
        <v>352000</v>
      </c>
      <c r="P115" s="34">
        <f t="shared" si="4"/>
        <v>1073.25</v>
      </c>
      <c r="Q115" s="36">
        <f t="shared" si="5"/>
        <v>71.55</v>
      </c>
      <c r="R115" s="35">
        <v>500</v>
      </c>
    </row>
    <row r="116" spans="1:18" x14ac:dyDescent="0.25">
      <c r="A116" s="37" t="s">
        <v>253</v>
      </c>
      <c r="B116" s="37"/>
      <c r="C116" s="37" t="s">
        <v>78</v>
      </c>
      <c r="D116" s="37" t="s">
        <v>2582</v>
      </c>
      <c r="E116" s="38">
        <v>45544</v>
      </c>
      <c r="F116" s="38">
        <v>45909</v>
      </c>
      <c r="G116" s="37" t="s">
        <v>1189</v>
      </c>
      <c r="H116" s="37" t="s">
        <v>60</v>
      </c>
      <c r="I116" s="39">
        <v>8800</v>
      </c>
      <c r="J116" s="39">
        <v>7155</v>
      </c>
      <c r="K116" s="43">
        <f t="shared" si="3"/>
        <v>2.5000000000000001E-2</v>
      </c>
      <c r="L116" s="37" t="s">
        <v>1891</v>
      </c>
      <c r="M116" s="40">
        <v>45544</v>
      </c>
      <c r="N116" s="33" t="s">
        <v>57</v>
      </c>
      <c r="O116" s="41">
        <v>352000</v>
      </c>
      <c r="P116" s="34">
        <f t="shared" si="4"/>
        <v>1073.25</v>
      </c>
      <c r="Q116" s="36">
        <f t="shared" si="5"/>
        <v>71.55</v>
      </c>
      <c r="R116" s="35">
        <v>500</v>
      </c>
    </row>
    <row r="117" spans="1:18" x14ac:dyDescent="0.25">
      <c r="A117" s="37" t="s">
        <v>254</v>
      </c>
      <c r="B117" s="37"/>
      <c r="C117" s="37" t="s">
        <v>78</v>
      </c>
      <c r="D117" s="37" t="s">
        <v>2582</v>
      </c>
      <c r="E117" s="38">
        <v>45544</v>
      </c>
      <c r="F117" s="38">
        <v>45909</v>
      </c>
      <c r="G117" s="37" t="s">
        <v>1190</v>
      </c>
      <c r="H117" s="37" t="s">
        <v>62</v>
      </c>
      <c r="I117" s="39">
        <v>13675</v>
      </c>
      <c r="J117" s="39">
        <v>11358</v>
      </c>
      <c r="K117" s="43">
        <f t="shared" si="3"/>
        <v>2.5000000000000001E-2</v>
      </c>
      <c r="L117" s="37" t="s">
        <v>1892</v>
      </c>
      <c r="M117" s="40">
        <v>45544</v>
      </c>
      <c r="N117" s="33" t="s">
        <v>57</v>
      </c>
      <c r="O117" s="41">
        <v>547000</v>
      </c>
      <c r="P117" s="34">
        <f t="shared" si="4"/>
        <v>1703.7</v>
      </c>
      <c r="Q117" s="36">
        <f t="shared" si="5"/>
        <v>113.58</v>
      </c>
      <c r="R117" s="35">
        <v>500</v>
      </c>
    </row>
    <row r="118" spans="1:18" x14ac:dyDescent="0.25">
      <c r="A118" s="37" t="s">
        <v>255</v>
      </c>
      <c r="B118" s="37"/>
      <c r="C118" s="37" t="s">
        <v>78</v>
      </c>
      <c r="D118" s="37" t="s">
        <v>2582</v>
      </c>
      <c r="E118" s="38">
        <v>45544</v>
      </c>
      <c r="F118" s="38">
        <v>45909</v>
      </c>
      <c r="G118" s="37" t="s">
        <v>1191</v>
      </c>
      <c r="H118" s="37" t="s">
        <v>60</v>
      </c>
      <c r="I118" s="39">
        <v>8800</v>
      </c>
      <c r="J118" s="39">
        <v>7155</v>
      </c>
      <c r="K118" s="43">
        <f t="shared" si="3"/>
        <v>2.5000000000000001E-2</v>
      </c>
      <c r="L118" s="37" t="s">
        <v>1893</v>
      </c>
      <c r="M118" s="40">
        <v>45544</v>
      </c>
      <c r="N118" s="33" t="s">
        <v>57</v>
      </c>
      <c r="O118" s="41">
        <v>352000</v>
      </c>
      <c r="P118" s="34">
        <f t="shared" si="4"/>
        <v>1073.25</v>
      </c>
      <c r="Q118" s="36">
        <f t="shared" si="5"/>
        <v>71.55</v>
      </c>
      <c r="R118" s="35">
        <v>500</v>
      </c>
    </row>
    <row r="119" spans="1:18" x14ac:dyDescent="0.25">
      <c r="A119" s="37" t="s">
        <v>256</v>
      </c>
      <c r="B119" s="37"/>
      <c r="C119" s="37" t="s">
        <v>78</v>
      </c>
      <c r="D119" s="37" t="s">
        <v>2582</v>
      </c>
      <c r="E119" s="38">
        <v>45544</v>
      </c>
      <c r="F119" s="38">
        <v>45909</v>
      </c>
      <c r="G119" s="37" t="s">
        <v>1192</v>
      </c>
      <c r="H119" s="37" t="s">
        <v>63</v>
      </c>
      <c r="I119" s="39">
        <v>12475</v>
      </c>
      <c r="J119" s="39">
        <v>10323</v>
      </c>
      <c r="K119" s="43">
        <f t="shared" si="3"/>
        <v>2.5000000000000001E-2</v>
      </c>
      <c r="L119" s="37" t="s">
        <v>1894</v>
      </c>
      <c r="M119" s="40">
        <v>45544</v>
      </c>
      <c r="N119" s="33" t="s">
        <v>57</v>
      </c>
      <c r="O119" s="41">
        <v>499000</v>
      </c>
      <c r="P119" s="34">
        <f t="shared" si="4"/>
        <v>1548.45</v>
      </c>
      <c r="Q119" s="36">
        <f t="shared" si="5"/>
        <v>103.23</v>
      </c>
      <c r="R119" s="35">
        <v>500</v>
      </c>
    </row>
    <row r="120" spans="1:18" x14ac:dyDescent="0.25">
      <c r="A120" s="37" t="s">
        <v>257</v>
      </c>
      <c r="B120" s="37"/>
      <c r="C120" s="37" t="s">
        <v>78</v>
      </c>
      <c r="D120" s="37" t="s">
        <v>2582</v>
      </c>
      <c r="E120" s="38">
        <v>45544</v>
      </c>
      <c r="F120" s="38">
        <v>45909</v>
      </c>
      <c r="G120" s="37" t="s">
        <v>1193</v>
      </c>
      <c r="H120" s="37" t="s">
        <v>60</v>
      </c>
      <c r="I120" s="39">
        <v>8800</v>
      </c>
      <c r="J120" s="39">
        <v>7155</v>
      </c>
      <c r="K120" s="43">
        <f t="shared" si="3"/>
        <v>2.5000000000000001E-2</v>
      </c>
      <c r="L120" s="37" t="s">
        <v>1895</v>
      </c>
      <c r="M120" s="40">
        <v>45544</v>
      </c>
      <c r="N120" s="33" t="s">
        <v>57</v>
      </c>
      <c r="O120" s="41">
        <v>352000</v>
      </c>
      <c r="P120" s="34">
        <f t="shared" si="4"/>
        <v>1073.25</v>
      </c>
      <c r="Q120" s="36">
        <f t="shared" si="5"/>
        <v>71.55</v>
      </c>
      <c r="R120" s="35">
        <v>500</v>
      </c>
    </row>
    <row r="121" spans="1:18" x14ac:dyDescent="0.25">
      <c r="A121" s="37" t="s">
        <v>258</v>
      </c>
      <c r="B121" s="37"/>
      <c r="C121" s="37" t="s">
        <v>78</v>
      </c>
      <c r="D121" s="37" t="s">
        <v>2582</v>
      </c>
      <c r="E121" s="38">
        <v>45544</v>
      </c>
      <c r="F121" s="38">
        <v>45909</v>
      </c>
      <c r="G121" s="37" t="s">
        <v>1194</v>
      </c>
      <c r="H121" s="37" t="s">
        <v>60</v>
      </c>
      <c r="I121" s="39">
        <v>8800</v>
      </c>
      <c r="J121" s="39">
        <v>7155</v>
      </c>
      <c r="K121" s="43">
        <f t="shared" si="3"/>
        <v>2.5000000000000001E-2</v>
      </c>
      <c r="L121" s="37" t="s">
        <v>1896</v>
      </c>
      <c r="M121" s="40">
        <v>45544</v>
      </c>
      <c r="N121" s="33" t="s">
        <v>57</v>
      </c>
      <c r="O121" s="41">
        <v>352000</v>
      </c>
      <c r="P121" s="34">
        <f t="shared" si="4"/>
        <v>1073.25</v>
      </c>
      <c r="Q121" s="36">
        <f t="shared" si="5"/>
        <v>71.55</v>
      </c>
      <c r="R121" s="35">
        <v>500</v>
      </c>
    </row>
    <row r="122" spans="1:18" x14ac:dyDescent="0.25">
      <c r="A122" s="37" t="s">
        <v>259</v>
      </c>
      <c r="B122" s="37"/>
      <c r="C122" s="37" t="s">
        <v>54</v>
      </c>
      <c r="D122" s="37" t="s">
        <v>2582</v>
      </c>
      <c r="E122" s="38">
        <v>45544</v>
      </c>
      <c r="F122" s="38">
        <v>45909</v>
      </c>
      <c r="G122" s="37" t="s">
        <v>1195</v>
      </c>
      <c r="H122" s="37" t="s">
        <v>63</v>
      </c>
      <c r="I122" s="39">
        <v>12475</v>
      </c>
      <c r="J122" s="39">
        <v>10323</v>
      </c>
      <c r="K122" s="43">
        <f t="shared" si="3"/>
        <v>2.5000000000000001E-2</v>
      </c>
      <c r="L122" s="37" t="s">
        <v>1897</v>
      </c>
      <c r="M122" s="40">
        <v>45544</v>
      </c>
      <c r="N122" s="33" t="s">
        <v>57</v>
      </c>
      <c r="O122" s="41">
        <v>499000</v>
      </c>
      <c r="P122" s="34">
        <f t="shared" si="4"/>
        <v>1548.45</v>
      </c>
      <c r="Q122" s="36">
        <f t="shared" si="5"/>
        <v>103.23</v>
      </c>
      <c r="R122" s="35">
        <v>500</v>
      </c>
    </row>
    <row r="123" spans="1:18" x14ac:dyDescent="0.25">
      <c r="A123" s="37" t="s">
        <v>260</v>
      </c>
      <c r="B123" s="37"/>
      <c r="C123" s="37" t="s">
        <v>54</v>
      </c>
      <c r="D123" s="37" t="s">
        <v>2582</v>
      </c>
      <c r="E123" s="38">
        <v>45544</v>
      </c>
      <c r="F123" s="38">
        <v>45909</v>
      </c>
      <c r="G123" s="37" t="s">
        <v>1196</v>
      </c>
      <c r="H123" s="37" t="s">
        <v>61</v>
      </c>
      <c r="I123" s="39">
        <v>9550</v>
      </c>
      <c r="J123" s="39">
        <v>7802</v>
      </c>
      <c r="K123" s="43">
        <f t="shared" si="3"/>
        <v>2.5000000000000001E-2</v>
      </c>
      <c r="L123" s="37" t="s">
        <v>1898</v>
      </c>
      <c r="M123" s="40">
        <v>45544</v>
      </c>
      <c r="N123" s="33" t="s">
        <v>57</v>
      </c>
      <c r="O123" s="41">
        <v>382000</v>
      </c>
      <c r="P123" s="34">
        <f t="shared" si="4"/>
        <v>1170.3</v>
      </c>
      <c r="Q123" s="36">
        <f t="shared" si="5"/>
        <v>78.02</v>
      </c>
      <c r="R123" s="35">
        <v>500</v>
      </c>
    </row>
    <row r="124" spans="1:18" x14ac:dyDescent="0.25">
      <c r="A124" s="37" t="s">
        <v>261</v>
      </c>
      <c r="B124" s="37"/>
      <c r="C124" s="37" t="s">
        <v>71</v>
      </c>
      <c r="D124" s="37" t="s">
        <v>2582</v>
      </c>
      <c r="E124" s="38">
        <v>45544</v>
      </c>
      <c r="F124" s="38">
        <v>45909</v>
      </c>
      <c r="G124" s="37" t="s">
        <v>1197</v>
      </c>
      <c r="H124" s="37" t="s">
        <v>61</v>
      </c>
      <c r="I124" s="39">
        <v>9550</v>
      </c>
      <c r="J124" s="39">
        <v>7802</v>
      </c>
      <c r="K124" s="43">
        <f t="shared" si="3"/>
        <v>2.5000000000000001E-2</v>
      </c>
      <c r="L124" s="37" t="s">
        <v>1899</v>
      </c>
      <c r="M124" s="40">
        <v>45544</v>
      </c>
      <c r="N124" s="33" t="s">
        <v>57</v>
      </c>
      <c r="O124" s="41">
        <v>382000</v>
      </c>
      <c r="P124" s="34">
        <f t="shared" si="4"/>
        <v>1170.3</v>
      </c>
      <c r="Q124" s="36">
        <f t="shared" si="5"/>
        <v>78.02</v>
      </c>
      <c r="R124" s="35">
        <v>500</v>
      </c>
    </row>
    <row r="125" spans="1:18" x14ac:dyDescent="0.25">
      <c r="A125" s="37" t="s">
        <v>262</v>
      </c>
      <c r="B125" s="37"/>
      <c r="C125" s="37" t="s">
        <v>71</v>
      </c>
      <c r="D125" s="37" t="s">
        <v>2582</v>
      </c>
      <c r="E125" s="38">
        <v>45544</v>
      </c>
      <c r="F125" s="38">
        <v>45909</v>
      </c>
      <c r="G125" s="37" t="s">
        <v>1198</v>
      </c>
      <c r="H125" s="37" t="s">
        <v>61</v>
      </c>
      <c r="I125" s="39">
        <v>9550</v>
      </c>
      <c r="J125" s="39">
        <v>7802</v>
      </c>
      <c r="K125" s="43">
        <f t="shared" si="3"/>
        <v>2.5000000000000001E-2</v>
      </c>
      <c r="L125" s="37" t="s">
        <v>1900</v>
      </c>
      <c r="M125" s="40">
        <v>45544</v>
      </c>
      <c r="N125" s="33" t="s">
        <v>57</v>
      </c>
      <c r="O125" s="41">
        <v>382000</v>
      </c>
      <c r="P125" s="34">
        <f t="shared" si="4"/>
        <v>1170.3</v>
      </c>
      <c r="Q125" s="36">
        <f t="shared" si="5"/>
        <v>78.02</v>
      </c>
      <c r="R125" s="35">
        <v>500</v>
      </c>
    </row>
    <row r="126" spans="1:18" x14ac:dyDescent="0.25">
      <c r="A126" s="37" t="s">
        <v>263</v>
      </c>
      <c r="B126" s="37"/>
      <c r="C126" s="37" t="s">
        <v>71</v>
      </c>
      <c r="D126" s="37" t="s">
        <v>2582</v>
      </c>
      <c r="E126" s="38">
        <v>45544</v>
      </c>
      <c r="F126" s="38">
        <v>45909</v>
      </c>
      <c r="G126" s="37" t="s">
        <v>1199</v>
      </c>
      <c r="H126" s="37" t="s">
        <v>62</v>
      </c>
      <c r="I126" s="39">
        <v>13675</v>
      </c>
      <c r="J126" s="39">
        <v>11358</v>
      </c>
      <c r="K126" s="43">
        <f t="shared" si="3"/>
        <v>2.5000000000000001E-2</v>
      </c>
      <c r="L126" s="37" t="s">
        <v>1901</v>
      </c>
      <c r="M126" s="40">
        <v>45544</v>
      </c>
      <c r="N126" s="33" t="s">
        <v>57</v>
      </c>
      <c r="O126" s="41">
        <v>547000</v>
      </c>
      <c r="P126" s="34">
        <f t="shared" si="4"/>
        <v>1703.7</v>
      </c>
      <c r="Q126" s="36">
        <f t="shared" si="5"/>
        <v>113.58</v>
      </c>
      <c r="R126" s="35">
        <v>500</v>
      </c>
    </row>
    <row r="127" spans="1:18" x14ac:dyDescent="0.25">
      <c r="A127" s="37" t="s">
        <v>264</v>
      </c>
      <c r="B127" s="37"/>
      <c r="C127" s="37" t="s">
        <v>71</v>
      </c>
      <c r="D127" s="37" t="s">
        <v>2582</v>
      </c>
      <c r="E127" s="38">
        <v>45544</v>
      </c>
      <c r="F127" s="38">
        <v>45909</v>
      </c>
      <c r="G127" s="37" t="s">
        <v>1200</v>
      </c>
      <c r="H127" s="37" t="s">
        <v>60</v>
      </c>
      <c r="I127" s="39">
        <v>8800</v>
      </c>
      <c r="J127" s="39">
        <v>7155</v>
      </c>
      <c r="K127" s="43">
        <f t="shared" si="3"/>
        <v>2.5000000000000001E-2</v>
      </c>
      <c r="L127" s="37" t="s">
        <v>1902</v>
      </c>
      <c r="M127" s="40">
        <v>45544</v>
      </c>
      <c r="N127" s="33" t="s">
        <v>57</v>
      </c>
      <c r="O127" s="41">
        <v>352000</v>
      </c>
      <c r="P127" s="34">
        <f t="shared" si="4"/>
        <v>1073.25</v>
      </c>
      <c r="Q127" s="36">
        <f t="shared" si="5"/>
        <v>71.55</v>
      </c>
      <c r="R127" s="35">
        <v>500</v>
      </c>
    </row>
    <row r="128" spans="1:18" x14ac:dyDescent="0.25">
      <c r="A128" s="37" t="s">
        <v>265</v>
      </c>
      <c r="B128" s="37"/>
      <c r="C128" s="37" t="s">
        <v>32</v>
      </c>
      <c r="D128" s="37" t="s">
        <v>36</v>
      </c>
      <c r="E128" s="38">
        <v>45544</v>
      </c>
      <c r="F128" s="38">
        <v>45909</v>
      </c>
      <c r="G128" s="37" t="s">
        <v>1201</v>
      </c>
      <c r="H128" s="37" t="s">
        <v>64</v>
      </c>
      <c r="I128" s="39">
        <v>16235</v>
      </c>
      <c r="J128" s="39">
        <v>13565</v>
      </c>
      <c r="K128" s="43">
        <f t="shared" si="3"/>
        <v>4.2500000000000003E-2</v>
      </c>
      <c r="L128" s="37" t="s">
        <v>1903</v>
      </c>
      <c r="M128" s="40">
        <v>45544</v>
      </c>
      <c r="N128" s="33" t="s">
        <v>57</v>
      </c>
      <c r="O128" s="41">
        <v>382000</v>
      </c>
      <c r="P128" s="34">
        <f t="shared" si="4"/>
        <v>2034.75</v>
      </c>
      <c r="Q128" s="36">
        <f t="shared" si="5"/>
        <v>135.65</v>
      </c>
      <c r="R128" s="35">
        <v>500</v>
      </c>
    </row>
    <row r="129" spans="1:18" x14ac:dyDescent="0.25">
      <c r="A129" s="37" t="s">
        <v>266</v>
      </c>
      <c r="B129" s="37"/>
      <c r="C129" s="37" t="s">
        <v>32</v>
      </c>
      <c r="D129" s="37" t="s">
        <v>36</v>
      </c>
      <c r="E129" s="38">
        <v>45910</v>
      </c>
      <c r="F129" s="38">
        <v>46275</v>
      </c>
      <c r="G129" s="37" t="s">
        <v>1201</v>
      </c>
      <c r="H129" s="37" t="s">
        <v>64</v>
      </c>
      <c r="I129" s="39">
        <v>16235</v>
      </c>
      <c r="J129" s="39">
        <v>13565</v>
      </c>
      <c r="K129" s="43">
        <f t="shared" si="3"/>
        <v>4.2500000000000003E-2</v>
      </c>
      <c r="L129" s="37" t="s">
        <v>1903</v>
      </c>
      <c r="M129" s="40">
        <v>45544</v>
      </c>
      <c r="N129" s="33" t="s">
        <v>57</v>
      </c>
      <c r="O129" s="41">
        <v>382000</v>
      </c>
      <c r="P129" s="34">
        <f t="shared" si="4"/>
        <v>2034.75</v>
      </c>
      <c r="Q129" s="36">
        <f t="shared" si="5"/>
        <v>135.65</v>
      </c>
      <c r="R129" s="35">
        <v>500</v>
      </c>
    </row>
    <row r="130" spans="1:18" x14ac:dyDescent="0.25">
      <c r="A130" s="37" t="s">
        <v>267</v>
      </c>
      <c r="B130" s="37"/>
      <c r="C130" s="37" t="s">
        <v>32</v>
      </c>
      <c r="D130" s="37" t="s">
        <v>36</v>
      </c>
      <c r="E130" s="38">
        <v>45544</v>
      </c>
      <c r="F130" s="38">
        <v>45909</v>
      </c>
      <c r="G130" s="37" t="s">
        <v>1202</v>
      </c>
      <c r="H130" s="37" t="s">
        <v>60</v>
      </c>
      <c r="I130" s="39">
        <v>14960</v>
      </c>
      <c r="J130" s="39">
        <v>12466</v>
      </c>
      <c r="K130" s="43">
        <f t="shared" si="3"/>
        <v>4.2500000000000003E-2</v>
      </c>
      <c r="L130" s="37" t="s">
        <v>1904</v>
      </c>
      <c r="M130" s="40">
        <v>45544</v>
      </c>
      <c r="N130" s="33" t="s">
        <v>57</v>
      </c>
      <c r="O130" s="41">
        <v>352000</v>
      </c>
      <c r="P130" s="34">
        <f t="shared" si="4"/>
        <v>1869.9</v>
      </c>
      <c r="Q130" s="36">
        <f t="shared" si="5"/>
        <v>124.66</v>
      </c>
      <c r="R130" s="35">
        <v>500</v>
      </c>
    </row>
    <row r="131" spans="1:18" x14ac:dyDescent="0.25">
      <c r="A131" s="37" t="s">
        <v>268</v>
      </c>
      <c r="B131" s="37"/>
      <c r="C131" s="37" t="s">
        <v>32</v>
      </c>
      <c r="D131" s="37" t="s">
        <v>36</v>
      </c>
      <c r="E131" s="38">
        <v>45910</v>
      </c>
      <c r="F131" s="38">
        <v>46275</v>
      </c>
      <c r="G131" s="37" t="s">
        <v>1202</v>
      </c>
      <c r="H131" s="37" t="s">
        <v>60</v>
      </c>
      <c r="I131" s="39">
        <v>14960</v>
      </c>
      <c r="J131" s="39">
        <v>12466</v>
      </c>
      <c r="K131" s="43">
        <f t="shared" si="3"/>
        <v>4.2500000000000003E-2</v>
      </c>
      <c r="L131" s="37" t="s">
        <v>1904</v>
      </c>
      <c r="M131" s="40">
        <v>45544</v>
      </c>
      <c r="N131" s="33" t="s">
        <v>57</v>
      </c>
      <c r="O131" s="41">
        <v>352000</v>
      </c>
      <c r="P131" s="34">
        <f t="shared" si="4"/>
        <v>1869.9</v>
      </c>
      <c r="Q131" s="36">
        <f t="shared" si="5"/>
        <v>124.66</v>
      </c>
      <c r="R131" s="35">
        <v>500</v>
      </c>
    </row>
    <row r="132" spans="1:18" x14ac:dyDescent="0.25">
      <c r="A132" s="37" t="s">
        <v>269</v>
      </c>
      <c r="B132" s="37"/>
      <c r="C132" s="37" t="s">
        <v>32</v>
      </c>
      <c r="D132" s="37" t="s">
        <v>36</v>
      </c>
      <c r="E132" s="38">
        <v>45544</v>
      </c>
      <c r="F132" s="38">
        <v>45909</v>
      </c>
      <c r="G132" s="37" t="s">
        <v>1203</v>
      </c>
      <c r="H132" s="37" t="s">
        <v>60</v>
      </c>
      <c r="I132" s="39">
        <v>14960</v>
      </c>
      <c r="J132" s="39">
        <v>12466</v>
      </c>
      <c r="K132" s="43">
        <f t="shared" ref="K132:K195" si="6">I132/O132</f>
        <v>4.2500000000000003E-2</v>
      </c>
      <c r="L132" s="37" t="s">
        <v>1905</v>
      </c>
      <c r="M132" s="40">
        <v>45544</v>
      </c>
      <c r="N132" s="33" t="s">
        <v>57</v>
      </c>
      <c r="O132" s="41">
        <v>352000</v>
      </c>
      <c r="P132" s="34">
        <f t="shared" ref="P132:P195" si="7">J132*15/100</f>
        <v>1869.9</v>
      </c>
      <c r="Q132" s="36">
        <f t="shared" ref="Q132:Q195" si="8">J132*1/100</f>
        <v>124.66</v>
      </c>
      <c r="R132" s="35">
        <v>500</v>
      </c>
    </row>
    <row r="133" spans="1:18" x14ac:dyDescent="0.25">
      <c r="A133" s="37" t="s">
        <v>270</v>
      </c>
      <c r="B133" s="37"/>
      <c r="C133" s="37" t="s">
        <v>32</v>
      </c>
      <c r="D133" s="37" t="s">
        <v>36</v>
      </c>
      <c r="E133" s="38">
        <v>45544</v>
      </c>
      <c r="F133" s="38">
        <v>45909</v>
      </c>
      <c r="G133" s="37" t="s">
        <v>1204</v>
      </c>
      <c r="H133" s="37" t="s">
        <v>62</v>
      </c>
      <c r="I133" s="39">
        <v>23248</v>
      </c>
      <c r="J133" s="39">
        <v>19610</v>
      </c>
      <c r="K133" s="43">
        <f t="shared" si="6"/>
        <v>4.2500914076782449E-2</v>
      </c>
      <c r="L133" s="37" t="s">
        <v>1906</v>
      </c>
      <c r="M133" s="40">
        <v>45544</v>
      </c>
      <c r="N133" s="33" t="s">
        <v>57</v>
      </c>
      <c r="O133" s="41">
        <v>547000</v>
      </c>
      <c r="P133" s="34">
        <f t="shared" si="7"/>
        <v>2941.5</v>
      </c>
      <c r="Q133" s="36">
        <f t="shared" si="8"/>
        <v>196.1</v>
      </c>
      <c r="R133" s="35">
        <v>500</v>
      </c>
    </row>
    <row r="134" spans="1:18" x14ac:dyDescent="0.25">
      <c r="A134" s="37" t="s">
        <v>271</v>
      </c>
      <c r="B134" s="37"/>
      <c r="C134" s="37" t="s">
        <v>32</v>
      </c>
      <c r="D134" s="37" t="s">
        <v>36</v>
      </c>
      <c r="E134" s="38">
        <v>45544</v>
      </c>
      <c r="F134" s="38">
        <v>45909</v>
      </c>
      <c r="G134" s="37" t="s">
        <v>1205</v>
      </c>
      <c r="H134" s="37" t="s">
        <v>60</v>
      </c>
      <c r="I134" s="39">
        <v>14960</v>
      </c>
      <c r="J134" s="39">
        <v>12466</v>
      </c>
      <c r="K134" s="43">
        <f t="shared" si="6"/>
        <v>4.2500000000000003E-2</v>
      </c>
      <c r="L134" s="37" t="s">
        <v>1907</v>
      </c>
      <c r="M134" s="40">
        <v>45544</v>
      </c>
      <c r="N134" s="33" t="s">
        <v>57</v>
      </c>
      <c r="O134" s="41">
        <v>352000</v>
      </c>
      <c r="P134" s="34">
        <f t="shared" si="7"/>
        <v>1869.9</v>
      </c>
      <c r="Q134" s="36">
        <f t="shared" si="8"/>
        <v>124.66</v>
      </c>
      <c r="R134" s="35">
        <v>500</v>
      </c>
    </row>
    <row r="135" spans="1:18" x14ac:dyDescent="0.25">
      <c r="A135" s="37" t="s">
        <v>272</v>
      </c>
      <c r="B135" s="37"/>
      <c r="C135" s="37" t="s">
        <v>32</v>
      </c>
      <c r="D135" s="37" t="s">
        <v>36</v>
      </c>
      <c r="E135" s="38">
        <v>45910</v>
      </c>
      <c r="F135" s="38">
        <v>46275</v>
      </c>
      <c r="G135" s="37" t="s">
        <v>1205</v>
      </c>
      <c r="H135" s="37" t="s">
        <v>60</v>
      </c>
      <c r="I135" s="39">
        <v>14960</v>
      </c>
      <c r="J135" s="39">
        <v>12466</v>
      </c>
      <c r="K135" s="43">
        <f t="shared" si="6"/>
        <v>4.2500000000000003E-2</v>
      </c>
      <c r="L135" s="37" t="s">
        <v>1907</v>
      </c>
      <c r="M135" s="40">
        <v>45544</v>
      </c>
      <c r="N135" s="33" t="s">
        <v>57</v>
      </c>
      <c r="O135" s="41">
        <v>352000</v>
      </c>
      <c r="P135" s="34">
        <f t="shared" si="7"/>
        <v>1869.9</v>
      </c>
      <c r="Q135" s="36">
        <f t="shared" si="8"/>
        <v>124.66</v>
      </c>
      <c r="R135" s="35">
        <v>500</v>
      </c>
    </row>
    <row r="136" spans="1:18" x14ac:dyDescent="0.25">
      <c r="A136" s="37" t="s">
        <v>273</v>
      </c>
      <c r="B136" s="37"/>
      <c r="C136" s="37" t="s">
        <v>53</v>
      </c>
      <c r="D136" s="37" t="s">
        <v>2582</v>
      </c>
      <c r="E136" s="38">
        <v>45545</v>
      </c>
      <c r="F136" s="38">
        <v>45910</v>
      </c>
      <c r="G136" s="37" t="s">
        <v>1206</v>
      </c>
      <c r="H136" s="37" t="s">
        <v>60</v>
      </c>
      <c r="I136" s="39">
        <v>8800</v>
      </c>
      <c r="J136" s="39">
        <v>7155</v>
      </c>
      <c r="K136" s="43">
        <f t="shared" si="6"/>
        <v>2.5000000000000001E-2</v>
      </c>
      <c r="L136" s="37" t="s">
        <v>1908</v>
      </c>
      <c r="M136" s="40">
        <v>45545</v>
      </c>
      <c r="N136" s="33" t="s">
        <v>57</v>
      </c>
      <c r="O136" s="41">
        <v>352000</v>
      </c>
      <c r="P136" s="34">
        <f t="shared" si="7"/>
        <v>1073.25</v>
      </c>
      <c r="Q136" s="36">
        <f t="shared" si="8"/>
        <v>71.55</v>
      </c>
      <c r="R136" s="35">
        <v>500</v>
      </c>
    </row>
    <row r="137" spans="1:18" x14ac:dyDescent="0.25">
      <c r="A137" s="37" t="s">
        <v>274</v>
      </c>
      <c r="B137" s="37"/>
      <c r="C137" s="37" t="s">
        <v>31</v>
      </c>
      <c r="D137" s="37" t="s">
        <v>36</v>
      </c>
      <c r="E137" s="38">
        <v>45545</v>
      </c>
      <c r="F137" s="38">
        <v>45910</v>
      </c>
      <c r="G137" s="37" t="s">
        <v>73</v>
      </c>
      <c r="H137" s="37" t="s">
        <v>62</v>
      </c>
      <c r="I137" s="39">
        <v>23248</v>
      </c>
      <c r="J137" s="39">
        <v>19610</v>
      </c>
      <c r="K137" s="43">
        <f t="shared" si="6"/>
        <v>4.2500914076782449E-2</v>
      </c>
      <c r="L137" s="37" t="s">
        <v>1909</v>
      </c>
      <c r="M137" s="40">
        <v>45545</v>
      </c>
      <c r="N137" s="33" t="s">
        <v>57</v>
      </c>
      <c r="O137" s="41">
        <v>547000</v>
      </c>
      <c r="P137" s="34">
        <f t="shared" si="7"/>
        <v>2941.5</v>
      </c>
      <c r="Q137" s="36">
        <f t="shared" si="8"/>
        <v>196.1</v>
      </c>
      <c r="R137" s="35">
        <v>500</v>
      </c>
    </row>
    <row r="138" spans="1:18" x14ac:dyDescent="0.25">
      <c r="A138" s="37" t="s">
        <v>275</v>
      </c>
      <c r="B138" s="37"/>
      <c r="C138" s="37" t="s">
        <v>31</v>
      </c>
      <c r="D138" s="37" t="s">
        <v>36</v>
      </c>
      <c r="E138" s="38">
        <v>45911</v>
      </c>
      <c r="F138" s="38">
        <v>46276</v>
      </c>
      <c r="G138" s="37" t="s">
        <v>73</v>
      </c>
      <c r="H138" s="37" t="s">
        <v>62</v>
      </c>
      <c r="I138" s="39">
        <v>23248</v>
      </c>
      <c r="J138" s="39">
        <v>19610</v>
      </c>
      <c r="K138" s="43">
        <f t="shared" si="6"/>
        <v>4.2500914076782449E-2</v>
      </c>
      <c r="L138" s="37" t="s">
        <v>1909</v>
      </c>
      <c r="M138" s="40">
        <v>45545</v>
      </c>
      <c r="N138" s="33" t="s">
        <v>57</v>
      </c>
      <c r="O138" s="41">
        <v>547000</v>
      </c>
      <c r="P138" s="34">
        <f t="shared" si="7"/>
        <v>2941.5</v>
      </c>
      <c r="Q138" s="36">
        <f t="shared" si="8"/>
        <v>196.1</v>
      </c>
      <c r="R138" s="35">
        <v>500</v>
      </c>
    </row>
    <row r="139" spans="1:18" x14ac:dyDescent="0.25">
      <c r="A139" s="37" t="s">
        <v>276</v>
      </c>
      <c r="B139" s="37"/>
      <c r="C139" s="37" t="s">
        <v>53</v>
      </c>
      <c r="D139" s="37" t="s">
        <v>2582</v>
      </c>
      <c r="E139" s="38">
        <v>45545</v>
      </c>
      <c r="F139" s="38">
        <v>45910</v>
      </c>
      <c r="G139" s="37" t="s">
        <v>1207</v>
      </c>
      <c r="H139" s="37" t="s">
        <v>60</v>
      </c>
      <c r="I139" s="39">
        <v>8800</v>
      </c>
      <c r="J139" s="39">
        <v>7155</v>
      </c>
      <c r="K139" s="43">
        <f t="shared" si="6"/>
        <v>2.5000000000000001E-2</v>
      </c>
      <c r="L139" s="37" t="s">
        <v>1910</v>
      </c>
      <c r="M139" s="40">
        <v>45545</v>
      </c>
      <c r="N139" s="33" t="s">
        <v>57</v>
      </c>
      <c r="O139" s="41">
        <v>352000</v>
      </c>
      <c r="P139" s="34">
        <f t="shared" si="7"/>
        <v>1073.25</v>
      </c>
      <c r="Q139" s="36">
        <f t="shared" si="8"/>
        <v>71.55</v>
      </c>
      <c r="R139" s="35">
        <v>500</v>
      </c>
    </row>
    <row r="140" spans="1:18" x14ac:dyDescent="0.25">
      <c r="A140" s="37" t="s">
        <v>277</v>
      </c>
      <c r="B140" s="37"/>
      <c r="C140" s="37" t="s">
        <v>35</v>
      </c>
      <c r="D140" s="37" t="s">
        <v>36</v>
      </c>
      <c r="E140" s="38">
        <v>45545</v>
      </c>
      <c r="F140" s="38">
        <v>45910</v>
      </c>
      <c r="G140" s="37" t="s">
        <v>1208</v>
      </c>
      <c r="H140" s="37" t="s">
        <v>62</v>
      </c>
      <c r="I140" s="39">
        <v>23248</v>
      </c>
      <c r="J140" s="39">
        <v>19610</v>
      </c>
      <c r="K140" s="43">
        <f t="shared" si="6"/>
        <v>4.2500914076782449E-2</v>
      </c>
      <c r="L140" s="37" t="s">
        <v>1911</v>
      </c>
      <c r="M140" s="40">
        <v>45545</v>
      </c>
      <c r="N140" s="33" t="s">
        <v>57</v>
      </c>
      <c r="O140" s="41">
        <v>547000</v>
      </c>
      <c r="P140" s="34">
        <f t="shared" si="7"/>
        <v>2941.5</v>
      </c>
      <c r="Q140" s="36">
        <f t="shared" si="8"/>
        <v>196.1</v>
      </c>
      <c r="R140" s="35">
        <v>500</v>
      </c>
    </row>
    <row r="141" spans="1:18" x14ac:dyDescent="0.25">
      <c r="A141" s="37" t="s">
        <v>278</v>
      </c>
      <c r="B141" s="37"/>
      <c r="C141" s="37" t="s">
        <v>32</v>
      </c>
      <c r="D141" s="37" t="s">
        <v>36</v>
      </c>
      <c r="E141" s="38">
        <v>45545</v>
      </c>
      <c r="F141" s="38">
        <v>45910</v>
      </c>
      <c r="G141" s="37" t="s">
        <v>1209</v>
      </c>
      <c r="H141" s="37" t="s">
        <v>60</v>
      </c>
      <c r="I141" s="39">
        <v>14960</v>
      </c>
      <c r="J141" s="39">
        <v>12466</v>
      </c>
      <c r="K141" s="43">
        <f t="shared" si="6"/>
        <v>4.2500000000000003E-2</v>
      </c>
      <c r="L141" s="37" t="s">
        <v>1912</v>
      </c>
      <c r="M141" s="40">
        <v>45545</v>
      </c>
      <c r="N141" s="33" t="s">
        <v>57</v>
      </c>
      <c r="O141" s="41">
        <v>352000</v>
      </c>
      <c r="P141" s="34">
        <f t="shared" si="7"/>
        <v>1869.9</v>
      </c>
      <c r="Q141" s="36">
        <f t="shared" si="8"/>
        <v>124.66</v>
      </c>
      <c r="R141" s="35">
        <v>500</v>
      </c>
    </row>
    <row r="142" spans="1:18" x14ac:dyDescent="0.25">
      <c r="A142" s="37" t="s">
        <v>279</v>
      </c>
      <c r="B142" s="37"/>
      <c r="C142" s="37" t="s">
        <v>32</v>
      </c>
      <c r="D142" s="37" t="s">
        <v>36</v>
      </c>
      <c r="E142" s="38">
        <v>45911</v>
      </c>
      <c r="F142" s="38">
        <v>46276</v>
      </c>
      <c r="G142" s="37" t="s">
        <v>1209</v>
      </c>
      <c r="H142" s="37" t="s">
        <v>60</v>
      </c>
      <c r="I142" s="39">
        <v>14960</v>
      </c>
      <c r="J142" s="39">
        <v>12466</v>
      </c>
      <c r="K142" s="43">
        <f t="shared" si="6"/>
        <v>4.2500000000000003E-2</v>
      </c>
      <c r="L142" s="37" t="s">
        <v>1912</v>
      </c>
      <c r="M142" s="40">
        <v>45545</v>
      </c>
      <c r="N142" s="33" t="s">
        <v>57</v>
      </c>
      <c r="O142" s="41">
        <v>352000</v>
      </c>
      <c r="P142" s="34">
        <f t="shared" si="7"/>
        <v>1869.9</v>
      </c>
      <c r="Q142" s="36">
        <f t="shared" si="8"/>
        <v>124.66</v>
      </c>
      <c r="R142" s="35">
        <v>500</v>
      </c>
    </row>
    <row r="143" spans="1:18" x14ac:dyDescent="0.25">
      <c r="A143" s="37" t="s">
        <v>280</v>
      </c>
      <c r="B143" s="37"/>
      <c r="C143" s="37" t="s">
        <v>32</v>
      </c>
      <c r="D143" s="37" t="s">
        <v>36</v>
      </c>
      <c r="E143" s="38">
        <v>45545</v>
      </c>
      <c r="F143" s="38">
        <v>45910</v>
      </c>
      <c r="G143" s="37" t="s">
        <v>1098</v>
      </c>
      <c r="H143" s="37" t="s">
        <v>61</v>
      </c>
      <c r="I143" s="39">
        <v>16235</v>
      </c>
      <c r="J143" s="39">
        <v>13565</v>
      </c>
      <c r="K143" s="43">
        <f t="shared" si="6"/>
        <v>4.2500000000000003E-2</v>
      </c>
      <c r="L143" s="37" t="s">
        <v>1913</v>
      </c>
      <c r="M143" s="40">
        <v>45545</v>
      </c>
      <c r="N143" s="33" t="s">
        <v>57</v>
      </c>
      <c r="O143" s="41">
        <v>382000</v>
      </c>
      <c r="P143" s="34">
        <f t="shared" si="7"/>
        <v>2034.75</v>
      </c>
      <c r="Q143" s="36">
        <f t="shared" si="8"/>
        <v>135.65</v>
      </c>
      <c r="R143" s="35">
        <v>500</v>
      </c>
    </row>
    <row r="144" spans="1:18" x14ac:dyDescent="0.25">
      <c r="A144" s="37" t="s">
        <v>281</v>
      </c>
      <c r="B144" s="37"/>
      <c r="C144" s="37" t="s">
        <v>32</v>
      </c>
      <c r="D144" s="37" t="s">
        <v>36</v>
      </c>
      <c r="E144" s="38">
        <v>45911</v>
      </c>
      <c r="F144" s="38">
        <v>46276</v>
      </c>
      <c r="G144" s="37" t="s">
        <v>1098</v>
      </c>
      <c r="H144" s="37" t="s">
        <v>61</v>
      </c>
      <c r="I144" s="39">
        <v>16235</v>
      </c>
      <c r="J144" s="39">
        <v>13565</v>
      </c>
      <c r="K144" s="43">
        <f t="shared" si="6"/>
        <v>4.2500000000000003E-2</v>
      </c>
      <c r="L144" s="37" t="s">
        <v>1913</v>
      </c>
      <c r="M144" s="40">
        <v>45545</v>
      </c>
      <c r="N144" s="33" t="s">
        <v>57</v>
      </c>
      <c r="O144" s="41">
        <v>382000</v>
      </c>
      <c r="P144" s="34">
        <f t="shared" si="7"/>
        <v>2034.75</v>
      </c>
      <c r="Q144" s="36">
        <f t="shared" si="8"/>
        <v>135.65</v>
      </c>
      <c r="R144" s="35">
        <v>500</v>
      </c>
    </row>
    <row r="145" spans="1:18" x14ac:dyDescent="0.25">
      <c r="A145" s="37" t="s">
        <v>282</v>
      </c>
      <c r="B145" s="37"/>
      <c r="C145" s="37" t="s">
        <v>32</v>
      </c>
      <c r="D145" s="37" t="s">
        <v>36</v>
      </c>
      <c r="E145" s="38">
        <v>45545</v>
      </c>
      <c r="F145" s="38">
        <v>45910</v>
      </c>
      <c r="G145" s="37" t="s">
        <v>1210</v>
      </c>
      <c r="H145" s="37" t="s">
        <v>61</v>
      </c>
      <c r="I145" s="39">
        <v>16235</v>
      </c>
      <c r="J145" s="39">
        <v>13565</v>
      </c>
      <c r="K145" s="43">
        <f t="shared" si="6"/>
        <v>4.2500000000000003E-2</v>
      </c>
      <c r="L145" s="37" t="s">
        <v>1914</v>
      </c>
      <c r="M145" s="40">
        <v>45545</v>
      </c>
      <c r="N145" s="33" t="s">
        <v>57</v>
      </c>
      <c r="O145" s="41">
        <v>382000</v>
      </c>
      <c r="P145" s="34">
        <f t="shared" si="7"/>
        <v>2034.75</v>
      </c>
      <c r="Q145" s="36">
        <f t="shared" si="8"/>
        <v>135.65</v>
      </c>
      <c r="R145" s="35">
        <v>500</v>
      </c>
    </row>
    <row r="146" spans="1:18" x14ac:dyDescent="0.25">
      <c r="A146" s="37" t="s">
        <v>283</v>
      </c>
      <c r="B146" s="37"/>
      <c r="C146" s="37" t="s">
        <v>32</v>
      </c>
      <c r="D146" s="37" t="s">
        <v>36</v>
      </c>
      <c r="E146" s="38">
        <v>45911</v>
      </c>
      <c r="F146" s="38">
        <v>46276</v>
      </c>
      <c r="G146" s="37" t="s">
        <v>1210</v>
      </c>
      <c r="H146" s="37" t="s">
        <v>61</v>
      </c>
      <c r="I146" s="39">
        <v>16235</v>
      </c>
      <c r="J146" s="39">
        <v>13565</v>
      </c>
      <c r="K146" s="43">
        <f t="shared" si="6"/>
        <v>4.2500000000000003E-2</v>
      </c>
      <c r="L146" s="37" t="s">
        <v>1914</v>
      </c>
      <c r="M146" s="40">
        <v>45545</v>
      </c>
      <c r="N146" s="33" t="s">
        <v>57</v>
      </c>
      <c r="O146" s="41">
        <v>382000</v>
      </c>
      <c r="P146" s="34">
        <f t="shared" si="7"/>
        <v>2034.75</v>
      </c>
      <c r="Q146" s="36">
        <f t="shared" si="8"/>
        <v>135.65</v>
      </c>
      <c r="R146" s="35">
        <v>500</v>
      </c>
    </row>
    <row r="147" spans="1:18" x14ac:dyDescent="0.25">
      <c r="A147" s="37" t="s">
        <v>284</v>
      </c>
      <c r="B147" s="37"/>
      <c r="C147" s="37" t="s">
        <v>31</v>
      </c>
      <c r="D147" s="37" t="s">
        <v>36</v>
      </c>
      <c r="E147" s="38">
        <v>45545</v>
      </c>
      <c r="F147" s="38">
        <v>45910</v>
      </c>
      <c r="G147" s="37" t="s">
        <v>77</v>
      </c>
      <c r="H147" s="37" t="s">
        <v>62</v>
      </c>
      <c r="I147" s="39">
        <v>23248</v>
      </c>
      <c r="J147" s="39">
        <v>19610</v>
      </c>
      <c r="K147" s="43">
        <f t="shared" si="6"/>
        <v>4.2500914076782449E-2</v>
      </c>
      <c r="L147" s="37" t="s">
        <v>1915</v>
      </c>
      <c r="M147" s="40">
        <v>45545</v>
      </c>
      <c r="N147" s="33" t="s">
        <v>57</v>
      </c>
      <c r="O147" s="41">
        <v>547000</v>
      </c>
      <c r="P147" s="34">
        <f t="shared" si="7"/>
        <v>2941.5</v>
      </c>
      <c r="Q147" s="36">
        <f t="shared" si="8"/>
        <v>196.1</v>
      </c>
      <c r="R147" s="35">
        <v>500</v>
      </c>
    </row>
    <row r="148" spans="1:18" x14ac:dyDescent="0.25">
      <c r="A148" s="37" t="s">
        <v>285</v>
      </c>
      <c r="B148" s="37"/>
      <c r="C148" s="37" t="s">
        <v>32</v>
      </c>
      <c r="D148" s="37" t="s">
        <v>36</v>
      </c>
      <c r="E148" s="38">
        <v>45545</v>
      </c>
      <c r="F148" s="38">
        <v>45910</v>
      </c>
      <c r="G148" s="37" t="s">
        <v>1211</v>
      </c>
      <c r="H148" s="37" t="s">
        <v>61</v>
      </c>
      <c r="I148" s="39">
        <v>16235</v>
      </c>
      <c r="J148" s="39">
        <v>13565</v>
      </c>
      <c r="K148" s="43">
        <f t="shared" si="6"/>
        <v>4.2500000000000003E-2</v>
      </c>
      <c r="L148" s="37" t="s">
        <v>1916</v>
      </c>
      <c r="M148" s="40">
        <v>45545</v>
      </c>
      <c r="N148" s="33" t="s">
        <v>57</v>
      </c>
      <c r="O148" s="41">
        <v>382000</v>
      </c>
      <c r="P148" s="34">
        <f t="shared" si="7"/>
        <v>2034.75</v>
      </c>
      <c r="Q148" s="36">
        <f t="shared" si="8"/>
        <v>135.65</v>
      </c>
      <c r="R148" s="35">
        <v>500</v>
      </c>
    </row>
    <row r="149" spans="1:18" x14ac:dyDescent="0.25">
      <c r="A149" s="37" t="s">
        <v>286</v>
      </c>
      <c r="B149" s="37"/>
      <c r="C149" s="37" t="s">
        <v>32</v>
      </c>
      <c r="D149" s="37" t="s">
        <v>36</v>
      </c>
      <c r="E149" s="38">
        <v>45545</v>
      </c>
      <c r="F149" s="38">
        <v>45910</v>
      </c>
      <c r="G149" s="37" t="s">
        <v>1212</v>
      </c>
      <c r="H149" s="37" t="s">
        <v>60</v>
      </c>
      <c r="I149" s="39">
        <v>14960</v>
      </c>
      <c r="J149" s="39">
        <v>12466</v>
      </c>
      <c r="K149" s="43">
        <f t="shared" si="6"/>
        <v>4.2500000000000003E-2</v>
      </c>
      <c r="L149" s="37" t="s">
        <v>1917</v>
      </c>
      <c r="M149" s="40">
        <v>45545</v>
      </c>
      <c r="N149" s="33" t="s">
        <v>57</v>
      </c>
      <c r="O149" s="41">
        <v>352000</v>
      </c>
      <c r="P149" s="34">
        <f t="shared" si="7"/>
        <v>1869.9</v>
      </c>
      <c r="Q149" s="36">
        <f t="shared" si="8"/>
        <v>124.66</v>
      </c>
      <c r="R149" s="35">
        <v>500</v>
      </c>
    </row>
    <row r="150" spans="1:18" x14ac:dyDescent="0.25">
      <c r="A150" s="37" t="s">
        <v>287</v>
      </c>
      <c r="B150" s="37"/>
      <c r="C150" s="37" t="s">
        <v>32</v>
      </c>
      <c r="D150" s="37" t="s">
        <v>36</v>
      </c>
      <c r="E150" s="38">
        <v>45545</v>
      </c>
      <c r="F150" s="38">
        <v>45910</v>
      </c>
      <c r="G150" s="37" t="s">
        <v>1213</v>
      </c>
      <c r="H150" s="37" t="s">
        <v>63</v>
      </c>
      <c r="I150" s="39">
        <v>21208</v>
      </c>
      <c r="J150" s="39">
        <v>17852</v>
      </c>
      <c r="K150" s="43">
        <f t="shared" si="6"/>
        <v>4.2501002004008019E-2</v>
      </c>
      <c r="L150" s="37" t="s">
        <v>1918</v>
      </c>
      <c r="M150" s="40">
        <v>45545</v>
      </c>
      <c r="N150" s="33" t="s">
        <v>57</v>
      </c>
      <c r="O150" s="41">
        <v>499000</v>
      </c>
      <c r="P150" s="34">
        <f t="shared" si="7"/>
        <v>2677.8</v>
      </c>
      <c r="Q150" s="36">
        <f t="shared" si="8"/>
        <v>178.52</v>
      </c>
      <c r="R150" s="35">
        <v>500</v>
      </c>
    </row>
    <row r="151" spans="1:18" x14ac:dyDescent="0.25">
      <c r="A151" s="37" t="s">
        <v>288</v>
      </c>
      <c r="B151" s="37"/>
      <c r="C151" s="37" t="s">
        <v>32</v>
      </c>
      <c r="D151" s="37" t="s">
        <v>36</v>
      </c>
      <c r="E151" s="38">
        <v>45911</v>
      </c>
      <c r="F151" s="38">
        <v>46276</v>
      </c>
      <c r="G151" s="37" t="s">
        <v>1213</v>
      </c>
      <c r="H151" s="37" t="s">
        <v>63</v>
      </c>
      <c r="I151" s="39">
        <v>21208</v>
      </c>
      <c r="J151" s="39">
        <v>17852</v>
      </c>
      <c r="K151" s="43">
        <f t="shared" si="6"/>
        <v>4.2501002004008019E-2</v>
      </c>
      <c r="L151" s="37" t="s">
        <v>1918</v>
      </c>
      <c r="M151" s="40">
        <v>45545</v>
      </c>
      <c r="N151" s="33" t="s">
        <v>57</v>
      </c>
      <c r="O151" s="41">
        <v>499000</v>
      </c>
      <c r="P151" s="34">
        <f t="shared" si="7"/>
        <v>2677.8</v>
      </c>
      <c r="Q151" s="36">
        <f t="shared" si="8"/>
        <v>178.52</v>
      </c>
      <c r="R151" s="35">
        <v>500</v>
      </c>
    </row>
    <row r="152" spans="1:18" x14ac:dyDescent="0.25">
      <c r="A152" s="37" t="s">
        <v>289</v>
      </c>
      <c r="B152" s="37"/>
      <c r="C152" s="37" t="s">
        <v>32</v>
      </c>
      <c r="D152" s="37" t="s">
        <v>36</v>
      </c>
      <c r="E152" s="38">
        <v>45545</v>
      </c>
      <c r="F152" s="38">
        <v>45910</v>
      </c>
      <c r="G152" s="37" t="s">
        <v>1214</v>
      </c>
      <c r="H152" s="37" t="s">
        <v>61</v>
      </c>
      <c r="I152" s="39">
        <v>16235</v>
      </c>
      <c r="J152" s="39">
        <v>13565</v>
      </c>
      <c r="K152" s="43">
        <f t="shared" si="6"/>
        <v>4.2500000000000003E-2</v>
      </c>
      <c r="L152" s="37" t="s">
        <v>1919</v>
      </c>
      <c r="M152" s="40">
        <v>45545</v>
      </c>
      <c r="N152" s="33" t="s">
        <v>57</v>
      </c>
      <c r="O152" s="41">
        <v>382000</v>
      </c>
      <c r="P152" s="34">
        <f t="shared" si="7"/>
        <v>2034.75</v>
      </c>
      <c r="Q152" s="36">
        <f t="shared" si="8"/>
        <v>135.65</v>
      </c>
      <c r="R152" s="35">
        <v>500</v>
      </c>
    </row>
    <row r="153" spans="1:18" x14ac:dyDescent="0.25">
      <c r="A153" s="37" t="s">
        <v>290</v>
      </c>
      <c r="B153" s="37"/>
      <c r="C153" s="37" t="s">
        <v>30</v>
      </c>
      <c r="D153" s="37" t="s">
        <v>36</v>
      </c>
      <c r="E153" s="38">
        <v>45545</v>
      </c>
      <c r="F153" s="38">
        <v>45910</v>
      </c>
      <c r="G153" s="37" t="s">
        <v>1215</v>
      </c>
      <c r="H153" s="37" t="s">
        <v>60</v>
      </c>
      <c r="I153" s="39">
        <v>14960</v>
      </c>
      <c r="J153" s="39">
        <v>12466</v>
      </c>
      <c r="K153" s="43">
        <f t="shared" si="6"/>
        <v>4.2500000000000003E-2</v>
      </c>
      <c r="L153" s="37" t="s">
        <v>1920</v>
      </c>
      <c r="M153" s="40">
        <v>45545</v>
      </c>
      <c r="N153" s="33" t="s">
        <v>57</v>
      </c>
      <c r="O153" s="41">
        <v>352000</v>
      </c>
      <c r="P153" s="34">
        <f t="shared" si="7"/>
        <v>1869.9</v>
      </c>
      <c r="Q153" s="36">
        <f t="shared" si="8"/>
        <v>124.66</v>
      </c>
      <c r="R153" s="35">
        <v>500</v>
      </c>
    </row>
    <row r="154" spans="1:18" x14ac:dyDescent="0.25">
      <c r="A154" s="37" t="s">
        <v>291</v>
      </c>
      <c r="B154" s="37"/>
      <c r="C154" s="37" t="s">
        <v>30</v>
      </c>
      <c r="D154" s="37" t="s">
        <v>36</v>
      </c>
      <c r="E154" s="38">
        <v>45911</v>
      </c>
      <c r="F154" s="38">
        <v>46276</v>
      </c>
      <c r="G154" s="37" t="s">
        <v>1215</v>
      </c>
      <c r="H154" s="37" t="s">
        <v>60</v>
      </c>
      <c r="I154" s="39">
        <v>14960</v>
      </c>
      <c r="J154" s="39">
        <v>12466</v>
      </c>
      <c r="K154" s="43">
        <f t="shared" si="6"/>
        <v>4.2500000000000003E-2</v>
      </c>
      <c r="L154" s="37" t="s">
        <v>1920</v>
      </c>
      <c r="M154" s="40">
        <v>45545</v>
      </c>
      <c r="N154" s="33" t="s">
        <v>57</v>
      </c>
      <c r="O154" s="41">
        <v>352000</v>
      </c>
      <c r="P154" s="34">
        <f t="shared" si="7"/>
        <v>1869.9</v>
      </c>
      <c r="Q154" s="36">
        <f t="shared" si="8"/>
        <v>124.66</v>
      </c>
      <c r="R154" s="35">
        <v>500</v>
      </c>
    </row>
    <row r="155" spans="1:18" x14ac:dyDescent="0.25">
      <c r="A155" s="37" t="s">
        <v>292</v>
      </c>
      <c r="B155" s="37"/>
      <c r="C155" s="37" t="s">
        <v>66</v>
      </c>
      <c r="D155" s="37" t="s">
        <v>2582</v>
      </c>
      <c r="E155" s="38">
        <v>45545</v>
      </c>
      <c r="F155" s="38">
        <v>45910</v>
      </c>
      <c r="G155" s="37" t="s">
        <v>1216</v>
      </c>
      <c r="H155" s="37" t="s">
        <v>60</v>
      </c>
      <c r="I155" s="39">
        <v>8800</v>
      </c>
      <c r="J155" s="39">
        <v>7155</v>
      </c>
      <c r="K155" s="43">
        <f t="shared" si="6"/>
        <v>2.5000000000000001E-2</v>
      </c>
      <c r="L155" s="37" t="s">
        <v>1921</v>
      </c>
      <c r="M155" s="40">
        <v>45545</v>
      </c>
      <c r="N155" s="33" t="s">
        <v>57</v>
      </c>
      <c r="O155" s="41">
        <v>352000</v>
      </c>
      <c r="P155" s="34">
        <f t="shared" si="7"/>
        <v>1073.25</v>
      </c>
      <c r="Q155" s="36">
        <f t="shared" si="8"/>
        <v>71.55</v>
      </c>
      <c r="R155" s="35">
        <v>500</v>
      </c>
    </row>
    <row r="156" spans="1:18" x14ac:dyDescent="0.25">
      <c r="A156" s="37" t="s">
        <v>293</v>
      </c>
      <c r="B156" s="37"/>
      <c r="C156" s="37" t="s">
        <v>53</v>
      </c>
      <c r="D156" s="37" t="s">
        <v>2582</v>
      </c>
      <c r="E156" s="38">
        <v>45545</v>
      </c>
      <c r="F156" s="38">
        <v>45910</v>
      </c>
      <c r="G156" s="37" t="s">
        <v>1217</v>
      </c>
      <c r="H156" s="37" t="s">
        <v>60</v>
      </c>
      <c r="I156" s="39">
        <v>8800</v>
      </c>
      <c r="J156" s="39">
        <v>7155</v>
      </c>
      <c r="K156" s="43">
        <f t="shared" si="6"/>
        <v>2.5000000000000001E-2</v>
      </c>
      <c r="L156" s="37" t="s">
        <v>1922</v>
      </c>
      <c r="M156" s="40">
        <v>45545</v>
      </c>
      <c r="N156" s="33" t="s">
        <v>57</v>
      </c>
      <c r="O156" s="41">
        <v>352000</v>
      </c>
      <c r="P156" s="34">
        <f t="shared" si="7"/>
        <v>1073.25</v>
      </c>
      <c r="Q156" s="36">
        <f t="shared" si="8"/>
        <v>71.55</v>
      </c>
      <c r="R156" s="35">
        <v>500</v>
      </c>
    </row>
    <row r="157" spans="1:18" x14ac:dyDescent="0.25">
      <c r="A157" s="37" t="s">
        <v>294</v>
      </c>
      <c r="B157" s="37"/>
      <c r="C157" s="37" t="s">
        <v>31</v>
      </c>
      <c r="D157" s="37" t="s">
        <v>36</v>
      </c>
      <c r="E157" s="38">
        <v>45545</v>
      </c>
      <c r="F157" s="38">
        <v>45910</v>
      </c>
      <c r="G157" s="37" t="s">
        <v>1218</v>
      </c>
      <c r="H157" s="37" t="s">
        <v>61</v>
      </c>
      <c r="I157" s="39">
        <v>16235</v>
      </c>
      <c r="J157" s="39">
        <v>13565</v>
      </c>
      <c r="K157" s="43">
        <f t="shared" si="6"/>
        <v>4.2500000000000003E-2</v>
      </c>
      <c r="L157" s="37" t="s">
        <v>1923</v>
      </c>
      <c r="M157" s="40">
        <v>45545</v>
      </c>
      <c r="N157" s="33" t="s">
        <v>57</v>
      </c>
      <c r="O157" s="41">
        <v>382000</v>
      </c>
      <c r="P157" s="34">
        <f t="shared" si="7"/>
        <v>2034.75</v>
      </c>
      <c r="Q157" s="36">
        <f t="shared" si="8"/>
        <v>135.65</v>
      </c>
      <c r="R157" s="35">
        <v>500</v>
      </c>
    </row>
    <row r="158" spans="1:18" x14ac:dyDescent="0.25">
      <c r="A158" s="37" t="s">
        <v>295</v>
      </c>
      <c r="B158" s="37"/>
      <c r="C158" s="37" t="s">
        <v>31</v>
      </c>
      <c r="D158" s="37" t="s">
        <v>36</v>
      </c>
      <c r="E158" s="38">
        <v>45911</v>
      </c>
      <c r="F158" s="38">
        <v>46276</v>
      </c>
      <c r="G158" s="37" t="s">
        <v>1218</v>
      </c>
      <c r="H158" s="37" t="s">
        <v>61</v>
      </c>
      <c r="I158" s="39">
        <v>16235</v>
      </c>
      <c r="J158" s="39">
        <v>13565</v>
      </c>
      <c r="K158" s="43">
        <f t="shared" si="6"/>
        <v>4.2500000000000003E-2</v>
      </c>
      <c r="L158" s="37" t="s">
        <v>1923</v>
      </c>
      <c r="M158" s="40">
        <v>45545</v>
      </c>
      <c r="N158" s="33" t="s">
        <v>57</v>
      </c>
      <c r="O158" s="41">
        <v>382000</v>
      </c>
      <c r="P158" s="34">
        <f t="shared" si="7"/>
        <v>2034.75</v>
      </c>
      <c r="Q158" s="36">
        <f t="shared" si="8"/>
        <v>135.65</v>
      </c>
      <c r="R158" s="35">
        <v>500</v>
      </c>
    </row>
    <row r="159" spans="1:18" x14ac:dyDescent="0.25">
      <c r="A159" s="37" t="s">
        <v>296</v>
      </c>
      <c r="B159" s="37"/>
      <c r="C159" s="37" t="s">
        <v>30</v>
      </c>
      <c r="D159" s="37" t="s">
        <v>36</v>
      </c>
      <c r="E159" s="38">
        <v>45545</v>
      </c>
      <c r="F159" s="38">
        <v>45910</v>
      </c>
      <c r="G159" s="37" t="s">
        <v>1219</v>
      </c>
      <c r="H159" s="37" t="s">
        <v>62</v>
      </c>
      <c r="I159" s="39">
        <v>23248</v>
      </c>
      <c r="J159" s="39">
        <v>19610</v>
      </c>
      <c r="K159" s="43">
        <f t="shared" si="6"/>
        <v>4.2500914076782449E-2</v>
      </c>
      <c r="L159" s="37" t="s">
        <v>1924</v>
      </c>
      <c r="M159" s="40">
        <v>45545</v>
      </c>
      <c r="N159" s="33" t="s">
        <v>57</v>
      </c>
      <c r="O159" s="41">
        <v>547000</v>
      </c>
      <c r="P159" s="34">
        <f t="shared" si="7"/>
        <v>2941.5</v>
      </c>
      <c r="Q159" s="36">
        <f t="shared" si="8"/>
        <v>196.1</v>
      </c>
      <c r="R159" s="35">
        <v>500</v>
      </c>
    </row>
    <row r="160" spans="1:18" x14ac:dyDescent="0.25">
      <c r="A160" s="37" t="s">
        <v>297</v>
      </c>
      <c r="B160" s="37"/>
      <c r="C160" s="37" t="s">
        <v>30</v>
      </c>
      <c r="D160" s="37" t="s">
        <v>36</v>
      </c>
      <c r="E160" s="38">
        <v>45911</v>
      </c>
      <c r="F160" s="38">
        <v>46276</v>
      </c>
      <c r="G160" s="37" t="s">
        <v>1219</v>
      </c>
      <c r="H160" s="37" t="s">
        <v>62</v>
      </c>
      <c r="I160" s="39">
        <v>23248</v>
      </c>
      <c r="J160" s="39">
        <v>19610</v>
      </c>
      <c r="K160" s="43">
        <f t="shared" si="6"/>
        <v>4.2500914076782449E-2</v>
      </c>
      <c r="L160" s="37" t="s">
        <v>1924</v>
      </c>
      <c r="M160" s="40">
        <v>45545</v>
      </c>
      <c r="N160" s="33" t="s">
        <v>57</v>
      </c>
      <c r="O160" s="41">
        <v>547000</v>
      </c>
      <c r="P160" s="34">
        <f t="shared" si="7"/>
        <v>2941.5</v>
      </c>
      <c r="Q160" s="36">
        <f t="shared" si="8"/>
        <v>196.1</v>
      </c>
      <c r="R160" s="35">
        <v>500</v>
      </c>
    </row>
    <row r="161" spans="1:18" x14ac:dyDescent="0.25">
      <c r="A161" s="37" t="s">
        <v>298</v>
      </c>
      <c r="B161" s="37"/>
      <c r="C161" s="37" t="s">
        <v>30</v>
      </c>
      <c r="D161" s="37" t="s">
        <v>36</v>
      </c>
      <c r="E161" s="38">
        <v>45545</v>
      </c>
      <c r="F161" s="38">
        <v>45910</v>
      </c>
      <c r="G161" s="37" t="s">
        <v>1220</v>
      </c>
      <c r="H161" s="37" t="s">
        <v>60</v>
      </c>
      <c r="I161" s="39">
        <v>14960</v>
      </c>
      <c r="J161" s="39">
        <v>12466</v>
      </c>
      <c r="K161" s="43">
        <f t="shared" si="6"/>
        <v>4.2500000000000003E-2</v>
      </c>
      <c r="L161" s="37" t="s">
        <v>1925</v>
      </c>
      <c r="M161" s="40">
        <v>45545</v>
      </c>
      <c r="N161" s="33" t="s">
        <v>57</v>
      </c>
      <c r="O161" s="41">
        <v>352000</v>
      </c>
      <c r="P161" s="34">
        <f t="shared" si="7"/>
        <v>1869.9</v>
      </c>
      <c r="Q161" s="36">
        <f t="shared" si="8"/>
        <v>124.66</v>
      </c>
      <c r="R161" s="35">
        <v>500</v>
      </c>
    </row>
    <row r="162" spans="1:18" x14ac:dyDescent="0.25">
      <c r="A162" s="37" t="s">
        <v>299</v>
      </c>
      <c r="B162" s="37"/>
      <c r="C162" s="37" t="s">
        <v>30</v>
      </c>
      <c r="D162" s="37" t="s">
        <v>36</v>
      </c>
      <c r="E162" s="38">
        <v>45911</v>
      </c>
      <c r="F162" s="38">
        <v>46276</v>
      </c>
      <c r="G162" s="37" t="s">
        <v>1220</v>
      </c>
      <c r="H162" s="37" t="s">
        <v>60</v>
      </c>
      <c r="I162" s="39">
        <v>14960</v>
      </c>
      <c r="J162" s="39">
        <v>12466</v>
      </c>
      <c r="K162" s="43">
        <f t="shared" si="6"/>
        <v>4.2500000000000003E-2</v>
      </c>
      <c r="L162" s="37" t="s">
        <v>1925</v>
      </c>
      <c r="M162" s="40">
        <v>45545</v>
      </c>
      <c r="N162" s="33" t="s">
        <v>57</v>
      </c>
      <c r="O162" s="41">
        <v>352000</v>
      </c>
      <c r="P162" s="34">
        <f t="shared" si="7"/>
        <v>1869.9</v>
      </c>
      <c r="Q162" s="36">
        <f t="shared" si="8"/>
        <v>124.66</v>
      </c>
      <c r="R162" s="35">
        <v>500</v>
      </c>
    </row>
    <row r="163" spans="1:18" x14ac:dyDescent="0.25">
      <c r="A163" s="37" t="s">
        <v>300</v>
      </c>
      <c r="B163" s="37"/>
      <c r="C163" s="37" t="s">
        <v>66</v>
      </c>
      <c r="D163" s="37" t="s">
        <v>2582</v>
      </c>
      <c r="E163" s="38">
        <v>45545</v>
      </c>
      <c r="F163" s="38">
        <v>45910</v>
      </c>
      <c r="G163" s="37" t="s">
        <v>1221</v>
      </c>
      <c r="H163" s="37" t="s">
        <v>60</v>
      </c>
      <c r="I163" s="39">
        <v>8800</v>
      </c>
      <c r="J163" s="39">
        <v>7155</v>
      </c>
      <c r="K163" s="43">
        <f t="shared" si="6"/>
        <v>2.5000000000000001E-2</v>
      </c>
      <c r="L163" s="37" t="s">
        <v>1926</v>
      </c>
      <c r="M163" s="40">
        <v>45545</v>
      </c>
      <c r="N163" s="33" t="s">
        <v>57</v>
      </c>
      <c r="O163" s="41">
        <v>352000</v>
      </c>
      <c r="P163" s="34">
        <f t="shared" si="7"/>
        <v>1073.25</v>
      </c>
      <c r="Q163" s="36">
        <f t="shared" si="8"/>
        <v>71.55</v>
      </c>
      <c r="R163" s="35">
        <v>500</v>
      </c>
    </row>
    <row r="164" spans="1:18" x14ac:dyDescent="0.25">
      <c r="A164" s="37" t="s">
        <v>301</v>
      </c>
      <c r="B164" s="37"/>
      <c r="C164" s="37" t="s">
        <v>66</v>
      </c>
      <c r="D164" s="37" t="s">
        <v>2582</v>
      </c>
      <c r="E164" s="38">
        <v>45545</v>
      </c>
      <c r="F164" s="38">
        <v>45910</v>
      </c>
      <c r="G164" s="37" t="s">
        <v>1222</v>
      </c>
      <c r="H164" s="37" t="s">
        <v>61</v>
      </c>
      <c r="I164" s="39">
        <v>9550</v>
      </c>
      <c r="J164" s="39">
        <v>7802</v>
      </c>
      <c r="K164" s="43">
        <f t="shared" si="6"/>
        <v>2.5000000000000001E-2</v>
      </c>
      <c r="L164" s="37" t="s">
        <v>1927</v>
      </c>
      <c r="M164" s="40">
        <v>45545</v>
      </c>
      <c r="N164" s="33" t="s">
        <v>57</v>
      </c>
      <c r="O164" s="41">
        <v>382000</v>
      </c>
      <c r="P164" s="34">
        <f t="shared" si="7"/>
        <v>1170.3</v>
      </c>
      <c r="Q164" s="36">
        <f t="shared" si="8"/>
        <v>78.02</v>
      </c>
      <c r="R164" s="35">
        <v>500</v>
      </c>
    </row>
    <row r="165" spans="1:18" x14ac:dyDescent="0.25">
      <c r="A165" s="37" t="s">
        <v>302</v>
      </c>
      <c r="B165" s="37"/>
      <c r="C165" s="37" t="s">
        <v>66</v>
      </c>
      <c r="D165" s="37" t="s">
        <v>2582</v>
      </c>
      <c r="E165" s="38">
        <v>45545</v>
      </c>
      <c r="F165" s="38">
        <v>45910</v>
      </c>
      <c r="G165" s="37" t="s">
        <v>132</v>
      </c>
      <c r="H165" s="37" t="s">
        <v>60</v>
      </c>
      <c r="I165" s="39">
        <v>8800</v>
      </c>
      <c r="J165" s="39">
        <v>7155</v>
      </c>
      <c r="K165" s="43">
        <f t="shared" si="6"/>
        <v>2.5000000000000001E-2</v>
      </c>
      <c r="L165" s="37" t="s">
        <v>1928</v>
      </c>
      <c r="M165" s="40">
        <v>45545</v>
      </c>
      <c r="N165" s="33" t="s">
        <v>57</v>
      </c>
      <c r="O165" s="41">
        <v>352000</v>
      </c>
      <c r="P165" s="34">
        <f t="shared" si="7"/>
        <v>1073.25</v>
      </c>
      <c r="Q165" s="36">
        <f t="shared" si="8"/>
        <v>71.55</v>
      </c>
      <c r="R165" s="35">
        <v>500</v>
      </c>
    </row>
    <row r="166" spans="1:18" x14ac:dyDescent="0.25">
      <c r="A166" s="37" t="s">
        <v>303</v>
      </c>
      <c r="B166" s="37"/>
      <c r="C166" s="37" t="s">
        <v>66</v>
      </c>
      <c r="D166" s="37" t="s">
        <v>2582</v>
      </c>
      <c r="E166" s="38">
        <v>45545</v>
      </c>
      <c r="F166" s="38">
        <v>45910</v>
      </c>
      <c r="G166" s="37" t="s">
        <v>1223</v>
      </c>
      <c r="H166" s="37" t="s">
        <v>60</v>
      </c>
      <c r="I166" s="39">
        <v>8800</v>
      </c>
      <c r="J166" s="39">
        <v>7155</v>
      </c>
      <c r="K166" s="43">
        <f t="shared" si="6"/>
        <v>2.5000000000000001E-2</v>
      </c>
      <c r="L166" s="37" t="s">
        <v>1929</v>
      </c>
      <c r="M166" s="40">
        <v>45545</v>
      </c>
      <c r="N166" s="33" t="s">
        <v>57</v>
      </c>
      <c r="O166" s="41">
        <v>352000</v>
      </c>
      <c r="P166" s="34">
        <f t="shared" si="7"/>
        <v>1073.25</v>
      </c>
      <c r="Q166" s="36">
        <f t="shared" si="8"/>
        <v>71.55</v>
      </c>
      <c r="R166" s="35">
        <v>500</v>
      </c>
    </row>
    <row r="167" spans="1:18" x14ac:dyDescent="0.25">
      <c r="A167" s="37" t="s">
        <v>304</v>
      </c>
      <c r="B167" s="37"/>
      <c r="C167" s="37" t="s">
        <v>33</v>
      </c>
      <c r="D167" s="37" t="s">
        <v>36</v>
      </c>
      <c r="E167" s="38">
        <v>45545</v>
      </c>
      <c r="F167" s="38">
        <v>45910</v>
      </c>
      <c r="G167" s="37" t="s">
        <v>1224</v>
      </c>
      <c r="H167" s="37" t="s">
        <v>60</v>
      </c>
      <c r="I167" s="39">
        <v>14960</v>
      </c>
      <c r="J167" s="39">
        <v>12466</v>
      </c>
      <c r="K167" s="43">
        <f t="shared" si="6"/>
        <v>4.2500000000000003E-2</v>
      </c>
      <c r="L167" s="37" t="s">
        <v>1930</v>
      </c>
      <c r="M167" s="40">
        <v>45545</v>
      </c>
      <c r="N167" s="33" t="s">
        <v>57</v>
      </c>
      <c r="O167" s="41">
        <v>352000</v>
      </c>
      <c r="P167" s="34">
        <f t="shared" si="7"/>
        <v>1869.9</v>
      </c>
      <c r="Q167" s="36">
        <f t="shared" si="8"/>
        <v>124.66</v>
      </c>
      <c r="R167" s="35">
        <v>500</v>
      </c>
    </row>
    <row r="168" spans="1:18" x14ac:dyDescent="0.25">
      <c r="A168" s="37" t="s">
        <v>305</v>
      </c>
      <c r="B168" s="37"/>
      <c r="C168" s="37" t="s">
        <v>33</v>
      </c>
      <c r="D168" s="37" t="s">
        <v>36</v>
      </c>
      <c r="E168" s="38">
        <v>45911</v>
      </c>
      <c r="F168" s="38">
        <v>46276</v>
      </c>
      <c r="G168" s="37" t="s">
        <v>1224</v>
      </c>
      <c r="H168" s="37" t="s">
        <v>60</v>
      </c>
      <c r="I168" s="39">
        <v>14960</v>
      </c>
      <c r="J168" s="39">
        <v>12466</v>
      </c>
      <c r="K168" s="43">
        <f t="shared" si="6"/>
        <v>4.2500000000000003E-2</v>
      </c>
      <c r="L168" s="37" t="s">
        <v>1930</v>
      </c>
      <c r="M168" s="40">
        <v>45545</v>
      </c>
      <c r="N168" s="33" t="s">
        <v>57</v>
      </c>
      <c r="O168" s="41">
        <v>352000</v>
      </c>
      <c r="P168" s="34">
        <f t="shared" si="7"/>
        <v>1869.9</v>
      </c>
      <c r="Q168" s="36">
        <f t="shared" si="8"/>
        <v>124.66</v>
      </c>
      <c r="R168" s="35">
        <v>500</v>
      </c>
    </row>
    <row r="169" spans="1:18" x14ac:dyDescent="0.25">
      <c r="A169" s="37" t="s">
        <v>306</v>
      </c>
      <c r="B169" s="37"/>
      <c r="C169" s="37" t="s">
        <v>30</v>
      </c>
      <c r="D169" s="37" t="s">
        <v>36</v>
      </c>
      <c r="E169" s="38">
        <v>45545</v>
      </c>
      <c r="F169" s="38">
        <v>45910</v>
      </c>
      <c r="G169" s="37" t="s">
        <v>1225</v>
      </c>
      <c r="H169" s="37" t="s">
        <v>60</v>
      </c>
      <c r="I169" s="39">
        <v>14960</v>
      </c>
      <c r="J169" s="39">
        <v>12466</v>
      </c>
      <c r="K169" s="43">
        <f t="shared" si="6"/>
        <v>4.2500000000000003E-2</v>
      </c>
      <c r="L169" s="37" t="s">
        <v>1931</v>
      </c>
      <c r="M169" s="40">
        <v>45545</v>
      </c>
      <c r="N169" s="33" t="s">
        <v>57</v>
      </c>
      <c r="O169" s="41">
        <v>352000</v>
      </c>
      <c r="P169" s="34">
        <f t="shared" si="7"/>
        <v>1869.9</v>
      </c>
      <c r="Q169" s="36">
        <f t="shared" si="8"/>
        <v>124.66</v>
      </c>
      <c r="R169" s="35">
        <v>500</v>
      </c>
    </row>
    <row r="170" spans="1:18" x14ac:dyDescent="0.25">
      <c r="A170" s="37" t="s">
        <v>307</v>
      </c>
      <c r="B170" s="37"/>
      <c r="C170" s="37" t="s">
        <v>32</v>
      </c>
      <c r="D170" s="37" t="s">
        <v>36</v>
      </c>
      <c r="E170" s="38">
        <v>45545</v>
      </c>
      <c r="F170" s="38">
        <v>45910</v>
      </c>
      <c r="G170" s="37" t="s">
        <v>1226</v>
      </c>
      <c r="H170" s="37" t="s">
        <v>62</v>
      </c>
      <c r="I170" s="39">
        <v>23248</v>
      </c>
      <c r="J170" s="39">
        <v>19610</v>
      </c>
      <c r="K170" s="43">
        <f t="shared" si="6"/>
        <v>4.2500914076782449E-2</v>
      </c>
      <c r="L170" s="37" t="s">
        <v>1932</v>
      </c>
      <c r="M170" s="40">
        <v>45545</v>
      </c>
      <c r="N170" s="33" t="s">
        <v>57</v>
      </c>
      <c r="O170" s="41">
        <v>547000</v>
      </c>
      <c r="P170" s="34">
        <f t="shared" si="7"/>
        <v>2941.5</v>
      </c>
      <c r="Q170" s="36">
        <f t="shared" si="8"/>
        <v>196.1</v>
      </c>
      <c r="R170" s="35">
        <v>500</v>
      </c>
    </row>
    <row r="171" spans="1:18" x14ac:dyDescent="0.25">
      <c r="A171" s="37" t="s">
        <v>308</v>
      </c>
      <c r="B171" s="37"/>
      <c r="C171" s="37" t="s">
        <v>32</v>
      </c>
      <c r="D171" s="37" t="s">
        <v>36</v>
      </c>
      <c r="E171" s="38">
        <v>45911</v>
      </c>
      <c r="F171" s="38">
        <v>46276</v>
      </c>
      <c r="G171" s="37" t="s">
        <v>1226</v>
      </c>
      <c r="H171" s="37" t="s">
        <v>62</v>
      </c>
      <c r="I171" s="39">
        <v>23248</v>
      </c>
      <c r="J171" s="39">
        <v>19610</v>
      </c>
      <c r="K171" s="43">
        <f t="shared" si="6"/>
        <v>4.2500914076782449E-2</v>
      </c>
      <c r="L171" s="37" t="s">
        <v>1932</v>
      </c>
      <c r="M171" s="40">
        <v>45545</v>
      </c>
      <c r="N171" s="33" t="s">
        <v>57</v>
      </c>
      <c r="O171" s="41">
        <v>547000</v>
      </c>
      <c r="P171" s="34">
        <f t="shared" si="7"/>
        <v>2941.5</v>
      </c>
      <c r="Q171" s="36">
        <f t="shared" si="8"/>
        <v>196.1</v>
      </c>
      <c r="R171" s="35">
        <v>500</v>
      </c>
    </row>
    <row r="172" spans="1:18" x14ac:dyDescent="0.25">
      <c r="A172" s="37" t="s">
        <v>309</v>
      </c>
      <c r="B172" s="37"/>
      <c r="C172" s="37" t="s">
        <v>32</v>
      </c>
      <c r="D172" s="37" t="s">
        <v>36</v>
      </c>
      <c r="E172" s="38">
        <v>45545</v>
      </c>
      <c r="F172" s="38">
        <v>45910</v>
      </c>
      <c r="G172" s="37" t="s">
        <v>59</v>
      </c>
      <c r="H172" s="37" t="s">
        <v>61</v>
      </c>
      <c r="I172" s="39">
        <v>16235</v>
      </c>
      <c r="J172" s="39">
        <v>13565</v>
      </c>
      <c r="K172" s="43">
        <f t="shared" si="6"/>
        <v>4.2500000000000003E-2</v>
      </c>
      <c r="L172" s="37" t="s">
        <v>1933</v>
      </c>
      <c r="M172" s="40">
        <v>45545</v>
      </c>
      <c r="N172" s="33" t="s">
        <v>57</v>
      </c>
      <c r="O172" s="41">
        <v>382000</v>
      </c>
      <c r="P172" s="34">
        <f t="shared" si="7"/>
        <v>2034.75</v>
      </c>
      <c r="Q172" s="36">
        <f t="shared" si="8"/>
        <v>135.65</v>
      </c>
      <c r="R172" s="35">
        <v>500</v>
      </c>
    </row>
    <row r="173" spans="1:18" x14ac:dyDescent="0.25">
      <c r="A173" s="37" t="s">
        <v>310</v>
      </c>
      <c r="B173" s="37"/>
      <c r="C173" s="37" t="s">
        <v>32</v>
      </c>
      <c r="D173" s="37" t="s">
        <v>36</v>
      </c>
      <c r="E173" s="38">
        <v>45911</v>
      </c>
      <c r="F173" s="38">
        <v>46276</v>
      </c>
      <c r="G173" s="37" t="s">
        <v>59</v>
      </c>
      <c r="H173" s="37" t="s">
        <v>61</v>
      </c>
      <c r="I173" s="39">
        <v>16235</v>
      </c>
      <c r="J173" s="39">
        <v>13565</v>
      </c>
      <c r="K173" s="43">
        <f t="shared" si="6"/>
        <v>4.2500000000000003E-2</v>
      </c>
      <c r="L173" s="37" t="s">
        <v>1933</v>
      </c>
      <c r="M173" s="40">
        <v>45545</v>
      </c>
      <c r="N173" s="33" t="s">
        <v>57</v>
      </c>
      <c r="O173" s="41">
        <v>382000</v>
      </c>
      <c r="P173" s="34">
        <f t="shared" si="7"/>
        <v>2034.75</v>
      </c>
      <c r="Q173" s="36">
        <f t="shared" si="8"/>
        <v>135.65</v>
      </c>
      <c r="R173" s="35">
        <v>500</v>
      </c>
    </row>
    <row r="174" spans="1:18" x14ac:dyDescent="0.25">
      <c r="A174" s="37" t="s">
        <v>311</v>
      </c>
      <c r="B174" s="37"/>
      <c r="C174" s="37" t="s">
        <v>30</v>
      </c>
      <c r="D174" s="37" t="s">
        <v>36</v>
      </c>
      <c r="E174" s="38">
        <v>45545</v>
      </c>
      <c r="F174" s="38">
        <v>45910</v>
      </c>
      <c r="G174" s="37" t="s">
        <v>67</v>
      </c>
      <c r="H174" s="37" t="s">
        <v>60</v>
      </c>
      <c r="I174" s="39">
        <v>14960</v>
      </c>
      <c r="J174" s="39">
        <v>12466</v>
      </c>
      <c r="K174" s="43">
        <f t="shared" si="6"/>
        <v>4.2500000000000003E-2</v>
      </c>
      <c r="L174" s="37" t="s">
        <v>1934</v>
      </c>
      <c r="M174" s="40">
        <v>45545</v>
      </c>
      <c r="N174" s="33" t="s">
        <v>57</v>
      </c>
      <c r="O174" s="41">
        <v>352000</v>
      </c>
      <c r="P174" s="34">
        <f t="shared" si="7"/>
        <v>1869.9</v>
      </c>
      <c r="Q174" s="36">
        <f t="shared" si="8"/>
        <v>124.66</v>
      </c>
      <c r="R174" s="35">
        <v>500</v>
      </c>
    </row>
    <row r="175" spans="1:18" x14ac:dyDescent="0.25">
      <c r="A175" s="37" t="s">
        <v>312</v>
      </c>
      <c r="B175" s="37"/>
      <c r="C175" s="37" t="s">
        <v>37</v>
      </c>
      <c r="D175" s="37" t="s">
        <v>2582</v>
      </c>
      <c r="E175" s="38">
        <v>45545</v>
      </c>
      <c r="F175" s="38">
        <v>45910</v>
      </c>
      <c r="G175" s="37" t="s">
        <v>74</v>
      </c>
      <c r="H175" s="37" t="s">
        <v>60</v>
      </c>
      <c r="I175" s="39">
        <v>8800</v>
      </c>
      <c r="J175" s="39">
        <v>7155</v>
      </c>
      <c r="K175" s="43">
        <f t="shared" si="6"/>
        <v>2.5000000000000001E-2</v>
      </c>
      <c r="L175" s="37" t="s">
        <v>1935</v>
      </c>
      <c r="M175" s="40">
        <v>45545</v>
      </c>
      <c r="N175" s="33" t="s">
        <v>57</v>
      </c>
      <c r="O175" s="41">
        <v>352000</v>
      </c>
      <c r="P175" s="34">
        <f t="shared" si="7"/>
        <v>1073.25</v>
      </c>
      <c r="Q175" s="36">
        <f t="shared" si="8"/>
        <v>71.55</v>
      </c>
      <c r="R175" s="35">
        <v>500</v>
      </c>
    </row>
    <row r="176" spans="1:18" x14ac:dyDescent="0.25">
      <c r="A176" s="37" t="s">
        <v>313</v>
      </c>
      <c r="B176" s="37"/>
      <c r="C176" s="37" t="s">
        <v>37</v>
      </c>
      <c r="D176" s="37" t="s">
        <v>2582</v>
      </c>
      <c r="E176" s="38">
        <v>45545</v>
      </c>
      <c r="F176" s="38">
        <v>45910</v>
      </c>
      <c r="G176" s="37" t="s">
        <v>1227</v>
      </c>
      <c r="H176" s="37" t="s">
        <v>60</v>
      </c>
      <c r="I176" s="39">
        <v>8800</v>
      </c>
      <c r="J176" s="39">
        <v>7155</v>
      </c>
      <c r="K176" s="43">
        <f t="shared" si="6"/>
        <v>2.5000000000000001E-2</v>
      </c>
      <c r="L176" s="37" t="s">
        <v>1936</v>
      </c>
      <c r="M176" s="40">
        <v>45545</v>
      </c>
      <c r="N176" s="33" t="s">
        <v>57</v>
      </c>
      <c r="O176" s="41">
        <v>352000</v>
      </c>
      <c r="P176" s="34">
        <f t="shared" si="7"/>
        <v>1073.25</v>
      </c>
      <c r="Q176" s="36">
        <f t="shared" si="8"/>
        <v>71.55</v>
      </c>
      <c r="R176" s="35">
        <v>500</v>
      </c>
    </row>
    <row r="177" spans="1:18" x14ac:dyDescent="0.25">
      <c r="A177" s="37" t="s">
        <v>314</v>
      </c>
      <c r="B177" s="37"/>
      <c r="C177" s="37" t="s">
        <v>37</v>
      </c>
      <c r="D177" s="37" t="s">
        <v>2582</v>
      </c>
      <c r="E177" s="38">
        <v>45545</v>
      </c>
      <c r="F177" s="38">
        <v>45910</v>
      </c>
      <c r="G177" s="37" t="s">
        <v>1228</v>
      </c>
      <c r="H177" s="37" t="s">
        <v>62</v>
      </c>
      <c r="I177" s="39">
        <v>13675</v>
      </c>
      <c r="J177" s="39">
        <v>11358</v>
      </c>
      <c r="K177" s="43">
        <f t="shared" si="6"/>
        <v>2.5000000000000001E-2</v>
      </c>
      <c r="L177" s="37" t="s">
        <v>1937</v>
      </c>
      <c r="M177" s="40">
        <v>45545</v>
      </c>
      <c r="N177" s="33" t="s">
        <v>57</v>
      </c>
      <c r="O177" s="41">
        <v>547000</v>
      </c>
      <c r="P177" s="34">
        <f t="shared" si="7"/>
        <v>1703.7</v>
      </c>
      <c r="Q177" s="36">
        <f t="shared" si="8"/>
        <v>113.58</v>
      </c>
      <c r="R177" s="35">
        <v>500</v>
      </c>
    </row>
    <row r="178" spans="1:18" x14ac:dyDescent="0.25">
      <c r="A178" s="37" t="s">
        <v>315</v>
      </c>
      <c r="B178" s="37"/>
      <c r="C178" s="37" t="s">
        <v>37</v>
      </c>
      <c r="D178" s="37" t="s">
        <v>2582</v>
      </c>
      <c r="E178" s="38">
        <v>45545</v>
      </c>
      <c r="F178" s="38">
        <v>45910</v>
      </c>
      <c r="G178" s="37" t="s">
        <v>1229</v>
      </c>
      <c r="H178" s="37" t="s">
        <v>64</v>
      </c>
      <c r="I178" s="39">
        <v>9550</v>
      </c>
      <c r="J178" s="39">
        <v>7802</v>
      </c>
      <c r="K178" s="43">
        <f t="shared" si="6"/>
        <v>2.5000000000000001E-2</v>
      </c>
      <c r="L178" s="37" t="s">
        <v>1938</v>
      </c>
      <c r="M178" s="40">
        <v>45545</v>
      </c>
      <c r="N178" s="33" t="s">
        <v>57</v>
      </c>
      <c r="O178" s="41">
        <v>382000</v>
      </c>
      <c r="P178" s="34">
        <f t="shared" si="7"/>
        <v>1170.3</v>
      </c>
      <c r="Q178" s="36">
        <f t="shared" si="8"/>
        <v>78.02</v>
      </c>
      <c r="R178" s="35">
        <v>500</v>
      </c>
    </row>
    <row r="179" spans="1:18" x14ac:dyDescent="0.25">
      <c r="A179" s="37" t="s">
        <v>316</v>
      </c>
      <c r="B179" s="37"/>
      <c r="C179" s="37" t="s">
        <v>37</v>
      </c>
      <c r="D179" s="37" t="s">
        <v>2582</v>
      </c>
      <c r="E179" s="38">
        <v>45545</v>
      </c>
      <c r="F179" s="38">
        <v>45910</v>
      </c>
      <c r="G179" s="37" t="s">
        <v>1230</v>
      </c>
      <c r="H179" s="37" t="s">
        <v>60</v>
      </c>
      <c r="I179" s="39">
        <v>8800</v>
      </c>
      <c r="J179" s="39">
        <v>7155</v>
      </c>
      <c r="K179" s="43">
        <f t="shared" si="6"/>
        <v>2.5000000000000001E-2</v>
      </c>
      <c r="L179" s="37" t="s">
        <v>1939</v>
      </c>
      <c r="M179" s="40">
        <v>45545</v>
      </c>
      <c r="N179" s="33" t="s">
        <v>57</v>
      </c>
      <c r="O179" s="41">
        <v>352000</v>
      </c>
      <c r="P179" s="34">
        <f t="shared" si="7"/>
        <v>1073.25</v>
      </c>
      <c r="Q179" s="36">
        <f t="shared" si="8"/>
        <v>71.55</v>
      </c>
      <c r="R179" s="35">
        <v>500</v>
      </c>
    </row>
    <row r="180" spans="1:18" x14ac:dyDescent="0.25">
      <c r="A180" s="42" t="s">
        <v>317</v>
      </c>
      <c r="B180" s="37"/>
      <c r="C180" s="37" t="s">
        <v>37</v>
      </c>
      <c r="D180" s="37" t="s">
        <v>2582</v>
      </c>
      <c r="E180" s="38">
        <v>45545</v>
      </c>
      <c r="F180" s="38">
        <v>45910</v>
      </c>
      <c r="G180" s="37" t="s">
        <v>1231</v>
      </c>
      <c r="H180" s="37" t="s">
        <v>63</v>
      </c>
      <c r="I180" s="39">
        <v>12475</v>
      </c>
      <c r="J180" s="39">
        <v>10323</v>
      </c>
      <c r="K180" s="43">
        <f t="shared" si="6"/>
        <v>2.5000000000000001E-2</v>
      </c>
      <c r="L180" s="37" t="s">
        <v>2580</v>
      </c>
      <c r="M180" s="40">
        <v>45545</v>
      </c>
      <c r="N180" s="33" t="s">
        <v>57</v>
      </c>
      <c r="O180" s="41">
        <v>499000</v>
      </c>
      <c r="P180" s="34">
        <f t="shared" si="7"/>
        <v>1548.45</v>
      </c>
      <c r="Q180" s="36">
        <f t="shared" si="8"/>
        <v>103.23</v>
      </c>
      <c r="R180" s="35">
        <v>500</v>
      </c>
    </row>
    <row r="181" spans="1:18" x14ac:dyDescent="0.25">
      <c r="A181" s="37" t="s">
        <v>318</v>
      </c>
      <c r="B181" s="37"/>
      <c r="C181" s="37" t="s">
        <v>37</v>
      </c>
      <c r="D181" s="37" t="s">
        <v>2582</v>
      </c>
      <c r="E181" s="38">
        <v>45545</v>
      </c>
      <c r="F181" s="38">
        <v>45910</v>
      </c>
      <c r="G181" s="37" t="s">
        <v>1232</v>
      </c>
      <c r="H181" s="37" t="s">
        <v>60</v>
      </c>
      <c r="I181" s="39">
        <v>8800</v>
      </c>
      <c r="J181" s="39">
        <v>7155</v>
      </c>
      <c r="K181" s="43">
        <f t="shared" si="6"/>
        <v>2.5000000000000001E-2</v>
      </c>
      <c r="L181" s="37" t="s">
        <v>1940</v>
      </c>
      <c r="M181" s="40">
        <v>45545</v>
      </c>
      <c r="N181" s="33" t="s">
        <v>57</v>
      </c>
      <c r="O181" s="41">
        <v>352000</v>
      </c>
      <c r="P181" s="34">
        <f t="shared" si="7"/>
        <v>1073.25</v>
      </c>
      <c r="Q181" s="36">
        <f t="shared" si="8"/>
        <v>71.55</v>
      </c>
      <c r="R181" s="35">
        <v>500</v>
      </c>
    </row>
    <row r="182" spans="1:18" x14ac:dyDescent="0.25">
      <c r="A182" s="37" t="s">
        <v>319</v>
      </c>
      <c r="B182" s="37"/>
      <c r="C182" s="37" t="s">
        <v>37</v>
      </c>
      <c r="D182" s="37" t="s">
        <v>2582</v>
      </c>
      <c r="E182" s="38">
        <v>45545</v>
      </c>
      <c r="F182" s="38">
        <v>45910</v>
      </c>
      <c r="G182" s="37" t="s">
        <v>76</v>
      </c>
      <c r="H182" s="37" t="s">
        <v>60</v>
      </c>
      <c r="I182" s="39">
        <v>8800</v>
      </c>
      <c r="J182" s="39">
        <v>7155</v>
      </c>
      <c r="K182" s="43">
        <f t="shared" si="6"/>
        <v>2.5000000000000001E-2</v>
      </c>
      <c r="L182" s="37" t="s">
        <v>1941</v>
      </c>
      <c r="M182" s="40">
        <v>45545</v>
      </c>
      <c r="N182" s="33" t="s">
        <v>57</v>
      </c>
      <c r="O182" s="41">
        <v>352000</v>
      </c>
      <c r="P182" s="34">
        <f t="shared" si="7"/>
        <v>1073.25</v>
      </c>
      <c r="Q182" s="36">
        <f t="shared" si="8"/>
        <v>71.55</v>
      </c>
      <c r="R182" s="35">
        <v>500</v>
      </c>
    </row>
    <row r="183" spans="1:18" x14ac:dyDescent="0.25">
      <c r="A183" s="37" t="s">
        <v>320</v>
      </c>
      <c r="B183" s="37"/>
      <c r="C183" s="37" t="s">
        <v>37</v>
      </c>
      <c r="D183" s="37" t="s">
        <v>2582</v>
      </c>
      <c r="E183" s="38">
        <v>45545</v>
      </c>
      <c r="F183" s="38">
        <v>45910</v>
      </c>
      <c r="G183" s="37" t="s">
        <v>1233</v>
      </c>
      <c r="H183" s="37" t="s">
        <v>60</v>
      </c>
      <c r="I183" s="39">
        <v>8800</v>
      </c>
      <c r="J183" s="39">
        <v>7155</v>
      </c>
      <c r="K183" s="43">
        <f t="shared" si="6"/>
        <v>2.5000000000000001E-2</v>
      </c>
      <c r="L183" s="37" t="s">
        <v>1942</v>
      </c>
      <c r="M183" s="40">
        <v>45545</v>
      </c>
      <c r="N183" s="33" t="s">
        <v>57</v>
      </c>
      <c r="O183" s="41">
        <v>352000</v>
      </c>
      <c r="P183" s="34">
        <f t="shared" si="7"/>
        <v>1073.25</v>
      </c>
      <c r="Q183" s="36">
        <f t="shared" si="8"/>
        <v>71.55</v>
      </c>
      <c r="R183" s="35">
        <v>500</v>
      </c>
    </row>
    <row r="184" spans="1:18" x14ac:dyDescent="0.25">
      <c r="A184" s="37" t="s">
        <v>321</v>
      </c>
      <c r="B184" s="37"/>
      <c r="C184" s="37" t="s">
        <v>37</v>
      </c>
      <c r="D184" s="37" t="s">
        <v>2582</v>
      </c>
      <c r="E184" s="38">
        <v>45545</v>
      </c>
      <c r="F184" s="38">
        <v>45910</v>
      </c>
      <c r="G184" s="37" t="s">
        <v>1234</v>
      </c>
      <c r="H184" s="37" t="s">
        <v>60</v>
      </c>
      <c r="I184" s="39">
        <v>8800</v>
      </c>
      <c r="J184" s="39">
        <v>7155</v>
      </c>
      <c r="K184" s="43">
        <f t="shared" si="6"/>
        <v>2.5000000000000001E-2</v>
      </c>
      <c r="L184" s="37" t="s">
        <v>1943</v>
      </c>
      <c r="M184" s="40">
        <v>45545</v>
      </c>
      <c r="N184" s="33" t="s">
        <v>57</v>
      </c>
      <c r="O184" s="41">
        <v>352000</v>
      </c>
      <c r="P184" s="34">
        <f t="shared" si="7"/>
        <v>1073.25</v>
      </c>
      <c r="Q184" s="36">
        <f t="shared" si="8"/>
        <v>71.55</v>
      </c>
      <c r="R184" s="35">
        <v>500</v>
      </c>
    </row>
    <row r="185" spans="1:18" x14ac:dyDescent="0.25">
      <c r="A185" s="37" t="s">
        <v>322</v>
      </c>
      <c r="B185" s="37"/>
      <c r="C185" s="37" t="s">
        <v>37</v>
      </c>
      <c r="D185" s="37" t="s">
        <v>2582</v>
      </c>
      <c r="E185" s="38">
        <v>45545</v>
      </c>
      <c r="F185" s="38">
        <v>45910</v>
      </c>
      <c r="G185" s="37" t="s">
        <v>1235</v>
      </c>
      <c r="H185" s="37" t="s">
        <v>60</v>
      </c>
      <c r="I185" s="39">
        <v>8800</v>
      </c>
      <c r="J185" s="39">
        <v>7155</v>
      </c>
      <c r="K185" s="43">
        <f t="shared" si="6"/>
        <v>2.5000000000000001E-2</v>
      </c>
      <c r="L185" s="37" t="s">
        <v>1944</v>
      </c>
      <c r="M185" s="40">
        <v>45545</v>
      </c>
      <c r="N185" s="33" t="s">
        <v>57</v>
      </c>
      <c r="O185" s="41">
        <v>352000</v>
      </c>
      <c r="P185" s="34">
        <f t="shared" si="7"/>
        <v>1073.25</v>
      </c>
      <c r="Q185" s="36">
        <f t="shared" si="8"/>
        <v>71.55</v>
      </c>
      <c r="R185" s="35">
        <v>500</v>
      </c>
    </row>
    <row r="186" spans="1:18" x14ac:dyDescent="0.25">
      <c r="A186" s="37" t="s">
        <v>323</v>
      </c>
      <c r="B186" s="37"/>
      <c r="C186" s="37" t="s">
        <v>37</v>
      </c>
      <c r="D186" s="37" t="s">
        <v>2582</v>
      </c>
      <c r="E186" s="38">
        <v>45545</v>
      </c>
      <c r="F186" s="38">
        <v>45910</v>
      </c>
      <c r="G186" s="37" t="s">
        <v>1236</v>
      </c>
      <c r="H186" s="37" t="s">
        <v>60</v>
      </c>
      <c r="I186" s="39">
        <v>8800</v>
      </c>
      <c r="J186" s="39">
        <v>7155</v>
      </c>
      <c r="K186" s="43">
        <f t="shared" si="6"/>
        <v>2.5000000000000001E-2</v>
      </c>
      <c r="L186" s="37" t="s">
        <v>1945</v>
      </c>
      <c r="M186" s="40">
        <v>45545</v>
      </c>
      <c r="N186" s="33" t="s">
        <v>57</v>
      </c>
      <c r="O186" s="41">
        <v>352000</v>
      </c>
      <c r="P186" s="34">
        <f t="shared" si="7"/>
        <v>1073.25</v>
      </c>
      <c r="Q186" s="36">
        <f t="shared" si="8"/>
        <v>71.55</v>
      </c>
      <c r="R186" s="35">
        <v>500</v>
      </c>
    </row>
    <row r="187" spans="1:18" x14ac:dyDescent="0.25">
      <c r="A187" s="37" t="s">
        <v>324</v>
      </c>
      <c r="B187" s="37"/>
      <c r="C187" s="37" t="s">
        <v>37</v>
      </c>
      <c r="D187" s="37" t="s">
        <v>2582</v>
      </c>
      <c r="E187" s="38">
        <v>45545</v>
      </c>
      <c r="F187" s="38">
        <v>45910</v>
      </c>
      <c r="G187" s="37" t="s">
        <v>1237</v>
      </c>
      <c r="H187" s="37" t="s">
        <v>60</v>
      </c>
      <c r="I187" s="39">
        <v>8800</v>
      </c>
      <c r="J187" s="39">
        <v>7155</v>
      </c>
      <c r="K187" s="43">
        <f t="shared" si="6"/>
        <v>2.5000000000000001E-2</v>
      </c>
      <c r="L187" s="37" t="s">
        <v>1946</v>
      </c>
      <c r="M187" s="40">
        <v>45545</v>
      </c>
      <c r="N187" s="33" t="s">
        <v>57</v>
      </c>
      <c r="O187" s="41">
        <v>352000</v>
      </c>
      <c r="P187" s="34">
        <f t="shared" si="7"/>
        <v>1073.25</v>
      </c>
      <c r="Q187" s="36">
        <f t="shared" si="8"/>
        <v>71.55</v>
      </c>
      <c r="R187" s="35">
        <v>500</v>
      </c>
    </row>
    <row r="188" spans="1:18" x14ac:dyDescent="0.25">
      <c r="A188" s="37" t="s">
        <v>325</v>
      </c>
      <c r="B188" s="37"/>
      <c r="C188" s="37" t="s">
        <v>49</v>
      </c>
      <c r="D188" s="37" t="s">
        <v>2582</v>
      </c>
      <c r="E188" s="38">
        <v>45546</v>
      </c>
      <c r="F188" s="38">
        <v>45911</v>
      </c>
      <c r="G188" s="37" t="s">
        <v>1238</v>
      </c>
      <c r="H188" s="37" t="s">
        <v>60</v>
      </c>
      <c r="I188" s="39">
        <v>8800</v>
      </c>
      <c r="J188" s="39">
        <v>7155</v>
      </c>
      <c r="K188" s="43">
        <f t="shared" si="6"/>
        <v>2.5000000000000001E-2</v>
      </c>
      <c r="L188" s="37" t="s">
        <v>1947</v>
      </c>
      <c r="M188" s="40">
        <v>45546</v>
      </c>
      <c r="N188" s="33" t="s">
        <v>57</v>
      </c>
      <c r="O188" s="41">
        <v>352000</v>
      </c>
      <c r="P188" s="34">
        <f t="shared" si="7"/>
        <v>1073.25</v>
      </c>
      <c r="Q188" s="36">
        <f t="shared" si="8"/>
        <v>71.55</v>
      </c>
      <c r="R188" s="35">
        <v>500</v>
      </c>
    </row>
    <row r="189" spans="1:18" x14ac:dyDescent="0.25">
      <c r="A189" s="37" t="s">
        <v>326</v>
      </c>
      <c r="B189" s="37"/>
      <c r="C189" s="37" t="s">
        <v>31</v>
      </c>
      <c r="D189" s="37" t="s">
        <v>36</v>
      </c>
      <c r="E189" s="38">
        <v>45546</v>
      </c>
      <c r="F189" s="38">
        <v>45911</v>
      </c>
      <c r="G189" s="37" t="s">
        <v>1239</v>
      </c>
      <c r="H189" s="37" t="s">
        <v>60</v>
      </c>
      <c r="I189" s="39">
        <v>14960</v>
      </c>
      <c r="J189" s="39">
        <v>12466</v>
      </c>
      <c r="K189" s="43">
        <f t="shared" si="6"/>
        <v>4.2500000000000003E-2</v>
      </c>
      <c r="L189" s="37" t="s">
        <v>1948</v>
      </c>
      <c r="M189" s="40">
        <v>45546</v>
      </c>
      <c r="N189" s="33" t="s">
        <v>57</v>
      </c>
      <c r="O189" s="41">
        <v>352000</v>
      </c>
      <c r="P189" s="34">
        <f t="shared" si="7"/>
        <v>1869.9</v>
      </c>
      <c r="Q189" s="36">
        <f t="shared" si="8"/>
        <v>124.66</v>
      </c>
      <c r="R189" s="35">
        <v>500</v>
      </c>
    </row>
    <row r="190" spans="1:18" x14ac:dyDescent="0.25">
      <c r="A190" s="37" t="s">
        <v>327</v>
      </c>
      <c r="B190" s="37"/>
      <c r="C190" s="37" t="s">
        <v>37</v>
      </c>
      <c r="D190" s="37" t="s">
        <v>2582</v>
      </c>
      <c r="E190" s="38">
        <v>45546</v>
      </c>
      <c r="F190" s="38">
        <v>45911</v>
      </c>
      <c r="G190" s="37" t="s">
        <v>1240</v>
      </c>
      <c r="H190" s="37" t="s">
        <v>62</v>
      </c>
      <c r="I190" s="39">
        <v>13675</v>
      </c>
      <c r="J190" s="39">
        <v>11358</v>
      </c>
      <c r="K190" s="43">
        <f t="shared" si="6"/>
        <v>2.5000000000000001E-2</v>
      </c>
      <c r="L190" s="37" t="s">
        <v>1949</v>
      </c>
      <c r="M190" s="40">
        <v>45546</v>
      </c>
      <c r="N190" s="33" t="s">
        <v>57</v>
      </c>
      <c r="O190" s="41">
        <v>547000</v>
      </c>
      <c r="P190" s="34">
        <f t="shared" si="7"/>
        <v>1703.7</v>
      </c>
      <c r="Q190" s="36">
        <f t="shared" si="8"/>
        <v>113.58</v>
      </c>
      <c r="R190" s="35">
        <v>500</v>
      </c>
    </row>
    <row r="191" spans="1:18" x14ac:dyDescent="0.25">
      <c r="A191" s="37" t="s">
        <v>328</v>
      </c>
      <c r="B191" s="37"/>
      <c r="C191" s="37" t="s">
        <v>31</v>
      </c>
      <c r="D191" s="37" t="s">
        <v>36</v>
      </c>
      <c r="E191" s="38">
        <v>45546</v>
      </c>
      <c r="F191" s="38">
        <v>45911</v>
      </c>
      <c r="G191" s="37" t="s">
        <v>1241</v>
      </c>
      <c r="H191" s="37" t="s">
        <v>60</v>
      </c>
      <c r="I191" s="39">
        <v>14960</v>
      </c>
      <c r="J191" s="39">
        <v>12466</v>
      </c>
      <c r="K191" s="43">
        <f t="shared" si="6"/>
        <v>4.2500000000000003E-2</v>
      </c>
      <c r="L191" s="37" t="s">
        <v>1950</v>
      </c>
      <c r="M191" s="40">
        <v>45546</v>
      </c>
      <c r="N191" s="33" t="s">
        <v>57</v>
      </c>
      <c r="O191" s="41">
        <v>352000</v>
      </c>
      <c r="P191" s="34">
        <f t="shared" si="7"/>
        <v>1869.9</v>
      </c>
      <c r="Q191" s="36">
        <f t="shared" si="8"/>
        <v>124.66</v>
      </c>
      <c r="R191" s="35">
        <v>500</v>
      </c>
    </row>
    <row r="192" spans="1:18" x14ac:dyDescent="0.25">
      <c r="A192" s="37" t="s">
        <v>329</v>
      </c>
      <c r="B192" s="37"/>
      <c r="C192" s="37" t="s">
        <v>30</v>
      </c>
      <c r="D192" s="37" t="s">
        <v>36</v>
      </c>
      <c r="E192" s="38">
        <v>45546</v>
      </c>
      <c r="F192" s="38">
        <v>45911</v>
      </c>
      <c r="G192" s="37" t="s">
        <v>1242</v>
      </c>
      <c r="H192" s="37" t="s">
        <v>60</v>
      </c>
      <c r="I192" s="39">
        <v>14960</v>
      </c>
      <c r="J192" s="39">
        <v>12466</v>
      </c>
      <c r="K192" s="43">
        <f t="shared" si="6"/>
        <v>4.2500000000000003E-2</v>
      </c>
      <c r="L192" s="37" t="s">
        <v>1951</v>
      </c>
      <c r="M192" s="40">
        <v>45546</v>
      </c>
      <c r="N192" s="33" t="s">
        <v>57</v>
      </c>
      <c r="O192" s="41">
        <v>352000</v>
      </c>
      <c r="P192" s="34">
        <f t="shared" si="7"/>
        <v>1869.9</v>
      </c>
      <c r="Q192" s="36">
        <f t="shared" si="8"/>
        <v>124.66</v>
      </c>
      <c r="R192" s="35">
        <v>500</v>
      </c>
    </row>
    <row r="193" spans="1:18" x14ac:dyDescent="0.25">
      <c r="A193" s="37" t="s">
        <v>330</v>
      </c>
      <c r="B193" s="37"/>
      <c r="C193" s="37" t="s">
        <v>30</v>
      </c>
      <c r="D193" s="37" t="s">
        <v>36</v>
      </c>
      <c r="E193" s="38">
        <v>45546</v>
      </c>
      <c r="F193" s="38">
        <v>45911</v>
      </c>
      <c r="G193" s="37" t="s">
        <v>1243</v>
      </c>
      <c r="H193" s="37" t="s">
        <v>61</v>
      </c>
      <c r="I193" s="39">
        <v>16235</v>
      </c>
      <c r="J193" s="39">
        <v>13565</v>
      </c>
      <c r="K193" s="43">
        <f t="shared" si="6"/>
        <v>4.2500000000000003E-2</v>
      </c>
      <c r="L193" s="37" t="s">
        <v>1952</v>
      </c>
      <c r="M193" s="40">
        <v>45546</v>
      </c>
      <c r="N193" s="33" t="s">
        <v>57</v>
      </c>
      <c r="O193" s="41">
        <v>382000</v>
      </c>
      <c r="P193" s="34">
        <f t="shared" si="7"/>
        <v>2034.75</v>
      </c>
      <c r="Q193" s="36">
        <f t="shared" si="8"/>
        <v>135.65</v>
      </c>
      <c r="R193" s="35">
        <v>500</v>
      </c>
    </row>
    <row r="194" spans="1:18" x14ac:dyDescent="0.25">
      <c r="A194" s="37" t="s">
        <v>331</v>
      </c>
      <c r="B194" s="37"/>
      <c r="C194" s="37" t="s">
        <v>30</v>
      </c>
      <c r="D194" s="37" t="s">
        <v>36</v>
      </c>
      <c r="E194" s="38">
        <v>45912</v>
      </c>
      <c r="F194" s="38">
        <v>46277</v>
      </c>
      <c r="G194" s="37" t="s">
        <v>1243</v>
      </c>
      <c r="H194" s="37" t="s">
        <v>61</v>
      </c>
      <c r="I194" s="39">
        <v>16235</v>
      </c>
      <c r="J194" s="39">
        <v>13565</v>
      </c>
      <c r="K194" s="43">
        <f t="shared" si="6"/>
        <v>4.2500000000000003E-2</v>
      </c>
      <c r="L194" s="37" t="s">
        <v>1952</v>
      </c>
      <c r="M194" s="40">
        <v>45546</v>
      </c>
      <c r="N194" s="33" t="s">
        <v>57</v>
      </c>
      <c r="O194" s="41">
        <v>382000</v>
      </c>
      <c r="P194" s="34">
        <f t="shared" si="7"/>
        <v>2034.75</v>
      </c>
      <c r="Q194" s="36">
        <f t="shared" si="8"/>
        <v>135.65</v>
      </c>
      <c r="R194" s="35">
        <v>500</v>
      </c>
    </row>
    <row r="195" spans="1:18" x14ac:dyDescent="0.25">
      <c r="A195" s="37" t="s">
        <v>332</v>
      </c>
      <c r="B195" s="37"/>
      <c r="C195" s="37" t="s">
        <v>70</v>
      </c>
      <c r="D195" s="37" t="s">
        <v>2582</v>
      </c>
      <c r="E195" s="38">
        <v>45546</v>
      </c>
      <c r="F195" s="38">
        <v>45911</v>
      </c>
      <c r="G195" s="37" t="s">
        <v>1244</v>
      </c>
      <c r="H195" s="37" t="s">
        <v>60</v>
      </c>
      <c r="I195" s="39">
        <v>8800</v>
      </c>
      <c r="J195" s="39">
        <v>7155</v>
      </c>
      <c r="K195" s="43">
        <f t="shared" si="6"/>
        <v>2.5000000000000001E-2</v>
      </c>
      <c r="L195" s="37" t="s">
        <v>1953</v>
      </c>
      <c r="M195" s="40">
        <v>45546</v>
      </c>
      <c r="N195" s="33" t="s">
        <v>57</v>
      </c>
      <c r="O195" s="41">
        <v>352000</v>
      </c>
      <c r="P195" s="34">
        <f t="shared" si="7"/>
        <v>1073.25</v>
      </c>
      <c r="Q195" s="36">
        <f t="shared" si="8"/>
        <v>71.55</v>
      </c>
      <c r="R195" s="35">
        <v>500</v>
      </c>
    </row>
    <row r="196" spans="1:18" x14ac:dyDescent="0.25">
      <c r="A196" s="37" t="s">
        <v>333</v>
      </c>
      <c r="B196" s="37"/>
      <c r="C196" s="37" t="s">
        <v>65</v>
      </c>
      <c r="D196" s="37" t="s">
        <v>2582</v>
      </c>
      <c r="E196" s="38">
        <v>45546</v>
      </c>
      <c r="F196" s="38">
        <v>45911</v>
      </c>
      <c r="G196" s="37" t="s">
        <v>1245</v>
      </c>
      <c r="H196" s="37" t="s">
        <v>60</v>
      </c>
      <c r="I196" s="39">
        <v>8800</v>
      </c>
      <c r="J196" s="39">
        <v>7155</v>
      </c>
      <c r="K196" s="43">
        <f t="shared" ref="K196:K259" si="9">I196/O196</f>
        <v>2.5000000000000001E-2</v>
      </c>
      <c r="L196" s="37" t="s">
        <v>1954</v>
      </c>
      <c r="M196" s="40">
        <v>45546</v>
      </c>
      <c r="N196" s="33" t="s">
        <v>57</v>
      </c>
      <c r="O196" s="41">
        <v>352000</v>
      </c>
      <c r="P196" s="34">
        <f t="shared" ref="P196:P259" si="10">J196*15/100</f>
        <v>1073.25</v>
      </c>
      <c r="Q196" s="36">
        <f t="shared" ref="Q196:Q259" si="11">J196*1/100</f>
        <v>71.55</v>
      </c>
      <c r="R196" s="35">
        <v>500</v>
      </c>
    </row>
    <row r="197" spans="1:18" x14ac:dyDescent="0.25">
      <c r="A197" s="37" t="s">
        <v>334</v>
      </c>
      <c r="B197" s="37"/>
      <c r="C197" s="37" t="s">
        <v>65</v>
      </c>
      <c r="D197" s="37" t="s">
        <v>2582</v>
      </c>
      <c r="E197" s="38">
        <v>45546</v>
      </c>
      <c r="F197" s="38">
        <v>45911</v>
      </c>
      <c r="G197" s="37" t="s">
        <v>1246</v>
      </c>
      <c r="H197" s="37" t="s">
        <v>60</v>
      </c>
      <c r="I197" s="39">
        <v>8800</v>
      </c>
      <c r="J197" s="39">
        <v>7155</v>
      </c>
      <c r="K197" s="43">
        <f t="shared" si="9"/>
        <v>2.5000000000000001E-2</v>
      </c>
      <c r="L197" s="37" t="s">
        <v>1955</v>
      </c>
      <c r="M197" s="40">
        <v>45546</v>
      </c>
      <c r="N197" s="33" t="s">
        <v>57</v>
      </c>
      <c r="O197" s="41">
        <v>352000</v>
      </c>
      <c r="P197" s="34">
        <f t="shared" si="10"/>
        <v>1073.25</v>
      </c>
      <c r="Q197" s="36">
        <f t="shared" si="11"/>
        <v>71.55</v>
      </c>
      <c r="R197" s="35">
        <v>500</v>
      </c>
    </row>
    <row r="198" spans="1:18" x14ac:dyDescent="0.25">
      <c r="A198" s="37" t="s">
        <v>335</v>
      </c>
      <c r="B198" s="37"/>
      <c r="C198" s="37" t="s">
        <v>30</v>
      </c>
      <c r="D198" s="37" t="s">
        <v>36</v>
      </c>
      <c r="E198" s="38">
        <v>45546</v>
      </c>
      <c r="F198" s="38">
        <v>45911</v>
      </c>
      <c r="G198" s="37" t="s">
        <v>89</v>
      </c>
      <c r="H198" s="37" t="s">
        <v>60</v>
      </c>
      <c r="I198" s="39">
        <v>14960</v>
      </c>
      <c r="J198" s="39">
        <v>12466</v>
      </c>
      <c r="K198" s="43">
        <f t="shared" si="9"/>
        <v>4.2500000000000003E-2</v>
      </c>
      <c r="L198" s="37" t="s">
        <v>1956</v>
      </c>
      <c r="M198" s="40">
        <v>45546</v>
      </c>
      <c r="N198" s="33" t="s">
        <v>57</v>
      </c>
      <c r="O198" s="41">
        <v>352000</v>
      </c>
      <c r="P198" s="34">
        <f t="shared" si="10"/>
        <v>1869.9</v>
      </c>
      <c r="Q198" s="36">
        <f t="shared" si="11"/>
        <v>124.66</v>
      </c>
      <c r="R198" s="35">
        <v>500</v>
      </c>
    </row>
    <row r="199" spans="1:18" x14ac:dyDescent="0.25">
      <c r="A199" s="37" t="s">
        <v>336</v>
      </c>
      <c r="B199" s="37"/>
      <c r="C199" s="37" t="s">
        <v>65</v>
      </c>
      <c r="D199" s="37" t="s">
        <v>2582</v>
      </c>
      <c r="E199" s="38">
        <v>45546</v>
      </c>
      <c r="F199" s="38">
        <v>45911</v>
      </c>
      <c r="G199" s="37" t="s">
        <v>1247</v>
      </c>
      <c r="H199" s="37" t="s">
        <v>60</v>
      </c>
      <c r="I199" s="39">
        <v>8800</v>
      </c>
      <c r="J199" s="39">
        <v>7155</v>
      </c>
      <c r="K199" s="43">
        <f t="shared" si="9"/>
        <v>2.5000000000000001E-2</v>
      </c>
      <c r="L199" s="37" t="s">
        <v>1957</v>
      </c>
      <c r="M199" s="40">
        <v>45546</v>
      </c>
      <c r="N199" s="33" t="s">
        <v>57</v>
      </c>
      <c r="O199" s="41">
        <v>352000</v>
      </c>
      <c r="P199" s="34">
        <f t="shared" si="10"/>
        <v>1073.25</v>
      </c>
      <c r="Q199" s="36">
        <f t="shared" si="11"/>
        <v>71.55</v>
      </c>
      <c r="R199" s="35">
        <v>500</v>
      </c>
    </row>
    <row r="200" spans="1:18" x14ac:dyDescent="0.25">
      <c r="A200" s="37" t="s">
        <v>337</v>
      </c>
      <c r="B200" s="37"/>
      <c r="C200" s="37" t="s">
        <v>65</v>
      </c>
      <c r="D200" s="37" t="s">
        <v>2582</v>
      </c>
      <c r="E200" s="38">
        <v>45546</v>
      </c>
      <c r="F200" s="38">
        <v>45911</v>
      </c>
      <c r="G200" s="37" t="s">
        <v>1248</v>
      </c>
      <c r="H200" s="37" t="s">
        <v>60</v>
      </c>
      <c r="I200" s="39">
        <v>8800</v>
      </c>
      <c r="J200" s="39">
        <v>7155</v>
      </c>
      <c r="K200" s="43">
        <f t="shared" si="9"/>
        <v>2.5000000000000001E-2</v>
      </c>
      <c r="L200" s="37" t="s">
        <v>1958</v>
      </c>
      <c r="M200" s="40">
        <v>45546</v>
      </c>
      <c r="N200" s="33" t="s">
        <v>57</v>
      </c>
      <c r="O200" s="41">
        <v>352000</v>
      </c>
      <c r="P200" s="34">
        <f t="shared" si="10"/>
        <v>1073.25</v>
      </c>
      <c r="Q200" s="36">
        <f t="shared" si="11"/>
        <v>71.55</v>
      </c>
      <c r="R200" s="35">
        <v>500</v>
      </c>
    </row>
    <row r="201" spans="1:18" x14ac:dyDescent="0.25">
      <c r="A201" s="37" t="s">
        <v>338</v>
      </c>
      <c r="B201" s="37"/>
      <c r="C201" s="37" t="s">
        <v>53</v>
      </c>
      <c r="D201" s="37" t="s">
        <v>2582</v>
      </c>
      <c r="E201" s="38">
        <v>45546</v>
      </c>
      <c r="F201" s="38">
        <v>45911</v>
      </c>
      <c r="G201" s="37" t="s">
        <v>1249</v>
      </c>
      <c r="H201" s="37" t="s">
        <v>60</v>
      </c>
      <c r="I201" s="39">
        <v>8800</v>
      </c>
      <c r="J201" s="39">
        <v>7155</v>
      </c>
      <c r="K201" s="43">
        <f t="shared" si="9"/>
        <v>2.5000000000000001E-2</v>
      </c>
      <c r="L201" s="37" t="s">
        <v>1959</v>
      </c>
      <c r="M201" s="40">
        <v>45546</v>
      </c>
      <c r="N201" s="33" t="s">
        <v>57</v>
      </c>
      <c r="O201" s="41">
        <v>352000</v>
      </c>
      <c r="P201" s="34">
        <f t="shared" si="10"/>
        <v>1073.25</v>
      </c>
      <c r="Q201" s="36">
        <f t="shared" si="11"/>
        <v>71.55</v>
      </c>
      <c r="R201" s="35">
        <v>500</v>
      </c>
    </row>
    <row r="202" spans="1:18" x14ac:dyDescent="0.25">
      <c r="A202" s="37" t="s">
        <v>339</v>
      </c>
      <c r="B202" s="37"/>
      <c r="C202" s="37" t="s">
        <v>65</v>
      </c>
      <c r="D202" s="37" t="s">
        <v>2582</v>
      </c>
      <c r="E202" s="38">
        <v>45546</v>
      </c>
      <c r="F202" s="38">
        <v>45911</v>
      </c>
      <c r="G202" s="37" t="s">
        <v>133</v>
      </c>
      <c r="H202" s="37" t="s">
        <v>60</v>
      </c>
      <c r="I202" s="39">
        <v>8800</v>
      </c>
      <c r="J202" s="39">
        <v>7155</v>
      </c>
      <c r="K202" s="43">
        <f t="shared" si="9"/>
        <v>2.5000000000000001E-2</v>
      </c>
      <c r="L202" s="37" t="s">
        <v>1960</v>
      </c>
      <c r="M202" s="40">
        <v>45546</v>
      </c>
      <c r="N202" s="33" t="s">
        <v>57</v>
      </c>
      <c r="O202" s="41">
        <v>352000</v>
      </c>
      <c r="P202" s="34">
        <f t="shared" si="10"/>
        <v>1073.25</v>
      </c>
      <c r="Q202" s="36">
        <f t="shared" si="11"/>
        <v>71.55</v>
      </c>
      <c r="R202" s="35">
        <v>500</v>
      </c>
    </row>
    <row r="203" spans="1:18" x14ac:dyDescent="0.25">
      <c r="A203" s="37" t="s">
        <v>340</v>
      </c>
      <c r="B203" s="37"/>
      <c r="C203" s="37" t="s">
        <v>66</v>
      </c>
      <c r="D203" s="37" t="s">
        <v>2582</v>
      </c>
      <c r="E203" s="38">
        <v>45546</v>
      </c>
      <c r="F203" s="38">
        <v>45911</v>
      </c>
      <c r="G203" s="37" t="s">
        <v>1250</v>
      </c>
      <c r="H203" s="37" t="s">
        <v>60</v>
      </c>
      <c r="I203" s="39">
        <v>8800</v>
      </c>
      <c r="J203" s="39">
        <v>7155</v>
      </c>
      <c r="K203" s="43">
        <f t="shared" si="9"/>
        <v>2.5000000000000001E-2</v>
      </c>
      <c r="L203" s="37" t="s">
        <v>1961</v>
      </c>
      <c r="M203" s="40">
        <v>45546</v>
      </c>
      <c r="N203" s="33" t="s">
        <v>57</v>
      </c>
      <c r="O203" s="41">
        <v>352000</v>
      </c>
      <c r="P203" s="34">
        <f t="shared" si="10"/>
        <v>1073.25</v>
      </c>
      <c r="Q203" s="36">
        <f t="shared" si="11"/>
        <v>71.55</v>
      </c>
      <c r="R203" s="35">
        <v>500</v>
      </c>
    </row>
    <row r="204" spans="1:18" x14ac:dyDescent="0.25">
      <c r="A204" s="37" t="s">
        <v>341</v>
      </c>
      <c r="B204" s="37"/>
      <c r="C204" s="37" t="s">
        <v>65</v>
      </c>
      <c r="D204" s="37" t="s">
        <v>2582</v>
      </c>
      <c r="E204" s="38">
        <v>45546</v>
      </c>
      <c r="F204" s="38">
        <v>45911</v>
      </c>
      <c r="G204" s="37" t="s">
        <v>1251</v>
      </c>
      <c r="H204" s="37" t="s">
        <v>60</v>
      </c>
      <c r="I204" s="39">
        <v>8800</v>
      </c>
      <c r="J204" s="39">
        <v>7155</v>
      </c>
      <c r="K204" s="43">
        <f t="shared" si="9"/>
        <v>2.5000000000000001E-2</v>
      </c>
      <c r="L204" s="37" t="s">
        <v>1962</v>
      </c>
      <c r="M204" s="40">
        <v>45546</v>
      </c>
      <c r="N204" s="33" t="s">
        <v>57</v>
      </c>
      <c r="O204" s="41">
        <v>352000</v>
      </c>
      <c r="P204" s="34">
        <f t="shared" si="10"/>
        <v>1073.25</v>
      </c>
      <c r="Q204" s="36">
        <f t="shared" si="11"/>
        <v>71.55</v>
      </c>
      <c r="R204" s="35">
        <v>500</v>
      </c>
    </row>
    <row r="205" spans="1:18" x14ac:dyDescent="0.25">
      <c r="A205" s="37" t="s">
        <v>342</v>
      </c>
      <c r="B205" s="37"/>
      <c r="C205" s="37" t="s">
        <v>65</v>
      </c>
      <c r="D205" s="37" t="s">
        <v>2582</v>
      </c>
      <c r="E205" s="38">
        <v>45546</v>
      </c>
      <c r="F205" s="38">
        <v>45911</v>
      </c>
      <c r="G205" s="37" t="s">
        <v>1252</v>
      </c>
      <c r="H205" s="37" t="s">
        <v>60</v>
      </c>
      <c r="I205" s="39">
        <v>8800</v>
      </c>
      <c r="J205" s="39">
        <v>7155</v>
      </c>
      <c r="K205" s="43">
        <f t="shared" si="9"/>
        <v>2.5000000000000001E-2</v>
      </c>
      <c r="L205" s="37" t="s">
        <v>1963</v>
      </c>
      <c r="M205" s="40">
        <v>45546</v>
      </c>
      <c r="N205" s="33" t="s">
        <v>57</v>
      </c>
      <c r="O205" s="41">
        <v>352000</v>
      </c>
      <c r="P205" s="34">
        <f t="shared" si="10"/>
        <v>1073.25</v>
      </c>
      <c r="Q205" s="36">
        <f t="shared" si="11"/>
        <v>71.55</v>
      </c>
      <c r="R205" s="35">
        <v>500</v>
      </c>
    </row>
    <row r="206" spans="1:18" x14ac:dyDescent="0.25">
      <c r="A206" s="37" t="s">
        <v>343</v>
      </c>
      <c r="B206" s="37"/>
      <c r="C206" s="37" t="s">
        <v>65</v>
      </c>
      <c r="D206" s="37" t="s">
        <v>2582</v>
      </c>
      <c r="E206" s="38">
        <v>45546</v>
      </c>
      <c r="F206" s="38">
        <v>45911</v>
      </c>
      <c r="G206" s="37" t="s">
        <v>1253</v>
      </c>
      <c r="H206" s="37" t="s">
        <v>60</v>
      </c>
      <c r="I206" s="39">
        <v>8800</v>
      </c>
      <c r="J206" s="39">
        <v>7155</v>
      </c>
      <c r="K206" s="43">
        <f t="shared" si="9"/>
        <v>2.5000000000000001E-2</v>
      </c>
      <c r="L206" s="37" t="s">
        <v>1964</v>
      </c>
      <c r="M206" s="40">
        <v>45546</v>
      </c>
      <c r="N206" s="33" t="s">
        <v>57</v>
      </c>
      <c r="O206" s="41">
        <v>352000</v>
      </c>
      <c r="P206" s="34">
        <f t="shared" si="10"/>
        <v>1073.25</v>
      </c>
      <c r="Q206" s="36">
        <f t="shared" si="11"/>
        <v>71.55</v>
      </c>
      <c r="R206" s="35">
        <v>500</v>
      </c>
    </row>
    <row r="207" spans="1:18" x14ac:dyDescent="0.25">
      <c r="A207" s="37" t="s">
        <v>344</v>
      </c>
      <c r="B207" s="37"/>
      <c r="C207" s="37" t="s">
        <v>36</v>
      </c>
      <c r="D207" s="37" t="s">
        <v>36</v>
      </c>
      <c r="E207" s="38">
        <v>45546</v>
      </c>
      <c r="F207" s="38">
        <v>45911</v>
      </c>
      <c r="G207" s="37" t="s">
        <v>118</v>
      </c>
      <c r="H207" s="37" t="s">
        <v>60</v>
      </c>
      <c r="I207" s="39">
        <v>14960</v>
      </c>
      <c r="J207" s="39">
        <v>12466</v>
      </c>
      <c r="K207" s="43">
        <f t="shared" si="9"/>
        <v>4.2500000000000003E-2</v>
      </c>
      <c r="L207" s="37" t="s">
        <v>1965</v>
      </c>
      <c r="M207" s="40">
        <v>45546</v>
      </c>
      <c r="N207" s="33" t="s">
        <v>57</v>
      </c>
      <c r="O207" s="41">
        <v>352000</v>
      </c>
      <c r="P207" s="34">
        <f t="shared" si="10"/>
        <v>1869.9</v>
      </c>
      <c r="Q207" s="36">
        <f t="shared" si="11"/>
        <v>124.66</v>
      </c>
      <c r="R207" s="35">
        <v>500</v>
      </c>
    </row>
    <row r="208" spans="1:18" x14ac:dyDescent="0.25">
      <c r="A208" s="37" t="s">
        <v>345</v>
      </c>
      <c r="B208" s="37"/>
      <c r="C208" s="37" t="s">
        <v>36</v>
      </c>
      <c r="D208" s="37" t="s">
        <v>36</v>
      </c>
      <c r="E208" s="38">
        <v>45546</v>
      </c>
      <c r="F208" s="38">
        <v>45911</v>
      </c>
      <c r="G208" s="37" t="s">
        <v>1254</v>
      </c>
      <c r="H208" s="37" t="s">
        <v>60</v>
      </c>
      <c r="I208" s="39">
        <v>14960</v>
      </c>
      <c r="J208" s="39">
        <v>12466</v>
      </c>
      <c r="K208" s="43">
        <f t="shared" si="9"/>
        <v>4.2500000000000003E-2</v>
      </c>
      <c r="L208" s="37" t="s">
        <v>1966</v>
      </c>
      <c r="M208" s="40">
        <v>45546</v>
      </c>
      <c r="N208" s="33" t="s">
        <v>57</v>
      </c>
      <c r="O208" s="41">
        <v>352000</v>
      </c>
      <c r="P208" s="34">
        <f t="shared" si="10"/>
        <v>1869.9</v>
      </c>
      <c r="Q208" s="36">
        <f t="shared" si="11"/>
        <v>124.66</v>
      </c>
      <c r="R208" s="35">
        <v>500</v>
      </c>
    </row>
    <row r="209" spans="1:18" x14ac:dyDescent="0.25">
      <c r="A209" s="37" t="s">
        <v>346</v>
      </c>
      <c r="B209" s="37"/>
      <c r="C209" s="37" t="s">
        <v>31</v>
      </c>
      <c r="D209" s="37" t="s">
        <v>36</v>
      </c>
      <c r="E209" s="38">
        <v>45546</v>
      </c>
      <c r="F209" s="38">
        <v>45911</v>
      </c>
      <c r="G209" s="37" t="s">
        <v>1255</v>
      </c>
      <c r="H209" s="37" t="s">
        <v>60</v>
      </c>
      <c r="I209" s="39">
        <v>14960</v>
      </c>
      <c r="J209" s="39">
        <v>12466</v>
      </c>
      <c r="K209" s="43">
        <f t="shared" si="9"/>
        <v>4.2500000000000003E-2</v>
      </c>
      <c r="L209" s="37" t="s">
        <v>1967</v>
      </c>
      <c r="M209" s="40">
        <v>45546</v>
      </c>
      <c r="N209" s="33" t="s">
        <v>57</v>
      </c>
      <c r="O209" s="41">
        <v>352000</v>
      </c>
      <c r="P209" s="34">
        <f t="shared" si="10"/>
        <v>1869.9</v>
      </c>
      <c r="Q209" s="36">
        <f t="shared" si="11"/>
        <v>124.66</v>
      </c>
      <c r="R209" s="35">
        <v>500</v>
      </c>
    </row>
    <row r="210" spans="1:18" x14ac:dyDescent="0.25">
      <c r="A210" s="37" t="s">
        <v>347</v>
      </c>
      <c r="B210" s="37"/>
      <c r="C210" s="37" t="s">
        <v>33</v>
      </c>
      <c r="D210" s="37" t="s">
        <v>36</v>
      </c>
      <c r="E210" s="38">
        <v>45546</v>
      </c>
      <c r="F210" s="38">
        <v>45911</v>
      </c>
      <c r="G210" s="37" t="s">
        <v>1256</v>
      </c>
      <c r="H210" s="37" t="s">
        <v>61</v>
      </c>
      <c r="I210" s="39">
        <v>16235</v>
      </c>
      <c r="J210" s="39">
        <v>13565</v>
      </c>
      <c r="K210" s="43">
        <f t="shared" si="9"/>
        <v>4.2500000000000003E-2</v>
      </c>
      <c r="L210" s="37" t="s">
        <v>1968</v>
      </c>
      <c r="M210" s="40">
        <v>45546</v>
      </c>
      <c r="N210" s="33" t="s">
        <v>57</v>
      </c>
      <c r="O210" s="41">
        <v>382000</v>
      </c>
      <c r="P210" s="34">
        <f t="shared" si="10"/>
        <v>2034.75</v>
      </c>
      <c r="Q210" s="36">
        <f t="shared" si="11"/>
        <v>135.65</v>
      </c>
      <c r="R210" s="35">
        <v>500</v>
      </c>
    </row>
    <row r="211" spans="1:18" x14ac:dyDescent="0.25">
      <c r="A211" s="37" t="s">
        <v>348</v>
      </c>
      <c r="B211" s="37"/>
      <c r="C211" s="37" t="s">
        <v>33</v>
      </c>
      <c r="D211" s="37" t="s">
        <v>36</v>
      </c>
      <c r="E211" s="38">
        <v>45546</v>
      </c>
      <c r="F211" s="38">
        <v>45911</v>
      </c>
      <c r="G211" s="37" t="s">
        <v>1257</v>
      </c>
      <c r="H211" s="37" t="s">
        <v>62</v>
      </c>
      <c r="I211" s="39">
        <v>23248</v>
      </c>
      <c r="J211" s="39">
        <v>19610</v>
      </c>
      <c r="K211" s="43">
        <f t="shared" si="9"/>
        <v>4.2500914076782449E-2</v>
      </c>
      <c r="L211" s="37" t="s">
        <v>1969</v>
      </c>
      <c r="M211" s="40">
        <v>45546</v>
      </c>
      <c r="N211" s="33" t="s">
        <v>57</v>
      </c>
      <c r="O211" s="41">
        <v>547000</v>
      </c>
      <c r="P211" s="34">
        <f t="shared" si="10"/>
        <v>2941.5</v>
      </c>
      <c r="Q211" s="36">
        <f t="shared" si="11"/>
        <v>196.1</v>
      </c>
      <c r="R211" s="35">
        <v>500</v>
      </c>
    </row>
    <row r="212" spans="1:18" x14ac:dyDescent="0.25">
      <c r="A212" s="37" t="s">
        <v>349</v>
      </c>
      <c r="B212" s="37"/>
      <c r="C212" s="37" t="s">
        <v>33</v>
      </c>
      <c r="D212" s="37" t="s">
        <v>36</v>
      </c>
      <c r="E212" s="38">
        <v>45912</v>
      </c>
      <c r="F212" s="38">
        <v>46277</v>
      </c>
      <c r="G212" s="37" t="s">
        <v>1257</v>
      </c>
      <c r="H212" s="37" t="s">
        <v>62</v>
      </c>
      <c r="I212" s="39">
        <v>23248</v>
      </c>
      <c r="J212" s="39">
        <v>19610</v>
      </c>
      <c r="K212" s="43">
        <f t="shared" si="9"/>
        <v>4.2500914076782449E-2</v>
      </c>
      <c r="L212" s="37" t="s">
        <v>1969</v>
      </c>
      <c r="M212" s="40">
        <v>45546</v>
      </c>
      <c r="N212" s="33" t="s">
        <v>57</v>
      </c>
      <c r="O212" s="41">
        <v>547000</v>
      </c>
      <c r="P212" s="34">
        <f t="shared" si="10"/>
        <v>2941.5</v>
      </c>
      <c r="Q212" s="36">
        <f t="shared" si="11"/>
        <v>196.1</v>
      </c>
      <c r="R212" s="35">
        <v>500</v>
      </c>
    </row>
    <row r="213" spans="1:18" x14ac:dyDescent="0.25">
      <c r="A213" s="37" t="s">
        <v>350</v>
      </c>
      <c r="B213" s="37"/>
      <c r="C213" s="37" t="s">
        <v>31</v>
      </c>
      <c r="D213" s="37" t="s">
        <v>36</v>
      </c>
      <c r="E213" s="38">
        <v>45546</v>
      </c>
      <c r="F213" s="38">
        <v>45911</v>
      </c>
      <c r="G213" s="37" t="s">
        <v>1258</v>
      </c>
      <c r="H213" s="37" t="s">
        <v>60</v>
      </c>
      <c r="I213" s="39">
        <v>14960</v>
      </c>
      <c r="J213" s="39">
        <v>12466</v>
      </c>
      <c r="K213" s="43">
        <f t="shared" si="9"/>
        <v>4.2500000000000003E-2</v>
      </c>
      <c r="L213" s="37" t="s">
        <v>1970</v>
      </c>
      <c r="M213" s="40">
        <v>45546</v>
      </c>
      <c r="N213" s="33" t="s">
        <v>57</v>
      </c>
      <c r="O213" s="41">
        <v>352000</v>
      </c>
      <c r="P213" s="34">
        <f t="shared" si="10"/>
        <v>1869.9</v>
      </c>
      <c r="Q213" s="36">
        <f t="shared" si="11"/>
        <v>124.66</v>
      </c>
      <c r="R213" s="35">
        <v>500</v>
      </c>
    </row>
    <row r="214" spans="1:18" x14ac:dyDescent="0.25">
      <c r="A214" s="37" t="s">
        <v>351</v>
      </c>
      <c r="B214" s="37"/>
      <c r="C214" s="37" t="s">
        <v>31</v>
      </c>
      <c r="D214" s="37" t="s">
        <v>36</v>
      </c>
      <c r="E214" s="38">
        <v>45547</v>
      </c>
      <c r="F214" s="38">
        <v>45912</v>
      </c>
      <c r="G214" s="37" t="s">
        <v>1259</v>
      </c>
      <c r="H214" s="37" t="s">
        <v>60</v>
      </c>
      <c r="I214" s="39">
        <v>14960</v>
      </c>
      <c r="J214" s="39">
        <v>12466</v>
      </c>
      <c r="K214" s="43">
        <f t="shared" si="9"/>
        <v>4.2500000000000003E-2</v>
      </c>
      <c r="L214" s="37" t="s">
        <v>1971</v>
      </c>
      <c r="M214" s="40">
        <v>45547</v>
      </c>
      <c r="N214" s="33" t="s">
        <v>57</v>
      </c>
      <c r="O214" s="41">
        <v>352000</v>
      </c>
      <c r="P214" s="34">
        <f t="shared" si="10"/>
        <v>1869.9</v>
      </c>
      <c r="Q214" s="36">
        <f t="shared" si="11"/>
        <v>124.66</v>
      </c>
      <c r="R214" s="35">
        <v>500</v>
      </c>
    </row>
    <row r="215" spans="1:18" x14ac:dyDescent="0.25">
      <c r="A215" s="37" t="s">
        <v>352</v>
      </c>
      <c r="B215" s="37"/>
      <c r="C215" s="37" t="s">
        <v>31</v>
      </c>
      <c r="D215" s="37" t="s">
        <v>36</v>
      </c>
      <c r="E215" s="38">
        <v>45913</v>
      </c>
      <c r="F215" s="38">
        <v>46278</v>
      </c>
      <c r="G215" s="37" t="s">
        <v>1259</v>
      </c>
      <c r="H215" s="37" t="s">
        <v>60</v>
      </c>
      <c r="I215" s="39">
        <v>14960</v>
      </c>
      <c r="J215" s="39">
        <v>12466</v>
      </c>
      <c r="K215" s="43">
        <f t="shared" si="9"/>
        <v>4.2500000000000003E-2</v>
      </c>
      <c r="L215" s="37" t="s">
        <v>1971</v>
      </c>
      <c r="M215" s="40">
        <v>45547</v>
      </c>
      <c r="N215" s="33" t="s">
        <v>57</v>
      </c>
      <c r="O215" s="41">
        <v>352000</v>
      </c>
      <c r="P215" s="34">
        <f t="shared" si="10"/>
        <v>1869.9</v>
      </c>
      <c r="Q215" s="36">
        <f t="shared" si="11"/>
        <v>124.66</v>
      </c>
      <c r="R215" s="35">
        <v>500</v>
      </c>
    </row>
    <row r="216" spans="1:18" x14ac:dyDescent="0.25">
      <c r="A216" s="37" t="s">
        <v>353</v>
      </c>
      <c r="B216" s="37"/>
      <c r="C216" s="37" t="s">
        <v>31</v>
      </c>
      <c r="D216" s="37" t="s">
        <v>36</v>
      </c>
      <c r="E216" s="38">
        <v>45547</v>
      </c>
      <c r="F216" s="38">
        <v>45912</v>
      </c>
      <c r="G216" s="37" t="s">
        <v>1260</v>
      </c>
      <c r="H216" s="37" t="s">
        <v>60</v>
      </c>
      <c r="I216" s="39">
        <v>14960</v>
      </c>
      <c r="J216" s="39">
        <v>12466</v>
      </c>
      <c r="K216" s="43">
        <f t="shared" si="9"/>
        <v>4.2500000000000003E-2</v>
      </c>
      <c r="L216" s="37" t="s">
        <v>1972</v>
      </c>
      <c r="M216" s="40">
        <v>45547</v>
      </c>
      <c r="N216" s="33" t="s">
        <v>57</v>
      </c>
      <c r="O216" s="41">
        <v>352000</v>
      </c>
      <c r="P216" s="34">
        <f t="shared" si="10"/>
        <v>1869.9</v>
      </c>
      <c r="Q216" s="36">
        <f t="shared" si="11"/>
        <v>124.66</v>
      </c>
      <c r="R216" s="35">
        <v>500</v>
      </c>
    </row>
    <row r="217" spans="1:18" x14ac:dyDescent="0.25">
      <c r="A217" s="37" t="s">
        <v>354</v>
      </c>
      <c r="B217" s="37"/>
      <c r="C217" s="37" t="s">
        <v>31</v>
      </c>
      <c r="D217" s="37" t="s">
        <v>36</v>
      </c>
      <c r="E217" s="38">
        <v>45913</v>
      </c>
      <c r="F217" s="38">
        <v>46278</v>
      </c>
      <c r="G217" s="37" t="s">
        <v>1260</v>
      </c>
      <c r="H217" s="37" t="s">
        <v>60</v>
      </c>
      <c r="I217" s="39">
        <v>14960</v>
      </c>
      <c r="J217" s="39">
        <v>12466</v>
      </c>
      <c r="K217" s="43">
        <f t="shared" si="9"/>
        <v>4.2500000000000003E-2</v>
      </c>
      <c r="L217" s="37" t="s">
        <v>1972</v>
      </c>
      <c r="M217" s="40">
        <v>45547</v>
      </c>
      <c r="N217" s="33" t="s">
        <v>57</v>
      </c>
      <c r="O217" s="41">
        <v>352000</v>
      </c>
      <c r="P217" s="34">
        <f t="shared" si="10"/>
        <v>1869.9</v>
      </c>
      <c r="Q217" s="36">
        <f t="shared" si="11"/>
        <v>124.66</v>
      </c>
      <c r="R217" s="35">
        <v>500</v>
      </c>
    </row>
    <row r="218" spans="1:18" x14ac:dyDescent="0.25">
      <c r="A218" s="37" t="s">
        <v>355</v>
      </c>
      <c r="B218" s="37"/>
      <c r="C218" s="37" t="s">
        <v>31</v>
      </c>
      <c r="D218" s="37" t="s">
        <v>36</v>
      </c>
      <c r="E218" s="38">
        <v>45547</v>
      </c>
      <c r="F218" s="38">
        <v>45912</v>
      </c>
      <c r="G218" s="37" t="s">
        <v>1261</v>
      </c>
      <c r="H218" s="37" t="s">
        <v>63</v>
      </c>
      <c r="I218" s="39">
        <v>21208</v>
      </c>
      <c r="J218" s="39">
        <v>17852</v>
      </c>
      <c r="K218" s="43">
        <f t="shared" si="9"/>
        <v>4.2501002004008019E-2</v>
      </c>
      <c r="L218" s="37" t="s">
        <v>1973</v>
      </c>
      <c r="M218" s="40">
        <v>45547</v>
      </c>
      <c r="N218" s="33" t="s">
        <v>57</v>
      </c>
      <c r="O218" s="41">
        <v>499000</v>
      </c>
      <c r="P218" s="34">
        <f t="shared" si="10"/>
        <v>2677.8</v>
      </c>
      <c r="Q218" s="36">
        <f t="shared" si="11"/>
        <v>178.52</v>
      </c>
      <c r="R218" s="35">
        <v>500</v>
      </c>
    </row>
    <row r="219" spans="1:18" x14ac:dyDescent="0.25">
      <c r="A219" s="37" t="s">
        <v>356</v>
      </c>
      <c r="B219" s="37"/>
      <c r="C219" s="37" t="s">
        <v>31</v>
      </c>
      <c r="D219" s="37" t="s">
        <v>36</v>
      </c>
      <c r="E219" s="38">
        <v>45913</v>
      </c>
      <c r="F219" s="38">
        <v>46278</v>
      </c>
      <c r="G219" s="37" t="s">
        <v>1261</v>
      </c>
      <c r="H219" s="37" t="s">
        <v>63</v>
      </c>
      <c r="I219" s="39">
        <v>21208</v>
      </c>
      <c r="J219" s="39">
        <v>17852</v>
      </c>
      <c r="K219" s="43">
        <f t="shared" si="9"/>
        <v>4.2501002004008019E-2</v>
      </c>
      <c r="L219" s="37" t="s">
        <v>1973</v>
      </c>
      <c r="M219" s="40">
        <v>45547</v>
      </c>
      <c r="N219" s="33" t="s">
        <v>57</v>
      </c>
      <c r="O219" s="41">
        <v>499000</v>
      </c>
      <c r="P219" s="34">
        <f t="shared" si="10"/>
        <v>2677.8</v>
      </c>
      <c r="Q219" s="36">
        <f t="shared" si="11"/>
        <v>178.52</v>
      </c>
      <c r="R219" s="35">
        <v>500</v>
      </c>
    </row>
    <row r="220" spans="1:18" x14ac:dyDescent="0.25">
      <c r="A220" s="37" t="s">
        <v>357</v>
      </c>
      <c r="B220" s="37"/>
      <c r="C220" s="37" t="s">
        <v>39</v>
      </c>
      <c r="D220" s="37" t="s">
        <v>36</v>
      </c>
      <c r="E220" s="38">
        <v>45547</v>
      </c>
      <c r="F220" s="38">
        <v>45912</v>
      </c>
      <c r="G220" s="37" t="s">
        <v>115</v>
      </c>
      <c r="H220" s="37" t="s">
        <v>62</v>
      </c>
      <c r="I220" s="39">
        <v>23248</v>
      </c>
      <c r="J220" s="39">
        <v>19610</v>
      </c>
      <c r="K220" s="43">
        <f t="shared" si="9"/>
        <v>4.2500914076782449E-2</v>
      </c>
      <c r="L220" s="37" t="s">
        <v>1974</v>
      </c>
      <c r="M220" s="40">
        <v>45547</v>
      </c>
      <c r="N220" s="33" t="s">
        <v>57</v>
      </c>
      <c r="O220" s="41">
        <v>547000</v>
      </c>
      <c r="P220" s="34">
        <f t="shared" si="10"/>
        <v>2941.5</v>
      </c>
      <c r="Q220" s="36">
        <f t="shared" si="11"/>
        <v>196.1</v>
      </c>
      <c r="R220" s="35">
        <v>500</v>
      </c>
    </row>
    <row r="221" spans="1:18" x14ac:dyDescent="0.25">
      <c r="A221" s="37" t="s">
        <v>358</v>
      </c>
      <c r="B221" s="37"/>
      <c r="C221" s="37" t="s">
        <v>31</v>
      </c>
      <c r="D221" s="37" t="s">
        <v>36</v>
      </c>
      <c r="E221" s="38">
        <v>45547</v>
      </c>
      <c r="F221" s="38">
        <v>45912</v>
      </c>
      <c r="G221" s="37" t="s">
        <v>1262</v>
      </c>
      <c r="H221" s="37" t="s">
        <v>60</v>
      </c>
      <c r="I221" s="39">
        <v>14960</v>
      </c>
      <c r="J221" s="39">
        <v>12466</v>
      </c>
      <c r="K221" s="43">
        <f t="shared" si="9"/>
        <v>4.2500000000000003E-2</v>
      </c>
      <c r="L221" s="37" t="s">
        <v>1975</v>
      </c>
      <c r="M221" s="40">
        <v>45547</v>
      </c>
      <c r="N221" s="33" t="s">
        <v>57</v>
      </c>
      <c r="O221" s="41">
        <v>352000</v>
      </c>
      <c r="P221" s="34">
        <f t="shared" si="10"/>
        <v>1869.9</v>
      </c>
      <c r="Q221" s="36">
        <f t="shared" si="11"/>
        <v>124.66</v>
      </c>
      <c r="R221" s="35">
        <v>500</v>
      </c>
    </row>
    <row r="222" spans="1:18" x14ac:dyDescent="0.25">
      <c r="A222" s="37" t="s">
        <v>359</v>
      </c>
      <c r="B222" s="37"/>
      <c r="C222" s="37" t="s">
        <v>30</v>
      </c>
      <c r="D222" s="37" t="s">
        <v>36</v>
      </c>
      <c r="E222" s="38">
        <v>45547</v>
      </c>
      <c r="F222" s="38">
        <v>45912</v>
      </c>
      <c r="G222" s="37" t="s">
        <v>96</v>
      </c>
      <c r="H222" s="37" t="s">
        <v>60</v>
      </c>
      <c r="I222" s="39">
        <v>14960</v>
      </c>
      <c r="J222" s="39">
        <v>12466</v>
      </c>
      <c r="K222" s="43">
        <f t="shared" si="9"/>
        <v>4.2500000000000003E-2</v>
      </c>
      <c r="L222" s="37" t="s">
        <v>1976</v>
      </c>
      <c r="M222" s="40">
        <v>45547</v>
      </c>
      <c r="N222" s="33" t="s">
        <v>57</v>
      </c>
      <c r="O222" s="41">
        <v>352000</v>
      </c>
      <c r="P222" s="34">
        <f t="shared" si="10"/>
        <v>1869.9</v>
      </c>
      <c r="Q222" s="36">
        <f t="shared" si="11"/>
        <v>124.66</v>
      </c>
      <c r="R222" s="35">
        <v>500</v>
      </c>
    </row>
    <row r="223" spans="1:18" x14ac:dyDescent="0.25">
      <c r="A223" s="37" t="s">
        <v>360</v>
      </c>
      <c r="B223" s="37"/>
      <c r="C223" s="37" t="s">
        <v>30</v>
      </c>
      <c r="D223" s="37" t="s">
        <v>36</v>
      </c>
      <c r="E223" s="38">
        <v>45913</v>
      </c>
      <c r="F223" s="38">
        <v>46278</v>
      </c>
      <c r="G223" s="37" t="s">
        <v>96</v>
      </c>
      <c r="H223" s="37" t="s">
        <v>60</v>
      </c>
      <c r="I223" s="39">
        <v>14960</v>
      </c>
      <c r="J223" s="39">
        <v>12466</v>
      </c>
      <c r="K223" s="43">
        <f t="shared" si="9"/>
        <v>4.2500000000000003E-2</v>
      </c>
      <c r="L223" s="37" t="s">
        <v>1976</v>
      </c>
      <c r="M223" s="40">
        <v>45547</v>
      </c>
      <c r="N223" s="33" t="s">
        <v>57</v>
      </c>
      <c r="O223" s="41">
        <v>352000</v>
      </c>
      <c r="P223" s="34">
        <f t="shared" si="10"/>
        <v>1869.9</v>
      </c>
      <c r="Q223" s="36">
        <f t="shared" si="11"/>
        <v>124.66</v>
      </c>
      <c r="R223" s="35">
        <v>500</v>
      </c>
    </row>
    <row r="224" spans="1:18" x14ac:dyDescent="0.25">
      <c r="A224" s="37" t="s">
        <v>361</v>
      </c>
      <c r="B224" s="37"/>
      <c r="C224" s="37" t="s">
        <v>53</v>
      </c>
      <c r="D224" s="37" t="s">
        <v>2582</v>
      </c>
      <c r="E224" s="38">
        <v>45547</v>
      </c>
      <c r="F224" s="38">
        <v>45912</v>
      </c>
      <c r="G224" s="37" t="s">
        <v>1263</v>
      </c>
      <c r="H224" s="37" t="s">
        <v>60</v>
      </c>
      <c r="I224" s="39">
        <v>8800</v>
      </c>
      <c r="J224" s="39">
        <v>7155</v>
      </c>
      <c r="K224" s="43">
        <f t="shared" si="9"/>
        <v>2.5000000000000001E-2</v>
      </c>
      <c r="L224" s="37" t="s">
        <v>1977</v>
      </c>
      <c r="M224" s="40">
        <v>45547</v>
      </c>
      <c r="N224" s="33" t="s">
        <v>57</v>
      </c>
      <c r="O224" s="41">
        <v>352000</v>
      </c>
      <c r="P224" s="34">
        <f t="shared" si="10"/>
        <v>1073.25</v>
      </c>
      <c r="Q224" s="36">
        <f t="shared" si="11"/>
        <v>71.55</v>
      </c>
      <c r="R224" s="35">
        <v>500</v>
      </c>
    </row>
    <row r="225" spans="1:18" x14ac:dyDescent="0.25">
      <c r="A225" s="37" t="s">
        <v>362</v>
      </c>
      <c r="B225" s="37"/>
      <c r="C225" s="37" t="s">
        <v>38</v>
      </c>
      <c r="D225" s="37" t="s">
        <v>36</v>
      </c>
      <c r="E225" s="38">
        <v>45547</v>
      </c>
      <c r="F225" s="38">
        <v>45912</v>
      </c>
      <c r="G225" s="37" t="s">
        <v>1264</v>
      </c>
      <c r="H225" s="37" t="s">
        <v>61</v>
      </c>
      <c r="I225" s="39">
        <v>16235</v>
      </c>
      <c r="J225" s="39">
        <v>13565</v>
      </c>
      <c r="K225" s="43">
        <f t="shared" si="9"/>
        <v>4.2500000000000003E-2</v>
      </c>
      <c r="L225" s="37" t="s">
        <v>1978</v>
      </c>
      <c r="M225" s="40">
        <v>45547</v>
      </c>
      <c r="N225" s="33" t="s">
        <v>57</v>
      </c>
      <c r="O225" s="41">
        <v>382000</v>
      </c>
      <c r="P225" s="34">
        <f t="shared" si="10"/>
        <v>2034.75</v>
      </c>
      <c r="Q225" s="36">
        <f t="shared" si="11"/>
        <v>135.65</v>
      </c>
      <c r="R225" s="35">
        <v>500</v>
      </c>
    </row>
    <row r="226" spans="1:18" x14ac:dyDescent="0.25">
      <c r="A226" s="37" t="s">
        <v>363</v>
      </c>
      <c r="B226" s="37"/>
      <c r="C226" s="37" t="s">
        <v>38</v>
      </c>
      <c r="D226" s="37" t="s">
        <v>36</v>
      </c>
      <c r="E226" s="38">
        <v>45547</v>
      </c>
      <c r="F226" s="38">
        <v>45912</v>
      </c>
      <c r="G226" s="37" t="s">
        <v>1265</v>
      </c>
      <c r="H226" s="37" t="s">
        <v>60</v>
      </c>
      <c r="I226" s="39">
        <v>14960</v>
      </c>
      <c r="J226" s="39">
        <v>12466</v>
      </c>
      <c r="K226" s="43">
        <f t="shared" si="9"/>
        <v>4.2500000000000003E-2</v>
      </c>
      <c r="L226" s="37" t="s">
        <v>1979</v>
      </c>
      <c r="M226" s="40">
        <v>45547</v>
      </c>
      <c r="N226" s="33" t="s">
        <v>57</v>
      </c>
      <c r="O226" s="41">
        <v>352000</v>
      </c>
      <c r="P226" s="34">
        <f t="shared" si="10"/>
        <v>1869.9</v>
      </c>
      <c r="Q226" s="36">
        <f t="shared" si="11"/>
        <v>124.66</v>
      </c>
      <c r="R226" s="35">
        <v>500</v>
      </c>
    </row>
    <row r="227" spans="1:18" x14ac:dyDescent="0.25">
      <c r="A227" s="37" t="s">
        <v>364</v>
      </c>
      <c r="B227" s="37"/>
      <c r="C227" s="37" t="s">
        <v>38</v>
      </c>
      <c r="D227" s="37" t="s">
        <v>36</v>
      </c>
      <c r="E227" s="38">
        <v>45547</v>
      </c>
      <c r="F227" s="38">
        <v>45912</v>
      </c>
      <c r="G227" s="37" t="s">
        <v>1266</v>
      </c>
      <c r="H227" s="37" t="s">
        <v>60</v>
      </c>
      <c r="I227" s="39">
        <v>14960</v>
      </c>
      <c r="J227" s="39">
        <v>12466</v>
      </c>
      <c r="K227" s="43">
        <f t="shared" si="9"/>
        <v>4.2500000000000003E-2</v>
      </c>
      <c r="L227" s="37" t="s">
        <v>1980</v>
      </c>
      <c r="M227" s="40">
        <v>45547</v>
      </c>
      <c r="N227" s="33" t="s">
        <v>57</v>
      </c>
      <c r="O227" s="41">
        <v>352000</v>
      </c>
      <c r="P227" s="34">
        <f t="shared" si="10"/>
        <v>1869.9</v>
      </c>
      <c r="Q227" s="36">
        <f t="shared" si="11"/>
        <v>124.66</v>
      </c>
      <c r="R227" s="35">
        <v>500</v>
      </c>
    </row>
    <row r="228" spans="1:18" x14ac:dyDescent="0.25">
      <c r="A228" s="37" t="s">
        <v>365</v>
      </c>
      <c r="B228" s="37"/>
      <c r="C228" s="37" t="s">
        <v>38</v>
      </c>
      <c r="D228" s="37" t="s">
        <v>36</v>
      </c>
      <c r="E228" s="38">
        <v>45547</v>
      </c>
      <c r="F228" s="38">
        <v>45912</v>
      </c>
      <c r="G228" s="37" t="s">
        <v>1267</v>
      </c>
      <c r="H228" s="37" t="s">
        <v>61</v>
      </c>
      <c r="I228" s="39">
        <v>16235</v>
      </c>
      <c r="J228" s="39">
        <v>13565</v>
      </c>
      <c r="K228" s="43">
        <f t="shared" si="9"/>
        <v>4.2500000000000003E-2</v>
      </c>
      <c r="L228" s="37" t="s">
        <v>1981</v>
      </c>
      <c r="M228" s="40">
        <v>45547</v>
      </c>
      <c r="N228" s="33" t="s">
        <v>57</v>
      </c>
      <c r="O228" s="41">
        <v>382000</v>
      </c>
      <c r="P228" s="34">
        <f t="shared" si="10"/>
        <v>2034.75</v>
      </c>
      <c r="Q228" s="36">
        <f t="shared" si="11"/>
        <v>135.65</v>
      </c>
      <c r="R228" s="35">
        <v>500</v>
      </c>
    </row>
    <row r="229" spans="1:18" x14ac:dyDescent="0.25">
      <c r="A229" s="37" t="s">
        <v>366</v>
      </c>
      <c r="B229" s="37"/>
      <c r="C229" s="37" t="s">
        <v>39</v>
      </c>
      <c r="D229" s="37" t="s">
        <v>36</v>
      </c>
      <c r="E229" s="38">
        <v>45547</v>
      </c>
      <c r="F229" s="38">
        <v>45912</v>
      </c>
      <c r="G229" s="37" t="s">
        <v>1268</v>
      </c>
      <c r="H229" s="37" t="s">
        <v>62</v>
      </c>
      <c r="I229" s="39">
        <v>23248</v>
      </c>
      <c r="J229" s="39">
        <v>19610</v>
      </c>
      <c r="K229" s="43">
        <f t="shared" si="9"/>
        <v>4.2500914076782449E-2</v>
      </c>
      <c r="L229" s="37" t="s">
        <v>1982</v>
      </c>
      <c r="M229" s="40">
        <v>45547</v>
      </c>
      <c r="N229" s="33" t="s">
        <v>57</v>
      </c>
      <c r="O229" s="41">
        <v>547000</v>
      </c>
      <c r="P229" s="34">
        <f t="shared" si="10"/>
        <v>2941.5</v>
      </c>
      <c r="Q229" s="36">
        <f t="shared" si="11"/>
        <v>196.1</v>
      </c>
      <c r="R229" s="35">
        <v>500</v>
      </c>
    </row>
    <row r="230" spans="1:18" x14ac:dyDescent="0.25">
      <c r="A230" s="37" t="s">
        <v>367</v>
      </c>
      <c r="B230" s="37"/>
      <c r="C230" s="37" t="s">
        <v>38</v>
      </c>
      <c r="D230" s="37" t="s">
        <v>36</v>
      </c>
      <c r="E230" s="38">
        <v>45547</v>
      </c>
      <c r="F230" s="38">
        <v>45912</v>
      </c>
      <c r="G230" s="37" t="s">
        <v>1269</v>
      </c>
      <c r="H230" s="37" t="s">
        <v>60</v>
      </c>
      <c r="I230" s="39">
        <v>14960</v>
      </c>
      <c r="J230" s="39">
        <v>12466</v>
      </c>
      <c r="K230" s="43">
        <f t="shared" si="9"/>
        <v>4.2500000000000003E-2</v>
      </c>
      <c r="L230" s="37" t="s">
        <v>1983</v>
      </c>
      <c r="M230" s="40">
        <v>45547</v>
      </c>
      <c r="N230" s="33" t="s">
        <v>57</v>
      </c>
      <c r="O230" s="41">
        <v>352000</v>
      </c>
      <c r="P230" s="34">
        <f t="shared" si="10"/>
        <v>1869.9</v>
      </c>
      <c r="Q230" s="36">
        <f t="shared" si="11"/>
        <v>124.66</v>
      </c>
      <c r="R230" s="35">
        <v>500</v>
      </c>
    </row>
    <row r="231" spans="1:18" x14ac:dyDescent="0.25">
      <c r="A231" s="37" t="s">
        <v>368</v>
      </c>
      <c r="B231" s="37"/>
      <c r="C231" s="37" t="s">
        <v>79</v>
      </c>
      <c r="D231" s="37" t="s">
        <v>2582</v>
      </c>
      <c r="E231" s="38">
        <v>45547</v>
      </c>
      <c r="F231" s="38">
        <v>45912</v>
      </c>
      <c r="G231" s="37" t="s">
        <v>1270</v>
      </c>
      <c r="H231" s="37" t="s">
        <v>61</v>
      </c>
      <c r="I231" s="39">
        <v>9550</v>
      </c>
      <c r="J231" s="39">
        <v>7802</v>
      </c>
      <c r="K231" s="43">
        <f t="shared" si="9"/>
        <v>2.5000000000000001E-2</v>
      </c>
      <c r="L231" s="37" t="s">
        <v>1984</v>
      </c>
      <c r="M231" s="40">
        <v>45547</v>
      </c>
      <c r="N231" s="33" t="s">
        <v>57</v>
      </c>
      <c r="O231" s="41">
        <v>382000</v>
      </c>
      <c r="P231" s="34">
        <f t="shared" si="10"/>
        <v>1170.3</v>
      </c>
      <c r="Q231" s="36">
        <f t="shared" si="11"/>
        <v>78.02</v>
      </c>
      <c r="R231" s="35">
        <v>500</v>
      </c>
    </row>
    <row r="232" spans="1:18" x14ac:dyDescent="0.25">
      <c r="A232" s="37" t="s">
        <v>369</v>
      </c>
      <c r="B232" s="37"/>
      <c r="C232" s="37" t="s">
        <v>35</v>
      </c>
      <c r="D232" s="37" t="s">
        <v>36</v>
      </c>
      <c r="E232" s="38">
        <v>45547</v>
      </c>
      <c r="F232" s="38">
        <v>45912</v>
      </c>
      <c r="G232" s="37" t="s">
        <v>1271</v>
      </c>
      <c r="H232" s="37" t="s">
        <v>60</v>
      </c>
      <c r="I232" s="39">
        <v>14960</v>
      </c>
      <c r="J232" s="39">
        <v>12466</v>
      </c>
      <c r="K232" s="43">
        <f t="shared" si="9"/>
        <v>4.2500000000000003E-2</v>
      </c>
      <c r="L232" s="37" t="s">
        <v>1985</v>
      </c>
      <c r="M232" s="40">
        <v>45547</v>
      </c>
      <c r="N232" s="33" t="s">
        <v>57</v>
      </c>
      <c r="O232" s="41">
        <v>352000</v>
      </c>
      <c r="P232" s="34">
        <f t="shared" si="10"/>
        <v>1869.9</v>
      </c>
      <c r="Q232" s="36">
        <f t="shared" si="11"/>
        <v>124.66</v>
      </c>
      <c r="R232" s="35">
        <v>500</v>
      </c>
    </row>
    <row r="233" spans="1:18" x14ac:dyDescent="0.25">
      <c r="A233" s="37" t="s">
        <v>370</v>
      </c>
      <c r="B233" s="37"/>
      <c r="C233" s="37" t="s">
        <v>79</v>
      </c>
      <c r="D233" s="37" t="s">
        <v>2582</v>
      </c>
      <c r="E233" s="38">
        <v>45547</v>
      </c>
      <c r="F233" s="38">
        <v>45912</v>
      </c>
      <c r="G233" s="37" t="s">
        <v>1272</v>
      </c>
      <c r="H233" s="37" t="s">
        <v>60</v>
      </c>
      <c r="I233" s="39">
        <v>8800</v>
      </c>
      <c r="J233" s="39">
        <v>7155</v>
      </c>
      <c r="K233" s="43">
        <f t="shared" si="9"/>
        <v>2.5000000000000001E-2</v>
      </c>
      <c r="L233" s="37" t="s">
        <v>1986</v>
      </c>
      <c r="M233" s="40">
        <v>45547</v>
      </c>
      <c r="N233" s="33" t="s">
        <v>57</v>
      </c>
      <c r="O233" s="41">
        <v>352000</v>
      </c>
      <c r="P233" s="34">
        <f t="shared" si="10"/>
        <v>1073.25</v>
      </c>
      <c r="Q233" s="36">
        <f t="shared" si="11"/>
        <v>71.55</v>
      </c>
      <c r="R233" s="35">
        <v>500</v>
      </c>
    </row>
    <row r="234" spans="1:18" x14ac:dyDescent="0.25">
      <c r="A234" s="37" t="s">
        <v>371</v>
      </c>
      <c r="B234" s="37"/>
      <c r="C234" s="37" t="s">
        <v>39</v>
      </c>
      <c r="D234" s="37" t="s">
        <v>36</v>
      </c>
      <c r="E234" s="38">
        <v>45547</v>
      </c>
      <c r="F234" s="38">
        <v>45912</v>
      </c>
      <c r="G234" s="37" t="s">
        <v>1273</v>
      </c>
      <c r="H234" s="37" t="s">
        <v>60</v>
      </c>
      <c r="I234" s="39">
        <v>14960</v>
      </c>
      <c r="J234" s="39">
        <v>12466</v>
      </c>
      <c r="K234" s="43">
        <f t="shared" si="9"/>
        <v>4.2500000000000003E-2</v>
      </c>
      <c r="L234" s="37" t="s">
        <v>1987</v>
      </c>
      <c r="M234" s="40">
        <v>45547</v>
      </c>
      <c r="N234" s="33" t="s">
        <v>57</v>
      </c>
      <c r="O234" s="41">
        <v>352000</v>
      </c>
      <c r="P234" s="34">
        <f t="shared" si="10"/>
        <v>1869.9</v>
      </c>
      <c r="Q234" s="36">
        <f t="shared" si="11"/>
        <v>124.66</v>
      </c>
      <c r="R234" s="35">
        <v>500</v>
      </c>
    </row>
    <row r="235" spans="1:18" x14ac:dyDescent="0.25">
      <c r="A235" s="37" t="s">
        <v>372</v>
      </c>
      <c r="B235" s="37"/>
      <c r="C235" s="37" t="s">
        <v>39</v>
      </c>
      <c r="D235" s="37" t="s">
        <v>36</v>
      </c>
      <c r="E235" s="38">
        <v>45547</v>
      </c>
      <c r="F235" s="38">
        <v>45912</v>
      </c>
      <c r="G235" s="37" t="s">
        <v>1273</v>
      </c>
      <c r="H235" s="37" t="s">
        <v>60</v>
      </c>
      <c r="I235" s="39">
        <v>14960</v>
      </c>
      <c r="J235" s="39">
        <v>12466</v>
      </c>
      <c r="K235" s="43">
        <f t="shared" si="9"/>
        <v>4.2500000000000003E-2</v>
      </c>
      <c r="L235" s="37" t="s">
        <v>1987</v>
      </c>
      <c r="M235" s="40">
        <v>45547</v>
      </c>
      <c r="N235" s="33" t="s">
        <v>57</v>
      </c>
      <c r="O235" s="41">
        <v>352000</v>
      </c>
      <c r="P235" s="34">
        <f t="shared" si="10"/>
        <v>1869.9</v>
      </c>
      <c r="Q235" s="36">
        <f t="shared" si="11"/>
        <v>124.66</v>
      </c>
      <c r="R235" s="35">
        <v>500</v>
      </c>
    </row>
    <row r="236" spans="1:18" x14ac:dyDescent="0.25">
      <c r="A236" s="37" t="s">
        <v>373</v>
      </c>
      <c r="B236" s="37"/>
      <c r="C236" s="37" t="s">
        <v>79</v>
      </c>
      <c r="D236" s="37" t="s">
        <v>2582</v>
      </c>
      <c r="E236" s="38">
        <v>45547</v>
      </c>
      <c r="F236" s="38">
        <v>45912</v>
      </c>
      <c r="G236" s="37" t="s">
        <v>1274</v>
      </c>
      <c r="H236" s="37" t="s">
        <v>60</v>
      </c>
      <c r="I236" s="39">
        <v>8800</v>
      </c>
      <c r="J236" s="39">
        <v>7155</v>
      </c>
      <c r="K236" s="43">
        <f t="shared" si="9"/>
        <v>2.5000000000000001E-2</v>
      </c>
      <c r="L236" s="37" t="s">
        <v>1988</v>
      </c>
      <c r="M236" s="40">
        <v>45547</v>
      </c>
      <c r="N236" s="33" t="s">
        <v>57</v>
      </c>
      <c r="O236" s="41">
        <v>352000</v>
      </c>
      <c r="P236" s="34">
        <f t="shared" si="10"/>
        <v>1073.25</v>
      </c>
      <c r="Q236" s="36">
        <f t="shared" si="11"/>
        <v>71.55</v>
      </c>
      <c r="R236" s="35">
        <v>500</v>
      </c>
    </row>
    <row r="237" spans="1:18" x14ac:dyDescent="0.25">
      <c r="A237" s="37" t="s">
        <v>374</v>
      </c>
      <c r="B237" s="37"/>
      <c r="C237" s="37" t="s">
        <v>31</v>
      </c>
      <c r="D237" s="37" t="s">
        <v>36</v>
      </c>
      <c r="E237" s="38">
        <v>45547</v>
      </c>
      <c r="F237" s="38">
        <v>45912</v>
      </c>
      <c r="G237" s="37" t="s">
        <v>1275</v>
      </c>
      <c r="H237" s="37" t="s">
        <v>61</v>
      </c>
      <c r="I237" s="39">
        <v>16235</v>
      </c>
      <c r="J237" s="39">
        <v>13565</v>
      </c>
      <c r="K237" s="43">
        <f t="shared" si="9"/>
        <v>4.2500000000000003E-2</v>
      </c>
      <c r="L237" s="37" t="s">
        <v>1989</v>
      </c>
      <c r="M237" s="40">
        <v>45547</v>
      </c>
      <c r="N237" s="33" t="s">
        <v>57</v>
      </c>
      <c r="O237" s="41">
        <v>382000</v>
      </c>
      <c r="P237" s="34">
        <f t="shared" si="10"/>
        <v>2034.75</v>
      </c>
      <c r="Q237" s="36">
        <f t="shared" si="11"/>
        <v>135.65</v>
      </c>
      <c r="R237" s="35">
        <v>500</v>
      </c>
    </row>
    <row r="238" spans="1:18" x14ac:dyDescent="0.25">
      <c r="A238" s="37" t="s">
        <v>375</v>
      </c>
      <c r="B238" s="37"/>
      <c r="C238" s="37" t="s">
        <v>66</v>
      </c>
      <c r="D238" s="37" t="s">
        <v>2582</v>
      </c>
      <c r="E238" s="38">
        <v>45547</v>
      </c>
      <c r="F238" s="38">
        <v>45912</v>
      </c>
      <c r="G238" s="37" t="s">
        <v>1276</v>
      </c>
      <c r="H238" s="37" t="s">
        <v>60</v>
      </c>
      <c r="I238" s="39">
        <v>8800</v>
      </c>
      <c r="J238" s="39">
        <v>7155</v>
      </c>
      <c r="K238" s="43">
        <f t="shared" si="9"/>
        <v>2.5000000000000001E-2</v>
      </c>
      <c r="L238" s="37" t="s">
        <v>1990</v>
      </c>
      <c r="M238" s="40">
        <v>45547</v>
      </c>
      <c r="N238" s="33" t="s">
        <v>57</v>
      </c>
      <c r="O238" s="41">
        <v>352000</v>
      </c>
      <c r="P238" s="34">
        <f t="shared" si="10"/>
        <v>1073.25</v>
      </c>
      <c r="Q238" s="36">
        <f t="shared" si="11"/>
        <v>71.55</v>
      </c>
      <c r="R238" s="35">
        <v>500</v>
      </c>
    </row>
    <row r="239" spans="1:18" x14ac:dyDescent="0.25">
      <c r="A239" s="37" t="s">
        <v>376</v>
      </c>
      <c r="B239" s="37"/>
      <c r="C239" s="37" t="s">
        <v>79</v>
      </c>
      <c r="D239" s="37" t="s">
        <v>2582</v>
      </c>
      <c r="E239" s="38">
        <v>45547</v>
      </c>
      <c r="F239" s="38">
        <v>45912</v>
      </c>
      <c r="G239" s="37" t="s">
        <v>1277</v>
      </c>
      <c r="H239" s="37" t="s">
        <v>61</v>
      </c>
      <c r="I239" s="39">
        <v>9550</v>
      </c>
      <c r="J239" s="39">
        <v>7802</v>
      </c>
      <c r="K239" s="43">
        <f t="shared" si="9"/>
        <v>2.5000000000000001E-2</v>
      </c>
      <c r="L239" s="37" t="s">
        <v>1991</v>
      </c>
      <c r="M239" s="40">
        <v>45547</v>
      </c>
      <c r="N239" s="33" t="s">
        <v>57</v>
      </c>
      <c r="O239" s="41">
        <v>382000</v>
      </c>
      <c r="P239" s="34">
        <f t="shared" si="10"/>
        <v>1170.3</v>
      </c>
      <c r="Q239" s="36">
        <f t="shared" si="11"/>
        <v>78.02</v>
      </c>
      <c r="R239" s="35">
        <v>500</v>
      </c>
    </row>
    <row r="240" spans="1:18" x14ac:dyDescent="0.25">
      <c r="A240" s="37" t="s">
        <v>377</v>
      </c>
      <c r="B240" s="37"/>
      <c r="C240" s="37" t="s">
        <v>70</v>
      </c>
      <c r="D240" s="37" t="s">
        <v>2582</v>
      </c>
      <c r="E240" s="38">
        <v>45547</v>
      </c>
      <c r="F240" s="38">
        <v>45912</v>
      </c>
      <c r="G240" s="37" t="s">
        <v>1278</v>
      </c>
      <c r="H240" s="37" t="s">
        <v>61</v>
      </c>
      <c r="I240" s="39">
        <v>9550</v>
      </c>
      <c r="J240" s="39">
        <v>7802</v>
      </c>
      <c r="K240" s="43">
        <f t="shared" si="9"/>
        <v>2.5000000000000001E-2</v>
      </c>
      <c r="L240" s="37" t="s">
        <v>1992</v>
      </c>
      <c r="M240" s="40">
        <v>45547</v>
      </c>
      <c r="N240" s="33" t="s">
        <v>57</v>
      </c>
      <c r="O240" s="41">
        <v>382000</v>
      </c>
      <c r="P240" s="34">
        <f t="shared" si="10"/>
        <v>1170.3</v>
      </c>
      <c r="Q240" s="36">
        <f t="shared" si="11"/>
        <v>78.02</v>
      </c>
      <c r="R240" s="35">
        <v>500</v>
      </c>
    </row>
    <row r="241" spans="1:18" x14ac:dyDescent="0.25">
      <c r="A241" s="37" t="s">
        <v>378</v>
      </c>
      <c r="B241" s="37"/>
      <c r="C241" s="37" t="s">
        <v>79</v>
      </c>
      <c r="D241" s="37" t="s">
        <v>2582</v>
      </c>
      <c r="E241" s="38">
        <v>45547</v>
      </c>
      <c r="F241" s="38">
        <v>45912</v>
      </c>
      <c r="G241" s="37" t="s">
        <v>1279</v>
      </c>
      <c r="H241" s="37" t="s">
        <v>61</v>
      </c>
      <c r="I241" s="39">
        <v>9550</v>
      </c>
      <c r="J241" s="39">
        <v>7802</v>
      </c>
      <c r="K241" s="43">
        <f t="shared" si="9"/>
        <v>2.5000000000000001E-2</v>
      </c>
      <c r="L241" s="37" t="s">
        <v>1993</v>
      </c>
      <c r="M241" s="40">
        <v>45547</v>
      </c>
      <c r="N241" s="33" t="s">
        <v>57</v>
      </c>
      <c r="O241" s="41">
        <v>382000</v>
      </c>
      <c r="P241" s="34">
        <f t="shared" si="10"/>
        <v>1170.3</v>
      </c>
      <c r="Q241" s="36">
        <f t="shared" si="11"/>
        <v>78.02</v>
      </c>
      <c r="R241" s="35">
        <v>500</v>
      </c>
    </row>
    <row r="242" spans="1:18" x14ac:dyDescent="0.25">
      <c r="A242" s="37" t="s">
        <v>379</v>
      </c>
      <c r="B242" s="37"/>
      <c r="C242" s="37" t="s">
        <v>79</v>
      </c>
      <c r="D242" s="37" t="s">
        <v>2582</v>
      </c>
      <c r="E242" s="38">
        <v>45547</v>
      </c>
      <c r="F242" s="38">
        <v>45912</v>
      </c>
      <c r="G242" s="37" t="s">
        <v>1280</v>
      </c>
      <c r="H242" s="37" t="s">
        <v>60</v>
      </c>
      <c r="I242" s="39">
        <v>8800</v>
      </c>
      <c r="J242" s="39">
        <v>7155</v>
      </c>
      <c r="K242" s="43">
        <f t="shared" si="9"/>
        <v>2.5000000000000001E-2</v>
      </c>
      <c r="L242" s="37" t="s">
        <v>1994</v>
      </c>
      <c r="M242" s="40">
        <v>45547</v>
      </c>
      <c r="N242" s="33" t="s">
        <v>57</v>
      </c>
      <c r="O242" s="41">
        <v>352000</v>
      </c>
      <c r="P242" s="34">
        <f t="shared" si="10"/>
        <v>1073.25</v>
      </c>
      <c r="Q242" s="36">
        <f t="shared" si="11"/>
        <v>71.55</v>
      </c>
      <c r="R242" s="35">
        <v>500</v>
      </c>
    </row>
    <row r="243" spans="1:18" x14ac:dyDescent="0.25">
      <c r="A243" s="37" t="s">
        <v>380</v>
      </c>
      <c r="B243" s="37"/>
      <c r="C243" s="37" t="s">
        <v>52</v>
      </c>
      <c r="D243" s="37" t="s">
        <v>36</v>
      </c>
      <c r="E243" s="38">
        <v>45547</v>
      </c>
      <c r="F243" s="38">
        <v>45912</v>
      </c>
      <c r="G243" s="37" t="s">
        <v>1281</v>
      </c>
      <c r="H243" s="37" t="s">
        <v>60</v>
      </c>
      <c r="I243" s="39">
        <v>14960</v>
      </c>
      <c r="J243" s="39">
        <v>12466</v>
      </c>
      <c r="K243" s="43">
        <f t="shared" si="9"/>
        <v>4.2500000000000003E-2</v>
      </c>
      <c r="L243" s="37" t="s">
        <v>1995</v>
      </c>
      <c r="M243" s="40">
        <v>45547</v>
      </c>
      <c r="N243" s="33" t="s">
        <v>57</v>
      </c>
      <c r="O243" s="41">
        <v>352000</v>
      </c>
      <c r="P243" s="34">
        <f t="shared" si="10"/>
        <v>1869.9</v>
      </c>
      <c r="Q243" s="36">
        <f t="shared" si="11"/>
        <v>124.66</v>
      </c>
      <c r="R243" s="35">
        <v>500</v>
      </c>
    </row>
    <row r="244" spans="1:18" x14ac:dyDescent="0.25">
      <c r="A244" s="37" t="s">
        <v>381</v>
      </c>
      <c r="B244" s="37"/>
      <c r="C244" s="37" t="s">
        <v>52</v>
      </c>
      <c r="D244" s="37" t="s">
        <v>36</v>
      </c>
      <c r="E244" s="38">
        <v>45547</v>
      </c>
      <c r="F244" s="38">
        <v>45912</v>
      </c>
      <c r="G244" s="37" t="s">
        <v>1282</v>
      </c>
      <c r="H244" s="37" t="s">
        <v>60</v>
      </c>
      <c r="I244" s="39">
        <v>14960</v>
      </c>
      <c r="J244" s="39">
        <v>12466</v>
      </c>
      <c r="K244" s="43">
        <f t="shared" si="9"/>
        <v>4.2500000000000003E-2</v>
      </c>
      <c r="L244" s="37" t="s">
        <v>1996</v>
      </c>
      <c r="M244" s="40">
        <v>45547</v>
      </c>
      <c r="N244" s="33" t="s">
        <v>57</v>
      </c>
      <c r="O244" s="41">
        <v>352000</v>
      </c>
      <c r="P244" s="34">
        <f t="shared" si="10"/>
        <v>1869.9</v>
      </c>
      <c r="Q244" s="36">
        <f t="shared" si="11"/>
        <v>124.66</v>
      </c>
      <c r="R244" s="35">
        <v>500</v>
      </c>
    </row>
    <row r="245" spans="1:18" x14ac:dyDescent="0.25">
      <c r="A245" s="37" t="s">
        <v>382</v>
      </c>
      <c r="B245" s="37"/>
      <c r="C245" s="37" t="s">
        <v>32</v>
      </c>
      <c r="D245" s="37" t="s">
        <v>36</v>
      </c>
      <c r="E245" s="38">
        <v>45547</v>
      </c>
      <c r="F245" s="38">
        <v>45912</v>
      </c>
      <c r="G245" s="37" t="s">
        <v>110</v>
      </c>
      <c r="H245" s="37" t="s">
        <v>62</v>
      </c>
      <c r="I245" s="39">
        <v>23248</v>
      </c>
      <c r="J245" s="39">
        <v>19610</v>
      </c>
      <c r="K245" s="43">
        <f t="shared" si="9"/>
        <v>4.2500914076782449E-2</v>
      </c>
      <c r="L245" s="37" t="s">
        <v>1997</v>
      </c>
      <c r="M245" s="40">
        <v>45547</v>
      </c>
      <c r="N245" s="33" t="s">
        <v>57</v>
      </c>
      <c r="O245" s="41">
        <v>547000</v>
      </c>
      <c r="P245" s="34">
        <f t="shared" si="10"/>
        <v>2941.5</v>
      </c>
      <c r="Q245" s="36">
        <f t="shared" si="11"/>
        <v>196.1</v>
      </c>
      <c r="R245" s="35">
        <v>500</v>
      </c>
    </row>
    <row r="246" spans="1:18" x14ac:dyDescent="0.25">
      <c r="A246" s="37" t="s">
        <v>383</v>
      </c>
      <c r="B246" s="37"/>
      <c r="C246" s="37" t="s">
        <v>39</v>
      </c>
      <c r="D246" s="37" t="s">
        <v>36</v>
      </c>
      <c r="E246" s="38">
        <v>45547</v>
      </c>
      <c r="F246" s="38">
        <v>45912</v>
      </c>
      <c r="G246" s="37" t="s">
        <v>1283</v>
      </c>
      <c r="H246" s="37" t="s">
        <v>60</v>
      </c>
      <c r="I246" s="39">
        <v>14960</v>
      </c>
      <c r="J246" s="39">
        <v>12466</v>
      </c>
      <c r="K246" s="43">
        <f t="shared" si="9"/>
        <v>4.2500000000000003E-2</v>
      </c>
      <c r="L246" s="37" t="s">
        <v>1998</v>
      </c>
      <c r="M246" s="40">
        <v>45547</v>
      </c>
      <c r="N246" s="33" t="s">
        <v>57</v>
      </c>
      <c r="O246" s="41">
        <v>352000</v>
      </c>
      <c r="P246" s="34">
        <f t="shared" si="10"/>
        <v>1869.9</v>
      </c>
      <c r="Q246" s="36">
        <f t="shared" si="11"/>
        <v>124.66</v>
      </c>
      <c r="R246" s="35">
        <v>500</v>
      </c>
    </row>
    <row r="247" spans="1:18" x14ac:dyDescent="0.25">
      <c r="A247" s="37" t="s">
        <v>384</v>
      </c>
      <c r="B247" s="37"/>
      <c r="C247" s="37" t="s">
        <v>35</v>
      </c>
      <c r="D247" s="37" t="s">
        <v>36</v>
      </c>
      <c r="E247" s="38">
        <v>45547</v>
      </c>
      <c r="F247" s="38">
        <v>45912</v>
      </c>
      <c r="G247" s="37" t="s">
        <v>1284</v>
      </c>
      <c r="H247" s="37" t="s">
        <v>60</v>
      </c>
      <c r="I247" s="39">
        <v>14960</v>
      </c>
      <c r="J247" s="39">
        <v>12466</v>
      </c>
      <c r="K247" s="43">
        <f t="shared" si="9"/>
        <v>4.2500000000000003E-2</v>
      </c>
      <c r="L247" s="37" t="s">
        <v>1999</v>
      </c>
      <c r="M247" s="40">
        <v>45547</v>
      </c>
      <c r="N247" s="33" t="s">
        <v>57</v>
      </c>
      <c r="O247" s="41">
        <v>352000</v>
      </c>
      <c r="P247" s="34">
        <f t="shared" si="10"/>
        <v>1869.9</v>
      </c>
      <c r="Q247" s="36">
        <f t="shared" si="11"/>
        <v>124.66</v>
      </c>
      <c r="R247" s="35">
        <v>500</v>
      </c>
    </row>
    <row r="248" spans="1:18" x14ac:dyDescent="0.25">
      <c r="A248" s="37" t="s">
        <v>385</v>
      </c>
      <c r="B248" s="37"/>
      <c r="C248" s="37" t="s">
        <v>35</v>
      </c>
      <c r="D248" s="37" t="s">
        <v>36</v>
      </c>
      <c r="E248" s="38">
        <v>45913</v>
      </c>
      <c r="F248" s="38">
        <v>46278</v>
      </c>
      <c r="G248" s="37" t="s">
        <v>1284</v>
      </c>
      <c r="H248" s="37" t="s">
        <v>60</v>
      </c>
      <c r="I248" s="39">
        <v>14960</v>
      </c>
      <c r="J248" s="39">
        <v>12466</v>
      </c>
      <c r="K248" s="43">
        <f t="shared" si="9"/>
        <v>4.2500000000000003E-2</v>
      </c>
      <c r="L248" s="37" t="s">
        <v>1999</v>
      </c>
      <c r="M248" s="40">
        <v>45547</v>
      </c>
      <c r="N248" s="33" t="s">
        <v>57</v>
      </c>
      <c r="O248" s="41">
        <v>352000</v>
      </c>
      <c r="P248" s="34">
        <f t="shared" si="10"/>
        <v>1869.9</v>
      </c>
      <c r="Q248" s="36">
        <f t="shared" si="11"/>
        <v>124.66</v>
      </c>
      <c r="R248" s="35">
        <v>500</v>
      </c>
    </row>
    <row r="249" spans="1:18" x14ac:dyDescent="0.25">
      <c r="A249" s="37" t="s">
        <v>386</v>
      </c>
      <c r="B249" s="37"/>
      <c r="C249" s="37" t="s">
        <v>52</v>
      </c>
      <c r="D249" s="37" t="s">
        <v>36</v>
      </c>
      <c r="E249" s="38">
        <v>45547</v>
      </c>
      <c r="F249" s="38">
        <v>45912</v>
      </c>
      <c r="G249" s="37" t="s">
        <v>1285</v>
      </c>
      <c r="H249" s="37" t="s">
        <v>60</v>
      </c>
      <c r="I249" s="39">
        <v>14960</v>
      </c>
      <c r="J249" s="39">
        <v>12466</v>
      </c>
      <c r="K249" s="43">
        <f t="shared" si="9"/>
        <v>4.2500000000000003E-2</v>
      </c>
      <c r="L249" s="37" t="s">
        <v>2000</v>
      </c>
      <c r="M249" s="40">
        <v>45547</v>
      </c>
      <c r="N249" s="33" t="s">
        <v>57</v>
      </c>
      <c r="O249" s="41">
        <v>352000</v>
      </c>
      <c r="P249" s="34">
        <f t="shared" si="10"/>
        <v>1869.9</v>
      </c>
      <c r="Q249" s="36">
        <f t="shared" si="11"/>
        <v>124.66</v>
      </c>
      <c r="R249" s="35">
        <v>500</v>
      </c>
    </row>
    <row r="250" spans="1:18" x14ac:dyDescent="0.25">
      <c r="A250" s="37" t="s">
        <v>387</v>
      </c>
      <c r="B250" s="37"/>
      <c r="C250" s="37" t="s">
        <v>38</v>
      </c>
      <c r="D250" s="37" t="s">
        <v>36</v>
      </c>
      <c r="E250" s="38">
        <v>45547</v>
      </c>
      <c r="F250" s="38">
        <v>45912</v>
      </c>
      <c r="G250" s="37" t="s">
        <v>1286</v>
      </c>
      <c r="H250" s="37" t="s">
        <v>60</v>
      </c>
      <c r="I250" s="39">
        <v>14960</v>
      </c>
      <c r="J250" s="39">
        <v>12466</v>
      </c>
      <c r="K250" s="43">
        <f t="shared" si="9"/>
        <v>4.2500000000000003E-2</v>
      </c>
      <c r="L250" s="37" t="s">
        <v>2001</v>
      </c>
      <c r="M250" s="40">
        <v>45547</v>
      </c>
      <c r="N250" s="33" t="s">
        <v>57</v>
      </c>
      <c r="O250" s="41">
        <v>352000</v>
      </c>
      <c r="P250" s="34">
        <f t="shared" si="10"/>
        <v>1869.9</v>
      </c>
      <c r="Q250" s="36">
        <f t="shared" si="11"/>
        <v>124.66</v>
      </c>
      <c r="R250" s="35">
        <v>500</v>
      </c>
    </row>
    <row r="251" spans="1:18" x14ac:dyDescent="0.25">
      <c r="A251" s="37" t="s">
        <v>388</v>
      </c>
      <c r="B251" s="37"/>
      <c r="C251" s="37" t="s">
        <v>38</v>
      </c>
      <c r="D251" s="37" t="s">
        <v>36</v>
      </c>
      <c r="E251" s="38">
        <v>45547</v>
      </c>
      <c r="F251" s="38">
        <v>45912</v>
      </c>
      <c r="G251" s="37" t="s">
        <v>1287</v>
      </c>
      <c r="H251" s="37" t="s">
        <v>60</v>
      </c>
      <c r="I251" s="39">
        <v>14960</v>
      </c>
      <c r="J251" s="39">
        <v>12466</v>
      </c>
      <c r="K251" s="43">
        <f t="shared" si="9"/>
        <v>4.2500000000000003E-2</v>
      </c>
      <c r="L251" s="37" t="s">
        <v>1815</v>
      </c>
      <c r="M251" s="40">
        <v>45547</v>
      </c>
      <c r="N251" s="33" t="s">
        <v>57</v>
      </c>
      <c r="O251" s="41">
        <v>352000</v>
      </c>
      <c r="P251" s="34">
        <f t="shared" si="10"/>
        <v>1869.9</v>
      </c>
      <c r="Q251" s="36">
        <f t="shared" si="11"/>
        <v>124.66</v>
      </c>
      <c r="R251" s="35">
        <v>500</v>
      </c>
    </row>
    <row r="252" spans="1:18" x14ac:dyDescent="0.25">
      <c r="A252" s="37" t="s">
        <v>389</v>
      </c>
      <c r="B252" s="37"/>
      <c r="C252" s="37" t="s">
        <v>38</v>
      </c>
      <c r="D252" s="37" t="s">
        <v>36</v>
      </c>
      <c r="E252" s="38">
        <v>45913</v>
      </c>
      <c r="F252" s="38">
        <v>46278</v>
      </c>
      <c r="G252" s="37" t="s">
        <v>1287</v>
      </c>
      <c r="H252" s="37" t="s">
        <v>60</v>
      </c>
      <c r="I252" s="39">
        <v>14960</v>
      </c>
      <c r="J252" s="39">
        <v>12466</v>
      </c>
      <c r="K252" s="43">
        <f t="shared" si="9"/>
        <v>4.2500000000000003E-2</v>
      </c>
      <c r="L252" s="37" t="s">
        <v>1815</v>
      </c>
      <c r="M252" s="40">
        <v>45547</v>
      </c>
      <c r="N252" s="33" t="s">
        <v>57</v>
      </c>
      <c r="O252" s="41">
        <v>352000</v>
      </c>
      <c r="P252" s="34">
        <f t="shared" si="10"/>
        <v>1869.9</v>
      </c>
      <c r="Q252" s="36">
        <f t="shared" si="11"/>
        <v>124.66</v>
      </c>
      <c r="R252" s="35">
        <v>500</v>
      </c>
    </row>
    <row r="253" spans="1:18" x14ac:dyDescent="0.25">
      <c r="A253" s="37" t="s">
        <v>390</v>
      </c>
      <c r="B253" s="37"/>
      <c r="C253" s="37" t="s">
        <v>38</v>
      </c>
      <c r="D253" s="37" t="s">
        <v>36</v>
      </c>
      <c r="E253" s="38">
        <v>45547</v>
      </c>
      <c r="F253" s="38">
        <v>45912</v>
      </c>
      <c r="G253" s="37" t="s">
        <v>1288</v>
      </c>
      <c r="H253" s="37" t="s">
        <v>61</v>
      </c>
      <c r="I253" s="39">
        <v>16235</v>
      </c>
      <c r="J253" s="39">
        <v>13565</v>
      </c>
      <c r="K253" s="43">
        <f t="shared" si="9"/>
        <v>4.2500000000000003E-2</v>
      </c>
      <c r="L253" s="37" t="s">
        <v>2002</v>
      </c>
      <c r="M253" s="40">
        <v>45547</v>
      </c>
      <c r="N253" s="33" t="s">
        <v>57</v>
      </c>
      <c r="O253" s="41">
        <v>382000</v>
      </c>
      <c r="P253" s="34">
        <f t="shared" si="10"/>
        <v>2034.75</v>
      </c>
      <c r="Q253" s="36">
        <f t="shared" si="11"/>
        <v>135.65</v>
      </c>
      <c r="R253" s="35">
        <v>500</v>
      </c>
    </row>
    <row r="254" spans="1:18" x14ac:dyDescent="0.25">
      <c r="A254" s="37" t="s">
        <v>391</v>
      </c>
      <c r="B254" s="37"/>
      <c r="C254" s="37" t="s">
        <v>38</v>
      </c>
      <c r="D254" s="37" t="s">
        <v>36</v>
      </c>
      <c r="E254" s="38">
        <v>45913</v>
      </c>
      <c r="F254" s="38">
        <v>46278</v>
      </c>
      <c r="G254" s="37" t="s">
        <v>1288</v>
      </c>
      <c r="H254" s="37" t="s">
        <v>61</v>
      </c>
      <c r="I254" s="39">
        <v>16235</v>
      </c>
      <c r="J254" s="39">
        <v>13565</v>
      </c>
      <c r="K254" s="43">
        <f t="shared" si="9"/>
        <v>4.2500000000000003E-2</v>
      </c>
      <c r="L254" s="37" t="s">
        <v>2002</v>
      </c>
      <c r="M254" s="40">
        <v>45547</v>
      </c>
      <c r="N254" s="33" t="s">
        <v>57</v>
      </c>
      <c r="O254" s="41">
        <v>382000</v>
      </c>
      <c r="P254" s="34">
        <f t="shared" si="10"/>
        <v>2034.75</v>
      </c>
      <c r="Q254" s="36">
        <f t="shared" si="11"/>
        <v>135.65</v>
      </c>
      <c r="R254" s="35">
        <v>500</v>
      </c>
    </row>
    <row r="255" spans="1:18" x14ac:dyDescent="0.25">
      <c r="A255" s="37" t="s">
        <v>392</v>
      </c>
      <c r="B255" s="37"/>
      <c r="C255" s="37" t="s">
        <v>38</v>
      </c>
      <c r="D255" s="37" t="s">
        <v>36</v>
      </c>
      <c r="E255" s="38">
        <v>45547</v>
      </c>
      <c r="F255" s="38">
        <v>45912</v>
      </c>
      <c r="G255" s="37" t="s">
        <v>1289</v>
      </c>
      <c r="H255" s="37" t="s">
        <v>60</v>
      </c>
      <c r="I255" s="39">
        <v>14960</v>
      </c>
      <c r="J255" s="39">
        <v>12466</v>
      </c>
      <c r="K255" s="43">
        <f t="shared" si="9"/>
        <v>4.2500000000000003E-2</v>
      </c>
      <c r="L255" s="37" t="s">
        <v>2003</v>
      </c>
      <c r="M255" s="40">
        <v>45547</v>
      </c>
      <c r="N255" s="33" t="s">
        <v>57</v>
      </c>
      <c r="O255" s="41">
        <v>352000</v>
      </c>
      <c r="P255" s="34">
        <f t="shared" si="10"/>
        <v>1869.9</v>
      </c>
      <c r="Q255" s="36">
        <f t="shared" si="11"/>
        <v>124.66</v>
      </c>
      <c r="R255" s="35">
        <v>500</v>
      </c>
    </row>
    <row r="256" spans="1:18" x14ac:dyDescent="0.25">
      <c r="A256" s="37" t="s">
        <v>393</v>
      </c>
      <c r="B256" s="37"/>
      <c r="C256" s="37" t="s">
        <v>38</v>
      </c>
      <c r="D256" s="37" t="s">
        <v>36</v>
      </c>
      <c r="E256" s="38">
        <v>45547</v>
      </c>
      <c r="F256" s="38">
        <v>45912</v>
      </c>
      <c r="G256" s="37" t="s">
        <v>1290</v>
      </c>
      <c r="H256" s="37" t="s">
        <v>61</v>
      </c>
      <c r="I256" s="39">
        <v>16235</v>
      </c>
      <c r="J256" s="39">
        <v>13565</v>
      </c>
      <c r="K256" s="43">
        <f t="shared" si="9"/>
        <v>4.2500000000000003E-2</v>
      </c>
      <c r="L256" s="37" t="s">
        <v>2004</v>
      </c>
      <c r="M256" s="40">
        <v>45547</v>
      </c>
      <c r="N256" s="33" t="s">
        <v>57</v>
      </c>
      <c r="O256" s="41">
        <v>382000</v>
      </c>
      <c r="P256" s="34">
        <f t="shared" si="10"/>
        <v>2034.75</v>
      </c>
      <c r="Q256" s="36">
        <f t="shared" si="11"/>
        <v>135.65</v>
      </c>
      <c r="R256" s="35">
        <v>500</v>
      </c>
    </row>
    <row r="257" spans="1:18" x14ac:dyDescent="0.25">
      <c r="A257" s="37" t="s">
        <v>394</v>
      </c>
      <c r="B257" s="37"/>
      <c r="C257" s="37" t="s">
        <v>38</v>
      </c>
      <c r="D257" s="37" t="s">
        <v>36</v>
      </c>
      <c r="E257" s="38">
        <v>45913</v>
      </c>
      <c r="F257" s="38">
        <v>46278</v>
      </c>
      <c r="G257" s="37" t="s">
        <v>1290</v>
      </c>
      <c r="H257" s="37" t="s">
        <v>61</v>
      </c>
      <c r="I257" s="39">
        <v>16235</v>
      </c>
      <c r="J257" s="39">
        <v>13565</v>
      </c>
      <c r="K257" s="43">
        <f t="shared" si="9"/>
        <v>4.2500000000000003E-2</v>
      </c>
      <c r="L257" s="37" t="s">
        <v>2004</v>
      </c>
      <c r="M257" s="40">
        <v>45547</v>
      </c>
      <c r="N257" s="33" t="s">
        <v>57</v>
      </c>
      <c r="O257" s="41">
        <v>382000</v>
      </c>
      <c r="P257" s="34">
        <f t="shared" si="10"/>
        <v>2034.75</v>
      </c>
      <c r="Q257" s="36">
        <f t="shared" si="11"/>
        <v>135.65</v>
      </c>
      <c r="R257" s="35">
        <v>500</v>
      </c>
    </row>
    <row r="258" spans="1:18" x14ac:dyDescent="0.25">
      <c r="A258" s="37" t="s">
        <v>395</v>
      </c>
      <c r="B258" s="37"/>
      <c r="C258" s="37" t="s">
        <v>38</v>
      </c>
      <c r="D258" s="37" t="s">
        <v>36</v>
      </c>
      <c r="E258" s="38">
        <v>45547</v>
      </c>
      <c r="F258" s="38">
        <v>45912</v>
      </c>
      <c r="G258" s="37" t="s">
        <v>1291</v>
      </c>
      <c r="H258" s="37" t="s">
        <v>60</v>
      </c>
      <c r="I258" s="39">
        <v>14960</v>
      </c>
      <c r="J258" s="39">
        <v>12466</v>
      </c>
      <c r="K258" s="43">
        <f t="shared" si="9"/>
        <v>4.2500000000000003E-2</v>
      </c>
      <c r="L258" s="37" t="s">
        <v>2005</v>
      </c>
      <c r="M258" s="40">
        <v>45547</v>
      </c>
      <c r="N258" s="33" t="s">
        <v>57</v>
      </c>
      <c r="O258" s="41">
        <v>352000</v>
      </c>
      <c r="P258" s="34">
        <f t="shared" si="10"/>
        <v>1869.9</v>
      </c>
      <c r="Q258" s="36">
        <f t="shared" si="11"/>
        <v>124.66</v>
      </c>
      <c r="R258" s="35">
        <v>500</v>
      </c>
    </row>
    <row r="259" spans="1:18" x14ac:dyDescent="0.25">
      <c r="A259" s="37" t="s">
        <v>396</v>
      </c>
      <c r="B259" s="37"/>
      <c r="C259" s="37" t="s">
        <v>38</v>
      </c>
      <c r="D259" s="37" t="s">
        <v>36</v>
      </c>
      <c r="E259" s="38">
        <v>45913</v>
      </c>
      <c r="F259" s="38">
        <v>46278</v>
      </c>
      <c r="G259" s="37" t="s">
        <v>1291</v>
      </c>
      <c r="H259" s="37" t="s">
        <v>60</v>
      </c>
      <c r="I259" s="39">
        <v>14960</v>
      </c>
      <c r="J259" s="39">
        <v>12466</v>
      </c>
      <c r="K259" s="43">
        <f t="shared" si="9"/>
        <v>4.2500000000000003E-2</v>
      </c>
      <c r="L259" s="37" t="s">
        <v>2005</v>
      </c>
      <c r="M259" s="40">
        <v>45547</v>
      </c>
      <c r="N259" s="33" t="s">
        <v>57</v>
      </c>
      <c r="O259" s="41">
        <v>352000</v>
      </c>
      <c r="P259" s="34">
        <f t="shared" si="10"/>
        <v>1869.9</v>
      </c>
      <c r="Q259" s="36">
        <f t="shared" si="11"/>
        <v>124.66</v>
      </c>
      <c r="R259" s="35">
        <v>500</v>
      </c>
    </row>
    <row r="260" spans="1:18" x14ac:dyDescent="0.25">
      <c r="A260" s="37" t="s">
        <v>397</v>
      </c>
      <c r="B260" s="37"/>
      <c r="C260" s="37" t="s">
        <v>38</v>
      </c>
      <c r="D260" s="37" t="s">
        <v>36</v>
      </c>
      <c r="E260" s="38">
        <v>45547</v>
      </c>
      <c r="F260" s="38">
        <v>45912</v>
      </c>
      <c r="G260" s="37" t="s">
        <v>1292</v>
      </c>
      <c r="H260" s="37" t="s">
        <v>60</v>
      </c>
      <c r="I260" s="39">
        <v>14960</v>
      </c>
      <c r="J260" s="39">
        <v>12466</v>
      </c>
      <c r="K260" s="43">
        <f t="shared" ref="K260:K323" si="12">I260/O260</f>
        <v>4.2500000000000003E-2</v>
      </c>
      <c r="L260" s="37" t="s">
        <v>2006</v>
      </c>
      <c r="M260" s="40">
        <v>45547</v>
      </c>
      <c r="N260" s="33" t="s">
        <v>57</v>
      </c>
      <c r="O260" s="41">
        <v>352000</v>
      </c>
      <c r="P260" s="34">
        <f t="shared" ref="P260:P323" si="13">J260*15/100</f>
        <v>1869.9</v>
      </c>
      <c r="Q260" s="36">
        <f t="shared" ref="Q260:Q322" si="14">J260*1/100</f>
        <v>124.66</v>
      </c>
      <c r="R260" s="35">
        <v>500</v>
      </c>
    </row>
    <row r="261" spans="1:18" x14ac:dyDescent="0.25">
      <c r="A261" s="37" t="s">
        <v>398</v>
      </c>
      <c r="B261" s="37"/>
      <c r="C261" s="37" t="s">
        <v>38</v>
      </c>
      <c r="D261" s="37" t="s">
        <v>36</v>
      </c>
      <c r="E261" s="38">
        <v>45913</v>
      </c>
      <c r="F261" s="38">
        <v>46278</v>
      </c>
      <c r="G261" s="37" t="s">
        <v>1292</v>
      </c>
      <c r="H261" s="37" t="s">
        <v>60</v>
      </c>
      <c r="I261" s="39">
        <v>14960</v>
      </c>
      <c r="J261" s="39">
        <v>12466</v>
      </c>
      <c r="K261" s="43">
        <f t="shared" si="12"/>
        <v>4.2500000000000003E-2</v>
      </c>
      <c r="L261" s="37" t="s">
        <v>2006</v>
      </c>
      <c r="M261" s="40">
        <v>45547</v>
      </c>
      <c r="N261" s="33" t="s">
        <v>57</v>
      </c>
      <c r="O261" s="41">
        <v>352000</v>
      </c>
      <c r="P261" s="34">
        <f t="shared" si="13"/>
        <v>1869.9</v>
      </c>
      <c r="Q261" s="36">
        <f t="shared" si="14"/>
        <v>124.66</v>
      </c>
      <c r="R261" s="35">
        <v>500</v>
      </c>
    </row>
    <row r="262" spans="1:18" x14ac:dyDescent="0.25">
      <c r="A262" s="37" t="s">
        <v>399</v>
      </c>
      <c r="B262" s="37"/>
      <c r="C262" s="37" t="s">
        <v>38</v>
      </c>
      <c r="D262" s="37" t="s">
        <v>36</v>
      </c>
      <c r="E262" s="38">
        <v>45547</v>
      </c>
      <c r="F262" s="38">
        <v>45912</v>
      </c>
      <c r="G262" s="37" t="s">
        <v>1293</v>
      </c>
      <c r="H262" s="37" t="s">
        <v>60</v>
      </c>
      <c r="I262" s="39">
        <v>14960</v>
      </c>
      <c r="J262" s="39">
        <v>12466</v>
      </c>
      <c r="K262" s="43">
        <f t="shared" si="12"/>
        <v>4.2500000000000003E-2</v>
      </c>
      <c r="L262" s="37" t="s">
        <v>1980</v>
      </c>
      <c r="M262" s="40">
        <v>45547</v>
      </c>
      <c r="N262" s="33" t="s">
        <v>57</v>
      </c>
      <c r="O262" s="41">
        <v>352000</v>
      </c>
      <c r="P262" s="34">
        <f t="shared" si="13"/>
        <v>1869.9</v>
      </c>
      <c r="Q262" s="36">
        <f t="shared" si="14"/>
        <v>124.66</v>
      </c>
      <c r="R262" s="35">
        <v>500</v>
      </c>
    </row>
    <row r="263" spans="1:18" x14ac:dyDescent="0.25">
      <c r="A263" s="37" t="s">
        <v>400</v>
      </c>
      <c r="B263" s="37"/>
      <c r="C263" s="37" t="s">
        <v>31</v>
      </c>
      <c r="D263" s="37" t="s">
        <v>36</v>
      </c>
      <c r="E263" s="38">
        <v>45548</v>
      </c>
      <c r="F263" s="38">
        <v>45913</v>
      </c>
      <c r="G263" s="37" t="s">
        <v>1294</v>
      </c>
      <c r="H263" s="37" t="s">
        <v>62</v>
      </c>
      <c r="I263" s="39">
        <v>23248</v>
      </c>
      <c r="J263" s="39">
        <v>19610</v>
      </c>
      <c r="K263" s="43">
        <f t="shared" si="12"/>
        <v>4.2500914076782449E-2</v>
      </c>
      <c r="L263" s="37" t="s">
        <v>2007</v>
      </c>
      <c r="M263" s="40">
        <v>45548</v>
      </c>
      <c r="N263" s="33" t="s">
        <v>57</v>
      </c>
      <c r="O263" s="41">
        <v>547000</v>
      </c>
      <c r="P263" s="34">
        <f t="shared" si="13"/>
        <v>2941.5</v>
      </c>
      <c r="Q263" s="36">
        <f t="shared" si="14"/>
        <v>196.1</v>
      </c>
      <c r="R263" s="35">
        <v>500</v>
      </c>
    </row>
    <row r="264" spans="1:18" x14ac:dyDescent="0.25">
      <c r="A264" s="37" t="s">
        <v>401</v>
      </c>
      <c r="B264" s="37"/>
      <c r="C264" s="37" t="s">
        <v>31</v>
      </c>
      <c r="D264" s="37" t="s">
        <v>36</v>
      </c>
      <c r="E264" s="38">
        <v>45914</v>
      </c>
      <c r="F264" s="38">
        <v>46279</v>
      </c>
      <c r="G264" s="37" t="s">
        <v>1294</v>
      </c>
      <c r="H264" s="37" t="s">
        <v>62</v>
      </c>
      <c r="I264" s="39">
        <v>23248</v>
      </c>
      <c r="J264" s="39">
        <v>19610</v>
      </c>
      <c r="K264" s="43">
        <f t="shared" si="12"/>
        <v>4.2500914076782449E-2</v>
      </c>
      <c r="L264" s="37" t="s">
        <v>2007</v>
      </c>
      <c r="M264" s="40">
        <v>45548</v>
      </c>
      <c r="N264" s="33" t="s">
        <v>57</v>
      </c>
      <c r="O264" s="41">
        <v>547000</v>
      </c>
      <c r="P264" s="34">
        <f t="shared" si="13"/>
        <v>2941.5</v>
      </c>
      <c r="Q264" s="36">
        <f t="shared" si="14"/>
        <v>196.1</v>
      </c>
      <c r="R264" s="35">
        <v>500</v>
      </c>
    </row>
    <row r="265" spans="1:18" x14ac:dyDescent="0.25">
      <c r="A265" s="37" t="s">
        <v>402</v>
      </c>
      <c r="B265" s="37"/>
      <c r="C265" s="37" t="s">
        <v>39</v>
      </c>
      <c r="D265" s="37" t="s">
        <v>36</v>
      </c>
      <c r="E265" s="38">
        <v>45548</v>
      </c>
      <c r="F265" s="38">
        <v>45913</v>
      </c>
      <c r="G265" s="37" t="s">
        <v>1295</v>
      </c>
      <c r="H265" s="37" t="s">
        <v>60</v>
      </c>
      <c r="I265" s="39">
        <v>14960</v>
      </c>
      <c r="J265" s="39">
        <v>12466</v>
      </c>
      <c r="K265" s="43">
        <f t="shared" si="12"/>
        <v>4.2500000000000003E-2</v>
      </c>
      <c r="L265" s="37" t="s">
        <v>2008</v>
      </c>
      <c r="M265" s="40">
        <v>45548</v>
      </c>
      <c r="N265" s="33" t="s">
        <v>57</v>
      </c>
      <c r="O265" s="41">
        <v>352000</v>
      </c>
      <c r="P265" s="34">
        <f t="shared" si="13"/>
        <v>1869.9</v>
      </c>
      <c r="Q265" s="36">
        <f t="shared" si="14"/>
        <v>124.66</v>
      </c>
      <c r="R265" s="35">
        <v>500</v>
      </c>
    </row>
    <row r="266" spans="1:18" x14ac:dyDescent="0.25">
      <c r="A266" s="37" t="s">
        <v>403</v>
      </c>
      <c r="B266" s="37"/>
      <c r="C266" s="37" t="s">
        <v>38</v>
      </c>
      <c r="D266" s="37" t="s">
        <v>36</v>
      </c>
      <c r="E266" s="38">
        <v>45548</v>
      </c>
      <c r="F266" s="38">
        <v>45913</v>
      </c>
      <c r="G266" s="37" t="s">
        <v>1296</v>
      </c>
      <c r="H266" s="37" t="s">
        <v>60</v>
      </c>
      <c r="I266" s="39">
        <v>14960</v>
      </c>
      <c r="J266" s="39">
        <v>12466</v>
      </c>
      <c r="K266" s="43">
        <f t="shared" si="12"/>
        <v>4.2500000000000003E-2</v>
      </c>
      <c r="L266" s="37" t="s">
        <v>2009</v>
      </c>
      <c r="M266" s="40">
        <v>45548</v>
      </c>
      <c r="N266" s="33" t="s">
        <v>57</v>
      </c>
      <c r="O266" s="41">
        <v>352000</v>
      </c>
      <c r="P266" s="34">
        <f t="shared" si="13"/>
        <v>1869.9</v>
      </c>
      <c r="Q266" s="36">
        <f t="shared" si="14"/>
        <v>124.66</v>
      </c>
      <c r="R266" s="35">
        <v>500</v>
      </c>
    </row>
    <row r="267" spans="1:18" x14ac:dyDescent="0.25">
      <c r="A267" s="37" t="s">
        <v>404</v>
      </c>
      <c r="B267" s="37"/>
      <c r="C267" s="37" t="s">
        <v>38</v>
      </c>
      <c r="D267" s="37" t="s">
        <v>36</v>
      </c>
      <c r="E267" s="38">
        <v>45914</v>
      </c>
      <c r="F267" s="38">
        <v>46279</v>
      </c>
      <c r="G267" s="37" t="s">
        <v>1296</v>
      </c>
      <c r="H267" s="37" t="s">
        <v>60</v>
      </c>
      <c r="I267" s="39">
        <v>14960</v>
      </c>
      <c r="J267" s="39">
        <v>12466</v>
      </c>
      <c r="K267" s="43">
        <f t="shared" si="12"/>
        <v>4.2500000000000003E-2</v>
      </c>
      <c r="L267" s="37" t="s">
        <v>2009</v>
      </c>
      <c r="M267" s="40">
        <v>45548</v>
      </c>
      <c r="N267" s="33" t="s">
        <v>57</v>
      </c>
      <c r="O267" s="41">
        <v>352000</v>
      </c>
      <c r="P267" s="34">
        <f t="shared" si="13"/>
        <v>1869.9</v>
      </c>
      <c r="Q267" s="36">
        <f t="shared" si="14"/>
        <v>124.66</v>
      </c>
      <c r="R267" s="35">
        <v>500</v>
      </c>
    </row>
    <row r="268" spans="1:18" x14ac:dyDescent="0.25">
      <c r="A268" s="37" t="s">
        <v>405</v>
      </c>
      <c r="B268" s="37"/>
      <c r="C268" s="37" t="s">
        <v>31</v>
      </c>
      <c r="D268" s="37" t="s">
        <v>36</v>
      </c>
      <c r="E268" s="38">
        <v>45548</v>
      </c>
      <c r="F268" s="38">
        <v>45913</v>
      </c>
      <c r="G268" s="37" t="s">
        <v>1297</v>
      </c>
      <c r="H268" s="37" t="s">
        <v>60</v>
      </c>
      <c r="I268" s="39">
        <v>14960</v>
      </c>
      <c r="J268" s="39">
        <v>12466</v>
      </c>
      <c r="K268" s="43">
        <f t="shared" si="12"/>
        <v>4.2500000000000003E-2</v>
      </c>
      <c r="L268" s="37" t="s">
        <v>2010</v>
      </c>
      <c r="M268" s="40">
        <v>45548</v>
      </c>
      <c r="N268" s="33" t="s">
        <v>57</v>
      </c>
      <c r="O268" s="41">
        <v>352000</v>
      </c>
      <c r="P268" s="34">
        <f t="shared" si="13"/>
        <v>1869.9</v>
      </c>
      <c r="Q268" s="36">
        <f t="shared" si="14"/>
        <v>124.66</v>
      </c>
      <c r="R268" s="35">
        <v>500</v>
      </c>
    </row>
    <row r="269" spans="1:18" x14ac:dyDescent="0.25">
      <c r="A269" s="37" t="s">
        <v>406</v>
      </c>
      <c r="B269" s="37"/>
      <c r="C269" s="37" t="s">
        <v>31</v>
      </c>
      <c r="D269" s="37" t="s">
        <v>36</v>
      </c>
      <c r="E269" s="38">
        <v>45914</v>
      </c>
      <c r="F269" s="38">
        <v>46279</v>
      </c>
      <c r="G269" s="37" t="s">
        <v>1297</v>
      </c>
      <c r="H269" s="37" t="s">
        <v>60</v>
      </c>
      <c r="I269" s="39">
        <v>14960</v>
      </c>
      <c r="J269" s="39">
        <v>12466</v>
      </c>
      <c r="K269" s="43">
        <f t="shared" si="12"/>
        <v>4.2500000000000003E-2</v>
      </c>
      <c r="L269" s="37" t="s">
        <v>2010</v>
      </c>
      <c r="M269" s="40">
        <v>45548</v>
      </c>
      <c r="N269" s="33" t="s">
        <v>57</v>
      </c>
      <c r="O269" s="41">
        <v>352000</v>
      </c>
      <c r="P269" s="34">
        <f t="shared" si="13"/>
        <v>1869.9</v>
      </c>
      <c r="Q269" s="36">
        <f t="shared" si="14"/>
        <v>124.66</v>
      </c>
      <c r="R269" s="35">
        <v>500</v>
      </c>
    </row>
    <row r="270" spans="1:18" x14ac:dyDescent="0.25">
      <c r="A270" s="37" t="s">
        <v>407</v>
      </c>
      <c r="B270" s="37"/>
      <c r="C270" s="37" t="s">
        <v>31</v>
      </c>
      <c r="D270" s="37" t="s">
        <v>36</v>
      </c>
      <c r="E270" s="38">
        <v>45548</v>
      </c>
      <c r="F270" s="38">
        <v>45913</v>
      </c>
      <c r="G270" s="37" t="s">
        <v>1298</v>
      </c>
      <c r="H270" s="37" t="s">
        <v>60</v>
      </c>
      <c r="I270" s="39">
        <v>14960</v>
      </c>
      <c r="J270" s="39">
        <v>12466</v>
      </c>
      <c r="K270" s="43">
        <f t="shared" si="12"/>
        <v>4.2500000000000003E-2</v>
      </c>
      <c r="L270" s="37" t="s">
        <v>2011</v>
      </c>
      <c r="M270" s="40">
        <v>45548</v>
      </c>
      <c r="N270" s="33" t="s">
        <v>57</v>
      </c>
      <c r="O270" s="41">
        <v>352000</v>
      </c>
      <c r="P270" s="34">
        <f t="shared" si="13"/>
        <v>1869.9</v>
      </c>
      <c r="Q270" s="36">
        <f t="shared" si="14"/>
        <v>124.66</v>
      </c>
      <c r="R270" s="35">
        <v>500</v>
      </c>
    </row>
    <row r="271" spans="1:18" x14ac:dyDescent="0.25">
      <c r="A271" s="37" t="s">
        <v>408</v>
      </c>
      <c r="B271" s="37"/>
      <c r="C271" s="37" t="s">
        <v>31</v>
      </c>
      <c r="D271" s="37" t="s">
        <v>36</v>
      </c>
      <c r="E271" s="38">
        <v>45914</v>
      </c>
      <c r="F271" s="38">
        <v>46279</v>
      </c>
      <c r="G271" s="37" t="s">
        <v>1298</v>
      </c>
      <c r="H271" s="37" t="s">
        <v>60</v>
      </c>
      <c r="I271" s="39">
        <v>14960</v>
      </c>
      <c r="J271" s="39">
        <v>12466</v>
      </c>
      <c r="K271" s="43">
        <f t="shared" si="12"/>
        <v>4.2500000000000003E-2</v>
      </c>
      <c r="L271" s="37" t="s">
        <v>2011</v>
      </c>
      <c r="M271" s="40">
        <v>45548</v>
      </c>
      <c r="N271" s="33" t="s">
        <v>57</v>
      </c>
      <c r="O271" s="41">
        <v>352000</v>
      </c>
      <c r="P271" s="34">
        <f t="shared" si="13"/>
        <v>1869.9</v>
      </c>
      <c r="Q271" s="36">
        <f t="shared" si="14"/>
        <v>124.66</v>
      </c>
      <c r="R271" s="35">
        <v>500</v>
      </c>
    </row>
    <row r="272" spans="1:18" x14ac:dyDescent="0.25">
      <c r="A272" s="37" t="s">
        <v>409</v>
      </c>
      <c r="B272" s="37"/>
      <c r="C272" s="37" t="s">
        <v>53</v>
      </c>
      <c r="D272" s="37" t="s">
        <v>2582</v>
      </c>
      <c r="E272" s="38">
        <v>45548</v>
      </c>
      <c r="F272" s="38">
        <v>45913</v>
      </c>
      <c r="G272" s="37" t="s">
        <v>1299</v>
      </c>
      <c r="H272" s="37" t="s">
        <v>60</v>
      </c>
      <c r="I272" s="39">
        <v>8800</v>
      </c>
      <c r="J272" s="39">
        <v>7155</v>
      </c>
      <c r="K272" s="43">
        <f t="shared" si="12"/>
        <v>2.5000000000000001E-2</v>
      </c>
      <c r="L272" s="37" t="s">
        <v>2012</v>
      </c>
      <c r="M272" s="40">
        <v>45548</v>
      </c>
      <c r="N272" s="33" t="s">
        <v>57</v>
      </c>
      <c r="O272" s="41">
        <v>352000</v>
      </c>
      <c r="P272" s="34">
        <f t="shared" si="13"/>
        <v>1073.25</v>
      </c>
      <c r="Q272" s="36">
        <f t="shared" si="14"/>
        <v>71.55</v>
      </c>
      <c r="R272" s="35">
        <v>500</v>
      </c>
    </row>
    <row r="273" spans="1:18" x14ac:dyDescent="0.25">
      <c r="A273" s="37" t="s">
        <v>410</v>
      </c>
      <c r="B273" s="37"/>
      <c r="C273" s="37" t="s">
        <v>36</v>
      </c>
      <c r="D273" s="37" t="s">
        <v>36</v>
      </c>
      <c r="E273" s="38">
        <v>45548</v>
      </c>
      <c r="F273" s="38">
        <v>45913</v>
      </c>
      <c r="G273" s="37" t="s">
        <v>1300</v>
      </c>
      <c r="H273" s="37" t="s">
        <v>60</v>
      </c>
      <c r="I273" s="39">
        <v>23248</v>
      </c>
      <c r="J273" s="39">
        <v>19610</v>
      </c>
      <c r="K273" s="43">
        <f t="shared" si="12"/>
        <v>4.2500914076782449E-2</v>
      </c>
      <c r="L273" s="37" t="s">
        <v>2013</v>
      </c>
      <c r="M273" s="40">
        <v>45548</v>
      </c>
      <c r="N273" s="33" t="s">
        <v>57</v>
      </c>
      <c r="O273" s="41">
        <v>547000</v>
      </c>
      <c r="P273" s="34">
        <f t="shared" si="13"/>
        <v>2941.5</v>
      </c>
      <c r="Q273" s="36">
        <f t="shared" si="14"/>
        <v>196.1</v>
      </c>
      <c r="R273" s="35">
        <v>500</v>
      </c>
    </row>
    <row r="274" spans="1:18" x14ac:dyDescent="0.25">
      <c r="A274" s="37" t="s">
        <v>411</v>
      </c>
      <c r="B274" s="37"/>
      <c r="C274" s="37" t="s">
        <v>32</v>
      </c>
      <c r="D274" s="37" t="s">
        <v>36</v>
      </c>
      <c r="E274" s="38">
        <v>45548</v>
      </c>
      <c r="F274" s="38">
        <v>45913</v>
      </c>
      <c r="G274" s="37" t="s">
        <v>1301</v>
      </c>
      <c r="H274" s="37" t="s">
        <v>61</v>
      </c>
      <c r="I274" s="39">
        <v>16235</v>
      </c>
      <c r="J274" s="39">
        <v>13565</v>
      </c>
      <c r="K274" s="43">
        <f t="shared" si="12"/>
        <v>4.2500000000000003E-2</v>
      </c>
      <c r="L274" s="37" t="s">
        <v>2014</v>
      </c>
      <c r="M274" s="40">
        <v>45548</v>
      </c>
      <c r="N274" s="33" t="s">
        <v>57</v>
      </c>
      <c r="O274" s="41">
        <v>382000</v>
      </c>
      <c r="P274" s="34">
        <f t="shared" si="13"/>
        <v>2034.75</v>
      </c>
      <c r="Q274" s="36">
        <f t="shared" si="14"/>
        <v>135.65</v>
      </c>
      <c r="R274" s="35">
        <v>500</v>
      </c>
    </row>
    <row r="275" spans="1:18" x14ac:dyDescent="0.25">
      <c r="A275" s="37" t="s">
        <v>412</v>
      </c>
      <c r="B275" s="37"/>
      <c r="C275" s="37" t="s">
        <v>32</v>
      </c>
      <c r="D275" s="37" t="s">
        <v>36</v>
      </c>
      <c r="E275" s="38">
        <v>45914</v>
      </c>
      <c r="F275" s="38">
        <v>46279</v>
      </c>
      <c r="G275" s="37" t="s">
        <v>1301</v>
      </c>
      <c r="H275" s="37" t="s">
        <v>61</v>
      </c>
      <c r="I275" s="39">
        <v>16235</v>
      </c>
      <c r="J275" s="39">
        <v>13565</v>
      </c>
      <c r="K275" s="43">
        <f t="shared" si="12"/>
        <v>4.2500000000000003E-2</v>
      </c>
      <c r="L275" s="37" t="s">
        <v>2014</v>
      </c>
      <c r="M275" s="40">
        <v>45548</v>
      </c>
      <c r="N275" s="33" t="s">
        <v>57</v>
      </c>
      <c r="O275" s="41">
        <v>382000</v>
      </c>
      <c r="P275" s="34">
        <f t="shared" si="13"/>
        <v>2034.75</v>
      </c>
      <c r="Q275" s="36">
        <f t="shared" si="14"/>
        <v>135.65</v>
      </c>
      <c r="R275" s="35">
        <v>500</v>
      </c>
    </row>
    <row r="276" spans="1:18" x14ac:dyDescent="0.25">
      <c r="A276" s="37" t="s">
        <v>413</v>
      </c>
      <c r="B276" s="37"/>
      <c r="C276" s="37" t="s">
        <v>30</v>
      </c>
      <c r="D276" s="37" t="s">
        <v>36</v>
      </c>
      <c r="E276" s="38">
        <v>45548</v>
      </c>
      <c r="F276" s="38">
        <v>45913</v>
      </c>
      <c r="G276" s="37" t="s">
        <v>1302</v>
      </c>
      <c r="H276" s="37" t="s">
        <v>60</v>
      </c>
      <c r="I276" s="39">
        <v>14960</v>
      </c>
      <c r="J276" s="39">
        <v>12466</v>
      </c>
      <c r="K276" s="43">
        <f t="shared" si="12"/>
        <v>4.2500000000000003E-2</v>
      </c>
      <c r="L276" s="37" t="s">
        <v>2015</v>
      </c>
      <c r="M276" s="40">
        <v>45548</v>
      </c>
      <c r="N276" s="33" t="s">
        <v>57</v>
      </c>
      <c r="O276" s="41">
        <v>352000</v>
      </c>
      <c r="P276" s="34">
        <f t="shared" si="13"/>
        <v>1869.9</v>
      </c>
      <c r="Q276" s="36">
        <f t="shared" si="14"/>
        <v>124.66</v>
      </c>
      <c r="R276" s="35">
        <v>500</v>
      </c>
    </row>
    <row r="277" spans="1:18" x14ac:dyDescent="0.25">
      <c r="A277" s="37" t="s">
        <v>414</v>
      </c>
      <c r="B277" s="37"/>
      <c r="C277" s="37" t="s">
        <v>34</v>
      </c>
      <c r="D277" s="37" t="s">
        <v>2582</v>
      </c>
      <c r="E277" s="38">
        <v>45548</v>
      </c>
      <c r="F277" s="38">
        <v>45913</v>
      </c>
      <c r="G277" s="37" t="s">
        <v>1303</v>
      </c>
      <c r="H277" s="37" t="s">
        <v>63</v>
      </c>
      <c r="I277" s="39">
        <v>12475</v>
      </c>
      <c r="J277" s="39">
        <v>10323</v>
      </c>
      <c r="K277" s="43">
        <f t="shared" si="12"/>
        <v>2.5000000000000001E-2</v>
      </c>
      <c r="L277" s="37" t="s">
        <v>2016</v>
      </c>
      <c r="M277" s="40">
        <v>45548</v>
      </c>
      <c r="N277" s="33" t="s">
        <v>57</v>
      </c>
      <c r="O277" s="41">
        <v>499000</v>
      </c>
      <c r="P277" s="34">
        <f t="shared" si="13"/>
        <v>1548.45</v>
      </c>
      <c r="Q277" s="36">
        <f t="shared" si="14"/>
        <v>103.23</v>
      </c>
      <c r="R277" s="35">
        <v>500</v>
      </c>
    </row>
    <row r="278" spans="1:18" x14ac:dyDescent="0.25">
      <c r="A278" s="37" t="s">
        <v>415</v>
      </c>
      <c r="B278" s="37"/>
      <c r="C278" s="37" t="s">
        <v>34</v>
      </c>
      <c r="D278" s="37" t="s">
        <v>2582</v>
      </c>
      <c r="E278" s="38">
        <v>45548</v>
      </c>
      <c r="F278" s="38">
        <v>45913</v>
      </c>
      <c r="G278" s="37" t="s">
        <v>1304</v>
      </c>
      <c r="H278" s="37" t="s">
        <v>60</v>
      </c>
      <c r="I278" s="39">
        <v>8800</v>
      </c>
      <c r="J278" s="39">
        <v>7155</v>
      </c>
      <c r="K278" s="43">
        <f t="shared" si="12"/>
        <v>2.5000000000000001E-2</v>
      </c>
      <c r="L278" s="37" t="s">
        <v>2017</v>
      </c>
      <c r="M278" s="40">
        <v>45548</v>
      </c>
      <c r="N278" s="33" t="s">
        <v>57</v>
      </c>
      <c r="O278" s="41">
        <v>352000</v>
      </c>
      <c r="P278" s="34">
        <f t="shared" si="13"/>
        <v>1073.25</v>
      </c>
      <c r="Q278" s="36">
        <f t="shared" si="14"/>
        <v>71.55</v>
      </c>
      <c r="R278" s="35">
        <v>500</v>
      </c>
    </row>
    <row r="279" spans="1:18" x14ac:dyDescent="0.25">
      <c r="A279" s="37" t="s">
        <v>416</v>
      </c>
      <c r="B279" s="37"/>
      <c r="C279" s="37" t="s">
        <v>31</v>
      </c>
      <c r="D279" s="37" t="s">
        <v>36</v>
      </c>
      <c r="E279" s="38">
        <v>45548</v>
      </c>
      <c r="F279" s="38">
        <v>45913</v>
      </c>
      <c r="G279" s="37" t="s">
        <v>1305</v>
      </c>
      <c r="H279" s="37" t="s">
        <v>60</v>
      </c>
      <c r="I279" s="39">
        <v>14960</v>
      </c>
      <c r="J279" s="39">
        <v>12466</v>
      </c>
      <c r="K279" s="43">
        <f t="shared" si="12"/>
        <v>4.2500000000000003E-2</v>
      </c>
      <c r="L279" s="37" t="s">
        <v>2018</v>
      </c>
      <c r="M279" s="40">
        <v>45548</v>
      </c>
      <c r="N279" s="33" t="s">
        <v>57</v>
      </c>
      <c r="O279" s="41">
        <v>352000</v>
      </c>
      <c r="P279" s="34">
        <f t="shared" si="13"/>
        <v>1869.9</v>
      </c>
      <c r="Q279" s="36">
        <f t="shared" si="14"/>
        <v>124.66</v>
      </c>
      <c r="R279" s="35">
        <v>500</v>
      </c>
    </row>
    <row r="280" spans="1:18" x14ac:dyDescent="0.25">
      <c r="A280" s="37" t="s">
        <v>417</v>
      </c>
      <c r="B280" s="37"/>
      <c r="C280" s="37" t="s">
        <v>32</v>
      </c>
      <c r="D280" s="37" t="s">
        <v>36</v>
      </c>
      <c r="E280" s="38">
        <v>45548</v>
      </c>
      <c r="F280" s="38">
        <v>45913</v>
      </c>
      <c r="G280" s="37" t="s">
        <v>1306</v>
      </c>
      <c r="H280" s="37" t="s">
        <v>60</v>
      </c>
      <c r="I280" s="39">
        <v>14960</v>
      </c>
      <c r="J280" s="39">
        <v>12466</v>
      </c>
      <c r="K280" s="43">
        <f t="shared" si="12"/>
        <v>4.2500000000000003E-2</v>
      </c>
      <c r="L280" s="37" t="s">
        <v>2019</v>
      </c>
      <c r="M280" s="40">
        <v>45548</v>
      </c>
      <c r="N280" s="33" t="s">
        <v>57</v>
      </c>
      <c r="O280" s="41">
        <v>352000</v>
      </c>
      <c r="P280" s="34">
        <f t="shared" si="13"/>
        <v>1869.9</v>
      </c>
      <c r="Q280" s="36">
        <f t="shared" si="14"/>
        <v>124.66</v>
      </c>
      <c r="R280" s="35">
        <v>500</v>
      </c>
    </row>
    <row r="281" spans="1:18" x14ac:dyDescent="0.25">
      <c r="A281" s="37" t="s">
        <v>418</v>
      </c>
      <c r="B281" s="37"/>
      <c r="C281" s="37" t="s">
        <v>34</v>
      </c>
      <c r="D281" s="37" t="s">
        <v>2582</v>
      </c>
      <c r="E281" s="38">
        <v>45548</v>
      </c>
      <c r="F281" s="38">
        <v>45913</v>
      </c>
      <c r="G281" s="37" t="s">
        <v>1307</v>
      </c>
      <c r="H281" s="37" t="s">
        <v>61</v>
      </c>
      <c r="I281" s="39">
        <v>9550</v>
      </c>
      <c r="J281" s="39">
        <v>7802</v>
      </c>
      <c r="K281" s="43">
        <f t="shared" si="12"/>
        <v>2.5000000000000001E-2</v>
      </c>
      <c r="L281" s="37" t="s">
        <v>2020</v>
      </c>
      <c r="M281" s="40">
        <v>45548</v>
      </c>
      <c r="N281" s="33" t="s">
        <v>57</v>
      </c>
      <c r="O281" s="41">
        <v>382000</v>
      </c>
      <c r="P281" s="34">
        <f t="shared" si="13"/>
        <v>1170.3</v>
      </c>
      <c r="Q281" s="36">
        <f t="shared" si="14"/>
        <v>78.02</v>
      </c>
      <c r="R281" s="35">
        <v>500</v>
      </c>
    </row>
    <row r="282" spans="1:18" x14ac:dyDescent="0.25">
      <c r="A282" s="37" t="s">
        <v>419</v>
      </c>
      <c r="B282" s="37"/>
      <c r="C282" s="37" t="s">
        <v>32</v>
      </c>
      <c r="D282" s="37" t="s">
        <v>36</v>
      </c>
      <c r="E282" s="38">
        <v>45548</v>
      </c>
      <c r="F282" s="38">
        <v>45913</v>
      </c>
      <c r="G282" s="37" t="s">
        <v>1308</v>
      </c>
      <c r="H282" s="37" t="s">
        <v>63</v>
      </c>
      <c r="I282" s="39">
        <v>21208</v>
      </c>
      <c r="J282" s="39">
        <v>17852</v>
      </c>
      <c r="K282" s="43">
        <f t="shared" si="12"/>
        <v>4.2501002004008019E-2</v>
      </c>
      <c r="L282" s="37" t="s">
        <v>2021</v>
      </c>
      <c r="M282" s="40">
        <v>45548</v>
      </c>
      <c r="N282" s="33" t="s">
        <v>57</v>
      </c>
      <c r="O282" s="41">
        <v>499000</v>
      </c>
      <c r="P282" s="34">
        <f t="shared" si="13"/>
        <v>2677.8</v>
      </c>
      <c r="Q282" s="36">
        <f t="shared" si="14"/>
        <v>178.52</v>
      </c>
      <c r="R282" s="35">
        <v>500</v>
      </c>
    </row>
    <row r="283" spans="1:18" x14ac:dyDescent="0.25">
      <c r="A283" s="37" t="s">
        <v>420</v>
      </c>
      <c r="B283" s="37"/>
      <c r="C283" s="37" t="s">
        <v>34</v>
      </c>
      <c r="D283" s="37" t="s">
        <v>2582</v>
      </c>
      <c r="E283" s="38">
        <v>45548</v>
      </c>
      <c r="F283" s="38">
        <v>45913</v>
      </c>
      <c r="G283" s="37" t="s">
        <v>1309</v>
      </c>
      <c r="H283" s="37" t="s">
        <v>60</v>
      </c>
      <c r="I283" s="39">
        <v>8800</v>
      </c>
      <c r="J283" s="39">
        <v>7155</v>
      </c>
      <c r="K283" s="43">
        <f t="shared" si="12"/>
        <v>2.5000000000000001E-2</v>
      </c>
      <c r="L283" s="37" t="s">
        <v>2022</v>
      </c>
      <c r="M283" s="40">
        <v>45548</v>
      </c>
      <c r="N283" s="33" t="s">
        <v>57</v>
      </c>
      <c r="O283" s="41">
        <v>352000</v>
      </c>
      <c r="P283" s="34">
        <f t="shared" si="13"/>
        <v>1073.25</v>
      </c>
      <c r="Q283" s="36">
        <f t="shared" si="14"/>
        <v>71.55</v>
      </c>
      <c r="R283" s="35">
        <v>500</v>
      </c>
    </row>
    <row r="284" spans="1:18" x14ac:dyDescent="0.25">
      <c r="A284" s="37" t="s">
        <v>421</v>
      </c>
      <c r="B284" s="37"/>
      <c r="C284" s="37" t="s">
        <v>34</v>
      </c>
      <c r="D284" s="37" t="s">
        <v>2582</v>
      </c>
      <c r="E284" s="38">
        <v>45548</v>
      </c>
      <c r="F284" s="38">
        <v>45913</v>
      </c>
      <c r="G284" s="37" t="s">
        <v>1310</v>
      </c>
      <c r="H284" s="37" t="s">
        <v>63</v>
      </c>
      <c r="I284" s="39">
        <v>12475</v>
      </c>
      <c r="J284" s="39">
        <v>10323</v>
      </c>
      <c r="K284" s="43">
        <f t="shared" si="12"/>
        <v>2.5000000000000001E-2</v>
      </c>
      <c r="L284" s="37" t="s">
        <v>2023</v>
      </c>
      <c r="M284" s="40">
        <v>45548</v>
      </c>
      <c r="N284" s="33" t="s">
        <v>57</v>
      </c>
      <c r="O284" s="41">
        <v>499000</v>
      </c>
      <c r="P284" s="34">
        <f t="shared" si="13"/>
        <v>1548.45</v>
      </c>
      <c r="Q284" s="36">
        <f t="shared" si="14"/>
        <v>103.23</v>
      </c>
      <c r="R284" s="35">
        <v>500</v>
      </c>
    </row>
    <row r="285" spans="1:18" x14ac:dyDescent="0.25">
      <c r="A285" s="37" t="s">
        <v>422</v>
      </c>
      <c r="B285" s="37"/>
      <c r="C285" s="37" t="s">
        <v>33</v>
      </c>
      <c r="D285" s="37" t="s">
        <v>36</v>
      </c>
      <c r="E285" s="38">
        <v>45548</v>
      </c>
      <c r="F285" s="38">
        <v>45913</v>
      </c>
      <c r="G285" s="37" t="s">
        <v>1311</v>
      </c>
      <c r="H285" s="37" t="s">
        <v>61</v>
      </c>
      <c r="I285" s="39">
        <v>16235</v>
      </c>
      <c r="J285" s="39">
        <v>13565</v>
      </c>
      <c r="K285" s="43">
        <f t="shared" si="12"/>
        <v>4.2500000000000003E-2</v>
      </c>
      <c r="L285" s="37" t="s">
        <v>2024</v>
      </c>
      <c r="M285" s="40">
        <v>45548</v>
      </c>
      <c r="N285" s="33" t="s">
        <v>57</v>
      </c>
      <c r="O285" s="41">
        <v>382000</v>
      </c>
      <c r="P285" s="34">
        <f t="shared" si="13"/>
        <v>2034.75</v>
      </c>
      <c r="Q285" s="36">
        <f t="shared" si="14"/>
        <v>135.65</v>
      </c>
      <c r="R285" s="35">
        <v>500</v>
      </c>
    </row>
    <row r="286" spans="1:18" x14ac:dyDescent="0.25">
      <c r="A286" s="37" t="s">
        <v>423</v>
      </c>
      <c r="B286" s="37"/>
      <c r="C286" s="37" t="s">
        <v>34</v>
      </c>
      <c r="D286" s="37" t="s">
        <v>2582</v>
      </c>
      <c r="E286" s="38">
        <v>45548</v>
      </c>
      <c r="F286" s="38">
        <v>45913</v>
      </c>
      <c r="G286" s="37" t="s">
        <v>1312</v>
      </c>
      <c r="H286" s="37" t="s">
        <v>60</v>
      </c>
      <c r="I286" s="39">
        <v>8800</v>
      </c>
      <c r="J286" s="39">
        <v>7155</v>
      </c>
      <c r="K286" s="43">
        <f t="shared" si="12"/>
        <v>2.5000000000000001E-2</v>
      </c>
      <c r="L286" s="37" t="s">
        <v>2025</v>
      </c>
      <c r="M286" s="40">
        <v>45548</v>
      </c>
      <c r="N286" s="33" t="s">
        <v>57</v>
      </c>
      <c r="O286" s="41">
        <v>352000</v>
      </c>
      <c r="P286" s="34">
        <f t="shared" si="13"/>
        <v>1073.25</v>
      </c>
      <c r="Q286" s="36">
        <f t="shared" si="14"/>
        <v>71.55</v>
      </c>
      <c r="R286" s="35">
        <v>500</v>
      </c>
    </row>
    <row r="287" spans="1:18" x14ac:dyDescent="0.25">
      <c r="A287" s="37" t="s">
        <v>424</v>
      </c>
      <c r="B287" s="37"/>
      <c r="C287" s="37" t="s">
        <v>34</v>
      </c>
      <c r="D287" s="37" t="s">
        <v>2582</v>
      </c>
      <c r="E287" s="38">
        <v>45548</v>
      </c>
      <c r="F287" s="38">
        <v>45913</v>
      </c>
      <c r="G287" s="37" t="s">
        <v>1313</v>
      </c>
      <c r="H287" s="37" t="s">
        <v>60</v>
      </c>
      <c r="I287" s="39">
        <v>8800</v>
      </c>
      <c r="J287" s="39">
        <v>7155</v>
      </c>
      <c r="K287" s="43">
        <f t="shared" si="12"/>
        <v>2.5000000000000001E-2</v>
      </c>
      <c r="L287" s="37" t="s">
        <v>2026</v>
      </c>
      <c r="M287" s="40">
        <v>45548</v>
      </c>
      <c r="N287" s="33" t="s">
        <v>57</v>
      </c>
      <c r="O287" s="41">
        <v>352000</v>
      </c>
      <c r="P287" s="34">
        <f t="shared" si="13"/>
        <v>1073.25</v>
      </c>
      <c r="Q287" s="36">
        <f t="shared" si="14"/>
        <v>71.55</v>
      </c>
      <c r="R287" s="35">
        <v>500</v>
      </c>
    </row>
    <row r="288" spans="1:18" x14ac:dyDescent="0.25">
      <c r="A288" s="37" t="s">
        <v>425</v>
      </c>
      <c r="B288" s="37"/>
      <c r="C288" s="37" t="s">
        <v>34</v>
      </c>
      <c r="D288" s="37" t="s">
        <v>2582</v>
      </c>
      <c r="E288" s="38">
        <v>45548</v>
      </c>
      <c r="F288" s="38">
        <v>45913</v>
      </c>
      <c r="G288" s="37" t="s">
        <v>1314</v>
      </c>
      <c r="H288" s="37" t="s">
        <v>60</v>
      </c>
      <c r="I288" s="39">
        <v>8800</v>
      </c>
      <c r="J288" s="39">
        <v>7155</v>
      </c>
      <c r="K288" s="43">
        <f t="shared" si="12"/>
        <v>2.5000000000000001E-2</v>
      </c>
      <c r="L288" s="37" t="s">
        <v>2027</v>
      </c>
      <c r="M288" s="40">
        <v>45548</v>
      </c>
      <c r="N288" s="33" t="s">
        <v>57</v>
      </c>
      <c r="O288" s="41">
        <v>352000</v>
      </c>
      <c r="P288" s="34">
        <f t="shared" si="13"/>
        <v>1073.25</v>
      </c>
      <c r="Q288" s="36">
        <f t="shared" si="14"/>
        <v>71.55</v>
      </c>
      <c r="R288" s="35">
        <v>500</v>
      </c>
    </row>
    <row r="289" spans="1:18" x14ac:dyDescent="0.25">
      <c r="A289" s="37" t="s">
        <v>426</v>
      </c>
      <c r="B289" s="37"/>
      <c r="C289" s="37" t="s">
        <v>33</v>
      </c>
      <c r="D289" s="37" t="s">
        <v>36</v>
      </c>
      <c r="E289" s="38">
        <v>45548</v>
      </c>
      <c r="F289" s="38">
        <v>45913</v>
      </c>
      <c r="G289" s="37" t="s">
        <v>1315</v>
      </c>
      <c r="H289" s="37" t="s">
        <v>60</v>
      </c>
      <c r="I289" s="39">
        <v>14960</v>
      </c>
      <c r="J289" s="39">
        <v>12466</v>
      </c>
      <c r="K289" s="43">
        <f t="shared" si="12"/>
        <v>4.2500000000000003E-2</v>
      </c>
      <c r="L289" s="37" t="s">
        <v>2028</v>
      </c>
      <c r="M289" s="40">
        <v>45548</v>
      </c>
      <c r="N289" s="33" t="s">
        <v>57</v>
      </c>
      <c r="O289" s="41">
        <v>352000</v>
      </c>
      <c r="P289" s="34">
        <f t="shared" si="13"/>
        <v>1869.9</v>
      </c>
      <c r="Q289" s="36">
        <f t="shared" si="14"/>
        <v>124.66</v>
      </c>
      <c r="R289" s="35">
        <v>500</v>
      </c>
    </row>
    <row r="290" spans="1:18" x14ac:dyDescent="0.25">
      <c r="A290" s="37" t="s">
        <v>427</v>
      </c>
      <c r="B290" s="37"/>
      <c r="C290" s="37" t="s">
        <v>32</v>
      </c>
      <c r="D290" s="37" t="s">
        <v>36</v>
      </c>
      <c r="E290" s="38">
        <v>45548</v>
      </c>
      <c r="F290" s="38">
        <v>45913</v>
      </c>
      <c r="G290" s="37" t="s">
        <v>1316</v>
      </c>
      <c r="H290" s="37" t="s">
        <v>61</v>
      </c>
      <c r="I290" s="39">
        <v>16235</v>
      </c>
      <c r="J290" s="39">
        <v>13565</v>
      </c>
      <c r="K290" s="43">
        <f t="shared" si="12"/>
        <v>4.2500000000000003E-2</v>
      </c>
      <c r="L290" s="37" t="s">
        <v>2029</v>
      </c>
      <c r="M290" s="40">
        <v>45548</v>
      </c>
      <c r="N290" s="33" t="s">
        <v>57</v>
      </c>
      <c r="O290" s="41">
        <v>382000</v>
      </c>
      <c r="P290" s="34">
        <f t="shared" si="13"/>
        <v>2034.75</v>
      </c>
      <c r="Q290" s="36">
        <f t="shared" si="14"/>
        <v>135.65</v>
      </c>
      <c r="R290" s="35">
        <v>500</v>
      </c>
    </row>
    <row r="291" spans="1:18" x14ac:dyDescent="0.25">
      <c r="A291" s="37" t="s">
        <v>428</v>
      </c>
      <c r="B291" s="37"/>
      <c r="C291" s="37" t="s">
        <v>32</v>
      </c>
      <c r="D291" s="37" t="s">
        <v>36</v>
      </c>
      <c r="E291" s="38">
        <v>45914</v>
      </c>
      <c r="F291" s="38">
        <v>46279</v>
      </c>
      <c r="G291" s="37" t="s">
        <v>1316</v>
      </c>
      <c r="H291" s="37" t="s">
        <v>61</v>
      </c>
      <c r="I291" s="39">
        <v>16235</v>
      </c>
      <c r="J291" s="39">
        <v>13565</v>
      </c>
      <c r="K291" s="43">
        <f t="shared" si="12"/>
        <v>4.2500000000000003E-2</v>
      </c>
      <c r="L291" s="37" t="s">
        <v>2029</v>
      </c>
      <c r="M291" s="40">
        <v>45548</v>
      </c>
      <c r="N291" s="33" t="s">
        <v>57</v>
      </c>
      <c r="O291" s="41">
        <v>382000</v>
      </c>
      <c r="P291" s="34">
        <f t="shared" si="13"/>
        <v>2034.75</v>
      </c>
      <c r="Q291" s="36">
        <f t="shared" si="14"/>
        <v>135.65</v>
      </c>
      <c r="R291" s="35">
        <v>500</v>
      </c>
    </row>
    <row r="292" spans="1:18" x14ac:dyDescent="0.25">
      <c r="A292" s="37" t="s">
        <v>429</v>
      </c>
      <c r="B292" s="37"/>
      <c r="C292" s="37" t="s">
        <v>34</v>
      </c>
      <c r="D292" s="37" t="s">
        <v>2582</v>
      </c>
      <c r="E292" s="38">
        <v>45548</v>
      </c>
      <c r="F292" s="38">
        <v>45913</v>
      </c>
      <c r="G292" s="37" t="s">
        <v>1317</v>
      </c>
      <c r="H292" s="37" t="s">
        <v>60</v>
      </c>
      <c r="I292" s="39">
        <v>8800</v>
      </c>
      <c r="J292" s="39">
        <v>7155</v>
      </c>
      <c r="K292" s="43">
        <f t="shared" si="12"/>
        <v>2.5000000000000001E-2</v>
      </c>
      <c r="L292" s="37" t="s">
        <v>2030</v>
      </c>
      <c r="M292" s="40">
        <v>45548</v>
      </c>
      <c r="N292" s="33" t="s">
        <v>57</v>
      </c>
      <c r="O292" s="41">
        <v>352000</v>
      </c>
      <c r="P292" s="34">
        <f t="shared" si="13"/>
        <v>1073.25</v>
      </c>
      <c r="Q292" s="36">
        <f t="shared" si="14"/>
        <v>71.55</v>
      </c>
      <c r="R292" s="35">
        <v>500</v>
      </c>
    </row>
    <row r="293" spans="1:18" x14ac:dyDescent="0.25">
      <c r="A293" s="37" t="s">
        <v>430</v>
      </c>
      <c r="B293" s="37"/>
      <c r="C293" s="37" t="s">
        <v>34</v>
      </c>
      <c r="D293" s="37" t="s">
        <v>2582</v>
      </c>
      <c r="E293" s="38">
        <v>45548</v>
      </c>
      <c r="F293" s="38">
        <v>45913</v>
      </c>
      <c r="G293" s="37" t="s">
        <v>107</v>
      </c>
      <c r="H293" s="37" t="s">
        <v>60</v>
      </c>
      <c r="I293" s="39">
        <v>8800</v>
      </c>
      <c r="J293" s="39">
        <v>7155</v>
      </c>
      <c r="K293" s="43">
        <f t="shared" si="12"/>
        <v>2.5000000000000001E-2</v>
      </c>
      <c r="L293" s="37" t="s">
        <v>2031</v>
      </c>
      <c r="M293" s="40">
        <v>45548</v>
      </c>
      <c r="N293" s="33" t="s">
        <v>57</v>
      </c>
      <c r="O293" s="41">
        <v>352000</v>
      </c>
      <c r="P293" s="34">
        <f t="shared" si="13"/>
        <v>1073.25</v>
      </c>
      <c r="Q293" s="36">
        <f t="shared" si="14"/>
        <v>71.55</v>
      </c>
      <c r="R293" s="35">
        <v>500</v>
      </c>
    </row>
    <row r="294" spans="1:18" x14ac:dyDescent="0.25">
      <c r="A294" s="37" t="s">
        <v>431</v>
      </c>
      <c r="B294" s="37"/>
      <c r="C294" s="37" t="s">
        <v>32</v>
      </c>
      <c r="D294" s="37" t="s">
        <v>36</v>
      </c>
      <c r="E294" s="38">
        <v>45548</v>
      </c>
      <c r="F294" s="38">
        <v>45913</v>
      </c>
      <c r="G294" s="37" t="s">
        <v>1318</v>
      </c>
      <c r="H294" s="37" t="s">
        <v>61</v>
      </c>
      <c r="I294" s="39">
        <v>16235</v>
      </c>
      <c r="J294" s="39">
        <v>13565</v>
      </c>
      <c r="K294" s="43">
        <f t="shared" si="12"/>
        <v>4.2500000000000003E-2</v>
      </c>
      <c r="L294" s="37" t="s">
        <v>2032</v>
      </c>
      <c r="M294" s="40">
        <v>45548</v>
      </c>
      <c r="N294" s="33" t="s">
        <v>57</v>
      </c>
      <c r="O294" s="41">
        <v>382000</v>
      </c>
      <c r="P294" s="34">
        <f t="shared" si="13"/>
        <v>2034.75</v>
      </c>
      <c r="Q294" s="36">
        <f t="shared" si="14"/>
        <v>135.65</v>
      </c>
      <c r="R294" s="35">
        <v>500</v>
      </c>
    </row>
    <row r="295" spans="1:18" x14ac:dyDescent="0.25">
      <c r="A295" s="37" t="s">
        <v>432</v>
      </c>
      <c r="B295" s="37"/>
      <c r="C295" s="37" t="s">
        <v>32</v>
      </c>
      <c r="D295" s="37" t="s">
        <v>36</v>
      </c>
      <c r="E295" s="38">
        <v>45914</v>
      </c>
      <c r="F295" s="38">
        <v>46279</v>
      </c>
      <c r="G295" s="37" t="s">
        <v>1318</v>
      </c>
      <c r="H295" s="37" t="s">
        <v>61</v>
      </c>
      <c r="I295" s="39">
        <v>16235</v>
      </c>
      <c r="J295" s="39">
        <v>13565</v>
      </c>
      <c r="K295" s="43">
        <f t="shared" si="12"/>
        <v>4.2500000000000003E-2</v>
      </c>
      <c r="L295" s="37" t="s">
        <v>2032</v>
      </c>
      <c r="M295" s="40">
        <v>45548</v>
      </c>
      <c r="N295" s="33" t="s">
        <v>57</v>
      </c>
      <c r="O295" s="41">
        <v>382000</v>
      </c>
      <c r="P295" s="34">
        <f t="shared" si="13"/>
        <v>2034.75</v>
      </c>
      <c r="Q295" s="36">
        <f t="shared" si="14"/>
        <v>135.65</v>
      </c>
      <c r="R295" s="35">
        <v>500</v>
      </c>
    </row>
    <row r="296" spans="1:18" x14ac:dyDescent="0.25">
      <c r="A296" s="37" t="s">
        <v>433</v>
      </c>
      <c r="B296" s="37"/>
      <c r="C296" s="37" t="s">
        <v>32</v>
      </c>
      <c r="D296" s="37" t="s">
        <v>36</v>
      </c>
      <c r="E296" s="38">
        <v>45548</v>
      </c>
      <c r="F296" s="38">
        <v>45913</v>
      </c>
      <c r="G296" s="37" t="s">
        <v>1319</v>
      </c>
      <c r="H296" s="37" t="s">
        <v>60</v>
      </c>
      <c r="I296" s="39">
        <v>14960</v>
      </c>
      <c r="J296" s="39">
        <v>12466</v>
      </c>
      <c r="K296" s="43">
        <f t="shared" si="12"/>
        <v>4.2500000000000003E-2</v>
      </c>
      <c r="L296" s="37" t="s">
        <v>2033</v>
      </c>
      <c r="M296" s="40">
        <v>45548</v>
      </c>
      <c r="N296" s="33" t="s">
        <v>57</v>
      </c>
      <c r="O296" s="41">
        <v>352000</v>
      </c>
      <c r="P296" s="34">
        <f t="shared" si="13"/>
        <v>1869.9</v>
      </c>
      <c r="Q296" s="36">
        <f t="shared" si="14"/>
        <v>124.66</v>
      </c>
      <c r="R296" s="35">
        <v>500</v>
      </c>
    </row>
    <row r="297" spans="1:18" x14ac:dyDescent="0.25">
      <c r="A297" s="37" t="s">
        <v>434</v>
      </c>
      <c r="B297" s="37"/>
      <c r="C297" s="37" t="s">
        <v>32</v>
      </c>
      <c r="D297" s="37" t="s">
        <v>36</v>
      </c>
      <c r="E297" s="38">
        <v>45914</v>
      </c>
      <c r="F297" s="38">
        <v>46279</v>
      </c>
      <c r="G297" s="37" t="s">
        <v>1319</v>
      </c>
      <c r="H297" s="37" t="s">
        <v>60</v>
      </c>
      <c r="I297" s="39">
        <v>14960</v>
      </c>
      <c r="J297" s="39">
        <v>12466</v>
      </c>
      <c r="K297" s="43">
        <f t="shared" si="12"/>
        <v>4.2500000000000003E-2</v>
      </c>
      <c r="L297" s="37" t="s">
        <v>2033</v>
      </c>
      <c r="M297" s="40">
        <v>45548</v>
      </c>
      <c r="N297" s="33" t="s">
        <v>57</v>
      </c>
      <c r="O297" s="41">
        <v>352000</v>
      </c>
      <c r="P297" s="34">
        <f t="shared" si="13"/>
        <v>1869.9</v>
      </c>
      <c r="Q297" s="36">
        <f t="shared" si="14"/>
        <v>124.66</v>
      </c>
      <c r="R297" s="35">
        <v>500</v>
      </c>
    </row>
    <row r="298" spans="1:18" x14ac:dyDescent="0.25">
      <c r="A298" s="37" t="s">
        <v>435</v>
      </c>
      <c r="B298" s="37"/>
      <c r="C298" s="37" t="s">
        <v>30</v>
      </c>
      <c r="D298" s="37" t="s">
        <v>36</v>
      </c>
      <c r="E298" s="38">
        <v>45548</v>
      </c>
      <c r="F298" s="38">
        <v>45913</v>
      </c>
      <c r="G298" s="37" t="s">
        <v>1320</v>
      </c>
      <c r="H298" s="37" t="s">
        <v>60</v>
      </c>
      <c r="I298" s="39">
        <v>14960</v>
      </c>
      <c r="J298" s="39">
        <v>12466</v>
      </c>
      <c r="K298" s="43">
        <f t="shared" si="12"/>
        <v>4.2500000000000003E-2</v>
      </c>
      <c r="L298" s="37" t="s">
        <v>2034</v>
      </c>
      <c r="M298" s="40">
        <v>45548</v>
      </c>
      <c r="N298" s="33" t="s">
        <v>57</v>
      </c>
      <c r="O298" s="41">
        <v>352000</v>
      </c>
      <c r="P298" s="34">
        <f t="shared" si="13"/>
        <v>1869.9</v>
      </c>
      <c r="Q298" s="36">
        <f t="shared" si="14"/>
        <v>124.66</v>
      </c>
      <c r="R298" s="35">
        <v>500</v>
      </c>
    </row>
    <row r="299" spans="1:18" x14ac:dyDescent="0.25">
      <c r="A299" s="37" t="s">
        <v>436</v>
      </c>
      <c r="B299" s="37"/>
      <c r="C299" s="37" t="s">
        <v>30</v>
      </c>
      <c r="D299" s="37" t="s">
        <v>36</v>
      </c>
      <c r="E299" s="38">
        <v>45548</v>
      </c>
      <c r="F299" s="38">
        <v>45913</v>
      </c>
      <c r="G299" s="37" t="s">
        <v>77</v>
      </c>
      <c r="H299" s="37" t="s">
        <v>60</v>
      </c>
      <c r="I299" s="39">
        <v>14960</v>
      </c>
      <c r="J299" s="39">
        <v>12466</v>
      </c>
      <c r="K299" s="43">
        <f t="shared" si="12"/>
        <v>4.2500000000000003E-2</v>
      </c>
      <c r="L299" s="37" t="s">
        <v>2035</v>
      </c>
      <c r="M299" s="40">
        <v>45548</v>
      </c>
      <c r="N299" s="33" t="s">
        <v>57</v>
      </c>
      <c r="O299" s="41">
        <v>352000</v>
      </c>
      <c r="P299" s="34">
        <f t="shared" si="13"/>
        <v>1869.9</v>
      </c>
      <c r="Q299" s="36">
        <f t="shared" si="14"/>
        <v>124.66</v>
      </c>
      <c r="R299" s="35">
        <v>500</v>
      </c>
    </row>
    <row r="300" spans="1:18" x14ac:dyDescent="0.25">
      <c r="A300" s="37" t="s">
        <v>437</v>
      </c>
      <c r="B300" s="37"/>
      <c r="C300" s="37" t="s">
        <v>30</v>
      </c>
      <c r="D300" s="37" t="s">
        <v>36</v>
      </c>
      <c r="E300" s="38">
        <v>45548</v>
      </c>
      <c r="F300" s="38">
        <v>45913</v>
      </c>
      <c r="G300" s="37" t="s">
        <v>1321</v>
      </c>
      <c r="H300" s="37" t="s">
        <v>60</v>
      </c>
      <c r="I300" s="39">
        <v>14960</v>
      </c>
      <c r="J300" s="39">
        <v>12466</v>
      </c>
      <c r="K300" s="43">
        <f t="shared" si="12"/>
        <v>4.2500000000000003E-2</v>
      </c>
      <c r="L300" s="37" t="s">
        <v>2036</v>
      </c>
      <c r="M300" s="40">
        <v>45548</v>
      </c>
      <c r="N300" s="33" t="s">
        <v>57</v>
      </c>
      <c r="O300" s="41">
        <v>352000</v>
      </c>
      <c r="P300" s="34">
        <f t="shared" si="13"/>
        <v>1869.9</v>
      </c>
      <c r="Q300" s="36">
        <f t="shared" si="14"/>
        <v>124.66</v>
      </c>
      <c r="R300" s="35">
        <v>500</v>
      </c>
    </row>
    <row r="301" spans="1:18" x14ac:dyDescent="0.25">
      <c r="A301" s="37" t="s">
        <v>438</v>
      </c>
      <c r="B301" s="37"/>
      <c r="C301" s="37" t="s">
        <v>39</v>
      </c>
      <c r="D301" s="37" t="s">
        <v>36</v>
      </c>
      <c r="E301" s="38">
        <v>45549</v>
      </c>
      <c r="F301" s="38">
        <v>45914</v>
      </c>
      <c r="G301" s="37" t="s">
        <v>1322</v>
      </c>
      <c r="H301" s="37" t="s">
        <v>60</v>
      </c>
      <c r="I301" s="39">
        <v>14960</v>
      </c>
      <c r="J301" s="39">
        <v>12466</v>
      </c>
      <c r="K301" s="43">
        <f t="shared" si="12"/>
        <v>4.2500000000000003E-2</v>
      </c>
      <c r="L301" s="37" t="s">
        <v>2037</v>
      </c>
      <c r="M301" s="40">
        <v>45549</v>
      </c>
      <c r="N301" s="33" t="s">
        <v>57</v>
      </c>
      <c r="O301" s="41">
        <v>352000</v>
      </c>
      <c r="P301" s="34">
        <f t="shared" si="13"/>
        <v>1869.9</v>
      </c>
      <c r="Q301" s="36">
        <f t="shared" si="14"/>
        <v>124.66</v>
      </c>
      <c r="R301" s="35">
        <v>500</v>
      </c>
    </row>
    <row r="302" spans="1:18" x14ac:dyDescent="0.25">
      <c r="A302" s="37" t="s">
        <v>439</v>
      </c>
      <c r="B302" s="37"/>
      <c r="C302" s="37" t="s">
        <v>39</v>
      </c>
      <c r="D302" s="37" t="s">
        <v>36</v>
      </c>
      <c r="E302" s="38">
        <v>45915</v>
      </c>
      <c r="F302" s="38">
        <v>46280</v>
      </c>
      <c r="G302" s="37" t="s">
        <v>1322</v>
      </c>
      <c r="H302" s="37" t="s">
        <v>60</v>
      </c>
      <c r="I302" s="39">
        <v>14960</v>
      </c>
      <c r="J302" s="39">
        <v>12466</v>
      </c>
      <c r="K302" s="43">
        <f t="shared" si="12"/>
        <v>4.2500000000000003E-2</v>
      </c>
      <c r="L302" s="37" t="s">
        <v>2037</v>
      </c>
      <c r="M302" s="40">
        <v>45549</v>
      </c>
      <c r="N302" s="33" t="s">
        <v>57</v>
      </c>
      <c r="O302" s="41">
        <v>352000</v>
      </c>
      <c r="P302" s="34">
        <f t="shared" si="13"/>
        <v>1869.9</v>
      </c>
      <c r="Q302" s="36">
        <f t="shared" si="14"/>
        <v>124.66</v>
      </c>
      <c r="R302" s="35">
        <v>500</v>
      </c>
    </row>
    <row r="303" spans="1:18" x14ac:dyDescent="0.25">
      <c r="A303" s="37" t="s">
        <v>440</v>
      </c>
      <c r="B303" s="37"/>
      <c r="C303" s="37" t="s">
        <v>39</v>
      </c>
      <c r="D303" s="37" t="s">
        <v>36</v>
      </c>
      <c r="E303" s="38">
        <v>45549</v>
      </c>
      <c r="F303" s="38">
        <v>45914</v>
      </c>
      <c r="G303" s="37" t="s">
        <v>1323</v>
      </c>
      <c r="H303" s="37" t="s">
        <v>60</v>
      </c>
      <c r="I303" s="39">
        <v>14960</v>
      </c>
      <c r="J303" s="39">
        <v>12466</v>
      </c>
      <c r="K303" s="43">
        <f t="shared" si="12"/>
        <v>4.2500000000000003E-2</v>
      </c>
      <c r="L303" s="37" t="s">
        <v>2038</v>
      </c>
      <c r="M303" s="40">
        <v>45549</v>
      </c>
      <c r="N303" s="33" t="s">
        <v>57</v>
      </c>
      <c r="O303" s="41">
        <v>352000</v>
      </c>
      <c r="P303" s="34">
        <f t="shared" si="13"/>
        <v>1869.9</v>
      </c>
      <c r="Q303" s="36">
        <f t="shared" si="14"/>
        <v>124.66</v>
      </c>
      <c r="R303" s="35">
        <v>500</v>
      </c>
    </row>
    <row r="304" spans="1:18" x14ac:dyDescent="0.25">
      <c r="A304" s="37" t="s">
        <v>441</v>
      </c>
      <c r="B304" s="37"/>
      <c r="C304" s="37" t="s">
        <v>39</v>
      </c>
      <c r="D304" s="37" t="s">
        <v>36</v>
      </c>
      <c r="E304" s="38">
        <v>45915</v>
      </c>
      <c r="F304" s="38">
        <v>46280</v>
      </c>
      <c r="G304" s="37" t="s">
        <v>1323</v>
      </c>
      <c r="H304" s="37" t="s">
        <v>60</v>
      </c>
      <c r="I304" s="39">
        <v>14960</v>
      </c>
      <c r="J304" s="39">
        <v>12466</v>
      </c>
      <c r="K304" s="43">
        <f t="shared" si="12"/>
        <v>4.2500000000000003E-2</v>
      </c>
      <c r="L304" s="37" t="s">
        <v>2038</v>
      </c>
      <c r="M304" s="40">
        <v>45549</v>
      </c>
      <c r="N304" s="33" t="s">
        <v>57</v>
      </c>
      <c r="O304" s="41">
        <v>352000</v>
      </c>
      <c r="P304" s="34">
        <f t="shared" si="13"/>
        <v>1869.9</v>
      </c>
      <c r="Q304" s="36">
        <f t="shared" si="14"/>
        <v>124.66</v>
      </c>
      <c r="R304" s="35">
        <v>500</v>
      </c>
    </row>
    <row r="305" spans="1:18" x14ac:dyDescent="0.25">
      <c r="A305" s="37" t="s">
        <v>442</v>
      </c>
      <c r="B305" s="37"/>
      <c r="C305" s="37" t="s">
        <v>54</v>
      </c>
      <c r="D305" s="37" t="s">
        <v>2582</v>
      </c>
      <c r="E305" s="38">
        <v>45549</v>
      </c>
      <c r="F305" s="38">
        <v>45914</v>
      </c>
      <c r="G305" s="37" t="s">
        <v>1324</v>
      </c>
      <c r="H305" s="37" t="s">
        <v>62</v>
      </c>
      <c r="I305" s="39">
        <v>13675</v>
      </c>
      <c r="J305" s="39">
        <v>11358</v>
      </c>
      <c r="K305" s="43">
        <f t="shared" si="12"/>
        <v>2.5000000000000001E-2</v>
      </c>
      <c r="L305" s="37" t="s">
        <v>2039</v>
      </c>
      <c r="M305" s="40">
        <v>45549</v>
      </c>
      <c r="N305" s="33" t="s">
        <v>57</v>
      </c>
      <c r="O305" s="41">
        <v>547000</v>
      </c>
      <c r="P305" s="34">
        <f t="shared" si="13"/>
        <v>1703.7</v>
      </c>
      <c r="Q305" s="36">
        <f t="shared" si="14"/>
        <v>113.58</v>
      </c>
      <c r="R305" s="35">
        <v>500</v>
      </c>
    </row>
    <row r="306" spans="1:18" x14ac:dyDescent="0.25">
      <c r="A306" s="37" t="s">
        <v>443</v>
      </c>
      <c r="B306" s="37"/>
      <c r="C306" s="37" t="s">
        <v>39</v>
      </c>
      <c r="D306" s="37" t="s">
        <v>36</v>
      </c>
      <c r="E306" s="38">
        <v>45549</v>
      </c>
      <c r="F306" s="38">
        <v>45914</v>
      </c>
      <c r="G306" s="37" t="s">
        <v>1325</v>
      </c>
      <c r="H306" s="37" t="s">
        <v>60</v>
      </c>
      <c r="I306" s="39">
        <v>14960</v>
      </c>
      <c r="J306" s="39">
        <v>12466</v>
      </c>
      <c r="K306" s="43">
        <f t="shared" si="12"/>
        <v>4.2500000000000003E-2</v>
      </c>
      <c r="L306" s="37" t="s">
        <v>2040</v>
      </c>
      <c r="M306" s="40">
        <v>45549</v>
      </c>
      <c r="N306" s="33" t="s">
        <v>57</v>
      </c>
      <c r="O306" s="41">
        <v>352000</v>
      </c>
      <c r="P306" s="34">
        <f t="shared" si="13"/>
        <v>1869.9</v>
      </c>
      <c r="Q306" s="36">
        <f t="shared" si="14"/>
        <v>124.66</v>
      </c>
      <c r="R306" s="35">
        <v>500</v>
      </c>
    </row>
    <row r="307" spans="1:18" x14ac:dyDescent="0.25">
      <c r="A307" s="37" t="s">
        <v>444</v>
      </c>
      <c r="B307" s="37"/>
      <c r="C307" s="37" t="s">
        <v>54</v>
      </c>
      <c r="D307" s="37" t="s">
        <v>2582</v>
      </c>
      <c r="E307" s="38">
        <v>45549</v>
      </c>
      <c r="F307" s="38">
        <v>45914</v>
      </c>
      <c r="G307" s="37" t="s">
        <v>1326</v>
      </c>
      <c r="H307" s="37" t="s">
        <v>60</v>
      </c>
      <c r="I307" s="39">
        <v>8800</v>
      </c>
      <c r="J307" s="39">
        <v>7155</v>
      </c>
      <c r="K307" s="43">
        <f t="shared" si="12"/>
        <v>2.5000000000000001E-2</v>
      </c>
      <c r="L307" s="37" t="s">
        <v>2041</v>
      </c>
      <c r="M307" s="40">
        <v>45549</v>
      </c>
      <c r="N307" s="33" t="s">
        <v>57</v>
      </c>
      <c r="O307" s="41">
        <v>352000</v>
      </c>
      <c r="P307" s="34">
        <f t="shared" si="13"/>
        <v>1073.25</v>
      </c>
      <c r="Q307" s="36">
        <f t="shared" si="14"/>
        <v>71.55</v>
      </c>
      <c r="R307" s="35">
        <v>500</v>
      </c>
    </row>
    <row r="308" spans="1:18" x14ac:dyDescent="0.25">
      <c r="A308" s="37" t="s">
        <v>445</v>
      </c>
      <c r="B308" s="37"/>
      <c r="C308" s="37" t="s">
        <v>39</v>
      </c>
      <c r="D308" s="37" t="s">
        <v>36</v>
      </c>
      <c r="E308" s="38">
        <v>45549</v>
      </c>
      <c r="F308" s="38">
        <v>45914</v>
      </c>
      <c r="G308" s="37" t="s">
        <v>1327</v>
      </c>
      <c r="H308" s="37" t="s">
        <v>61</v>
      </c>
      <c r="I308" s="39">
        <v>16235</v>
      </c>
      <c r="J308" s="39">
        <v>13565</v>
      </c>
      <c r="K308" s="43">
        <f t="shared" si="12"/>
        <v>4.2500000000000003E-2</v>
      </c>
      <c r="L308" s="37" t="s">
        <v>2042</v>
      </c>
      <c r="M308" s="40">
        <v>45549</v>
      </c>
      <c r="N308" s="33" t="s">
        <v>57</v>
      </c>
      <c r="O308" s="41">
        <v>382000</v>
      </c>
      <c r="P308" s="34">
        <f t="shared" si="13"/>
        <v>2034.75</v>
      </c>
      <c r="Q308" s="36">
        <f t="shared" si="14"/>
        <v>135.65</v>
      </c>
      <c r="R308" s="35">
        <v>500</v>
      </c>
    </row>
    <row r="309" spans="1:18" x14ac:dyDescent="0.25">
      <c r="A309" s="37" t="s">
        <v>446</v>
      </c>
      <c r="B309" s="37"/>
      <c r="C309" s="37" t="s">
        <v>39</v>
      </c>
      <c r="D309" s="37" t="s">
        <v>36</v>
      </c>
      <c r="E309" s="38">
        <v>45915</v>
      </c>
      <c r="F309" s="38">
        <v>46280</v>
      </c>
      <c r="G309" s="37" t="s">
        <v>1327</v>
      </c>
      <c r="H309" s="37" t="s">
        <v>61</v>
      </c>
      <c r="I309" s="39">
        <v>16235</v>
      </c>
      <c r="J309" s="39">
        <v>13565</v>
      </c>
      <c r="K309" s="43">
        <f t="shared" si="12"/>
        <v>4.2500000000000003E-2</v>
      </c>
      <c r="L309" s="37" t="s">
        <v>2042</v>
      </c>
      <c r="M309" s="40">
        <v>45549</v>
      </c>
      <c r="N309" s="33" t="s">
        <v>57</v>
      </c>
      <c r="O309" s="41">
        <v>382000</v>
      </c>
      <c r="P309" s="34">
        <f t="shared" si="13"/>
        <v>2034.75</v>
      </c>
      <c r="Q309" s="36">
        <f t="shared" si="14"/>
        <v>135.65</v>
      </c>
      <c r="R309" s="35">
        <v>500</v>
      </c>
    </row>
    <row r="310" spans="1:18" x14ac:dyDescent="0.25">
      <c r="A310" s="37" t="s">
        <v>447</v>
      </c>
      <c r="B310" s="37"/>
      <c r="C310" s="37" t="s">
        <v>35</v>
      </c>
      <c r="D310" s="37" t="s">
        <v>36</v>
      </c>
      <c r="E310" s="38">
        <v>45549</v>
      </c>
      <c r="F310" s="38">
        <v>45914</v>
      </c>
      <c r="G310" s="37" t="s">
        <v>1328</v>
      </c>
      <c r="H310" s="37" t="s">
        <v>60</v>
      </c>
      <c r="I310" s="39">
        <v>14960</v>
      </c>
      <c r="J310" s="39">
        <v>12466</v>
      </c>
      <c r="K310" s="43">
        <f t="shared" si="12"/>
        <v>4.2500000000000003E-2</v>
      </c>
      <c r="L310" s="37" t="s">
        <v>2043</v>
      </c>
      <c r="M310" s="40">
        <v>45549</v>
      </c>
      <c r="N310" s="33" t="s">
        <v>57</v>
      </c>
      <c r="O310" s="41">
        <v>352000</v>
      </c>
      <c r="P310" s="34">
        <f t="shared" si="13"/>
        <v>1869.9</v>
      </c>
      <c r="Q310" s="36">
        <f t="shared" si="14"/>
        <v>124.66</v>
      </c>
      <c r="R310" s="35">
        <v>500</v>
      </c>
    </row>
    <row r="311" spans="1:18" x14ac:dyDescent="0.25">
      <c r="A311" s="37" t="s">
        <v>448</v>
      </c>
      <c r="B311" s="37"/>
      <c r="C311" s="37" t="s">
        <v>36</v>
      </c>
      <c r="D311" s="37" t="s">
        <v>36</v>
      </c>
      <c r="E311" s="38">
        <v>45549</v>
      </c>
      <c r="F311" s="38">
        <v>45914</v>
      </c>
      <c r="G311" s="37" t="s">
        <v>1329</v>
      </c>
      <c r="H311" s="37" t="s">
        <v>60</v>
      </c>
      <c r="I311" s="39">
        <v>14960</v>
      </c>
      <c r="J311" s="39">
        <v>12466</v>
      </c>
      <c r="K311" s="43">
        <f t="shared" si="12"/>
        <v>4.2500000000000003E-2</v>
      </c>
      <c r="L311" s="37" t="s">
        <v>2044</v>
      </c>
      <c r="M311" s="40">
        <v>45549</v>
      </c>
      <c r="N311" s="33" t="s">
        <v>57</v>
      </c>
      <c r="O311" s="41">
        <v>352000</v>
      </c>
      <c r="P311" s="34">
        <f t="shared" si="13"/>
        <v>1869.9</v>
      </c>
      <c r="Q311" s="36">
        <f t="shared" si="14"/>
        <v>124.66</v>
      </c>
      <c r="R311" s="35">
        <v>500</v>
      </c>
    </row>
    <row r="312" spans="1:18" x14ac:dyDescent="0.25">
      <c r="A312" s="37" t="s">
        <v>449</v>
      </c>
      <c r="B312" s="37"/>
      <c r="C312" s="37" t="s">
        <v>55</v>
      </c>
      <c r="D312" s="37" t="s">
        <v>2582</v>
      </c>
      <c r="E312" s="38">
        <v>45549</v>
      </c>
      <c r="F312" s="38">
        <v>45914</v>
      </c>
      <c r="G312" s="37" t="s">
        <v>1330</v>
      </c>
      <c r="H312" s="37" t="s">
        <v>60</v>
      </c>
      <c r="I312" s="39">
        <v>8800</v>
      </c>
      <c r="J312" s="39">
        <v>7155</v>
      </c>
      <c r="K312" s="43">
        <f t="shared" si="12"/>
        <v>2.5000000000000001E-2</v>
      </c>
      <c r="L312" s="37" t="s">
        <v>2045</v>
      </c>
      <c r="M312" s="40">
        <v>45549</v>
      </c>
      <c r="N312" s="33" t="s">
        <v>57</v>
      </c>
      <c r="O312" s="41">
        <v>352000</v>
      </c>
      <c r="P312" s="34">
        <f t="shared" si="13"/>
        <v>1073.25</v>
      </c>
      <c r="Q312" s="36">
        <f t="shared" si="14"/>
        <v>71.55</v>
      </c>
      <c r="R312" s="35">
        <v>500</v>
      </c>
    </row>
    <row r="313" spans="1:18" x14ac:dyDescent="0.25">
      <c r="A313" s="37" t="s">
        <v>450</v>
      </c>
      <c r="B313" s="37"/>
      <c r="C313" s="37" t="s">
        <v>55</v>
      </c>
      <c r="D313" s="37" t="s">
        <v>2582</v>
      </c>
      <c r="E313" s="38">
        <v>45549</v>
      </c>
      <c r="F313" s="38">
        <v>45914</v>
      </c>
      <c r="G313" s="37" t="s">
        <v>1331</v>
      </c>
      <c r="H313" s="37" t="s">
        <v>62</v>
      </c>
      <c r="I313" s="39">
        <v>13675</v>
      </c>
      <c r="J313" s="39">
        <v>11358</v>
      </c>
      <c r="K313" s="43">
        <f t="shared" si="12"/>
        <v>2.5000000000000001E-2</v>
      </c>
      <c r="L313" s="37" t="s">
        <v>2046</v>
      </c>
      <c r="M313" s="40">
        <v>45549</v>
      </c>
      <c r="N313" s="33" t="s">
        <v>57</v>
      </c>
      <c r="O313" s="41">
        <v>547000</v>
      </c>
      <c r="P313" s="34">
        <f t="shared" si="13"/>
        <v>1703.7</v>
      </c>
      <c r="Q313" s="36">
        <f t="shared" si="14"/>
        <v>113.58</v>
      </c>
      <c r="R313" s="35">
        <v>500</v>
      </c>
    </row>
    <row r="314" spans="1:18" x14ac:dyDescent="0.25">
      <c r="A314" s="37" t="s">
        <v>451</v>
      </c>
      <c r="B314" s="37"/>
      <c r="C314" s="37" t="s">
        <v>55</v>
      </c>
      <c r="D314" s="37" t="s">
        <v>2582</v>
      </c>
      <c r="E314" s="38">
        <v>45549</v>
      </c>
      <c r="F314" s="38">
        <v>45914</v>
      </c>
      <c r="G314" s="37" t="s">
        <v>1332</v>
      </c>
      <c r="H314" s="37" t="s">
        <v>60</v>
      </c>
      <c r="I314" s="39">
        <v>8800</v>
      </c>
      <c r="J314" s="39">
        <v>7155</v>
      </c>
      <c r="K314" s="43">
        <f t="shared" si="12"/>
        <v>2.5000000000000001E-2</v>
      </c>
      <c r="L314" s="37" t="s">
        <v>2047</v>
      </c>
      <c r="M314" s="40">
        <v>45549</v>
      </c>
      <c r="N314" s="33" t="s">
        <v>57</v>
      </c>
      <c r="O314" s="41">
        <v>352000</v>
      </c>
      <c r="P314" s="34">
        <f t="shared" si="13"/>
        <v>1073.25</v>
      </c>
      <c r="Q314" s="36">
        <f t="shared" si="14"/>
        <v>71.55</v>
      </c>
      <c r="R314" s="35">
        <v>500</v>
      </c>
    </row>
    <row r="315" spans="1:18" x14ac:dyDescent="0.25">
      <c r="A315" s="37" t="s">
        <v>452</v>
      </c>
      <c r="B315" s="37"/>
      <c r="C315" s="37" t="s">
        <v>55</v>
      </c>
      <c r="D315" s="37" t="s">
        <v>2582</v>
      </c>
      <c r="E315" s="38">
        <v>45549</v>
      </c>
      <c r="F315" s="38">
        <v>45914</v>
      </c>
      <c r="G315" s="37" t="s">
        <v>1333</v>
      </c>
      <c r="H315" s="37" t="s">
        <v>60</v>
      </c>
      <c r="I315" s="39">
        <v>8800</v>
      </c>
      <c r="J315" s="39">
        <v>7155</v>
      </c>
      <c r="K315" s="43">
        <f t="shared" si="12"/>
        <v>2.5000000000000001E-2</v>
      </c>
      <c r="L315" s="37" t="s">
        <v>2048</v>
      </c>
      <c r="M315" s="40">
        <v>45549</v>
      </c>
      <c r="N315" s="33" t="s">
        <v>57</v>
      </c>
      <c r="O315" s="41">
        <v>352000</v>
      </c>
      <c r="P315" s="34">
        <f t="shared" si="13"/>
        <v>1073.25</v>
      </c>
      <c r="Q315" s="36">
        <f t="shared" si="14"/>
        <v>71.55</v>
      </c>
      <c r="R315" s="35">
        <v>500</v>
      </c>
    </row>
    <row r="316" spans="1:18" x14ac:dyDescent="0.25">
      <c r="A316" s="37" t="s">
        <v>453</v>
      </c>
      <c r="B316" s="37"/>
      <c r="C316" s="37" t="s">
        <v>35</v>
      </c>
      <c r="D316" s="37" t="s">
        <v>36</v>
      </c>
      <c r="E316" s="38">
        <v>45549</v>
      </c>
      <c r="F316" s="38">
        <v>45914</v>
      </c>
      <c r="G316" s="37" t="s">
        <v>1334</v>
      </c>
      <c r="H316" s="37" t="s">
        <v>60</v>
      </c>
      <c r="I316" s="39">
        <v>14960</v>
      </c>
      <c r="J316" s="39">
        <v>12466</v>
      </c>
      <c r="K316" s="43">
        <f t="shared" si="12"/>
        <v>4.2500000000000003E-2</v>
      </c>
      <c r="L316" s="37" t="s">
        <v>2049</v>
      </c>
      <c r="M316" s="40">
        <v>45549</v>
      </c>
      <c r="N316" s="33" t="s">
        <v>57</v>
      </c>
      <c r="O316" s="41">
        <v>352000</v>
      </c>
      <c r="P316" s="34">
        <f t="shared" si="13"/>
        <v>1869.9</v>
      </c>
      <c r="Q316" s="36">
        <f t="shared" si="14"/>
        <v>124.66</v>
      </c>
      <c r="R316" s="35">
        <v>500</v>
      </c>
    </row>
    <row r="317" spans="1:18" x14ac:dyDescent="0.25">
      <c r="A317" s="37" t="s">
        <v>454</v>
      </c>
      <c r="B317" s="37"/>
      <c r="C317" s="37" t="s">
        <v>35</v>
      </c>
      <c r="D317" s="37" t="s">
        <v>36</v>
      </c>
      <c r="E317" s="38">
        <v>45915</v>
      </c>
      <c r="F317" s="38">
        <v>46280</v>
      </c>
      <c r="G317" s="37" t="s">
        <v>1334</v>
      </c>
      <c r="H317" s="37" t="s">
        <v>60</v>
      </c>
      <c r="I317" s="39">
        <v>14960</v>
      </c>
      <c r="J317" s="39">
        <v>12466</v>
      </c>
      <c r="K317" s="43">
        <f t="shared" si="12"/>
        <v>4.2500000000000003E-2</v>
      </c>
      <c r="L317" s="37" t="s">
        <v>2049</v>
      </c>
      <c r="M317" s="40">
        <v>45549</v>
      </c>
      <c r="N317" s="33" t="s">
        <v>57</v>
      </c>
      <c r="O317" s="41">
        <v>352000</v>
      </c>
      <c r="P317" s="34">
        <f t="shared" si="13"/>
        <v>1869.9</v>
      </c>
      <c r="Q317" s="36">
        <f t="shared" si="14"/>
        <v>124.66</v>
      </c>
      <c r="R317" s="35">
        <v>500</v>
      </c>
    </row>
    <row r="318" spans="1:18" x14ac:dyDescent="0.25">
      <c r="A318" s="37" t="s">
        <v>455</v>
      </c>
      <c r="B318" s="37"/>
      <c r="C318" s="37" t="s">
        <v>31</v>
      </c>
      <c r="D318" s="37" t="s">
        <v>36</v>
      </c>
      <c r="E318" s="38">
        <v>45549</v>
      </c>
      <c r="F318" s="38">
        <v>45914</v>
      </c>
      <c r="G318" s="37" t="s">
        <v>90</v>
      </c>
      <c r="H318" s="37" t="s">
        <v>60</v>
      </c>
      <c r="I318" s="39">
        <v>14960</v>
      </c>
      <c r="J318" s="39">
        <v>12466</v>
      </c>
      <c r="K318" s="43">
        <f t="shared" si="12"/>
        <v>4.2500000000000003E-2</v>
      </c>
      <c r="L318" s="37" t="s">
        <v>2050</v>
      </c>
      <c r="M318" s="40">
        <v>45549</v>
      </c>
      <c r="N318" s="33" t="s">
        <v>57</v>
      </c>
      <c r="O318" s="41">
        <v>352000</v>
      </c>
      <c r="P318" s="34">
        <f t="shared" si="13"/>
        <v>1869.9</v>
      </c>
      <c r="Q318" s="36">
        <f t="shared" si="14"/>
        <v>124.66</v>
      </c>
      <c r="R318" s="35">
        <v>500</v>
      </c>
    </row>
    <row r="319" spans="1:18" x14ac:dyDescent="0.25">
      <c r="A319" s="37" t="s">
        <v>456</v>
      </c>
      <c r="B319" s="37"/>
      <c r="C319" s="37" t="s">
        <v>39</v>
      </c>
      <c r="D319" s="37" t="s">
        <v>36</v>
      </c>
      <c r="E319" s="38">
        <v>45549</v>
      </c>
      <c r="F319" s="38">
        <v>45914</v>
      </c>
      <c r="G319" s="37" t="s">
        <v>1335</v>
      </c>
      <c r="H319" s="37" t="s">
        <v>61</v>
      </c>
      <c r="I319" s="39">
        <v>16235</v>
      </c>
      <c r="J319" s="39">
        <v>13565</v>
      </c>
      <c r="K319" s="43">
        <f t="shared" si="12"/>
        <v>4.2500000000000003E-2</v>
      </c>
      <c r="L319" s="37" t="s">
        <v>2051</v>
      </c>
      <c r="M319" s="40">
        <v>45549</v>
      </c>
      <c r="N319" s="33" t="s">
        <v>57</v>
      </c>
      <c r="O319" s="41">
        <v>382000</v>
      </c>
      <c r="P319" s="34">
        <f t="shared" si="13"/>
        <v>2034.75</v>
      </c>
      <c r="Q319" s="36">
        <f t="shared" si="14"/>
        <v>135.65</v>
      </c>
      <c r="R319" s="35">
        <v>500</v>
      </c>
    </row>
    <row r="320" spans="1:18" x14ac:dyDescent="0.25">
      <c r="A320" s="37" t="s">
        <v>457</v>
      </c>
      <c r="B320" s="37"/>
      <c r="C320" s="37" t="s">
        <v>36</v>
      </c>
      <c r="D320" s="37" t="s">
        <v>36</v>
      </c>
      <c r="E320" s="38">
        <v>45549</v>
      </c>
      <c r="F320" s="38">
        <v>45914</v>
      </c>
      <c r="G320" s="37" t="s">
        <v>1336</v>
      </c>
      <c r="H320" s="37" t="s">
        <v>60</v>
      </c>
      <c r="I320" s="39">
        <v>14960</v>
      </c>
      <c r="J320" s="39">
        <v>12466</v>
      </c>
      <c r="K320" s="43">
        <f t="shared" si="12"/>
        <v>4.2500000000000003E-2</v>
      </c>
      <c r="L320" s="37" t="s">
        <v>2052</v>
      </c>
      <c r="M320" s="40">
        <v>45549</v>
      </c>
      <c r="N320" s="33" t="s">
        <v>57</v>
      </c>
      <c r="O320" s="41">
        <v>352000</v>
      </c>
      <c r="P320" s="34">
        <f t="shared" si="13"/>
        <v>1869.9</v>
      </c>
      <c r="Q320" s="36">
        <f t="shared" si="14"/>
        <v>124.66</v>
      </c>
      <c r="R320" s="35">
        <v>500</v>
      </c>
    </row>
    <row r="321" spans="1:18" x14ac:dyDescent="0.25">
      <c r="A321" s="37" t="s">
        <v>458</v>
      </c>
      <c r="B321" s="37"/>
      <c r="C321" s="37" t="s">
        <v>39</v>
      </c>
      <c r="D321" s="37" t="s">
        <v>36</v>
      </c>
      <c r="E321" s="38">
        <v>45549</v>
      </c>
      <c r="F321" s="38">
        <v>45914</v>
      </c>
      <c r="G321" s="37" t="s">
        <v>1337</v>
      </c>
      <c r="H321" s="37" t="s">
        <v>62</v>
      </c>
      <c r="I321" s="39">
        <v>23248</v>
      </c>
      <c r="J321" s="39">
        <v>19610</v>
      </c>
      <c r="K321" s="43">
        <f t="shared" si="12"/>
        <v>4.2500914076782449E-2</v>
      </c>
      <c r="L321" s="37" t="s">
        <v>2053</v>
      </c>
      <c r="M321" s="40">
        <v>45549</v>
      </c>
      <c r="N321" s="33" t="s">
        <v>57</v>
      </c>
      <c r="O321" s="41">
        <v>547000</v>
      </c>
      <c r="P321" s="34">
        <f t="shared" si="13"/>
        <v>2941.5</v>
      </c>
      <c r="Q321" s="36">
        <f t="shared" si="14"/>
        <v>196.1</v>
      </c>
      <c r="R321" s="35">
        <v>500</v>
      </c>
    </row>
    <row r="322" spans="1:18" x14ac:dyDescent="0.25">
      <c r="A322" s="37" t="s">
        <v>459</v>
      </c>
      <c r="B322" s="37"/>
      <c r="C322" s="37" t="s">
        <v>35</v>
      </c>
      <c r="D322" s="37" t="s">
        <v>36</v>
      </c>
      <c r="E322" s="38">
        <v>45549</v>
      </c>
      <c r="F322" s="38">
        <v>45914</v>
      </c>
      <c r="G322" s="37" t="s">
        <v>98</v>
      </c>
      <c r="H322" s="37" t="s">
        <v>60</v>
      </c>
      <c r="I322" s="39">
        <v>14960</v>
      </c>
      <c r="J322" s="39">
        <v>12466</v>
      </c>
      <c r="K322" s="43">
        <f t="shared" si="12"/>
        <v>4.2500000000000003E-2</v>
      </c>
      <c r="L322" s="37" t="s">
        <v>2054</v>
      </c>
      <c r="M322" s="40">
        <v>45549</v>
      </c>
      <c r="N322" s="33" t="s">
        <v>57</v>
      </c>
      <c r="O322" s="41">
        <v>352000</v>
      </c>
      <c r="P322" s="34">
        <f t="shared" si="13"/>
        <v>1869.9</v>
      </c>
      <c r="Q322" s="36">
        <f t="shared" si="14"/>
        <v>124.66</v>
      </c>
      <c r="R322" s="35">
        <v>500</v>
      </c>
    </row>
    <row r="323" spans="1:18" x14ac:dyDescent="0.25">
      <c r="A323" s="37" t="s">
        <v>460</v>
      </c>
      <c r="B323" s="37"/>
      <c r="C323" s="37" t="s">
        <v>30</v>
      </c>
      <c r="D323" s="37" t="s">
        <v>36</v>
      </c>
      <c r="E323" s="38">
        <v>45549</v>
      </c>
      <c r="F323" s="38">
        <v>45914</v>
      </c>
      <c r="G323" s="37" t="s">
        <v>106</v>
      </c>
      <c r="H323" s="37" t="s">
        <v>60</v>
      </c>
      <c r="I323" s="39">
        <v>14960</v>
      </c>
      <c r="J323" s="39">
        <v>12466</v>
      </c>
      <c r="K323" s="43">
        <f t="shared" si="12"/>
        <v>4.2500000000000003E-2</v>
      </c>
      <c r="L323" s="37" t="s">
        <v>2055</v>
      </c>
      <c r="M323" s="40">
        <v>45549</v>
      </c>
      <c r="N323" s="33" t="s">
        <v>57</v>
      </c>
      <c r="O323" s="41">
        <v>352000</v>
      </c>
      <c r="P323" s="34">
        <f t="shared" si="13"/>
        <v>1869.9</v>
      </c>
      <c r="Q323" s="36">
        <f t="shared" ref="Q323:Q386" si="15">J323*1/100</f>
        <v>124.66</v>
      </c>
      <c r="R323" s="35">
        <v>500</v>
      </c>
    </row>
    <row r="324" spans="1:18" x14ac:dyDescent="0.25">
      <c r="A324" s="37" t="s">
        <v>461</v>
      </c>
      <c r="B324" s="37"/>
      <c r="C324" s="37" t="s">
        <v>53</v>
      </c>
      <c r="D324" s="37" t="s">
        <v>2582</v>
      </c>
      <c r="E324" s="38">
        <v>45549</v>
      </c>
      <c r="F324" s="38">
        <v>45914</v>
      </c>
      <c r="G324" s="37" t="s">
        <v>1112</v>
      </c>
      <c r="H324" s="37" t="s">
        <v>60</v>
      </c>
      <c r="I324" s="39">
        <v>8800</v>
      </c>
      <c r="J324" s="39">
        <v>7155</v>
      </c>
      <c r="K324" s="43">
        <f t="shared" ref="K324:K387" si="16">I324/O324</f>
        <v>2.5000000000000001E-2</v>
      </c>
      <c r="L324" s="37" t="s">
        <v>2056</v>
      </c>
      <c r="M324" s="40">
        <v>45549</v>
      </c>
      <c r="N324" s="33" t="s">
        <v>57</v>
      </c>
      <c r="O324" s="41">
        <v>352000</v>
      </c>
      <c r="P324" s="34">
        <f t="shared" ref="P324:P387" si="17">J324*15/100</f>
        <v>1073.25</v>
      </c>
      <c r="Q324" s="36">
        <f t="shared" si="15"/>
        <v>71.55</v>
      </c>
      <c r="R324" s="35">
        <v>500</v>
      </c>
    </row>
    <row r="325" spans="1:18" x14ac:dyDescent="0.25">
      <c r="A325" s="37" t="s">
        <v>462</v>
      </c>
      <c r="B325" s="37"/>
      <c r="C325" s="37" t="s">
        <v>53</v>
      </c>
      <c r="D325" s="37" t="s">
        <v>2582</v>
      </c>
      <c r="E325" s="38">
        <v>45549</v>
      </c>
      <c r="F325" s="38">
        <v>45914</v>
      </c>
      <c r="G325" s="37" t="s">
        <v>1338</v>
      </c>
      <c r="H325" s="37" t="s">
        <v>60</v>
      </c>
      <c r="I325" s="39">
        <v>8800</v>
      </c>
      <c r="J325" s="39">
        <v>7155</v>
      </c>
      <c r="K325" s="43">
        <f t="shared" si="16"/>
        <v>2.5000000000000001E-2</v>
      </c>
      <c r="L325" s="37" t="s">
        <v>2057</v>
      </c>
      <c r="M325" s="40">
        <v>45549</v>
      </c>
      <c r="N325" s="33" t="s">
        <v>57</v>
      </c>
      <c r="O325" s="41">
        <v>352000</v>
      </c>
      <c r="P325" s="34">
        <f t="shared" si="17"/>
        <v>1073.25</v>
      </c>
      <c r="Q325" s="36">
        <f t="shared" si="15"/>
        <v>71.55</v>
      </c>
      <c r="R325" s="35">
        <v>500</v>
      </c>
    </row>
    <row r="326" spans="1:18" x14ac:dyDescent="0.25">
      <c r="A326" s="37" t="s">
        <v>463</v>
      </c>
      <c r="B326" s="37"/>
      <c r="C326" s="37" t="s">
        <v>32</v>
      </c>
      <c r="D326" s="37" t="s">
        <v>36</v>
      </c>
      <c r="E326" s="38">
        <v>45549</v>
      </c>
      <c r="F326" s="38">
        <v>45914</v>
      </c>
      <c r="G326" s="37" t="s">
        <v>1339</v>
      </c>
      <c r="H326" s="37" t="s">
        <v>61</v>
      </c>
      <c r="I326" s="39">
        <v>16235</v>
      </c>
      <c r="J326" s="39">
        <v>13565</v>
      </c>
      <c r="K326" s="43">
        <f t="shared" si="16"/>
        <v>4.2500000000000003E-2</v>
      </c>
      <c r="L326" s="37" t="s">
        <v>2058</v>
      </c>
      <c r="M326" s="40">
        <v>45549</v>
      </c>
      <c r="N326" s="33" t="s">
        <v>57</v>
      </c>
      <c r="O326" s="41">
        <v>382000</v>
      </c>
      <c r="P326" s="34">
        <f t="shared" si="17"/>
        <v>2034.75</v>
      </c>
      <c r="Q326" s="36">
        <f t="shared" si="15"/>
        <v>135.65</v>
      </c>
      <c r="R326" s="35">
        <v>500</v>
      </c>
    </row>
    <row r="327" spans="1:18" x14ac:dyDescent="0.25">
      <c r="A327" s="37" t="s">
        <v>464</v>
      </c>
      <c r="B327" s="37"/>
      <c r="C327" s="37" t="s">
        <v>30</v>
      </c>
      <c r="D327" s="37" t="s">
        <v>36</v>
      </c>
      <c r="E327" s="38">
        <v>45549</v>
      </c>
      <c r="F327" s="38">
        <v>45914</v>
      </c>
      <c r="G327" s="37" t="s">
        <v>1340</v>
      </c>
      <c r="H327" s="37" t="s">
        <v>60</v>
      </c>
      <c r="I327" s="39">
        <v>14960</v>
      </c>
      <c r="J327" s="39">
        <v>12466</v>
      </c>
      <c r="K327" s="43">
        <f t="shared" si="16"/>
        <v>4.2500000000000003E-2</v>
      </c>
      <c r="L327" s="37" t="s">
        <v>2059</v>
      </c>
      <c r="M327" s="40">
        <v>45549</v>
      </c>
      <c r="N327" s="33" t="s">
        <v>57</v>
      </c>
      <c r="O327" s="41">
        <v>352000</v>
      </c>
      <c r="P327" s="34">
        <f t="shared" si="17"/>
        <v>1869.9</v>
      </c>
      <c r="Q327" s="36">
        <f t="shared" si="15"/>
        <v>124.66</v>
      </c>
      <c r="R327" s="35">
        <v>500</v>
      </c>
    </row>
    <row r="328" spans="1:18" x14ac:dyDescent="0.25">
      <c r="A328" s="37" t="s">
        <v>465</v>
      </c>
      <c r="B328" s="37"/>
      <c r="C328" s="37" t="s">
        <v>32</v>
      </c>
      <c r="D328" s="37" t="s">
        <v>36</v>
      </c>
      <c r="E328" s="38">
        <v>45549</v>
      </c>
      <c r="F328" s="38">
        <v>45914</v>
      </c>
      <c r="G328" s="37" t="s">
        <v>1341</v>
      </c>
      <c r="H328" s="37" t="s">
        <v>61</v>
      </c>
      <c r="I328" s="39">
        <v>16235</v>
      </c>
      <c r="J328" s="39">
        <v>13565</v>
      </c>
      <c r="K328" s="43">
        <f t="shared" si="16"/>
        <v>4.2500000000000003E-2</v>
      </c>
      <c r="L328" s="37" t="s">
        <v>2060</v>
      </c>
      <c r="M328" s="40">
        <v>45549</v>
      </c>
      <c r="N328" s="33" t="s">
        <v>57</v>
      </c>
      <c r="O328" s="41">
        <v>382000</v>
      </c>
      <c r="P328" s="34">
        <f t="shared" si="17"/>
        <v>2034.75</v>
      </c>
      <c r="Q328" s="36">
        <f t="shared" si="15"/>
        <v>135.65</v>
      </c>
      <c r="R328" s="35">
        <v>500</v>
      </c>
    </row>
    <row r="329" spans="1:18" x14ac:dyDescent="0.25">
      <c r="A329" s="37" t="s">
        <v>466</v>
      </c>
      <c r="B329" s="37"/>
      <c r="C329" s="37" t="s">
        <v>30</v>
      </c>
      <c r="D329" s="37" t="s">
        <v>36</v>
      </c>
      <c r="E329" s="38">
        <v>45549</v>
      </c>
      <c r="F329" s="38">
        <v>45914</v>
      </c>
      <c r="G329" s="37" t="s">
        <v>1342</v>
      </c>
      <c r="H329" s="37" t="s">
        <v>60</v>
      </c>
      <c r="I329" s="39">
        <v>14960</v>
      </c>
      <c r="J329" s="39">
        <v>12466</v>
      </c>
      <c r="K329" s="43">
        <f t="shared" si="16"/>
        <v>4.2500000000000003E-2</v>
      </c>
      <c r="L329" s="37" t="s">
        <v>2061</v>
      </c>
      <c r="M329" s="40">
        <v>45549</v>
      </c>
      <c r="N329" s="33" t="s">
        <v>57</v>
      </c>
      <c r="O329" s="41">
        <v>352000</v>
      </c>
      <c r="P329" s="34">
        <f t="shared" si="17"/>
        <v>1869.9</v>
      </c>
      <c r="Q329" s="36">
        <f t="shared" si="15"/>
        <v>124.66</v>
      </c>
      <c r="R329" s="35">
        <v>500</v>
      </c>
    </row>
    <row r="330" spans="1:18" x14ac:dyDescent="0.25">
      <c r="A330" s="37" t="s">
        <v>467</v>
      </c>
      <c r="B330" s="37"/>
      <c r="C330" s="37" t="s">
        <v>30</v>
      </c>
      <c r="D330" s="37" t="s">
        <v>36</v>
      </c>
      <c r="E330" s="38">
        <v>45549</v>
      </c>
      <c r="F330" s="38">
        <v>45914</v>
      </c>
      <c r="G330" s="37" t="s">
        <v>1343</v>
      </c>
      <c r="H330" s="37" t="s">
        <v>63</v>
      </c>
      <c r="I330" s="39">
        <v>21208</v>
      </c>
      <c r="J330" s="39">
        <v>17852</v>
      </c>
      <c r="K330" s="43">
        <f t="shared" si="16"/>
        <v>4.2501002004008019E-2</v>
      </c>
      <c r="L330" s="37" t="s">
        <v>2062</v>
      </c>
      <c r="M330" s="40">
        <v>45549</v>
      </c>
      <c r="N330" s="33" t="s">
        <v>57</v>
      </c>
      <c r="O330" s="41">
        <v>499000</v>
      </c>
      <c r="P330" s="34">
        <f t="shared" si="17"/>
        <v>2677.8</v>
      </c>
      <c r="Q330" s="36">
        <f t="shared" si="15"/>
        <v>178.52</v>
      </c>
      <c r="R330" s="35">
        <v>500</v>
      </c>
    </row>
    <row r="331" spans="1:18" x14ac:dyDescent="0.25">
      <c r="A331" s="37" t="s">
        <v>468</v>
      </c>
      <c r="B331" s="37"/>
      <c r="C331" s="37" t="s">
        <v>30</v>
      </c>
      <c r="D331" s="37" t="s">
        <v>36</v>
      </c>
      <c r="E331" s="38">
        <v>45915</v>
      </c>
      <c r="F331" s="38">
        <v>46280</v>
      </c>
      <c r="G331" s="37" t="s">
        <v>1343</v>
      </c>
      <c r="H331" s="37" t="s">
        <v>63</v>
      </c>
      <c r="I331" s="39">
        <v>21208</v>
      </c>
      <c r="J331" s="39">
        <v>17852</v>
      </c>
      <c r="K331" s="43">
        <f t="shared" si="16"/>
        <v>4.2501002004008019E-2</v>
      </c>
      <c r="L331" s="37" t="s">
        <v>2062</v>
      </c>
      <c r="M331" s="40">
        <v>45549</v>
      </c>
      <c r="N331" s="33" t="s">
        <v>57</v>
      </c>
      <c r="O331" s="41">
        <v>499000</v>
      </c>
      <c r="P331" s="34">
        <f t="shared" si="17"/>
        <v>2677.8</v>
      </c>
      <c r="Q331" s="36">
        <f t="shared" si="15"/>
        <v>178.52</v>
      </c>
      <c r="R331" s="35">
        <v>500</v>
      </c>
    </row>
    <row r="332" spans="1:18" x14ac:dyDescent="0.25">
      <c r="A332" s="37" t="s">
        <v>469</v>
      </c>
      <c r="B332" s="37"/>
      <c r="C332" s="37" t="s">
        <v>52</v>
      </c>
      <c r="D332" s="37" t="s">
        <v>36</v>
      </c>
      <c r="E332" s="38">
        <v>45549</v>
      </c>
      <c r="F332" s="38">
        <v>45914</v>
      </c>
      <c r="G332" s="37" t="s">
        <v>1344</v>
      </c>
      <c r="H332" s="37" t="s">
        <v>62</v>
      </c>
      <c r="I332" s="39">
        <v>23248</v>
      </c>
      <c r="J332" s="39">
        <v>19610</v>
      </c>
      <c r="K332" s="43">
        <f t="shared" si="16"/>
        <v>4.2500914076782449E-2</v>
      </c>
      <c r="L332" s="37" t="s">
        <v>2063</v>
      </c>
      <c r="M332" s="40">
        <v>45549</v>
      </c>
      <c r="N332" s="33" t="s">
        <v>57</v>
      </c>
      <c r="O332" s="41">
        <v>547000</v>
      </c>
      <c r="P332" s="34">
        <f t="shared" si="17"/>
        <v>2941.5</v>
      </c>
      <c r="Q332" s="36">
        <f t="shared" si="15"/>
        <v>196.1</v>
      </c>
      <c r="R332" s="35">
        <v>500</v>
      </c>
    </row>
    <row r="333" spans="1:18" x14ac:dyDescent="0.25">
      <c r="A333" s="37" t="s">
        <v>470</v>
      </c>
      <c r="B333" s="37"/>
      <c r="C333" s="37" t="s">
        <v>37</v>
      </c>
      <c r="D333" s="37" t="s">
        <v>2582</v>
      </c>
      <c r="E333" s="38">
        <v>45549</v>
      </c>
      <c r="F333" s="38">
        <v>45914</v>
      </c>
      <c r="G333" s="37" t="s">
        <v>1345</v>
      </c>
      <c r="H333" s="37" t="s">
        <v>60</v>
      </c>
      <c r="I333" s="39">
        <v>8800</v>
      </c>
      <c r="J333" s="39">
        <v>7155</v>
      </c>
      <c r="K333" s="43">
        <f t="shared" si="16"/>
        <v>2.5000000000000001E-2</v>
      </c>
      <c r="L333" s="37" t="s">
        <v>2064</v>
      </c>
      <c r="M333" s="40">
        <v>45549</v>
      </c>
      <c r="N333" s="33" t="s">
        <v>57</v>
      </c>
      <c r="O333" s="41">
        <v>352000</v>
      </c>
      <c r="P333" s="34">
        <f t="shared" si="17"/>
        <v>1073.25</v>
      </c>
      <c r="Q333" s="36">
        <f t="shared" si="15"/>
        <v>71.55</v>
      </c>
      <c r="R333" s="35">
        <v>500</v>
      </c>
    </row>
    <row r="334" spans="1:18" x14ac:dyDescent="0.25">
      <c r="A334" s="37" t="s">
        <v>471</v>
      </c>
      <c r="B334" s="37"/>
      <c r="C334" s="37" t="s">
        <v>37</v>
      </c>
      <c r="D334" s="37" t="s">
        <v>2582</v>
      </c>
      <c r="E334" s="38">
        <v>45549</v>
      </c>
      <c r="F334" s="38">
        <v>45914</v>
      </c>
      <c r="G334" s="37" t="s">
        <v>1230</v>
      </c>
      <c r="H334" s="37" t="s">
        <v>60</v>
      </c>
      <c r="I334" s="39">
        <v>8800</v>
      </c>
      <c r="J334" s="39">
        <v>7155</v>
      </c>
      <c r="K334" s="43">
        <f t="shared" si="16"/>
        <v>2.5000000000000001E-2</v>
      </c>
      <c r="L334" s="37" t="s">
        <v>2065</v>
      </c>
      <c r="M334" s="40">
        <v>45549</v>
      </c>
      <c r="N334" s="33" t="s">
        <v>57</v>
      </c>
      <c r="O334" s="41">
        <v>352000</v>
      </c>
      <c r="P334" s="34">
        <f t="shared" si="17"/>
        <v>1073.25</v>
      </c>
      <c r="Q334" s="36">
        <f t="shared" si="15"/>
        <v>71.55</v>
      </c>
      <c r="R334" s="35">
        <v>500</v>
      </c>
    </row>
    <row r="335" spans="1:18" x14ac:dyDescent="0.25">
      <c r="A335" s="37" t="s">
        <v>472</v>
      </c>
      <c r="B335" s="37"/>
      <c r="C335" s="37" t="s">
        <v>37</v>
      </c>
      <c r="D335" s="37" t="s">
        <v>2582</v>
      </c>
      <c r="E335" s="38">
        <v>45549</v>
      </c>
      <c r="F335" s="38">
        <v>45914</v>
      </c>
      <c r="G335" s="37" t="s">
        <v>1346</v>
      </c>
      <c r="H335" s="37" t="s">
        <v>60</v>
      </c>
      <c r="I335" s="39">
        <v>8800</v>
      </c>
      <c r="J335" s="39">
        <v>7155</v>
      </c>
      <c r="K335" s="43">
        <f t="shared" si="16"/>
        <v>2.5000000000000001E-2</v>
      </c>
      <c r="L335" s="37" t="s">
        <v>2066</v>
      </c>
      <c r="M335" s="40">
        <v>45549</v>
      </c>
      <c r="N335" s="33" t="s">
        <v>57</v>
      </c>
      <c r="O335" s="41">
        <v>352000</v>
      </c>
      <c r="P335" s="34">
        <f t="shared" si="17"/>
        <v>1073.25</v>
      </c>
      <c r="Q335" s="36">
        <f t="shared" si="15"/>
        <v>71.55</v>
      </c>
      <c r="R335" s="35">
        <v>500</v>
      </c>
    </row>
    <row r="336" spans="1:18" x14ac:dyDescent="0.25">
      <c r="A336" s="37" t="s">
        <v>473</v>
      </c>
      <c r="B336" s="37"/>
      <c r="C336" s="37" t="s">
        <v>49</v>
      </c>
      <c r="D336" s="37" t="s">
        <v>2582</v>
      </c>
      <c r="E336" s="38">
        <v>45549</v>
      </c>
      <c r="F336" s="38">
        <v>45914</v>
      </c>
      <c r="G336" s="37" t="s">
        <v>1347</v>
      </c>
      <c r="H336" s="37" t="s">
        <v>60</v>
      </c>
      <c r="I336" s="39">
        <v>8800</v>
      </c>
      <c r="J336" s="39">
        <v>7155</v>
      </c>
      <c r="K336" s="43">
        <f t="shared" si="16"/>
        <v>2.5000000000000001E-2</v>
      </c>
      <c r="L336" s="37" t="s">
        <v>2067</v>
      </c>
      <c r="M336" s="40">
        <v>45549</v>
      </c>
      <c r="N336" s="33" t="s">
        <v>57</v>
      </c>
      <c r="O336" s="41">
        <v>352000</v>
      </c>
      <c r="P336" s="34">
        <f t="shared" si="17"/>
        <v>1073.25</v>
      </c>
      <c r="Q336" s="36">
        <f t="shared" si="15"/>
        <v>71.55</v>
      </c>
      <c r="R336" s="35">
        <v>500</v>
      </c>
    </row>
    <row r="337" spans="1:18" x14ac:dyDescent="0.25">
      <c r="A337" s="37" t="s">
        <v>474</v>
      </c>
      <c r="B337" s="37"/>
      <c r="C337" s="37" t="s">
        <v>32</v>
      </c>
      <c r="D337" s="37" t="s">
        <v>36</v>
      </c>
      <c r="E337" s="38">
        <v>45549</v>
      </c>
      <c r="F337" s="38">
        <v>45914</v>
      </c>
      <c r="G337" s="37" t="s">
        <v>1348</v>
      </c>
      <c r="H337" s="37" t="s">
        <v>61</v>
      </c>
      <c r="I337" s="39">
        <v>16235</v>
      </c>
      <c r="J337" s="39">
        <v>13565</v>
      </c>
      <c r="K337" s="43">
        <f t="shared" si="16"/>
        <v>4.2500000000000003E-2</v>
      </c>
      <c r="L337" s="37" t="s">
        <v>2068</v>
      </c>
      <c r="M337" s="40">
        <v>45549</v>
      </c>
      <c r="N337" s="33" t="s">
        <v>57</v>
      </c>
      <c r="O337" s="41">
        <v>382000</v>
      </c>
      <c r="P337" s="34">
        <f t="shared" si="17"/>
        <v>2034.75</v>
      </c>
      <c r="Q337" s="36">
        <f t="shared" si="15"/>
        <v>135.65</v>
      </c>
      <c r="R337" s="35">
        <v>500</v>
      </c>
    </row>
    <row r="338" spans="1:18" x14ac:dyDescent="0.25">
      <c r="A338" s="37" t="s">
        <v>475</v>
      </c>
      <c r="B338" s="37"/>
      <c r="C338" s="37" t="s">
        <v>32</v>
      </c>
      <c r="D338" s="37" t="s">
        <v>36</v>
      </c>
      <c r="E338" s="38">
        <v>45915</v>
      </c>
      <c r="F338" s="38">
        <v>46280</v>
      </c>
      <c r="G338" s="37" t="s">
        <v>1348</v>
      </c>
      <c r="H338" s="37" t="s">
        <v>61</v>
      </c>
      <c r="I338" s="39">
        <v>16235</v>
      </c>
      <c r="J338" s="39">
        <v>13565</v>
      </c>
      <c r="K338" s="43">
        <f t="shared" si="16"/>
        <v>4.2500000000000003E-2</v>
      </c>
      <c r="L338" s="37" t="s">
        <v>2068</v>
      </c>
      <c r="M338" s="40">
        <v>45549</v>
      </c>
      <c r="N338" s="33" t="s">
        <v>57</v>
      </c>
      <c r="O338" s="41">
        <v>382000</v>
      </c>
      <c r="P338" s="34">
        <f t="shared" si="17"/>
        <v>2034.75</v>
      </c>
      <c r="Q338" s="36">
        <f t="shared" si="15"/>
        <v>135.65</v>
      </c>
      <c r="R338" s="35">
        <v>500</v>
      </c>
    </row>
    <row r="339" spans="1:18" x14ac:dyDescent="0.25">
      <c r="A339" s="37" t="s">
        <v>476</v>
      </c>
      <c r="B339" s="37"/>
      <c r="C339" s="37" t="s">
        <v>32</v>
      </c>
      <c r="D339" s="37" t="s">
        <v>36</v>
      </c>
      <c r="E339" s="38">
        <v>45549</v>
      </c>
      <c r="F339" s="38">
        <v>45914</v>
      </c>
      <c r="G339" s="37" t="s">
        <v>73</v>
      </c>
      <c r="H339" s="37" t="s">
        <v>60</v>
      </c>
      <c r="I339" s="39">
        <v>14960</v>
      </c>
      <c r="J339" s="39">
        <v>12466</v>
      </c>
      <c r="K339" s="43">
        <f t="shared" si="16"/>
        <v>4.2500000000000003E-2</v>
      </c>
      <c r="L339" s="37" t="s">
        <v>2069</v>
      </c>
      <c r="M339" s="40">
        <v>45549</v>
      </c>
      <c r="N339" s="33" t="s">
        <v>57</v>
      </c>
      <c r="O339" s="41">
        <v>352000</v>
      </c>
      <c r="P339" s="34">
        <f t="shared" si="17"/>
        <v>1869.9</v>
      </c>
      <c r="Q339" s="36">
        <f t="shared" si="15"/>
        <v>124.66</v>
      </c>
      <c r="R339" s="35">
        <v>500</v>
      </c>
    </row>
    <row r="340" spans="1:18" x14ac:dyDescent="0.25">
      <c r="A340" s="37" t="s">
        <v>477</v>
      </c>
      <c r="B340" s="37"/>
      <c r="C340" s="37" t="s">
        <v>32</v>
      </c>
      <c r="D340" s="37" t="s">
        <v>36</v>
      </c>
      <c r="E340" s="38">
        <v>45549</v>
      </c>
      <c r="F340" s="38">
        <v>45914</v>
      </c>
      <c r="G340" s="37" t="s">
        <v>1349</v>
      </c>
      <c r="H340" s="37" t="s">
        <v>60</v>
      </c>
      <c r="I340" s="39">
        <v>14960</v>
      </c>
      <c r="J340" s="39">
        <v>12466</v>
      </c>
      <c r="K340" s="43">
        <f t="shared" si="16"/>
        <v>4.2500000000000003E-2</v>
      </c>
      <c r="L340" s="37" t="s">
        <v>2070</v>
      </c>
      <c r="M340" s="40">
        <v>45549</v>
      </c>
      <c r="N340" s="33" t="s">
        <v>57</v>
      </c>
      <c r="O340" s="41">
        <v>352000</v>
      </c>
      <c r="P340" s="34">
        <f t="shared" si="17"/>
        <v>1869.9</v>
      </c>
      <c r="Q340" s="36">
        <f t="shared" si="15"/>
        <v>124.66</v>
      </c>
      <c r="R340" s="35">
        <v>500</v>
      </c>
    </row>
    <row r="341" spans="1:18" x14ac:dyDescent="0.25">
      <c r="A341" s="37" t="s">
        <v>478</v>
      </c>
      <c r="B341" s="37"/>
      <c r="C341" s="37" t="s">
        <v>32</v>
      </c>
      <c r="D341" s="37" t="s">
        <v>36</v>
      </c>
      <c r="E341" s="38">
        <v>45915</v>
      </c>
      <c r="F341" s="38">
        <v>46280</v>
      </c>
      <c r="G341" s="37" t="s">
        <v>1349</v>
      </c>
      <c r="H341" s="37" t="s">
        <v>60</v>
      </c>
      <c r="I341" s="39">
        <v>14960</v>
      </c>
      <c r="J341" s="39">
        <v>12466</v>
      </c>
      <c r="K341" s="43">
        <f t="shared" si="16"/>
        <v>4.2500000000000003E-2</v>
      </c>
      <c r="L341" s="37" t="s">
        <v>2070</v>
      </c>
      <c r="M341" s="40">
        <v>45549</v>
      </c>
      <c r="N341" s="33" t="s">
        <v>57</v>
      </c>
      <c r="O341" s="41">
        <v>352000</v>
      </c>
      <c r="P341" s="34">
        <f t="shared" si="17"/>
        <v>1869.9</v>
      </c>
      <c r="Q341" s="36">
        <f t="shared" si="15"/>
        <v>124.66</v>
      </c>
      <c r="R341" s="35">
        <v>500</v>
      </c>
    </row>
    <row r="342" spans="1:18" x14ac:dyDescent="0.25">
      <c r="A342" s="37" t="s">
        <v>479</v>
      </c>
      <c r="B342" s="37"/>
      <c r="C342" s="37" t="s">
        <v>32</v>
      </c>
      <c r="D342" s="37" t="s">
        <v>36</v>
      </c>
      <c r="E342" s="38">
        <v>45549</v>
      </c>
      <c r="F342" s="38">
        <v>45914</v>
      </c>
      <c r="G342" s="37" t="s">
        <v>1350</v>
      </c>
      <c r="H342" s="37" t="s">
        <v>60</v>
      </c>
      <c r="I342" s="39">
        <v>14960</v>
      </c>
      <c r="J342" s="39">
        <v>12466</v>
      </c>
      <c r="K342" s="43">
        <f t="shared" si="16"/>
        <v>4.2500000000000003E-2</v>
      </c>
      <c r="L342" s="37" t="s">
        <v>2071</v>
      </c>
      <c r="M342" s="40">
        <v>45549</v>
      </c>
      <c r="N342" s="33" t="s">
        <v>57</v>
      </c>
      <c r="O342" s="41">
        <v>352000</v>
      </c>
      <c r="P342" s="34">
        <f t="shared" si="17"/>
        <v>1869.9</v>
      </c>
      <c r="Q342" s="36">
        <f t="shared" si="15"/>
        <v>124.66</v>
      </c>
      <c r="R342" s="35">
        <v>500</v>
      </c>
    </row>
    <row r="343" spans="1:18" x14ac:dyDescent="0.25">
      <c r="A343" s="37" t="s">
        <v>480</v>
      </c>
      <c r="B343" s="37"/>
      <c r="C343" s="37" t="s">
        <v>32</v>
      </c>
      <c r="D343" s="37" t="s">
        <v>36</v>
      </c>
      <c r="E343" s="38">
        <v>45549</v>
      </c>
      <c r="F343" s="38">
        <v>45914</v>
      </c>
      <c r="G343" s="37" t="s">
        <v>1351</v>
      </c>
      <c r="H343" s="37" t="s">
        <v>60</v>
      </c>
      <c r="I343" s="39">
        <v>14960</v>
      </c>
      <c r="J343" s="39">
        <v>12466</v>
      </c>
      <c r="K343" s="43">
        <f t="shared" si="16"/>
        <v>4.2500000000000003E-2</v>
      </c>
      <c r="L343" s="37" t="s">
        <v>2072</v>
      </c>
      <c r="M343" s="40">
        <v>45549</v>
      </c>
      <c r="N343" s="33" t="s">
        <v>57</v>
      </c>
      <c r="O343" s="41">
        <v>352000</v>
      </c>
      <c r="P343" s="34">
        <f t="shared" si="17"/>
        <v>1869.9</v>
      </c>
      <c r="Q343" s="36">
        <f t="shared" si="15"/>
        <v>124.66</v>
      </c>
      <c r="R343" s="35">
        <v>500</v>
      </c>
    </row>
    <row r="344" spans="1:18" x14ac:dyDescent="0.25">
      <c r="A344" s="37" t="s">
        <v>481</v>
      </c>
      <c r="B344" s="37"/>
      <c r="C344" s="37" t="s">
        <v>32</v>
      </c>
      <c r="D344" s="37" t="s">
        <v>36</v>
      </c>
      <c r="E344" s="38">
        <v>45915</v>
      </c>
      <c r="F344" s="38">
        <v>46280</v>
      </c>
      <c r="G344" s="37" t="s">
        <v>1351</v>
      </c>
      <c r="H344" s="37" t="s">
        <v>60</v>
      </c>
      <c r="I344" s="39">
        <v>14960</v>
      </c>
      <c r="J344" s="39">
        <v>12466</v>
      </c>
      <c r="K344" s="43">
        <f t="shared" si="16"/>
        <v>4.2500000000000003E-2</v>
      </c>
      <c r="L344" s="37" t="s">
        <v>2072</v>
      </c>
      <c r="M344" s="40">
        <v>45549</v>
      </c>
      <c r="N344" s="33" t="s">
        <v>57</v>
      </c>
      <c r="O344" s="41">
        <v>352000</v>
      </c>
      <c r="P344" s="34">
        <f t="shared" si="17"/>
        <v>1869.9</v>
      </c>
      <c r="Q344" s="36">
        <f t="shared" si="15"/>
        <v>124.66</v>
      </c>
      <c r="R344" s="35">
        <v>500</v>
      </c>
    </row>
    <row r="345" spans="1:18" x14ac:dyDescent="0.25">
      <c r="A345" s="37" t="s">
        <v>482</v>
      </c>
      <c r="B345" s="37"/>
      <c r="C345" s="37" t="s">
        <v>31</v>
      </c>
      <c r="D345" s="37" t="s">
        <v>36</v>
      </c>
      <c r="E345" s="38">
        <v>45551</v>
      </c>
      <c r="F345" s="38">
        <v>45916</v>
      </c>
      <c r="G345" s="37" t="s">
        <v>1352</v>
      </c>
      <c r="H345" s="37" t="s">
        <v>60</v>
      </c>
      <c r="I345" s="39">
        <v>14960</v>
      </c>
      <c r="J345" s="39">
        <v>12466</v>
      </c>
      <c r="K345" s="43">
        <f t="shared" si="16"/>
        <v>4.2500000000000003E-2</v>
      </c>
      <c r="L345" s="37" t="s">
        <v>2073</v>
      </c>
      <c r="M345" s="40">
        <v>45551</v>
      </c>
      <c r="N345" s="33" t="s">
        <v>57</v>
      </c>
      <c r="O345" s="41">
        <v>352000</v>
      </c>
      <c r="P345" s="34">
        <f t="shared" si="17"/>
        <v>1869.9</v>
      </c>
      <c r="Q345" s="36">
        <f t="shared" si="15"/>
        <v>124.66</v>
      </c>
      <c r="R345" s="35">
        <v>500</v>
      </c>
    </row>
    <row r="346" spans="1:18" x14ac:dyDescent="0.25">
      <c r="A346" s="37" t="s">
        <v>483</v>
      </c>
      <c r="B346" s="37"/>
      <c r="C346" s="37" t="s">
        <v>34</v>
      </c>
      <c r="D346" s="37" t="s">
        <v>2582</v>
      </c>
      <c r="E346" s="38">
        <v>45551</v>
      </c>
      <c r="F346" s="38">
        <v>45916</v>
      </c>
      <c r="G346" s="37" t="s">
        <v>1353</v>
      </c>
      <c r="H346" s="37" t="s">
        <v>60</v>
      </c>
      <c r="I346" s="39">
        <v>8800</v>
      </c>
      <c r="J346" s="39">
        <v>7155</v>
      </c>
      <c r="K346" s="43">
        <f t="shared" si="16"/>
        <v>2.5000000000000001E-2</v>
      </c>
      <c r="L346" s="37" t="s">
        <v>2074</v>
      </c>
      <c r="M346" s="40">
        <v>45551</v>
      </c>
      <c r="N346" s="33" t="s">
        <v>57</v>
      </c>
      <c r="O346" s="41">
        <v>352000</v>
      </c>
      <c r="P346" s="34">
        <f t="shared" si="17"/>
        <v>1073.25</v>
      </c>
      <c r="Q346" s="36">
        <f t="shared" si="15"/>
        <v>71.55</v>
      </c>
      <c r="R346" s="35">
        <v>500</v>
      </c>
    </row>
    <row r="347" spans="1:18" x14ac:dyDescent="0.25">
      <c r="A347" s="37" t="s">
        <v>484</v>
      </c>
      <c r="B347" s="37"/>
      <c r="C347" s="37" t="s">
        <v>34</v>
      </c>
      <c r="D347" s="37" t="s">
        <v>2582</v>
      </c>
      <c r="E347" s="38">
        <v>45551</v>
      </c>
      <c r="F347" s="38">
        <v>45916</v>
      </c>
      <c r="G347" s="37" t="s">
        <v>1354</v>
      </c>
      <c r="H347" s="37" t="s">
        <v>60</v>
      </c>
      <c r="I347" s="39">
        <v>8800</v>
      </c>
      <c r="J347" s="39">
        <v>7155</v>
      </c>
      <c r="K347" s="43">
        <f t="shared" si="16"/>
        <v>2.5000000000000001E-2</v>
      </c>
      <c r="L347" s="37" t="s">
        <v>2075</v>
      </c>
      <c r="M347" s="40">
        <v>45551</v>
      </c>
      <c r="N347" s="33" t="s">
        <v>57</v>
      </c>
      <c r="O347" s="41">
        <v>352000</v>
      </c>
      <c r="P347" s="34">
        <f t="shared" si="17"/>
        <v>1073.25</v>
      </c>
      <c r="Q347" s="36">
        <f t="shared" si="15"/>
        <v>71.55</v>
      </c>
      <c r="R347" s="35">
        <v>500</v>
      </c>
    </row>
    <row r="348" spans="1:18" x14ac:dyDescent="0.25">
      <c r="A348" s="37" t="s">
        <v>485</v>
      </c>
      <c r="B348" s="37"/>
      <c r="C348" s="37" t="s">
        <v>34</v>
      </c>
      <c r="D348" s="37" t="s">
        <v>2582</v>
      </c>
      <c r="E348" s="38">
        <v>45551</v>
      </c>
      <c r="F348" s="38">
        <v>45916</v>
      </c>
      <c r="G348" s="37" t="s">
        <v>1355</v>
      </c>
      <c r="H348" s="37" t="s">
        <v>60</v>
      </c>
      <c r="I348" s="39">
        <v>8800</v>
      </c>
      <c r="J348" s="39">
        <v>7155</v>
      </c>
      <c r="K348" s="43">
        <f t="shared" si="16"/>
        <v>2.5000000000000001E-2</v>
      </c>
      <c r="L348" s="37" t="s">
        <v>2076</v>
      </c>
      <c r="M348" s="40">
        <v>45551</v>
      </c>
      <c r="N348" s="33" t="s">
        <v>57</v>
      </c>
      <c r="O348" s="41">
        <v>352000</v>
      </c>
      <c r="P348" s="34">
        <f t="shared" si="17"/>
        <v>1073.25</v>
      </c>
      <c r="Q348" s="36">
        <f t="shared" si="15"/>
        <v>71.55</v>
      </c>
      <c r="R348" s="35">
        <v>500</v>
      </c>
    </row>
    <row r="349" spans="1:18" x14ac:dyDescent="0.25">
      <c r="A349" s="37" t="s">
        <v>486</v>
      </c>
      <c r="B349" s="37"/>
      <c r="C349" s="37" t="s">
        <v>34</v>
      </c>
      <c r="D349" s="37" t="s">
        <v>2582</v>
      </c>
      <c r="E349" s="38">
        <v>45551</v>
      </c>
      <c r="F349" s="38">
        <v>45916</v>
      </c>
      <c r="G349" s="37" t="s">
        <v>1356</v>
      </c>
      <c r="H349" s="37" t="s">
        <v>60</v>
      </c>
      <c r="I349" s="39">
        <v>8800</v>
      </c>
      <c r="J349" s="39">
        <v>7155</v>
      </c>
      <c r="K349" s="43">
        <f t="shared" si="16"/>
        <v>2.5000000000000001E-2</v>
      </c>
      <c r="L349" s="37" t="s">
        <v>2077</v>
      </c>
      <c r="M349" s="40">
        <v>45551</v>
      </c>
      <c r="N349" s="33" t="s">
        <v>57</v>
      </c>
      <c r="O349" s="41">
        <v>352000</v>
      </c>
      <c r="P349" s="34">
        <f t="shared" si="17"/>
        <v>1073.25</v>
      </c>
      <c r="Q349" s="36">
        <f t="shared" si="15"/>
        <v>71.55</v>
      </c>
      <c r="R349" s="35">
        <v>500</v>
      </c>
    </row>
    <row r="350" spans="1:18" x14ac:dyDescent="0.25">
      <c r="A350" s="37" t="s">
        <v>487</v>
      </c>
      <c r="B350" s="37"/>
      <c r="C350" s="37" t="s">
        <v>34</v>
      </c>
      <c r="D350" s="37" t="s">
        <v>2582</v>
      </c>
      <c r="E350" s="38">
        <v>45551</v>
      </c>
      <c r="F350" s="38">
        <v>45916</v>
      </c>
      <c r="G350" s="37" t="s">
        <v>1357</v>
      </c>
      <c r="H350" s="37" t="s">
        <v>60</v>
      </c>
      <c r="I350" s="39">
        <v>8800</v>
      </c>
      <c r="J350" s="39">
        <v>7155</v>
      </c>
      <c r="K350" s="43">
        <f t="shared" si="16"/>
        <v>2.5000000000000001E-2</v>
      </c>
      <c r="L350" s="37" t="s">
        <v>2078</v>
      </c>
      <c r="M350" s="40">
        <v>45551</v>
      </c>
      <c r="N350" s="33" t="s">
        <v>57</v>
      </c>
      <c r="O350" s="41">
        <v>352000</v>
      </c>
      <c r="P350" s="34">
        <f t="shared" si="17"/>
        <v>1073.25</v>
      </c>
      <c r="Q350" s="36">
        <f t="shared" si="15"/>
        <v>71.55</v>
      </c>
      <c r="R350" s="35">
        <v>500</v>
      </c>
    </row>
    <row r="351" spans="1:18" x14ac:dyDescent="0.25">
      <c r="A351" s="37" t="s">
        <v>488</v>
      </c>
      <c r="B351" s="37"/>
      <c r="C351" s="37" t="s">
        <v>34</v>
      </c>
      <c r="D351" s="37" t="s">
        <v>2582</v>
      </c>
      <c r="E351" s="38">
        <v>45551</v>
      </c>
      <c r="F351" s="38">
        <v>45916</v>
      </c>
      <c r="G351" s="37" t="s">
        <v>1358</v>
      </c>
      <c r="H351" s="37" t="s">
        <v>62</v>
      </c>
      <c r="I351" s="39">
        <v>13675</v>
      </c>
      <c r="J351" s="39">
        <v>11358</v>
      </c>
      <c r="K351" s="43">
        <f t="shared" si="16"/>
        <v>2.5000000000000001E-2</v>
      </c>
      <c r="L351" s="37" t="s">
        <v>2079</v>
      </c>
      <c r="M351" s="40">
        <v>45551</v>
      </c>
      <c r="N351" s="33" t="s">
        <v>57</v>
      </c>
      <c r="O351" s="41">
        <v>547000</v>
      </c>
      <c r="P351" s="34">
        <f t="shared" si="17"/>
        <v>1703.7</v>
      </c>
      <c r="Q351" s="36">
        <f t="shared" si="15"/>
        <v>113.58</v>
      </c>
      <c r="R351" s="35">
        <v>500</v>
      </c>
    </row>
    <row r="352" spans="1:18" x14ac:dyDescent="0.25">
      <c r="A352" s="37" t="s">
        <v>489</v>
      </c>
      <c r="B352" s="37"/>
      <c r="C352" s="37" t="s">
        <v>34</v>
      </c>
      <c r="D352" s="37" t="s">
        <v>2582</v>
      </c>
      <c r="E352" s="38">
        <v>45551</v>
      </c>
      <c r="F352" s="38">
        <v>45916</v>
      </c>
      <c r="G352" s="37" t="s">
        <v>1359</v>
      </c>
      <c r="H352" s="37" t="s">
        <v>60</v>
      </c>
      <c r="I352" s="39">
        <v>8800</v>
      </c>
      <c r="J352" s="39">
        <v>7155</v>
      </c>
      <c r="K352" s="43">
        <f t="shared" si="16"/>
        <v>2.5000000000000001E-2</v>
      </c>
      <c r="L352" s="37" t="s">
        <v>2080</v>
      </c>
      <c r="M352" s="40">
        <v>45551</v>
      </c>
      <c r="N352" s="33" t="s">
        <v>57</v>
      </c>
      <c r="O352" s="41">
        <v>352000</v>
      </c>
      <c r="P352" s="34">
        <f t="shared" si="17"/>
        <v>1073.25</v>
      </c>
      <c r="Q352" s="36">
        <f t="shared" si="15"/>
        <v>71.55</v>
      </c>
      <c r="R352" s="35">
        <v>500</v>
      </c>
    </row>
    <row r="353" spans="1:18" x14ac:dyDescent="0.25">
      <c r="A353" s="37" t="s">
        <v>490</v>
      </c>
      <c r="B353" s="37"/>
      <c r="C353" s="37" t="s">
        <v>34</v>
      </c>
      <c r="D353" s="37" t="s">
        <v>2582</v>
      </c>
      <c r="E353" s="38">
        <v>45551</v>
      </c>
      <c r="F353" s="38">
        <v>45916</v>
      </c>
      <c r="G353" s="37" t="s">
        <v>1360</v>
      </c>
      <c r="H353" s="37" t="s">
        <v>63</v>
      </c>
      <c r="I353" s="39">
        <v>12475</v>
      </c>
      <c r="J353" s="39">
        <v>10323</v>
      </c>
      <c r="K353" s="43">
        <f t="shared" si="16"/>
        <v>2.5000000000000001E-2</v>
      </c>
      <c r="L353" s="37" t="s">
        <v>2081</v>
      </c>
      <c r="M353" s="40">
        <v>45551</v>
      </c>
      <c r="N353" s="33" t="s">
        <v>57</v>
      </c>
      <c r="O353" s="41">
        <v>499000</v>
      </c>
      <c r="P353" s="34">
        <f t="shared" si="17"/>
        <v>1548.45</v>
      </c>
      <c r="Q353" s="36">
        <f t="shared" si="15"/>
        <v>103.23</v>
      </c>
      <c r="R353" s="35">
        <v>500</v>
      </c>
    </row>
    <row r="354" spans="1:18" x14ac:dyDescent="0.25">
      <c r="A354" s="37" t="s">
        <v>491</v>
      </c>
      <c r="B354" s="37"/>
      <c r="C354" s="37" t="s">
        <v>34</v>
      </c>
      <c r="D354" s="37" t="s">
        <v>2582</v>
      </c>
      <c r="E354" s="38">
        <v>45551</v>
      </c>
      <c r="F354" s="38">
        <v>45916</v>
      </c>
      <c r="G354" s="37" t="s">
        <v>1361</v>
      </c>
      <c r="H354" s="37" t="s">
        <v>60</v>
      </c>
      <c r="I354" s="39">
        <v>8800</v>
      </c>
      <c r="J354" s="39">
        <v>7155</v>
      </c>
      <c r="K354" s="43">
        <f t="shared" si="16"/>
        <v>2.5000000000000001E-2</v>
      </c>
      <c r="L354" s="37" t="s">
        <v>2082</v>
      </c>
      <c r="M354" s="40">
        <v>45551</v>
      </c>
      <c r="N354" s="33" t="s">
        <v>57</v>
      </c>
      <c r="O354" s="41">
        <v>352000</v>
      </c>
      <c r="P354" s="34">
        <f t="shared" si="17"/>
        <v>1073.25</v>
      </c>
      <c r="Q354" s="36">
        <f t="shared" si="15"/>
        <v>71.55</v>
      </c>
      <c r="R354" s="35">
        <v>500</v>
      </c>
    </row>
    <row r="355" spans="1:18" x14ac:dyDescent="0.25">
      <c r="A355" s="37" t="s">
        <v>492</v>
      </c>
      <c r="B355" s="37"/>
      <c r="C355" s="37" t="s">
        <v>34</v>
      </c>
      <c r="D355" s="37" t="s">
        <v>2582</v>
      </c>
      <c r="E355" s="38">
        <v>45551</v>
      </c>
      <c r="F355" s="38">
        <v>45916</v>
      </c>
      <c r="G355" s="37" t="s">
        <v>1362</v>
      </c>
      <c r="H355" s="37" t="s">
        <v>62</v>
      </c>
      <c r="I355" s="39">
        <v>13675</v>
      </c>
      <c r="J355" s="39">
        <v>11358</v>
      </c>
      <c r="K355" s="43">
        <f t="shared" si="16"/>
        <v>2.5000000000000001E-2</v>
      </c>
      <c r="L355" s="37" t="s">
        <v>2083</v>
      </c>
      <c r="M355" s="40">
        <v>45551</v>
      </c>
      <c r="N355" s="33" t="s">
        <v>57</v>
      </c>
      <c r="O355" s="41">
        <v>547000</v>
      </c>
      <c r="P355" s="34">
        <f t="shared" si="17"/>
        <v>1703.7</v>
      </c>
      <c r="Q355" s="36">
        <f t="shared" si="15"/>
        <v>113.58</v>
      </c>
      <c r="R355" s="35">
        <v>500</v>
      </c>
    </row>
    <row r="356" spans="1:18" x14ac:dyDescent="0.25">
      <c r="A356" s="37" t="s">
        <v>493</v>
      </c>
      <c r="B356" s="37"/>
      <c r="C356" s="37" t="s">
        <v>31</v>
      </c>
      <c r="D356" s="37" t="s">
        <v>36</v>
      </c>
      <c r="E356" s="38">
        <v>45551</v>
      </c>
      <c r="F356" s="38">
        <v>45916</v>
      </c>
      <c r="G356" s="37" t="s">
        <v>103</v>
      </c>
      <c r="H356" s="37" t="s">
        <v>60</v>
      </c>
      <c r="I356" s="39">
        <v>14960</v>
      </c>
      <c r="J356" s="39">
        <v>12466</v>
      </c>
      <c r="K356" s="43">
        <f t="shared" si="16"/>
        <v>4.2500000000000003E-2</v>
      </c>
      <c r="L356" s="37" t="s">
        <v>2084</v>
      </c>
      <c r="M356" s="40">
        <v>45551</v>
      </c>
      <c r="N356" s="33" t="s">
        <v>57</v>
      </c>
      <c r="O356" s="41">
        <v>352000</v>
      </c>
      <c r="P356" s="34">
        <f t="shared" si="17"/>
        <v>1869.9</v>
      </c>
      <c r="Q356" s="36">
        <f t="shared" si="15"/>
        <v>124.66</v>
      </c>
      <c r="R356" s="35">
        <v>500</v>
      </c>
    </row>
    <row r="357" spans="1:18" x14ac:dyDescent="0.25">
      <c r="A357" s="37" t="s">
        <v>494</v>
      </c>
      <c r="B357" s="37"/>
      <c r="C357" s="37" t="s">
        <v>31</v>
      </c>
      <c r="D357" s="37" t="s">
        <v>36</v>
      </c>
      <c r="E357" s="38">
        <v>45917</v>
      </c>
      <c r="F357" s="38">
        <v>46282</v>
      </c>
      <c r="G357" s="37" t="s">
        <v>103</v>
      </c>
      <c r="H357" s="37" t="s">
        <v>60</v>
      </c>
      <c r="I357" s="39">
        <v>14960</v>
      </c>
      <c r="J357" s="39">
        <v>12466</v>
      </c>
      <c r="K357" s="43">
        <f t="shared" si="16"/>
        <v>4.2500000000000003E-2</v>
      </c>
      <c r="L357" s="37" t="s">
        <v>2084</v>
      </c>
      <c r="M357" s="40">
        <v>45551</v>
      </c>
      <c r="N357" s="33" t="s">
        <v>57</v>
      </c>
      <c r="O357" s="41">
        <v>352000</v>
      </c>
      <c r="P357" s="34">
        <f t="shared" si="17"/>
        <v>1869.9</v>
      </c>
      <c r="Q357" s="36">
        <f t="shared" si="15"/>
        <v>124.66</v>
      </c>
      <c r="R357" s="35">
        <v>500</v>
      </c>
    </row>
    <row r="358" spans="1:18" x14ac:dyDescent="0.25">
      <c r="A358" s="37" t="s">
        <v>495</v>
      </c>
      <c r="B358" s="37"/>
      <c r="C358" s="37" t="s">
        <v>36</v>
      </c>
      <c r="D358" s="37" t="s">
        <v>36</v>
      </c>
      <c r="E358" s="38">
        <v>45551</v>
      </c>
      <c r="F358" s="38">
        <v>45916</v>
      </c>
      <c r="G358" s="37" t="s">
        <v>1363</v>
      </c>
      <c r="H358" s="37" t="s">
        <v>60</v>
      </c>
      <c r="I358" s="39">
        <v>14960</v>
      </c>
      <c r="J358" s="39">
        <v>12466</v>
      </c>
      <c r="K358" s="43">
        <f t="shared" si="16"/>
        <v>4.2500000000000003E-2</v>
      </c>
      <c r="L358" s="37" t="s">
        <v>2085</v>
      </c>
      <c r="M358" s="40">
        <v>45551</v>
      </c>
      <c r="N358" s="33" t="s">
        <v>57</v>
      </c>
      <c r="O358" s="41">
        <v>352000</v>
      </c>
      <c r="P358" s="34">
        <f t="shared" si="17"/>
        <v>1869.9</v>
      </c>
      <c r="Q358" s="36">
        <f t="shared" si="15"/>
        <v>124.66</v>
      </c>
      <c r="R358" s="35">
        <v>500</v>
      </c>
    </row>
    <row r="359" spans="1:18" x14ac:dyDescent="0.25">
      <c r="A359" s="37" t="s">
        <v>496</v>
      </c>
      <c r="B359" s="37"/>
      <c r="C359" s="37" t="s">
        <v>36</v>
      </c>
      <c r="D359" s="37" t="s">
        <v>36</v>
      </c>
      <c r="E359" s="38">
        <v>45917</v>
      </c>
      <c r="F359" s="38">
        <v>46282</v>
      </c>
      <c r="G359" s="37" t="s">
        <v>1363</v>
      </c>
      <c r="H359" s="37" t="s">
        <v>60</v>
      </c>
      <c r="I359" s="39">
        <v>14960</v>
      </c>
      <c r="J359" s="39">
        <v>12466</v>
      </c>
      <c r="K359" s="43">
        <f t="shared" si="16"/>
        <v>4.2500000000000003E-2</v>
      </c>
      <c r="L359" s="37" t="s">
        <v>2085</v>
      </c>
      <c r="M359" s="40">
        <v>45551</v>
      </c>
      <c r="N359" s="33" t="s">
        <v>57</v>
      </c>
      <c r="O359" s="41">
        <v>352000</v>
      </c>
      <c r="P359" s="34">
        <f t="shared" si="17"/>
        <v>1869.9</v>
      </c>
      <c r="Q359" s="36">
        <f t="shared" si="15"/>
        <v>124.66</v>
      </c>
      <c r="R359" s="35">
        <v>500</v>
      </c>
    </row>
    <row r="360" spans="1:18" x14ac:dyDescent="0.25">
      <c r="A360" s="37" t="s">
        <v>497</v>
      </c>
      <c r="B360" s="37"/>
      <c r="C360" s="37" t="s">
        <v>32</v>
      </c>
      <c r="D360" s="37" t="s">
        <v>36</v>
      </c>
      <c r="E360" s="38">
        <v>45551</v>
      </c>
      <c r="F360" s="38">
        <v>45916</v>
      </c>
      <c r="G360" s="37" t="s">
        <v>1364</v>
      </c>
      <c r="H360" s="37" t="s">
        <v>60</v>
      </c>
      <c r="I360" s="39">
        <v>14365</v>
      </c>
      <c r="J360" s="39">
        <v>11953</v>
      </c>
      <c r="K360" s="43">
        <f t="shared" si="16"/>
        <v>4.2500000000000003E-2</v>
      </c>
      <c r="L360" s="37" t="s">
        <v>2086</v>
      </c>
      <c r="M360" s="40">
        <v>45551</v>
      </c>
      <c r="N360" s="33" t="s">
        <v>57</v>
      </c>
      <c r="O360" s="41">
        <v>338000</v>
      </c>
      <c r="P360" s="34">
        <f t="shared" si="17"/>
        <v>1792.95</v>
      </c>
      <c r="Q360" s="36">
        <f t="shared" si="15"/>
        <v>119.53</v>
      </c>
      <c r="R360" s="35">
        <v>500</v>
      </c>
    </row>
    <row r="361" spans="1:18" x14ac:dyDescent="0.25">
      <c r="A361" s="37" t="s">
        <v>498</v>
      </c>
      <c r="B361" s="37"/>
      <c r="C361" s="37" t="s">
        <v>35</v>
      </c>
      <c r="D361" s="37" t="s">
        <v>36</v>
      </c>
      <c r="E361" s="38">
        <v>45551</v>
      </c>
      <c r="F361" s="38">
        <v>45916</v>
      </c>
      <c r="G361" s="37" t="s">
        <v>1365</v>
      </c>
      <c r="H361" s="37" t="s">
        <v>60</v>
      </c>
      <c r="I361" s="39">
        <v>14960</v>
      </c>
      <c r="J361" s="39">
        <v>12466</v>
      </c>
      <c r="K361" s="43">
        <f t="shared" si="16"/>
        <v>4.2500000000000003E-2</v>
      </c>
      <c r="L361" s="37" t="s">
        <v>2087</v>
      </c>
      <c r="M361" s="40">
        <v>45551</v>
      </c>
      <c r="N361" s="33" t="s">
        <v>57</v>
      </c>
      <c r="O361" s="41">
        <v>352000</v>
      </c>
      <c r="P361" s="34">
        <f t="shared" si="17"/>
        <v>1869.9</v>
      </c>
      <c r="Q361" s="36">
        <f t="shared" si="15"/>
        <v>124.66</v>
      </c>
      <c r="R361" s="35">
        <v>500</v>
      </c>
    </row>
    <row r="362" spans="1:18" x14ac:dyDescent="0.25">
      <c r="A362" s="37" t="s">
        <v>499</v>
      </c>
      <c r="B362" s="37"/>
      <c r="C362" s="37" t="s">
        <v>36</v>
      </c>
      <c r="D362" s="37" t="s">
        <v>36</v>
      </c>
      <c r="E362" s="38">
        <v>45551</v>
      </c>
      <c r="F362" s="38">
        <v>45916</v>
      </c>
      <c r="G362" s="37" t="s">
        <v>110</v>
      </c>
      <c r="H362" s="37" t="s">
        <v>60</v>
      </c>
      <c r="I362" s="39">
        <v>14960</v>
      </c>
      <c r="J362" s="39">
        <v>12466</v>
      </c>
      <c r="K362" s="43">
        <f t="shared" si="16"/>
        <v>4.2500000000000003E-2</v>
      </c>
      <c r="L362" s="37" t="s">
        <v>2088</v>
      </c>
      <c r="M362" s="40">
        <v>45551</v>
      </c>
      <c r="N362" s="33" t="s">
        <v>57</v>
      </c>
      <c r="O362" s="41">
        <v>352000</v>
      </c>
      <c r="P362" s="34">
        <f t="shared" si="17"/>
        <v>1869.9</v>
      </c>
      <c r="Q362" s="36">
        <f t="shared" si="15"/>
        <v>124.66</v>
      </c>
      <c r="R362" s="35">
        <v>500</v>
      </c>
    </row>
    <row r="363" spans="1:18" x14ac:dyDescent="0.25">
      <c r="A363" s="37" t="s">
        <v>500</v>
      </c>
      <c r="B363" s="37"/>
      <c r="C363" s="37" t="s">
        <v>35</v>
      </c>
      <c r="D363" s="37" t="s">
        <v>36</v>
      </c>
      <c r="E363" s="38">
        <v>45551</v>
      </c>
      <c r="F363" s="38">
        <v>45916</v>
      </c>
      <c r="G363" s="37" t="s">
        <v>1313</v>
      </c>
      <c r="H363" s="37" t="s">
        <v>60</v>
      </c>
      <c r="I363" s="39">
        <v>14960</v>
      </c>
      <c r="J363" s="39">
        <v>12466</v>
      </c>
      <c r="K363" s="43">
        <f t="shared" si="16"/>
        <v>4.2500000000000003E-2</v>
      </c>
      <c r="L363" s="37" t="s">
        <v>2089</v>
      </c>
      <c r="M363" s="40">
        <v>45551</v>
      </c>
      <c r="N363" s="33" t="s">
        <v>57</v>
      </c>
      <c r="O363" s="41">
        <v>352000</v>
      </c>
      <c r="P363" s="34">
        <f t="shared" si="17"/>
        <v>1869.9</v>
      </c>
      <c r="Q363" s="36">
        <f t="shared" si="15"/>
        <v>124.66</v>
      </c>
      <c r="R363" s="35">
        <v>500</v>
      </c>
    </row>
    <row r="364" spans="1:18" x14ac:dyDescent="0.25">
      <c r="A364" s="37" t="s">
        <v>501</v>
      </c>
      <c r="B364" s="37"/>
      <c r="C364" s="37" t="s">
        <v>35</v>
      </c>
      <c r="D364" s="37" t="s">
        <v>36</v>
      </c>
      <c r="E364" s="38">
        <v>45917</v>
      </c>
      <c r="F364" s="38">
        <v>46282</v>
      </c>
      <c r="G364" s="37" t="s">
        <v>1313</v>
      </c>
      <c r="H364" s="37" t="s">
        <v>60</v>
      </c>
      <c r="I364" s="39">
        <v>14960</v>
      </c>
      <c r="J364" s="39">
        <v>12466</v>
      </c>
      <c r="K364" s="43">
        <f t="shared" si="16"/>
        <v>4.2500000000000003E-2</v>
      </c>
      <c r="L364" s="37" t="s">
        <v>2089</v>
      </c>
      <c r="M364" s="40">
        <v>45551</v>
      </c>
      <c r="N364" s="33" t="s">
        <v>57</v>
      </c>
      <c r="O364" s="41">
        <v>352000</v>
      </c>
      <c r="P364" s="34">
        <f t="shared" si="17"/>
        <v>1869.9</v>
      </c>
      <c r="Q364" s="36">
        <f t="shared" si="15"/>
        <v>124.66</v>
      </c>
      <c r="R364" s="35">
        <v>500</v>
      </c>
    </row>
    <row r="365" spans="1:18" x14ac:dyDescent="0.25">
      <c r="A365" s="37" t="s">
        <v>502</v>
      </c>
      <c r="B365" s="37"/>
      <c r="C365" s="37" t="s">
        <v>36</v>
      </c>
      <c r="D365" s="37" t="s">
        <v>36</v>
      </c>
      <c r="E365" s="38">
        <v>45551</v>
      </c>
      <c r="F365" s="38">
        <v>45916</v>
      </c>
      <c r="G365" s="37" t="s">
        <v>1366</v>
      </c>
      <c r="H365" s="37" t="s">
        <v>60</v>
      </c>
      <c r="I365" s="39">
        <v>14960</v>
      </c>
      <c r="J365" s="39">
        <v>12466</v>
      </c>
      <c r="K365" s="43">
        <f t="shared" si="16"/>
        <v>4.2500000000000003E-2</v>
      </c>
      <c r="L365" s="37" t="s">
        <v>2090</v>
      </c>
      <c r="M365" s="40">
        <v>45551</v>
      </c>
      <c r="N365" s="33" t="s">
        <v>57</v>
      </c>
      <c r="O365" s="41">
        <v>352000</v>
      </c>
      <c r="P365" s="34">
        <f t="shared" si="17"/>
        <v>1869.9</v>
      </c>
      <c r="Q365" s="36">
        <f t="shared" si="15"/>
        <v>124.66</v>
      </c>
      <c r="R365" s="35">
        <v>500</v>
      </c>
    </row>
    <row r="366" spans="1:18" x14ac:dyDescent="0.25">
      <c r="A366" s="37" t="s">
        <v>503</v>
      </c>
      <c r="B366" s="37"/>
      <c r="C366" s="37" t="s">
        <v>36</v>
      </c>
      <c r="D366" s="37" t="s">
        <v>36</v>
      </c>
      <c r="E366" s="38">
        <v>45917</v>
      </c>
      <c r="F366" s="38">
        <v>46282</v>
      </c>
      <c r="G366" s="37" t="s">
        <v>1366</v>
      </c>
      <c r="H366" s="37" t="s">
        <v>60</v>
      </c>
      <c r="I366" s="39">
        <v>14960</v>
      </c>
      <c r="J366" s="39">
        <v>12466</v>
      </c>
      <c r="K366" s="43">
        <f t="shared" si="16"/>
        <v>4.2500000000000003E-2</v>
      </c>
      <c r="L366" s="37" t="s">
        <v>2090</v>
      </c>
      <c r="M366" s="40">
        <v>45551</v>
      </c>
      <c r="N366" s="33" t="s">
        <v>57</v>
      </c>
      <c r="O366" s="41">
        <v>352000</v>
      </c>
      <c r="P366" s="34">
        <f t="shared" si="17"/>
        <v>1869.9</v>
      </c>
      <c r="Q366" s="36">
        <f t="shared" si="15"/>
        <v>124.66</v>
      </c>
      <c r="R366" s="35">
        <v>500</v>
      </c>
    </row>
    <row r="367" spans="1:18" x14ac:dyDescent="0.25">
      <c r="A367" s="37" t="s">
        <v>504</v>
      </c>
      <c r="B367" s="37"/>
      <c r="C367" s="37" t="s">
        <v>35</v>
      </c>
      <c r="D367" s="37" t="s">
        <v>36</v>
      </c>
      <c r="E367" s="38">
        <v>45551</v>
      </c>
      <c r="F367" s="38">
        <v>45916</v>
      </c>
      <c r="G367" s="37" t="s">
        <v>1367</v>
      </c>
      <c r="H367" s="37" t="s">
        <v>60</v>
      </c>
      <c r="I367" s="39">
        <v>14960</v>
      </c>
      <c r="J367" s="39">
        <v>12466</v>
      </c>
      <c r="K367" s="43">
        <f t="shared" si="16"/>
        <v>4.2500000000000003E-2</v>
      </c>
      <c r="L367" s="37" t="s">
        <v>2091</v>
      </c>
      <c r="M367" s="40">
        <v>45551</v>
      </c>
      <c r="N367" s="33" t="s">
        <v>57</v>
      </c>
      <c r="O367" s="41">
        <v>352000</v>
      </c>
      <c r="P367" s="34">
        <f t="shared" si="17"/>
        <v>1869.9</v>
      </c>
      <c r="Q367" s="36">
        <f t="shared" si="15"/>
        <v>124.66</v>
      </c>
      <c r="R367" s="35">
        <v>500</v>
      </c>
    </row>
    <row r="368" spans="1:18" x14ac:dyDescent="0.25">
      <c r="A368" s="37" t="s">
        <v>505</v>
      </c>
      <c r="B368" s="37"/>
      <c r="C368" s="37" t="s">
        <v>36</v>
      </c>
      <c r="D368" s="37" t="s">
        <v>36</v>
      </c>
      <c r="E368" s="38">
        <v>45551</v>
      </c>
      <c r="F368" s="38">
        <v>45916</v>
      </c>
      <c r="G368" s="37" t="s">
        <v>1368</v>
      </c>
      <c r="H368" s="37" t="s">
        <v>60</v>
      </c>
      <c r="I368" s="39">
        <v>14960</v>
      </c>
      <c r="J368" s="39">
        <v>12466</v>
      </c>
      <c r="K368" s="43">
        <f t="shared" si="16"/>
        <v>4.2500000000000003E-2</v>
      </c>
      <c r="L368" s="37" t="s">
        <v>2092</v>
      </c>
      <c r="M368" s="40">
        <v>45551</v>
      </c>
      <c r="N368" s="33" t="s">
        <v>57</v>
      </c>
      <c r="O368" s="41">
        <v>352000</v>
      </c>
      <c r="P368" s="34">
        <f t="shared" si="17"/>
        <v>1869.9</v>
      </c>
      <c r="Q368" s="36">
        <f t="shared" si="15"/>
        <v>124.66</v>
      </c>
      <c r="R368" s="35">
        <v>500</v>
      </c>
    </row>
    <row r="369" spans="1:18" x14ac:dyDescent="0.25">
      <c r="A369" s="37" t="s">
        <v>506</v>
      </c>
      <c r="B369" s="37"/>
      <c r="C369" s="37" t="s">
        <v>32</v>
      </c>
      <c r="D369" s="37" t="s">
        <v>36</v>
      </c>
      <c r="E369" s="38">
        <v>45551</v>
      </c>
      <c r="F369" s="38">
        <v>45916</v>
      </c>
      <c r="G369" s="37" t="s">
        <v>1369</v>
      </c>
      <c r="H369" s="37" t="s">
        <v>62</v>
      </c>
      <c r="I369" s="39">
        <v>23248</v>
      </c>
      <c r="J369" s="39">
        <v>19610</v>
      </c>
      <c r="K369" s="43">
        <f t="shared" si="16"/>
        <v>4.2500914076782449E-2</v>
      </c>
      <c r="L369" s="37" t="s">
        <v>2093</v>
      </c>
      <c r="M369" s="40">
        <v>45551</v>
      </c>
      <c r="N369" s="33" t="s">
        <v>57</v>
      </c>
      <c r="O369" s="41">
        <v>547000</v>
      </c>
      <c r="P369" s="34">
        <f t="shared" si="17"/>
        <v>2941.5</v>
      </c>
      <c r="Q369" s="36">
        <f t="shared" si="15"/>
        <v>196.1</v>
      </c>
      <c r="R369" s="35">
        <v>500</v>
      </c>
    </row>
    <row r="370" spans="1:18" x14ac:dyDescent="0.25">
      <c r="A370" s="37" t="s">
        <v>507</v>
      </c>
      <c r="B370" s="37"/>
      <c r="C370" s="37" t="s">
        <v>32</v>
      </c>
      <c r="D370" s="37" t="s">
        <v>36</v>
      </c>
      <c r="E370" s="38">
        <v>45917</v>
      </c>
      <c r="F370" s="38">
        <v>46282</v>
      </c>
      <c r="G370" s="37" t="s">
        <v>1369</v>
      </c>
      <c r="H370" s="37" t="s">
        <v>62</v>
      </c>
      <c r="I370" s="39">
        <v>23248</v>
      </c>
      <c r="J370" s="39">
        <v>19610</v>
      </c>
      <c r="K370" s="43">
        <f t="shared" si="16"/>
        <v>4.2500914076782449E-2</v>
      </c>
      <c r="L370" s="37" t="s">
        <v>2093</v>
      </c>
      <c r="M370" s="40">
        <v>45551</v>
      </c>
      <c r="N370" s="33" t="s">
        <v>57</v>
      </c>
      <c r="O370" s="41">
        <v>547000</v>
      </c>
      <c r="P370" s="34">
        <f t="shared" si="17"/>
        <v>2941.5</v>
      </c>
      <c r="Q370" s="36">
        <f t="shared" si="15"/>
        <v>196.1</v>
      </c>
      <c r="R370" s="35">
        <v>500</v>
      </c>
    </row>
    <row r="371" spans="1:18" x14ac:dyDescent="0.25">
      <c r="A371" s="37" t="s">
        <v>508</v>
      </c>
      <c r="B371" s="37"/>
      <c r="C371" s="37" t="s">
        <v>35</v>
      </c>
      <c r="D371" s="37" t="s">
        <v>36</v>
      </c>
      <c r="E371" s="38">
        <v>45551</v>
      </c>
      <c r="F371" s="38">
        <v>45916</v>
      </c>
      <c r="G371" s="37" t="s">
        <v>1370</v>
      </c>
      <c r="H371" s="37" t="s">
        <v>60</v>
      </c>
      <c r="I371" s="39">
        <v>14960</v>
      </c>
      <c r="J371" s="39">
        <v>12466</v>
      </c>
      <c r="K371" s="43">
        <f t="shared" si="16"/>
        <v>4.2500000000000003E-2</v>
      </c>
      <c r="L371" s="37" t="s">
        <v>2094</v>
      </c>
      <c r="M371" s="40">
        <v>45551</v>
      </c>
      <c r="N371" s="33" t="s">
        <v>57</v>
      </c>
      <c r="O371" s="41">
        <v>352000</v>
      </c>
      <c r="P371" s="34">
        <f t="shared" si="17"/>
        <v>1869.9</v>
      </c>
      <c r="Q371" s="36">
        <f t="shared" si="15"/>
        <v>124.66</v>
      </c>
      <c r="R371" s="35">
        <v>500</v>
      </c>
    </row>
    <row r="372" spans="1:18" x14ac:dyDescent="0.25">
      <c r="A372" s="37" t="s">
        <v>509</v>
      </c>
      <c r="B372" s="37"/>
      <c r="C372" s="37" t="s">
        <v>35</v>
      </c>
      <c r="D372" s="37" t="s">
        <v>36</v>
      </c>
      <c r="E372" s="38">
        <v>45551</v>
      </c>
      <c r="F372" s="38">
        <v>45916</v>
      </c>
      <c r="G372" s="37" t="s">
        <v>1371</v>
      </c>
      <c r="H372" s="37" t="s">
        <v>60</v>
      </c>
      <c r="I372" s="39">
        <v>14960</v>
      </c>
      <c r="J372" s="39">
        <v>12466</v>
      </c>
      <c r="K372" s="43">
        <f t="shared" si="16"/>
        <v>4.2500000000000003E-2</v>
      </c>
      <c r="L372" s="37" t="s">
        <v>2095</v>
      </c>
      <c r="M372" s="40">
        <v>45551</v>
      </c>
      <c r="N372" s="33" t="s">
        <v>57</v>
      </c>
      <c r="O372" s="41">
        <v>352000</v>
      </c>
      <c r="P372" s="34">
        <f t="shared" si="17"/>
        <v>1869.9</v>
      </c>
      <c r="Q372" s="36">
        <f t="shared" si="15"/>
        <v>124.66</v>
      </c>
      <c r="R372" s="35">
        <v>500</v>
      </c>
    </row>
    <row r="373" spans="1:18" x14ac:dyDescent="0.25">
      <c r="A373" s="37" t="s">
        <v>510</v>
      </c>
      <c r="B373" s="37"/>
      <c r="C373" s="37" t="s">
        <v>35</v>
      </c>
      <c r="D373" s="37" t="s">
        <v>36</v>
      </c>
      <c r="E373" s="38">
        <v>45917</v>
      </c>
      <c r="F373" s="38">
        <v>46282</v>
      </c>
      <c r="G373" s="37" t="s">
        <v>1371</v>
      </c>
      <c r="H373" s="37" t="s">
        <v>60</v>
      </c>
      <c r="I373" s="39">
        <v>14960</v>
      </c>
      <c r="J373" s="39">
        <v>12466</v>
      </c>
      <c r="K373" s="43">
        <f t="shared" si="16"/>
        <v>4.2500000000000003E-2</v>
      </c>
      <c r="L373" s="37" t="s">
        <v>2095</v>
      </c>
      <c r="M373" s="40">
        <v>45551</v>
      </c>
      <c r="N373" s="33" t="s">
        <v>57</v>
      </c>
      <c r="O373" s="41">
        <v>352000</v>
      </c>
      <c r="P373" s="34">
        <f t="shared" si="17"/>
        <v>1869.9</v>
      </c>
      <c r="Q373" s="36">
        <f t="shared" si="15"/>
        <v>124.66</v>
      </c>
      <c r="R373" s="35">
        <v>500</v>
      </c>
    </row>
    <row r="374" spans="1:18" x14ac:dyDescent="0.25">
      <c r="A374" s="37" t="s">
        <v>511</v>
      </c>
      <c r="B374" s="37"/>
      <c r="C374" s="37" t="s">
        <v>52</v>
      </c>
      <c r="D374" s="37" t="s">
        <v>36</v>
      </c>
      <c r="E374" s="38">
        <v>45551</v>
      </c>
      <c r="F374" s="38">
        <v>45916</v>
      </c>
      <c r="G374" s="37" t="s">
        <v>1372</v>
      </c>
      <c r="H374" s="37" t="s">
        <v>64</v>
      </c>
      <c r="I374" s="39">
        <v>16235</v>
      </c>
      <c r="J374" s="39">
        <v>13565</v>
      </c>
      <c r="K374" s="43">
        <f t="shared" si="16"/>
        <v>4.2500000000000003E-2</v>
      </c>
      <c r="L374" s="37" t="s">
        <v>2096</v>
      </c>
      <c r="M374" s="40">
        <v>45551</v>
      </c>
      <c r="N374" s="33" t="s">
        <v>57</v>
      </c>
      <c r="O374" s="41">
        <v>382000</v>
      </c>
      <c r="P374" s="34">
        <f t="shared" si="17"/>
        <v>2034.75</v>
      </c>
      <c r="Q374" s="36">
        <f t="shared" si="15"/>
        <v>135.65</v>
      </c>
      <c r="R374" s="35">
        <v>500</v>
      </c>
    </row>
    <row r="375" spans="1:18" x14ac:dyDescent="0.25">
      <c r="A375" s="37" t="s">
        <v>512</v>
      </c>
      <c r="B375" s="37"/>
      <c r="C375" s="37" t="s">
        <v>35</v>
      </c>
      <c r="D375" s="37" t="s">
        <v>36</v>
      </c>
      <c r="E375" s="38">
        <v>45551</v>
      </c>
      <c r="F375" s="38">
        <v>45916</v>
      </c>
      <c r="G375" s="37" t="s">
        <v>1373</v>
      </c>
      <c r="H375" s="37" t="s">
        <v>60</v>
      </c>
      <c r="I375" s="39">
        <v>14960</v>
      </c>
      <c r="J375" s="39">
        <v>12466</v>
      </c>
      <c r="K375" s="43">
        <f t="shared" si="16"/>
        <v>4.2500000000000003E-2</v>
      </c>
      <c r="L375" s="37" t="s">
        <v>2097</v>
      </c>
      <c r="M375" s="40">
        <v>45551</v>
      </c>
      <c r="N375" s="33" t="s">
        <v>57</v>
      </c>
      <c r="O375" s="41">
        <v>352000</v>
      </c>
      <c r="P375" s="34">
        <f t="shared" si="17"/>
        <v>1869.9</v>
      </c>
      <c r="Q375" s="36">
        <f t="shared" si="15"/>
        <v>124.66</v>
      </c>
      <c r="R375" s="35">
        <v>500</v>
      </c>
    </row>
    <row r="376" spans="1:18" x14ac:dyDescent="0.25">
      <c r="A376" s="37" t="s">
        <v>513</v>
      </c>
      <c r="B376" s="37"/>
      <c r="C376" s="37" t="s">
        <v>39</v>
      </c>
      <c r="D376" s="37" t="s">
        <v>36</v>
      </c>
      <c r="E376" s="38">
        <v>45551</v>
      </c>
      <c r="F376" s="38">
        <v>45916</v>
      </c>
      <c r="G376" s="37" t="s">
        <v>1374</v>
      </c>
      <c r="H376" s="37" t="s">
        <v>62</v>
      </c>
      <c r="I376" s="39">
        <v>23248</v>
      </c>
      <c r="J376" s="39">
        <v>19610</v>
      </c>
      <c r="K376" s="43">
        <f t="shared" si="16"/>
        <v>4.2500914076782449E-2</v>
      </c>
      <c r="L376" s="37" t="s">
        <v>2098</v>
      </c>
      <c r="M376" s="40">
        <v>45551</v>
      </c>
      <c r="N376" s="33" t="s">
        <v>57</v>
      </c>
      <c r="O376" s="41">
        <v>547000</v>
      </c>
      <c r="P376" s="34">
        <f t="shared" si="17"/>
        <v>2941.5</v>
      </c>
      <c r="Q376" s="36">
        <f t="shared" si="15"/>
        <v>196.1</v>
      </c>
      <c r="R376" s="35">
        <v>500</v>
      </c>
    </row>
    <row r="377" spans="1:18" x14ac:dyDescent="0.25">
      <c r="A377" s="37" t="s">
        <v>514</v>
      </c>
      <c r="B377" s="37"/>
      <c r="C377" s="37" t="s">
        <v>39</v>
      </c>
      <c r="D377" s="37" t="s">
        <v>36</v>
      </c>
      <c r="E377" s="38">
        <v>45917</v>
      </c>
      <c r="F377" s="38">
        <v>46282</v>
      </c>
      <c r="G377" s="37" t="s">
        <v>1374</v>
      </c>
      <c r="H377" s="37" t="s">
        <v>62</v>
      </c>
      <c r="I377" s="39">
        <v>23248</v>
      </c>
      <c r="J377" s="39">
        <v>19610</v>
      </c>
      <c r="K377" s="43">
        <f t="shared" si="16"/>
        <v>4.2500914076782449E-2</v>
      </c>
      <c r="L377" s="37" t="s">
        <v>2098</v>
      </c>
      <c r="M377" s="40">
        <v>45551</v>
      </c>
      <c r="N377" s="33" t="s">
        <v>57</v>
      </c>
      <c r="O377" s="41">
        <v>547000</v>
      </c>
      <c r="P377" s="34">
        <f t="shared" si="17"/>
        <v>2941.5</v>
      </c>
      <c r="Q377" s="36">
        <f t="shared" si="15"/>
        <v>196.1</v>
      </c>
      <c r="R377" s="35">
        <v>500</v>
      </c>
    </row>
    <row r="378" spans="1:18" x14ac:dyDescent="0.25">
      <c r="A378" s="37" t="s">
        <v>515</v>
      </c>
      <c r="B378" s="37"/>
      <c r="C378" s="37" t="s">
        <v>39</v>
      </c>
      <c r="D378" s="37" t="s">
        <v>36</v>
      </c>
      <c r="E378" s="38">
        <v>45551</v>
      </c>
      <c r="F378" s="38">
        <v>45916</v>
      </c>
      <c r="G378" s="37" t="s">
        <v>1375</v>
      </c>
      <c r="H378" s="37" t="s">
        <v>60</v>
      </c>
      <c r="I378" s="39">
        <v>14960</v>
      </c>
      <c r="J378" s="39">
        <v>12466</v>
      </c>
      <c r="K378" s="43">
        <f t="shared" si="16"/>
        <v>4.2500000000000003E-2</v>
      </c>
      <c r="L378" s="37" t="s">
        <v>2099</v>
      </c>
      <c r="M378" s="40">
        <v>45551</v>
      </c>
      <c r="N378" s="33" t="s">
        <v>57</v>
      </c>
      <c r="O378" s="41">
        <v>352000</v>
      </c>
      <c r="P378" s="34">
        <f t="shared" si="17"/>
        <v>1869.9</v>
      </c>
      <c r="Q378" s="36">
        <f t="shared" si="15"/>
        <v>124.66</v>
      </c>
      <c r="R378" s="35">
        <v>500</v>
      </c>
    </row>
    <row r="379" spans="1:18" x14ac:dyDescent="0.25">
      <c r="A379" s="37" t="s">
        <v>516</v>
      </c>
      <c r="B379" s="37"/>
      <c r="C379" s="37" t="s">
        <v>39</v>
      </c>
      <c r="D379" s="37" t="s">
        <v>36</v>
      </c>
      <c r="E379" s="38">
        <v>45551</v>
      </c>
      <c r="F379" s="38">
        <v>45916</v>
      </c>
      <c r="G379" s="37" t="s">
        <v>1376</v>
      </c>
      <c r="H379" s="37" t="s">
        <v>60</v>
      </c>
      <c r="I379" s="39">
        <v>14960</v>
      </c>
      <c r="J379" s="39">
        <v>12466</v>
      </c>
      <c r="K379" s="43">
        <f t="shared" si="16"/>
        <v>4.2500000000000003E-2</v>
      </c>
      <c r="L379" s="37" t="s">
        <v>2100</v>
      </c>
      <c r="M379" s="40">
        <v>45551</v>
      </c>
      <c r="N379" s="33" t="s">
        <v>57</v>
      </c>
      <c r="O379" s="41">
        <v>352000</v>
      </c>
      <c r="P379" s="34">
        <f t="shared" si="17"/>
        <v>1869.9</v>
      </c>
      <c r="Q379" s="36">
        <f t="shared" si="15"/>
        <v>124.66</v>
      </c>
      <c r="R379" s="35">
        <v>500</v>
      </c>
    </row>
    <row r="380" spans="1:18" x14ac:dyDescent="0.25">
      <c r="A380" s="37" t="s">
        <v>517</v>
      </c>
      <c r="B380" s="37"/>
      <c r="C380" s="37" t="s">
        <v>70</v>
      </c>
      <c r="D380" s="37" t="s">
        <v>2582</v>
      </c>
      <c r="E380" s="38">
        <v>45553</v>
      </c>
      <c r="F380" s="38">
        <v>45918</v>
      </c>
      <c r="G380" s="37" t="s">
        <v>1377</v>
      </c>
      <c r="H380" s="37" t="s">
        <v>60</v>
      </c>
      <c r="I380" s="39">
        <v>8800</v>
      </c>
      <c r="J380" s="39">
        <v>7155</v>
      </c>
      <c r="K380" s="43">
        <f t="shared" si="16"/>
        <v>2.5000000000000001E-2</v>
      </c>
      <c r="L380" s="37" t="s">
        <v>2101</v>
      </c>
      <c r="M380" s="40">
        <v>45553</v>
      </c>
      <c r="N380" s="33" t="s">
        <v>57</v>
      </c>
      <c r="O380" s="41">
        <v>352000</v>
      </c>
      <c r="P380" s="34">
        <f t="shared" si="17"/>
        <v>1073.25</v>
      </c>
      <c r="Q380" s="36">
        <f t="shared" si="15"/>
        <v>71.55</v>
      </c>
      <c r="R380" s="35">
        <v>500</v>
      </c>
    </row>
    <row r="381" spans="1:18" x14ac:dyDescent="0.25">
      <c r="A381" s="37" t="s">
        <v>518</v>
      </c>
      <c r="B381" s="37"/>
      <c r="C381" s="37" t="s">
        <v>70</v>
      </c>
      <c r="D381" s="37" t="s">
        <v>2582</v>
      </c>
      <c r="E381" s="38">
        <v>45553</v>
      </c>
      <c r="F381" s="38">
        <v>45918</v>
      </c>
      <c r="G381" s="37" t="s">
        <v>1378</v>
      </c>
      <c r="H381" s="37" t="s">
        <v>60</v>
      </c>
      <c r="I381" s="39">
        <v>8800</v>
      </c>
      <c r="J381" s="39">
        <v>7155</v>
      </c>
      <c r="K381" s="43">
        <f t="shared" si="16"/>
        <v>2.5000000000000001E-2</v>
      </c>
      <c r="L381" s="37" t="s">
        <v>2102</v>
      </c>
      <c r="M381" s="40">
        <v>45553</v>
      </c>
      <c r="N381" s="33" t="s">
        <v>57</v>
      </c>
      <c r="O381" s="41">
        <v>352000</v>
      </c>
      <c r="P381" s="34">
        <f t="shared" si="17"/>
        <v>1073.25</v>
      </c>
      <c r="Q381" s="36">
        <f t="shared" si="15"/>
        <v>71.55</v>
      </c>
      <c r="R381" s="35">
        <v>500</v>
      </c>
    </row>
    <row r="382" spans="1:18" x14ac:dyDescent="0.25">
      <c r="A382" s="37" t="s">
        <v>519</v>
      </c>
      <c r="B382" s="37"/>
      <c r="C382" s="37" t="s">
        <v>99</v>
      </c>
      <c r="D382" s="37" t="s">
        <v>2582</v>
      </c>
      <c r="E382" s="38">
        <v>45553</v>
      </c>
      <c r="F382" s="38">
        <v>45918</v>
      </c>
      <c r="G382" s="37" t="s">
        <v>1379</v>
      </c>
      <c r="H382" s="37" t="s">
        <v>61</v>
      </c>
      <c r="I382" s="39">
        <v>9550</v>
      </c>
      <c r="J382" s="39">
        <v>7802</v>
      </c>
      <c r="K382" s="43">
        <f t="shared" si="16"/>
        <v>2.5000000000000001E-2</v>
      </c>
      <c r="L382" s="37" t="s">
        <v>2103</v>
      </c>
      <c r="M382" s="40">
        <v>45553</v>
      </c>
      <c r="N382" s="33" t="s">
        <v>57</v>
      </c>
      <c r="O382" s="41">
        <v>382000</v>
      </c>
      <c r="P382" s="34">
        <f t="shared" si="17"/>
        <v>1170.3</v>
      </c>
      <c r="Q382" s="36">
        <f t="shared" si="15"/>
        <v>78.02</v>
      </c>
      <c r="R382" s="35">
        <v>500</v>
      </c>
    </row>
    <row r="383" spans="1:18" x14ac:dyDescent="0.25">
      <c r="A383" s="37" t="s">
        <v>520</v>
      </c>
      <c r="B383" s="37"/>
      <c r="C383" s="37" t="s">
        <v>99</v>
      </c>
      <c r="D383" s="37" t="s">
        <v>2582</v>
      </c>
      <c r="E383" s="38">
        <v>45553</v>
      </c>
      <c r="F383" s="38">
        <v>45918</v>
      </c>
      <c r="G383" s="37" t="s">
        <v>1380</v>
      </c>
      <c r="H383" s="37" t="s">
        <v>60</v>
      </c>
      <c r="I383" s="39">
        <v>8800</v>
      </c>
      <c r="J383" s="39">
        <v>7155</v>
      </c>
      <c r="K383" s="43">
        <f t="shared" si="16"/>
        <v>2.5000000000000001E-2</v>
      </c>
      <c r="L383" s="37" t="s">
        <v>2104</v>
      </c>
      <c r="M383" s="40">
        <v>45553</v>
      </c>
      <c r="N383" s="33" t="s">
        <v>57</v>
      </c>
      <c r="O383" s="41">
        <v>352000</v>
      </c>
      <c r="P383" s="34">
        <f t="shared" si="17"/>
        <v>1073.25</v>
      </c>
      <c r="Q383" s="36">
        <f t="shared" si="15"/>
        <v>71.55</v>
      </c>
      <c r="R383" s="35">
        <v>500</v>
      </c>
    </row>
    <row r="384" spans="1:18" x14ac:dyDescent="0.25">
      <c r="A384" s="37" t="s">
        <v>521</v>
      </c>
      <c r="B384" s="37"/>
      <c r="C384" s="37" t="s">
        <v>99</v>
      </c>
      <c r="D384" s="37" t="s">
        <v>2582</v>
      </c>
      <c r="E384" s="38">
        <v>45553</v>
      </c>
      <c r="F384" s="38">
        <v>45918</v>
      </c>
      <c r="G384" s="37" t="s">
        <v>1381</v>
      </c>
      <c r="H384" s="37" t="s">
        <v>61</v>
      </c>
      <c r="I384" s="39">
        <v>9550</v>
      </c>
      <c r="J384" s="39">
        <v>7802</v>
      </c>
      <c r="K384" s="43">
        <f t="shared" si="16"/>
        <v>2.5000000000000001E-2</v>
      </c>
      <c r="L384" s="37" t="s">
        <v>2105</v>
      </c>
      <c r="M384" s="40">
        <v>45553</v>
      </c>
      <c r="N384" s="33" t="s">
        <v>57</v>
      </c>
      <c r="O384" s="41">
        <v>382000</v>
      </c>
      <c r="P384" s="34">
        <f t="shared" si="17"/>
        <v>1170.3</v>
      </c>
      <c r="Q384" s="36">
        <f t="shared" si="15"/>
        <v>78.02</v>
      </c>
      <c r="R384" s="35">
        <v>500</v>
      </c>
    </row>
    <row r="385" spans="1:19" x14ac:dyDescent="0.25">
      <c r="A385" s="37" t="s">
        <v>522</v>
      </c>
      <c r="B385" s="37"/>
      <c r="C385" s="37" t="s">
        <v>99</v>
      </c>
      <c r="D385" s="37" t="s">
        <v>2582</v>
      </c>
      <c r="E385" s="38">
        <v>45553</v>
      </c>
      <c r="F385" s="38">
        <v>45918</v>
      </c>
      <c r="G385" s="37" t="s">
        <v>1382</v>
      </c>
      <c r="H385" s="37" t="s">
        <v>62</v>
      </c>
      <c r="I385" s="39">
        <v>13675</v>
      </c>
      <c r="J385" s="39">
        <v>11358</v>
      </c>
      <c r="K385" s="43">
        <f t="shared" si="16"/>
        <v>2.5000000000000001E-2</v>
      </c>
      <c r="L385" s="37" t="s">
        <v>2106</v>
      </c>
      <c r="M385" s="40">
        <v>45553</v>
      </c>
      <c r="N385" s="33" t="s">
        <v>57</v>
      </c>
      <c r="O385" s="41">
        <v>547000</v>
      </c>
      <c r="P385" s="34">
        <f t="shared" si="17"/>
        <v>1703.7</v>
      </c>
      <c r="Q385" s="36">
        <f t="shared" si="15"/>
        <v>113.58</v>
      </c>
      <c r="R385" s="35">
        <v>500</v>
      </c>
    </row>
    <row r="386" spans="1:19" x14ac:dyDescent="0.25">
      <c r="A386" s="37" t="s">
        <v>523</v>
      </c>
      <c r="B386" s="37"/>
      <c r="C386" s="37" t="s">
        <v>99</v>
      </c>
      <c r="D386" s="37" t="s">
        <v>2582</v>
      </c>
      <c r="E386" s="38">
        <v>45553</v>
      </c>
      <c r="F386" s="38">
        <v>45918</v>
      </c>
      <c r="G386" s="37" t="s">
        <v>1383</v>
      </c>
      <c r="H386" s="37" t="s">
        <v>64</v>
      </c>
      <c r="I386" s="39">
        <v>9550</v>
      </c>
      <c r="J386" s="39">
        <v>7802</v>
      </c>
      <c r="K386" s="43">
        <f t="shared" si="16"/>
        <v>2.5000000000000001E-2</v>
      </c>
      <c r="L386" s="37" t="s">
        <v>2107</v>
      </c>
      <c r="M386" s="40">
        <v>45553</v>
      </c>
      <c r="N386" s="33" t="s">
        <v>57</v>
      </c>
      <c r="O386" s="41">
        <v>382000</v>
      </c>
      <c r="P386" s="34">
        <f t="shared" si="17"/>
        <v>1170.3</v>
      </c>
      <c r="Q386" s="36">
        <f t="shared" si="15"/>
        <v>78.02</v>
      </c>
      <c r="R386" s="35">
        <v>500</v>
      </c>
    </row>
    <row r="387" spans="1:19" x14ac:dyDescent="0.25">
      <c r="A387" s="37" t="s">
        <v>524</v>
      </c>
      <c r="B387" s="37"/>
      <c r="C387" s="37" t="s">
        <v>99</v>
      </c>
      <c r="D387" s="37" t="s">
        <v>2582</v>
      </c>
      <c r="E387" s="38">
        <v>45553</v>
      </c>
      <c r="F387" s="38">
        <v>45918</v>
      </c>
      <c r="G387" s="37" t="s">
        <v>1384</v>
      </c>
      <c r="H387" s="37" t="s">
        <v>62</v>
      </c>
      <c r="I387" s="39">
        <v>13675</v>
      </c>
      <c r="J387" s="39">
        <v>11358</v>
      </c>
      <c r="K387" s="43">
        <f t="shared" si="16"/>
        <v>2.5000000000000001E-2</v>
      </c>
      <c r="L387" s="37" t="s">
        <v>2108</v>
      </c>
      <c r="M387" s="40">
        <v>45553</v>
      </c>
      <c r="N387" s="33" t="s">
        <v>57</v>
      </c>
      <c r="O387" s="41">
        <v>547000</v>
      </c>
      <c r="P387" s="34">
        <f t="shared" si="17"/>
        <v>1703.7</v>
      </c>
      <c r="Q387" s="36">
        <f t="shared" ref="Q387:Q450" si="18">J387*1/100</f>
        <v>113.58</v>
      </c>
      <c r="R387" s="35">
        <v>500</v>
      </c>
    </row>
    <row r="388" spans="1:19" x14ac:dyDescent="0.25">
      <c r="A388" s="37" t="s">
        <v>525</v>
      </c>
      <c r="B388" s="37"/>
      <c r="C388" s="37" t="s">
        <v>99</v>
      </c>
      <c r="D388" s="37" t="s">
        <v>2582</v>
      </c>
      <c r="E388" s="38">
        <v>45553</v>
      </c>
      <c r="F388" s="38">
        <v>45918</v>
      </c>
      <c r="G388" s="37" t="s">
        <v>1385</v>
      </c>
      <c r="H388" s="37" t="s">
        <v>60</v>
      </c>
      <c r="I388" s="39">
        <v>8800</v>
      </c>
      <c r="J388" s="39">
        <v>7155</v>
      </c>
      <c r="K388" s="43">
        <f t="shared" ref="K388:K451" si="19">I388/O388</f>
        <v>2.5000000000000001E-2</v>
      </c>
      <c r="L388" s="37" t="s">
        <v>2109</v>
      </c>
      <c r="M388" s="40">
        <v>45553</v>
      </c>
      <c r="N388" s="33" t="s">
        <v>57</v>
      </c>
      <c r="O388" s="41">
        <v>352000</v>
      </c>
      <c r="P388" s="34">
        <f t="shared" ref="P388:P451" si="20">J388*15/100</f>
        <v>1073.25</v>
      </c>
      <c r="Q388" s="36">
        <f t="shared" si="18"/>
        <v>71.55</v>
      </c>
      <c r="R388" s="35">
        <v>500</v>
      </c>
    </row>
    <row r="389" spans="1:19" x14ac:dyDescent="0.25">
      <c r="A389" s="37" t="s">
        <v>526</v>
      </c>
      <c r="B389" s="37"/>
      <c r="C389" s="37" t="s">
        <v>99</v>
      </c>
      <c r="D389" s="37" t="s">
        <v>2582</v>
      </c>
      <c r="E389" s="38">
        <v>45553</v>
      </c>
      <c r="F389" s="38">
        <v>45918</v>
      </c>
      <c r="G389" s="37" t="s">
        <v>1386</v>
      </c>
      <c r="H389" s="37" t="s">
        <v>62</v>
      </c>
      <c r="I389" s="39">
        <v>13675</v>
      </c>
      <c r="J389" s="39">
        <v>11358</v>
      </c>
      <c r="K389" s="43">
        <f t="shared" si="19"/>
        <v>2.5000000000000001E-2</v>
      </c>
      <c r="L389" s="37" t="s">
        <v>2110</v>
      </c>
      <c r="M389" s="40">
        <v>45553</v>
      </c>
      <c r="N389" s="33" t="s">
        <v>57</v>
      </c>
      <c r="O389" s="41">
        <v>547000</v>
      </c>
      <c r="P389" s="34">
        <f t="shared" si="20"/>
        <v>1703.7</v>
      </c>
      <c r="Q389" s="36">
        <f t="shared" si="18"/>
        <v>113.58</v>
      </c>
      <c r="R389" s="35">
        <v>500</v>
      </c>
    </row>
    <row r="390" spans="1:19" x14ac:dyDescent="0.25">
      <c r="A390" s="37" t="s">
        <v>527</v>
      </c>
      <c r="B390" s="37"/>
      <c r="C390" s="37" t="s">
        <v>70</v>
      </c>
      <c r="D390" s="37" t="s">
        <v>2582</v>
      </c>
      <c r="E390" s="38">
        <v>45553</v>
      </c>
      <c r="F390" s="38">
        <v>45918</v>
      </c>
      <c r="G390" s="37" t="s">
        <v>1387</v>
      </c>
      <c r="H390" s="37" t="s">
        <v>62</v>
      </c>
      <c r="I390" s="39">
        <v>13675</v>
      </c>
      <c r="J390" s="39">
        <v>11358</v>
      </c>
      <c r="K390" s="43">
        <f t="shared" si="19"/>
        <v>2.5000000000000001E-2</v>
      </c>
      <c r="L390" s="37" t="s">
        <v>2111</v>
      </c>
      <c r="M390" s="40">
        <v>45553</v>
      </c>
      <c r="N390" s="33" t="s">
        <v>57</v>
      </c>
      <c r="O390" s="41">
        <v>547000</v>
      </c>
      <c r="P390" s="34">
        <f t="shared" si="20"/>
        <v>1703.7</v>
      </c>
      <c r="Q390" s="36">
        <f t="shared" si="18"/>
        <v>113.58</v>
      </c>
      <c r="R390" s="35">
        <v>500</v>
      </c>
    </row>
    <row r="391" spans="1:19" x14ac:dyDescent="0.25">
      <c r="A391" s="37" t="s">
        <v>528</v>
      </c>
      <c r="B391" s="37"/>
      <c r="C391" s="37" t="s">
        <v>85</v>
      </c>
      <c r="D391" s="37" t="s">
        <v>2582</v>
      </c>
      <c r="E391" s="38">
        <v>45553</v>
      </c>
      <c r="F391" s="38">
        <v>45918</v>
      </c>
      <c r="G391" s="37" t="s">
        <v>1388</v>
      </c>
      <c r="H391" s="37" t="s">
        <v>64</v>
      </c>
      <c r="I391" s="39">
        <v>9550</v>
      </c>
      <c r="J391" s="39">
        <v>7802</v>
      </c>
      <c r="K391" s="43">
        <f t="shared" si="19"/>
        <v>2.5000000000000001E-2</v>
      </c>
      <c r="L391" s="37" t="s">
        <v>2112</v>
      </c>
      <c r="M391" s="40">
        <v>45553</v>
      </c>
      <c r="N391" s="33" t="s">
        <v>57</v>
      </c>
      <c r="O391" s="41">
        <v>382000</v>
      </c>
      <c r="P391" s="34">
        <f t="shared" si="20"/>
        <v>1170.3</v>
      </c>
      <c r="Q391" s="36">
        <f t="shared" si="18"/>
        <v>78.02</v>
      </c>
      <c r="R391" s="35">
        <v>500</v>
      </c>
    </row>
    <row r="392" spans="1:19" x14ac:dyDescent="0.25">
      <c r="A392" s="37" t="s">
        <v>529</v>
      </c>
      <c r="B392" s="37"/>
      <c r="C392" s="37" t="s">
        <v>72</v>
      </c>
      <c r="D392" s="37" t="s">
        <v>2582</v>
      </c>
      <c r="E392" s="38">
        <v>45553</v>
      </c>
      <c r="F392" s="38">
        <v>45918</v>
      </c>
      <c r="G392" s="37" t="s">
        <v>1389</v>
      </c>
      <c r="H392" s="37" t="s">
        <v>60</v>
      </c>
      <c r="I392" s="39">
        <v>8800</v>
      </c>
      <c r="J392" s="39">
        <v>7155</v>
      </c>
      <c r="K392" s="43">
        <f t="shared" si="19"/>
        <v>2.5000000000000001E-2</v>
      </c>
      <c r="L392" s="37" t="s">
        <v>2113</v>
      </c>
      <c r="M392" s="40">
        <v>45553</v>
      </c>
      <c r="N392" s="33" t="s">
        <v>57</v>
      </c>
      <c r="O392" s="41">
        <v>352000</v>
      </c>
      <c r="P392" s="34">
        <f t="shared" si="20"/>
        <v>1073.25</v>
      </c>
      <c r="Q392" s="36">
        <f t="shared" si="18"/>
        <v>71.55</v>
      </c>
      <c r="R392" s="35">
        <v>500</v>
      </c>
    </row>
    <row r="393" spans="1:19" x14ac:dyDescent="0.25">
      <c r="A393" s="37" t="s">
        <v>530</v>
      </c>
      <c r="B393" s="37"/>
      <c r="C393" s="37" t="s">
        <v>36</v>
      </c>
      <c r="D393" s="37" t="s">
        <v>36</v>
      </c>
      <c r="E393" s="38">
        <v>45553</v>
      </c>
      <c r="F393" s="38">
        <v>45918</v>
      </c>
      <c r="G393" s="37" t="s">
        <v>1390</v>
      </c>
      <c r="H393" s="37" t="s">
        <v>62</v>
      </c>
      <c r="I393" s="39">
        <v>23248</v>
      </c>
      <c r="J393" s="39">
        <v>19610</v>
      </c>
      <c r="K393" s="43">
        <f t="shared" si="19"/>
        <v>4.2500914076782449E-2</v>
      </c>
      <c r="L393" s="37" t="s">
        <v>2114</v>
      </c>
      <c r="M393" s="40">
        <v>45553</v>
      </c>
      <c r="N393" s="33" t="s">
        <v>57</v>
      </c>
      <c r="O393" s="41">
        <v>547000</v>
      </c>
      <c r="P393" s="34">
        <f t="shared" si="20"/>
        <v>2941.5</v>
      </c>
      <c r="Q393" s="36">
        <f t="shared" si="18"/>
        <v>196.1</v>
      </c>
      <c r="R393" s="35">
        <v>500</v>
      </c>
    </row>
    <row r="394" spans="1:19" x14ac:dyDescent="0.25">
      <c r="A394" s="37" t="s">
        <v>531</v>
      </c>
      <c r="B394" s="37"/>
      <c r="C394" s="37" t="s">
        <v>72</v>
      </c>
      <c r="D394" s="37" t="s">
        <v>2582</v>
      </c>
      <c r="E394" s="38">
        <v>45553</v>
      </c>
      <c r="F394" s="38">
        <v>45918</v>
      </c>
      <c r="G394" s="37" t="s">
        <v>1391</v>
      </c>
      <c r="H394" s="37" t="s">
        <v>61</v>
      </c>
      <c r="I394" s="39">
        <v>9550</v>
      </c>
      <c r="J394" s="39">
        <v>7802</v>
      </c>
      <c r="K394" s="43">
        <f t="shared" si="19"/>
        <v>2.5000000000000001E-2</v>
      </c>
      <c r="L394" s="37" t="s">
        <v>2115</v>
      </c>
      <c r="M394" s="40">
        <v>45553</v>
      </c>
      <c r="N394" s="33" t="s">
        <v>57</v>
      </c>
      <c r="O394" s="41">
        <v>382000</v>
      </c>
      <c r="P394" s="34">
        <f t="shared" si="20"/>
        <v>1170.3</v>
      </c>
      <c r="Q394" s="36">
        <f t="shared" si="18"/>
        <v>78.02</v>
      </c>
      <c r="R394" s="35">
        <v>500</v>
      </c>
    </row>
    <row r="395" spans="1:19" x14ac:dyDescent="0.25">
      <c r="A395" s="37" t="s">
        <v>532</v>
      </c>
      <c r="B395" s="37"/>
      <c r="C395" s="37" t="s">
        <v>72</v>
      </c>
      <c r="D395" s="37" t="s">
        <v>2582</v>
      </c>
      <c r="E395" s="38">
        <v>45553</v>
      </c>
      <c r="F395" s="38">
        <v>45918</v>
      </c>
      <c r="G395" s="37" t="s">
        <v>1392</v>
      </c>
      <c r="H395" s="37" t="s">
        <v>62</v>
      </c>
      <c r="I395" s="39">
        <v>13675</v>
      </c>
      <c r="J395" s="39">
        <v>11358</v>
      </c>
      <c r="K395" s="43">
        <f t="shared" si="19"/>
        <v>2.5000000000000001E-2</v>
      </c>
      <c r="L395" s="37" t="s">
        <v>2116</v>
      </c>
      <c r="M395" s="40">
        <v>45553</v>
      </c>
      <c r="N395" s="33" t="s">
        <v>57</v>
      </c>
      <c r="O395" s="41">
        <v>547000</v>
      </c>
      <c r="P395" s="34">
        <f t="shared" si="20"/>
        <v>1703.7</v>
      </c>
      <c r="Q395" s="36">
        <f t="shared" si="18"/>
        <v>113.58</v>
      </c>
      <c r="R395" s="35">
        <v>500</v>
      </c>
    </row>
    <row r="396" spans="1:19" x14ac:dyDescent="0.25">
      <c r="A396" s="37" t="s">
        <v>533</v>
      </c>
      <c r="B396" s="37"/>
      <c r="C396" s="37" t="s">
        <v>70</v>
      </c>
      <c r="D396" s="37" t="s">
        <v>2582</v>
      </c>
      <c r="E396" s="38">
        <v>45553</v>
      </c>
      <c r="F396" s="38">
        <v>45918</v>
      </c>
      <c r="G396" s="37" t="s">
        <v>1393</v>
      </c>
      <c r="H396" s="37" t="s">
        <v>60</v>
      </c>
      <c r="I396" s="39">
        <v>8800</v>
      </c>
      <c r="J396" s="39">
        <v>7155</v>
      </c>
      <c r="K396" s="43">
        <f t="shared" si="19"/>
        <v>2.5000000000000001E-2</v>
      </c>
      <c r="L396" s="37" t="s">
        <v>2117</v>
      </c>
      <c r="M396" s="40">
        <v>45553</v>
      </c>
      <c r="N396" s="33" t="s">
        <v>57</v>
      </c>
      <c r="O396" s="41">
        <v>352000</v>
      </c>
      <c r="P396" s="34">
        <f t="shared" si="20"/>
        <v>1073.25</v>
      </c>
      <c r="Q396" s="36">
        <f t="shared" si="18"/>
        <v>71.55</v>
      </c>
      <c r="R396" s="35">
        <v>500</v>
      </c>
    </row>
    <row r="397" spans="1:19" x14ac:dyDescent="0.25">
      <c r="A397" s="37" t="s">
        <v>534</v>
      </c>
      <c r="B397" s="37"/>
      <c r="C397" s="37" t="s">
        <v>72</v>
      </c>
      <c r="D397" s="37" t="s">
        <v>2582</v>
      </c>
      <c r="E397" s="38">
        <v>45553</v>
      </c>
      <c r="F397" s="38">
        <v>45918</v>
      </c>
      <c r="G397" s="37" t="s">
        <v>94</v>
      </c>
      <c r="H397" s="37" t="s">
        <v>60</v>
      </c>
      <c r="I397" s="39">
        <v>8800</v>
      </c>
      <c r="J397" s="39">
        <v>7155</v>
      </c>
      <c r="K397" s="43">
        <f t="shared" si="19"/>
        <v>2.5000000000000001E-2</v>
      </c>
      <c r="L397" s="37" t="s">
        <v>2118</v>
      </c>
      <c r="M397" s="40">
        <v>45553</v>
      </c>
      <c r="N397" s="33" t="s">
        <v>57</v>
      </c>
      <c r="O397" s="41">
        <v>352000</v>
      </c>
      <c r="P397" s="34">
        <f t="shared" si="20"/>
        <v>1073.25</v>
      </c>
      <c r="Q397" s="36">
        <f t="shared" si="18"/>
        <v>71.55</v>
      </c>
      <c r="R397" s="35">
        <v>500</v>
      </c>
    </row>
    <row r="398" spans="1:19" x14ac:dyDescent="0.25">
      <c r="A398" s="37" t="s">
        <v>535</v>
      </c>
      <c r="B398" s="37"/>
      <c r="C398" s="37" t="s">
        <v>65</v>
      </c>
      <c r="D398" s="37" t="s">
        <v>2582</v>
      </c>
      <c r="E398" s="38">
        <v>45553</v>
      </c>
      <c r="F398" s="38">
        <v>45918</v>
      </c>
      <c r="G398" s="37" t="s">
        <v>1394</v>
      </c>
      <c r="H398" s="37" t="s">
        <v>60</v>
      </c>
      <c r="I398" s="39">
        <v>8800</v>
      </c>
      <c r="J398" s="39">
        <v>7155</v>
      </c>
      <c r="K398" s="43">
        <f t="shared" si="19"/>
        <v>2.5000000000000001E-2</v>
      </c>
      <c r="L398" s="37" t="s">
        <v>2119</v>
      </c>
      <c r="M398" s="40">
        <v>45553</v>
      </c>
      <c r="N398" s="33" t="s">
        <v>57</v>
      </c>
      <c r="O398" s="41">
        <v>352000</v>
      </c>
      <c r="P398" s="34">
        <f t="shared" si="20"/>
        <v>1073.25</v>
      </c>
      <c r="Q398" s="36">
        <f t="shared" si="18"/>
        <v>71.55</v>
      </c>
      <c r="R398" s="35">
        <v>500</v>
      </c>
    </row>
    <row r="399" spans="1:19" x14ac:dyDescent="0.25">
      <c r="A399" s="42" t="s">
        <v>536</v>
      </c>
      <c r="B399" s="37"/>
      <c r="C399" s="37" t="s">
        <v>85</v>
      </c>
      <c r="D399" s="37" t="s">
        <v>2582</v>
      </c>
      <c r="E399" s="38">
        <v>45553</v>
      </c>
      <c r="F399" s="38">
        <v>45918</v>
      </c>
      <c r="G399" s="37" t="s">
        <v>1395</v>
      </c>
      <c r="H399" s="37" t="s">
        <v>60</v>
      </c>
      <c r="I399" s="39">
        <v>8800</v>
      </c>
      <c r="J399" s="39">
        <v>7155</v>
      </c>
      <c r="K399" s="43">
        <f t="shared" si="19"/>
        <v>2.5000000000000001E-2</v>
      </c>
      <c r="L399" s="37" t="s">
        <v>2120</v>
      </c>
      <c r="M399" s="40">
        <v>45553</v>
      </c>
      <c r="N399" s="33" t="s">
        <v>57</v>
      </c>
      <c r="O399" s="41">
        <v>352000</v>
      </c>
      <c r="P399" s="34">
        <f t="shared" si="20"/>
        <v>1073.25</v>
      </c>
      <c r="Q399" s="36">
        <f t="shared" si="18"/>
        <v>71.55</v>
      </c>
      <c r="R399" s="35">
        <v>500</v>
      </c>
      <c r="S399" t="s">
        <v>2594</v>
      </c>
    </row>
    <row r="400" spans="1:19" x14ac:dyDescent="0.25">
      <c r="A400" s="37" t="s">
        <v>537</v>
      </c>
      <c r="B400" s="37"/>
      <c r="C400" s="37" t="s">
        <v>65</v>
      </c>
      <c r="D400" s="37" t="s">
        <v>2582</v>
      </c>
      <c r="E400" s="38">
        <v>45553</v>
      </c>
      <c r="F400" s="38">
        <v>45918</v>
      </c>
      <c r="G400" s="37" t="s">
        <v>100</v>
      </c>
      <c r="H400" s="37" t="s">
        <v>63</v>
      </c>
      <c r="I400" s="39">
        <v>12475</v>
      </c>
      <c r="J400" s="39">
        <v>10323</v>
      </c>
      <c r="K400" s="43">
        <f t="shared" si="19"/>
        <v>2.5000000000000001E-2</v>
      </c>
      <c r="L400" s="37" t="s">
        <v>2121</v>
      </c>
      <c r="M400" s="40">
        <v>45553</v>
      </c>
      <c r="N400" s="33" t="s">
        <v>57</v>
      </c>
      <c r="O400" s="41">
        <v>499000</v>
      </c>
      <c r="P400" s="34">
        <f t="shared" si="20"/>
        <v>1548.45</v>
      </c>
      <c r="Q400" s="36">
        <f t="shared" si="18"/>
        <v>103.23</v>
      </c>
      <c r="R400" s="35">
        <v>500</v>
      </c>
    </row>
    <row r="401" spans="1:18" x14ac:dyDescent="0.25">
      <c r="A401" s="37" t="s">
        <v>538</v>
      </c>
      <c r="B401" s="37"/>
      <c r="C401" s="37" t="s">
        <v>65</v>
      </c>
      <c r="D401" s="37" t="s">
        <v>2582</v>
      </c>
      <c r="E401" s="38">
        <v>45553</v>
      </c>
      <c r="F401" s="38">
        <v>45918</v>
      </c>
      <c r="G401" s="37" t="s">
        <v>1396</v>
      </c>
      <c r="H401" s="37" t="s">
        <v>60</v>
      </c>
      <c r="I401" s="39">
        <v>8800</v>
      </c>
      <c r="J401" s="39">
        <v>7155</v>
      </c>
      <c r="K401" s="43">
        <f t="shared" si="19"/>
        <v>2.5000000000000001E-2</v>
      </c>
      <c r="L401" s="37" t="s">
        <v>2122</v>
      </c>
      <c r="M401" s="40">
        <v>45553</v>
      </c>
      <c r="N401" s="33" t="s">
        <v>57</v>
      </c>
      <c r="O401" s="41">
        <v>352000</v>
      </c>
      <c r="P401" s="34">
        <f t="shared" si="20"/>
        <v>1073.25</v>
      </c>
      <c r="Q401" s="36">
        <f t="shared" si="18"/>
        <v>71.55</v>
      </c>
      <c r="R401" s="35">
        <v>500</v>
      </c>
    </row>
    <row r="402" spans="1:18" x14ac:dyDescent="0.25">
      <c r="A402" s="37" t="s">
        <v>539</v>
      </c>
      <c r="B402" s="37"/>
      <c r="C402" s="37" t="s">
        <v>30</v>
      </c>
      <c r="D402" s="37" t="s">
        <v>36</v>
      </c>
      <c r="E402" s="38">
        <v>45553</v>
      </c>
      <c r="F402" s="38">
        <v>45918</v>
      </c>
      <c r="G402" s="37" t="s">
        <v>1397</v>
      </c>
      <c r="H402" s="37" t="s">
        <v>60</v>
      </c>
      <c r="I402" s="39">
        <v>14960</v>
      </c>
      <c r="J402" s="39">
        <v>12466</v>
      </c>
      <c r="K402" s="43">
        <f t="shared" si="19"/>
        <v>4.2500000000000003E-2</v>
      </c>
      <c r="L402" s="37" t="s">
        <v>2123</v>
      </c>
      <c r="M402" s="40">
        <v>45553</v>
      </c>
      <c r="N402" s="33" t="s">
        <v>57</v>
      </c>
      <c r="O402" s="41">
        <v>352000</v>
      </c>
      <c r="P402" s="34">
        <f t="shared" si="20"/>
        <v>1869.9</v>
      </c>
      <c r="Q402" s="36">
        <f t="shared" si="18"/>
        <v>124.66</v>
      </c>
      <c r="R402" s="35">
        <v>500</v>
      </c>
    </row>
    <row r="403" spans="1:18" x14ac:dyDescent="0.25">
      <c r="A403" s="37" t="s">
        <v>540</v>
      </c>
      <c r="B403" s="37"/>
      <c r="C403" s="37" t="s">
        <v>65</v>
      </c>
      <c r="D403" s="37" t="s">
        <v>2582</v>
      </c>
      <c r="E403" s="38">
        <v>45553</v>
      </c>
      <c r="F403" s="38">
        <v>45918</v>
      </c>
      <c r="G403" s="37" t="s">
        <v>1398</v>
      </c>
      <c r="H403" s="37" t="s">
        <v>60</v>
      </c>
      <c r="I403" s="39">
        <v>8800</v>
      </c>
      <c r="J403" s="39">
        <v>7155</v>
      </c>
      <c r="K403" s="43">
        <f t="shared" si="19"/>
        <v>2.5000000000000001E-2</v>
      </c>
      <c r="L403" s="37" t="s">
        <v>2124</v>
      </c>
      <c r="M403" s="40">
        <v>45553</v>
      </c>
      <c r="N403" s="33" t="s">
        <v>57</v>
      </c>
      <c r="O403" s="41">
        <v>352000</v>
      </c>
      <c r="P403" s="34">
        <f t="shared" si="20"/>
        <v>1073.25</v>
      </c>
      <c r="Q403" s="36">
        <f t="shared" si="18"/>
        <v>71.55</v>
      </c>
      <c r="R403" s="35">
        <v>500</v>
      </c>
    </row>
    <row r="404" spans="1:18" x14ac:dyDescent="0.25">
      <c r="A404" s="37" t="s">
        <v>541</v>
      </c>
      <c r="B404" s="37"/>
      <c r="C404" s="37" t="s">
        <v>36</v>
      </c>
      <c r="D404" s="37" t="s">
        <v>36</v>
      </c>
      <c r="E404" s="38">
        <v>45553</v>
      </c>
      <c r="F404" s="38">
        <v>45918</v>
      </c>
      <c r="G404" s="37" t="s">
        <v>1399</v>
      </c>
      <c r="H404" s="37" t="s">
        <v>60</v>
      </c>
      <c r="I404" s="39">
        <v>14960</v>
      </c>
      <c r="J404" s="39">
        <v>12466</v>
      </c>
      <c r="K404" s="43">
        <f t="shared" si="19"/>
        <v>4.2500000000000003E-2</v>
      </c>
      <c r="L404" s="37" t="s">
        <v>2125</v>
      </c>
      <c r="M404" s="40">
        <v>45553</v>
      </c>
      <c r="N404" s="33" t="s">
        <v>57</v>
      </c>
      <c r="O404" s="41">
        <v>352000</v>
      </c>
      <c r="P404" s="34">
        <f t="shared" si="20"/>
        <v>1869.9</v>
      </c>
      <c r="Q404" s="36">
        <f t="shared" si="18"/>
        <v>124.66</v>
      </c>
      <c r="R404" s="35">
        <v>500</v>
      </c>
    </row>
    <row r="405" spans="1:18" x14ac:dyDescent="0.25">
      <c r="A405" s="37" t="s">
        <v>542</v>
      </c>
      <c r="B405" s="37"/>
      <c r="C405" s="37" t="s">
        <v>66</v>
      </c>
      <c r="D405" s="37" t="s">
        <v>2582</v>
      </c>
      <c r="E405" s="38">
        <v>45553</v>
      </c>
      <c r="F405" s="38">
        <v>45918</v>
      </c>
      <c r="G405" s="37" t="s">
        <v>1400</v>
      </c>
      <c r="H405" s="37" t="s">
        <v>64</v>
      </c>
      <c r="I405" s="39">
        <v>9550</v>
      </c>
      <c r="J405" s="39">
        <v>7802</v>
      </c>
      <c r="K405" s="43">
        <f t="shared" si="19"/>
        <v>2.5000000000000001E-2</v>
      </c>
      <c r="L405" s="37" t="s">
        <v>2126</v>
      </c>
      <c r="M405" s="40">
        <v>45553</v>
      </c>
      <c r="N405" s="33" t="s">
        <v>57</v>
      </c>
      <c r="O405" s="41">
        <v>382000</v>
      </c>
      <c r="P405" s="34">
        <f t="shared" si="20"/>
        <v>1170.3</v>
      </c>
      <c r="Q405" s="36">
        <f t="shared" si="18"/>
        <v>78.02</v>
      </c>
      <c r="R405" s="35">
        <v>500</v>
      </c>
    </row>
    <row r="406" spans="1:18" x14ac:dyDescent="0.25">
      <c r="A406" s="37" t="s">
        <v>543</v>
      </c>
      <c r="B406" s="37"/>
      <c r="C406" s="37" t="s">
        <v>66</v>
      </c>
      <c r="D406" s="37" t="s">
        <v>2582</v>
      </c>
      <c r="E406" s="38">
        <v>45553</v>
      </c>
      <c r="F406" s="38">
        <v>45918</v>
      </c>
      <c r="G406" s="37" t="s">
        <v>1401</v>
      </c>
      <c r="H406" s="37" t="s">
        <v>61</v>
      </c>
      <c r="I406" s="39">
        <v>9550</v>
      </c>
      <c r="J406" s="39">
        <v>7802</v>
      </c>
      <c r="K406" s="43">
        <f t="shared" si="19"/>
        <v>2.5000000000000001E-2</v>
      </c>
      <c r="L406" s="37" t="s">
        <v>2127</v>
      </c>
      <c r="M406" s="40">
        <v>45553</v>
      </c>
      <c r="N406" s="33" t="s">
        <v>57</v>
      </c>
      <c r="O406" s="41">
        <v>382000</v>
      </c>
      <c r="P406" s="34">
        <f t="shared" si="20"/>
        <v>1170.3</v>
      </c>
      <c r="Q406" s="36">
        <f t="shared" si="18"/>
        <v>78.02</v>
      </c>
      <c r="R406" s="35">
        <v>500</v>
      </c>
    </row>
    <row r="407" spans="1:18" x14ac:dyDescent="0.25">
      <c r="A407" s="37" t="s">
        <v>544</v>
      </c>
      <c r="B407" s="37"/>
      <c r="C407" s="37" t="s">
        <v>65</v>
      </c>
      <c r="D407" s="37" t="s">
        <v>2582</v>
      </c>
      <c r="E407" s="38">
        <v>45553</v>
      </c>
      <c r="F407" s="38">
        <v>45918</v>
      </c>
      <c r="G407" s="37" t="s">
        <v>1402</v>
      </c>
      <c r="H407" s="37" t="s">
        <v>60</v>
      </c>
      <c r="I407" s="39">
        <v>8800</v>
      </c>
      <c r="J407" s="39">
        <v>7155</v>
      </c>
      <c r="K407" s="43">
        <f t="shared" si="19"/>
        <v>2.5000000000000001E-2</v>
      </c>
      <c r="L407" s="37" t="s">
        <v>2128</v>
      </c>
      <c r="M407" s="40">
        <v>45553</v>
      </c>
      <c r="N407" s="33" t="s">
        <v>57</v>
      </c>
      <c r="O407" s="41">
        <v>352000</v>
      </c>
      <c r="P407" s="34">
        <f t="shared" si="20"/>
        <v>1073.25</v>
      </c>
      <c r="Q407" s="36">
        <f t="shared" si="18"/>
        <v>71.55</v>
      </c>
      <c r="R407" s="35">
        <v>500</v>
      </c>
    </row>
    <row r="408" spans="1:18" x14ac:dyDescent="0.25">
      <c r="A408" s="37" t="s">
        <v>545</v>
      </c>
      <c r="B408" s="37"/>
      <c r="C408" s="37" t="s">
        <v>65</v>
      </c>
      <c r="D408" s="37" t="s">
        <v>2582</v>
      </c>
      <c r="E408" s="38">
        <v>45553</v>
      </c>
      <c r="F408" s="38">
        <v>45918</v>
      </c>
      <c r="G408" s="37" t="s">
        <v>1403</v>
      </c>
      <c r="H408" s="37" t="s">
        <v>60</v>
      </c>
      <c r="I408" s="39">
        <v>8800</v>
      </c>
      <c r="J408" s="39">
        <v>7155</v>
      </c>
      <c r="K408" s="43">
        <f t="shared" si="19"/>
        <v>2.5000000000000001E-2</v>
      </c>
      <c r="L408" s="37" t="s">
        <v>2129</v>
      </c>
      <c r="M408" s="40">
        <v>45553</v>
      </c>
      <c r="N408" s="33" t="s">
        <v>57</v>
      </c>
      <c r="O408" s="41">
        <v>352000</v>
      </c>
      <c r="P408" s="34">
        <f t="shared" si="20"/>
        <v>1073.25</v>
      </c>
      <c r="Q408" s="36">
        <f t="shared" si="18"/>
        <v>71.55</v>
      </c>
      <c r="R408" s="35">
        <v>500</v>
      </c>
    </row>
    <row r="409" spans="1:18" x14ac:dyDescent="0.25">
      <c r="A409" s="37" t="s">
        <v>546</v>
      </c>
      <c r="B409" s="37"/>
      <c r="C409" s="37" t="s">
        <v>37</v>
      </c>
      <c r="D409" s="37" t="s">
        <v>2582</v>
      </c>
      <c r="E409" s="38">
        <v>45553</v>
      </c>
      <c r="F409" s="38">
        <v>45918</v>
      </c>
      <c r="G409" s="37" t="s">
        <v>100</v>
      </c>
      <c r="H409" s="37" t="s">
        <v>60</v>
      </c>
      <c r="I409" s="39">
        <v>8800</v>
      </c>
      <c r="J409" s="39">
        <v>7155</v>
      </c>
      <c r="K409" s="43">
        <f t="shared" si="19"/>
        <v>2.5000000000000001E-2</v>
      </c>
      <c r="L409" s="37" t="s">
        <v>2130</v>
      </c>
      <c r="M409" s="40">
        <v>45553</v>
      </c>
      <c r="N409" s="33" t="s">
        <v>57</v>
      </c>
      <c r="O409" s="41">
        <v>352000</v>
      </c>
      <c r="P409" s="34">
        <f t="shared" si="20"/>
        <v>1073.25</v>
      </c>
      <c r="Q409" s="36">
        <f t="shared" si="18"/>
        <v>71.55</v>
      </c>
      <c r="R409" s="35">
        <v>500</v>
      </c>
    </row>
    <row r="410" spans="1:18" x14ac:dyDescent="0.25">
      <c r="A410" s="37" t="s">
        <v>547</v>
      </c>
      <c r="B410" s="37"/>
      <c r="C410" s="37" t="s">
        <v>65</v>
      </c>
      <c r="D410" s="37" t="s">
        <v>2582</v>
      </c>
      <c r="E410" s="38">
        <v>45553</v>
      </c>
      <c r="F410" s="38">
        <v>45918</v>
      </c>
      <c r="G410" s="37" t="s">
        <v>1404</v>
      </c>
      <c r="H410" s="37" t="s">
        <v>60</v>
      </c>
      <c r="I410" s="39">
        <v>8800</v>
      </c>
      <c r="J410" s="39">
        <v>7155</v>
      </c>
      <c r="K410" s="43">
        <f t="shared" si="19"/>
        <v>2.5000000000000001E-2</v>
      </c>
      <c r="L410" s="37" t="s">
        <v>2131</v>
      </c>
      <c r="M410" s="40">
        <v>45553</v>
      </c>
      <c r="N410" s="33" t="s">
        <v>57</v>
      </c>
      <c r="O410" s="41">
        <v>352000</v>
      </c>
      <c r="P410" s="34">
        <f t="shared" si="20"/>
        <v>1073.25</v>
      </c>
      <c r="Q410" s="36">
        <f t="shared" si="18"/>
        <v>71.55</v>
      </c>
      <c r="R410" s="35">
        <v>500</v>
      </c>
    </row>
    <row r="411" spans="1:18" x14ac:dyDescent="0.25">
      <c r="A411" s="37" t="s">
        <v>548</v>
      </c>
      <c r="B411" s="37"/>
      <c r="C411" s="37" t="s">
        <v>31</v>
      </c>
      <c r="D411" s="37" t="s">
        <v>36</v>
      </c>
      <c r="E411" s="38">
        <v>45553</v>
      </c>
      <c r="F411" s="38">
        <v>45918</v>
      </c>
      <c r="G411" s="37" t="s">
        <v>1405</v>
      </c>
      <c r="H411" s="37" t="s">
        <v>63</v>
      </c>
      <c r="I411" s="39">
        <v>21208</v>
      </c>
      <c r="J411" s="39">
        <v>17852</v>
      </c>
      <c r="K411" s="43">
        <f t="shared" si="19"/>
        <v>4.2501002004008019E-2</v>
      </c>
      <c r="L411" s="37" t="s">
        <v>2132</v>
      </c>
      <c r="M411" s="40">
        <v>45553</v>
      </c>
      <c r="N411" s="33" t="s">
        <v>57</v>
      </c>
      <c r="O411" s="41">
        <v>499000</v>
      </c>
      <c r="P411" s="34">
        <f t="shared" si="20"/>
        <v>2677.8</v>
      </c>
      <c r="Q411" s="36">
        <f t="shared" si="18"/>
        <v>178.52</v>
      </c>
      <c r="R411" s="35">
        <v>500</v>
      </c>
    </row>
    <row r="412" spans="1:18" x14ac:dyDescent="0.25">
      <c r="A412" s="37" t="s">
        <v>549</v>
      </c>
      <c r="B412" s="37"/>
      <c r="C412" s="37" t="s">
        <v>31</v>
      </c>
      <c r="D412" s="37" t="s">
        <v>36</v>
      </c>
      <c r="E412" s="38">
        <v>45919</v>
      </c>
      <c r="F412" s="38">
        <v>46284</v>
      </c>
      <c r="G412" s="37" t="s">
        <v>1405</v>
      </c>
      <c r="H412" s="37" t="s">
        <v>63</v>
      </c>
      <c r="I412" s="39">
        <v>21208</v>
      </c>
      <c r="J412" s="39">
        <v>17852</v>
      </c>
      <c r="K412" s="43">
        <f t="shared" si="19"/>
        <v>4.2501002004008019E-2</v>
      </c>
      <c r="L412" s="37" t="s">
        <v>2132</v>
      </c>
      <c r="M412" s="40">
        <v>45553</v>
      </c>
      <c r="N412" s="33" t="s">
        <v>57</v>
      </c>
      <c r="O412" s="41">
        <v>499000</v>
      </c>
      <c r="P412" s="34">
        <f t="shared" si="20"/>
        <v>2677.8</v>
      </c>
      <c r="Q412" s="36">
        <f t="shared" si="18"/>
        <v>178.52</v>
      </c>
      <c r="R412" s="35">
        <v>500</v>
      </c>
    </row>
    <row r="413" spans="1:18" x14ac:dyDescent="0.25">
      <c r="A413" s="37" t="s">
        <v>550</v>
      </c>
      <c r="B413" s="37"/>
      <c r="C413" s="37" t="s">
        <v>50</v>
      </c>
      <c r="D413" s="37" t="s">
        <v>2582</v>
      </c>
      <c r="E413" s="38">
        <v>45553</v>
      </c>
      <c r="F413" s="38">
        <v>45918</v>
      </c>
      <c r="G413" s="37" t="s">
        <v>1406</v>
      </c>
      <c r="H413" s="37" t="s">
        <v>60</v>
      </c>
      <c r="I413" s="39">
        <v>8800</v>
      </c>
      <c r="J413" s="39">
        <v>7155</v>
      </c>
      <c r="K413" s="43">
        <f t="shared" si="19"/>
        <v>2.5000000000000001E-2</v>
      </c>
      <c r="L413" s="37" t="s">
        <v>2133</v>
      </c>
      <c r="M413" s="40">
        <v>45553</v>
      </c>
      <c r="N413" s="33" t="s">
        <v>57</v>
      </c>
      <c r="O413" s="41">
        <v>352000</v>
      </c>
      <c r="P413" s="34">
        <f t="shared" si="20"/>
        <v>1073.25</v>
      </c>
      <c r="Q413" s="36">
        <f t="shared" si="18"/>
        <v>71.55</v>
      </c>
      <c r="R413" s="35">
        <v>500</v>
      </c>
    </row>
    <row r="414" spans="1:18" x14ac:dyDescent="0.25">
      <c r="A414" s="37" t="s">
        <v>551</v>
      </c>
      <c r="B414" s="37"/>
      <c r="C414" s="37" t="s">
        <v>85</v>
      </c>
      <c r="D414" s="37" t="s">
        <v>2582</v>
      </c>
      <c r="E414" s="38">
        <v>45553</v>
      </c>
      <c r="F414" s="38">
        <v>45918</v>
      </c>
      <c r="G414" s="37" t="s">
        <v>1407</v>
      </c>
      <c r="H414" s="37" t="s">
        <v>64</v>
      </c>
      <c r="I414" s="39">
        <v>9550</v>
      </c>
      <c r="J414" s="39">
        <v>7802</v>
      </c>
      <c r="K414" s="43">
        <f t="shared" si="19"/>
        <v>2.5000000000000001E-2</v>
      </c>
      <c r="L414" s="37" t="s">
        <v>2134</v>
      </c>
      <c r="M414" s="40">
        <v>45553</v>
      </c>
      <c r="N414" s="33" t="s">
        <v>57</v>
      </c>
      <c r="O414" s="41">
        <v>382000</v>
      </c>
      <c r="P414" s="34">
        <f t="shared" si="20"/>
        <v>1170.3</v>
      </c>
      <c r="Q414" s="36">
        <f t="shared" si="18"/>
        <v>78.02</v>
      </c>
      <c r="R414" s="35">
        <v>500</v>
      </c>
    </row>
    <row r="415" spans="1:18" x14ac:dyDescent="0.25">
      <c r="A415" s="37" t="s">
        <v>552</v>
      </c>
      <c r="B415" s="37"/>
      <c r="C415" s="37" t="s">
        <v>50</v>
      </c>
      <c r="D415" s="37" t="s">
        <v>2582</v>
      </c>
      <c r="E415" s="38">
        <v>45553</v>
      </c>
      <c r="F415" s="38">
        <v>45918</v>
      </c>
      <c r="G415" s="37" t="s">
        <v>1408</v>
      </c>
      <c r="H415" s="37" t="s">
        <v>60</v>
      </c>
      <c r="I415" s="39">
        <v>8800</v>
      </c>
      <c r="J415" s="39">
        <v>7155</v>
      </c>
      <c r="K415" s="43">
        <f t="shared" si="19"/>
        <v>2.5000000000000001E-2</v>
      </c>
      <c r="L415" s="37" t="s">
        <v>2135</v>
      </c>
      <c r="M415" s="40">
        <v>45553</v>
      </c>
      <c r="N415" s="33" t="s">
        <v>57</v>
      </c>
      <c r="O415" s="41">
        <v>352000</v>
      </c>
      <c r="P415" s="34">
        <f t="shared" si="20"/>
        <v>1073.25</v>
      </c>
      <c r="Q415" s="36">
        <f t="shared" si="18"/>
        <v>71.55</v>
      </c>
      <c r="R415" s="35">
        <v>500</v>
      </c>
    </row>
    <row r="416" spans="1:18" x14ac:dyDescent="0.25">
      <c r="A416" s="37" t="s">
        <v>553</v>
      </c>
      <c r="B416" s="37"/>
      <c r="C416" s="37" t="s">
        <v>66</v>
      </c>
      <c r="D416" s="37" t="s">
        <v>2582</v>
      </c>
      <c r="E416" s="38">
        <v>45553</v>
      </c>
      <c r="F416" s="38">
        <v>45918</v>
      </c>
      <c r="G416" s="37" t="s">
        <v>1409</v>
      </c>
      <c r="H416" s="37" t="s">
        <v>60</v>
      </c>
      <c r="I416" s="39">
        <v>8800</v>
      </c>
      <c r="J416" s="39">
        <v>7155</v>
      </c>
      <c r="K416" s="43">
        <f t="shared" si="19"/>
        <v>2.5000000000000001E-2</v>
      </c>
      <c r="L416" s="37" t="s">
        <v>2136</v>
      </c>
      <c r="M416" s="40">
        <v>45553</v>
      </c>
      <c r="N416" s="33" t="s">
        <v>57</v>
      </c>
      <c r="O416" s="41">
        <v>352000</v>
      </c>
      <c r="P416" s="34">
        <f t="shared" si="20"/>
        <v>1073.25</v>
      </c>
      <c r="Q416" s="36">
        <f t="shared" si="18"/>
        <v>71.55</v>
      </c>
      <c r="R416" s="35">
        <v>500</v>
      </c>
    </row>
    <row r="417" spans="1:18" x14ac:dyDescent="0.25">
      <c r="A417" s="37" t="s">
        <v>554</v>
      </c>
      <c r="B417" s="37"/>
      <c r="C417" s="37" t="s">
        <v>66</v>
      </c>
      <c r="D417" s="37" t="s">
        <v>2582</v>
      </c>
      <c r="E417" s="38">
        <v>45553</v>
      </c>
      <c r="F417" s="38">
        <v>45918</v>
      </c>
      <c r="G417" s="37" t="s">
        <v>1410</v>
      </c>
      <c r="H417" s="37" t="s">
        <v>64</v>
      </c>
      <c r="I417" s="39">
        <v>9550</v>
      </c>
      <c r="J417" s="39">
        <v>7802</v>
      </c>
      <c r="K417" s="43">
        <f t="shared" si="19"/>
        <v>2.5000000000000001E-2</v>
      </c>
      <c r="L417" s="37" t="s">
        <v>2137</v>
      </c>
      <c r="M417" s="40">
        <v>45553</v>
      </c>
      <c r="N417" s="33" t="s">
        <v>57</v>
      </c>
      <c r="O417" s="41">
        <v>382000</v>
      </c>
      <c r="P417" s="34">
        <f t="shared" si="20"/>
        <v>1170.3</v>
      </c>
      <c r="Q417" s="36">
        <f t="shared" si="18"/>
        <v>78.02</v>
      </c>
      <c r="R417" s="35">
        <v>500</v>
      </c>
    </row>
    <row r="418" spans="1:18" x14ac:dyDescent="0.25">
      <c r="A418" s="37" t="s">
        <v>555</v>
      </c>
      <c r="B418" s="37"/>
      <c r="C418" s="37" t="s">
        <v>34</v>
      </c>
      <c r="D418" s="37" t="s">
        <v>2582</v>
      </c>
      <c r="E418" s="38">
        <v>45553</v>
      </c>
      <c r="F418" s="38">
        <v>45918</v>
      </c>
      <c r="G418" s="37" t="s">
        <v>1411</v>
      </c>
      <c r="H418" s="37" t="s">
        <v>60</v>
      </c>
      <c r="I418" s="39">
        <v>8800</v>
      </c>
      <c r="J418" s="39">
        <v>7155</v>
      </c>
      <c r="K418" s="43">
        <f t="shared" si="19"/>
        <v>2.5000000000000001E-2</v>
      </c>
      <c r="L418" s="37" t="s">
        <v>2138</v>
      </c>
      <c r="M418" s="40">
        <v>45553</v>
      </c>
      <c r="N418" s="33" t="s">
        <v>57</v>
      </c>
      <c r="O418" s="41">
        <v>352000</v>
      </c>
      <c r="P418" s="34">
        <f t="shared" si="20"/>
        <v>1073.25</v>
      </c>
      <c r="Q418" s="36">
        <f t="shared" si="18"/>
        <v>71.55</v>
      </c>
      <c r="R418" s="35">
        <v>500</v>
      </c>
    </row>
    <row r="419" spans="1:18" x14ac:dyDescent="0.25">
      <c r="A419" s="37" t="s">
        <v>556</v>
      </c>
      <c r="B419" s="37"/>
      <c r="C419" s="37" t="s">
        <v>35</v>
      </c>
      <c r="D419" s="37" t="s">
        <v>36</v>
      </c>
      <c r="E419" s="38">
        <v>45553</v>
      </c>
      <c r="F419" s="38">
        <v>45918</v>
      </c>
      <c r="G419" s="37" t="s">
        <v>1412</v>
      </c>
      <c r="H419" s="37" t="s">
        <v>63</v>
      </c>
      <c r="I419" s="39">
        <v>21208</v>
      </c>
      <c r="J419" s="39">
        <v>17852</v>
      </c>
      <c r="K419" s="43">
        <f t="shared" si="19"/>
        <v>4.2501002004008019E-2</v>
      </c>
      <c r="L419" s="37" t="s">
        <v>2139</v>
      </c>
      <c r="M419" s="40">
        <v>45553</v>
      </c>
      <c r="N419" s="33" t="s">
        <v>57</v>
      </c>
      <c r="O419" s="41">
        <v>499000</v>
      </c>
      <c r="P419" s="34">
        <f t="shared" si="20"/>
        <v>2677.8</v>
      </c>
      <c r="Q419" s="36">
        <f t="shared" si="18"/>
        <v>178.52</v>
      </c>
      <c r="R419" s="35">
        <v>500</v>
      </c>
    </row>
    <row r="420" spans="1:18" x14ac:dyDescent="0.25">
      <c r="A420" s="37" t="s">
        <v>557</v>
      </c>
      <c r="B420" s="37"/>
      <c r="C420" s="37" t="s">
        <v>34</v>
      </c>
      <c r="D420" s="37" t="s">
        <v>2582</v>
      </c>
      <c r="E420" s="38">
        <v>45553</v>
      </c>
      <c r="F420" s="38">
        <v>45918</v>
      </c>
      <c r="G420" s="37" t="s">
        <v>67</v>
      </c>
      <c r="H420" s="37" t="s">
        <v>60</v>
      </c>
      <c r="I420" s="39">
        <v>8800</v>
      </c>
      <c r="J420" s="39">
        <v>7155</v>
      </c>
      <c r="K420" s="43">
        <f t="shared" si="19"/>
        <v>2.5000000000000001E-2</v>
      </c>
      <c r="L420" s="37" t="s">
        <v>2140</v>
      </c>
      <c r="M420" s="40">
        <v>45553</v>
      </c>
      <c r="N420" s="33" t="s">
        <v>57</v>
      </c>
      <c r="O420" s="41">
        <v>352000</v>
      </c>
      <c r="P420" s="34">
        <f t="shared" si="20"/>
        <v>1073.25</v>
      </c>
      <c r="Q420" s="36">
        <f t="shared" si="18"/>
        <v>71.55</v>
      </c>
      <c r="R420" s="35">
        <v>500</v>
      </c>
    </row>
    <row r="421" spans="1:18" x14ac:dyDescent="0.25">
      <c r="A421" s="37" t="s">
        <v>558</v>
      </c>
      <c r="B421" s="37"/>
      <c r="C421" s="37" t="s">
        <v>34</v>
      </c>
      <c r="D421" s="37" t="s">
        <v>2582</v>
      </c>
      <c r="E421" s="38">
        <v>45553</v>
      </c>
      <c r="F421" s="38">
        <v>45918</v>
      </c>
      <c r="G421" s="37" t="s">
        <v>1413</v>
      </c>
      <c r="H421" s="37" t="s">
        <v>60</v>
      </c>
      <c r="I421" s="39">
        <v>8800</v>
      </c>
      <c r="J421" s="39">
        <v>7155</v>
      </c>
      <c r="K421" s="43">
        <f t="shared" si="19"/>
        <v>2.5000000000000001E-2</v>
      </c>
      <c r="L421" s="37" t="s">
        <v>2141</v>
      </c>
      <c r="M421" s="40">
        <v>45553</v>
      </c>
      <c r="N421" s="33" t="s">
        <v>57</v>
      </c>
      <c r="O421" s="41">
        <v>352000</v>
      </c>
      <c r="P421" s="34">
        <f t="shared" si="20"/>
        <v>1073.25</v>
      </c>
      <c r="Q421" s="36">
        <f t="shared" si="18"/>
        <v>71.55</v>
      </c>
      <c r="R421" s="35">
        <v>500</v>
      </c>
    </row>
    <row r="422" spans="1:18" x14ac:dyDescent="0.25">
      <c r="A422" s="37" t="s">
        <v>559</v>
      </c>
      <c r="B422" s="37"/>
      <c r="C422" s="37" t="s">
        <v>34</v>
      </c>
      <c r="D422" s="37" t="s">
        <v>2582</v>
      </c>
      <c r="E422" s="38">
        <v>45553</v>
      </c>
      <c r="F422" s="38">
        <v>45918</v>
      </c>
      <c r="G422" s="37" t="s">
        <v>1414</v>
      </c>
      <c r="H422" s="37" t="s">
        <v>60</v>
      </c>
      <c r="I422" s="39">
        <v>8800</v>
      </c>
      <c r="J422" s="39">
        <v>7155</v>
      </c>
      <c r="K422" s="43">
        <f t="shared" si="19"/>
        <v>2.5000000000000001E-2</v>
      </c>
      <c r="L422" s="37" t="s">
        <v>2142</v>
      </c>
      <c r="M422" s="40">
        <v>45553</v>
      </c>
      <c r="N422" s="33" t="s">
        <v>57</v>
      </c>
      <c r="O422" s="41">
        <v>352000</v>
      </c>
      <c r="P422" s="34">
        <f t="shared" si="20"/>
        <v>1073.25</v>
      </c>
      <c r="Q422" s="36">
        <f t="shared" si="18"/>
        <v>71.55</v>
      </c>
      <c r="R422" s="35">
        <v>500</v>
      </c>
    </row>
    <row r="423" spans="1:18" x14ac:dyDescent="0.25">
      <c r="A423" s="37" t="s">
        <v>560</v>
      </c>
      <c r="B423" s="37"/>
      <c r="C423" s="37" t="s">
        <v>34</v>
      </c>
      <c r="D423" s="37" t="s">
        <v>2582</v>
      </c>
      <c r="E423" s="38">
        <v>45553</v>
      </c>
      <c r="F423" s="38">
        <v>45918</v>
      </c>
      <c r="G423" s="37" t="s">
        <v>124</v>
      </c>
      <c r="H423" s="37" t="s">
        <v>60</v>
      </c>
      <c r="I423" s="39">
        <v>8800</v>
      </c>
      <c r="J423" s="39">
        <v>7155</v>
      </c>
      <c r="K423" s="43">
        <f t="shared" si="19"/>
        <v>2.5000000000000001E-2</v>
      </c>
      <c r="L423" s="37" t="s">
        <v>2143</v>
      </c>
      <c r="M423" s="40">
        <v>45553</v>
      </c>
      <c r="N423" s="33" t="s">
        <v>57</v>
      </c>
      <c r="O423" s="41">
        <v>352000</v>
      </c>
      <c r="P423" s="34">
        <f t="shared" si="20"/>
        <v>1073.25</v>
      </c>
      <c r="Q423" s="36">
        <f t="shared" si="18"/>
        <v>71.55</v>
      </c>
      <c r="R423" s="35">
        <v>500</v>
      </c>
    </row>
    <row r="424" spans="1:18" x14ac:dyDescent="0.25">
      <c r="A424" s="37" t="s">
        <v>561</v>
      </c>
      <c r="B424" s="37"/>
      <c r="C424" s="37" t="s">
        <v>30</v>
      </c>
      <c r="D424" s="37" t="s">
        <v>36</v>
      </c>
      <c r="E424" s="38">
        <v>45553</v>
      </c>
      <c r="F424" s="38">
        <v>45918</v>
      </c>
      <c r="G424" s="37" t="s">
        <v>1415</v>
      </c>
      <c r="H424" s="37" t="s">
        <v>60</v>
      </c>
      <c r="I424" s="39">
        <v>14960</v>
      </c>
      <c r="J424" s="39">
        <v>12466</v>
      </c>
      <c r="K424" s="43">
        <f t="shared" si="19"/>
        <v>4.2500000000000003E-2</v>
      </c>
      <c r="L424" s="37" t="s">
        <v>2144</v>
      </c>
      <c r="M424" s="40">
        <v>45553</v>
      </c>
      <c r="N424" s="33" t="s">
        <v>57</v>
      </c>
      <c r="O424" s="41">
        <v>352000</v>
      </c>
      <c r="P424" s="34">
        <f t="shared" si="20"/>
        <v>1869.9</v>
      </c>
      <c r="Q424" s="36">
        <f t="shared" si="18"/>
        <v>124.66</v>
      </c>
      <c r="R424" s="35">
        <v>500</v>
      </c>
    </row>
    <row r="425" spans="1:18" x14ac:dyDescent="0.25">
      <c r="A425" s="37" t="s">
        <v>562</v>
      </c>
      <c r="B425" s="37"/>
      <c r="C425" s="37" t="s">
        <v>37</v>
      </c>
      <c r="D425" s="37" t="s">
        <v>2582</v>
      </c>
      <c r="E425" s="38">
        <v>45553</v>
      </c>
      <c r="F425" s="38">
        <v>45918</v>
      </c>
      <c r="G425" s="37" t="s">
        <v>1416</v>
      </c>
      <c r="H425" s="37" t="s">
        <v>60</v>
      </c>
      <c r="I425" s="39">
        <v>8800</v>
      </c>
      <c r="J425" s="39">
        <v>7155</v>
      </c>
      <c r="K425" s="43">
        <f t="shared" si="19"/>
        <v>2.5000000000000001E-2</v>
      </c>
      <c r="L425" s="37" t="s">
        <v>2145</v>
      </c>
      <c r="M425" s="40">
        <v>45553</v>
      </c>
      <c r="N425" s="33" t="s">
        <v>57</v>
      </c>
      <c r="O425" s="41">
        <v>352000</v>
      </c>
      <c r="P425" s="34">
        <f t="shared" si="20"/>
        <v>1073.25</v>
      </c>
      <c r="Q425" s="36">
        <f t="shared" si="18"/>
        <v>71.55</v>
      </c>
      <c r="R425" s="35">
        <v>500</v>
      </c>
    </row>
    <row r="426" spans="1:18" x14ac:dyDescent="0.25">
      <c r="A426" s="37" t="s">
        <v>563</v>
      </c>
      <c r="B426" s="37"/>
      <c r="C426" s="37" t="s">
        <v>37</v>
      </c>
      <c r="D426" s="37" t="s">
        <v>2582</v>
      </c>
      <c r="E426" s="38">
        <v>45553</v>
      </c>
      <c r="F426" s="38">
        <v>45918</v>
      </c>
      <c r="G426" s="37" t="s">
        <v>1417</v>
      </c>
      <c r="H426" s="37" t="s">
        <v>63</v>
      </c>
      <c r="I426" s="39">
        <v>12475</v>
      </c>
      <c r="J426" s="39">
        <v>10323</v>
      </c>
      <c r="K426" s="43">
        <f t="shared" si="19"/>
        <v>2.5000000000000001E-2</v>
      </c>
      <c r="L426" s="37" t="s">
        <v>2146</v>
      </c>
      <c r="M426" s="40">
        <v>45553</v>
      </c>
      <c r="N426" s="33" t="s">
        <v>57</v>
      </c>
      <c r="O426" s="41">
        <v>499000</v>
      </c>
      <c r="P426" s="34">
        <f t="shared" si="20"/>
        <v>1548.45</v>
      </c>
      <c r="Q426" s="36">
        <f t="shared" si="18"/>
        <v>103.23</v>
      </c>
      <c r="R426" s="35">
        <v>500</v>
      </c>
    </row>
    <row r="427" spans="1:18" x14ac:dyDescent="0.25">
      <c r="A427" s="37" t="s">
        <v>564</v>
      </c>
      <c r="B427" s="37"/>
      <c r="C427" s="37" t="s">
        <v>37</v>
      </c>
      <c r="D427" s="37" t="s">
        <v>2582</v>
      </c>
      <c r="E427" s="38">
        <v>45553</v>
      </c>
      <c r="F427" s="38">
        <v>45918</v>
      </c>
      <c r="G427" s="37" t="s">
        <v>1418</v>
      </c>
      <c r="H427" s="37" t="s">
        <v>60</v>
      </c>
      <c r="I427" s="39">
        <v>8800</v>
      </c>
      <c r="J427" s="39">
        <v>7155</v>
      </c>
      <c r="K427" s="43">
        <f t="shared" si="19"/>
        <v>2.5000000000000001E-2</v>
      </c>
      <c r="L427" s="37" t="s">
        <v>2147</v>
      </c>
      <c r="M427" s="40">
        <v>45553</v>
      </c>
      <c r="N427" s="33" t="s">
        <v>57</v>
      </c>
      <c r="O427" s="41">
        <v>352000</v>
      </c>
      <c r="P427" s="34">
        <f t="shared" si="20"/>
        <v>1073.25</v>
      </c>
      <c r="Q427" s="36">
        <f t="shared" si="18"/>
        <v>71.55</v>
      </c>
      <c r="R427" s="35">
        <v>500</v>
      </c>
    </row>
    <row r="428" spans="1:18" x14ac:dyDescent="0.25">
      <c r="A428" s="37" t="s">
        <v>565</v>
      </c>
      <c r="B428" s="37"/>
      <c r="C428" s="37" t="s">
        <v>37</v>
      </c>
      <c r="D428" s="37" t="s">
        <v>2582</v>
      </c>
      <c r="E428" s="38">
        <v>45553</v>
      </c>
      <c r="F428" s="38">
        <v>45918</v>
      </c>
      <c r="G428" s="37" t="s">
        <v>116</v>
      </c>
      <c r="H428" s="37" t="s">
        <v>60</v>
      </c>
      <c r="I428" s="39">
        <v>8800</v>
      </c>
      <c r="J428" s="39">
        <v>7155</v>
      </c>
      <c r="K428" s="43">
        <f t="shared" si="19"/>
        <v>2.5000000000000001E-2</v>
      </c>
      <c r="L428" s="37" t="s">
        <v>2148</v>
      </c>
      <c r="M428" s="40">
        <v>45553</v>
      </c>
      <c r="N428" s="33" t="s">
        <v>57</v>
      </c>
      <c r="O428" s="41">
        <v>352000</v>
      </c>
      <c r="P428" s="34">
        <f t="shared" si="20"/>
        <v>1073.25</v>
      </c>
      <c r="Q428" s="36">
        <f t="shared" si="18"/>
        <v>71.55</v>
      </c>
      <c r="R428" s="35">
        <v>500</v>
      </c>
    </row>
    <row r="429" spans="1:18" x14ac:dyDescent="0.25">
      <c r="A429" s="37" t="s">
        <v>566</v>
      </c>
      <c r="B429" s="37"/>
      <c r="C429" s="37" t="s">
        <v>34</v>
      </c>
      <c r="D429" s="37" t="s">
        <v>2582</v>
      </c>
      <c r="E429" s="38">
        <v>45554</v>
      </c>
      <c r="F429" s="38">
        <v>45919</v>
      </c>
      <c r="G429" s="37" t="s">
        <v>125</v>
      </c>
      <c r="H429" s="37" t="s">
        <v>60</v>
      </c>
      <c r="I429" s="39">
        <v>8800</v>
      </c>
      <c r="J429" s="39">
        <v>7155</v>
      </c>
      <c r="K429" s="43">
        <f t="shared" si="19"/>
        <v>2.5000000000000001E-2</v>
      </c>
      <c r="L429" s="37" t="s">
        <v>2149</v>
      </c>
      <c r="M429" s="40">
        <v>45554</v>
      </c>
      <c r="N429" s="33" t="s">
        <v>57</v>
      </c>
      <c r="O429" s="41">
        <v>352000</v>
      </c>
      <c r="P429" s="34">
        <f t="shared" si="20"/>
        <v>1073.25</v>
      </c>
      <c r="Q429" s="36">
        <f t="shared" si="18"/>
        <v>71.55</v>
      </c>
      <c r="R429" s="35">
        <v>500</v>
      </c>
    </row>
    <row r="430" spans="1:18" x14ac:dyDescent="0.25">
      <c r="A430" s="37" t="s">
        <v>567</v>
      </c>
      <c r="B430" s="37"/>
      <c r="C430" s="37" t="s">
        <v>34</v>
      </c>
      <c r="D430" s="37" t="s">
        <v>2582</v>
      </c>
      <c r="E430" s="38">
        <v>45554</v>
      </c>
      <c r="F430" s="38">
        <v>45919</v>
      </c>
      <c r="G430" s="37" t="s">
        <v>1419</v>
      </c>
      <c r="H430" s="37" t="s">
        <v>60</v>
      </c>
      <c r="I430" s="39">
        <v>8800</v>
      </c>
      <c r="J430" s="39">
        <v>7155</v>
      </c>
      <c r="K430" s="43">
        <f t="shared" si="19"/>
        <v>2.5000000000000001E-2</v>
      </c>
      <c r="L430" s="37" t="s">
        <v>2150</v>
      </c>
      <c r="M430" s="40">
        <v>45554</v>
      </c>
      <c r="N430" s="33" t="s">
        <v>57</v>
      </c>
      <c r="O430" s="41">
        <v>352000</v>
      </c>
      <c r="P430" s="34">
        <f t="shared" si="20"/>
        <v>1073.25</v>
      </c>
      <c r="Q430" s="36">
        <f t="shared" si="18"/>
        <v>71.55</v>
      </c>
      <c r="R430" s="35">
        <v>500</v>
      </c>
    </row>
    <row r="431" spans="1:18" x14ac:dyDescent="0.25">
      <c r="A431" s="37" t="s">
        <v>568</v>
      </c>
      <c r="B431" s="37"/>
      <c r="C431" s="37" t="s">
        <v>34</v>
      </c>
      <c r="D431" s="37" t="s">
        <v>2582</v>
      </c>
      <c r="E431" s="38">
        <v>45554</v>
      </c>
      <c r="F431" s="38">
        <v>45919</v>
      </c>
      <c r="G431" s="37" t="s">
        <v>1420</v>
      </c>
      <c r="H431" s="37" t="s">
        <v>60</v>
      </c>
      <c r="I431" s="39">
        <v>8800</v>
      </c>
      <c r="J431" s="39">
        <v>7155</v>
      </c>
      <c r="K431" s="43">
        <f t="shared" si="19"/>
        <v>2.5000000000000001E-2</v>
      </c>
      <c r="L431" s="37" t="s">
        <v>2151</v>
      </c>
      <c r="M431" s="40">
        <v>45554</v>
      </c>
      <c r="N431" s="33" t="s">
        <v>57</v>
      </c>
      <c r="O431" s="41">
        <v>352000</v>
      </c>
      <c r="P431" s="34">
        <f t="shared" si="20"/>
        <v>1073.25</v>
      </c>
      <c r="Q431" s="36">
        <f t="shared" si="18"/>
        <v>71.55</v>
      </c>
      <c r="R431" s="35">
        <v>500</v>
      </c>
    </row>
    <row r="432" spans="1:18" x14ac:dyDescent="0.25">
      <c r="A432" s="37" t="s">
        <v>569</v>
      </c>
      <c r="B432" s="37"/>
      <c r="C432" s="37" t="s">
        <v>69</v>
      </c>
      <c r="D432" s="37" t="s">
        <v>2582</v>
      </c>
      <c r="E432" s="38">
        <v>45554</v>
      </c>
      <c r="F432" s="38">
        <v>45919</v>
      </c>
      <c r="G432" s="37" t="s">
        <v>1421</v>
      </c>
      <c r="H432" s="37" t="s">
        <v>61</v>
      </c>
      <c r="I432" s="39">
        <v>9550</v>
      </c>
      <c r="J432" s="39">
        <v>7802</v>
      </c>
      <c r="K432" s="43">
        <f t="shared" si="19"/>
        <v>2.5000000000000001E-2</v>
      </c>
      <c r="L432" s="37" t="s">
        <v>2152</v>
      </c>
      <c r="M432" s="40">
        <v>45554</v>
      </c>
      <c r="N432" s="33" t="s">
        <v>57</v>
      </c>
      <c r="O432" s="41">
        <v>382000</v>
      </c>
      <c r="P432" s="34">
        <f t="shared" si="20"/>
        <v>1170.3</v>
      </c>
      <c r="Q432" s="36">
        <f t="shared" si="18"/>
        <v>78.02</v>
      </c>
      <c r="R432" s="35">
        <v>500</v>
      </c>
    </row>
    <row r="433" spans="1:18" x14ac:dyDescent="0.25">
      <c r="A433" s="37" t="s">
        <v>570</v>
      </c>
      <c r="B433" s="37"/>
      <c r="C433" s="37" t="s">
        <v>34</v>
      </c>
      <c r="D433" s="37" t="s">
        <v>2582</v>
      </c>
      <c r="E433" s="38">
        <v>45554</v>
      </c>
      <c r="F433" s="38">
        <v>45919</v>
      </c>
      <c r="G433" s="37" t="s">
        <v>1422</v>
      </c>
      <c r="H433" s="37" t="s">
        <v>60</v>
      </c>
      <c r="I433" s="39">
        <v>8800</v>
      </c>
      <c r="J433" s="39">
        <v>7155</v>
      </c>
      <c r="K433" s="43">
        <f t="shared" si="19"/>
        <v>2.5000000000000001E-2</v>
      </c>
      <c r="L433" s="37" t="s">
        <v>2153</v>
      </c>
      <c r="M433" s="40">
        <v>45554</v>
      </c>
      <c r="N433" s="33" t="s">
        <v>57</v>
      </c>
      <c r="O433" s="41">
        <v>352000</v>
      </c>
      <c r="P433" s="34">
        <f t="shared" si="20"/>
        <v>1073.25</v>
      </c>
      <c r="Q433" s="36">
        <f t="shared" si="18"/>
        <v>71.55</v>
      </c>
      <c r="R433" s="35">
        <v>500</v>
      </c>
    </row>
    <row r="434" spans="1:18" x14ac:dyDescent="0.25">
      <c r="A434" s="37" t="s">
        <v>571</v>
      </c>
      <c r="B434" s="37"/>
      <c r="C434" s="37" t="s">
        <v>34</v>
      </c>
      <c r="D434" s="37" t="s">
        <v>2582</v>
      </c>
      <c r="E434" s="38">
        <v>45554</v>
      </c>
      <c r="F434" s="38">
        <v>45919</v>
      </c>
      <c r="G434" s="37" t="s">
        <v>1423</v>
      </c>
      <c r="H434" s="37" t="s">
        <v>60</v>
      </c>
      <c r="I434" s="39">
        <v>8800</v>
      </c>
      <c r="J434" s="39">
        <v>7155</v>
      </c>
      <c r="K434" s="43">
        <f t="shared" si="19"/>
        <v>2.5000000000000001E-2</v>
      </c>
      <c r="L434" s="37" t="s">
        <v>2154</v>
      </c>
      <c r="M434" s="40">
        <v>45554</v>
      </c>
      <c r="N434" s="33" t="s">
        <v>57</v>
      </c>
      <c r="O434" s="41">
        <v>352000</v>
      </c>
      <c r="P434" s="34">
        <f t="shared" si="20"/>
        <v>1073.25</v>
      </c>
      <c r="Q434" s="36">
        <f t="shared" si="18"/>
        <v>71.55</v>
      </c>
      <c r="R434" s="35">
        <v>500</v>
      </c>
    </row>
    <row r="435" spans="1:18" x14ac:dyDescent="0.25">
      <c r="A435" s="37" t="s">
        <v>572</v>
      </c>
      <c r="B435" s="37"/>
      <c r="C435" s="37" t="s">
        <v>69</v>
      </c>
      <c r="D435" s="37" t="s">
        <v>2582</v>
      </c>
      <c r="E435" s="38">
        <v>45554</v>
      </c>
      <c r="F435" s="38">
        <v>45919</v>
      </c>
      <c r="G435" s="37" t="s">
        <v>1424</v>
      </c>
      <c r="H435" s="37" t="s">
        <v>61</v>
      </c>
      <c r="I435" s="39">
        <v>9550</v>
      </c>
      <c r="J435" s="39">
        <v>7802</v>
      </c>
      <c r="K435" s="43">
        <f t="shared" si="19"/>
        <v>2.5000000000000001E-2</v>
      </c>
      <c r="L435" s="37" t="s">
        <v>2155</v>
      </c>
      <c r="M435" s="40">
        <v>45554</v>
      </c>
      <c r="N435" s="33" t="s">
        <v>57</v>
      </c>
      <c r="O435" s="41">
        <v>382000</v>
      </c>
      <c r="P435" s="34">
        <f t="shared" si="20"/>
        <v>1170.3</v>
      </c>
      <c r="Q435" s="36">
        <f t="shared" si="18"/>
        <v>78.02</v>
      </c>
      <c r="R435" s="35">
        <v>500</v>
      </c>
    </row>
    <row r="436" spans="1:18" x14ac:dyDescent="0.25">
      <c r="A436" s="37" t="s">
        <v>573</v>
      </c>
      <c r="B436" s="37"/>
      <c r="C436" s="37" t="s">
        <v>34</v>
      </c>
      <c r="D436" s="37" t="s">
        <v>2582</v>
      </c>
      <c r="E436" s="38">
        <v>45554</v>
      </c>
      <c r="F436" s="38">
        <v>45919</v>
      </c>
      <c r="G436" s="37" t="s">
        <v>1425</v>
      </c>
      <c r="H436" s="37" t="s">
        <v>60</v>
      </c>
      <c r="I436" s="39">
        <v>8800</v>
      </c>
      <c r="J436" s="39">
        <v>7155</v>
      </c>
      <c r="K436" s="43">
        <f t="shared" si="19"/>
        <v>2.5000000000000001E-2</v>
      </c>
      <c r="L436" s="37" t="s">
        <v>2156</v>
      </c>
      <c r="M436" s="40">
        <v>45554</v>
      </c>
      <c r="N436" s="33" t="s">
        <v>57</v>
      </c>
      <c r="O436" s="41">
        <v>352000</v>
      </c>
      <c r="P436" s="34">
        <f t="shared" si="20"/>
        <v>1073.25</v>
      </c>
      <c r="Q436" s="36">
        <f t="shared" si="18"/>
        <v>71.55</v>
      </c>
      <c r="R436" s="35">
        <v>500</v>
      </c>
    </row>
    <row r="437" spans="1:18" x14ac:dyDescent="0.25">
      <c r="A437" s="37" t="s">
        <v>574</v>
      </c>
      <c r="B437" s="37"/>
      <c r="C437" s="37" t="s">
        <v>69</v>
      </c>
      <c r="D437" s="37" t="s">
        <v>2582</v>
      </c>
      <c r="E437" s="38">
        <v>45554</v>
      </c>
      <c r="F437" s="38">
        <v>45919</v>
      </c>
      <c r="G437" s="37" t="s">
        <v>1426</v>
      </c>
      <c r="H437" s="37" t="s">
        <v>60</v>
      </c>
      <c r="I437" s="39">
        <v>8800</v>
      </c>
      <c r="J437" s="39">
        <v>7155</v>
      </c>
      <c r="K437" s="43">
        <f t="shared" si="19"/>
        <v>2.5000000000000001E-2</v>
      </c>
      <c r="L437" s="37" t="s">
        <v>2157</v>
      </c>
      <c r="M437" s="40">
        <v>45554</v>
      </c>
      <c r="N437" s="33" t="s">
        <v>57</v>
      </c>
      <c r="O437" s="41">
        <v>352000</v>
      </c>
      <c r="P437" s="34">
        <f t="shared" si="20"/>
        <v>1073.25</v>
      </c>
      <c r="Q437" s="36">
        <f t="shared" si="18"/>
        <v>71.55</v>
      </c>
      <c r="R437" s="35">
        <v>500</v>
      </c>
    </row>
    <row r="438" spans="1:18" x14ac:dyDescent="0.25">
      <c r="A438" s="37" t="s">
        <v>575</v>
      </c>
      <c r="B438" s="37"/>
      <c r="C438" s="37" t="s">
        <v>34</v>
      </c>
      <c r="D438" s="37" t="s">
        <v>2582</v>
      </c>
      <c r="E438" s="38">
        <v>45554</v>
      </c>
      <c r="F438" s="38">
        <v>45919</v>
      </c>
      <c r="G438" s="37" t="s">
        <v>1427</v>
      </c>
      <c r="H438" s="37" t="s">
        <v>60</v>
      </c>
      <c r="I438" s="39">
        <v>8800</v>
      </c>
      <c r="J438" s="39">
        <v>7155</v>
      </c>
      <c r="K438" s="43">
        <f t="shared" si="19"/>
        <v>2.5000000000000001E-2</v>
      </c>
      <c r="L438" s="37" t="s">
        <v>2158</v>
      </c>
      <c r="M438" s="40">
        <v>45554</v>
      </c>
      <c r="N438" s="33" t="s">
        <v>57</v>
      </c>
      <c r="O438" s="41">
        <v>352000</v>
      </c>
      <c r="P438" s="34">
        <f t="shared" si="20"/>
        <v>1073.25</v>
      </c>
      <c r="Q438" s="36">
        <f t="shared" si="18"/>
        <v>71.55</v>
      </c>
      <c r="R438" s="35">
        <v>500</v>
      </c>
    </row>
    <row r="439" spans="1:18" x14ac:dyDescent="0.25">
      <c r="A439" s="37" t="s">
        <v>576</v>
      </c>
      <c r="B439" s="37"/>
      <c r="C439" s="37" t="s">
        <v>34</v>
      </c>
      <c r="D439" s="37" t="s">
        <v>2582</v>
      </c>
      <c r="E439" s="38">
        <v>45554</v>
      </c>
      <c r="F439" s="38">
        <v>45919</v>
      </c>
      <c r="G439" s="37" t="s">
        <v>1428</v>
      </c>
      <c r="H439" s="37" t="s">
        <v>60</v>
      </c>
      <c r="I439" s="39">
        <v>8800</v>
      </c>
      <c r="J439" s="39">
        <v>7155</v>
      </c>
      <c r="K439" s="43">
        <f t="shared" si="19"/>
        <v>2.5000000000000001E-2</v>
      </c>
      <c r="L439" s="37" t="s">
        <v>2159</v>
      </c>
      <c r="M439" s="40">
        <v>45554</v>
      </c>
      <c r="N439" s="33" t="s">
        <v>57</v>
      </c>
      <c r="O439" s="41">
        <v>352000</v>
      </c>
      <c r="P439" s="34">
        <f t="shared" si="20"/>
        <v>1073.25</v>
      </c>
      <c r="Q439" s="36">
        <f t="shared" si="18"/>
        <v>71.55</v>
      </c>
      <c r="R439" s="35">
        <v>500</v>
      </c>
    </row>
    <row r="440" spans="1:18" x14ac:dyDescent="0.25">
      <c r="A440" s="37" t="s">
        <v>577</v>
      </c>
      <c r="B440" s="37"/>
      <c r="C440" s="37" t="s">
        <v>69</v>
      </c>
      <c r="D440" s="37" t="s">
        <v>2582</v>
      </c>
      <c r="E440" s="38">
        <v>45554</v>
      </c>
      <c r="F440" s="38">
        <v>45919</v>
      </c>
      <c r="G440" s="37" t="s">
        <v>1429</v>
      </c>
      <c r="H440" s="37" t="s">
        <v>61</v>
      </c>
      <c r="I440" s="39">
        <v>9550</v>
      </c>
      <c r="J440" s="39">
        <v>7802</v>
      </c>
      <c r="K440" s="43">
        <f t="shared" si="19"/>
        <v>2.5000000000000001E-2</v>
      </c>
      <c r="L440" s="37" t="s">
        <v>2160</v>
      </c>
      <c r="M440" s="40">
        <v>45554</v>
      </c>
      <c r="N440" s="33" t="s">
        <v>57</v>
      </c>
      <c r="O440" s="41">
        <v>382000</v>
      </c>
      <c r="P440" s="34">
        <f t="shared" si="20"/>
        <v>1170.3</v>
      </c>
      <c r="Q440" s="36">
        <f t="shared" si="18"/>
        <v>78.02</v>
      </c>
      <c r="R440" s="35">
        <v>500</v>
      </c>
    </row>
    <row r="441" spans="1:18" x14ac:dyDescent="0.25">
      <c r="A441" s="37" t="s">
        <v>578</v>
      </c>
      <c r="B441" s="37"/>
      <c r="C441" s="37" t="s">
        <v>34</v>
      </c>
      <c r="D441" s="37" t="s">
        <v>2582</v>
      </c>
      <c r="E441" s="38">
        <v>45554</v>
      </c>
      <c r="F441" s="38">
        <v>45919</v>
      </c>
      <c r="G441" s="37" t="s">
        <v>1430</v>
      </c>
      <c r="H441" s="37" t="s">
        <v>63</v>
      </c>
      <c r="I441" s="39">
        <v>12475</v>
      </c>
      <c r="J441" s="39">
        <v>10323</v>
      </c>
      <c r="K441" s="43">
        <f t="shared" si="19"/>
        <v>2.5000000000000001E-2</v>
      </c>
      <c r="L441" s="37" t="s">
        <v>2161</v>
      </c>
      <c r="M441" s="40">
        <v>45554</v>
      </c>
      <c r="N441" s="33" t="s">
        <v>57</v>
      </c>
      <c r="O441" s="41">
        <v>499000</v>
      </c>
      <c r="P441" s="34">
        <f t="shared" si="20"/>
        <v>1548.45</v>
      </c>
      <c r="Q441" s="36">
        <f t="shared" si="18"/>
        <v>103.23</v>
      </c>
      <c r="R441" s="35">
        <v>500</v>
      </c>
    </row>
    <row r="442" spans="1:18" x14ac:dyDescent="0.25">
      <c r="A442" s="37" t="s">
        <v>579</v>
      </c>
      <c r="B442" s="37"/>
      <c r="C442" s="37" t="s">
        <v>34</v>
      </c>
      <c r="D442" s="37" t="s">
        <v>2582</v>
      </c>
      <c r="E442" s="38">
        <v>45554</v>
      </c>
      <c r="F442" s="38">
        <v>45919</v>
      </c>
      <c r="G442" s="37" t="s">
        <v>1431</v>
      </c>
      <c r="H442" s="37" t="s">
        <v>60</v>
      </c>
      <c r="I442" s="39">
        <v>8800</v>
      </c>
      <c r="J442" s="39">
        <v>7155</v>
      </c>
      <c r="K442" s="43">
        <f t="shared" si="19"/>
        <v>2.5000000000000001E-2</v>
      </c>
      <c r="L442" s="37" t="s">
        <v>2162</v>
      </c>
      <c r="M442" s="40">
        <v>45554</v>
      </c>
      <c r="N442" s="33" t="s">
        <v>57</v>
      </c>
      <c r="O442" s="41">
        <v>352000</v>
      </c>
      <c r="P442" s="34">
        <f t="shared" si="20"/>
        <v>1073.25</v>
      </c>
      <c r="Q442" s="36">
        <f t="shared" si="18"/>
        <v>71.55</v>
      </c>
      <c r="R442" s="35">
        <v>500</v>
      </c>
    </row>
    <row r="443" spans="1:18" x14ac:dyDescent="0.25">
      <c r="A443" s="37" t="s">
        <v>580</v>
      </c>
      <c r="B443" s="37"/>
      <c r="C443" s="37" t="s">
        <v>69</v>
      </c>
      <c r="D443" s="37" t="s">
        <v>2582</v>
      </c>
      <c r="E443" s="38">
        <v>45554</v>
      </c>
      <c r="F443" s="38">
        <v>45919</v>
      </c>
      <c r="G443" s="37" t="s">
        <v>56</v>
      </c>
      <c r="H443" s="37" t="s">
        <v>61</v>
      </c>
      <c r="I443" s="39">
        <v>9550</v>
      </c>
      <c r="J443" s="39">
        <v>7802</v>
      </c>
      <c r="K443" s="43">
        <f t="shared" si="19"/>
        <v>2.5000000000000001E-2</v>
      </c>
      <c r="L443" s="37" t="s">
        <v>2163</v>
      </c>
      <c r="M443" s="40">
        <v>45554</v>
      </c>
      <c r="N443" s="33" t="s">
        <v>57</v>
      </c>
      <c r="O443" s="41">
        <v>382000</v>
      </c>
      <c r="P443" s="34">
        <f t="shared" si="20"/>
        <v>1170.3</v>
      </c>
      <c r="Q443" s="36">
        <f t="shared" si="18"/>
        <v>78.02</v>
      </c>
      <c r="R443" s="35">
        <v>500</v>
      </c>
    </row>
    <row r="444" spans="1:18" x14ac:dyDescent="0.25">
      <c r="A444" s="37" t="s">
        <v>581</v>
      </c>
      <c r="B444" s="37"/>
      <c r="C444" s="37" t="s">
        <v>37</v>
      </c>
      <c r="D444" s="37" t="s">
        <v>2582</v>
      </c>
      <c r="E444" s="38">
        <v>45554</v>
      </c>
      <c r="F444" s="38">
        <v>45919</v>
      </c>
      <c r="G444" s="37" t="s">
        <v>1432</v>
      </c>
      <c r="H444" s="37" t="s">
        <v>60</v>
      </c>
      <c r="I444" s="39">
        <v>8800</v>
      </c>
      <c r="J444" s="39">
        <v>7155</v>
      </c>
      <c r="K444" s="43">
        <f t="shared" si="19"/>
        <v>2.5000000000000001E-2</v>
      </c>
      <c r="L444" s="37" t="s">
        <v>2164</v>
      </c>
      <c r="M444" s="40">
        <v>45554</v>
      </c>
      <c r="N444" s="33" t="s">
        <v>57</v>
      </c>
      <c r="O444" s="41">
        <v>352000</v>
      </c>
      <c r="P444" s="34">
        <f t="shared" si="20"/>
        <v>1073.25</v>
      </c>
      <c r="Q444" s="36">
        <f t="shared" si="18"/>
        <v>71.55</v>
      </c>
      <c r="R444" s="35">
        <v>500</v>
      </c>
    </row>
    <row r="445" spans="1:18" x14ac:dyDescent="0.25">
      <c r="A445" s="37" t="s">
        <v>582</v>
      </c>
      <c r="B445" s="37"/>
      <c r="C445" s="37" t="s">
        <v>34</v>
      </c>
      <c r="D445" s="37" t="s">
        <v>2582</v>
      </c>
      <c r="E445" s="38">
        <v>45554</v>
      </c>
      <c r="F445" s="38">
        <v>45919</v>
      </c>
      <c r="G445" s="37" t="s">
        <v>1433</v>
      </c>
      <c r="H445" s="37" t="s">
        <v>60</v>
      </c>
      <c r="I445" s="39">
        <v>8800</v>
      </c>
      <c r="J445" s="39">
        <v>7155</v>
      </c>
      <c r="K445" s="43">
        <f t="shared" si="19"/>
        <v>2.5000000000000001E-2</v>
      </c>
      <c r="L445" s="37" t="s">
        <v>2165</v>
      </c>
      <c r="M445" s="40">
        <v>45554</v>
      </c>
      <c r="N445" s="33" t="s">
        <v>57</v>
      </c>
      <c r="O445" s="41">
        <v>352000</v>
      </c>
      <c r="P445" s="34">
        <f t="shared" si="20"/>
        <v>1073.25</v>
      </c>
      <c r="Q445" s="36">
        <f t="shared" si="18"/>
        <v>71.55</v>
      </c>
      <c r="R445" s="35">
        <v>500</v>
      </c>
    </row>
    <row r="446" spans="1:18" x14ac:dyDescent="0.25">
      <c r="A446" s="37" t="s">
        <v>583</v>
      </c>
      <c r="B446" s="37"/>
      <c r="C446" s="37" t="s">
        <v>35</v>
      </c>
      <c r="D446" s="37" t="s">
        <v>36</v>
      </c>
      <c r="E446" s="38">
        <v>45554</v>
      </c>
      <c r="F446" s="38">
        <v>45919</v>
      </c>
      <c r="G446" s="37" t="s">
        <v>1434</v>
      </c>
      <c r="H446" s="37" t="s">
        <v>61</v>
      </c>
      <c r="I446" s="39">
        <v>16235</v>
      </c>
      <c r="J446" s="39">
        <v>13565</v>
      </c>
      <c r="K446" s="43">
        <f t="shared" si="19"/>
        <v>4.2500000000000003E-2</v>
      </c>
      <c r="L446" s="37" t="s">
        <v>2166</v>
      </c>
      <c r="M446" s="40">
        <v>45554</v>
      </c>
      <c r="N446" s="33" t="s">
        <v>57</v>
      </c>
      <c r="O446" s="41">
        <v>382000</v>
      </c>
      <c r="P446" s="34">
        <f t="shared" si="20"/>
        <v>2034.75</v>
      </c>
      <c r="Q446" s="36">
        <f t="shared" si="18"/>
        <v>135.65</v>
      </c>
      <c r="R446" s="35">
        <v>500</v>
      </c>
    </row>
    <row r="447" spans="1:18" x14ac:dyDescent="0.25">
      <c r="A447" s="37" t="s">
        <v>584</v>
      </c>
      <c r="B447" s="37"/>
      <c r="C447" s="37" t="s">
        <v>35</v>
      </c>
      <c r="D447" s="37" t="s">
        <v>36</v>
      </c>
      <c r="E447" s="38">
        <v>45920</v>
      </c>
      <c r="F447" s="38">
        <v>46285</v>
      </c>
      <c r="G447" s="37" t="s">
        <v>1434</v>
      </c>
      <c r="H447" s="37" t="s">
        <v>61</v>
      </c>
      <c r="I447" s="39">
        <v>16235</v>
      </c>
      <c r="J447" s="39">
        <v>13565</v>
      </c>
      <c r="K447" s="43">
        <f t="shared" si="19"/>
        <v>4.2500000000000003E-2</v>
      </c>
      <c r="L447" s="37" t="s">
        <v>2166</v>
      </c>
      <c r="M447" s="40">
        <v>45554</v>
      </c>
      <c r="N447" s="33" t="s">
        <v>57</v>
      </c>
      <c r="O447" s="41">
        <v>382000</v>
      </c>
      <c r="P447" s="34">
        <f t="shared" si="20"/>
        <v>2034.75</v>
      </c>
      <c r="Q447" s="36">
        <f t="shared" si="18"/>
        <v>135.65</v>
      </c>
      <c r="R447" s="35">
        <v>500</v>
      </c>
    </row>
    <row r="448" spans="1:18" x14ac:dyDescent="0.25">
      <c r="A448" s="37" t="s">
        <v>585</v>
      </c>
      <c r="B448" s="37"/>
      <c r="C448" s="37" t="s">
        <v>37</v>
      </c>
      <c r="D448" s="37" t="s">
        <v>2582</v>
      </c>
      <c r="E448" s="38">
        <v>45554</v>
      </c>
      <c r="F448" s="38">
        <v>45919</v>
      </c>
      <c r="G448" s="37" t="s">
        <v>1435</v>
      </c>
      <c r="H448" s="37" t="s">
        <v>60</v>
      </c>
      <c r="I448" s="39">
        <v>8800</v>
      </c>
      <c r="J448" s="39">
        <v>7155</v>
      </c>
      <c r="K448" s="43">
        <f t="shared" si="19"/>
        <v>2.5000000000000001E-2</v>
      </c>
      <c r="L448" s="37" t="s">
        <v>2167</v>
      </c>
      <c r="M448" s="40">
        <v>45554</v>
      </c>
      <c r="N448" s="33" t="s">
        <v>57</v>
      </c>
      <c r="O448" s="41">
        <v>352000</v>
      </c>
      <c r="P448" s="34">
        <f t="shared" si="20"/>
        <v>1073.25</v>
      </c>
      <c r="Q448" s="36">
        <f t="shared" si="18"/>
        <v>71.55</v>
      </c>
      <c r="R448" s="35">
        <v>500</v>
      </c>
    </row>
    <row r="449" spans="1:18" x14ac:dyDescent="0.25">
      <c r="A449" s="37" t="s">
        <v>586</v>
      </c>
      <c r="B449" s="37"/>
      <c r="C449" s="37" t="s">
        <v>34</v>
      </c>
      <c r="D449" s="37" t="s">
        <v>2582</v>
      </c>
      <c r="E449" s="38">
        <v>45554</v>
      </c>
      <c r="F449" s="38">
        <v>45919</v>
      </c>
      <c r="G449" s="37" t="s">
        <v>126</v>
      </c>
      <c r="H449" s="37" t="s">
        <v>60</v>
      </c>
      <c r="I449" s="39">
        <v>8800</v>
      </c>
      <c r="J449" s="39">
        <v>7155</v>
      </c>
      <c r="K449" s="43">
        <f t="shared" si="19"/>
        <v>2.5000000000000001E-2</v>
      </c>
      <c r="L449" s="37" t="s">
        <v>2168</v>
      </c>
      <c r="M449" s="40">
        <v>45554</v>
      </c>
      <c r="N449" s="33" t="s">
        <v>57</v>
      </c>
      <c r="O449" s="41">
        <v>352000</v>
      </c>
      <c r="P449" s="34">
        <f t="shared" si="20"/>
        <v>1073.25</v>
      </c>
      <c r="Q449" s="36">
        <f t="shared" si="18"/>
        <v>71.55</v>
      </c>
      <c r="R449" s="35">
        <v>500</v>
      </c>
    </row>
    <row r="450" spans="1:18" x14ac:dyDescent="0.25">
      <c r="A450" s="37" t="s">
        <v>587</v>
      </c>
      <c r="B450" s="37"/>
      <c r="C450" s="37" t="s">
        <v>34</v>
      </c>
      <c r="D450" s="37" t="s">
        <v>2582</v>
      </c>
      <c r="E450" s="38">
        <v>45554</v>
      </c>
      <c r="F450" s="38">
        <v>45919</v>
      </c>
      <c r="G450" s="37" t="s">
        <v>77</v>
      </c>
      <c r="H450" s="37" t="s">
        <v>63</v>
      </c>
      <c r="I450" s="39">
        <v>12475</v>
      </c>
      <c r="J450" s="39">
        <v>10323</v>
      </c>
      <c r="K450" s="43">
        <f t="shared" si="19"/>
        <v>2.5000000000000001E-2</v>
      </c>
      <c r="L450" s="37" t="s">
        <v>2169</v>
      </c>
      <c r="M450" s="40">
        <v>45554</v>
      </c>
      <c r="N450" s="33" t="s">
        <v>57</v>
      </c>
      <c r="O450" s="41">
        <v>499000</v>
      </c>
      <c r="P450" s="34">
        <f t="shared" si="20"/>
        <v>1548.45</v>
      </c>
      <c r="Q450" s="36">
        <f t="shared" si="18"/>
        <v>103.23</v>
      </c>
      <c r="R450" s="35">
        <v>500</v>
      </c>
    </row>
    <row r="451" spans="1:18" x14ac:dyDescent="0.25">
      <c r="A451" s="37" t="s">
        <v>588</v>
      </c>
      <c r="B451" s="37"/>
      <c r="C451" s="37" t="s">
        <v>34</v>
      </c>
      <c r="D451" s="37" t="s">
        <v>2582</v>
      </c>
      <c r="E451" s="38">
        <v>45554</v>
      </c>
      <c r="F451" s="38">
        <v>45919</v>
      </c>
      <c r="G451" s="37" t="s">
        <v>1436</v>
      </c>
      <c r="H451" s="37" t="s">
        <v>60</v>
      </c>
      <c r="I451" s="39">
        <v>8800</v>
      </c>
      <c r="J451" s="39">
        <v>7155</v>
      </c>
      <c r="K451" s="43">
        <f t="shared" si="19"/>
        <v>2.5000000000000001E-2</v>
      </c>
      <c r="L451" s="37" t="s">
        <v>2170</v>
      </c>
      <c r="M451" s="40">
        <v>45554</v>
      </c>
      <c r="N451" s="33" t="s">
        <v>57</v>
      </c>
      <c r="O451" s="41">
        <v>352000</v>
      </c>
      <c r="P451" s="34">
        <f t="shared" si="20"/>
        <v>1073.25</v>
      </c>
      <c r="Q451" s="36">
        <f t="shared" ref="Q451:Q514" si="21">J451*1/100</f>
        <v>71.55</v>
      </c>
      <c r="R451" s="35">
        <v>500</v>
      </c>
    </row>
    <row r="452" spans="1:18" x14ac:dyDescent="0.25">
      <c r="A452" s="37" t="s">
        <v>589</v>
      </c>
      <c r="B452" s="37"/>
      <c r="C452" s="37" t="s">
        <v>34</v>
      </c>
      <c r="D452" s="37" t="s">
        <v>2582</v>
      </c>
      <c r="E452" s="38">
        <v>45554</v>
      </c>
      <c r="F452" s="38">
        <v>45919</v>
      </c>
      <c r="G452" s="37" t="s">
        <v>1437</v>
      </c>
      <c r="H452" s="37" t="s">
        <v>60</v>
      </c>
      <c r="I452" s="39">
        <v>8800</v>
      </c>
      <c r="J452" s="39">
        <v>7155</v>
      </c>
      <c r="K452" s="43">
        <f t="shared" ref="K452:K515" si="22">I452/O452</f>
        <v>2.5000000000000001E-2</v>
      </c>
      <c r="L452" s="37" t="s">
        <v>2171</v>
      </c>
      <c r="M452" s="40">
        <v>45554</v>
      </c>
      <c r="N452" s="33" t="s">
        <v>57</v>
      </c>
      <c r="O452" s="41">
        <v>352000</v>
      </c>
      <c r="P452" s="34">
        <f t="shared" ref="P452:P515" si="23">J452*15/100</f>
        <v>1073.25</v>
      </c>
      <c r="Q452" s="36">
        <f t="shared" si="21"/>
        <v>71.55</v>
      </c>
      <c r="R452" s="35">
        <v>500</v>
      </c>
    </row>
    <row r="453" spans="1:18" x14ac:dyDescent="0.25">
      <c r="A453" s="37" t="s">
        <v>590</v>
      </c>
      <c r="B453" s="37"/>
      <c r="C453" s="37" t="s">
        <v>34</v>
      </c>
      <c r="D453" s="37" t="s">
        <v>2582</v>
      </c>
      <c r="E453" s="38">
        <v>45554</v>
      </c>
      <c r="F453" s="38">
        <v>45919</v>
      </c>
      <c r="G453" s="37" t="s">
        <v>1438</v>
      </c>
      <c r="H453" s="37" t="s">
        <v>60</v>
      </c>
      <c r="I453" s="39">
        <v>8800</v>
      </c>
      <c r="J453" s="39">
        <v>7155</v>
      </c>
      <c r="K453" s="43">
        <f t="shared" si="22"/>
        <v>2.5000000000000001E-2</v>
      </c>
      <c r="L453" s="37" t="s">
        <v>2172</v>
      </c>
      <c r="M453" s="40">
        <v>45554</v>
      </c>
      <c r="N453" s="33" t="s">
        <v>57</v>
      </c>
      <c r="O453" s="41">
        <v>352000</v>
      </c>
      <c r="P453" s="34">
        <f t="shared" si="23"/>
        <v>1073.25</v>
      </c>
      <c r="Q453" s="36">
        <f t="shared" si="21"/>
        <v>71.55</v>
      </c>
      <c r="R453" s="35">
        <v>500</v>
      </c>
    </row>
    <row r="454" spans="1:18" x14ac:dyDescent="0.25">
      <c r="A454" s="37" t="s">
        <v>591</v>
      </c>
      <c r="B454" s="37"/>
      <c r="C454" s="37" t="s">
        <v>37</v>
      </c>
      <c r="D454" s="37" t="s">
        <v>2582</v>
      </c>
      <c r="E454" s="38">
        <v>45554</v>
      </c>
      <c r="F454" s="38">
        <v>45919</v>
      </c>
      <c r="G454" s="37" t="s">
        <v>1439</v>
      </c>
      <c r="H454" s="37" t="s">
        <v>60</v>
      </c>
      <c r="I454" s="39">
        <v>8800</v>
      </c>
      <c r="J454" s="39">
        <v>7155</v>
      </c>
      <c r="K454" s="43">
        <f t="shared" si="22"/>
        <v>2.5000000000000001E-2</v>
      </c>
      <c r="L454" s="37" t="s">
        <v>2173</v>
      </c>
      <c r="M454" s="40">
        <v>45554</v>
      </c>
      <c r="N454" s="33" t="s">
        <v>57</v>
      </c>
      <c r="O454" s="41">
        <v>352000</v>
      </c>
      <c r="P454" s="34">
        <f t="shared" si="23"/>
        <v>1073.25</v>
      </c>
      <c r="Q454" s="36">
        <f t="shared" si="21"/>
        <v>71.55</v>
      </c>
      <c r="R454" s="35">
        <v>500</v>
      </c>
    </row>
    <row r="455" spans="1:18" x14ac:dyDescent="0.25">
      <c r="A455" s="37" t="s">
        <v>592</v>
      </c>
      <c r="B455" s="37"/>
      <c r="C455" s="37" t="s">
        <v>34</v>
      </c>
      <c r="D455" s="37" t="s">
        <v>2582</v>
      </c>
      <c r="E455" s="38">
        <v>45554</v>
      </c>
      <c r="F455" s="38">
        <v>45919</v>
      </c>
      <c r="G455" s="37" t="s">
        <v>1440</v>
      </c>
      <c r="H455" s="37" t="s">
        <v>60</v>
      </c>
      <c r="I455" s="39">
        <v>8800</v>
      </c>
      <c r="J455" s="39">
        <v>7155</v>
      </c>
      <c r="K455" s="43">
        <f t="shared" si="22"/>
        <v>2.5000000000000001E-2</v>
      </c>
      <c r="L455" s="37" t="s">
        <v>2174</v>
      </c>
      <c r="M455" s="40">
        <v>45554</v>
      </c>
      <c r="N455" s="33" t="s">
        <v>57</v>
      </c>
      <c r="O455" s="41">
        <v>352000</v>
      </c>
      <c r="P455" s="34">
        <f t="shared" si="23"/>
        <v>1073.25</v>
      </c>
      <c r="Q455" s="36">
        <f t="shared" si="21"/>
        <v>71.55</v>
      </c>
      <c r="R455" s="35">
        <v>500</v>
      </c>
    </row>
    <row r="456" spans="1:18" x14ac:dyDescent="0.25">
      <c r="A456" s="37" t="s">
        <v>593</v>
      </c>
      <c r="B456" s="37"/>
      <c r="C456" s="37" t="s">
        <v>34</v>
      </c>
      <c r="D456" s="37" t="s">
        <v>2582</v>
      </c>
      <c r="E456" s="38">
        <v>45554</v>
      </c>
      <c r="F456" s="38">
        <v>45919</v>
      </c>
      <c r="G456" s="37" t="s">
        <v>1441</v>
      </c>
      <c r="H456" s="37" t="s">
        <v>63</v>
      </c>
      <c r="I456" s="39">
        <v>12475</v>
      </c>
      <c r="J456" s="39">
        <v>10323</v>
      </c>
      <c r="K456" s="43">
        <f t="shared" si="22"/>
        <v>2.5000000000000001E-2</v>
      </c>
      <c r="L456" s="37" t="s">
        <v>2175</v>
      </c>
      <c r="M456" s="40">
        <v>45554</v>
      </c>
      <c r="N456" s="33" t="s">
        <v>57</v>
      </c>
      <c r="O456" s="41">
        <v>499000</v>
      </c>
      <c r="P456" s="34">
        <f t="shared" si="23"/>
        <v>1548.45</v>
      </c>
      <c r="Q456" s="36">
        <f t="shared" si="21"/>
        <v>103.23</v>
      </c>
      <c r="R456" s="35">
        <v>500</v>
      </c>
    </row>
    <row r="457" spans="1:18" x14ac:dyDescent="0.25">
      <c r="A457" s="37" t="s">
        <v>594</v>
      </c>
      <c r="B457" s="37"/>
      <c r="C457" s="37" t="s">
        <v>69</v>
      </c>
      <c r="D457" s="37" t="s">
        <v>2582</v>
      </c>
      <c r="E457" s="38">
        <v>45554</v>
      </c>
      <c r="F457" s="38">
        <v>45919</v>
      </c>
      <c r="G457" s="37" t="s">
        <v>1442</v>
      </c>
      <c r="H457" s="37" t="s">
        <v>63</v>
      </c>
      <c r="I457" s="39">
        <v>12475</v>
      </c>
      <c r="J457" s="39">
        <v>10323</v>
      </c>
      <c r="K457" s="43">
        <f t="shared" si="22"/>
        <v>2.5000000000000001E-2</v>
      </c>
      <c r="L457" s="37" t="s">
        <v>2176</v>
      </c>
      <c r="M457" s="40">
        <v>45554</v>
      </c>
      <c r="N457" s="33" t="s">
        <v>57</v>
      </c>
      <c r="O457" s="41">
        <v>499000</v>
      </c>
      <c r="P457" s="34">
        <f t="shared" si="23"/>
        <v>1548.45</v>
      </c>
      <c r="Q457" s="36">
        <f t="shared" si="21"/>
        <v>103.23</v>
      </c>
      <c r="R457" s="35">
        <v>500</v>
      </c>
    </row>
    <row r="458" spans="1:18" x14ac:dyDescent="0.25">
      <c r="A458" s="37" t="s">
        <v>595</v>
      </c>
      <c r="B458" s="37"/>
      <c r="C458" s="37" t="s">
        <v>69</v>
      </c>
      <c r="D458" s="37" t="s">
        <v>2582</v>
      </c>
      <c r="E458" s="38">
        <v>45554</v>
      </c>
      <c r="F458" s="38">
        <v>45919</v>
      </c>
      <c r="G458" s="37" t="s">
        <v>1443</v>
      </c>
      <c r="H458" s="37" t="s">
        <v>62</v>
      </c>
      <c r="I458" s="39">
        <v>13675</v>
      </c>
      <c r="J458" s="39">
        <v>11358</v>
      </c>
      <c r="K458" s="43">
        <f t="shared" si="22"/>
        <v>2.5000000000000001E-2</v>
      </c>
      <c r="L458" s="37" t="s">
        <v>2177</v>
      </c>
      <c r="M458" s="40">
        <v>45554</v>
      </c>
      <c r="N458" s="33" t="s">
        <v>57</v>
      </c>
      <c r="O458" s="41">
        <v>547000</v>
      </c>
      <c r="P458" s="34">
        <f t="shared" si="23"/>
        <v>1703.7</v>
      </c>
      <c r="Q458" s="36">
        <f t="shared" si="21"/>
        <v>113.58</v>
      </c>
      <c r="R458" s="35">
        <v>500</v>
      </c>
    </row>
    <row r="459" spans="1:18" x14ac:dyDescent="0.25">
      <c r="A459" s="37" t="s">
        <v>596</v>
      </c>
      <c r="B459" s="37"/>
      <c r="C459" s="37" t="s">
        <v>31</v>
      </c>
      <c r="D459" s="37" t="s">
        <v>36</v>
      </c>
      <c r="E459" s="38">
        <v>45554</v>
      </c>
      <c r="F459" s="38">
        <v>45919</v>
      </c>
      <c r="G459" s="37" t="s">
        <v>1444</v>
      </c>
      <c r="H459" s="37" t="s">
        <v>60</v>
      </c>
      <c r="I459" s="39">
        <v>14960</v>
      </c>
      <c r="J459" s="39">
        <v>12466</v>
      </c>
      <c r="K459" s="43">
        <f t="shared" si="22"/>
        <v>4.2500000000000003E-2</v>
      </c>
      <c r="L459" s="37" t="s">
        <v>2178</v>
      </c>
      <c r="M459" s="40">
        <v>45554</v>
      </c>
      <c r="N459" s="33" t="s">
        <v>57</v>
      </c>
      <c r="O459" s="41">
        <v>352000</v>
      </c>
      <c r="P459" s="34">
        <f t="shared" si="23"/>
        <v>1869.9</v>
      </c>
      <c r="Q459" s="36">
        <f t="shared" si="21"/>
        <v>124.66</v>
      </c>
      <c r="R459" s="35">
        <v>500</v>
      </c>
    </row>
    <row r="460" spans="1:18" x14ac:dyDescent="0.25">
      <c r="A460" s="37" t="s">
        <v>597</v>
      </c>
      <c r="B460" s="37"/>
      <c r="C460" s="37" t="s">
        <v>31</v>
      </c>
      <c r="D460" s="37" t="s">
        <v>36</v>
      </c>
      <c r="E460" s="38">
        <v>45920</v>
      </c>
      <c r="F460" s="38">
        <v>46285</v>
      </c>
      <c r="G460" s="37" t="s">
        <v>1444</v>
      </c>
      <c r="H460" s="37" t="s">
        <v>60</v>
      </c>
      <c r="I460" s="39">
        <v>14960</v>
      </c>
      <c r="J460" s="39">
        <v>12466</v>
      </c>
      <c r="K460" s="43">
        <f t="shared" si="22"/>
        <v>4.2500000000000003E-2</v>
      </c>
      <c r="L460" s="37" t="s">
        <v>2178</v>
      </c>
      <c r="M460" s="40">
        <v>45554</v>
      </c>
      <c r="N460" s="33" t="s">
        <v>57</v>
      </c>
      <c r="O460" s="41">
        <v>352000</v>
      </c>
      <c r="P460" s="34">
        <f t="shared" si="23"/>
        <v>1869.9</v>
      </c>
      <c r="Q460" s="36">
        <f t="shared" si="21"/>
        <v>124.66</v>
      </c>
      <c r="R460" s="35">
        <v>500</v>
      </c>
    </row>
    <row r="461" spans="1:18" x14ac:dyDescent="0.25">
      <c r="A461" s="37" t="s">
        <v>598</v>
      </c>
      <c r="B461" s="37"/>
      <c r="C461" s="37" t="s">
        <v>34</v>
      </c>
      <c r="D461" s="37" t="s">
        <v>2582</v>
      </c>
      <c r="E461" s="38">
        <v>45554</v>
      </c>
      <c r="F461" s="38">
        <v>45919</v>
      </c>
      <c r="G461" s="37" t="s">
        <v>1445</v>
      </c>
      <c r="H461" s="37" t="s">
        <v>63</v>
      </c>
      <c r="I461" s="39">
        <v>12475</v>
      </c>
      <c r="J461" s="39">
        <v>10323</v>
      </c>
      <c r="K461" s="43">
        <f t="shared" si="22"/>
        <v>2.5000000000000001E-2</v>
      </c>
      <c r="L461" s="37" t="s">
        <v>2179</v>
      </c>
      <c r="M461" s="40">
        <v>45554</v>
      </c>
      <c r="N461" s="33" t="s">
        <v>57</v>
      </c>
      <c r="O461" s="41">
        <v>499000</v>
      </c>
      <c r="P461" s="34">
        <f t="shared" si="23"/>
        <v>1548.45</v>
      </c>
      <c r="Q461" s="36">
        <f t="shared" si="21"/>
        <v>103.23</v>
      </c>
      <c r="R461" s="35">
        <v>500</v>
      </c>
    </row>
    <row r="462" spans="1:18" x14ac:dyDescent="0.25">
      <c r="A462" s="37" t="s">
        <v>599</v>
      </c>
      <c r="B462" s="37"/>
      <c r="C462" s="37" t="s">
        <v>30</v>
      </c>
      <c r="D462" s="37" t="s">
        <v>36</v>
      </c>
      <c r="E462" s="38">
        <v>45554</v>
      </c>
      <c r="F462" s="38">
        <v>45919</v>
      </c>
      <c r="G462" s="37" t="s">
        <v>1446</v>
      </c>
      <c r="H462" s="37" t="s">
        <v>60</v>
      </c>
      <c r="I462" s="39">
        <v>14960</v>
      </c>
      <c r="J462" s="39">
        <v>12466</v>
      </c>
      <c r="K462" s="43">
        <f t="shared" si="22"/>
        <v>4.2500000000000003E-2</v>
      </c>
      <c r="L462" s="37" t="s">
        <v>2180</v>
      </c>
      <c r="M462" s="40">
        <v>45554</v>
      </c>
      <c r="N462" s="33" t="s">
        <v>57</v>
      </c>
      <c r="O462" s="41">
        <v>352000</v>
      </c>
      <c r="P462" s="34">
        <f t="shared" si="23"/>
        <v>1869.9</v>
      </c>
      <c r="Q462" s="36">
        <f t="shared" si="21"/>
        <v>124.66</v>
      </c>
      <c r="R462" s="35">
        <v>500</v>
      </c>
    </row>
    <row r="463" spans="1:18" x14ac:dyDescent="0.25">
      <c r="A463" s="37" t="s">
        <v>600</v>
      </c>
      <c r="B463" s="37"/>
      <c r="C463" s="37" t="s">
        <v>39</v>
      </c>
      <c r="D463" s="37" t="s">
        <v>36</v>
      </c>
      <c r="E463" s="38">
        <v>45554</v>
      </c>
      <c r="F463" s="38">
        <v>45919</v>
      </c>
      <c r="G463" s="37" t="s">
        <v>1447</v>
      </c>
      <c r="H463" s="37" t="s">
        <v>60</v>
      </c>
      <c r="I463" s="39">
        <v>14960</v>
      </c>
      <c r="J463" s="39">
        <v>12466</v>
      </c>
      <c r="K463" s="43">
        <f t="shared" si="22"/>
        <v>4.2500000000000003E-2</v>
      </c>
      <c r="L463" s="37" t="s">
        <v>2181</v>
      </c>
      <c r="M463" s="40">
        <v>45554</v>
      </c>
      <c r="N463" s="33" t="s">
        <v>57</v>
      </c>
      <c r="O463" s="41">
        <v>352000</v>
      </c>
      <c r="P463" s="34">
        <f t="shared" si="23"/>
        <v>1869.9</v>
      </c>
      <c r="Q463" s="36">
        <f t="shared" si="21"/>
        <v>124.66</v>
      </c>
      <c r="R463" s="35">
        <v>500</v>
      </c>
    </row>
    <row r="464" spans="1:18" x14ac:dyDescent="0.25">
      <c r="A464" s="37" t="s">
        <v>601</v>
      </c>
      <c r="B464" s="37"/>
      <c r="C464" s="37" t="s">
        <v>66</v>
      </c>
      <c r="D464" s="37" t="s">
        <v>2582</v>
      </c>
      <c r="E464" s="38">
        <v>45554</v>
      </c>
      <c r="F464" s="38">
        <v>45919</v>
      </c>
      <c r="G464" s="37" t="s">
        <v>1448</v>
      </c>
      <c r="H464" s="37" t="s">
        <v>60</v>
      </c>
      <c r="I464" s="39">
        <v>8800</v>
      </c>
      <c r="J464" s="39">
        <v>7155</v>
      </c>
      <c r="K464" s="43">
        <f t="shared" si="22"/>
        <v>2.5000000000000001E-2</v>
      </c>
      <c r="L464" s="37" t="s">
        <v>2182</v>
      </c>
      <c r="M464" s="40">
        <v>45554</v>
      </c>
      <c r="N464" s="33" t="s">
        <v>57</v>
      </c>
      <c r="O464" s="41">
        <v>352000</v>
      </c>
      <c r="P464" s="34">
        <f t="shared" si="23"/>
        <v>1073.25</v>
      </c>
      <c r="Q464" s="36">
        <f t="shared" si="21"/>
        <v>71.55</v>
      </c>
      <c r="R464" s="35">
        <v>500</v>
      </c>
    </row>
    <row r="465" spans="1:18" x14ac:dyDescent="0.25">
      <c r="A465" s="37" t="s">
        <v>602</v>
      </c>
      <c r="B465" s="37"/>
      <c r="C465" s="37" t="s">
        <v>51</v>
      </c>
      <c r="D465" s="37" t="s">
        <v>2582</v>
      </c>
      <c r="E465" s="38">
        <v>45554</v>
      </c>
      <c r="F465" s="38">
        <v>45919</v>
      </c>
      <c r="G465" s="37" t="s">
        <v>1449</v>
      </c>
      <c r="H465" s="37" t="s">
        <v>63</v>
      </c>
      <c r="I465" s="39">
        <v>12475</v>
      </c>
      <c r="J465" s="39">
        <v>10323</v>
      </c>
      <c r="K465" s="43">
        <f t="shared" si="22"/>
        <v>2.5000000000000001E-2</v>
      </c>
      <c r="L465" s="37" t="s">
        <v>2183</v>
      </c>
      <c r="M465" s="40">
        <v>45554</v>
      </c>
      <c r="N465" s="33" t="s">
        <v>57</v>
      </c>
      <c r="O465" s="41">
        <v>499000</v>
      </c>
      <c r="P465" s="34">
        <f t="shared" si="23"/>
        <v>1548.45</v>
      </c>
      <c r="Q465" s="36">
        <f t="shared" si="21"/>
        <v>103.23</v>
      </c>
      <c r="R465" s="35">
        <v>500</v>
      </c>
    </row>
    <row r="466" spans="1:18" x14ac:dyDescent="0.25">
      <c r="A466" s="37" t="s">
        <v>603</v>
      </c>
      <c r="B466" s="37"/>
      <c r="C466" s="37" t="s">
        <v>30</v>
      </c>
      <c r="D466" s="37" t="s">
        <v>36</v>
      </c>
      <c r="E466" s="38">
        <v>45554</v>
      </c>
      <c r="F466" s="38">
        <v>45919</v>
      </c>
      <c r="G466" s="37" t="s">
        <v>135</v>
      </c>
      <c r="H466" s="37" t="s">
        <v>60</v>
      </c>
      <c r="I466" s="39">
        <v>14960</v>
      </c>
      <c r="J466" s="39">
        <v>12466</v>
      </c>
      <c r="K466" s="43">
        <f t="shared" si="22"/>
        <v>4.2500000000000003E-2</v>
      </c>
      <c r="L466" s="37" t="s">
        <v>2184</v>
      </c>
      <c r="M466" s="40">
        <v>45554</v>
      </c>
      <c r="N466" s="33" t="s">
        <v>57</v>
      </c>
      <c r="O466" s="41">
        <v>352000</v>
      </c>
      <c r="P466" s="34">
        <f t="shared" si="23"/>
        <v>1869.9</v>
      </c>
      <c r="Q466" s="36">
        <f t="shared" si="21"/>
        <v>124.66</v>
      </c>
      <c r="R466" s="35">
        <v>500</v>
      </c>
    </row>
    <row r="467" spans="1:18" x14ac:dyDescent="0.25">
      <c r="A467" s="37" t="s">
        <v>604</v>
      </c>
      <c r="B467" s="37"/>
      <c r="C467" s="37" t="s">
        <v>30</v>
      </c>
      <c r="D467" s="37" t="s">
        <v>36</v>
      </c>
      <c r="E467" s="38">
        <v>45920</v>
      </c>
      <c r="F467" s="38">
        <v>46285</v>
      </c>
      <c r="G467" s="37" t="s">
        <v>135</v>
      </c>
      <c r="H467" s="37" t="s">
        <v>60</v>
      </c>
      <c r="I467" s="39">
        <v>14960</v>
      </c>
      <c r="J467" s="39">
        <v>12466</v>
      </c>
      <c r="K467" s="43">
        <f t="shared" si="22"/>
        <v>4.2500000000000003E-2</v>
      </c>
      <c r="L467" s="37" t="s">
        <v>2184</v>
      </c>
      <c r="M467" s="40">
        <v>45554</v>
      </c>
      <c r="N467" s="33" t="s">
        <v>57</v>
      </c>
      <c r="O467" s="41">
        <v>352000</v>
      </c>
      <c r="P467" s="34">
        <f t="shared" si="23"/>
        <v>1869.9</v>
      </c>
      <c r="Q467" s="36">
        <f t="shared" si="21"/>
        <v>124.66</v>
      </c>
      <c r="R467" s="35">
        <v>500</v>
      </c>
    </row>
    <row r="468" spans="1:18" x14ac:dyDescent="0.25">
      <c r="A468" s="37" t="s">
        <v>605</v>
      </c>
      <c r="B468" s="37"/>
      <c r="C468" s="37" t="s">
        <v>51</v>
      </c>
      <c r="D468" s="37" t="s">
        <v>2582</v>
      </c>
      <c r="E468" s="38">
        <v>45554</v>
      </c>
      <c r="F468" s="38">
        <v>45919</v>
      </c>
      <c r="G468" s="37" t="s">
        <v>1450</v>
      </c>
      <c r="H468" s="37" t="s">
        <v>63</v>
      </c>
      <c r="I468" s="39">
        <v>12475</v>
      </c>
      <c r="J468" s="39">
        <v>10323</v>
      </c>
      <c r="K468" s="43">
        <f t="shared" si="22"/>
        <v>2.5000000000000001E-2</v>
      </c>
      <c r="L468" s="37" t="s">
        <v>2185</v>
      </c>
      <c r="M468" s="40">
        <v>45554</v>
      </c>
      <c r="N468" s="33" t="s">
        <v>57</v>
      </c>
      <c r="O468" s="41">
        <v>499000</v>
      </c>
      <c r="P468" s="34">
        <f t="shared" si="23"/>
        <v>1548.45</v>
      </c>
      <c r="Q468" s="36">
        <f t="shared" si="21"/>
        <v>103.23</v>
      </c>
      <c r="R468" s="35">
        <v>500</v>
      </c>
    </row>
    <row r="469" spans="1:18" x14ac:dyDescent="0.25">
      <c r="A469" s="37" t="s">
        <v>606</v>
      </c>
      <c r="B469" s="37"/>
      <c r="C469" s="37" t="s">
        <v>37</v>
      </c>
      <c r="D469" s="37" t="s">
        <v>2582</v>
      </c>
      <c r="E469" s="38">
        <v>45554</v>
      </c>
      <c r="F469" s="38">
        <v>45919</v>
      </c>
      <c r="G469" s="37" t="s">
        <v>59</v>
      </c>
      <c r="H469" s="37" t="s">
        <v>60</v>
      </c>
      <c r="I469" s="39">
        <v>8800</v>
      </c>
      <c r="J469" s="39">
        <v>7155</v>
      </c>
      <c r="K469" s="43">
        <f t="shared" si="22"/>
        <v>2.5000000000000001E-2</v>
      </c>
      <c r="L469" s="37" t="s">
        <v>2186</v>
      </c>
      <c r="M469" s="40">
        <v>45554</v>
      </c>
      <c r="N469" s="33" t="s">
        <v>57</v>
      </c>
      <c r="O469" s="41">
        <v>352000</v>
      </c>
      <c r="P469" s="34">
        <f t="shared" si="23"/>
        <v>1073.25</v>
      </c>
      <c r="Q469" s="36">
        <f t="shared" si="21"/>
        <v>71.55</v>
      </c>
      <c r="R469" s="35">
        <v>500</v>
      </c>
    </row>
    <row r="470" spans="1:18" x14ac:dyDescent="0.25">
      <c r="A470" s="37" t="s">
        <v>607</v>
      </c>
      <c r="B470" s="37"/>
      <c r="C470" s="37" t="s">
        <v>35</v>
      </c>
      <c r="D470" s="37" t="s">
        <v>36</v>
      </c>
      <c r="E470" s="38">
        <v>45554</v>
      </c>
      <c r="F470" s="38">
        <v>45919</v>
      </c>
      <c r="G470" s="37" t="s">
        <v>1451</v>
      </c>
      <c r="H470" s="37" t="s">
        <v>63</v>
      </c>
      <c r="I470" s="39">
        <v>21208</v>
      </c>
      <c r="J470" s="39">
        <v>17852</v>
      </c>
      <c r="K470" s="43">
        <f t="shared" si="22"/>
        <v>4.2501002004008019E-2</v>
      </c>
      <c r="L470" s="37" t="s">
        <v>2187</v>
      </c>
      <c r="M470" s="40">
        <v>45554</v>
      </c>
      <c r="N470" s="33" t="s">
        <v>57</v>
      </c>
      <c r="O470" s="41">
        <v>499000</v>
      </c>
      <c r="P470" s="34">
        <f t="shared" si="23"/>
        <v>2677.8</v>
      </c>
      <c r="Q470" s="36">
        <f t="shared" si="21"/>
        <v>178.52</v>
      </c>
      <c r="R470" s="35">
        <v>500</v>
      </c>
    </row>
    <row r="471" spans="1:18" x14ac:dyDescent="0.25">
      <c r="A471" s="37" t="s">
        <v>608</v>
      </c>
      <c r="B471" s="37"/>
      <c r="C471" s="37" t="s">
        <v>35</v>
      </c>
      <c r="D471" s="37" t="s">
        <v>36</v>
      </c>
      <c r="E471" s="38">
        <v>45920</v>
      </c>
      <c r="F471" s="38">
        <v>46285</v>
      </c>
      <c r="G471" s="37" t="s">
        <v>1451</v>
      </c>
      <c r="H471" s="37" t="s">
        <v>63</v>
      </c>
      <c r="I471" s="39">
        <v>21208</v>
      </c>
      <c r="J471" s="39">
        <v>17852</v>
      </c>
      <c r="K471" s="43">
        <f t="shared" si="22"/>
        <v>4.2501002004008019E-2</v>
      </c>
      <c r="L471" s="37" t="s">
        <v>2187</v>
      </c>
      <c r="M471" s="40">
        <v>45554</v>
      </c>
      <c r="N471" s="33" t="s">
        <v>57</v>
      </c>
      <c r="O471" s="41">
        <v>499000</v>
      </c>
      <c r="P471" s="34">
        <f t="shared" si="23"/>
        <v>2677.8</v>
      </c>
      <c r="Q471" s="36">
        <f t="shared" si="21"/>
        <v>178.52</v>
      </c>
      <c r="R471" s="35">
        <v>500</v>
      </c>
    </row>
    <row r="472" spans="1:18" x14ac:dyDescent="0.25">
      <c r="A472" s="37" t="s">
        <v>609</v>
      </c>
      <c r="B472" s="37"/>
      <c r="C472" s="37" t="s">
        <v>37</v>
      </c>
      <c r="D472" s="37" t="s">
        <v>2582</v>
      </c>
      <c r="E472" s="38">
        <v>45554</v>
      </c>
      <c r="F472" s="38">
        <v>45919</v>
      </c>
      <c r="G472" s="37" t="s">
        <v>1452</v>
      </c>
      <c r="H472" s="37" t="s">
        <v>60</v>
      </c>
      <c r="I472" s="39">
        <v>8800</v>
      </c>
      <c r="J472" s="39">
        <v>7155</v>
      </c>
      <c r="K472" s="43">
        <f t="shared" si="22"/>
        <v>2.5000000000000001E-2</v>
      </c>
      <c r="L472" s="37" t="s">
        <v>2188</v>
      </c>
      <c r="M472" s="40">
        <v>45554</v>
      </c>
      <c r="N472" s="33" t="s">
        <v>57</v>
      </c>
      <c r="O472" s="41">
        <v>352000</v>
      </c>
      <c r="P472" s="34">
        <f t="shared" si="23"/>
        <v>1073.25</v>
      </c>
      <c r="Q472" s="36">
        <f t="shared" si="21"/>
        <v>71.55</v>
      </c>
      <c r="R472" s="35">
        <v>500</v>
      </c>
    </row>
    <row r="473" spans="1:18" x14ac:dyDescent="0.25">
      <c r="A473" s="37" t="s">
        <v>610</v>
      </c>
      <c r="B473" s="37"/>
      <c r="C473" s="37" t="s">
        <v>33</v>
      </c>
      <c r="D473" s="37" t="s">
        <v>36</v>
      </c>
      <c r="E473" s="38">
        <v>45554</v>
      </c>
      <c r="F473" s="38">
        <v>45919</v>
      </c>
      <c r="G473" s="37" t="s">
        <v>1453</v>
      </c>
      <c r="H473" s="37" t="s">
        <v>62</v>
      </c>
      <c r="I473" s="39">
        <v>23248</v>
      </c>
      <c r="J473" s="39">
        <v>19610</v>
      </c>
      <c r="K473" s="43">
        <f t="shared" si="22"/>
        <v>4.2500914076782449E-2</v>
      </c>
      <c r="L473" s="37" t="s">
        <v>2189</v>
      </c>
      <c r="M473" s="40">
        <v>45554</v>
      </c>
      <c r="N473" s="33" t="s">
        <v>57</v>
      </c>
      <c r="O473" s="41">
        <v>547000</v>
      </c>
      <c r="P473" s="34">
        <f t="shared" si="23"/>
        <v>2941.5</v>
      </c>
      <c r="Q473" s="36">
        <f t="shared" si="21"/>
        <v>196.1</v>
      </c>
      <c r="R473" s="35">
        <v>500</v>
      </c>
    </row>
    <row r="474" spans="1:18" x14ac:dyDescent="0.25">
      <c r="A474" s="37" t="s">
        <v>611</v>
      </c>
      <c r="B474" s="37"/>
      <c r="C474" s="37" t="s">
        <v>33</v>
      </c>
      <c r="D474" s="37" t="s">
        <v>36</v>
      </c>
      <c r="E474" s="38">
        <v>45920</v>
      </c>
      <c r="F474" s="38">
        <v>46285</v>
      </c>
      <c r="G474" s="37" t="s">
        <v>1453</v>
      </c>
      <c r="H474" s="37" t="s">
        <v>62</v>
      </c>
      <c r="I474" s="39">
        <v>23248</v>
      </c>
      <c r="J474" s="39">
        <v>19610</v>
      </c>
      <c r="K474" s="43">
        <f t="shared" si="22"/>
        <v>4.2500914076782449E-2</v>
      </c>
      <c r="L474" s="37" t="s">
        <v>2189</v>
      </c>
      <c r="M474" s="40">
        <v>45554</v>
      </c>
      <c r="N474" s="33" t="s">
        <v>57</v>
      </c>
      <c r="O474" s="41">
        <v>547000</v>
      </c>
      <c r="P474" s="34">
        <f t="shared" si="23"/>
        <v>2941.5</v>
      </c>
      <c r="Q474" s="36">
        <f t="shared" si="21"/>
        <v>196.1</v>
      </c>
      <c r="R474" s="35">
        <v>500</v>
      </c>
    </row>
    <row r="475" spans="1:18" x14ac:dyDescent="0.25">
      <c r="A475" s="37" t="s">
        <v>612</v>
      </c>
      <c r="B475" s="37"/>
      <c r="C475" s="37" t="s">
        <v>37</v>
      </c>
      <c r="D475" s="37" t="s">
        <v>2582</v>
      </c>
      <c r="E475" s="38">
        <v>45554</v>
      </c>
      <c r="F475" s="38">
        <v>45919</v>
      </c>
      <c r="G475" s="37" t="s">
        <v>1454</v>
      </c>
      <c r="H475" s="37" t="s">
        <v>60</v>
      </c>
      <c r="I475" s="39">
        <v>8800</v>
      </c>
      <c r="J475" s="39">
        <v>7155</v>
      </c>
      <c r="K475" s="43">
        <f t="shared" si="22"/>
        <v>2.5000000000000001E-2</v>
      </c>
      <c r="L475" s="37" t="s">
        <v>2190</v>
      </c>
      <c r="M475" s="40">
        <v>45554</v>
      </c>
      <c r="N475" s="33" t="s">
        <v>57</v>
      </c>
      <c r="O475" s="41">
        <v>352000</v>
      </c>
      <c r="P475" s="34">
        <f t="shared" si="23"/>
        <v>1073.25</v>
      </c>
      <c r="Q475" s="36">
        <f t="shared" si="21"/>
        <v>71.55</v>
      </c>
      <c r="R475" s="35">
        <v>500</v>
      </c>
    </row>
    <row r="476" spans="1:18" x14ac:dyDescent="0.25">
      <c r="A476" s="37" t="s">
        <v>613</v>
      </c>
      <c r="B476" s="37"/>
      <c r="C476" s="37" t="s">
        <v>37</v>
      </c>
      <c r="D476" s="37" t="s">
        <v>2582</v>
      </c>
      <c r="E476" s="38">
        <v>45554</v>
      </c>
      <c r="F476" s="38">
        <v>45919</v>
      </c>
      <c r="G476" s="37" t="s">
        <v>1455</v>
      </c>
      <c r="H476" s="37" t="s">
        <v>60</v>
      </c>
      <c r="I476" s="39">
        <v>8800</v>
      </c>
      <c r="J476" s="39">
        <v>7155</v>
      </c>
      <c r="K476" s="43">
        <f t="shared" si="22"/>
        <v>2.5000000000000001E-2</v>
      </c>
      <c r="L476" s="37" t="s">
        <v>2191</v>
      </c>
      <c r="M476" s="40">
        <v>45554</v>
      </c>
      <c r="N476" s="33" t="s">
        <v>57</v>
      </c>
      <c r="O476" s="41">
        <v>352000</v>
      </c>
      <c r="P476" s="34">
        <f t="shared" si="23"/>
        <v>1073.25</v>
      </c>
      <c r="Q476" s="36">
        <f t="shared" si="21"/>
        <v>71.55</v>
      </c>
      <c r="R476" s="35">
        <v>500</v>
      </c>
    </row>
    <row r="477" spans="1:18" x14ac:dyDescent="0.25">
      <c r="A477" s="37" t="s">
        <v>614</v>
      </c>
      <c r="B477" s="37"/>
      <c r="C477" s="37" t="s">
        <v>37</v>
      </c>
      <c r="D477" s="37" t="s">
        <v>2582</v>
      </c>
      <c r="E477" s="38">
        <v>45554</v>
      </c>
      <c r="F477" s="38">
        <v>45919</v>
      </c>
      <c r="G477" s="37" t="s">
        <v>1456</v>
      </c>
      <c r="H477" s="37" t="s">
        <v>60</v>
      </c>
      <c r="I477" s="39">
        <v>8800</v>
      </c>
      <c r="J477" s="39">
        <v>7155</v>
      </c>
      <c r="K477" s="43">
        <f t="shared" si="22"/>
        <v>2.5000000000000001E-2</v>
      </c>
      <c r="L477" s="37" t="s">
        <v>2192</v>
      </c>
      <c r="M477" s="40">
        <v>45554</v>
      </c>
      <c r="N477" s="33" t="s">
        <v>57</v>
      </c>
      <c r="O477" s="41">
        <v>352000</v>
      </c>
      <c r="P477" s="34">
        <f t="shared" si="23"/>
        <v>1073.25</v>
      </c>
      <c r="Q477" s="36">
        <f t="shared" si="21"/>
        <v>71.55</v>
      </c>
      <c r="R477" s="35">
        <v>500</v>
      </c>
    </row>
    <row r="478" spans="1:18" x14ac:dyDescent="0.25">
      <c r="A478" s="37" t="s">
        <v>615</v>
      </c>
      <c r="B478" s="37"/>
      <c r="C478" s="37" t="s">
        <v>54</v>
      </c>
      <c r="D478" s="37" t="s">
        <v>2582</v>
      </c>
      <c r="E478" s="38">
        <v>45554</v>
      </c>
      <c r="F478" s="38">
        <v>45919</v>
      </c>
      <c r="G478" s="37" t="s">
        <v>1457</v>
      </c>
      <c r="H478" s="37" t="s">
        <v>60</v>
      </c>
      <c r="I478" s="39">
        <v>8800</v>
      </c>
      <c r="J478" s="39">
        <v>7155</v>
      </c>
      <c r="K478" s="43">
        <f t="shared" si="22"/>
        <v>2.5000000000000001E-2</v>
      </c>
      <c r="L478" s="37" t="s">
        <v>2193</v>
      </c>
      <c r="M478" s="40">
        <v>45554</v>
      </c>
      <c r="N478" s="33" t="s">
        <v>57</v>
      </c>
      <c r="O478" s="41">
        <v>352000</v>
      </c>
      <c r="P478" s="34">
        <f t="shared" si="23"/>
        <v>1073.25</v>
      </c>
      <c r="Q478" s="36">
        <f t="shared" si="21"/>
        <v>71.55</v>
      </c>
      <c r="R478" s="35">
        <v>500</v>
      </c>
    </row>
    <row r="479" spans="1:18" x14ac:dyDescent="0.25">
      <c r="A479" s="37" t="s">
        <v>616</v>
      </c>
      <c r="B479" s="37"/>
      <c r="C479" s="37" t="s">
        <v>52</v>
      </c>
      <c r="D479" s="37" t="s">
        <v>36</v>
      </c>
      <c r="E479" s="38">
        <v>45554</v>
      </c>
      <c r="F479" s="38">
        <v>45919</v>
      </c>
      <c r="G479" s="37" t="s">
        <v>1458</v>
      </c>
      <c r="H479" s="37" t="s">
        <v>62</v>
      </c>
      <c r="I479" s="39">
        <v>23248</v>
      </c>
      <c r="J479" s="39">
        <v>19610</v>
      </c>
      <c r="K479" s="43">
        <f t="shared" si="22"/>
        <v>4.2500914076782449E-2</v>
      </c>
      <c r="L479" s="37" t="s">
        <v>2194</v>
      </c>
      <c r="M479" s="40">
        <v>45554</v>
      </c>
      <c r="N479" s="33" t="s">
        <v>57</v>
      </c>
      <c r="O479" s="41">
        <v>547000</v>
      </c>
      <c r="P479" s="34">
        <f t="shared" si="23"/>
        <v>2941.5</v>
      </c>
      <c r="Q479" s="36">
        <f t="shared" si="21"/>
        <v>196.1</v>
      </c>
      <c r="R479" s="35">
        <v>500</v>
      </c>
    </row>
    <row r="480" spans="1:18" x14ac:dyDescent="0.25">
      <c r="A480" s="37" t="s">
        <v>617</v>
      </c>
      <c r="B480" s="37"/>
      <c r="C480" s="37" t="s">
        <v>54</v>
      </c>
      <c r="D480" s="37" t="s">
        <v>2582</v>
      </c>
      <c r="E480" s="38">
        <v>45554</v>
      </c>
      <c r="F480" s="38">
        <v>45919</v>
      </c>
      <c r="G480" s="37" t="s">
        <v>1459</v>
      </c>
      <c r="H480" s="37" t="s">
        <v>60</v>
      </c>
      <c r="I480" s="39">
        <v>8800</v>
      </c>
      <c r="J480" s="39">
        <v>7155</v>
      </c>
      <c r="K480" s="43">
        <f t="shared" si="22"/>
        <v>2.5000000000000001E-2</v>
      </c>
      <c r="L480" s="37" t="s">
        <v>2195</v>
      </c>
      <c r="M480" s="40">
        <v>45554</v>
      </c>
      <c r="N480" s="33" t="s">
        <v>57</v>
      </c>
      <c r="O480" s="41">
        <v>352000</v>
      </c>
      <c r="P480" s="34">
        <f t="shared" si="23"/>
        <v>1073.25</v>
      </c>
      <c r="Q480" s="36">
        <f t="shared" si="21"/>
        <v>71.55</v>
      </c>
      <c r="R480" s="35">
        <v>500</v>
      </c>
    </row>
    <row r="481" spans="1:18" x14ac:dyDescent="0.25">
      <c r="A481" s="37" t="s">
        <v>618</v>
      </c>
      <c r="B481" s="37"/>
      <c r="C481" s="37" t="s">
        <v>52</v>
      </c>
      <c r="D481" s="37" t="s">
        <v>36</v>
      </c>
      <c r="E481" s="38">
        <v>45554</v>
      </c>
      <c r="F481" s="38">
        <v>45919</v>
      </c>
      <c r="G481" s="37" t="s">
        <v>1460</v>
      </c>
      <c r="H481" s="37" t="s">
        <v>60</v>
      </c>
      <c r="I481" s="39">
        <v>14960</v>
      </c>
      <c r="J481" s="39">
        <v>12466</v>
      </c>
      <c r="K481" s="43">
        <f t="shared" si="22"/>
        <v>4.2500000000000003E-2</v>
      </c>
      <c r="L481" s="37" t="s">
        <v>2196</v>
      </c>
      <c r="M481" s="40">
        <v>45554</v>
      </c>
      <c r="N481" s="33" t="s">
        <v>57</v>
      </c>
      <c r="O481" s="41">
        <v>352000</v>
      </c>
      <c r="P481" s="34">
        <f t="shared" si="23"/>
        <v>1869.9</v>
      </c>
      <c r="Q481" s="36">
        <f t="shared" si="21"/>
        <v>124.66</v>
      </c>
      <c r="R481" s="35">
        <v>500</v>
      </c>
    </row>
    <row r="482" spans="1:18" x14ac:dyDescent="0.25">
      <c r="A482" s="37" t="s">
        <v>619</v>
      </c>
      <c r="B482" s="37"/>
      <c r="C482" s="37" t="s">
        <v>54</v>
      </c>
      <c r="D482" s="37" t="s">
        <v>2582</v>
      </c>
      <c r="E482" s="38">
        <v>45554</v>
      </c>
      <c r="F482" s="38">
        <v>45919</v>
      </c>
      <c r="G482" s="37" t="s">
        <v>58</v>
      </c>
      <c r="H482" s="37" t="s">
        <v>60</v>
      </c>
      <c r="I482" s="39">
        <v>8800</v>
      </c>
      <c r="J482" s="39">
        <v>7155</v>
      </c>
      <c r="K482" s="43">
        <f t="shared" si="22"/>
        <v>2.5000000000000001E-2</v>
      </c>
      <c r="L482" s="37" t="s">
        <v>2197</v>
      </c>
      <c r="M482" s="40">
        <v>45554</v>
      </c>
      <c r="N482" s="33" t="s">
        <v>57</v>
      </c>
      <c r="O482" s="41">
        <v>352000</v>
      </c>
      <c r="P482" s="34">
        <f t="shared" si="23"/>
        <v>1073.25</v>
      </c>
      <c r="Q482" s="36">
        <f t="shared" si="21"/>
        <v>71.55</v>
      </c>
      <c r="R482" s="35">
        <v>500</v>
      </c>
    </row>
    <row r="483" spans="1:18" x14ac:dyDescent="0.25">
      <c r="A483" s="37" t="s">
        <v>620</v>
      </c>
      <c r="B483" s="37"/>
      <c r="C483" s="37" t="s">
        <v>54</v>
      </c>
      <c r="D483" s="37" t="s">
        <v>2582</v>
      </c>
      <c r="E483" s="38">
        <v>45554</v>
      </c>
      <c r="F483" s="38">
        <v>45919</v>
      </c>
      <c r="G483" s="37" t="s">
        <v>1461</v>
      </c>
      <c r="H483" s="37" t="s">
        <v>61</v>
      </c>
      <c r="I483" s="39">
        <v>9550</v>
      </c>
      <c r="J483" s="39">
        <v>7802</v>
      </c>
      <c r="K483" s="43">
        <f t="shared" si="22"/>
        <v>2.5000000000000001E-2</v>
      </c>
      <c r="L483" s="37" t="s">
        <v>2198</v>
      </c>
      <c r="M483" s="40">
        <v>45554</v>
      </c>
      <c r="N483" s="33" t="s">
        <v>57</v>
      </c>
      <c r="O483" s="41">
        <v>382000</v>
      </c>
      <c r="P483" s="34">
        <f t="shared" si="23"/>
        <v>1170.3</v>
      </c>
      <c r="Q483" s="36">
        <f t="shared" si="21"/>
        <v>78.02</v>
      </c>
      <c r="R483" s="35">
        <v>500</v>
      </c>
    </row>
    <row r="484" spans="1:18" x14ac:dyDescent="0.25">
      <c r="A484" s="37" t="s">
        <v>621</v>
      </c>
      <c r="B484" s="37"/>
      <c r="C484" s="37" t="s">
        <v>54</v>
      </c>
      <c r="D484" s="37" t="s">
        <v>2582</v>
      </c>
      <c r="E484" s="38">
        <v>45554</v>
      </c>
      <c r="F484" s="38">
        <v>45919</v>
      </c>
      <c r="G484" s="37" t="s">
        <v>1462</v>
      </c>
      <c r="H484" s="37" t="s">
        <v>60</v>
      </c>
      <c r="I484" s="39">
        <v>8800</v>
      </c>
      <c r="J484" s="39">
        <v>7155</v>
      </c>
      <c r="K484" s="43">
        <f t="shared" si="22"/>
        <v>2.5000000000000001E-2</v>
      </c>
      <c r="L484" s="37" t="s">
        <v>2199</v>
      </c>
      <c r="M484" s="40">
        <v>45554</v>
      </c>
      <c r="N484" s="33" t="s">
        <v>57</v>
      </c>
      <c r="O484" s="41">
        <v>352000</v>
      </c>
      <c r="P484" s="34">
        <f t="shared" si="23"/>
        <v>1073.25</v>
      </c>
      <c r="Q484" s="36">
        <f t="shared" si="21"/>
        <v>71.55</v>
      </c>
      <c r="R484" s="35">
        <v>500</v>
      </c>
    </row>
    <row r="485" spans="1:18" x14ac:dyDescent="0.25">
      <c r="A485" s="37" t="s">
        <v>622</v>
      </c>
      <c r="B485" s="37"/>
      <c r="C485" s="37" t="s">
        <v>85</v>
      </c>
      <c r="D485" s="37" t="s">
        <v>2582</v>
      </c>
      <c r="E485" s="38">
        <v>45554</v>
      </c>
      <c r="F485" s="38">
        <v>45919</v>
      </c>
      <c r="G485" s="37" t="s">
        <v>108</v>
      </c>
      <c r="H485" s="37" t="s">
        <v>63</v>
      </c>
      <c r="I485" s="39">
        <v>12475</v>
      </c>
      <c r="J485" s="39">
        <v>10323</v>
      </c>
      <c r="K485" s="43">
        <f t="shared" si="22"/>
        <v>2.5000000000000001E-2</v>
      </c>
      <c r="L485" s="37" t="s">
        <v>2200</v>
      </c>
      <c r="M485" s="40">
        <v>45554</v>
      </c>
      <c r="N485" s="33" t="s">
        <v>57</v>
      </c>
      <c r="O485" s="41">
        <v>499000</v>
      </c>
      <c r="P485" s="34">
        <f t="shared" si="23"/>
        <v>1548.45</v>
      </c>
      <c r="Q485" s="36">
        <f t="shared" si="21"/>
        <v>103.23</v>
      </c>
      <c r="R485" s="35">
        <v>500</v>
      </c>
    </row>
    <row r="486" spans="1:18" x14ac:dyDescent="0.25">
      <c r="A486" s="37" t="s">
        <v>623</v>
      </c>
      <c r="B486" s="37"/>
      <c r="C486" s="37" t="s">
        <v>85</v>
      </c>
      <c r="D486" s="37" t="s">
        <v>2582</v>
      </c>
      <c r="E486" s="38">
        <v>45554</v>
      </c>
      <c r="F486" s="38">
        <v>45919</v>
      </c>
      <c r="G486" s="37" t="s">
        <v>1463</v>
      </c>
      <c r="H486" s="37" t="s">
        <v>64</v>
      </c>
      <c r="I486" s="39">
        <v>9550</v>
      </c>
      <c r="J486" s="39">
        <v>7802</v>
      </c>
      <c r="K486" s="43">
        <f t="shared" si="22"/>
        <v>2.5000000000000001E-2</v>
      </c>
      <c r="L486" s="37" t="s">
        <v>2201</v>
      </c>
      <c r="M486" s="40">
        <v>45554</v>
      </c>
      <c r="N486" s="33" t="s">
        <v>57</v>
      </c>
      <c r="O486" s="41">
        <v>382000</v>
      </c>
      <c r="P486" s="34">
        <f t="shared" si="23"/>
        <v>1170.3</v>
      </c>
      <c r="Q486" s="36">
        <f t="shared" si="21"/>
        <v>78.02</v>
      </c>
      <c r="R486" s="35">
        <v>500</v>
      </c>
    </row>
    <row r="487" spans="1:18" x14ac:dyDescent="0.25">
      <c r="A487" s="37" t="s">
        <v>624</v>
      </c>
      <c r="B487" s="37"/>
      <c r="C487" s="37" t="s">
        <v>85</v>
      </c>
      <c r="D487" s="37" t="s">
        <v>2582</v>
      </c>
      <c r="E487" s="38">
        <v>45554</v>
      </c>
      <c r="F487" s="38">
        <v>45919</v>
      </c>
      <c r="G487" s="37" t="s">
        <v>1464</v>
      </c>
      <c r="H487" s="37" t="s">
        <v>64</v>
      </c>
      <c r="I487" s="39">
        <v>9550</v>
      </c>
      <c r="J487" s="39">
        <v>7802</v>
      </c>
      <c r="K487" s="43">
        <f t="shared" si="22"/>
        <v>2.5000000000000001E-2</v>
      </c>
      <c r="L487" s="37" t="s">
        <v>2202</v>
      </c>
      <c r="M487" s="40">
        <v>45554</v>
      </c>
      <c r="N487" s="33" t="s">
        <v>57</v>
      </c>
      <c r="O487" s="41">
        <v>382000</v>
      </c>
      <c r="P487" s="34">
        <f t="shared" si="23"/>
        <v>1170.3</v>
      </c>
      <c r="Q487" s="36">
        <f t="shared" si="21"/>
        <v>78.02</v>
      </c>
      <c r="R487" s="35">
        <v>500</v>
      </c>
    </row>
    <row r="488" spans="1:18" x14ac:dyDescent="0.25">
      <c r="A488" s="37" t="s">
        <v>625</v>
      </c>
      <c r="B488" s="37"/>
      <c r="C488" s="37" t="s">
        <v>85</v>
      </c>
      <c r="D488" s="37" t="s">
        <v>2582</v>
      </c>
      <c r="E488" s="38">
        <v>45554</v>
      </c>
      <c r="F488" s="38">
        <v>45919</v>
      </c>
      <c r="G488" s="37" t="s">
        <v>1465</v>
      </c>
      <c r="H488" s="37" t="s">
        <v>61</v>
      </c>
      <c r="I488" s="39">
        <v>9550</v>
      </c>
      <c r="J488" s="39">
        <v>7802</v>
      </c>
      <c r="K488" s="43">
        <f t="shared" si="22"/>
        <v>2.5000000000000001E-2</v>
      </c>
      <c r="L488" s="37" t="s">
        <v>2203</v>
      </c>
      <c r="M488" s="40">
        <v>45554</v>
      </c>
      <c r="N488" s="33" t="s">
        <v>57</v>
      </c>
      <c r="O488" s="41">
        <v>382000</v>
      </c>
      <c r="P488" s="34">
        <f t="shared" si="23"/>
        <v>1170.3</v>
      </c>
      <c r="Q488" s="36">
        <f t="shared" si="21"/>
        <v>78.02</v>
      </c>
      <c r="R488" s="35">
        <v>500</v>
      </c>
    </row>
    <row r="489" spans="1:18" x14ac:dyDescent="0.25">
      <c r="A489" s="37" t="s">
        <v>626</v>
      </c>
      <c r="B489" s="37"/>
      <c r="C489" s="37" t="s">
        <v>85</v>
      </c>
      <c r="D489" s="37" t="s">
        <v>2582</v>
      </c>
      <c r="E489" s="38">
        <v>45554</v>
      </c>
      <c r="F489" s="38">
        <v>45919</v>
      </c>
      <c r="G489" s="37" t="s">
        <v>1466</v>
      </c>
      <c r="H489" s="37" t="s">
        <v>60</v>
      </c>
      <c r="I489" s="39">
        <v>8800</v>
      </c>
      <c r="J489" s="39">
        <v>7155</v>
      </c>
      <c r="K489" s="43">
        <f t="shared" si="22"/>
        <v>2.5000000000000001E-2</v>
      </c>
      <c r="L489" s="37" t="s">
        <v>2204</v>
      </c>
      <c r="M489" s="40">
        <v>45554</v>
      </c>
      <c r="N489" s="33" t="s">
        <v>57</v>
      </c>
      <c r="O489" s="41">
        <v>352000</v>
      </c>
      <c r="P489" s="34">
        <f t="shared" si="23"/>
        <v>1073.25</v>
      </c>
      <c r="Q489" s="36">
        <f t="shared" si="21"/>
        <v>71.55</v>
      </c>
      <c r="R489" s="35">
        <v>500</v>
      </c>
    </row>
    <row r="490" spans="1:18" x14ac:dyDescent="0.25">
      <c r="A490" s="37" t="s">
        <v>627</v>
      </c>
      <c r="B490" s="37"/>
      <c r="C490" s="37" t="s">
        <v>85</v>
      </c>
      <c r="D490" s="37" t="s">
        <v>2582</v>
      </c>
      <c r="E490" s="38">
        <v>45554</v>
      </c>
      <c r="F490" s="38">
        <v>45919</v>
      </c>
      <c r="G490" s="37" t="s">
        <v>1467</v>
      </c>
      <c r="H490" s="37" t="s">
        <v>64</v>
      </c>
      <c r="I490" s="39">
        <v>9550</v>
      </c>
      <c r="J490" s="39">
        <v>7802</v>
      </c>
      <c r="K490" s="43">
        <f t="shared" si="22"/>
        <v>2.5000000000000001E-2</v>
      </c>
      <c r="L490" s="37" t="s">
        <v>2205</v>
      </c>
      <c r="M490" s="40">
        <v>45554</v>
      </c>
      <c r="N490" s="33" t="s">
        <v>57</v>
      </c>
      <c r="O490" s="41">
        <v>382000</v>
      </c>
      <c r="P490" s="34">
        <f t="shared" si="23"/>
        <v>1170.3</v>
      </c>
      <c r="Q490" s="36">
        <f t="shared" si="21"/>
        <v>78.02</v>
      </c>
      <c r="R490" s="35">
        <v>500</v>
      </c>
    </row>
    <row r="491" spans="1:18" x14ac:dyDescent="0.25">
      <c r="A491" s="37" t="s">
        <v>628</v>
      </c>
      <c r="B491" s="37"/>
      <c r="C491" s="37" t="s">
        <v>85</v>
      </c>
      <c r="D491" s="37" t="s">
        <v>2582</v>
      </c>
      <c r="E491" s="38">
        <v>45554</v>
      </c>
      <c r="F491" s="38">
        <v>45919</v>
      </c>
      <c r="G491" s="37" t="s">
        <v>1468</v>
      </c>
      <c r="H491" s="37" t="s">
        <v>61</v>
      </c>
      <c r="I491" s="39">
        <v>9550</v>
      </c>
      <c r="J491" s="39">
        <v>7802</v>
      </c>
      <c r="K491" s="43">
        <f t="shared" si="22"/>
        <v>2.5000000000000001E-2</v>
      </c>
      <c r="L491" s="37" t="s">
        <v>2206</v>
      </c>
      <c r="M491" s="40">
        <v>45554</v>
      </c>
      <c r="N491" s="33" t="s">
        <v>57</v>
      </c>
      <c r="O491" s="41">
        <v>382000</v>
      </c>
      <c r="P491" s="34">
        <f t="shared" si="23"/>
        <v>1170.3</v>
      </c>
      <c r="Q491" s="36">
        <f t="shared" si="21"/>
        <v>78.02</v>
      </c>
      <c r="R491" s="35">
        <v>500</v>
      </c>
    </row>
    <row r="492" spans="1:18" x14ac:dyDescent="0.25">
      <c r="A492" s="37" t="s">
        <v>629</v>
      </c>
      <c r="B492" s="37"/>
      <c r="C492" s="37" t="s">
        <v>85</v>
      </c>
      <c r="D492" s="37" t="s">
        <v>2582</v>
      </c>
      <c r="E492" s="38">
        <v>45554</v>
      </c>
      <c r="F492" s="38">
        <v>45919</v>
      </c>
      <c r="G492" s="37" t="s">
        <v>1469</v>
      </c>
      <c r="H492" s="37" t="s">
        <v>63</v>
      </c>
      <c r="I492" s="39">
        <v>12475</v>
      </c>
      <c r="J492" s="39">
        <v>10323</v>
      </c>
      <c r="K492" s="43">
        <f t="shared" si="22"/>
        <v>2.5000000000000001E-2</v>
      </c>
      <c r="L492" s="37" t="s">
        <v>2207</v>
      </c>
      <c r="M492" s="40">
        <v>45554</v>
      </c>
      <c r="N492" s="33" t="s">
        <v>57</v>
      </c>
      <c r="O492" s="41">
        <v>499000</v>
      </c>
      <c r="P492" s="34">
        <f t="shared" si="23"/>
        <v>1548.45</v>
      </c>
      <c r="Q492" s="36">
        <f t="shared" si="21"/>
        <v>103.23</v>
      </c>
      <c r="R492" s="35">
        <v>500</v>
      </c>
    </row>
    <row r="493" spans="1:18" x14ac:dyDescent="0.25">
      <c r="A493" s="37" t="s">
        <v>630</v>
      </c>
      <c r="B493" s="37"/>
      <c r="C493" s="37" t="s">
        <v>85</v>
      </c>
      <c r="D493" s="37" t="s">
        <v>2582</v>
      </c>
      <c r="E493" s="38">
        <v>45554</v>
      </c>
      <c r="F493" s="38">
        <v>45919</v>
      </c>
      <c r="G493" s="37" t="s">
        <v>1470</v>
      </c>
      <c r="H493" s="37" t="s">
        <v>62</v>
      </c>
      <c r="I493" s="39">
        <v>13675</v>
      </c>
      <c r="J493" s="39">
        <v>11358</v>
      </c>
      <c r="K493" s="43">
        <f t="shared" si="22"/>
        <v>2.5000000000000001E-2</v>
      </c>
      <c r="L493" s="37" t="s">
        <v>2208</v>
      </c>
      <c r="M493" s="40">
        <v>45554</v>
      </c>
      <c r="N493" s="33" t="s">
        <v>57</v>
      </c>
      <c r="O493" s="41">
        <v>547000</v>
      </c>
      <c r="P493" s="34">
        <f t="shared" si="23"/>
        <v>1703.7</v>
      </c>
      <c r="Q493" s="36">
        <f t="shared" si="21"/>
        <v>113.58</v>
      </c>
      <c r="R493" s="35">
        <v>500</v>
      </c>
    </row>
    <row r="494" spans="1:18" x14ac:dyDescent="0.25">
      <c r="A494" s="37" t="s">
        <v>631</v>
      </c>
      <c r="B494" s="37"/>
      <c r="C494" s="37" t="s">
        <v>85</v>
      </c>
      <c r="D494" s="37" t="s">
        <v>2582</v>
      </c>
      <c r="E494" s="38">
        <v>45554</v>
      </c>
      <c r="F494" s="38">
        <v>45919</v>
      </c>
      <c r="G494" s="37" t="s">
        <v>1471</v>
      </c>
      <c r="H494" s="37" t="s">
        <v>62</v>
      </c>
      <c r="I494" s="39">
        <v>13675</v>
      </c>
      <c r="J494" s="39">
        <v>11358</v>
      </c>
      <c r="K494" s="43">
        <f t="shared" si="22"/>
        <v>2.5000000000000001E-2</v>
      </c>
      <c r="L494" s="37" t="s">
        <v>2209</v>
      </c>
      <c r="M494" s="40">
        <v>45554</v>
      </c>
      <c r="N494" s="33" t="s">
        <v>57</v>
      </c>
      <c r="O494" s="41">
        <v>547000</v>
      </c>
      <c r="P494" s="34">
        <f t="shared" si="23"/>
        <v>1703.7</v>
      </c>
      <c r="Q494" s="36">
        <f t="shared" si="21"/>
        <v>113.58</v>
      </c>
      <c r="R494" s="35">
        <v>500</v>
      </c>
    </row>
    <row r="495" spans="1:18" x14ac:dyDescent="0.25">
      <c r="A495" s="37" t="s">
        <v>632</v>
      </c>
      <c r="B495" s="37"/>
      <c r="C495" s="37" t="s">
        <v>85</v>
      </c>
      <c r="D495" s="37" t="s">
        <v>2582</v>
      </c>
      <c r="E495" s="38">
        <v>45554</v>
      </c>
      <c r="F495" s="38">
        <v>45919</v>
      </c>
      <c r="G495" s="37" t="s">
        <v>1472</v>
      </c>
      <c r="H495" s="37" t="s">
        <v>63</v>
      </c>
      <c r="I495" s="39">
        <v>12475</v>
      </c>
      <c r="J495" s="39">
        <v>10323</v>
      </c>
      <c r="K495" s="43">
        <f t="shared" si="22"/>
        <v>2.5000000000000001E-2</v>
      </c>
      <c r="L495" s="37" t="s">
        <v>2210</v>
      </c>
      <c r="M495" s="40">
        <v>45554</v>
      </c>
      <c r="N495" s="33" t="s">
        <v>57</v>
      </c>
      <c r="O495" s="41">
        <v>499000</v>
      </c>
      <c r="P495" s="34">
        <f t="shared" si="23"/>
        <v>1548.45</v>
      </c>
      <c r="Q495" s="36">
        <f t="shared" si="21"/>
        <v>103.23</v>
      </c>
      <c r="R495" s="35">
        <v>500</v>
      </c>
    </row>
    <row r="496" spans="1:18" x14ac:dyDescent="0.25">
      <c r="A496" s="37" t="s">
        <v>633</v>
      </c>
      <c r="B496" s="37"/>
      <c r="C496" s="37" t="s">
        <v>85</v>
      </c>
      <c r="D496" s="37" t="s">
        <v>2582</v>
      </c>
      <c r="E496" s="38">
        <v>45554</v>
      </c>
      <c r="F496" s="38">
        <v>45919</v>
      </c>
      <c r="G496" s="37" t="s">
        <v>1473</v>
      </c>
      <c r="H496" s="37" t="s">
        <v>63</v>
      </c>
      <c r="I496" s="39">
        <v>12475</v>
      </c>
      <c r="J496" s="39">
        <v>10323</v>
      </c>
      <c r="K496" s="43">
        <f t="shared" si="22"/>
        <v>2.5000000000000001E-2</v>
      </c>
      <c r="L496" s="37" t="s">
        <v>2211</v>
      </c>
      <c r="M496" s="40">
        <v>45554</v>
      </c>
      <c r="N496" s="33" t="s">
        <v>57</v>
      </c>
      <c r="O496" s="41">
        <v>499000</v>
      </c>
      <c r="P496" s="34">
        <f t="shared" si="23"/>
        <v>1548.45</v>
      </c>
      <c r="Q496" s="36">
        <f t="shared" si="21"/>
        <v>103.23</v>
      </c>
      <c r="R496" s="35">
        <v>500</v>
      </c>
    </row>
    <row r="497" spans="1:18" x14ac:dyDescent="0.25">
      <c r="A497" s="37" t="s">
        <v>634</v>
      </c>
      <c r="B497" s="37"/>
      <c r="C497" s="37" t="s">
        <v>85</v>
      </c>
      <c r="D497" s="37" t="s">
        <v>2582</v>
      </c>
      <c r="E497" s="38">
        <v>45555</v>
      </c>
      <c r="F497" s="38">
        <v>45920</v>
      </c>
      <c r="G497" s="37" t="s">
        <v>1474</v>
      </c>
      <c r="H497" s="37" t="s">
        <v>60</v>
      </c>
      <c r="I497" s="39">
        <v>8800</v>
      </c>
      <c r="J497" s="39">
        <v>7155</v>
      </c>
      <c r="K497" s="43">
        <f t="shared" si="22"/>
        <v>2.5000000000000001E-2</v>
      </c>
      <c r="L497" s="37" t="s">
        <v>2212</v>
      </c>
      <c r="M497" s="40">
        <v>45555</v>
      </c>
      <c r="N497" s="33" t="s">
        <v>57</v>
      </c>
      <c r="O497" s="41">
        <v>352000</v>
      </c>
      <c r="P497" s="34">
        <f t="shared" si="23"/>
        <v>1073.25</v>
      </c>
      <c r="Q497" s="36">
        <f t="shared" si="21"/>
        <v>71.55</v>
      </c>
      <c r="R497" s="35">
        <v>500</v>
      </c>
    </row>
    <row r="498" spans="1:18" x14ac:dyDescent="0.25">
      <c r="A498" s="37" t="s">
        <v>635</v>
      </c>
      <c r="B498" s="37"/>
      <c r="C498" s="37" t="s">
        <v>51</v>
      </c>
      <c r="D498" s="37" t="s">
        <v>2582</v>
      </c>
      <c r="E498" s="38">
        <v>45555</v>
      </c>
      <c r="F498" s="38">
        <v>45920</v>
      </c>
      <c r="G498" s="37" t="s">
        <v>1475</v>
      </c>
      <c r="H498" s="37" t="s">
        <v>60</v>
      </c>
      <c r="I498" s="39">
        <v>8800</v>
      </c>
      <c r="J498" s="39">
        <v>7155</v>
      </c>
      <c r="K498" s="43">
        <f t="shared" si="22"/>
        <v>2.4999928977474495E-2</v>
      </c>
      <c r="L498" s="37" t="s">
        <v>2213</v>
      </c>
      <c r="M498" s="40">
        <v>45555</v>
      </c>
      <c r="N498" s="33" t="s">
        <v>57</v>
      </c>
      <c r="O498" s="41">
        <v>352001</v>
      </c>
      <c r="P498" s="34">
        <f t="shared" si="23"/>
        <v>1073.25</v>
      </c>
      <c r="Q498" s="36">
        <f t="shared" si="21"/>
        <v>71.55</v>
      </c>
      <c r="R498" s="35">
        <v>500</v>
      </c>
    </row>
    <row r="499" spans="1:18" x14ac:dyDescent="0.25">
      <c r="A499" s="37" t="s">
        <v>636</v>
      </c>
      <c r="B499" s="37"/>
      <c r="C499" s="37" t="s">
        <v>85</v>
      </c>
      <c r="D499" s="37" t="s">
        <v>2582</v>
      </c>
      <c r="E499" s="38">
        <v>45555</v>
      </c>
      <c r="F499" s="38">
        <v>45920</v>
      </c>
      <c r="G499" s="37" t="s">
        <v>1476</v>
      </c>
      <c r="H499" s="37" t="s">
        <v>62</v>
      </c>
      <c r="I499" s="39">
        <v>13675</v>
      </c>
      <c r="J499" s="39">
        <v>11358</v>
      </c>
      <c r="K499" s="43">
        <f t="shared" si="22"/>
        <v>2.5000000000000001E-2</v>
      </c>
      <c r="L499" s="37" t="s">
        <v>2214</v>
      </c>
      <c r="M499" s="40">
        <v>45555</v>
      </c>
      <c r="N499" s="33" t="s">
        <v>57</v>
      </c>
      <c r="O499" s="41">
        <v>547000</v>
      </c>
      <c r="P499" s="34">
        <f t="shared" si="23"/>
        <v>1703.7</v>
      </c>
      <c r="Q499" s="36">
        <f t="shared" si="21"/>
        <v>113.58</v>
      </c>
      <c r="R499" s="35">
        <v>500</v>
      </c>
    </row>
    <row r="500" spans="1:18" x14ac:dyDescent="0.25">
      <c r="A500" s="37" t="s">
        <v>637</v>
      </c>
      <c r="B500" s="37"/>
      <c r="C500" s="37" t="s">
        <v>85</v>
      </c>
      <c r="D500" s="37" t="s">
        <v>2582</v>
      </c>
      <c r="E500" s="38">
        <v>45555</v>
      </c>
      <c r="F500" s="38">
        <v>45920</v>
      </c>
      <c r="G500" s="37" t="s">
        <v>1477</v>
      </c>
      <c r="H500" s="37" t="s">
        <v>61</v>
      </c>
      <c r="I500" s="39">
        <v>9550</v>
      </c>
      <c r="J500" s="39">
        <v>7802</v>
      </c>
      <c r="K500" s="43">
        <f t="shared" si="22"/>
        <v>2.5000000000000001E-2</v>
      </c>
      <c r="L500" s="37" t="s">
        <v>2215</v>
      </c>
      <c r="M500" s="40">
        <v>45555</v>
      </c>
      <c r="N500" s="33" t="s">
        <v>57</v>
      </c>
      <c r="O500" s="41">
        <v>382000</v>
      </c>
      <c r="P500" s="34">
        <f t="shared" si="23"/>
        <v>1170.3</v>
      </c>
      <c r="Q500" s="36">
        <f t="shared" si="21"/>
        <v>78.02</v>
      </c>
      <c r="R500" s="35">
        <v>500</v>
      </c>
    </row>
    <row r="501" spans="1:18" x14ac:dyDescent="0.25">
      <c r="A501" s="37" t="s">
        <v>638</v>
      </c>
      <c r="B501" s="37"/>
      <c r="C501" s="37" t="s">
        <v>51</v>
      </c>
      <c r="D501" s="37" t="s">
        <v>2582</v>
      </c>
      <c r="E501" s="38">
        <v>45555</v>
      </c>
      <c r="F501" s="38">
        <v>45920</v>
      </c>
      <c r="G501" s="37" t="s">
        <v>1478</v>
      </c>
      <c r="H501" s="37" t="s">
        <v>61</v>
      </c>
      <c r="I501" s="39">
        <v>9550</v>
      </c>
      <c r="J501" s="39">
        <v>7802</v>
      </c>
      <c r="K501" s="43">
        <f t="shared" si="22"/>
        <v>2.4999934555145143E-2</v>
      </c>
      <c r="L501" s="37" t="s">
        <v>2216</v>
      </c>
      <c r="M501" s="40">
        <v>45555</v>
      </c>
      <c r="N501" s="33" t="s">
        <v>57</v>
      </c>
      <c r="O501" s="41">
        <v>382001</v>
      </c>
      <c r="P501" s="34">
        <f t="shared" si="23"/>
        <v>1170.3</v>
      </c>
      <c r="Q501" s="36">
        <f t="shared" si="21"/>
        <v>78.02</v>
      </c>
      <c r="R501" s="35">
        <v>500</v>
      </c>
    </row>
    <row r="502" spans="1:18" x14ac:dyDescent="0.25">
      <c r="A502" s="37" t="s">
        <v>639</v>
      </c>
      <c r="B502" s="37"/>
      <c r="C502" s="37" t="s">
        <v>85</v>
      </c>
      <c r="D502" s="37" t="s">
        <v>2582</v>
      </c>
      <c r="E502" s="38">
        <v>45555</v>
      </c>
      <c r="F502" s="38">
        <v>45920</v>
      </c>
      <c r="G502" s="37" t="s">
        <v>1479</v>
      </c>
      <c r="H502" s="37" t="s">
        <v>62</v>
      </c>
      <c r="I502" s="39">
        <v>13675</v>
      </c>
      <c r="J502" s="39">
        <v>11358</v>
      </c>
      <c r="K502" s="43">
        <f t="shared" si="22"/>
        <v>2.5000000000000001E-2</v>
      </c>
      <c r="L502" s="37" t="s">
        <v>2217</v>
      </c>
      <c r="M502" s="40">
        <v>45555</v>
      </c>
      <c r="N502" s="33" t="s">
        <v>57</v>
      </c>
      <c r="O502" s="41">
        <v>547000</v>
      </c>
      <c r="P502" s="34">
        <f t="shared" si="23"/>
        <v>1703.7</v>
      </c>
      <c r="Q502" s="36">
        <f t="shared" si="21"/>
        <v>113.58</v>
      </c>
      <c r="R502" s="35">
        <v>500</v>
      </c>
    </row>
    <row r="503" spans="1:18" x14ac:dyDescent="0.25">
      <c r="A503" s="37" t="s">
        <v>640</v>
      </c>
      <c r="B503" s="37"/>
      <c r="C503" s="37" t="s">
        <v>51</v>
      </c>
      <c r="D503" s="37" t="s">
        <v>2582</v>
      </c>
      <c r="E503" s="38">
        <v>45555</v>
      </c>
      <c r="F503" s="38">
        <v>45920</v>
      </c>
      <c r="G503" s="37" t="s">
        <v>1480</v>
      </c>
      <c r="H503" s="37" t="s">
        <v>60</v>
      </c>
      <c r="I503" s="39">
        <v>8800</v>
      </c>
      <c r="J503" s="39">
        <v>7155</v>
      </c>
      <c r="K503" s="43">
        <f t="shared" si="22"/>
        <v>2.4999928977474495E-2</v>
      </c>
      <c r="L503" s="37" t="s">
        <v>2218</v>
      </c>
      <c r="M503" s="40">
        <v>45555</v>
      </c>
      <c r="N503" s="33" t="s">
        <v>57</v>
      </c>
      <c r="O503" s="41">
        <v>352001</v>
      </c>
      <c r="P503" s="34">
        <f t="shared" si="23"/>
        <v>1073.25</v>
      </c>
      <c r="Q503" s="36">
        <f t="shared" si="21"/>
        <v>71.55</v>
      </c>
      <c r="R503" s="35">
        <v>500</v>
      </c>
    </row>
    <row r="504" spans="1:18" x14ac:dyDescent="0.25">
      <c r="A504" s="37" t="s">
        <v>641</v>
      </c>
      <c r="B504" s="37"/>
      <c r="C504" s="37" t="s">
        <v>85</v>
      </c>
      <c r="D504" s="37" t="s">
        <v>2582</v>
      </c>
      <c r="E504" s="38">
        <v>45555</v>
      </c>
      <c r="F504" s="38">
        <v>45920</v>
      </c>
      <c r="G504" s="37" t="s">
        <v>1481</v>
      </c>
      <c r="H504" s="37" t="s">
        <v>64</v>
      </c>
      <c r="I504" s="39">
        <v>9550</v>
      </c>
      <c r="J504" s="39">
        <v>7802</v>
      </c>
      <c r="K504" s="43">
        <f t="shared" si="22"/>
        <v>2.5000000000000001E-2</v>
      </c>
      <c r="L504" s="37" t="s">
        <v>2219</v>
      </c>
      <c r="M504" s="40">
        <v>45555</v>
      </c>
      <c r="N504" s="33" t="s">
        <v>57</v>
      </c>
      <c r="O504" s="41">
        <v>382000</v>
      </c>
      <c r="P504" s="34">
        <f t="shared" si="23"/>
        <v>1170.3</v>
      </c>
      <c r="Q504" s="36">
        <f t="shared" si="21"/>
        <v>78.02</v>
      </c>
      <c r="R504" s="35">
        <v>500</v>
      </c>
    </row>
    <row r="505" spans="1:18" x14ac:dyDescent="0.25">
      <c r="A505" s="37" t="s">
        <v>642</v>
      </c>
      <c r="B505" s="37"/>
      <c r="C505" s="37" t="s">
        <v>51</v>
      </c>
      <c r="D505" s="37" t="s">
        <v>2582</v>
      </c>
      <c r="E505" s="38">
        <v>45555</v>
      </c>
      <c r="F505" s="38">
        <v>45920</v>
      </c>
      <c r="G505" s="37" t="s">
        <v>1482</v>
      </c>
      <c r="H505" s="37" t="s">
        <v>62</v>
      </c>
      <c r="I505" s="39">
        <v>13675</v>
      </c>
      <c r="J505" s="39">
        <v>11358</v>
      </c>
      <c r="K505" s="43">
        <f t="shared" si="22"/>
        <v>2.499995429624443E-2</v>
      </c>
      <c r="L505" s="37" t="s">
        <v>2220</v>
      </c>
      <c r="M505" s="40">
        <v>45555</v>
      </c>
      <c r="N505" s="33" t="s">
        <v>57</v>
      </c>
      <c r="O505" s="41">
        <v>547001</v>
      </c>
      <c r="P505" s="34">
        <f t="shared" si="23"/>
        <v>1703.7</v>
      </c>
      <c r="Q505" s="36">
        <f t="shared" si="21"/>
        <v>113.58</v>
      </c>
      <c r="R505" s="35">
        <v>500</v>
      </c>
    </row>
    <row r="506" spans="1:18" x14ac:dyDescent="0.25">
      <c r="A506" s="37" t="s">
        <v>643</v>
      </c>
      <c r="B506" s="37"/>
      <c r="C506" s="37" t="s">
        <v>85</v>
      </c>
      <c r="D506" s="37" t="s">
        <v>2582</v>
      </c>
      <c r="E506" s="38">
        <v>45555</v>
      </c>
      <c r="F506" s="38">
        <v>45920</v>
      </c>
      <c r="G506" s="37" t="s">
        <v>1483</v>
      </c>
      <c r="H506" s="37" t="s">
        <v>61</v>
      </c>
      <c r="I506" s="39">
        <v>9550</v>
      </c>
      <c r="J506" s="39">
        <v>7802</v>
      </c>
      <c r="K506" s="43">
        <f t="shared" si="22"/>
        <v>2.5000000000000001E-2</v>
      </c>
      <c r="L506" s="37" t="s">
        <v>2221</v>
      </c>
      <c r="M506" s="40">
        <v>45555</v>
      </c>
      <c r="N506" s="33" t="s">
        <v>57</v>
      </c>
      <c r="O506" s="41">
        <v>382000</v>
      </c>
      <c r="P506" s="34">
        <f t="shared" si="23"/>
        <v>1170.3</v>
      </c>
      <c r="Q506" s="36">
        <f t="shared" si="21"/>
        <v>78.02</v>
      </c>
      <c r="R506" s="35">
        <v>500</v>
      </c>
    </row>
    <row r="507" spans="1:18" x14ac:dyDescent="0.25">
      <c r="A507" s="37" t="s">
        <v>644</v>
      </c>
      <c r="B507" s="37"/>
      <c r="C507" s="37" t="s">
        <v>51</v>
      </c>
      <c r="D507" s="37" t="s">
        <v>2582</v>
      </c>
      <c r="E507" s="38">
        <v>45555</v>
      </c>
      <c r="F507" s="38">
        <v>45920</v>
      </c>
      <c r="G507" s="37" t="s">
        <v>1484</v>
      </c>
      <c r="H507" s="37" t="s">
        <v>62</v>
      </c>
      <c r="I507" s="39">
        <v>13675</v>
      </c>
      <c r="J507" s="39">
        <v>11358</v>
      </c>
      <c r="K507" s="43">
        <f t="shared" si="22"/>
        <v>2.499995429624443E-2</v>
      </c>
      <c r="L507" s="37" t="s">
        <v>2222</v>
      </c>
      <c r="M507" s="40">
        <v>45555</v>
      </c>
      <c r="N507" s="33" t="s">
        <v>57</v>
      </c>
      <c r="O507" s="41">
        <v>547001</v>
      </c>
      <c r="P507" s="34">
        <f t="shared" si="23"/>
        <v>1703.7</v>
      </c>
      <c r="Q507" s="36">
        <f t="shared" si="21"/>
        <v>113.58</v>
      </c>
      <c r="R507" s="35">
        <v>500</v>
      </c>
    </row>
    <row r="508" spans="1:18" x14ac:dyDescent="0.25">
      <c r="A508" s="37" t="s">
        <v>645</v>
      </c>
      <c r="B508" s="37"/>
      <c r="C508" s="37" t="s">
        <v>51</v>
      </c>
      <c r="D508" s="37" t="s">
        <v>2582</v>
      </c>
      <c r="E508" s="38">
        <v>45555</v>
      </c>
      <c r="F508" s="38">
        <v>45920</v>
      </c>
      <c r="G508" s="37" t="s">
        <v>1485</v>
      </c>
      <c r="H508" s="37" t="s">
        <v>60</v>
      </c>
      <c r="I508" s="39">
        <v>8800</v>
      </c>
      <c r="J508" s="39">
        <v>7155</v>
      </c>
      <c r="K508" s="43">
        <f t="shared" si="22"/>
        <v>2.4999928977474495E-2</v>
      </c>
      <c r="L508" s="37" t="s">
        <v>2223</v>
      </c>
      <c r="M508" s="40">
        <v>45555</v>
      </c>
      <c r="N508" s="33" t="s">
        <v>57</v>
      </c>
      <c r="O508" s="41">
        <v>352001</v>
      </c>
      <c r="P508" s="34">
        <f t="shared" si="23"/>
        <v>1073.25</v>
      </c>
      <c r="Q508" s="36">
        <f t="shared" si="21"/>
        <v>71.55</v>
      </c>
      <c r="R508" s="35">
        <v>500</v>
      </c>
    </row>
    <row r="509" spans="1:18" x14ac:dyDescent="0.25">
      <c r="A509" s="37" t="s">
        <v>646</v>
      </c>
      <c r="B509" s="37"/>
      <c r="C509" s="37" t="s">
        <v>51</v>
      </c>
      <c r="D509" s="37" t="s">
        <v>2582</v>
      </c>
      <c r="E509" s="38">
        <v>45555</v>
      </c>
      <c r="F509" s="38">
        <v>45920</v>
      </c>
      <c r="G509" s="37" t="s">
        <v>1486</v>
      </c>
      <c r="H509" s="37" t="s">
        <v>60</v>
      </c>
      <c r="I509" s="39">
        <v>8800</v>
      </c>
      <c r="J509" s="39">
        <v>7155</v>
      </c>
      <c r="K509" s="43">
        <f t="shared" si="22"/>
        <v>2.4999928977474495E-2</v>
      </c>
      <c r="L509" s="37" t="s">
        <v>2224</v>
      </c>
      <c r="M509" s="40">
        <v>45555</v>
      </c>
      <c r="N509" s="33" t="s">
        <v>57</v>
      </c>
      <c r="O509" s="41">
        <v>352001</v>
      </c>
      <c r="P509" s="34">
        <f t="shared" si="23"/>
        <v>1073.25</v>
      </c>
      <c r="Q509" s="36">
        <f t="shared" si="21"/>
        <v>71.55</v>
      </c>
      <c r="R509" s="35">
        <v>500</v>
      </c>
    </row>
    <row r="510" spans="1:18" x14ac:dyDescent="0.25">
      <c r="A510" s="37" t="s">
        <v>647</v>
      </c>
      <c r="B510" s="37"/>
      <c r="C510" s="37" t="s">
        <v>51</v>
      </c>
      <c r="D510" s="37" t="s">
        <v>2582</v>
      </c>
      <c r="E510" s="38">
        <v>45555</v>
      </c>
      <c r="F510" s="38">
        <v>45920</v>
      </c>
      <c r="G510" s="37" t="s">
        <v>1487</v>
      </c>
      <c r="H510" s="37" t="s">
        <v>60</v>
      </c>
      <c r="I510" s="39">
        <v>8800</v>
      </c>
      <c r="J510" s="39">
        <v>7155</v>
      </c>
      <c r="K510" s="43">
        <f t="shared" si="22"/>
        <v>2.4999928977474495E-2</v>
      </c>
      <c r="L510" s="37" t="s">
        <v>2225</v>
      </c>
      <c r="M510" s="40">
        <v>45555</v>
      </c>
      <c r="N510" s="33" t="s">
        <v>57</v>
      </c>
      <c r="O510" s="41">
        <v>352001</v>
      </c>
      <c r="P510" s="34">
        <f t="shared" si="23"/>
        <v>1073.25</v>
      </c>
      <c r="Q510" s="36">
        <f t="shared" si="21"/>
        <v>71.55</v>
      </c>
      <c r="R510" s="35">
        <v>500</v>
      </c>
    </row>
    <row r="511" spans="1:18" x14ac:dyDescent="0.25">
      <c r="A511" s="37" t="s">
        <v>648</v>
      </c>
      <c r="B511" s="37"/>
      <c r="C511" s="37" t="s">
        <v>85</v>
      </c>
      <c r="D511" s="37" t="s">
        <v>2582</v>
      </c>
      <c r="E511" s="38">
        <v>45555</v>
      </c>
      <c r="F511" s="38">
        <v>45920</v>
      </c>
      <c r="G511" s="37" t="s">
        <v>1488</v>
      </c>
      <c r="H511" s="37" t="s">
        <v>63</v>
      </c>
      <c r="I511" s="39">
        <v>12475</v>
      </c>
      <c r="J511" s="39">
        <v>10323</v>
      </c>
      <c r="K511" s="43">
        <f t="shared" si="22"/>
        <v>2.5000000000000001E-2</v>
      </c>
      <c r="L511" s="37" t="s">
        <v>2226</v>
      </c>
      <c r="M511" s="40">
        <v>45555</v>
      </c>
      <c r="N511" s="33" t="s">
        <v>57</v>
      </c>
      <c r="O511" s="41">
        <v>499000</v>
      </c>
      <c r="P511" s="34">
        <f t="shared" si="23"/>
        <v>1548.45</v>
      </c>
      <c r="Q511" s="36">
        <f t="shared" si="21"/>
        <v>103.23</v>
      </c>
      <c r="R511" s="35">
        <v>500</v>
      </c>
    </row>
    <row r="512" spans="1:18" x14ac:dyDescent="0.25">
      <c r="A512" s="37" t="s">
        <v>649</v>
      </c>
      <c r="B512" s="37"/>
      <c r="C512" s="37" t="s">
        <v>85</v>
      </c>
      <c r="D512" s="37" t="s">
        <v>2582</v>
      </c>
      <c r="E512" s="38">
        <v>45555</v>
      </c>
      <c r="F512" s="38">
        <v>45920</v>
      </c>
      <c r="G512" s="37" t="s">
        <v>1489</v>
      </c>
      <c r="H512" s="37" t="s">
        <v>61</v>
      </c>
      <c r="I512" s="39">
        <v>9550</v>
      </c>
      <c r="J512" s="39">
        <v>7802</v>
      </c>
      <c r="K512" s="43">
        <f t="shared" si="22"/>
        <v>2.5000000000000001E-2</v>
      </c>
      <c r="L512" s="37" t="s">
        <v>2227</v>
      </c>
      <c r="M512" s="40">
        <v>45555</v>
      </c>
      <c r="N512" s="33" t="s">
        <v>57</v>
      </c>
      <c r="O512" s="41">
        <v>382000</v>
      </c>
      <c r="P512" s="34">
        <f t="shared" si="23"/>
        <v>1170.3</v>
      </c>
      <c r="Q512" s="36">
        <f t="shared" si="21"/>
        <v>78.02</v>
      </c>
      <c r="R512" s="35">
        <v>500</v>
      </c>
    </row>
    <row r="513" spans="1:18" x14ac:dyDescent="0.25">
      <c r="A513" s="37" t="s">
        <v>650</v>
      </c>
      <c r="B513" s="37"/>
      <c r="C513" s="37" t="s">
        <v>31</v>
      </c>
      <c r="D513" s="37" t="s">
        <v>36</v>
      </c>
      <c r="E513" s="38">
        <v>45555</v>
      </c>
      <c r="F513" s="38">
        <v>45920</v>
      </c>
      <c r="G513" s="37" t="s">
        <v>1490</v>
      </c>
      <c r="H513" s="37" t="s">
        <v>60</v>
      </c>
      <c r="I513" s="39">
        <v>14960</v>
      </c>
      <c r="J513" s="39">
        <v>12466</v>
      </c>
      <c r="K513" s="43">
        <f t="shared" si="22"/>
        <v>4.2500000000000003E-2</v>
      </c>
      <c r="L513" s="37" t="s">
        <v>2228</v>
      </c>
      <c r="M513" s="40">
        <v>45555</v>
      </c>
      <c r="N513" s="33" t="s">
        <v>57</v>
      </c>
      <c r="O513" s="41">
        <v>352000</v>
      </c>
      <c r="P513" s="34">
        <f t="shared" si="23"/>
        <v>1869.9</v>
      </c>
      <c r="Q513" s="36">
        <f t="shared" si="21"/>
        <v>124.66</v>
      </c>
      <c r="R513" s="35">
        <v>500</v>
      </c>
    </row>
    <row r="514" spans="1:18" x14ac:dyDescent="0.25">
      <c r="A514" s="37" t="s">
        <v>651</v>
      </c>
      <c r="B514" s="37"/>
      <c r="C514" s="37" t="s">
        <v>31</v>
      </c>
      <c r="D514" s="37" t="s">
        <v>36</v>
      </c>
      <c r="E514" s="38">
        <v>45921</v>
      </c>
      <c r="F514" s="38">
        <v>46286</v>
      </c>
      <c r="G514" s="37" t="s">
        <v>1490</v>
      </c>
      <c r="H514" s="37" t="s">
        <v>60</v>
      </c>
      <c r="I514" s="39">
        <v>14960</v>
      </c>
      <c r="J514" s="39">
        <v>12466</v>
      </c>
      <c r="K514" s="43">
        <f t="shared" si="22"/>
        <v>4.2500000000000003E-2</v>
      </c>
      <c r="L514" s="37" t="s">
        <v>2228</v>
      </c>
      <c r="M514" s="40">
        <v>45555</v>
      </c>
      <c r="N514" s="33" t="s">
        <v>57</v>
      </c>
      <c r="O514" s="41">
        <v>352000</v>
      </c>
      <c r="P514" s="34">
        <f t="shared" si="23"/>
        <v>1869.9</v>
      </c>
      <c r="Q514" s="36">
        <f t="shared" si="21"/>
        <v>124.66</v>
      </c>
      <c r="R514" s="35">
        <v>500</v>
      </c>
    </row>
    <row r="515" spans="1:18" x14ac:dyDescent="0.25">
      <c r="A515" s="37" t="s">
        <v>652</v>
      </c>
      <c r="B515" s="37"/>
      <c r="C515" s="37" t="s">
        <v>35</v>
      </c>
      <c r="D515" s="37" t="s">
        <v>36</v>
      </c>
      <c r="E515" s="38">
        <v>45555</v>
      </c>
      <c r="F515" s="38">
        <v>45920</v>
      </c>
      <c r="G515" s="37" t="s">
        <v>1491</v>
      </c>
      <c r="H515" s="37" t="s">
        <v>60</v>
      </c>
      <c r="I515" s="39">
        <v>14960</v>
      </c>
      <c r="J515" s="39">
        <v>12466</v>
      </c>
      <c r="K515" s="43">
        <f t="shared" si="22"/>
        <v>4.2500000000000003E-2</v>
      </c>
      <c r="L515" s="37" t="s">
        <v>2229</v>
      </c>
      <c r="M515" s="40">
        <v>45555</v>
      </c>
      <c r="N515" s="33" t="s">
        <v>57</v>
      </c>
      <c r="O515" s="41">
        <v>352000</v>
      </c>
      <c r="P515" s="34">
        <f t="shared" si="23"/>
        <v>1869.9</v>
      </c>
      <c r="Q515" s="36">
        <f t="shared" ref="Q515:Q578" si="24">J515*1/100</f>
        <v>124.66</v>
      </c>
      <c r="R515" s="35">
        <v>500</v>
      </c>
    </row>
    <row r="516" spans="1:18" x14ac:dyDescent="0.25">
      <c r="A516" s="37" t="s">
        <v>653</v>
      </c>
      <c r="B516" s="37"/>
      <c r="C516" s="37" t="s">
        <v>35</v>
      </c>
      <c r="D516" s="37" t="s">
        <v>36</v>
      </c>
      <c r="E516" s="38">
        <v>45921</v>
      </c>
      <c r="F516" s="38">
        <v>46286</v>
      </c>
      <c r="G516" s="37" t="s">
        <v>1491</v>
      </c>
      <c r="H516" s="37" t="s">
        <v>60</v>
      </c>
      <c r="I516" s="39">
        <v>14960</v>
      </c>
      <c r="J516" s="39">
        <v>12466</v>
      </c>
      <c r="K516" s="43">
        <f t="shared" ref="K516:K579" si="25">I516/O516</f>
        <v>4.2500000000000003E-2</v>
      </c>
      <c r="L516" s="37" t="s">
        <v>2229</v>
      </c>
      <c r="M516" s="40">
        <v>45555</v>
      </c>
      <c r="N516" s="33" t="s">
        <v>57</v>
      </c>
      <c r="O516" s="41">
        <v>352000</v>
      </c>
      <c r="P516" s="34">
        <f t="shared" ref="P516:P579" si="26">J516*15/100</f>
        <v>1869.9</v>
      </c>
      <c r="Q516" s="36">
        <f t="shared" si="24"/>
        <v>124.66</v>
      </c>
      <c r="R516" s="35">
        <v>500</v>
      </c>
    </row>
    <row r="517" spans="1:18" x14ac:dyDescent="0.25">
      <c r="A517" s="37" t="s">
        <v>654</v>
      </c>
      <c r="B517" s="37"/>
      <c r="C517" s="37" t="s">
        <v>37</v>
      </c>
      <c r="D517" s="37" t="s">
        <v>2582</v>
      </c>
      <c r="E517" s="38">
        <v>45555</v>
      </c>
      <c r="F517" s="38">
        <v>45920</v>
      </c>
      <c r="G517" s="37" t="s">
        <v>1492</v>
      </c>
      <c r="H517" s="37" t="s">
        <v>60</v>
      </c>
      <c r="I517" s="39">
        <v>8800</v>
      </c>
      <c r="J517" s="39">
        <v>7155</v>
      </c>
      <c r="K517" s="43">
        <f t="shared" si="25"/>
        <v>2.5000000000000001E-2</v>
      </c>
      <c r="L517" s="37" t="s">
        <v>2230</v>
      </c>
      <c r="M517" s="40">
        <v>45555</v>
      </c>
      <c r="N517" s="33" t="s">
        <v>57</v>
      </c>
      <c r="O517" s="41">
        <v>352000</v>
      </c>
      <c r="P517" s="34">
        <f t="shared" si="26"/>
        <v>1073.25</v>
      </c>
      <c r="Q517" s="36">
        <f t="shared" si="24"/>
        <v>71.55</v>
      </c>
      <c r="R517" s="35">
        <v>500</v>
      </c>
    </row>
    <row r="518" spans="1:18" x14ac:dyDescent="0.25">
      <c r="A518" s="37" t="s">
        <v>655</v>
      </c>
      <c r="B518" s="37"/>
      <c r="C518" s="37" t="s">
        <v>55</v>
      </c>
      <c r="D518" s="37" t="s">
        <v>2582</v>
      </c>
      <c r="E518" s="38">
        <v>45555</v>
      </c>
      <c r="F518" s="38">
        <v>45920</v>
      </c>
      <c r="G518" s="37" t="s">
        <v>1493</v>
      </c>
      <c r="H518" s="37" t="s">
        <v>60</v>
      </c>
      <c r="I518" s="39">
        <v>8800</v>
      </c>
      <c r="J518" s="39">
        <v>7155</v>
      </c>
      <c r="K518" s="43">
        <f t="shared" si="25"/>
        <v>2.5000000000000001E-2</v>
      </c>
      <c r="L518" s="37" t="s">
        <v>2231</v>
      </c>
      <c r="M518" s="40">
        <v>45555</v>
      </c>
      <c r="N518" s="33" t="s">
        <v>57</v>
      </c>
      <c r="O518" s="41">
        <v>352000</v>
      </c>
      <c r="P518" s="34">
        <f t="shared" si="26"/>
        <v>1073.25</v>
      </c>
      <c r="Q518" s="36">
        <f t="shared" si="24"/>
        <v>71.55</v>
      </c>
      <c r="R518" s="35">
        <v>500</v>
      </c>
    </row>
    <row r="519" spans="1:18" x14ac:dyDescent="0.25">
      <c r="A519" s="37" t="s">
        <v>656</v>
      </c>
      <c r="B519" s="37"/>
      <c r="C519" s="37" t="s">
        <v>37</v>
      </c>
      <c r="D519" s="37" t="s">
        <v>2582</v>
      </c>
      <c r="E519" s="38">
        <v>45555</v>
      </c>
      <c r="F519" s="38">
        <v>45920</v>
      </c>
      <c r="G519" s="37" t="s">
        <v>1454</v>
      </c>
      <c r="H519" s="37" t="s">
        <v>63</v>
      </c>
      <c r="I519" s="39">
        <v>12475</v>
      </c>
      <c r="J519" s="39">
        <v>10323</v>
      </c>
      <c r="K519" s="43">
        <f t="shared" si="25"/>
        <v>2.5000000000000001E-2</v>
      </c>
      <c r="L519" s="37" t="s">
        <v>2232</v>
      </c>
      <c r="M519" s="40">
        <v>45555</v>
      </c>
      <c r="N519" s="33" t="s">
        <v>57</v>
      </c>
      <c r="O519" s="41">
        <v>499000</v>
      </c>
      <c r="P519" s="34">
        <f t="shared" si="26"/>
        <v>1548.45</v>
      </c>
      <c r="Q519" s="36">
        <f t="shared" si="24"/>
        <v>103.23</v>
      </c>
      <c r="R519" s="35">
        <v>500</v>
      </c>
    </row>
    <row r="520" spans="1:18" x14ac:dyDescent="0.25">
      <c r="A520" s="37" t="s">
        <v>657</v>
      </c>
      <c r="B520" s="37"/>
      <c r="C520" s="37" t="s">
        <v>37</v>
      </c>
      <c r="D520" s="37" t="s">
        <v>2582</v>
      </c>
      <c r="E520" s="38">
        <v>45555</v>
      </c>
      <c r="F520" s="38">
        <v>45920</v>
      </c>
      <c r="G520" s="37" t="s">
        <v>1494</v>
      </c>
      <c r="H520" s="37" t="s">
        <v>63</v>
      </c>
      <c r="I520" s="39">
        <v>12475</v>
      </c>
      <c r="J520" s="39">
        <v>10323</v>
      </c>
      <c r="K520" s="43">
        <f t="shared" si="25"/>
        <v>2.5000000000000001E-2</v>
      </c>
      <c r="L520" s="37" t="s">
        <v>2233</v>
      </c>
      <c r="M520" s="40">
        <v>45555</v>
      </c>
      <c r="N520" s="33" t="s">
        <v>57</v>
      </c>
      <c r="O520" s="41">
        <v>499000</v>
      </c>
      <c r="P520" s="34">
        <f t="shared" si="26"/>
        <v>1548.45</v>
      </c>
      <c r="Q520" s="36">
        <f t="shared" si="24"/>
        <v>103.23</v>
      </c>
      <c r="R520" s="35">
        <v>500</v>
      </c>
    </row>
    <row r="521" spans="1:18" x14ac:dyDescent="0.25">
      <c r="A521" s="37" t="s">
        <v>658</v>
      </c>
      <c r="B521" s="37"/>
      <c r="C521" s="37" t="s">
        <v>55</v>
      </c>
      <c r="D521" s="37" t="s">
        <v>2582</v>
      </c>
      <c r="E521" s="38">
        <v>45555</v>
      </c>
      <c r="F521" s="38">
        <v>45920</v>
      </c>
      <c r="G521" s="37" t="s">
        <v>1495</v>
      </c>
      <c r="H521" s="37" t="s">
        <v>60</v>
      </c>
      <c r="I521" s="39">
        <v>8800</v>
      </c>
      <c r="J521" s="39">
        <v>7155</v>
      </c>
      <c r="K521" s="43">
        <f t="shared" si="25"/>
        <v>2.5000000000000001E-2</v>
      </c>
      <c r="L521" s="37" t="s">
        <v>2234</v>
      </c>
      <c r="M521" s="40">
        <v>45555</v>
      </c>
      <c r="N521" s="33" t="s">
        <v>57</v>
      </c>
      <c r="O521" s="41">
        <v>352000</v>
      </c>
      <c r="P521" s="34">
        <f t="shared" si="26"/>
        <v>1073.25</v>
      </c>
      <c r="Q521" s="36">
        <f t="shared" si="24"/>
        <v>71.55</v>
      </c>
      <c r="R521" s="35">
        <v>500</v>
      </c>
    </row>
    <row r="522" spans="1:18" x14ac:dyDescent="0.25">
      <c r="A522" s="37" t="s">
        <v>659</v>
      </c>
      <c r="B522" s="37"/>
      <c r="C522" s="37" t="s">
        <v>55</v>
      </c>
      <c r="D522" s="37" t="s">
        <v>2582</v>
      </c>
      <c r="E522" s="38">
        <v>45555</v>
      </c>
      <c r="F522" s="38">
        <v>45920</v>
      </c>
      <c r="G522" s="37" t="s">
        <v>1496</v>
      </c>
      <c r="H522" s="37" t="s">
        <v>60</v>
      </c>
      <c r="I522" s="39">
        <v>8800</v>
      </c>
      <c r="J522" s="39">
        <v>7155</v>
      </c>
      <c r="K522" s="43">
        <f t="shared" si="25"/>
        <v>2.5000000000000001E-2</v>
      </c>
      <c r="L522" s="37" t="s">
        <v>2235</v>
      </c>
      <c r="M522" s="40">
        <v>45555</v>
      </c>
      <c r="N522" s="33" t="s">
        <v>57</v>
      </c>
      <c r="O522" s="41">
        <v>352000</v>
      </c>
      <c r="P522" s="34">
        <f t="shared" si="26"/>
        <v>1073.25</v>
      </c>
      <c r="Q522" s="36">
        <f t="shared" si="24"/>
        <v>71.55</v>
      </c>
      <c r="R522" s="35">
        <v>500</v>
      </c>
    </row>
    <row r="523" spans="1:18" x14ac:dyDescent="0.25">
      <c r="A523" s="37" t="s">
        <v>660</v>
      </c>
      <c r="B523" s="37"/>
      <c r="C523" s="37" t="s">
        <v>37</v>
      </c>
      <c r="D523" s="37" t="s">
        <v>2582</v>
      </c>
      <c r="E523" s="38">
        <v>45555</v>
      </c>
      <c r="F523" s="38">
        <v>45920</v>
      </c>
      <c r="G523" s="37" t="s">
        <v>1497</v>
      </c>
      <c r="H523" s="37" t="s">
        <v>63</v>
      </c>
      <c r="I523" s="39">
        <v>12475</v>
      </c>
      <c r="J523" s="39">
        <v>10323</v>
      </c>
      <c r="K523" s="43">
        <f t="shared" si="25"/>
        <v>2.5000000000000001E-2</v>
      </c>
      <c r="L523" s="37" t="s">
        <v>2236</v>
      </c>
      <c r="M523" s="40">
        <v>45555</v>
      </c>
      <c r="N523" s="33" t="s">
        <v>57</v>
      </c>
      <c r="O523" s="41">
        <v>499000</v>
      </c>
      <c r="P523" s="34">
        <f t="shared" si="26"/>
        <v>1548.45</v>
      </c>
      <c r="Q523" s="36">
        <f t="shared" si="24"/>
        <v>103.23</v>
      </c>
      <c r="R523" s="35">
        <v>500</v>
      </c>
    </row>
    <row r="524" spans="1:18" x14ac:dyDescent="0.25">
      <c r="A524" s="37" t="s">
        <v>661</v>
      </c>
      <c r="B524" s="37"/>
      <c r="C524" s="37" t="s">
        <v>55</v>
      </c>
      <c r="D524" s="37" t="s">
        <v>2582</v>
      </c>
      <c r="E524" s="38">
        <v>45555</v>
      </c>
      <c r="F524" s="38">
        <v>45920</v>
      </c>
      <c r="G524" s="37" t="s">
        <v>1127</v>
      </c>
      <c r="H524" s="37" t="s">
        <v>60</v>
      </c>
      <c r="I524" s="39">
        <v>8800</v>
      </c>
      <c r="J524" s="39">
        <v>7155</v>
      </c>
      <c r="K524" s="43">
        <f t="shared" si="25"/>
        <v>2.5000000000000001E-2</v>
      </c>
      <c r="L524" s="37" t="s">
        <v>2237</v>
      </c>
      <c r="M524" s="40">
        <v>45555</v>
      </c>
      <c r="N524" s="33" t="s">
        <v>57</v>
      </c>
      <c r="O524" s="41">
        <v>352000</v>
      </c>
      <c r="P524" s="34">
        <f t="shared" si="26"/>
        <v>1073.25</v>
      </c>
      <c r="Q524" s="36">
        <f t="shared" si="24"/>
        <v>71.55</v>
      </c>
      <c r="R524" s="35">
        <v>500</v>
      </c>
    </row>
    <row r="525" spans="1:18" x14ac:dyDescent="0.25">
      <c r="A525" s="37" t="s">
        <v>662</v>
      </c>
      <c r="B525" s="37"/>
      <c r="C525" s="37" t="s">
        <v>55</v>
      </c>
      <c r="D525" s="37" t="s">
        <v>2582</v>
      </c>
      <c r="E525" s="38">
        <v>45555</v>
      </c>
      <c r="F525" s="38">
        <v>45920</v>
      </c>
      <c r="G525" s="37" t="s">
        <v>1498</v>
      </c>
      <c r="H525" s="37" t="s">
        <v>60</v>
      </c>
      <c r="I525" s="39">
        <v>8800</v>
      </c>
      <c r="J525" s="39">
        <v>7155</v>
      </c>
      <c r="K525" s="43">
        <f t="shared" si="25"/>
        <v>2.5000000000000001E-2</v>
      </c>
      <c r="L525" s="37" t="s">
        <v>2238</v>
      </c>
      <c r="M525" s="40">
        <v>45555</v>
      </c>
      <c r="N525" s="33" t="s">
        <v>57</v>
      </c>
      <c r="O525" s="41">
        <v>352000</v>
      </c>
      <c r="P525" s="34">
        <f t="shared" si="26"/>
        <v>1073.25</v>
      </c>
      <c r="Q525" s="36">
        <f t="shared" si="24"/>
        <v>71.55</v>
      </c>
      <c r="R525" s="35">
        <v>500</v>
      </c>
    </row>
    <row r="526" spans="1:18" x14ac:dyDescent="0.25">
      <c r="A526" s="37" t="s">
        <v>663</v>
      </c>
      <c r="B526" s="37"/>
      <c r="C526" s="37" t="s">
        <v>55</v>
      </c>
      <c r="D526" s="37" t="s">
        <v>2582</v>
      </c>
      <c r="E526" s="38">
        <v>45555</v>
      </c>
      <c r="F526" s="38">
        <v>45920</v>
      </c>
      <c r="G526" s="37" t="s">
        <v>86</v>
      </c>
      <c r="H526" s="37" t="s">
        <v>60</v>
      </c>
      <c r="I526" s="39">
        <v>8800</v>
      </c>
      <c r="J526" s="39">
        <v>7155</v>
      </c>
      <c r="K526" s="43">
        <f t="shared" si="25"/>
        <v>2.5000000000000001E-2</v>
      </c>
      <c r="L526" s="37" t="s">
        <v>2239</v>
      </c>
      <c r="M526" s="40">
        <v>45555</v>
      </c>
      <c r="N526" s="33" t="s">
        <v>57</v>
      </c>
      <c r="O526" s="41">
        <v>352000</v>
      </c>
      <c r="P526" s="34">
        <f t="shared" si="26"/>
        <v>1073.25</v>
      </c>
      <c r="Q526" s="36">
        <f t="shared" si="24"/>
        <v>71.55</v>
      </c>
      <c r="R526" s="35">
        <v>500</v>
      </c>
    </row>
    <row r="527" spans="1:18" x14ac:dyDescent="0.25">
      <c r="A527" s="37" t="s">
        <v>664</v>
      </c>
      <c r="B527" s="37"/>
      <c r="C527" s="37" t="s">
        <v>55</v>
      </c>
      <c r="D527" s="37" t="s">
        <v>2582</v>
      </c>
      <c r="E527" s="38">
        <v>45555</v>
      </c>
      <c r="F527" s="38">
        <v>45920</v>
      </c>
      <c r="G527" s="37" t="s">
        <v>1499</v>
      </c>
      <c r="H527" s="37" t="s">
        <v>60</v>
      </c>
      <c r="I527" s="39">
        <v>8800</v>
      </c>
      <c r="J527" s="39">
        <v>7155</v>
      </c>
      <c r="K527" s="43">
        <f t="shared" si="25"/>
        <v>2.5000000000000001E-2</v>
      </c>
      <c r="L527" s="37" t="s">
        <v>2240</v>
      </c>
      <c r="M527" s="40">
        <v>45555</v>
      </c>
      <c r="N527" s="33" t="s">
        <v>57</v>
      </c>
      <c r="O527" s="41">
        <v>352000</v>
      </c>
      <c r="P527" s="34">
        <f t="shared" si="26"/>
        <v>1073.25</v>
      </c>
      <c r="Q527" s="36">
        <f t="shared" si="24"/>
        <v>71.55</v>
      </c>
      <c r="R527" s="35">
        <v>500</v>
      </c>
    </row>
    <row r="528" spans="1:18" x14ac:dyDescent="0.25">
      <c r="A528" s="37" t="s">
        <v>665</v>
      </c>
      <c r="B528" s="37"/>
      <c r="C528" s="37" t="s">
        <v>35</v>
      </c>
      <c r="D528" s="37" t="s">
        <v>36</v>
      </c>
      <c r="E528" s="38">
        <v>45555</v>
      </c>
      <c r="F528" s="38">
        <v>45920</v>
      </c>
      <c r="G528" s="37" t="s">
        <v>1500</v>
      </c>
      <c r="H528" s="37" t="s">
        <v>60</v>
      </c>
      <c r="I528" s="39">
        <v>14960</v>
      </c>
      <c r="J528" s="39">
        <v>12466</v>
      </c>
      <c r="K528" s="43">
        <f t="shared" si="25"/>
        <v>4.2500000000000003E-2</v>
      </c>
      <c r="L528" s="37" t="s">
        <v>2241</v>
      </c>
      <c r="M528" s="40">
        <v>45555</v>
      </c>
      <c r="N528" s="33" t="s">
        <v>57</v>
      </c>
      <c r="O528" s="41">
        <v>352000</v>
      </c>
      <c r="P528" s="34">
        <f t="shared" si="26"/>
        <v>1869.9</v>
      </c>
      <c r="Q528" s="36">
        <f t="shared" si="24"/>
        <v>124.66</v>
      </c>
      <c r="R528" s="35">
        <v>500</v>
      </c>
    </row>
    <row r="529" spans="1:18" x14ac:dyDescent="0.25">
      <c r="A529" s="37" t="s">
        <v>666</v>
      </c>
      <c r="B529" s="37"/>
      <c r="C529" s="37" t="s">
        <v>35</v>
      </c>
      <c r="D529" s="37" t="s">
        <v>36</v>
      </c>
      <c r="E529" s="38">
        <v>45921</v>
      </c>
      <c r="F529" s="38">
        <v>46286</v>
      </c>
      <c r="G529" s="37" t="s">
        <v>1500</v>
      </c>
      <c r="H529" s="37" t="s">
        <v>60</v>
      </c>
      <c r="I529" s="39">
        <v>14960</v>
      </c>
      <c r="J529" s="39">
        <v>12466</v>
      </c>
      <c r="K529" s="43">
        <f t="shared" si="25"/>
        <v>4.2500000000000003E-2</v>
      </c>
      <c r="L529" s="37" t="s">
        <v>2241</v>
      </c>
      <c r="M529" s="40">
        <v>45555</v>
      </c>
      <c r="N529" s="33" t="s">
        <v>57</v>
      </c>
      <c r="O529" s="41">
        <v>352000</v>
      </c>
      <c r="P529" s="34">
        <f t="shared" si="26"/>
        <v>1869.9</v>
      </c>
      <c r="Q529" s="36">
        <f t="shared" si="24"/>
        <v>124.66</v>
      </c>
      <c r="R529" s="35">
        <v>500</v>
      </c>
    </row>
    <row r="530" spans="1:18" x14ac:dyDescent="0.25">
      <c r="A530" s="37" t="s">
        <v>667</v>
      </c>
      <c r="B530" s="37"/>
      <c r="C530" s="37" t="s">
        <v>84</v>
      </c>
      <c r="D530" s="37" t="s">
        <v>2582</v>
      </c>
      <c r="E530" s="38">
        <v>45555</v>
      </c>
      <c r="F530" s="38">
        <v>45920</v>
      </c>
      <c r="G530" s="37" t="s">
        <v>1501</v>
      </c>
      <c r="H530" s="37" t="s">
        <v>60</v>
      </c>
      <c r="I530" s="39">
        <v>8800</v>
      </c>
      <c r="J530" s="39">
        <v>7155</v>
      </c>
      <c r="K530" s="43">
        <f t="shared" si="25"/>
        <v>2.5000000000000001E-2</v>
      </c>
      <c r="L530" s="37" t="s">
        <v>2242</v>
      </c>
      <c r="M530" s="40">
        <v>45555</v>
      </c>
      <c r="N530" s="33" t="s">
        <v>57</v>
      </c>
      <c r="O530" s="41">
        <v>352000</v>
      </c>
      <c r="P530" s="34">
        <f t="shared" si="26"/>
        <v>1073.25</v>
      </c>
      <c r="Q530" s="36">
        <f t="shared" si="24"/>
        <v>71.55</v>
      </c>
      <c r="R530" s="35">
        <v>500</v>
      </c>
    </row>
    <row r="531" spans="1:18" x14ac:dyDescent="0.25">
      <c r="A531" s="37" t="s">
        <v>668</v>
      </c>
      <c r="B531" s="37"/>
      <c r="C531" s="37" t="s">
        <v>37</v>
      </c>
      <c r="D531" s="37" t="s">
        <v>2582</v>
      </c>
      <c r="E531" s="38">
        <v>45555</v>
      </c>
      <c r="F531" s="38">
        <v>45920</v>
      </c>
      <c r="G531" s="37" t="s">
        <v>1502</v>
      </c>
      <c r="H531" s="37" t="s">
        <v>63</v>
      </c>
      <c r="I531" s="39">
        <v>12475</v>
      </c>
      <c r="J531" s="39">
        <v>10323</v>
      </c>
      <c r="K531" s="43">
        <f t="shared" si="25"/>
        <v>2.5000000000000001E-2</v>
      </c>
      <c r="L531" s="37" t="s">
        <v>2243</v>
      </c>
      <c r="M531" s="40">
        <v>45555</v>
      </c>
      <c r="N531" s="33" t="s">
        <v>57</v>
      </c>
      <c r="O531" s="41">
        <v>499000</v>
      </c>
      <c r="P531" s="34">
        <f t="shared" si="26"/>
        <v>1548.45</v>
      </c>
      <c r="Q531" s="36">
        <f t="shared" si="24"/>
        <v>103.23</v>
      </c>
      <c r="R531" s="35">
        <v>500</v>
      </c>
    </row>
    <row r="532" spans="1:18" x14ac:dyDescent="0.25">
      <c r="A532" s="37" t="s">
        <v>669</v>
      </c>
      <c r="B532" s="37"/>
      <c r="C532" s="37" t="s">
        <v>84</v>
      </c>
      <c r="D532" s="37" t="s">
        <v>2582</v>
      </c>
      <c r="E532" s="38">
        <v>45555</v>
      </c>
      <c r="F532" s="38">
        <v>45920</v>
      </c>
      <c r="G532" s="37" t="s">
        <v>1503</v>
      </c>
      <c r="H532" s="37" t="s">
        <v>60</v>
      </c>
      <c r="I532" s="39">
        <v>8800</v>
      </c>
      <c r="J532" s="39">
        <v>7155</v>
      </c>
      <c r="K532" s="43">
        <f t="shared" si="25"/>
        <v>2.5000000000000001E-2</v>
      </c>
      <c r="L532" s="37" t="s">
        <v>2244</v>
      </c>
      <c r="M532" s="40">
        <v>45555</v>
      </c>
      <c r="N532" s="33" t="s">
        <v>57</v>
      </c>
      <c r="O532" s="41">
        <v>352000</v>
      </c>
      <c r="P532" s="34">
        <f t="shared" si="26"/>
        <v>1073.25</v>
      </c>
      <c r="Q532" s="36">
        <f t="shared" si="24"/>
        <v>71.55</v>
      </c>
      <c r="R532" s="35">
        <v>500</v>
      </c>
    </row>
    <row r="533" spans="1:18" x14ac:dyDescent="0.25">
      <c r="A533" s="37" t="s">
        <v>670</v>
      </c>
      <c r="B533" s="37"/>
      <c r="C533" s="37" t="s">
        <v>84</v>
      </c>
      <c r="D533" s="37" t="s">
        <v>2582</v>
      </c>
      <c r="E533" s="38">
        <v>45555</v>
      </c>
      <c r="F533" s="38">
        <v>45920</v>
      </c>
      <c r="G533" s="37" t="s">
        <v>1504</v>
      </c>
      <c r="H533" s="37" t="s">
        <v>60</v>
      </c>
      <c r="I533" s="39">
        <v>8800</v>
      </c>
      <c r="J533" s="39">
        <v>7155</v>
      </c>
      <c r="K533" s="43">
        <f t="shared" si="25"/>
        <v>2.5000000000000001E-2</v>
      </c>
      <c r="L533" s="37" t="s">
        <v>2245</v>
      </c>
      <c r="M533" s="40">
        <v>45555</v>
      </c>
      <c r="N533" s="33" t="s">
        <v>57</v>
      </c>
      <c r="O533" s="41">
        <v>352000</v>
      </c>
      <c r="P533" s="34">
        <f t="shared" si="26"/>
        <v>1073.25</v>
      </c>
      <c r="Q533" s="36">
        <f t="shared" si="24"/>
        <v>71.55</v>
      </c>
      <c r="R533" s="35">
        <v>500</v>
      </c>
    </row>
    <row r="534" spans="1:18" x14ac:dyDescent="0.25">
      <c r="A534" s="37" t="s">
        <v>671</v>
      </c>
      <c r="B534" s="37"/>
      <c r="C534" s="37" t="s">
        <v>84</v>
      </c>
      <c r="D534" s="37" t="s">
        <v>2582</v>
      </c>
      <c r="E534" s="38">
        <v>45555</v>
      </c>
      <c r="F534" s="38">
        <v>45920</v>
      </c>
      <c r="G534" s="37" t="s">
        <v>1505</v>
      </c>
      <c r="H534" s="37" t="s">
        <v>62</v>
      </c>
      <c r="I534" s="39">
        <v>13675</v>
      </c>
      <c r="J534" s="39">
        <v>11358</v>
      </c>
      <c r="K534" s="43">
        <f t="shared" si="25"/>
        <v>2.5000000000000001E-2</v>
      </c>
      <c r="L534" s="37" t="s">
        <v>2246</v>
      </c>
      <c r="M534" s="40">
        <v>45555</v>
      </c>
      <c r="N534" s="33" t="s">
        <v>57</v>
      </c>
      <c r="O534" s="41">
        <v>547000</v>
      </c>
      <c r="P534" s="34">
        <f t="shared" si="26"/>
        <v>1703.7</v>
      </c>
      <c r="Q534" s="36">
        <f t="shared" si="24"/>
        <v>113.58</v>
      </c>
      <c r="R534" s="35">
        <v>500</v>
      </c>
    </row>
    <row r="535" spans="1:18" x14ac:dyDescent="0.25">
      <c r="A535" s="37" t="s">
        <v>672</v>
      </c>
      <c r="B535" s="37"/>
      <c r="C535" s="37" t="s">
        <v>69</v>
      </c>
      <c r="D535" s="37" t="s">
        <v>2582</v>
      </c>
      <c r="E535" s="38">
        <v>45555</v>
      </c>
      <c r="F535" s="38">
        <v>45920</v>
      </c>
      <c r="G535" s="37" t="s">
        <v>1506</v>
      </c>
      <c r="H535" s="37" t="s">
        <v>61</v>
      </c>
      <c r="I535" s="39">
        <v>9550</v>
      </c>
      <c r="J535" s="39">
        <v>7802</v>
      </c>
      <c r="K535" s="43">
        <f t="shared" si="25"/>
        <v>2.5000000000000001E-2</v>
      </c>
      <c r="L535" s="37" t="s">
        <v>2247</v>
      </c>
      <c r="M535" s="40">
        <v>45555</v>
      </c>
      <c r="N535" s="33" t="s">
        <v>57</v>
      </c>
      <c r="O535" s="41">
        <v>382000</v>
      </c>
      <c r="P535" s="34">
        <f t="shared" si="26"/>
        <v>1170.3</v>
      </c>
      <c r="Q535" s="36">
        <f t="shared" si="24"/>
        <v>78.02</v>
      </c>
      <c r="R535" s="35">
        <v>500</v>
      </c>
    </row>
    <row r="536" spans="1:18" x14ac:dyDescent="0.25">
      <c r="A536" s="37" t="s">
        <v>673</v>
      </c>
      <c r="B536" s="37"/>
      <c r="C536" s="37" t="s">
        <v>69</v>
      </c>
      <c r="D536" s="37" t="s">
        <v>2582</v>
      </c>
      <c r="E536" s="38">
        <v>45555</v>
      </c>
      <c r="F536" s="38">
        <v>45920</v>
      </c>
      <c r="G536" s="37" t="s">
        <v>1507</v>
      </c>
      <c r="H536" s="37" t="s">
        <v>61</v>
      </c>
      <c r="I536" s="39">
        <v>9550</v>
      </c>
      <c r="J536" s="39">
        <v>7802</v>
      </c>
      <c r="K536" s="43">
        <f t="shared" si="25"/>
        <v>2.5000000000000001E-2</v>
      </c>
      <c r="L536" s="37" t="s">
        <v>2248</v>
      </c>
      <c r="M536" s="40">
        <v>45555</v>
      </c>
      <c r="N536" s="33" t="s">
        <v>57</v>
      </c>
      <c r="O536" s="41">
        <v>382000</v>
      </c>
      <c r="P536" s="34">
        <f t="shared" si="26"/>
        <v>1170.3</v>
      </c>
      <c r="Q536" s="36">
        <f t="shared" si="24"/>
        <v>78.02</v>
      </c>
      <c r="R536" s="35">
        <v>500</v>
      </c>
    </row>
    <row r="537" spans="1:18" x14ac:dyDescent="0.25">
      <c r="A537" s="37" t="s">
        <v>674</v>
      </c>
      <c r="B537" s="37"/>
      <c r="C537" s="37" t="s">
        <v>33</v>
      </c>
      <c r="D537" s="37" t="s">
        <v>36</v>
      </c>
      <c r="E537" s="38">
        <v>45555</v>
      </c>
      <c r="F537" s="38">
        <v>45920</v>
      </c>
      <c r="G537" s="37" t="s">
        <v>91</v>
      </c>
      <c r="H537" s="37" t="s">
        <v>60</v>
      </c>
      <c r="I537" s="39">
        <v>14960</v>
      </c>
      <c r="J537" s="39">
        <v>12466</v>
      </c>
      <c r="K537" s="43">
        <f t="shared" si="25"/>
        <v>4.2500000000000003E-2</v>
      </c>
      <c r="L537" s="37" t="s">
        <v>2249</v>
      </c>
      <c r="M537" s="40">
        <v>45555</v>
      </c>
      <c r="N537" s="33" t="s">
        <v>57</v>
      </c>
      <c r="O537" s="41">
        <v>352000</v>
      </c>
      <c r="P537" s="34">
        <f t="shared" si="26"/>
        <v>1869.9</v>
      </c>
      <c r="Q537" s="36">
        <f t="shared" si="24"/>
        <v>124.66</v>
      </c>
      <c r="R537" s="35">
        <v>500</v>
      </c>
    </row>
    <row r="538" spans="1:18" x14ac:dyDescent="0.25">
      <c r="A538" s="37" t="s">
        <v>675</v>
      </c>
      <c r="B538" s="37"/>
      <c r="C538" s="37" t="s">
        <v>33</v>
      </c>
      <c r="D538" s="37" t="s">
        <v>36</v>
      </c>
      <c r="E538" s="38">
        <v>45921</v>
      </c>
      <c r="F538" s="38">
        <v>46286</v>
      </c>
      <c r="G538" s="37" t="s">
        <v>91</v>
      </c>
      <c r="H538" s="37" t="s">
        <v>60</v>
      </c>
      <c r="I538" s="39">
        <v>14960</v>
      </c>
      <c r="J538" s="39">
        <v>12466</v>
      </c>
      <c r="K538" s="43">
        <f t="shared" si="25"/>
        <v>4.2500000000000003E-2</v>
      </c>
      <c r="L538" s="37" t="s">
        <v>2249</v>
      </c>
      <c r="M538" s="40">
        <v>45555</v>
      </c>
      <c r="N538" s="33" t="s">
        <v>57</v>
      </c>
      <c r="O538" s="41">
        <v>352000</v>
      </c>
      <c r="P538" s="34">
        <f t="shared" si="26"/>
        <v>1869.9</v>
      </c>
      <c r="Q538" s="36">
        <f t="shared" si="24"/>
        <v>124.66</v>
      </c>
      <c r="R538" s="35">
        <v>500</v>
      </c>
    </row>
    <row r="539" spans="1:18" x14ac:dyDescent="0.25">
      <c r="A539" s="37" t="s">
        <v>676</v>
      </c>
      <c r="B539" s="37"/>
      <c r="C539" s="37" t="s">
        <v>37</v>
      </c>
      <c r="D539" s="37" t="s">
        <v>2582</v>
      </c>
      <c r="E539" s="38">
        <v>45555</v>
      </c>
      <c r="F539" s="38">
        <v>45920</v>
      </c>
      <c r="G539" s="37" t="s">
        <v>93</v>
      </c>
      <c r="H539" s="37" t="s">
        <v>60</v>
      </c>
      <c r="I539" s="39">
        <v>8800</v>
      </c>
      <c r="J539" s="39">
        <v>7155</v>
      </c>
      <c r="K539" s="43">
        <f t="shared" si="25"/>
        <v>2.5000000000000001E-2</v>
      </c>
      <c r="L539" s="37" t="s">
        <v>2250</v>
      </c>
      <c r="M539" s="40">
        <v>45555</v>
      </c>
      <c r="N539" s="33" t="s">
        <v>57</v>
      </c>
      <c r="O539" s="41">
        <v>352000</v>
      </c>
      <c r="P539" s="34">
        <f t="shared" si="26"/>
        <v>1073.25</v>
      </c>
      <c r="Q539" s="36">
        <f t="shared" si="24"/>
        <v>71.55</v>
      </c>
      <c r="R539" s="35">
        <v>500</v>
      </c>
    </row>
    <row r="540" spans="1:18" x14ac:dyDescent="0.25">
      <c r="A540" s="37" t="s">
        <v>677</v>
      </c>
      <c r="B540" s="37"/>
      <c r="C540" s="37" t="s">
        <v>49</v>
      </c>
      <c r="D540" s="37" t="s">
        <v>2582</v>
      </c>
      <c r="E540" s="38">
        <v>45555</v>
      </c>
      <c r="F540" s="38">
        <v>45920</v>
      </c>
      <c r="G540" s="37" t="s">
        <v>95</v>
      </c>
      <c r="H540" s="37" t="s">
        <v>62</v>
      </c>
      <c r="I540" s="39">
        <v>13675</v>
      </c>
      <c r="J540" s="39">
        <v>11358</v>
      </c>
      <c r="K540" s="43">
        <f t="shared" si="25"/>
        <v>2.5000000000000001E-2</v>
      </c>
      <c r="L540" s="37" t="s">
        <v>2251</v>
      </c>
      <c r="M540" s="40">
        <v>45555</v>
      </c>
      <c r="N540" s="33" t="s">
        <v>57</v>
      </c>
      <c r="O540" s="41">
        <v>547000</v>
      </c>
      <c r="P540" s="34">
        <f t="shared" si="26"/>
        <v>1703.7</v>
      </c>
      <c r="Q540" s="36">
        <f t="shared" si="24"/>
        <v>113.58</v>
      </c>
      <c r="R540" s="35">
        <v>500</v>
      </c>
    </row>
    <row r="541" spans="1:18" x14ac:dyDescent="0.25">
      <c r="A541" s="37" t="s">
        <v>678</v>
      </c>
      <c r="B541" s="37"/>
      <c r="C541" s="37" t="s">
        <v>35</v>
      </c>
      <c r="D541" s="37" t="s">
        <v>36</v>
      </c>
      <c r="E541" s="38">
        <v>45555</v>
      </c>
      <c r="F541" s="38">
        <v>45920</v>
      </c>
      <c r="G541" s="37" t="s">
        <v>1508</v>
      </c>
      <c r="H541" s="37" t="s">
        <v>60</v>
      </c>
      <c r="I541" s="39">
        <v>14960</v>
      </c>
      <c r="J541" s="39">
        <v>12466</v>
      </c>
      <c r="K541" s="43">
        <f t="shared" si="25"/>
        <v>4.2500000000000003E-2</v>
      </c>
      <c r="L541" s="37" t="s">
        <v>2252</v>
      </c>
      <c r="M541" s="40">
        <v>45555</v>
      </c>
      <c r="N541" s="33" t="s">
        <v>57</v>
      </c>
      <c r="O541" s="41">
        <v>352000</v>
      </c>
      <c r="P541" s="34">
        <f t="shared" si="26"/>
        <v>1869.9</v>
      </c>
      <c r="Q541" s="36">
        <f t="shared" si="24"/>
        <v>124.66</v>
      </c>
      <c r="R541" s="35">
        <v>500</v>
      </c>
    </row>
    <row r="542" spans="1:18" x14ac:dyDescent="0.25">
      <c r="A542" s="37" t="s">
        <v>679</v>
      </c>
      <c r="B542" s="37"/>
      <c r="C542" s="37" t="s">
        <v>35</v>
      </c>
      <c r="D542" s="37" t="s">
        <v>36</v>
      </c>
      <c r="E542" s="38">
        <v>45921</v>
      </c>
      <c r="F542" s="38">
        <v>46286</v>
      </c>
      <c r="G542" s="37" t="s">
        <v>1508</v>
      </c>
      <c r="H542" s="37" t="s">
        <v>60</v>
      </c>
      <c r="I542" s="39">
        <v>14960</v>
      </c>
      <c r="J542" s="39">
        <v>12466</v>
      </c>
      <c r="K542" s="43">
        <f t="shared" si="25"/>
        <v>4.2500000000000003E-2</v>
      </c>
      <c r="L542" s="37" t="s">
        <v>2252</v>
      </c>
      <c r="M542" s="40">
        <v>45555</v>
      </c>
      <c r="N542" s="33" t="s">
        <v>57</v>
      </c>
      <c r="O542" s="41">
        <v>352000</v>
      </c>
      <c r="P542" s="34">
        <f t="shared" si="26"/>
        <v>1869.9</v>
      </c>
      <c r="Q542" s="36">
        <f t="shared" si="24"/>
        <v>124.66</v>
      </c>
      <c r="R542" s="35">
        <v>500</v>
      </c>
    </row>
    <row r="543" spans="1:18" x14ac:dyDescent="0.25">
      <c r="A543" s="37" t="s">
        <v>680</v>
      </c>
      <c r="B543" s="37"/>
      <c r="C543" s="37" t="s">
        <v>30</v>
      </c>
      <c r="D543" s="37" t="s">
        <v>36</v>
      </c>
      <c r="E543" s="38">
        <v>45555</v>
      </c>
      <c r="F543" s="38">
        <v>45920</v>
      </c>
      <c r="G543" s="37" t="s">
        <v>1509</v>
      </c>
      <c r="H543" s="37" t="s">
        <v>60</v>
      </c>
      <c r="I543" s="39">
        <v>14960</v>
      </c>
      <c r="J543" s="39">
        <v>12466</v>
      </c>
      <c r="K543" s="43">
        <f t="shared" si="25"/>
        <v>4.2500000000000003E-2</v>
      </c>
      <c r="L543" s="37" t="s">
        <v>2253</v>
      </c>
      <c r="M543" s="40">
        <v>45555</v>
      </c>
      <c r="N543" s="33" t="s">
        <v>57</v>
      </c>
      <c r="O543" s="41">
        <v>352000</v>
      </c>
      <c r="P543" s="34">
        <f t="shared" si="26"/>
        <v>1869.9</v>
      </c>
      <c r="Q543" s="36">
        <f t="shared" si="24"/>
        <v>124.66</v>
      </c>
      <c r="R543" s="35">
        <v>500</v>
      </c>
    </row>
    <row r="544" spans="1:18" x14ac:dyDescent="0.25">
      <c r="A544" s="37" t="s">
        <v>681</v>
      </c>
      <c r="B544" s="37"/>
      <c r="C544" s="37" t="s">
        <v>53</v>
      </c>
      <c r="D544" s="37" t="s">
        <v>2582</v>
      </c>
      <c r="E544" s="38">
        <v>45555</v>
      </c>
      <c r="F544" s="38">
        <v>45920</v>
      </c>
      <c r="G544" s="37" t="s">
        <v>130</v>
      </c>
      <c r="H544" s="37" t="s">
        <v>60</v>
      </c>
      <c r="I544" s="39">
        <v>8800</v>
      </c>
      <c r="J544" s="39">
        <v>7155</v>
      </c>
      <c r="K544" s="43">
        <f t="shared" si="25"/>
        <v>2.5000000000000001E-2</v>
      </c>
      <c r="L544" s="37" t="s">
        <v>2254</v>
      </c>
      <c r="M544" s="40">
        <v>45555</v>
      </c>
      <c r="N544" s="33" t="s">
        <v>57</v>
      </c>
      <c r="O544" s="41">
        <v>352000</v>
      </c>
      <c r="P544" s="34">
        <f t="shared" si="26"/>
        <v>1073.25</v>
      </c>
      <c r="Q544" s="36">
        <f t="shared" si="24"/>
        <v>71.55</v>
      </c>
      <c r="R544" s="35">
        <v>500</v>
      </c>
    </row>
    <row r="545" spans="1:18" x14ac:dyDescent="0.25">
      <c r="A545" s="37" t="s">
        <v>682</v>
      </c>
      <c r="B545" s="37"/>
      <c r="C545" s="37" t="s">
        <v>53</v>
      </c>
      <c r="D545" s="37" t="s">
        <v>2582</v>
      </c>
      <c r="E545" s="38">
        <v>45555</v>
      </c>
      <c r="F545" s="38">
        <v>45920</v>
      </c>
      <c r="G545" s="37" t="s">
        <v>1510</v>
      </c>
      <c r="H545" s="37" t="s">
        <v>60</v>
      </c>
      <c r="I545" s="39">
        <v>8800</v>
      </c>
      <c r="J545" s="39">
        <v>7155</v>
      </c>
      <c r="K545" s="43">
        <f t="shared" si="25"/>
        <v>2.5000000000000001E-2</v>
      </c>
      <c r="L545" s="37" t="s">
        <v>2255</v>
      </c>
      <c r="M545" s="40">
        <v>45555</v>
      </c>
      <c r="N545" s="33" t="s">
        <v>57</v>
      </c>
      <c r="O545" s="41">
        <v>352000</v>
      </c>
      <c r="P545" s="34">
        <f t="shared" si="26"/>
        <v>1073.25</v>
      </c>
      <c r="Q545" s="36">
        <f t="shared" si="24"/>
        <v>71.55</v>
      </c>
      <c r="R545" s="35">
        <v>500</v>
      </c>
    </row>
    <row r="546" spans="1:18" x14ac:dyDescent="0.25">
      <c r="A546" s="37" t="s">
        <v>683</v>
      </c>
      <c r="B546" s="37"/>
      <c r="C546" s="37" t="s">
        <v>53</v>
      </c>
      <c r="D546" s="37" t="s">
        <v>2582</v>
      </c>
      <c r="E546" s="38">
        <v>45555</v>
      </c>
      <c r="F546" s="38">
        <v>45920</v>
      </c>
      <c r="G546" s="37" t="s">
        <v>1511</v>
      </c>
      <c r="H546" s="37" t="s">
        <v>60</v>
      </c>
      <c r="I546" s="39">
        <v>8800</v>
      </c>
      <c r="J546" s="39">
        <v>7155</v>
      </c>
      <c r="K546" s="43">
        <f t="shared" si="25"/>
        <v>2.5000000000000001E-2</v>
      </c>
      <c r="L546" s="37" t="s">
        <v>2256</v>
      </c>
      <c r="M546" s="40">
        <v>45555</v>
      </c>
      <c r="N546" s="33" t="s">
        <v>57</v>
      </c>
      <c r="O546" s="41">
        <v>352000</v>
      </c>
      <c r="P546" s="34">
        <f t="shared" si="26"/>
        <v>1073.25</v>
      </c>
      <c r="Q546" s="36">
        <f t="shared" si="24"/>
        <v>71.55</v>
      </c>
      <c r="R546" s="35">
        <v>500</v>
      </c>
    </row>
    <row r="547" spans="1:18" x14ac:dyDescent="0.25">
      <c r="A547" s="37" t="s">
        <v>684</v>
      </c>
      <c r="B547" s="37"/>
      <c r="C547" s="37" t="s">
        <v>85</v>
      </c>
      <c r="D547" s="37" t="s">
        <v>2582</v>
      </c>
      <c r="E547" s="38">
        <v>45556</v>
      </c>
      <c r="F547" s="38">
        <v>45921</v>
      </c>
      <c r="G547" s="37" t="s">
        <v>1512</v>
      </c>
      <c r="H547" s="37" t="s">
        <v>63</v>
      </c>
      <c r="I547" s="39">
        <v>12475</v>
      </c>
      <c r="J547" s="39">
        <v>10323</v>
      </c>
      <c r="K547" s="43">
        <f t="shared" si="25"/>
        <v>2.5000000000000001E-2</v>
      </c>
      <c r="L547" s="37" t="s">
        <v>2257</v>
      </c>
      <c r="M547" s="40">
        <v>45556</v>
      </c>
      <c r="N547" s="33" t="s">
        <v>57</v>
      </c>
      <c r="O547" s="41">
        <v>499000</v>
      </c>
      <c r="P547" s="34">
        <f t="shared" si="26"/>
        <v>1548.45</v>
      </c>
      <c r="Q547" s="36">
        <f t="shared" si="24"/>
        <v>103.23</v>
      </c>
      <c r="R547" s="35">
        <v>500</v>
      </c>
    </row>
    <row r="548" spans="1:18" x14ac:dyDescent="0.25">
      <c r="A548" s="37" t="s">
        <v>685</v>
      </c>
      <c r="B548" s="37"/>
      <c r="C548" s="37" t="s">
        <v>85</v>
      </c>
      <c r="D548" s="37" t="s">
        <v>2582</v>
      </c>
      <c r="E548" s="38">
        <v>45556</v>
      </c>
      <c r="F548" s="38">
        <v>45921</v>
      </c>
      <c r="G548" s="37" t="s">
        <v>104</v>
      </c>
      <c r="H548" s="37" t="s">
        <v>61</v>
      </c>
      <c r="I548" s="39">
        <v>9550</v>
      </c>
      <c r="J548" s="39">
        <v>7802</v>
      </c>
      <c r="K548" s="43">
        <f t="shared" si="25"/>
        <v>2.5000000000000001E-2</v>
      </c>
      <c r="L548" s="37" t="s">
        <v>2258</v>
      </c>
      <c r="M548" s="40">
        <v>45556</v>
      </c>
      <c r="N548" s="33" t="s">
        <v>57</v>
      </c>
      <c r="O548" s="41">
        <v>382000</v>
      </c>
      <c r="P548" s="34">
        <f t="shared" si="26"/>
        <v>1170.3</v>
      </c>
      <c r="Q548" s="36">
        <f t="shared" si="24"/>
        <v>78.02</v>
      </c>
      <c r="R548" s="35">
        <v>500</v>
      </c>
    </row>
    <row r="549" spans="1:18" x14ac:dyDescent="0.25">
      <c r="A549" s="37" t="s">
        <v>686</v>
      </c>
      <c r="B549" s="37"/>
      <c r="C549" s="37" t="s">
        <v>85</v>
      </c>
      <c r="D549" s="37" t="s">
        <v>2582</v>
      </c>
      <c r="E549" s="38">
        <v>45556</v>
      </c>
      <c r="F549" s="38">
        <v>45921</v>
      </c>
      <c r="G549" s="37" t="s">
        <v>1513</v>
      </c>
      <c r="H549" s="37" t="s">
        <v>60</v>
      </c>
      <c r="I549" s="39">
        <v>8800</v>
      </c>
      <c r="J549" s="39">
        <v>7155</v>
      </c>
      <c r="K549" s="43">
        <f t="shared" si="25"/>
        <v>2.5000000000000001E-2</v>
      </c>
      <c r="L549" s="37" t="s">
        <v>2259</v>
      </c>
      <c r="M549" s="40">
        <v>45556</v>
      </c>
      <c r="N549" s="33" t="s">
        <v>57</v>
      </c>
      <c r="O549" s="41">
        <v>352000</v>
      </c>
      <c r="P549" s="34">
        <f t="shared" si="26"/>
        <v>1073.25</v>
      </c>
      <c r="Q549" s="36">
        <f t="shared" si="24"/>
        <v>71.55</v>
      </c>
      <c r="R549" s="35">
        <v>500</v>
      </c>
    </row>
    <row r="550" spans="1:18" x14ac:dyDescent="0.25">
      <c r="A550" s="37" t="s">
        <v>687</v>
      </c>
      <c r="B550" s="37"/>
      <c r="C550" s="37" t="s">
        <v>85</v>
      </c>
      <c r="D550" s="37" t="s">
        <v>2582</v>
      </c>
      <c r="E550" s="38">
        <v>45556</v>
      </c>
      <c r="F550" s="38">
        <v>45921</v>
      </c>
      <c r="G550" s="37" t="s">
        <v>1514</v>
      </c>
      <c r="H550" s="37" t="s">
        <v>63</v>
      </c>
      <c r="I550" s="39">
        <v>12475</v>
      </c>
      <c r="J550" s="39">
        <v>10323</v>
      </c>
      <c r="K550" s="43">
        <f t="shared" si="25"/>
        <v>2.5000000000000001E-2</v>
      </c>
      <c r="L550" s="37" t="s">
        <v>2260</v>
      </c>
      <c r="M550" s="40">
        <v>45556</v>
      </c>
      <c r="N550" s="33" t="s">
        <v>57</v>
      </c>
      <c r="O550" s="41">
        <v>499000</v>
      </c>
      <c r="P550" s="34">
        <f t="shared" si="26"/>
        <v>1548.45</v>
      </c>
      <c r="Q550" s="36">
        <f t="shared" si="24"/>
        <v>103.23</v>
      </c>
      <c r="R550" s="35">
        <v>500</v>
      </c>
    </row>
    <row r="551" spans="1:18" x14ac:dyDescent="0.25">
      <c r="A551" s="37" t="s">
        <v>688</v>
      </c>
      <c r="B551" s="37"/>
      <c r="C551" s="37" t="s">
        <v>85</v>
      </c>
      <c r="D551" s="37" t="s">
        <v>2582</v>
      </c>
      <c r="E551" s="38">
        <v>45556</v>
      </c>
      <c r="F551" s="38">
        <v>45921</v>
      </c>
      <c r="G551" s="37" t="s">
        <v>1515</v>
      </c>
      <c r="H551" s="37" t="s">
        <v>61</v>
      </c>
      <c r="I551" s="39">
        <v>9550</v>
      </c>
      <c r="J551" s="39">
        <v>7802</v>
      </c>
      <c r="K551" s="43">
        <f t="shared" si="25"/>
        <v>2.5000000000000001E-2</v>
      </c>
      <c r="L551" s="37" t="s">
        <v>2261</v>
      </c>
      <c r="M551" s="40">
        <v>45556</v>
      </c>
      <c r="N551" s="33" t="s">
        <v>57</v>
      </c>
      <c r="O551" s="41">
        <v>382000</v>
      </c>
      <c r="P551" s="34">
        <f t="shared" si="26"/>
        <v>1170.3</v>
      </c>
      <c r="Q551" s="36">
        <f t="shared" si="24"/>
        <v>78.02</v>
      </c>
      <c r="R551" s="35">
        <v>500</v>
      </c>
    </row>
    <row r="552" spans="1:18" x14ac:dyDescent="0.25">
      <c r="A552" s="37" t="s">
        <v>689</v>
      </c>
      <c r="B552" s="37"/>
      <c r="C552" s="37" t="s">
        <v>66</v>
      </c>
      <c r="D552" s="37" t="s">
        <v>2582</v>
      </c>
      <c r="E552" s="38">
        <v>45556</v>
      </c>
      <c r="F552" s="38">
        <v>45921</v>
      </c>
      <c r="G552" s="37" t="s">
        <v>1516</v>
      </c>
      <c r="H552" s="37" t="s">
        <v>61</v>
      </c>
      <c r="I552" s="39">
        <v>9550</v>
      </c>
      <c r="J552" s="39">
        <v>7802</v>
      </c>
      <c r="K552" s="43">
        <f t="shared" si="25"/>
        <v>2.5000000000000001E-2</v>
      </c>
      <c r="L552" s="37" t="s">
        <v>2262</v>
      </c>
      <c r="M552" s="40">
        <v>45556</v>
      </c>
      <c r="N552" s="33" t="s">
        <v>57</v>
      </c>
      <c r="O552" s="41">
        <v>382000</v>
      </c>
      <c r="P552" s="34">
        <f t="shared" si="26"/>
        <v>1170.3</v>
      </c>
      <c r="Q552" s="36">
        <f t="shared" si="24"/>
        <v>78.02</v>
      </c>
      <c r="R552" s="35">
        <v>500</v>
      </c>
    </row>
    <row r="553" spans="1:18" x14ac:dyDescent="0.25">
      <c r="A553" s="37" t="s">
        <v>690</v>
      </c>
      <c r="B553" s="37"/>
      <c r="C553" s="37" t="s">
        <v>66</v>
      </c>
      <c r="D553" s="37" t="s">
        <v>2582</v>
      </c>
      <c r="E553" s="38">
        <v>45556</v>
      </c>
      <c r="F553" s="38">
        <v>45921</v>
      </c>
      <c r="G553" s="37" t="s">
        <v>1517</v>
      </c>
      <c r="H553" s="37" t="s">
        <v>61</v>
      </c>
      <c r="I553" s="39">
        <v>9550</v>
      </c>
      <c r="J553" s="39">
        <v>7802</v>
      </c>
      <c r="K553" s="43">
        <f t="shared" si="25"/>
        <v>2.5000000000000001E-2</v>
      </c>
      <c r="L553" s="37" t="s">
        <v>2263</v>
      </c>
      <c r="M553" s="40">
        <v>45556</v>
      </c>
      <c r="N553" s="33" t="s">
        <v>57</v>
      </c>
      <c r="O553" s="41">
        <v>382000</v>
      </c>
      <c r="P553" s="34">
        <f t="shared" si="26"/>
        <v>1170.3</v>
      </c>
      <c r="Q553" s="36">
        <f t="shared" si="24"/>
        <v>78.02</v>
      </c>
      <c r="R553" s="35">
        <v>500</v>
      </c>
    </row>
    <row r="554" spans="1:18" x14ac:dyDescent="0.25">
      <c r="A554" s="37" t="s">
        <v>691</v>
      </c>
      <c r="B554" s="37"/>
      <c r="C554" s="37" t="s">
        <v>39</v>
      </c>
      <c r="D554" s="37" t="s">
        <v>36</v>
      </c>
      <c r="E554" s="38">
        <v>45556</v>
      </c>
      <c r="F554" s="38">
        <v>45921</v>
      </c>
      <c r="G554" s="37" t="s">
        <v>1518</v>
      </c>
      <c r="H554" s="37" t="s">
        <v>60</v>
      </c>
      <c r="I554" s="39">
        <v>14960</v>
      </c>
      <c r="J554" s="39">
        <v>12466</v>
      </c>
      <c r="K554" s="43">
        <f t="shared" si="25"/>
        <v>4.2500000000000003E-2</v>
      </c>
      <c r="L554" s="37" t="s">
        <v>2264</v>
      </c>
      <c r="M554" s="40">
        <v>45556</v>
      </c>
      <c r="N554" s="33" t="s">
        <v>57</v>
      </c>
      <c r="O554" s="41">
        <v>352000</v>
      </c>
      <c r="P554" s="34">
        <f t="shared" si="26"/>
        <v>1869.9</v>
      </c>
      <c r="Q554" s="36">
        <f t="shared" si="24"/>
        <v>124.66</v>
      </c>
      <c r="R554" s="35">
        <v>500</v>
      </c>
    </row>
    <row r="555" spans="1:18" x14ac:dyDescent="0.25">
      <c r="A555" s="37" t="s">
        <v>692</v>
      </c>
      <c r="B555" s="37"/>
      <c r="C555" s="37" t="s">
        <v>39</v>
      </c>
      <c r="D555" s="37" t="s">
        <v>36</v>
      </c>
      <c r="E555" s="38">
        <v>45922</v>
      </c>
      <c r="F555" s="38">
        <v>46287</v>
      </c>
      <c r="G555" s="37" t="s">
        <v>1518</v>
      </c>
      <c r="H555" s="37" t="s">
        <v>60</v>
      </c>
      <c r="I555" s="39">
        <v>14960</v>
      </c>
      <c r="J555" s="39">
        <v>12466</v>
      </c>
      <c r="K555" s="43">
        <f t="shared" si="25"/>
        <v>4.2500000000000003E-2</v>
      </c>
      <c r="L555" s="37" t="s">
        <v>2264</v>
      </c>
      <c r="M555" s="40">
        <v>45556</v>
      </c>
      <c r="N555" s="33" t="s">
        <v>57</v>
      </c>
      <c r="O555" s="41">
        <v>352000</v>
      </c>
      <c r="P555" s="34">
        <f t="shared" si="26"/>
        <v>1869.9</v>
      </c>
      <c r="Q555" s="36">
        <f t="shared" si="24"/>
        <v>124.66</v>
      </c>
      <c r="R555" s="35">
        <v>500</v>
      </c>
    </row>
    <row r="556" spans="1:18" x14ac:dyDescent="0.25">
      <c r="A556" s="37" t="s">
        <v>693</v>
      </c>
      <c r="B556" s="37"/>
      <c r="C556" s="37" t="s">
        <v>66</v>
      </c>
      <c r="D556" s="37" t="s">
        <v>2582</v>
      </c>
      <c r="E556" s="38">
        <v>45556</v>
      </c>
      <c r="F556" s="38">
        <v>45921</v>
      </c>
      <c r="G556" s="37" t="s">
        <v>1519</v>
      </c>
      <c r="H556" s="37" t="s">
        <v>63</v>
      </c>
      <c r="I556" s="39">
        <v>12475</v>
      </c>
      <c r="J556" s="39">
        <v>10323</v>
      </c>
      <c r="K556" s="43">
        <f t="shared" si="25"/>
        <v>2.5000000000000001E-2</v>
      </c>
      <c r="L556" s="37" t="s">
        <v>2265</v>
      </c>
      <c r="M556" s="40">
        <v>45556</v>
      </c>
      <c r="N556" s="33" t="s">
        <v>57</v>
      </c>
      <c r="O556" s="41">
        <v>499000</v>
      </c>
      <c r="P556" s="34">
        <f t="shared" si="26"/>
        <v>1548.45</v>
      </c>
      <c r="Q556" s="36">
        <f t="shared" si="24"/>
        <v>103.23</v>
      </c>
      <c r="R556" s="35">
        <v>500</v>
      </c>
    </row>
    <row r="557" spans="1:18" x14ac:dyDescent="0.25">
      <c r="A557" s="37" t="s">
        <v>694</v>
      </c>
      <c r="B557" s="37"/>
      <c r="C557" s="37" t="s">
        <v>30</v>
      </c>
      <c r="D557" s="37" t="s">
        <v>36</v>
      </c>
      <c r="E557" s="38">
        <v>45556</v>
      </c>
      <c r="F557" s="38">
        <v>45921</v>
      </c>
      <c r="G557" s="37" t="s">
        <v>1520</v>
      </c>
      <c r="H557" s="37" t="s">
        <v>60</v>
      </c>
      <c r="I557" s="39">
        <v>14960</v>
      </c>
      <c r="J557" s="39">
        <v>12466</v>
      </c>
      <c r="K557" s="43">
        <f t="shared" si="25"/>
        <v>4.2500000000000003E-2</v>
      </c>
      <c r="L557" s="37" t="s">
        <v>2266</v>
      </c>
      <c r="M557" s="40">
        <v>45556</v>
      </c>
      <c r="N557" s="33" t="s">
        <v>57</v>
      </c>
      <c r="O557" s="41">
        <v>352000</v>
      </c>
      <c r="P557" s="34">
        <f t="shared" si="26"/>
        <v>1869.9</v>
      </c>
      <c r="Q557" s="36">
        <f t="shared" si="24"/>
        <v>124.66</v>
      </c>
      <c r="R557" s="35">
        <v>500</v>
      </c>
    </row>
    <row r="558" spans="1:18" x14ac:dyDescent="0.25">
      <c r="A558" s="37" t="s">
        <v>695</v>
      </c>
      <c r="B558" s="37"/>
      <c r="C558" s="37" t="s">
        <v>36</v>
      </c>
      <c r="D558" s="37" t="s">
        <v>36</v>
      </c>
      <c r="E558" s="38">
        <v>45556</v>
      </c>
      <c r="F558" s="38">
        <v>45921</v>
      </c>
      <c r="G558" s="37" t="s">
        <v>1521</v>
      </c>
      <c r="H558" s="37" t="s">
        <v>61</v>
      </c>
      <c r="I558" s="39">
        <v>16235</v>
      </c>
      <c r="J558" s="39">
        <v>13565</v>
      </c>
      <c r="K558" s="43">
        <f t="shared" si="25"/>
        <v>4.2500000000000003E-2</v>
      </c>
      <c r="L558" s="37" t="s">
        <v>2267</v>
      </c>
      <c r="M558" s="40">
        <v>45556</v>
      </c>
      <c r="N558" s="33" t="s">
        <v>57</v>
      </c>
      <c r="O558" s="41">
        <v>382000</v>
      </c>
      <c r="P558" s="34">
        <f t="shared" si="26"/>
        <v>2034.75</v>
      </c>
      <c r="Q558" s="36">
        <f t="shared" si="24"/>
        <v>135.65</v>
      </c>
      <c r="R558" s="35">
        <v>500</v>
      </c>
    </row>
    <row r="559" spans="1:18" x14ac:dyDescent="0.25">
      <c r="A559" s="37" t="s">
        <v>696</v>
      </c>
      <c r="B559" s="37"/>
      <c r="C559" s="37" t="s">
        <v>32</v>
      </c>
      <c r="D559" s="37" t="s">
        <v>36</v>
      </c>
      <c r="E559" s="38">
        <v>45556</v>
      </c>
      <c r="F559" s="38">
        <v>45921</v>
      </c>
      <c r="G559" s="37" t="s">
        <v>1522</v>
      </c>
      <c r="H559" s="37" t="s">
        <v>60</v>
      </c>
      <c r="I559" s="39">
        <v>14960</v>
      </c>
      <c r="J559" s="39">
        <v>12466</v>
      </c>
      <c r="K559" s="43">
        <f t="shared" si="25"/>
        <v>4.2500000000000003E-2</v>
      </c>
      <c r="L559" s="37" t="s">
        <v>2268</v>
      </c>
      <c r="M559" s="40">
        <v>45556</v>
      </c>
      <c r="N559" s="33" t="s">
        <v>57</v>
      </c>
      <c r="O559" s="41">
        <v>352000</v>
      </c>
      <c r="P559" s="34">
        <f t="shared" si="26"/>
        <v>1869.9</v>
      </c>
      <c r="Q559" s="36">
        <f t="shared" si="24"/>
        <v>124.66</v>
      </c>
      <c r="R559" s="35">
        <v>500</v>
      </c>
    </row>
    <row r="560" spans="1:18" x14ac:dyDescent="0.25">
      <c r="A560" s="37" t="s">
        <v>697</v>
      </c>
      <c r="B560" s="37"/>
      <c r="C560" s="37" t="s">
        <v>30</v>
      </c>
      <c r="D560" s="37" t="s">
        <v>36</v>
      </c>
      <c r="E560" s="38">
        <v>45556</v>
      </c>
      <c r="F560" s="38">
        <v>45921</v>
      </c>
      <c r="G560" s="37" t="s">
        <v>1523</v>
      </c>
      <c r="H560" s="37" t="s">
        <v>60</v>
      </c>
      <c r="I560" s="39">
        <v>14960</v>
      </c>
      <c r="J560" s="39">
        <v>12466</v>
      </c>
      <c r="K560" s="43">
        <f t="shared" si="25"/>
        <v>4.2500000000000003E-2</v>
      </c>
      <c r="L560" s="37" t="s">
        <v>2269</v>
      </c>
      <c r="M560" s="40">
        <v>45556</v>
      </c>
      <c r="N560" s="33" t="s">
        <v>57</v>
      </c>
      <c r="O560" s="41">
        <v>352000</v>
      </c>
      <c r="P560" s="34">
        <f t="shared" si="26"/>
        <v>1869.9</v>
      </c>
      <c r="Q560" s="36">
        <f t="shared" si="24"/>
        <v>124.66</v>
      </c>
      <c r="R560" s="35">
        <v>500</v>
      </c>
    </row>
    <row r="561" spans="1:18" x14ac:dyDescent="0.25">
      <c r="A561" s="37" t="s">
        <v>698</v>
      </c>
      <c r="B561" s="37"/>
      <c r="C561" s="37" t="s">
        <v>30</v>
      </c>
      <c r="D561" s="37" t="s">
        <v>36</v>
      </c>
      <c r="E561" s="38">
        <v>45922</v>
      </c>
      <c r="F561" s="38">
        <v>46287</v>
      </c>
      <c r="G561" s="37" t="s">
        <v>1523</v>
      </c>
      <c r="H561" s="37" t="s">
        <v>60</v>
      </c>
      <c r="I561" s="39">
        <v>14960</v>
      </c>
      <c r="J561" s="39">
        <v>12466</v>
      </c>
      <c r="K561" s="43">
        <f t="shared" si="25"/>
        <v>4.2500000000000003E-2</v>
      </c>
      <c r="L561" s="37" t="s">
        <v>2269</v>
      </c>
      <c r="M561" s="40">
        <v>45556</v>
      </c>
      <c r="N561" s="33" t="s">
        <v>57</v>
      </c>
      <c r="O561" s="41">
        <v>352000</v>
      </c>
      <c r="P561" s="34">
        <f t="shared" si="26"/>
        <v>1869.9</v>
      </c>
      <c r="Q561" s="36">
        <f t="shared" si="24"/>
        <v>124.66</v>
      </c>
      <c r="R561" s="35">
        <v>500</v>
      </c>
    </row>
    <row r="562" spans="1:18" x14ac:dyDescent="0.25">
      <c r="A562" s="37" t="s">
        <v>699</v>
      </c>
      <c r="B562" s="37"/>
      <c r="C562" s="37" t="s">
        <v>69</v>
      </c>
      <c r="D562" s="37" t="s">
        <v>2582</v>
      </c>
      <c r="E562" s="38">
        <v>45556</v>
      </c>
      <c r="F562" s="38">
        <v>45921</v>
      </c>
      <c r="G562" s="37" t="s">
        <v>1524</v>
      </c>
      <c r="H562" s="37" t="s">
        <v>61</v>
      </c>
      <c r="I562" s="39">
        <v>9550</v>
      </c>
      <c r="J562" s="39">
        <v>7802</v>
      </c>
      <c r="K562" s="43">
        <f t="shared" si="25"/>
        <v>2.5000000000000001E-2</v>
      </c>
      <c r="L562" s="37" t="s">
        <v>2270</v>
      </c>
      <c r="M562" s="40">
        <v>45556</v>
      </c>
      <c r="N562" s="33" t="s">
        <v>57</v>
      </c>
      <c r="O562" s="41">
        <v>382000</v>
      </c>
      <c r="P562" s="34">
        <f t="shared" si="26"/>
        <v>1170.3</v>
      </c>
      <c r="Q562" s="36">
        <f t="shared" si="24"/>
        <v>78.02</v>
      </c>
      <c r="R562" s="35">
        <v>500</v>
      </c>
    </row>
    <row r="563" spans="1:18" x14ac:dyDescent="0.25">
      <c r="A563" s="37" t="s">
        <v>700</v>
      </c>
      <c r="B563" s="37"/>
      <c r="C563" s="37" t="s">
        <v>31</v>
      </c>
      <c r="D563" s="37" t="s">
        <v>36</v>
      </c>
      <c r="E563" s="38">
        <v>45556</v>
      </c>
      <c r="F563" s="38">
        <v>45921</v>
      </c>
      <c r="G563" s="37" t="s">
        <v>1525</v>
      </c>
      <c r="H563" s="37" t="s">
        <v>60</v>
      </c>
      <c r="I563" s="39">
        <v>14960</v>
      </c>
      <c r="J563" s="39">
        <v>12466</v>
      </c>
      <c r="K563" s="43">
        <f t="shared" si="25"/>
        <v>4.2500000000000003E-2</v>
      </c>
      <c r="L563" s="37" t="s">
        <v>2271</v>
      </c>
      <c r="M563" s="40">
        <v>45556</v>
      </c>
      <c r="N563" s="33" t="s">
        <v>57</v>
      </c>
      <c r="O563" s="41">
        <v>352000</v>
      </c>
      <c r="P563" s="34">
        <f t="shared" si="26"/>
        <v>1869.9</v>
      </c>
      <c r="Q563" s="36">
        <f t="shared" si="24"/>
        <v>124.66</v>
      </c>
      <c r="R563" s="35">
        <v>500</v>
      </c>
    </row>
    <row r="564" spans="1:18" x14ac:dyDescent="0.25">
      <c r="A564" s="37" t="s">
        <v>701</v>
      </c>
      <c r="B564" s="37"/>
      <c r="C564" s="37" t="s">
        <v>31</v>
      </c>
      <c r="D564" s="37" t="s">
        <v>36</v>
      </c>
      <c r="E564" s="38">
        <v>45922</v>
      </c>
      <c r="F564" s="38">
        <v>46287</v>
      </c>
      <c r="G564" s="37" t="s">
        <v>1525</v>
      </c>
      <c r="H564" s="37" t="s">
        <v>60</v>
      </c>
      <c r="I564" s="39">
        <v>14960</v>
      </c>
      <c r="J564" s="39">
        <v>12466</v>
      </c>
      <c r="K564" s="43">
        <f t="shared" si="25"/>
        <v>4.2500000000000003E-2</v>
      </c>
      <c r="L564" s="37" t="s">
        <v>2271</v>
      </c>
      <c r="M564" s="40">
        <v>45556</v>
      </c>
      <c r="N564" s="33" t="s">
        <v>57</v>
      </c>
      <c r="O564" s="41">
        <v>352000</v>
      </c>
      <c r="P564" s="34">
        <f t="shared" si="26"/>
        <v>1869.9</v>
      </c>
      <c r="Q564" s="36">
        <f t="shared" si="24"/>
        <v>124.66</v>
      </c>
      <c r="R564" s="35">
        <v>500</v>
      </c>
    </row>
    <row r="565" spans="1:18" x14ac:dyDescent="0.25">
      <c r="A565" s="37" t="s">
        <v>702</v>
      </c>
      <c r="B565" s="37"/>
      <c r="C565" s="37" t="s">
        <v>32</v>
      </c>
      <c r="D565" s="37" t="s">
        <v>36</v>
      </c>
      <c r="E565" s="38">
        <v>45556</v>
      </c>
      <c r="F565" s="38">
        <v>45921</v>
      </c>
      <c r="G565" s="37" t="s">
        <v>1526</v>
      </c>
      <c r="H565" s="37" t="s">
        <v>60</v>
      </c>
      <c r="I565" s="39">
        <v>14960</v>
      </c>
      <c r="J565" s="39">
        <v>12466</v>
      </c>
      <c r="K565" s="43">
        <f t="shared" si="25"/>
        <v>4.2500000000000003E-2</v>
      </c>
      <c r="L565" s="37" t="s">
        <v>2272</v>
      </c>
      <c r="M565" s="40">
        <v>45556</v>
      </c>
      <c r="N565" s="33" t="s">
        <v>57</v>
      </c>
      <c r="O565" s="41">
        <v>352000</v>
      </c>
      <c r="P565" s="34">
        <f t="shared" si="26"/>
        <v>1869.9</v>
      </c>
      <c r="Q565" s="36">
        <f t="shared" si="24"/>
        <v>124.66</v>
      </c>
      <c r="R565" s="35">
        <v>500</v>
      </c>
    </row>
    <row r="566" spans="1:18" x14ac:dyDescent="0.25">
      <c r="A566" s="37" t="s">
        <v>703</v>
      </c>
      <c r="B566" s="37"/>
      <c r="C566" s="37" t="s">
        <v>39</v>
      </c>
      <c r="D566" s="37" t="s">
        <v>36</v>
      </c>
      <c r="E566" s="38">
        <v>45556</v>
      </c>
      <c r="F566" s="38">
        <v>45921</v>
      </c>
      <c r="G566" s="37" t="s">
        <v>1527</v>
      </c>
      <c r="H566" s="37" t="s">
        <v>60</v>
      </c>
      <c r="I566" s="39">
        <v>14960</v>
      </c>
      <c r="J566" s="39">
        <v>12466</v>
      </c>
      <c r="K566" s="43">
        <f t="shared" si="25"/>
        <v>4.2500000000000003E-2</v>
      </c>
      <c r="L566" s="37" t="s">
        <v>2273</v>
      </c>
      <c r="M566" s="40">
        <v>45556</v>
      </c>
      <c r="N566" s="33" t="s">
        <v>57</v>
      </c>
      <c r="O566" s="41">
        <v>352000</v>
      </c>
      <c r="P566" s="34">
        <f t="shared" si="26"/>
        <v>1869.9</v>
      </c>
      <c r="Q566" s="36">
        <f t="shared" si="24"/>
        <v>124.66</v>
      </c>
      <c r="R566" s="35">
        <v>500</v>
      </c>
    </row>
    <row r="567" spans="1:18" x14ac:dyDescent="0.25">
      <c r="A567" s="37" t="s">
        <v>704</v>
      </c>
      <c r="B567" s="37"/>
      <c r="C567" s="37" t="s">
        <v>39</v>
      </c>
      <c r="D567" s="37" t="s">
        <v>36</v>
      </c>
      <c r="E567" s="38">
        <v>45556</v>
      </c>
      <c r="F567" s="38">
        <v>45921</v>
      </c>
      <c r="G567" s="37" t="s">
        <v>1528</v>
      </c>
      <c r="H567" s="37" t="s">
        <v>61</v>
      </c>
      <c r="I567" s="39">
        <v>16235</v>
      </c>
      <c r="J567" s="39">
        <v>13565</v>
      </c>
      <c r="K567" s="43">
        <f t="shared" si="25"/>
        <v>4.2500000000000003E-2</v>
      </c>
      <c r="L567" s="37" t="s">
        <v>2274</v>
      </c>
      <c r="M567" s="40">
        <v>45556</v>
      </c>
      <c r="N567" s="33" t="s">
        <v>57</v>
      </c>
      <c r="O567" s="41">
        <v>382000</v>
      </c>
      <c r="P567" s="34">
        <f t="shared" si="26"/>
        <v>2034.75</v>
      </c>
      <c r="Q567" s="36">
        <f t="shared" si="24"/>
        <v>135.65</v>
      </c>
      <c r="R567" s="35">
        <v>500</v>
      </c>
    </row>
    <row r="568" spans="1:18" x14ac:dyDescent="0.25">
      <c r="A568" s="37" t="s">
        <v>705</v>
      </c>
      <c r="B568" s="37"/>
      <c r="C568" s="37" t="s">
        <v>39</v>
      </c>
      <c r="D568" s="37" t="s">
        <v>36</v>
      </c>
      <c r="E568" s="38">
        <v>45922</v>
      </c>
      <c r="F568" s="38">
        <v>46287</v>
      </c>
      <c r="G568" s="37" t="s">
        <v>1528</v>
      </c>
      <c r="H568" s="37" t="s">
        <v>61</v>
      </c>
      <c r="I568" s="39">
        <v>16235</v>
      </c>
      <c r="J568" s="39">
        <v>13565</v>
      </c>
      <c r="K568" s="43">
        <f t="shared" si="25"/>
        <v>4.2500000000000003E-2</v>
      </c>
      <c r="L568" s="37" t="s">
        <v>2274</v>
      </c>
      <c r="M568" s="40">
        <v>45556</v>
      </c>
      <c r="N568" s="33" t="s">
        <v>57</v>
      </c>
      <c r="O568" s="41">
        <v>382000</v>
      </c>
      <c r="P568" s="34">
        <f t="shared" si="26"/>
        <v>2034.75</v>
      </c>
      <c r="Q568" s="36">
        <f t="shared" si="24"/>
        <v>135.65</v>
      </c>
      <c r="R568" s="35">
        <v>500</v>
      </c>
    </row>
    <row r="569" spans="1:18" x14ac:dyDescent="0.25">
      <c r="A569" s="37" t="s">
        <v>706</v>
      </c>
      <c r="B569" s="37"/>
      <c r="C569" s="37" t="s">
        <v>69</v>
      </c>
      <c r="D569" s="37" t="s">
        <v>2582</v>
      </c>
      <c r="E569" s="38">
        <v>45556</v>
      </c>
      <c r="F569" s="38">
        <v>45921</v>
      </c>
      <c r="G569" s="37" t="s">
        <v>1529</v>
      </c>
      <c r="H569" s="37" t="s">
        <v>61</v>
      </c>
      <c r="I569" s="39">
        <v>9550</v>
      </c>
      <c r="J569" s="39">
        <v>7802</v>
      </c>
      <c r="K569" s="43">
        <f t="shared" si="25"/>
        <v>2.5000000000000001E-2</v>
      </c>
      <c r="L569" s="37" t="s">
        <v>2275</v>
      </c>
      <c r="M569" s="40">
        <v>45556</v>
      </c>
      <c r="N569" s="33" t="s">
        <v>57</v>
      </c>
      <c r="O569" s="41">
        <v>382000</v>
      </c>
      <c r="P569" s="34">
        <f t="shared" si="26"/>
        <v>1170.3</v>
      </c>
      <c r="Q569" s="36">
        <f t="shared" si="24"/>
        <v>78.02</v>
      </c>
      <c r="R569" s="35">
        <v>500</v>
      </c>
    </row>
    <row r="570" spans="1:18" x14ac:dyDescent="0.25">
      <c r="A570" s="37" t="s">
        <v>707</v>
      </c>
      <c r="B570" s="37"/>
      <c r="C570" s="37" t="s">
        <v>78</v>
      </c>
      <c r="D570" s="37" t="s">
        <v>2582</v>
      </c>
      <c r="E570" s="38">
        <v>45556</v>
      </c>
      <c r="F570" s="38">
        <v>45921</v>
      </c>
      <c r="G570" s="37" t="s">
        <v>1530</v>
      </c>
      <c r="H570" s="37" t="s">
        <v>60</v>
      </c>
      <c r="I570" s="39">
        <v>8800</v>
      </c>
      <c r="J570" s="39">
        <v>7155</v>
      </c>
      <c r="K570" s="43">
        <f t="shared" si="25"/>
        <v>2.5000000000000001E-2</v>
      </c>
      <c r="L570" s="37" t="s">
        <v>2276</v>
      </c>
      <c r="M570" s="40">
        <v>45556</v>
      </c>
      <c r="N570" s="33" t="s">
        <v>57</v>
      </c>
      <c r="O570" s="41">
        <v>352000</v>
      </c>
      <c r="P570" s="34">
        <f t="shared" si="26"/>
        <v>1073.25</v>
      </c>
      <c r="Q570" s="36">
        <f t="shared" si="24"/>
        <v>71.55</v>
      </c>
      <c r="R570" s="35">
        <v>500</v>
      </c>
    </row>
    <row r="571" spans="1:18" x14ac:dyDescent="0.25">
      <c r="A571" s="37" t="s">
        <v>708</v>
      </c>
      <c r="B571" s="37"/>
      <c r="C571" s="37" t="s">
        <v>69</v>
      </c>
      <c r="D571" s="37" t="s">
        <v>2582</v>
      </c>
      <c r="E571" s="38">
        <v>45556</v>
      </c>
      <c r="F571" s="38">
        <v>45921</v>
      </c>
      <c r="G571" s="37" t="s">
        <v>113</v>
      </c>
      <c r="H571" s="37" t="s">
        <v>61</v>
      </c>
      <c r="I571" s="39">
        <v>9550</v>
      </c>
      <c r="J571" s="39">
        <v>7802</v>
      </c>
      <c r="K571" s="43">
        <f t="shared" si="25"/>
        <v>2.5000000000000001E-2</v>
      </c>
      <c r="L571" s="37" t="s">
        <v>2277</v>
      </c>
      <c r="M571" s="40">
        <v>45556</v>
      </c>
      <c r="N571" s="33" t="s">
        <v>57</v>
      </c>
      <c r="O571" s="41">
        <v>382000</v>
      </c>
      <c r="P571" s="34">
        <f t="shared" si="26"/>
        <v>1170.3</v>
      </c>
      <c r="Q571" s="36">
        <f t="shared" si="24"/>
        <v>78.02</v>
      </c>
      <c r="R571" s="35">
        <v>500</v>
      </c>
    </row>
    <row r="572" spans="1:18" x14ac:dyDescent="0.25">
      <c r="A572" s="37" t="s">
        <v>709</v>
      </c>
      <c r="B572" s="37"/>
      <c r="C572" s="37" t="s">
        <v>78</v>
      </c>
      <c r="D572" s="37" t="s">
        <v>2582</v>
      </c>
      <c r="E572" s="38">
        <v>45556</v>
      </c>
      <c r="F572" s="38">
        <v>45921</v>
      </c>
      <c r="G572" s="37" t="s">
        <v>1531</v>
      </c>
      <c r="H572" s="37" t="s">
        <v>63</v>
      </c>
      <c r="I572" s="39">
        <v>12475</v>
      </c>
      <c r="J572" s="39">
        <v>10323</v>
      </c>
      <c r="K572" s="43">
        <f t="shared" si="25"/>
        <v>2.5000000000000001E-2</v>
      </c>
      <c r="L572" s="37" t="s">
        <v>2278</v>
      </c>
      <c r="M572" s="40">
        <v>45556</v>
      </c>
      <c r="N572" s="33" t="s">
        <v>57</v>
      </c>
      <c r="O572" s="41">
        <v>499000</v>
      </c>
      <c r="P572" s="34">
        <f t="shared" si="26"/>
        <v>1548.45</v>
      </c>
      <c r="Q572" s="36">
        <f t="shared" si="24"/>
        <v>103.23</v>
      </c>
      <c r="R572" s="35">
        <v>500</v>
      </c>
    </row>
    <row r="573" spans="1:18" x14ac:dyDescent="0.25">
      <c r="A573" s="37" t="s">
        <v>710</v>
      </c>
      <c r="B573" s="37"/>
      <c r="C573" s="37" t="s">
        <v>35</v>
      </c>
      <c r="D573" s="37" t="s">
        <v>36</v>
      </c>
      <c r="E573" s="38">
        <v>45556</v>
      </c>
      <c r="F573" s="38">
        <v>45921</v>
      </c>
      <c r="G573" s="37" t="s">
        <v>1532</v>
      </c>
      <c r="H573" s="37" t="s">
        <v>60</v>
      </c>
      <c r="I573" s="39">
        <v>14960</v>
      </c>
      <c r="J573" s="39">
        <v>12466</v>
      </c>
      <c r="K573" s="43">
        <f t="shared" si="25"/>
        <v>4.2500000000000003E-2</v>
      </c>
      <c r="L573" s="37" t="s">
        <v>2279</v>
      </c>
      <c r="M573" s="40">
        <v>45556</v>
      </c>
      <c r="N573" s="33" t="s">
        <v>57</v>
      </c>
      <c r="O573" s="41">
        <v>352000</v>
      </c>
      <c r="P573" s="34">
        <f t="shared" si="26"/>
        <v>1869.9</v>
      </c>
      <c r="Q573" s="36">
        <f t="shared" si="24"/>
        <v>124.66</v>
      </c>
      <c r="R573" s="35">
        <v>500</v>
      </c>
    </row>
    <row r="574" spans="1:18" x14ac:dyDescent="0.25">
      <c r="A574" s="37" t="s">
        <v>711</v>
      </c>
      <c r="B574" s="37"/>
      <c r="C574" s="37" t="s">
        <v>35</v>
      </c>
      <c r="D574" s="37" t="s">
        <v>36</v>
      </c>
      <c r="E574" s="38">
        <v>45922</v>
      </c>
      <c r="F574" s="38">
        <v>46287</v>
      </c>
      <c r="G574" s="37" t="s">
        <v>1532</v>
      </c>
      <c r="H574" s="37" t="s">
        <v>60</v>
      </c>
      <c r="I574" s="39">
        <v>14960</v>
      </c>
      <c r="J574" s="39">
        <v>12466</v>
      </c>
      <c r="K574" s="43">
        <f t="shared" si="25"/>
        <v>4.2500000000000003E-2</v>
      </c>
      <c r="L574" s="37" t="s">
        <v>2279</v>
      </c>
      <c r="M574" s="40">
        <v>45556</v>
      </c>
      <c r="N574" s="33" t="s">
        <v>57</v>
      </c>
      <c r="O574" s="41">
        <v>352000</v>
      </c>
      <c r="P574" s="34">
        <f t="shared" si="26"/>
        <v>1869.9</v>
      </c>
      <c r="Q574" s="36">
        <f t="shared" si="24"/>
        <v>124.66</v>
      </c>
      <c r="R574" s="35">
        <v>500</v>
      </c>
    </row>
    <row r="575" spans="1:18" x14ac:dyDescent="0.25">
      <c r="A575" s="37" t="s">
        <v>712</v>
      </c>
      <c r="B575" s="37"/>
      <c r="C575" s="37" t="s">
        <v>78</v>
      </c>
      <c r="D575" s="37" t="s">
        <v>2582</v>
      </c>
      <c r="E575" s="38">
        <v>45556</v>
      </c>
      <c r="F575" s="38">
        <v>45921</v>
      </c>
      <c r="G575" s="37" t="s">
        <v>1533</v>
      </c>
      <c r="H575" s="37" t="s">
        <v>60</v>
      </c>
      <c r="I575" s="39">
        <v>8800</v>
      </c>
      <c r="J575" s="39">
        <v>7155</v>
      </c>
      <c r="K575" s="43">
        <f t="shared" si="25"/>
        <v>2.5000000000000001E-2</v>
      </c>
      <c r="L575" s="37" t="s">
        <v>2280</v>
      </c>
      <c r="M575" s="40">
        <v>45556</v>
      </c>
      <c r="N575" s="33" t="s">
        <v>57</v>
      </c>
      <c r="O575" s="41">
        <v>352000</v>
      </c>
      <c r="P575" s="34">
        <f t="shared" si="26"/>
        <v>1073.25</v>
      </c>
      <c r="Q575" s="36">
        <f t="shared" si="24"/>
        <v>71.55</v>
      </c>
      <c r="R575" s="35">
        <v>500</v>
      </c>
    </row>
    <row r="576" spans="1:18" x14ac:dyDescent="0.25">
      <c r="A576" s="37" t="s">
        <v>713</v>
      </c>
      <c r="B576" s="37"/>
      <c r="C576" s="37" t="s">
        <v>36</v>
      </c>
      <c r="D576" s="37" t="s">
        <v>36</v>
      </c>
      <c r="E576" s="38">
        <v>45556</v>
      </c>
      <c r="F576" s="38">
        <v>45921</v>
      </c>
      <c r="G576" s="37" t="s">
        <v>1534</v>
      </c>
      <c r="H576" s="37" t="s">
        <v>60</v>
      </c>
      <c r="I576" s="39">
        <v>14960</v>
      </c>
      <c r="J576" s="39">
        <v>12466</v>
      </c>
      <c r="K576" s="43">
        <f t="shared" si="25"/>
        <v>4.2500000000000003E-2</v>
      </c>
      <c r="L576" s="37" t="s">
        <v>2281</v>
      </c>
      <c r="M576" s="40">
        <v>45556</v>
      </c>
      <c r="N576" s="33" t="s">
        <v>57</v>
      </c>
      <c r="O576" s="41">
        <v>352000</v>
      </c>
      <c r="P576" s="34">
        <f t="shared" si="26"/>
        <v>1869.9</v>
      </c>
      <c r="Q576" s="36">
        <f t="shared" si="24"/>
        <v>124.66</v>
      </c>
      <c r="R576" s="35">
        <v>500</v>
      </c>
    </row>
    <row r="577" spans="1:18" x14ac:dyDescent="0.25">
      <c r="A577" s="37" t="s">
        <v>714</v>
      </c>
      <c r="B577" s="37"/>
      <c r="C577" s="37" t="s">
        <v>78</v>
      </c>
      <c r="D577" s="37" t="s">
        <v>2582</v>
      </c>
      <c r="E577" s="38">
        <v>45556</v>
      </c>
      <c r="F577" s="38">
        <v>45921</v>
      </c>
      <c r="G577" s="37" t="s">
        <v>1535</v>
      </c>
      <c r="H577" s="37" t="s">
        <v>60</v>
      </c>
      <c r="I577" s="39">
        <v>8800</v>
      </c>
      <c r="J577" s="39">
        <v>7155</v>
      </c>
      <c r="K577" s="43">
        <f t="shared" si="25"/>
        <v>2.5000000000000001E-2</v>
      </c>
      <c r="L577" s="37" t="s">
        <v>2282</v>
      </c>
      <c r="M577" s="40">
        <v>45556</v>
      </c>
      <c r="N577" s="33" t="s">
        <v>57</v>
      </c>
      <c r="O577" s="41">
        <v>352000</v>
      </c>
      <c r="P577" s="34">
        <f t="shared" si="26"/>
        <v>1073.25</v>
      </c>
      <c r="Q577" s="36">
        <f t="shared" si="24"/>
        <v>71.55</v>
      </c>
      <c r="R577" s="35">
        <v>500</v>
      </c>
    </row>
    <row r="578" spans="1:18" x14ac:dyDescent="0.25">
      <c r="A578" s="37" t="s">
        <v>715</v>
      </c>
      <c r="B578" s="37"/>
      <c r="C578" s="37" t="s">
        <v>78</v>
      </c>
      <c r="D578" s="37" t="s">
        <v>2582</v>
      </c>
      <c r="E578" s="38">
        <v>45556</v>
      </c>
      <c r="F578" s="38">
        <v>45921</v>
      </c>
      <c r="G578" s="37" t="s">
        <v>1511</v>
      </c>
      <c r="H578" s="37" t="s">
        <v>60</v>
      </c>
      <c r="I578" s="39">
        <v>8800</v>
      </c>
      <c r="J578" s="39">
        <v>7155</v>
      </c>
      <c r="K578" s="43">
        <f t="shared" si="25"/>
        <v>2.5000000000000001E-2</v>
      </c>
      <c r="L578" s="37" t="s">
        <v>2283</v>
      </c>
      <c r="M578" s="40">
        <v>45556</v>
      </c>
      <c r="N578" s="33" t="s">
        <v>57</v>
      </c>
      <c r="O578" s="41">
        <v>352000</v>
      </c>
      <c r="P578" s="34">
        <f t="shared" si="26"/>
        <v>1073.25</v>
      </c>
      <c r="Q578" s="36">
        <f t="shared" si="24"/>
        <v>71.55</v>
      </c>
      <c r="R578" s="35">
        <v>500</v>
      </c>
    </row>
    <row r="579" spans="1:18" x14ac:dyDescent="0.25">
      <c r="A579" s="37" t="s">
        <v>716</v>
      </c>
      <c r="B579" s="37"/>
      <c r="C579" s="37" t="s">
        <v>78</v>
      </c>
      <c r="D579" s="37" t="s">
        <v>2582</v>
      </c>
      <c r="E579" s="38">
        <v>45556</v>
      </c>
      <c r="F579" s="38">
        <v>45921</v>
      </c>
      <c r="G579" s="37" t="s">
        <v>1536</v>
      </c>
      <c r="H579" s="37" t="s">
        <v>61</v>
      </c>
      <c r="I579" s="39">
        <v>9550</v>
      </c>
      <c r="J579" s="39">
        <v>7802</v>
      </c>
      <c r="K579" s="43">
        <f t="shared" si="25"/>
        <v>2.5000000000000001E-2</v>
      </c>
      <c r="L579" s="37" t="s">
        <v>2284</v>
      </c>
      <c r="M579" s="40">
        <v>45556</v>
      </c>
      <c r="N579" s="33" t="s">
        <v>57</v>
      </c>
      <c r="O579" s="41">
        <v>382000</v>
      </c>
      <c r="P579" s="34">
        <f t="shared" si="26"/>
        <v>1170.3</v>
      </c>
      <c r="Q579" s="36">
        <f t="shared" ref="Q579:Q642" si="27">J579*1/100</f>
        <v>78.02</v>
      </c>
      <c r="R579" s="35">
        <v>500</v>
      </c>
    </row>
    <row r="580" spans="1:18" x14ac:dyDescent="0.25">
      <c r="A580" s="37" t="s">
        <v>717</v>
      </c>
      <c r="B580" s="37"/>
      <c r="C580" s="37" t="s">
        <v>35</v>
      </c>
      <c r="D580" s="37" t="s">
        <v>36</v>
      </c>
      <c r="E580" s="38">
        <v>45556</v>
      </c>
      <c r="F580" s="38">
        <v>45921</v>
      </c>
      <c r="G580" s="37" t="s">
        <v>1537</v>
      </c>
      <c r="H580" s="37" t="s">
        <v>60</v>
      </c>
      <c r="I580" s="39">
        <v>14960</v>
      </c>
      <c r="J580" s="39">
        <v>12466</v>
      </c>
      <c r="K580" s="43">
        <f t="shared" ref="K580:K643" si="28">I580/O580</f>
        <v>4.2500000000000003E-2</v>
      </c>
      <c r="L580" s="37" t="s">
        <v>2285</v>
      </c>
      <c r="M580" s="40">
        <v>45556</v>
      </c>
      <c r="N580" s="33" t="s">
        <v>57</v>
      </c>
      <c r="O580" s="41">
        <v>352000</v>
      </c>
      <c r="P580" s="34">
        <f t="shared" ref="P580:P643" si="29">J580*15/100</f>
        <v>1869.9</v>
      </c>
      <c r="Q580" s="36">
        <f t="shared" si="27"/>
        <v>124.66</v>
      </c>
      <c r="R580" s="35">
        <v>500</v>
      </c>
    </row>
    <row r="581" spans="1:18" x14ac:dyDescent="0.25">
      <c r="A581" s="37" t="s">
        <v>718</v>
      </c>
      <c r="B581" s="37"/>
      <c r="C581" s="37" t="s">
        <v>78</v>
      </c>
      <c r="D581" s="37" t="s">
        <v>2582</v>
      </c>
      <c r="E581" s="38">
        <v>45556</v>
      </c>
      <c r="F581" s="38">
        <v>45921</v>
      </c>
      <c r="G581" s="37" t="s">
        <v>1538</v>
      </c>
      <c r="H581" s="37" t="s">
        <v>62</v>
      </c>
      <c r="I581" s="39">
        <v>13675</v>
      </c>
      <c r="J581" s="39">
        <v>11358</v>
      </c>
      <c r="K581" s="43">
        <f t="shared" si="28"/>
        <v>2.5000000000000001E-2</v>
      </c>
      <c r="L581" s="37" t="s">
        <v>2286</v>
      </c>
      <c r="M581" s="40">
        <v>45556</v>
      </c>
      <c r="N581" s="33" t="s">
        <v>57</v>
      </c>
      <c r="O581" s="41">
        <v>547000</v>
      </c>
      <c r="P581" s="34">
        <f t="shared" si="29"/>
        <v>1703.7</v>
      </c>
      <c r="Q581" s="36">
        <f t="shared" si="27"/>
        <v>113.58</v>
      </c>
      <c r="R581" s="35">
        <v>500</v>
      </c>
    </row>
    <row r="582" spans="1:18" x14ac:dyDescent="0.25">
      <c r="A582" s="37" t="s">
        <v>719</v>
      </c>
      <c r="B582" s="37"/>
      <c r="C582" s="37" t="s">
        <v>78</v>
      </c>
      <c r="D582" s="37" t="s">
        <v>2582</v>
      </c>
      <c r="E582" s="38">
        <v>45556</v>
      </c>
      <c r="F582" s="38">
        <v>45921</v>
      </c>
      <c r="G582" s="37" t="s">
        <v>1539</v>
      </c>
      <c r="H582" s="37" t="s">
        <v>60</v>
      </c>
      <c r="I582" s="39">
        <v>8800</v>
      </c>
      <c r="J582" s="39">
        <v>7155</v>
      </c>
      <c r="K582" s="43">
        <f t="shared" si="28"/>
        <v>2.5000000000000001E-2</v>
      </c>
      <c r="L582" s="37" t="s">
        <v>2287</v>
      </c>
      <c r="M582" s="40">
        <v>45556</v>
      </c>
      <c r="N582" s="33" t="s">
        <v>57</v>
      </c>
      <c r="O582" s="41">
        <v>352000</v>
      </c>
      <c r="P582" s="34">
        <f t="shared" si="29"/>
        <v>1073.25</v>
      </c>
      <c r="Q582" s="36">
        <f t="shared" si="27"/>
        <v>71.55</v>
      </c>
      <c r="R582" s="35">
        <v>500</v>
      </c>
    </row>
    <row r="583" spans="1:18" x14ac:dyDescent="0.25">
      <c r="A583" s="37" t="s">
        <v>720</v>
      </c>
      <c r="B583" s="37"/>
      <c r="C583" s="37" t="s">
        <v>78</v>
      </c>
      <c r="D583" s="37" t="s">
        <v>2582</v>
      </c>
      <c r="E583" s="38">
        <v>45556</v>
      </c>
      <c r="F583" s="38">
        <v>45921</v>
      </c>
      <c r="G583" s="37" t="s">
        <v>1540</v>
      </c>
      <c r="H583" s="37" t="s">
        <v>60</v>
      </c>
      <c r="I583" s="39">
        <v>8800</v>
      </c>
      <c r="J583" s="39">
        <v>7155</v>
      </c>
      <c r="K583" s="43">
        <f t="shared" si="28"/>
        <v>2.5000000000000001E-2</v>
      </c>
      <c r="L583" s="37" t="s">
        <v>2288</v>
      </c>
      <c r="M583" s="40">
        <v>45556</v>
      </c>
      <c r="N583" s="33" t="s">
        <v>57</v>
      </c>
      <c r="O583" s="41">
        <v>352000</v>
      </c>
      <c r="P583" s="34">
        <f t="shared" si="29"/>
        <v>1073.25</v>
      </c>
      <c r="Q583" s="36">
        <f t="shared" si="27"/>
        <v>71.55</v>
      </c>
      <c r="R583" s="35">
        <v>500</v>
      </c>
    </row>
    <row r="584" spans="1:18" x14ac:dyDescent="0.25">
      <c r="A584" s="37" t="s">
        <v>721</v>
      </c>
      <c r="B584" s="37"/>
      <c r="C584" s="37" t="s">
        <v>78</v>
      </c>
      <c r="D584" s="37" t="s">
        <v>2582</v>
      </c>
      <c r="E584" s="38">
        <v>45556</v>
      </c>
      <c r="F584" s="38">
        <v>45921</v>
      </c>
      <c r="G584" s="37" t="s">
        <v>1541</v>
      </c>
      <c r="H584" s="37" t="s">
        <v>60</v>
      </c>
      <c r="I584" s="39">
        <v>8800</v>
      </c>
      <c r="J584" s="39">
        <v>7155</v>
      </c>
      <c r="K584" s="43">
        <f t="shared" si="28"/>
        <v>2.5000000000000001E-2</v>
      </c>
      <c r="L584" s="37" t="s">
        <v>2289</v>
      </c>
      <c r="M584" s="40">
        <v>45556</v>
      </c>
      <c r="N584" s="33" t="s">
        <v>57</v>
      </c>
      <c r="O584" s="41">
        <v>352000</v>
      </c>
      <c r="P584" s="34">
        <f t="shared" si="29"/>
        <v>1073.25</v>
      </c>
      <c r="Q584" s="36">
        <f t="shared" si="27"/>
        <v>71.55</v>
      </c>
      <c r="R584" s="35">
        <v>500</v>
      </c>
    </row>
    <row r="585" spans="1:18" x14ac:dyDescent="0.25">
      <c r="A585" s="37" t="s">
        <v>722</v>
      </c>
      <c r="B585" s="37"/>
      <c r="C585" s="37" t="s">
        <v>31</v>
      </c>
      <c r="D585" s="37" t="s">
        <v>36</v>
      </c>
      <c r="E585" s="38">
        <v>45556</v>
      </c>
      <c r="F585" s="38">
        <v>45921</v>
      </c>
      <c r="G585" s="37" t="s">
        <v>1542</v>
      </c>
      <c r="H585" s="37" t="s">
        <v>60</v>
      </c>
      <c r="I585" s="39">
        <v>14960</v>
      </c>
      <c r="J585" s="39">
        <v>12466</v>
      </c>
      <c r="K585" s="43">
        <f t="shared" si="28"/>
        <v>4.2500000000000003E-2</v>
      </c>
      <c r="L585" s="37" t="s">
        <v>2290</v>
      </c>
      <c r="M585" s="40">
        <v>45556</v>
      </c>
      <c r="N585" s="33" t="s">
        <v>57</v>
      </c>
      <c r="O585" s="41">
        <v>352000</v>
      </c>
      <c r="P585" s="34">
        <f t="shared" si="29"/>
        <v>1869.9</v>
      </c>
      <c r="Q585" s="36">
        <f t="shared" si="27"/>
        <v>124.66</v>
      </c>
      <c r="R585" s="35">
        <v>500</v>
      </c>
    </row>
    <row r="586" spans="1:18" x14ac:dyDescent="0.25">
      <c r="A586" s="37" t="s">
        <v>723</v>
      </c>
      <c r="B586" s="37"/>
      <c r="C586" s="37" t="s">
        <v>32</v>
      </c>
      <c r="D586" s="37" t="s">
        <v>36</v>
      </c>
      <c r="E586" s="38">
        <v>45556</v>
      </c>
      <c r="F586" s="38">
        <v>45921</v>
      </c>
      <c r="G586" s="37" t="s">
        <v>1543</v>
      </c>
      <c r="H586" s="37" t="s">
        <v>60</v>
      </c>
      <c r="I586" s="39">
        <v>14960</v>
      </c>
      <c r="J586" s="39">
        <v>12466</v>
      </c>
      <c r="K586" s="43">
        <f t="shared" si="28"/>
        <v>4.2500000000000003E-2</v>
      </c>
      <c r="L586" s="37" t="s">
        <v>2291</v>
      </c>
      <c r="M586" s="40">
        <v>45556</v>
      </c>
      <c r="N586" s="33" t="s">
        <v>57</v>
      </c>
      <c r="O586" s="41">
        <v>352000</v>
      </c>
      <c r="P586" s="34">
        <f t="shared" si="29"/>
        <v>1869.9</v>
      </c>
      <c r="Q586" s="36">
        <f t="shared" si="27"/>
        <v>124.66</v>
      </c>
      <c r="R586" s="35">
        <v>500</v>
      </c>
    </row>
    <row r="587" spans="1:18" x14ac:dyDescent="0.25">
      <c r="A587" s="37" t="s">
        <v>724</v>
      </c>
      <c r="B587" s="37"/>
      <c r="C587" s="37" t="s">
        <v>32</v>
      </c>
      <c r="D587" s="37" t="s">
        <v>36</v>
      </c>
      <c r="E587" s="38">
        <v>45556</v>
      </c>
      <c r="F587" s="38">
        <v>45921</v>
      </c>
      <c r="G587" s="37" t="s">
        <v>1544</v>
      </c>
      <c r="H587" s="37" t="s">
        <v>61</v>
      </c>
      <c r="I587" s="39">
        <v>16235</v>
      </c>
      <c r="J587" s="39">
        <v>13565</v>
      </c>
      <c r="K587" s="43">
        <f t="shared" si="28"/>
        <v>4.2500000000000003E-2</v>
      </c>
      <c r="L587" s="37" t="s">
        <v>2292</v>
      </c>
      <c r="M587" s="40">
        <v>45556</v>
      </c>
      <c r="N587" s="33" t="s">
        <v>57</v>
      </c>
      <c r="O587" s="41">
        <v>382000</v>
      </c>
      <c r="P587" s="34">
        <f t="shared" si="29"/>
        <v>2034.75</v>
      </c>
      <c r="Q587" s="36">
        <f t="shared" si="27"/>
        <v>135.65</v>
      </c>
      <c r="R587" s="35">
        <v>500</v>
      </c>
    </row>
    <row r="588" spans="1:18" x14ac:dyDescent="0.25">
      <c r="A588" s="37" t="s">
        <v>725</v>
      </c>
      <c r="B588" s="37"/>
      <c r="C588" s="37" t="s">
        <v>32</v>
      </c>
      <c r="D588" s="37" t="s">
        <v>36</v>
      </c>
      <c r="E588" s="38">
        <v>45922</v>
      </c>
      <c r="F588" s="38">
        <v>46287</v>
      </c>
      <c r="G588" s="37" t="s">
        <v>1544</v>
      </c>
      <c r="H588" s="37" t="s">
        <v>61</v>
      </c>
      <c r="I588" s="39">
        <v>16235</v>
      </c>
      <c r="J588" s="39">
        <v>13565</v>
      </c>
      <c r="K588" s="43">
        <f t="shared" si="28"/>
        <v>4.2500000000000003E-2</v>
      </c>
      <c r="L588" s="37" t="s">
        <v>2292</v>
      </c>
      <c r="M588" s="40">
        <v>45556</v>
      </c>
      <c r="N588" s="33" t="s">
        <v>57</v>
      </c>
      <c r="O588" s="41">
        <v>382000</v>
      </c>
      <c r="P588" s="34">
        <f t="shared" si="29"/>
        <v>2034.75</v>
      </c>
      <c r="Q588" s="36">
        <f t="shared" si="27"/>
        <v>135.65</v>
      </c>
      <c r="R588" s="35">
        <v>500</v>
      </c>
    </row>
    <row r="589" spans="1:18" x14ac:dyDescent="0.25">
      <c r="A589" s="37" t="s">
        <v>726</v>
      </c>
      <c r="B589" s="37"/>
      <c r="C589" s="37" t="s">
        <v>32</v>
      </c>
      <c r="D589" s="37" t="s">
        <v>36</v>
      </c>
      <c r="E589" s="38">
        <v>45556</v>
      </c>
      <c r="F589" s="38">
        <v>45921</v>
      </c>
      <c r="G589" s="37" t="s">
        <v>1545</v>
      </c>
      <c r="H589" s="37" t="s">
        <v>61</v>
      </c>
      <c r="I589" s="39">
        <v>16235</v>
      </c>
      <c r="J589" s="39">
        <v>13565</v>
      </c>
      <c r="K589" s="43">
        <f t="shared" si="28"/>
        <v>4.2500000000000003E-2</v>
      </c>
      <c r="L589" s="37" t="s">
        <v>2293</v>
      </c>
      <c r="M589" s="40">
        <v>45556</v>
      </c>
      <c r="N589" s="33" t="s">
        <v>57</v>
      </c>
      <c r="O589" s="41">
        <v>382000</v>
      </c>
      <c r="P589" s="34">
        <f t="shared" si="29"/>
        <v>2034.75</v>
      </c>
      <c r="Q589" s="36">
        <f t="shared" si="27"/>
        <v>135.65</v>
      </c>
      <c r="R589" s="35">
        <v>500</v>
      </c>
    </row>
    <row r="590" spans="1:18" x14ac:dyDescent="0.25">
      <c r="A590" s="37" t="s">
        <v>727</v>
      </c>
      <c r="B590" s="37"/>
      <c r="C590" s="37" t="s">
        <v>32</v>
      </c>
      <c r="D590" s="37" t="s">
        <v>36</v>
      </c>
      <c r="E590" s="38">
        <v>45556</v>
      </c>
      <c r="F590" s="38">
        <v>45921</v>
      </c>
      <c r="G590" s="37" t="s">
        <v>1546</v>
      </c>
      <c r="H590" s="37" t="s">
        <v>61</v>
      </c>
      <c r="I590" s="39">
        <v>16235</v>
      </c>
      <c r="J590" s="39">
        <v>13565</v>
      </c>
      <c r="K590" s="43">
        <f t="shared" si="28"/>
        <v>4.2500000000000003E-2</v>
      </c>
      <c r="L590" s="37" t="s">
        <v>2294</v>
      </c>
      <c r="M590" s="40">
        <v>45556</v>
      </c>
      <c r="N590" s="33" t="s">
        <v>57</v>
      </c>
      <c r="O590" s="41">
        <v>382000</v>
      </c>
      <c r="P590" s="34">
        <f t="shared" si="29"/>
        <v>2034.75</v>
      </c>
      <c r="Q590" s="36">
        <f t="shared" si="27"/>
        <v>135.65</v>
      </c>
      <c r="R590" s="35">
        <v>500</v>
      </c>
    </row>
    <row r="591" spans="1:18" x14ac:dyDescent="0.25">
      <c r="A591" s="37" t="s">
        <v>728</v>
      </c>
      <c r="B591" s="37"/>
      <c r="C591" s="37" t="s">
        <v>32</v>
      </c>
      <c r="D591" s="37" t="s">
        <v>36</v>
      </c>
      <c r="E591" s="38">
        <v>45922</v>
      </c>
      <c r="F591" s="38">
        <v>46287</v>
      </c>
      <c r="G591" s="37" t="s">
        <v>1546</v>
      </c>
      <c r="H591" s="37" t="s">
        <v>61</v>
      </c>
      <c r="I591" s="39">
        <v>16235</v>
      </c>
      <c r="J591" s="39">
        <v>13565</v>
      </c>
      <c r="K591" s="43">
        <f t="shared" si="28"/>
        <v>4.2500000000000003E-2</v>
      </c>
      <c r="L591" s="37" t="s">
        <v>2294</v>
      </c>
      <c r="M591" s="40">
        <v>45556</v>
      </c>
      <c r="N591" s="33" t="s">
        <v>57</v>
      </c>
      <c r="O591" s="41">
        <v>382000</v>
      </c>
      <c r="P591" s="34">
        <f t="shared" si="29"/>
        <v>2034.75</v>
      </c>
      <c r="Q591" s="36">
        <f t="shared" si="27"/>
        <v>135.65</v>
      </c>
      <c r="R591" s="35">
        <v>500</v>
      </c>
    </row>
    <row r="592" spans="1:18" x14ac:dyDescent="0.25">
      <c r="A592" s="37" t="s">
        <v>729</v>
      </c>
      <c r="B592" s="37"/>
      <c r="C592" s="37" t="s">
        <v>32</v>
      </c>
      <c r="D592" s="37" t="s">
        <v>36</v>
      </c>
      <c r="E592" s="38">
        <v>45556</v>
      </c>
      <c r="F592" s="38">
        <v>45921</v>
      </c>
      <c r="G592" s="37" t="s">
        <v>1547</v>
      </c>
      <c r="H592" s="37" t="s">
        <v>63</v>
      </c>
      <c r="I592" s="39">
        <v>21208</v>
      </c>
      <c r="J592" s="39">
        <v>17852</v>
      </c>
      <c r="K592" s="43">
        <f t="shared" si="28"/>
        <v>4.2501002004008019E-2</v>
      </c>
      <c r="L592" s="37" t="s">
        <v>2295</v>
      </c>
      <c r="M592" s="40">
        <v>45556</v>
      </c>
      <c r="N592" s="33" t="s">
        <v>57</v>
      </c>
      <c r="O592" s="41">
        <v>499000</v>
      </c>
      <c r="P592" s="34">
        <f t="shared" si="29"/>
        <v>2677.8</v>
      </c>
      <c r="Q592" s="36">
        <f t="shared" si="27"/>
        <v>178.52</v>
      </c>
      <c r="R592" s="35">
        <v>500</v>
      </c>
    </row>
    <row r="593" spans="1:18" x14ac:dyDescent="0.25">
      <c r="A593" s="37" t="s">
        <v>730</v>
      </c>
      <c r="B593" s="37"/>
      <c r="C593" s="37" t="s">
        <v>32</v>
      </c>
      <c r="D593" s="37" t="s">
        <v>36</v>
      </c>
      <c r="E593" s="38">
        <v>45922</v>
      </c>
      <c r="F593" s="38">
        <v>46287</v>
      </c>
      <c r="G593" s="37" t="s">
        <v>1547</v>
      </c>
      <c r="H593" s="37" t="s">
        <v>63</v>
      </c>
      <c r="I593" s="39">
        <v>21208</v>
      </c>
      <c r="J593" s="39">
        <v>17852</v>
      </c>
      <c r="K593" s="43">
        <f t="shared" si="28"/>
        <v>4.2501002004008019E-2</v>
      </c>
      <c r="L593" s="37" t="s">
        <v>2295</v>
      </c>
      <c r="M593" s="40">
        <v>45556</v>
      </c>
      <c r="N593" s="33" t="s">
        <v>57</v>
      </c>
      <c r="O593" s="41">
        <v>499000</v>
      </c>
      <c r="P593" s="34">
        <f t="shared" si="29"/>
        <v>2677.8</v>
      </c>
      <c r="Q593" s="36">
        <f t="shared" si="27"/>
        <v>178.52</v>
      </c>
      <c r="R593" s="35">
        <v>500</v>
      </c>
    </row>
    <row r="594" spans="1:18" x14ac:dyDescent="0.25">
      <c r="A594" s="37" t="s">
        <v>731</v>
      </c>
      <c r="B594" s="37"/>
      <c r="C594" s="37" t="s">
        <v>54</v>
      </c>
      <c r="D594" s="37" t="s">
        <v>2582</v>
      </c>
      <c r="E594" s="38">
        <v>45556</v>
      </c>
      <c r="F594" s="38">
        <v>45921</v>
      </c>
      <c r="G594" s="37" t="s">
        <v>56</v>
      </c>
      <c r="H594" s="37" t="s">
        <v>60</v>
      </c>
      <c r="I594" s="39">
        <v>8800</v>
      </c>
      <c r="J594" s="39">
        <v>7155</v>
      </c>
      <c r="K594" s="43">
        <f t="shared" si="28"/>
        <v>2.5000000000000001E-2</v>
      </c>
      <c r="L594" s="37" t="s">
        <v>2296</v>
      </c>
      <c r="M594" s="40">
        <v>45556</v>
      </c>
      <c r="N594" s="33" t="s">
        <v>57</v>
      </c>
      <c r="O594" s="41">
        <v>352000</v>
      </c>
      <c r="P594" s="34">
        <f t="shared" si="29"/>
        <v>1073.25</v>
      </c>
      <c r="Q594" s="36">
        <f t="shared" si="27"/>
        <v>71.55</v>
      </c>
      <c r="R594" s="35">
        <v>500</v>
      </c>
    </row>
    <row r="595" spans="1:18" x14ac:dyDescent="0.25">
      <c r="A595" s="37" t="s">
        <v>732</v>
      </c>
      <c r="B595" s="37"/>
      <c r="C595" s="37" t="s">
        <v>32</v>
      </c>
      <c r="D595" s="37" t="s">
        <v>36</v>
      </c>
      <c r="E595" s="38">
        <v>45556</v>
      </c>
      <c r="F595" s="38">
        <v>45921</v>
      </c>
      <c r="G595" s="37" t="s">
        <v>1548</v>
      </c>
      <c r="H595" s="37" t="s">
        <v>60</v>
      </c>
      <c r="I595" s="39">
        <v>14960</v>
      </c>
      <c r="J595" s="39">
        <v>12466</v>
      </c>
      <c r="K595" s="43">
        <f t="shared" si="28"/>
        <v>4.2500000000000003E-2</v>
      </c>
      <c r="L595" s="37" t="s">
        <v>2297</v>
      </c>
      <c r="M595" s="40">
        <v>45556</v>
      </c>
      <c r="N595" s="33" t="s">
        <v>57</v>
      </c>
      <c r="O595" s="41">
        <v>352000</v>
      </c>
      <c r="P595" s="34">
        <f t="shared" si="29"/>
        <v>1869.9</v>
      </c>
      <c r="Q595" s="36">
        <f t="shared" si="27"/>
        <v>124.66</v>
      </c>
      <c r="R595" s="35">
        <v>500</v>
      </c>
    </row>
    <row r="596" spans="1:18" x14ac:dyDescent="0.25">
      <c r="A596" s="37" t="s">
        <v>733</v>
      </c>
      <c r="B596" s="37"/>
      <c r="C596" s="37" t="s">
        <v>32</v>
      </c>
      <c r="D596" s="37" t="s">
        <v>36</v>
      </c>
      <c r="E596" s="38">
        <v>45556</v>
      </c>
      <c r="F596" s="38">
        <v>45921</v>
      </c>
      <c r="G596" s="37" t="s">
        <v>1549</v>
      </c>
      <c r="H596" s="37" t="s">
        <v>60</v>
      </c>
      <c r="I596" s="39">
        <v>14960</v>
      </c>
      <c r="J596" s="39">
        <v>12466</v>
      </c>
      <c r="K596" s="43">
        <f t="shared" si="28"/>
        <v>4.2500000000000003E-2</v>
      </c>
      <c r="L596" s="37" t="s">
        <v>2298</v>
      </c>
      <c r="M596" s="40">
        <v>45556</v>
      </c>
      <c r="N596" s="33" t="s">
        <v>57</v>
      </c>
      <c r="O596" s="41">
        <v>352000</v>
      </c>
      <c r="P596" s="34">
        <f t="shared" si="29"/>
        <v>1869.9</v>
      </c>
      <c r="Q596" s="36">
        <f t="shared" si="27"/>
        <v>124.66</v>
      </c>
      <c r="R596" s="35">
        <v>500</v>
      </c>
    </row>
    <row r="597" spans="1:18" x14ac:dyDescent="0.25">
      <c r="A597" s="37" t="s">
        <v>734</v>
      </c>
      <c r="B597" s="37"/>
      <c r="C597" s="37" t="s">
        <v>32</v>
      </c>
      <c r="D597" s="37" t="s">
        <v>36</v>
      </c>
      <c r="E597" s="38">
        <v>45922</v>
      </c>
      <c r="F597" s="38">
        <v>46287</v>
      </c>
      <c r="G597" s="37" t="s">
        <v>1549</v>
      </c>
      <c r="H597" s="37" t="s">
        <v>60</v>
      </c>
      <c r="I597" s="39">
        <v>14960</v>
      </c>
      <c r="J597" s="39">
        <v>12466</v>
      </c>
      <c r="K597" s="43">
        <f t="shared" si="28"/>
        <v>4.2500000000000003E-2</v>
      </c>
      <c r="L597" s="37" t="s">
        <v>2298</v>
      </c>
      <c r="M597" s="40">
        <v>45556</v>
      </c>
      <c r="N597" s="33" t="s">
        <v>57</v>
      </c>
      <c r="O597" s="41">
        <v>352000</v>
      </c>
      <c r="P597" s="34">
        <f t="shared" si="29"/>
        <v>1869.9</v>
      </c>
      <c r="Q597" s="36">
        <f t="shared" si="27"/>
        <v>124.66</v>
      </c>
      <c r="R597" s="35">
        <v>500</v>
      </c>
    </row>
    <row r="598" spans="1:18" x14ac:dyDescent="0.25">
      <c r="A598" s="37" t="s">
        <v>735</v>
      </c>
      <c r="B598" s="37"/>
      <c r="C598" s="37" t="s">
        <v>32</v>
      </c>
      <c r="D598" s="37" t="s">
        <v>36</v>
      </c>
      <c r="E598" s="38">
        <v>45556</v>
      </c>
      <c r="F598" s="38">
        <v>45921</v>
      </c>
      <c r="G598" s="37" t="s">
        <v>1550</v>
      </c>
      <c r="H598" s="37" t="s">
        <v>60</v>
      </c>
      <c r="I598" s="39">
        <v>14960</v>
      </c>
      <c r="J598" s="39">
        <v>12466</v>
      </c>
      <c r="K598" s="43">
        <f t="shared" si="28"/>
        <v>4.2500000000000003E-2</v>
      </c>
      <c r="L598" s="37" t="s">
        <v>2299</v>
      </c>
      <c r="M598" s="40">
        <v>45556</v>
      </c>
      <c r="N598" s="33" t="s">
        <v>57</v>
      </c>
      <c r="O598" s="41">
        <v>352000</v>
      </c>
      <c r="P598" s="34">
        <f t="shared" si="29"/>
        <v>1869.9</v>
      </c>
      <c r="Q598" s="36">
        <f t="shared" si="27"/>
        <v>124.66</v>
      </c>
      <c r="R598" s="35">
        <v>500</v>
      </c>
    </row>
    <row r="599" spans="1:18" x14ac:dyDescent="0.25">
      <c r="A599" s="37" t="s">
        <v>736</v>
      </c>
      <c r="B599" s="37"/>
      <c r="C599" s="37" t="s">
        <v>32</v>
      </c>
      <c r="D599" s="37" t="s">
        <v>36</v>
      </c>
      <c r="E599" s="38">
        <v>45556</v>
      </c>
      <c r="F599" s="38">
        <v>45921</v>
      </c>
      <c r="G599" s="37" t="s">
        <v>1191</v>
      </c>
      <c r="H599" s="37" t="s">
        <v>60</v>
      </c>
      <c r="I599" s="39">
        <v>14960</v>
      </c>
      <c r="J599" s="39">
        <v>12466</v>
      </c>
      <c r="K599" s="43">
        <f t="shared" si="28"/>
        <v>4.2500000000000003E-2</v>
      </c>
      <c r="L599" s="37" t="s">
        <v>2300</v>
      </c>
      <c r="M599" s="40">
        <v>45556</v>
      </c>
      <c r="N599" s="33" t="s">
        <v>57</v>
      </c>
      <c r="O599" s="41">
        <v>352000</v>
      </c>
      <c r="P599" s="34">
        <f t="shared" si="29"/>
        <v>1869.9</v>
      </c>
      <c r="Q599" s="36">
        <f t="shared" si="27"/>
        <v>124.66</v>
      </c>
      <c r="R599" s="35">
        <v>500</v>
      </c>
    </row>
    <row r="600" spans="1:18" x14ac:dyDescent="0.25">
      <c r="A600" s="37" t="s">
        <v>737</v>
      </c>
      <c r="B600" s="37"/>
      <c r="C600" s="37" t="s">
        <v>32</v>
      </c>
      <c r="D600" s="37" t="s">
        <v>36</v>
      </c>
      <c r="E600" s="38">
        <v>45556</v>
      </c>
      <c r="F600" s="38">
        <v>45921</v>
      </c>
      <c r="G600" s="37" t="s">
        <v>68</v>
      </c>
      <c r="H600" s="37" t="s">
        <v>60</v>
      </c>
      <c r="I600" s="39">
        <v>14960</v>
      </c>
      <c r="J600" s="39">
        <v>12466</v>
      </c>
      <c r="K600" s="43">
        <f t="shared" si="28"/>
        <v>4.2500000000000003E-2</v>
      </c>
      <c r="L600" s="37" t="s">
        <v>2301</v>
      </c>
      <c r="M600" s="40">
        <v>45556</v>
      </c>
      <c r="N600" s="33" t="s">
        <v>57</v>
      </c>
      <c r="O600" s="41">
        <v>352000</v>
      </c>
      <c r="P600" s="34">
        <f t="shared" si="29"/>
        <v>1869.9</v>
      </c>
      <c r="Q600" s="36">
        <f t="shared" si="27"/>
        <v>124.66</v>
      </c>
      <c r="R600" s="35">
        <v>500</v>
      </c>
    </row>
    <row r="601" spans="1:18" x14ac:dyDescent="0.25">
      <c r="A601" s="37" t="s">
        <v>738</v>
      </c>
      <c r="B601" s="37"/>
      <c r="C601" s="37" t="s">
        <v>32</v>
      </c>
      <c r="D601" s="37" t="s">
        <v>36</v>
      </c>
      <c r="E601" s="38">
        <v>45556</v>
      </c>
      <c r="F601" s="38">
        <v>45921</v>
      </c>
      <c r="G601" s="37" t="s">
        <v>1551</v>
      </c>
      <c r="H601" s="37" t="s">
        <v>63</v>
      </c>
      <c r="I601" s="39">
        <v>21208</v>
      </c>
      <c r="J601" s="39">
        <v>17852</v>
      </c>
      <c r="K601" s="43">
        <f t="shared" si="28"/>
        <v>4.2501002004008019E-2</v>
      </c>
      <c r="L601" s="37" t="s">
        <v>2302</v>
      </c>
      <c r="M601" s="40">
        <v>45556</v>
      </c>
      <c r="N601" s="33" t="s">
        <v>57</v>
      </c>
      <c r="O601" s="41">
        <v>499000</v>
      </c>
      <c r="P601" s="34">
        <f t="shared" si="29"/>
        <v>2677.8</v>
      </c>
      <c r="Q601" s="36">
        <f t="shared" si="27"/>
        <v>178.52</v>
      </c>
      <c r="R601" s="35">
        <v>500</v>
      </c>
    </row>
    <row r="602" spans="1:18" x14ac:dyDescent="0.25">
      <c r="A602" s="37" t="s">
        <v>739</v>
      </c>
      <c r="B602" s="37"/>
      <c r="C602" s="37" t="s">
        <v>32</v>
      </c>
      <c r="D602" s="37" t="s">
        <v>36</v>
      </c>
      <c r="E602" s="38">
        <v>45556</v>
      </c>
      <c r="F602" s="38">
        <v>45921</v>
      </c>
      <c r="G602" s="37" t="s">
        <v>1552</v>
      </c>
      <c r="H602" s="37" t="s">
        <v>60</v>
      </c>
      <c r="I602" s="39">
        <v>14960</v>
      </c>
      <c r="J602" s="39">
        <v>12466</v>
      </c>
      <c r="K602" s="43">
        <f t="shared" si="28"/>
        <v>4.2500000000000003E-2</v>
      </c>
      <c r="L602" s="37" t="s">
        <v>2303</v>
      </c>
      <c r="M602" s="40">
        <v>45556</v>
      </c>
      <c r="N602" s="33" t="s">
        <v>57</v>
      </c>
      <c r="O602" s="41">
        <v>352000</v>
      </c>
      <c r="P602" s="34">
        <f t="shared" si="29"/>
        <v>1869.9</v>
      </c>
      <c r="Q602" s="36">
        <f t="shared" si="27"/>
        <v>124.66</v>
      </c>
      <c r="R602" s="35">
        <v>500</v>
      </c>
    </row>
    <row r="603" spans="1:18" x14ac:dyDescent="0.25">
      <c r="A603" s="37" t="s">
        <v>740</v>
      </c>
      <c r="B603" s="37"/>
      <c r="C603" s="37" t="s">
        <v>32</v>
      </c>
      <c r="D603" s="37" t="s">
        <v>36</v>
      </c>
      <c r="E603" s="38">
        <v>45922</v>
      </c>
      <c r="F603" s="38">
        <v>46287</v>
      </c>
      <c r="G603" s="37" t="s">
        <v>1552</v>
      </c>
      <c r="H603" s="37" t="s">
        <v>60</v>
      </c>
      <c r="I603" s="39">
        <v>14960</v>
      </c>
      <c r="J603" s="39">
        <v>12466</v>
      </c>
      <c r="K603" s="43">
        <f t="shared" si="28"/>
        <v>4.2500000000000003E-2</v>
      </c>
      <c r="L603" s="37" t="s">
        <v>2303</v>
      </c>
      <c r="M603" s="40">
        <v>45556</v>
      </c>
      <c r="N603" s="33" t="s">
        <v>57</v>
      </c>
      <c r="O603" s="41">
        <v>352000</v>
      </c>
      <c r="P603" s="34">
        <f t="shared" si="29"/>
        <v>1869.9</v>
      </c>
      <c r="Q603" s="36">
        <f t="shared" si="27"/>
        <v>124.66</v>
      </c>
      <c r="R603" s="35">
        <v>500</v>
      </c>
    </row>
    <row r="604" spans="1:18" x14ac:dyDescent="0.25">
      <c r="A604" s="37" t="s">
        <v>741</v>
      </c>
      <c r="B604" s="37"/>
      <c r="C604" s="37" t="s">
        <v>32</v>
      </c>
      <c r="D604" s="37" t="s">
        <v>36</v>
      </c>
      <c r="E604" s="38">
        <v>45556</v>
      </c>
      <c r="F604" s="38">
        <v>45921</v>
      </c>
      <c r="G604" s="37" t="s">
        <v>1553</v>
      </c>
      <c r="H604" s="37" t="s">
        <v>60</v>
      </c>
      <c r="I604" s="39">
        <v>14960</v>
      </c>
      <c r="J604" s="39">
        <v>12466</v>
      </c>
      <c r="K604" s="43">
        <f t="shared" si="28"/>
        <v>4.2500000000000003E-2</v>
      </c>
      <c r="L604" s="37" t="s">
        <v>2304</v>
      </c>
      <c r="M604" s="40">
        <v>45556</v>
      </c>
      <c r="N604" s="33" t="s">
        <v>57</v>
      </c>
      <c r="O604" s="41">
        <v>352000</v>
      </c>
      <c r="P604" s="34">
        <f t="shared" si="29"/>
        <v>1869.9</v>
      </c>
      <c r="Q604" s="36">
        <f t="shared" si="27"/>
        <v>124.66</v>
      </c>
      <c r="R604" s="35">
        <v>500</v>
      </c>
    </row>
    <row r="605" spans="1:18" x14ac:dyDescent="0.25">
      <c r="A605" s="37" t="s">
        <v>742</v>
      </c>
      <c r="B605" s="37"/>
      <c r="C605" s="37" t="s">
        <v>32</v>
      </c>
      <c r="D605" s="37" t="s">
        <v>36</v>
      </c>
      <c r="E605" s="38">
        <v>45556</v>
      </c>
      <c r="F605" s="38">
        <v>45921</v>
      </c>
      <c r="G605" s="37" t="s">
        <v>1554</v>
      </c>
      <c r="H605" s="37" t="s">
        <v>60</v>
      </c>
      <c r="I605" s="39">
        <v>14960</v>
      </c>
      <c r="J605" s="39">
        <v>12466</v>
      </c>
      <c r="K605" s="43">
        <f t="shared" si="28"/>
        <v>4.2500000000000003E-2</v>
      </c>
      <c r="L605" s="37" t="s">
        <v>2305</v>
      </c>
      <c r="M605" s="40">
        <v>45556</v>
      </c>
      <c r="N605" s="33" t="s">
        <v>57</v>
      </c>
      <c r="O605" s="41">
        <v>352000</v>
      </c>
      <c r="P605" s="34">
        <f t="shared" si="29"/>
        <v>1869.9</v>
      </c>
      <c r="Q605" s="36">
        <f t="shared" si="27"/>
        <v>124.66</v>
      </c>
      <c r="R605" s="35">
        <v>500</v>
      </c>
    </row>
    <row r="606" spans="1:18" x14ac:dyDescent="0.25">
      <c r="A606" s="37" t="s">
        <v>743</v>
      </c>
      <c r="B606" s="37"/>
      <c r="C606" s="37" t="s">
        <v>32</v>
      </c>
      <c r="D606" s="37" t="s">
        <v>36</v>
      </c>
      <c r="E606" s="38">
        <v>45922</v>
      </c>
      <c r="F606" s="38">
        <v>46287</v>
      </c>
      <c r="G606" s="37" t="s">
        <v>1554</v>
      </c>
      <c r="H606" s="37" t="s">
        <v>60</v>
      </c>
      <c r="I606" s="39">
        <v>14960</v>
      </c>
      <c r="J606" s="39">
        <v>12466</v>
      </c>
      <c r="K606" s="43">
        <f t="shared" si="28"/>
        <v>4.2500000000000003E-2</v>
      </c>
      <c r="L606" s="37" t="s">
        <v>2305</v>
      </c>
      <c r="M606" s="40">
        <v>45556</v>
      </c>
      <c r="N606" s="33" t="s">
        <v>57</v>
      </c>
      <c r="O606" s="41">
        <v>352000</v>
      </c>
      <c r="P606" s="34">
        <f t="shared" si="29"/>
        <v>1869.9</v>
      </c>
      <c r="Q606" s="36">
        <f t="shared" si="27"/>
        <v>124.66</v>
      </c>
      <c r="R606" s="35">
        <v>500</v>
      </c>
    </row>
    <row r="607" spans="1:18" x14ac:dyDescent="0.25">
      <c r="A607" s="37" t="s">
        <v>744</v>
      </c>
      <c r="B607" s="37"/>
      <c r="C607" s="37" t="s">
        <v>32</v>
      </c>
      <c r="D607" s="37" t="s">
        <v>36</v>
      </c>
      <c r="E607" s="38">
        <v>45556</v>
      </c>
      <c r="F607" s="38">
        <v>45921</v>
      </c>
      <c r="G607" s="37" t="s">
        <v>1555</v>
      </c>
      <c r="H607" s="37" t="s">
        <v>60</v>
      </c>
      <c r="I607" s="39">
        <v>14960</v>
      </c>
      <c r="J607" s="39">
        <v>12466</v>
      </c>
      <c r="K607" s="43">
        <f t="shared" si="28"/>
        <v>4.2500000000000003E-2</v>
      </c>
      <c r="L607" s="37" t="s">
        <v>2306</v>
      </c>
      <c r="M607" s="40">
        <v>45556</v>
      </c>
      <c r="N607" s="33" t="s">
        <v>57</v>
      </c>
      <c r="O607" s="41">
        <v>352000</v>
      </c>
      <c r="P607" s="34">
        <f t="shared" si="29"/>
        <v>1869.9</v>
      </c>
      <c r="Q607" s="36">
        <f t="shared" si="27"/>
        <v>124.66</v>
      </c>
      <c r="R607" s="35">
        <v>500</v>
      </c>
    </row>
    <row r="608" spans="1:18" x14ac:dyDescent="0.25">
      <c r="A608" s="37" t="s">
        <v>745</v>
      </c>
      <c r="B608" s="37"/>
      <c r="C608" s="37" t="s">
        <v>32</v>
      </c>
      <c r="D608" s="37" t="s">
        <v>36</v>
      </c>
      <c r="E608" s="38">
        <v>45922</v>
      </c>
      <c r="F608" s="38">
        <v>46287</v>
      </c>
      <c r="G608" s="37" t="s">
        <v>1555</v>
      </c>
      <c r="H608" s="37" t="s">
        <v>60</v>
      </c>
      <c r="I608" s="39">
        <v>14960</v>
      </c>
      <c r="J608" s="39">
        <v>12466</v>
      </c>
      <c r="K608" s="43">
        <f t="shared" si="28"/>
        <v>4.2500000000000003E-2</v>
      </c>
      <c r="L608" s="37" t="s">
        <v>2306</v>
      </c>
      <c r="M608" s="40">
        <v>45556</v>
      </c>
      <c r="N608" s="33" t="s">
        <v>57</v>
      </c>
      <c r="O608" s="41">
        <v>352000</v>
      </c>
      <c r="P608" s="34">
        <f t="shared" si="29"/>
        <v>1869.9</v>
      </c>
      <c r="Q608" s="36">
        <f t="shared" si="27"/>
        <v>124.66</v>
      </c>
      <c r="R608" s="35">
        <v>500</v>
      </c>
    </row>
    <row r="609" spans="1:18" x14ac:dyDescent="0.25">
      <c r="A609" s="37" t="s">
        <v>746</v>
      </c>
      <c r="B609" s="37"/>
      <c r="C609" s="37" t="s">
        <v>52</v>
      </c>
      <c r="D609" s="37" t="s">
        <v>36</v>
      </c>
      <c r="E609" s="38">
        <v>45557</v>
      </c>
      <c r="F609" s="38">
        <v>45922</v>
      </c>
      <c r="G609" s="37" t="s">
        <v>1556</v>
      </c>
      <c r="H609" s="37" t="s">
        <v>61</v>
      </c>
      <c r="I609" s="39">
        <v>16235</v>
      </c>
      <c r="J609" s="39">
        <v>13565</v>
      </c>
      <c r="K609" s="43">
        <f t="shared" si="28"/>
        <v>4.2500000000000003E-2</v>
      </c>
      <c r="L609" s="37" t="s">
        <v>2307</v>
      </c>
      <c r="M609" s="40">
        <v>45557</v>
      </c>
      <c r="N609" s="33" t="s">
        <v>57</v>
      </c>
      <c r="O609" s="41">
        <v>382000</v>
      </c>
      <c r="P609" s="34">
        <f t="shared" si="29"/>
        <v>2034.75</v>
      </c>
      <c r="Q609" s="36">
        <f t="shared" si="27"/>
        <v>135.65</v>
      </c>
      <c r="R609" s="35">
        <v>500</v>
      </c>
    </row>
    <row r="610" spans="1:18" x14ac:dyDescent="0.25">
      <c r="A610" s="37" t="s">
        <v>747</v>
      </c>
      <c r="B610" s="37"/>
      <c r="C610" s="37" t="s">
        <v>52</v>
      </c>
      <c r="D610" s="37" t="s">
        <v>36</v>
      </c>
      <c r="E610" s="38">
        <v>45557</v>
      </c>
      <c r="F610" s="38">
        <v>45922</v>
      </c>
      <c r="G610" s="37" t="s">
        <v>1557</v>
      </c>
      <c r="H610" s="37" t="s">
        <v>60</v>
      </c>
      <c r="I610" s="39">
        <v>14960</v>
      </c>
      <c r="J610" s="39">
        <v>12466</v>
      </c>
      <c r="K610" s="43">
        <f t="shared" si="28"/>
        <v>4.2500000000000003E-2</v>
      </c>
      <c r="L610" s="37" t="s">
        <v>2308</v>
      </c>
      <c r="M610" s="40">
        <v>45557</v>
      </c>
      <c r="N610" s="33" t="s">
        <v>57</v>
      </c>
      <c r="O610" s="41">
        <v>352000</v>
      </c>
      <c r="P610" s="34">
        <f t="shared" si="29"/>
        <v>1869.9</v>
      </c>
      <c r="Q610" s="36">
        <f t="shared" si="27"/>
        <v>124.66</v>
      </c>
      <c r="R610" s="35">
        <v>500</v>
      </c>
    </row>
    <row r="611" spans="1:18" x14ac:dyDescent="0.25">
      <c r="A611" s="37" t="s">
        <v>748</v>
      </c>
      <c r="B611" s="37"/>
      <c r="C611" s="37" t="s">
        <v>31</v>
      </c>
      <c r="D611" s="37" t="s">
        <v>36</v>
      </c>
      <c r="E611" s="38">
        <v>45558</v>
      </c>
      <c r="F611" s="38">
        <v>45923</v>
      </c>
      <c r="G611" s="37" t="s">
        <v>1558</v>
      </c>
      <c r="H611" s="37" t="s">
        <v>60</v>
      </c>
      <c r="I611" s="39">
        <v>14960</v>
      </c>
      <c r="J611" s="39">
        <v>12466</v>
      </c>
      <c r="K611" s="43">
        <f t="shared" si="28"/>
        <v>4.2500000000000003E-2</v>
      </c>
      <c r="L611" s="37" t="s">
        <v>2309</v>
      </c>
      <c r="M611" s="40">
        <v>45558</v>
      </c>
      <c r="N611" s="33" t="s">
        <v>57</v>
      </c>
      <c r="O611" s="41">
        <v>352000</v>
      </c>
      <c r="P611" s="34">
        <f t="shared" si="29"/>
        <v>1869.9</v>
      </c>
      <c r="Q611" s="36">
        <f t="shared" si="27"/>
        <v>124.66</v>
      </c>
      <c r="R611" s="35">
        <v>500</v>
      </c>
    </row>
    <row r="612" spans="1:18" x14ac:dyDescent="0.25">
      <c r="A612" s="37" t="s">
        <v>749</v>
      </c>
      <c r="B612" s="37"/>
      <c r="C612" s="37" t="s">
        <v>31</v>
      </c>
      <c r="D612" s="37" t="s">
        <v>36</v>
      </c>
      <c r="E612" s="38">
        <v>45558</v>
      </c>
      <c r="F612" s="38">
        <v>45923</v>
      </c>
      <c r="G612" s="37" t="s">
        <v>1559</v>
      </c>
      <c r="H612" s="37" t="s">
        <v>60</v>
      </c>
      <c r="I612" s="39">
        <v>14960</v>
      </c>
      <c r="J612" s="39">
        <v>12466</v>
      </c>
      <c r="K612" s="43">
        <f t="shared" si="28"/>
        <v>4.2500000000000003E-2</v>
      </c>
      <c r="L612" s="37" t="s">
        <v>2310</v>
      </c>
      <c r="M612" s="40">
        <v>45558</v>
      </c>
      <c r="N612" s="33" t="s">
        <v>57</v>
      </c>
      <c r="O612" s="41">
        <v>352000</v>
      </c>
      <c r="P612" s="34">
        <f t="shared" si="29"/>
        <v>1869.9</v>
      </c>
      <c r="Q612" s="36">
        <f t="shared" si="27"/>
        <v>124.66</v>
      </c>
      <c r="R612" s="35">
        <v>500</v>
      </c>
    </row>
    <row r="613" spans="1:18" x14ac:dyDescent="0.25">
      <c r="A613" s="37" t="s">
        <v>750</v>
      </c>
      <c r="B613" s="37"/>
      <c r="C613" s="37" t="s">
        <v>31</v>
      </c>
      <c r="D613" s="37" t="s">
        <v>36</v>
      </c>
      <c r="E613" s="38">
        <v>45924</v>
      </c>
      <c r="F613" s="38">
        <v>46289</v>
      </c>
      <c r="G613" s="37" t="s">
        <v>1559</v>
      </c>
      <c r="H613" s="37" t="s">
        <v>60</v>
      </c>
      <c r="I613" s="39">
        <v>14960</v>
      </c>
      <c r="J613" s="39">
        <v>12466</v>
      </c>
      <c r="K613" s="43">
        <f t="shared" si="28"/>
        <v>4.2500000000000003E-2</v>
      </c>
      <c r="L613" s="37" t="s">
        <v>2310</v>
      </c>
      <c r="M613" s="40">
        <v>45558</v>
      </c>
      <c r="N613" s="33" t="s">
        <v>57</v>
      </c>
      <c r="O613" s="41">
        <v>352000</v>
      </c>
      <c r="P613" s="34">
        <f t="shared" si="29"/>
        <v>1869.9</v>
      </c>
      <c r="Q613" s="36">
        <f t="shared" si="27"/>
        <v>124.66</v>
      </c>
      <c r="R613" s="35">
        <v>500</v>
      </c>
    </row>
    <row r="614" spans="1:18" x14ac:dyDescent="0.25">
      <c r="A614" s="37" t="s">
        <v>751</v>
      </c>
      <c r="B614" s="37"/>
      <c r="C614" s="37" t="s">
        <v>32</v>
      </c>
      <c r="D614" s="37" t="s">
        <v>36</v>
      </c>
      <c r="E614" s="38">
        <v>45558</v>
      </c>
      <c r="F614" s="38">
        <v>45923</v>
      </c>
      <c r="G614" s="37" t="s">
        <v>1560</v>
      </c>
      <c r="H614" s="37" t="s">
        <v>60</v>
      </c>
      <c r="I614" s="39">
        <v>14960</v>
      </c>
      <c r="J614" s="39">
        <v>12466</v>
      </c>
      <c r="K614" s="43">
        <f t="shared" si="28"/>
        <v>4.2500000000000003E-2</v>
      </c>
      <c r="L614" s="37" t="s">
        <v>2311</v>
      </c>
      <c r="M614" s="40">
        <v>45558</v>
      </c>
      <c r="N614" s="33" t="s">
        <v>57</v>
      </c>
      <c r="O614" s="41">
        <v>352000</v>
      </c>
      <c r="P614" s="34">
        <f t="shared" si="29"/>
        <v>1869.9</v>
      </c>
      <c r="Q614" s="36">
        <f t="shared" si="27"/>
        <v>124.66</v>
      </c>
      <c r="R614" s="35">
        <v>500</v>
      </c>
    </row>
    <row r="615" spans="1:18" x14ac:dyDescent="0.25">
      <c r="A615" s="37" t="s">
        <v>752</v>
      </c>
      <c r="B615" s="37"/>
      <c r="C615" s="37" t="s">
        <v>72</v>
      </c>
      <c r="D615" s="37" t="s">
        <v>2582</v>
      </c>
      <c r="E615" s="38">
        <v>45558</v>
      </c>
      <c r="F615" s="38">
        <v>45923</v>
      </c>
      <c r="G615" s="37" t="s">
        <v>1561</v>
      </c>
      <c r="H615" s="37" t="s">
        <v>60</v>
      </c>
      <c r="I615" s="39">
        <v>8800</v>
      </c>
      <c r="J615" s="39">
        <v>7155</v>
      </c>
      <c r="K615" s="43">
        <f t="shared" si="28"/>
        <v>2.5000000000000001E-2</v>
      </c>
      <c r="L615" s="37" t="s">
        <v>2312</v>
      </c>
      <c r="M615" s="40">
        <v>45558</v>
      </c>
      <c r="N615" s="33" t="s">
        <v>57</v>
      </c>
      <c r="O615" s="41">
        <v>352000</v>
      </c>
      <c r="P615" s="34">
        <f t="shared" si="29"/>
        <v>1073.25</v>
      </c>
      <c r="Q615" s="36">
        <f t="shared" si="27"/>
        <v>71.55</v>
      </c>
      <c r="R615" s="35">
        <v>500</v>
      </c>
    </row>
    <row r="616" spans="1:18" x14ac:dyDescent="0.25">
      <c r="A616" s="37" t="s">
        <v>753</v>
      </c>
      <c r="B616" s="37"/>
      <c r="C616" s="37" t="s">
        <v>72</v>
      </c>
      <c r="D616" s="37" t="s">
        <v>2582</v>
      </c>
      <c r="E616" s="38">
        <v>45558</v>
      </c>
      <c r="F616" s="38">
        <v>45923</v>
      </c>
      <c r="G616" s="37" t="s">
        <v>1416</v>
      </c>
      <c r="H616" s="37" t="s">
        <v>60</v>
      </c>
      <c r="I616" s="39">
        <v>8800</v>
      </c>
      <c r="J616" s="39">
        <v>7155</v>
      </c>
      <c r="K616" s="43">
        <f t="shared" si="28"/>
        <v>2.5000000000000001E-2</v>
      </c>
      <c r="L616" s="37" t="s">
        <v>2313</v>
      </c>
      <c r="M616" s="40">
        <v>45558</v>
      </c>
      <c r="N616" s="33" t="s">
        <v>57</v>
      </c>
      <c r="O616" s="41">
        <v>352000</v>
      </c>
      <c r="P616" s="34">
        <f t="shared" si="29"/>
        <v>1073.25</v>
      </c>
      <c r="Q616" s="36">
        <f t="shared" si="27"/>
        <v>71.55</v>
      </c>
      <c r="R616" s="35">
        <v>500</v>
      </c>
    </row>
    <row r="617" spans="1:18" x14ac:dyDescent="0.25">
      <c r="A617" s="37" t="s">
        <v>754</v>
      </c>
      <c r="B617" s="37"/>
      <c r="C617" s="37" t="s">
        <v>72</v>
      </c>
      <c r="D617" s="37" t="s">
        <v>2582</v>
      </c>
      <c r="E617" s="38">
        <v>45558</v>
      </c>
      <c r="F617" s="38">
        <v>45923</v>
      </c>
      <c r="G617" s="37" t="s">
        <v>1562</v>
      </c>
      <c r="H617" s="37" t="s">
        <v>63</v>
      </c>
      <c r="I617" s="39">
        <v>12475</v>
      </c>
      <c r="J617" s="39">
        <v>10323</v>
      </c>
      <c r="K617" s="43">
        <f t="shared" si="28"/>
        <v>2.5000000000000001E-2</v>
      </c>
      <c r="L617" s="37" t="s">
        <v>2314</v>
      </c>
      <c r="M617" s="40">
        <v>45558</v>
      </c>
      <c r="N617" s="33" t="s">
        <v>57</v>
      </c>
      <c r="O617" s="41">
        <v>499000</v>
      </c>
      <c r="P617" s="34">
        <f t="shared" si="29"/>
        <v>1548.45</v>
      </c>
      <c r="Q617" s="36">
        <f t="shared" si="27"/>
        <v>103.23</v>
      </c>
      <c r="R617" s="35">
        <v>500</v>
      </c>
    </row>
    <row r="618" spans="1:18" x14ac:dyDescent="0.25">
      <c r="A618" s="37" t="s">
        <v>755</v>
      </c>
      <c r="B618" s="37"/>
      <c r="C618" s="37" t="s">
        <v>30</v>
      </c>
      <c r="D618" s="37" t="s">
        <v>36</v>
      </c>
      <c r="E618" s="38">
        <v>45558</v>
      </c>
      <c r="F618" s="38">
        <v>45923</v>
      </c>
      <c r="G618" s="37" t="s">
        <v>1563</v>
      </c>
      <c r="H618" s="37" t="s">
        <v>60</v>
      </c>
      <c r="I618" s="39">
        <v>14960</v>
      </c>
      <c r="J618" s="39">
        <v>12466</v>
      </c>
      <c r="K618" s="43">
        <f t="shared" si="28"/>
        <v>4.2500000000000003E-2</v>
      </c>
      <c r="L618" s="37" t="s">
        <v>2315</v>
      </c>
      <c r="M618" s="40">
        <v>45558</v>
      </c>
      <c r="N618" s="33" t="s">
        <v>57</v>
      </c>
      <c r="O618" s="41">
        <v>352000</v>
      </c>
      <c r="P618" s="34">
        <f t="shared" si="29"/>
        <v>1869.9</v>
      </c>
      <c r="Q618" s="36">
        <f t="shared" si="27"/>
        <v>124.66</v>
      </c>
      <c r="R618" s="35">
        <v>500</v>
      </c>
    </row>
    <row r="619" spans="1:18" x14ac:dyDescent="0.25">
      <c r="A619" s="37" t="s">
        <v>756</v>
      </c>
      <c r="B619" s="37"/>
      <c r="C619" s="37" t="s">
        <v>30</v>
      </c>
      <c r="D619" s="37" t="s">
        <v>36</v>
      </c>
      <c r="E619" s="38">
        <v>45558</v>
      </c>
      <c r="F619" s="38">
        <v>45923</v>
      </c>
      <c r="G619" s="37" t="s">
        <v>1564</v>
      </c>
      <c r="H619" s="37" t="s">
        <v>60</v>
      </c>
      <c r="I619" s="39">
        <v>14960</v>
      </c>
      <c r="J619" s="39">
        <v>12466</v>
      </c>
      <c r="K619" s="43">
        <f t="shared" si="28"/>
        <v>4.2500000000000003E-2</v>
      </c>
      <c r="L619" s="37" t="s">
        <v>2316</v>
      </c>
      <c r="M619" s="40">
        <v>45558</v>
      </c>
      <c r="N619" s="33" t="s">
        <v>57</v>
      </c>
      <c r="O619" s="41">
        <v>352000</v>
      </c>
      <c r="P619" s="34">
        <f t="shared" si="29"/>
        <v>1869.9</v>
      </c>
      <c r="Q619" s="36">
        <f t="shared" si="27"/>
        <v>124.66</v>
      </c>
      <c r="R619" s="35">
        <v>500</v>
      </c>
    </row>
    <row r="620" spans="1:18" x14ac:dyDescent="0.25">
      <c r="A620" s="37" t="s">
        <v>757</v>
      </c>
      <c r="B620" s="37"/>
      <c r="C620" s="37" t="s">
        <v>72</v>
      </c>
      <c r="D620" s="37" t="s">
        <v>2582</v>
      </c>
      <c r="E620" s="38">
        <v>45558</v>
      </c>
      <c r="F620" s="38">
        <v>45923</v>
      </c>
      <c r="G620" s="37" t="s">
        <v>1565</v>
      </c>
      <c r="H620" s="37" t="s">
        <v>60</v>
      </c>
      <c r="I620" s="39">
        <v>8800</v>
      </c>
      <c r="J620" s="39">
        <v>7155</v>
      </c>
      <c r="K620" s="43">
        <f t="shared" si="28"/>
        <v>2.5000000000000001E-2</v>
      </c>
      <c r="L620" s="37" t="s">
        <v>2317</v>
      </c>
      <c r="M620" s="40">
        <v>45558</v>
      </c>
      <c r="N620" s="33" t="s">
        <v>57</v>
      </c>
      <c r="O620" s="41">
        <v>352000</v>
      </c>
      <c r="P620" s="34">
        <f t="shared" si="29"/>
        <v>1073.25</v>
      </c>
      <c r="Q620" s="36">
        <f t="shared" si="27"/>
        <v>71.55</v>
      </c>
      <c r="R620" s="35">
        <v>500</v>
      </c>
    </row>
    <row r="621" spans="1:18" x14ac:dyDescent="0.25">
      <c r="A621" s="37" t="s">
        <v>758</v>
      </c>
      <c r="B621" s="37"/>
      <c r="C621" s="37" t="s">
        <v>71</v>
      </c>
      <c r="D621" s="37" t="s">
        <v>2582</v>
      </c>
      <c r="E621" s="38">
        <v>45558</v>
      </c>
      <c r="F621" s="38">
        <v>45923</v>
      </c>
      <c r="G621" s="37" t="s">
        <v>1566</v>
      </c>
      <c r="H621" s="37" t="s">
        <v>60</v>
      </c>
      <c r="I621" s="39">
        <v>8800</v>
      </c>
      <c r="J621" s="39">
        <v>7155</v>
      </c>
      <c r="K621" s="43">
        <f t="shared" si="28"/>
        <v>2.5000000000000001E-2</v>
      </c>
      <c r="L621" s="37" t="s">
        <v>2318</v>
      </c>
      <c r="M621" s="40">
        <v>45558</v>
      </c>
      <c r="N621" s="33" t="s">
        <v>57</v>
      </c>
      <c r="O621" s="41">
        <v>352000</v>
      </c>
      <c r="P621" s="34">
        <f t="shared" si="29"/>
        <v>1073.25</v>
      </c>
      <c r="Q621" s="36">
        <f t="shared" si="27"/>
        <v>71.55</v>
      </c>
      <c r="R621" s="35">
        <v>500</v>
      </c>
    </row>
    <row r="622" spans="1:18" x14ac:dyDescent="0.25">
      <c r="A622" s="37" t="s">
        <v>759</v>
      </c>
      <c r="B622" s="37"/>
      <c r="C622" s="37" t="s">
        <v>65</v>
      </c>
      <c r="D622" s="37" t="s">
        <v>2582</v>
      </c>
      <c r="E622" s="38">
        <v>45558</v>
      </c>
      <c r="F622" s="38">
        <v>45923</v>
      </c>
      <c r="G622" s="37" t="s">
        <v>1567</v>
      </c>
      <c r="H622" s="37" t="s">
        <v>63</v>
      </c>
      <c r="I622" s="39">
        <v>12475</v>
      </c>
      <c r="J622" s="39">
        <v>10323</v>
      </c>
      <c r="K622" s="43">
        <f t="shared" si="28"/>
        <v>2.5000000000000001E-2</v>
      </c>
      <c r="L622" s="37" t="s">
        <v>2319</v>
      </c>
      <c r="M622" s="40">
        <v>45558</v>
      </c>
      <c r="N622" s="33" t="s">
        <v>57</v>
      </c>
      <c r="O622" s="41">
        <v>499000</v>
      </c>
      <c r="P622" s="34">
        <f t="shared" si="29"/>
        <v>1548.45</v>
      </c>
      <c r="Q622" s="36">
        <f t="shared" si="27"/>
        <v>103.23</v>
      </c>
      <c r="R622" s="35">
        <v>500</v>
      </c>
    </row>
    <row r="623" spans="1:18" x14ac:dyDescent="0.25">
      <c r="A623" s="37" t="s">
        <v>760</v>
      </c>
      <c r="B623" s="37"/>
      <c r="C623" s="37" t="s">
        <v>32</v>
      </c>
      <c r="D623" s="37" t="s">
        <v>36</v>
      </c>
      <c r="E623" s="38">
        <v>45558</v>
      </c>
      <c r="F623" s="38">
        <v>45923</v>
      </c>
      <c r="G623" s="37" t="s">
        <v>128</v>
      </c>
      <c r="H623" s="37" t="s">
        <v>60</v>
      </c>
      <c r="I623" s="39">
        <v>14960</v>
      </c>
      <c r="J623" s="39">
        <v>12466</v>
      </c>
      <c r="K623" s="43">
        <f t="shared" si="28"/>
        <v>4.2500000000000003E-2</v>
      </c>
      <c r="L623" s="37" t="s">
        <v>2320</v>
      </c>
      <c r="M623" s="40">
        <v>45558</v>
      </c>
      <c r="N623" s="33" t="s">
        <v>57</v>
      </c>
      <c r="O623" s="41">
        <v>352000</v>
      </c>
      <c r="P623" s="34">
        <f t="shared" si="29"/>
        <v>1869.9</v>
      </c>
      <c r="Q623" s="36">
        <f t="shared" si="27"/>
        <v>124.66</v>
      </c>
      <c r="R623" s="35">
        <v>500</v>
      </c>
    </row>
    <row r="624" spans="1:18" x14ac:dyDescent="0.25">
      <c r="A624" s="37" t="s">
        <v>761</v>
      </c>
      <c r="B624" s="37"/>
      <c r="C624" s="37" t="s">
        <v>32</v>
      </c>
      <c r="D624" s="37" t="s">
        <v>36</v>
      </c>
      <c r="E624" s="38">
        <v>45924</v>
      </c>
      <c r="F624" s="38">
        <v>46289</v>
      </c>
      <c r="G624" s="37" t="s">
        <v>128</v>
      </c>
      <c r="H624" s="37" t="s">
        <v>60</v>
      </c>
      <c r="I624" s="39">
        <v>14960</v>
      </c>
      <c r="J624" s="39">
        <v>12466</v>
      </c>
      <c r="K624" s="43">
        <f t="shared" si="28"/>
        <v>4.2500000000000003E-2</v>
      </c>
      <c r="L624" s="37" t="s">
        <v>2320</v>
      </c>
      <c r="M624" s="40">
        <v>45558</v>
      </c>
      <c r="N624" s="33" t="s">
        <v>57</v>
      </c>
      <c r="O624" s="41">
        <v>352000</v>
      </c>
      <c r="P624" s="34">
        <f t="shared" si="29"/>
        <v>1869.9</v>
      </c>
      <c r="Q624" s="36">
        <f t="shared" si="27"/>
        <v>124.66</v>
      </c>
      <c r="R624" s="35">
        <v>500</v>
      </c>
    </row>
    <row r="625" spans="1:18" x14ac:dyDescent="0.25">
      <c r="A625" s="37" t="s">
        <v>762</v>
      </c>
      <c r="B625" s="37"/>
      <c r="C625" s="37" t="s">
        <v>65</v>
      </c>
      <c r="D625" s="37" t="s">
        <v>2582</v>
      </c>
      <c r="E625" s="38">
        <v>45558</v>
      </c>
      <c r="F625" s="38">
        <v>45923</v>
      </c>
      <c r="G625" s="37" t="s">
        <v>1568</v>
      </c>
      <c r="H625" s="37" t="s">
        <v>60</v>
      </c>
      <c r="I625" s="39">
        <v>8800</v>
      </c>
      <c r="J625" s="39">
        <v>7155</v>
      </c>
      <c r="K625" s="43">
        <f t="shared" si="28"/>
        <v>2.5000000000000001E-2</v>
      </c>
      <c r="L625" s="37" t="s">
        <v>2321</v>
      </c>
      <c r="M625" s="40">
        <v>45558</v>
      </c>
      <c r="N625" s="33" t="s">
        <v>57</v>
      </c>
      <c r="O625" s="41">
        <v>352000</v>
      </c>
      <c r="P625" s="34">
        <f t="shared" si="29"/>
        <v>1073.25</v>
      </c>
      <c r="Q625" s="36">
        <f t="shared" si="27"/>
        <v>71.55</v>
      </c>
      <c r="R625" s="35">
        <v>500</v>
      </c>
    </row>
    <row r="626" spans="1:18" x14ac:dyDescent="0.25">
      <c r="A626" s="37" t="s">
        <v>763</v>
      </c>
      <c r="B626" s="37"/>
      <c r="C626" s="37" t="s">
        <v>65</v>
      </c>
      <c r="D626" s="37" t="s">
        <v>2582</v>
      </c>
      <c r="E626" s="38">
        <v>45558</v>
      </c>
      <c r="F626" s="38">
        <v>45923</v>
      </c>
      <c r="G626" s="37" t="s">
        <v>1569</v>
      </c>
      <c r="H626" s="37" t="s">
        <v>60</v>
      </c>
      <c r="I626" s="39">
        <v>8800</v>
      </c>
      <c r="J626" s="39">
        <v>7155</v>
      </c>
      <c r="K626" s="43">
        <f t="shared" si="28"/>
        <v>2.5000000000000001E-2</v>
      </c>
      <c r="L626" s="37" t="s">
        <v>2322</v>
      </c>
      <c r="M626" s="40">
        <v>45558</v>
      </c>
      <c r="N626" s="33" t="s">
        <v>57</v>
      </c>
      <c r="O626" s="41">
        <v>352000</v>
      </c>
      <c r="P626" s="34">
        <f t="shared" si="29"/>
        <v>1073.25</v>
      </c>
      <c r="Q626" s="36">
        <f t="shared" si="27"/>
        <v>71.55</v>
      </c>
      <c r="R626" s="35">
        <v>500</v>
      </c>
    </row>
    <row r="627" spans="1:18" x14ac:dyDescent="0.25">
      <c r="A627" s="37" t="s">
        <v>764</v>
      </c>
      <c r="B627" s="37"/>
      <c r="C627" s="37" t="s">
        <v>30</v>
      </c>
      <c r="D627" s="37" t="s">
        <v>36</v>
      </c>
      <c r="E627" s="38">
        <v>45558</v>
      </c>
      <c r="F627" s="38">
        <v>45923</v>
      </c>
      <c r="G627" s="37" t="s">
        <v>1570</v>
      </c>
      <c r="H627" s="37" t="s">
        <v>60</v>
      </c>
      <c r="I627" s="39">
        <v>14960</v>
      </c>
      <c r="J627" s="39">
        <v>12466</v>
      </c>
      <c r="K627" s="43">
        <f t="shared" si="28"/>
        <v>4.2500000000000003E-2</v>
      </c>
      <c r="L627" s="37" t="s">
        <v>2323</v>
      </c>
      <c r="M627" s="40">
        <v>45558</v>
      </c>
      <c r="N627" s="33" t="s">
        <v>57</v>
      </c>
      <c r="O627" s="41">
        <v>352000</v>
      </c>
      <c r="P627" s="34">
        <f t="shared" si="29"/>
        <v>1869.9</v>
      </c>
      <c r="Q627" s="36">
        <f t="shared" si="27"/>
        <v>124.66</v>
      </c>
      <c r="R627" s="35">
        <v>500</v>
      </c>
    </row>
    <row r="628" spans="1:18" x14ac:dyDescent="0.25">
      <c r="A628" s="37" t="s">
        <v>765</v>
      </c>
      <c r="B628" s="37"/>
      <c r="C628" s="37" t="s">
        <v>30</v>
      </c>
      <c r="D628" s="37" t="s">
        <v>36</v>
      </c>
      <c r="E628" s="38">
        <v>45924</v>
      </c>
      <c r="F628" s="38">
        <v>46289</v>
      </c>
      <c r="G628" s="37" t="s">
        <v>1570</v>
      </c>
      <c r="H628" s="37" t="s">
        <v>60</v>
      </c>
      <c r="I628" s="39">
        <v>14960</v>
      </c>
      <c r="J628" s="39">
        <v>12466</v>
      </c>
      <c r="K628" s="43">
        <f t="shared" si="28"/>
        <v>4.2500000000000003E-2</v>
      </c>
      <c r="L628" s="37" t="s">
        <v>2323</v>
      </c>
      <c r="M628" s="40">
        <v>45558</v>
      </c>
      <c r="N628" s="33" t="s">
        <v>57</v>
      </c>
      <c r="O628" s="41">
        <v>352000</v>
      </c>
      <c r="P628" s="34">
        <f t="shared" si="29"/>
        <v>1869.9</v>
      </c>
      <c r="Q628" s="36">
        <f t="shared" si="27"/>
        <v>124.66</v>
      </c>
      <c r="R628" s="35">
        <v>500</v>
      </c>
    </row>
    <row r="629" spans="1:18" x14ac:dyDescent="0.25">
      <c r="A629" s="37" t="s">
        <v>766</v>
      </c>
      <c r="B629" s="37"/>
      <c r="C629" s="37" t="s">
        <v>65</v>
      </c>
      <c r="D629" s="37" t="s">
        <v>2582</v>
      </c>
      <c r="E629" s="38">
        <v>45558</v>
      </c>
      <c r="F629" s="38">
        <v>45923</v>
      </c>
      <c r="G629" s="37" t="s">
        <v>131</v>
      </c>
      <c r="H629" s="37" t="s">
        <v>60</v>
      </c>
      <c r="I629" s="39">
        <v>8800</v>
      </c>
      <c r="J629" s="39">
        <v>7155</v>
      </c>
      <c r="K629" s="43">
        <f t="shared" si="28"/>
        <v>2.5000000000000001E-2</v>
      </c>
      <c r="L629" s="37" t="s">
        <v>2324</v>
      </c>
      <c r="M629" s="40">
        <v>45558</v>
      </c>
      <c r="N629" s="33" t="s">
        <v>57</v>
      </c>
      <c r="O629" s="41">
        <v>352000</v>
      </c>
      <c r="P629" s="34">
        <f t="shared" si="29"/>
        <v>1073.25</v>
      </c>
      <c r="Q629" s="36">
        <f t="shared" si="27"/>
        <v>71.55</v>
      </c>
      <c r="R629" s="35">
        <v>500</v>
      </c>
    </row>
    <row r="630" spans="1:18" x14ac:dyDescent="0.25">
      <c r="A630" s="37" t="s">
        <v>767</v>
      </c>
      <c r="B630" s="37"/>
      <c r="C630" s="37" t="s">
        <v>65</v>
      </c>
      <c r="D630" s="37" t="s">
        <v>2582</v>
      </c>
      <c r="E630" s="38">
        <v>45558</v>
      </c>
      <c r="F630" s="38">
        <v>45923</v>
      </c>
      <c r="G630" s="37" t="s">
        <v>1571</v>
      </c>
      <c r="H630" s="37" t="s">
        <v>61</v>
      </c>
      <c r="I630" s="39">
        <v>9550</v>
      </c>
      <c r="J630" s="39">
        <v>7802</v>
      </c>
      <c r="K630" s="43">
        <f t="shared" si="28"/>
        <v>2.5000000000000001E-2</v>
      </c>
      <c r="L630" s="37" t="s">
        <v>2325</v>
      </c>
      <c r="M630" s="40">
        <v>45558</v>
      </c>
      <c r="N630" s="33" t="s">
        <v>57</v>
      </c>
      <c r="O630" s="41">
        <v>382000</v>
      </c>
      <c r="P630" s="34">
        <f t="shared" si="29"/>
        <v>1170.3</v>
      </c>
      <c r="Q630" s="36">
        <f t="shared" si="27"/>
        <v>78.02</v>
      </c>
      <c r="R630" s="35">
        <v>500</v>
      </c>
    </row>
    <row r="631" spans="1:18" x14ac:dyDescent="0.25">
      <c r="A631" s="37" t="s">
        <v>768</v>
      </c>
      <c r="B631" s="37"/>
      <c r="C631" s="37" t="s">
        <v>53</v>
      </c>
      <c r="D631" s="37" t="s">
        <v>2582</v>
      </c>
      <c r="E631" s="38">
        <v>45558</v>
      </c>
      <c r="F631" s="38">
        <v>45923</v>
      </c>
      <c r="G631" s="37" t="s">
        <v>1572</v>
      </c>
      <c r="H631" s="37" t="s">
        <v>60</v>
      </c>
      <c r="I631" s="39">
        <v>8800</v>
      </c>
      <c r="J631" s="39">
        <v>7155</v>
      </c>
      <c r="K631" s="43">
        <f t="shared" si="28"/>
        <v>2.5000000000000001E-2</v>
      </c>
      <c r="L631" s="37" t="s">
        <v>2326</v>
      </c>
      <c r="M631" s="40">
        <v>45558</v>
      </c>
      <c r="N631" s="33" t="s">
        <v>57</v>
      </c>
      <c r="O631" s="41">
        <v>352000</v>
      </c>
      <c r="P631" s="34">
        <f t="shared" si="29"/>
        <v>1073.25</v>
      </c>
      <c r="Q631" s="36">
        <f t="shared" si="27"/>
        <v>71.55</v>
      </c>
      <c r="R631" s="35">
        <v>500</v>
      </c>
    </row>
    <row r="632" spans="1:18" x14ac:dyDescent="0.25">
      <c r="A632" s="37" t="s">
        <v>769</v>
      </c>
      <c r="B632" s="37"/>
      <c r="C632" s="37" t="s">
        <v>53</v>
      </c>
      <c r="D632" s="37" t="s">
        <v>2582</v>
      </c>
      <c r="E632" s="38">
        <v>45558</v>
      </c>
      <c r="F632" s="38">
        <v>45923</v>
      </c>
      <c r="G632" s="37" t="s">
        <v>1573</v>
      </c>
      <c r="H632" s="37" t="s">
        <v>62</v>
      </c>
      <c r="I632" s="39">
        <v>13675</v>
      </c>
      <c r="J632" s="39">
        <v>11358</v>
      </c>
      <c r="K632" s="43">
        <f t="shared" si="28"/>
        <v>2.5000000000000001E-2</v>
      </c>
      <c r="L632" s="37" t="s">
        <v>2327</v>
      </c>
      <c r="M632" s="40">
        <v>45558</v>
      </c>
      <c r="N632" s="33" t="s">
        <v>57</v>
      </c>
      <c r="O632" s="41">
        <v>547000</v>
      </c>
      <c r="P632" s="34">
        <f t="shared" si="29"/>
        <v>1703.7</v>
      </c>
      <c r="Q632" s="36">
        <f t="shared" si="27"/>
        <v>113.58</v>
      </c>
      <c r="R632" s="35">
        <v>500</v>
      </c>
    </row>
    <row r="633" spans="1:18" x14ac:dyDescent="0.25">
      <c r="A633" s="37" t="s">
        <v>770</v>
      </c>
      <c r="B633" s="37"/>
      <c r="C633" s="37" t="s">
        <v>36</v>
      </c>
      <c r="D633" s="37" t="s">
        <v>36</v>
      </c>
      <c r="E633" s="38">
        <v>45558</v>
      </c>
      <c r="F633" s="38">
        <v>45923</v>
      </c>
      <c r="G633" s="37" t="s">
        <v>1574</v>
      </c>
      <c r="H633" s="37" t="s">
        <v>62</v>
      </c>
      <c r="I633" s="39">
        <v>23248</v>
      </c>
      <c r="J633" s="39">
        <v>19610</v>
      </c>
      <c r="K633" s="43">
        <f t="shared" si="28"/>
        <v>4.2500914076782449E-2</v>
      </c>
      <c r="L633" s="37" t="s">
        <v>2328</v>
      </c>
      <c r="M633" s="40">
        <v>45558</v>
      </c>
      <c r="N633" s="33" t="s">
        <v>57</v>
      </c>
      <c r="O633" s="41">
        <v>547000</v>
      </c>
      <c r="P633" s="34">
        <f t="shared" si="29"/>
        <v>2941.5</v>
      </c>
      <c r="Q633" s="36">
        <f t="shared" si="27"/>
        <v>196.1</v>
      </c>
      <c r="R633" s="35">
        <v>500</v>
      </c>
    </row>
    <row r="634" spans="1:18" x14ac:dyDescent="0.25">
      <c r="A634" s="37" t="s">
        <v>771</v>
      </c>
      <c r="B634" s="37"/>
      <c r="C634" s="37" t="s">
        <v>50</v>
      </c>
      <c r="D634" s="37" t="s">
        <v>2582</v>
      </c>
      <c r="E634" s="38">
        <v>45558</v>
      </c>
      <c r="F634" s="38">
        <v>45923</v>
      </c>
      <c r="G634" s="37" t="s">
        <v>1575</v>
      </c>
      <c r="H634" s="37" t="s">
        <v>61</v>
      </c>
      <c r="I634" s="39">
        <v>9550</v>
      </c>
      <c r="J634" s="39">
        <v>7802</v>
      </c>
      <c r="K634" s="43">
        <f t="shared" si="28"/>
        <v>2.5000000000000001E-2</v>
      </c>
      <c r="L634" s="37" t="s">
        <v>2329</v>
      </c>
      <c r="M634" s="40">
        <v>45558</v>
      </c>
      <c r="N634" s="33" t="s">
        <v>57</v>
      </c>
      <c r="O634" s="41">
        <v>382000</v>
      </c>
      <c r="P634" s="34">
        <f t="shared" si="29"/>
        <v>1170.3</v>
      </c>
      <c r="Q634" s="36">
        <f t="shared" si="27"/>
        <v>78.02</v>
      </c>
      <c r="R634" s="35">
        <v>500</v>
      </c>
    </row>
    <row r="635" spans="1:18" x14ac:dyDescent="0.25">
      <c r="A635" s="37" t="s">
        <v>772</v>
      </c>
      <c r="B635" s="37"/>
      <c r="C635" s="37" t="s">
        <v>50</v>
      </c>
      <c r="D635" s="37" t="s">
        <v>2582</v>
      </c>
      <c r="E635" s="38">
        <v>45558</v>
      </c>
      <c r="F635" s="38">
        <v>45923</v>
      </c>
      <c r="G635" s="37" t="s">
        <v>118</v>
      </c>
      <c r="H635" s="37" t="s">
        <v>61</v>
      </c>
      <c r="I635" s="39">
        <v>9550</v>
      </c>
      <c r="J635" s="39">
        <v>7802</v>
      </c>
      <c r="K635" s="43">
        <f t="shared" si="28"/>
        <v>2.5000000000000001E-2</v>
      </c>
      <c r="L635" s="37" t="s">
        <v>2330</v>
      </c>
      <c r="M635" s="40">
        <v>45558</v>
      </c>
      <c r="N635" s="33" t="s">
        <v>57</v>
      </c>
      <c r="O635" s="41">
        <v>382000</v>
      </c>
      <c r="P635" s="34">
        <f t="shared" si="29"/>
        <v>1170.3</v>
      </c>
      <c r="Q635" s="36">
        <f t="shared" si="27"/>
        <v>78.02</v>
      </c>
      <c r="R635" s="35">
        <v>500</v>
      </c>
    </row>
    <row r="636" spans="1:18" x14ac:dyDescent="0.25">
      <c r="A636" s="37" t="s">
        <v>773</v>
      </c>
      <c r="B636" s="37"/>
      <c r="C636" s="37" t="s">
        <v>50</v>
      </c>
      <c r="D636" s="37" t="s">
        <v>2582</v>
      </c>
      <c r="E636" s="38">
        <v>45558</v>
      </c>
      <c r="F636" s="38">
        <v>45923</v>
      </c>
      <c r="G636" s="37" t="s">
        <v>118</v>
      </c>
      <c r="H636" s="37" t="s">
        <v>61</v>
      </c>
      <c r="I636" s="39">
        <v>9550</v>
      </c>
      <c r="J636" s="39">
        <v>7802</v>
      </c>
      <c r="K636" s="43">
        <f t="shared" si="28"/>
        <v>2.5000000000000001E-2</v>
      </c>
      <c r="L636" s="37" t="s">
        <v>2330</v>
      </c>
      <c r="M636" s="40">
        <v>45558</v>
      </c>
      <c r="N636" s="33" t="s">
        <v>57</v>
      </c>
      <c r="O636" s="41">
        <v>382000</v>
      </c>
      <c r="P636" s="34">
        <f t="shared" si="29"/>
        <v>1170.3</v>
      </c>
      <c r="Q636" s="36">
        <f t="shared" si="27"/>
        <v>78.02</v>
      </c>
      <c r="R636" s="35">
        <v>500</v>
      </c>
    </row>
    <row r="637" spans="1:18" x14ac:dyDescent="0.25">
      <c r="A637" s="37" t="s">
        <v>774</v>
      </c>
      <c r="B637" s="37"/>
      <c r="C637" s="37" t="s">
        <v>50</v>
      </c>
      <c r="D637" s="37" t="s">
        <v>2582</v>
      </c>
      <c r="E637" s="38">
        <v>45558</v>
      </c>
      <c r="F637" s="38">
        <v>45923</v>
      </c>
      <c r="G637" s="37" t="s">
        <v>1576</v>
      </c>
      <c r="H637" s="37" t="s">
        <v>60</v>
      </c>
      <c r="I637" s="39">
        <v>8800</v>
      </c>
      <c r="J637" s="39">
        <v>7155</v>
      </c>
      <c r="K637" s="43">
        <f t="shared" si="28"/>
        <v>2.5000000000000001E-2</v>
      </c>
      <c r="L637" s="37" t="s">
        <v>2331</v>
      </c>
      <c r="M637" s="40">
        <v>45558</v>
      </c>
      <c r="N637" s="33" t="s">
        <v>57</v>
      </c>
      <c r="O637" s="41">
        <v>352000</v>
      </c>
      <c r="P637" s="34">
        <f t="shared" si="29"/>
        <v>1073.25</v>
      </c>
      <c r="Q637" s="36">
        <f t="shared" si="27"/>
        <v>71.55</v>
      </c>
      <c r="R637" s="35">
        <v>500</v>
      </c>
    </row>
    <row r="638" spans="1:18" x14ac:dyDescent="0.25">
      <c r="A638" s="37" t="s">
        <v>775</v>
      </c>
      <c r="B638" s="37"/>
      <c r="C638" s="37" t="s">
        <v>51</v>
      </c>
      <c r="D638" s="37" t="s">
        <v>2582</v>
      </c>
      <c r="E638" s="38">
        <v>45558</v>
      </c>
      <c r="F638" s="38">
        <v>45923</v>
      </c>
      <c r="G638" s="37" t="s">
        <v>1577</v>
      </c>
      <c r="H638" s="37" t="s">
        <v>60</v>
      </c>
      <c r="I638" s="39">
        <v>8800</v>
      </c>
      <c r="J638" s="39">
        <v>7155</v>
      </c>
      <c r="K638" s="43">
        <f t="shared" si="28"/>
        <v>2.4999928977474495E-2</v>
      </c>
      <c r="L638" s="37" t="s">
        <v>2332</v>
      </c>
      <c r="M638" s="40">
        <v>45558</v>
      </c>
      <c r="N638" s="33" t="s">
        <v>57</v>
      </c>
      <c r="O638" s="41">
        <v>352001</v>
      </c>
      <c r="P638" s="34">
        <f t="shared" si="29"/>
        <v>1073.25</v>
      </c>
      <c r="Q638" s="36">
        <f t="shared" si="27"/>
        <v>71.55</v>
      </c>
      <c r="R638" s="35">
        <v>500</v>
      </c>
    </row>
    <row r="639" spans="1:18" x14ac:dyDescent="0.25">
      <c r="A639" s="37" t="s">
        <v>776</v>
      </c>
      <c r="B639" s="37"/>
      <c r="C639" s="37" t="s">
        <v>50</v>
      </c>
      <c r="D639" s="37" t="s">
        <v>2582</v>
      </c>
      <c r="E639" s="38">
        <v>45558</v>
      </c>
      <c r="F639" s="38">
        <v>45923</v>
      </c>
      <c r="G639" s="37" t="s">
        <v>1578</v>
      </c>
      <c r="H639" s="37" t="s">
        <v>61</v>
      </c>
      <c r="I639" s="39">
        <v>9550</v>
      </c>
      <c r="J639" s="39">
        <v>7802</v>
      </c>
      <c r="K639" s="43">
        <f t="shared" si="28"/>
        <v>2.5000000000000001E-2</v>
      </c>
      <c r="L639" s="37" t="s">
        <v>2333</v>
      </c>
      <c r="M639" s="40">
        <v>45558</v>
      </c>
      <c r="N639" s="33" t="s">
        <v>57</v>
      </c>
      <c r="O639" s="41">
        <v>382000</v>
      </c>
      <c r="P639" s="34">
        <f t="shared" si="29"/>
        <v>1170.3</v>
      </c>
      <c r="Q639" s="36">
        <f t="shared" si="27"/>
        <v>78.02</v>
      </c>
      <c r="R639" s="35">
        <v>500</v>
      </c>
    </row>
    <row r="640" spans="1:18" x14ac:dyDescent="0.25">
      <c r="A640" s="37" t="s">
        <v>777</v>
      </c>
      <c r="B640" s="37"/>
      <c r="C640" s="37" t="s">
        <v>51</v>
      </c>
      <c r="D640" s="37" t="s">
        <v>2582</v>
      </c>
      <c r="E640" s="38">
        <v>45558</v>
      </c>
      <c r="F640" s="38">
        <v>45923</v>
      </c>
      <c r="G640" s="37" t="s">
        <v>1579</v>
      </c>
      <c r="H640" s="37" t="s">
        <v>60</v>
      </c>
      <c r="I640" s="39">
        <v>8800</v>
      </c>
      <c r="J640" s="39">
        <v>7155</v>
      </c>
      <c r="K640" s="43">
        <f t="shared" si="28"/>
        <v>2.4999928977474495E-2</v>
      </c>
      <c r="L640" s="37" t="s">
        <v>2334</v>
      </c>
      <c r="M640" s="40">
        <v>45558</v>
      </c>
      <c r="N640" s="33" t="s">
        <v>57</v>
      </c>
      <c r="O640" s="41">
        <v>352001</v>
      </c>
      <c r="P640" s="34">
        <f t="shared" si="29"/>
        <v>1073.25</v>
      </c>
      <c r="Q640" s="36">
        <f t="shared" si="27"/>
        <v>71.55</v>
      </c>
      <c r="R640" s="35">
        <v>500</v>
      </c>
    </row>
    <row r="641" spans="1:18" x14ac:dyDescent="0.25">
      <c r="A641" s="37" t="s">
        <v>778</v>
      </c>
      <c r="B641" s="37"/>
      <c r="C641" s="37" t="s">
        <v>51</v>
      </c>
      <c r="D641" s="37" t="s">
        <v>2582</v>
      </c>
      <c r="E641" s="38">
        <v>45558</v>
      </c>
      <c r="F641" s="38">
        <v>45923</v>
      </c>
      <c r="G641" s="37" t="s">
        <v>1580</v>
      </c>
      <c r="H641" s="37" t="s">
        <v>60</v>
      </c>
      <c r="I641" s="39">
        <v>8800</v>
      </c>
      <c r="J641" s="39">
        <v>7155</v>
      </c>
      <c r="K641" s="43">
        <f t="shared" si="28"/>
        <v>2.4999928977474495E-2</v>
      </c>
      <c r="L641" s="37" t="s">
        <v>2335</v>
      </c>
      <c r="M641" s="40">
        <v>45558</v>
      </c>
      <c r="N641" s="33" t="s">
        <v>57</v>
      </c>
      <c r="O641" s="41">
        <v>352001</v>
      </c>
      <c r="P641" s="34">
        <f t="shared" si="29"/>
        <v>1073.25</v>
      </c>
      <c r="Q641" s="36">
        <f t="shared" si="27"/>
        <v>71.55</v>
      </c>
      <c r="R641" s="35">
        <v>500</v>
      </c>
    </row>
    <row r="642" spans="1:18" x14ac:dyDescent="0.25">
      <c r="A642" s="37" t="s">
        <v>779</v>
      </c>
      <c r="B642" s="37"/>
      <c r="C642" s="37" t="s">
        <v>50</v>
      </c>
      <c r="D642" s="37" t="s">
        <v>2582</v>
      </c>
      <c r="E642" s="38">
        <v>45558</v>
      </c>
      <c r="F642" s="38">
        <v>45923</v>
      </c>
      <c r="G642" s="37" t="s">
        <v>1581</v>
      </c>
      <c r="H642" s="37" t="s">
        <v>61</v>
      </c>
      <c r="I642" s="39">
        <v>9550</v>
      </c>
      <c r="J642" s="39">
        <v>7802</v>
      </c>
      <c r="K642" s="43">
        <f t="shared" si="28"/>
        <v>2.5000000000000001E-2</v>
      </c>
      <c r="L642" s="37" t="s">
        <v>2336</v>
      </c>
      <c r="M642" s="40">
        <v>45558</v>
      </c>
      <c r="N642" s="33" t="s">
        <v>57</v>
      </c>
      <c r="O642" s="41">
        <v>382000</v>
      </c>
      <c r="P642" s="34">
        <f t="shared" si="29"/>
        <v>1170.3</v>
      </c>
      <c r="Q642" s="36">
        <f t="shared" si="27"/>
        <v>78.02</v>
      </c>
      <c r="R642" s="35">
        <v>500</v>
      </c>
    </row>
    <row r="643" spans="1:18" x14ac:dyDescent="0.25">
      <c r="A643" s="37" t="s">
        <v>780</v>
      </c>
      <c r="B643" s="37"/>
      <c r="C643" s="37" t="s">
        <v>51</v>
      </c>
      <c r="D643" s="37" t="s">
        <v>2582</v>
      </c>
      <c r="E643" s="38">
        <v>45558</v>
      </c>
      <c r="F643" s="38">
        <v>45923</v>
      </c>
      <c r="G643" s="37" t="s">
        <v>1582</v>
      </c>
      <c r="H643" s="37" t="s">
        <v>60</v>
      </c>
      <c r="I643" s="39">
        <v>8800</v>
      </c>
      <c r="J643" s="39">
        <v>7155</v>
      </c>
      <c r="K643" s="43">
        <f t="shared" si="28"/>
        <v>2.4999928977474495E-2</v>
      </c>
      <c r="L643" s="37" t="s">
        <v>2337</v>
      </c>
      <c r="M643" s="40">
        <v>45558</v>
      </c>
      <c r="N643" s="33" t="s">
        <v>57</v>
      </c>
      <c r="O643" s="41">
        <v>352001</v>
      </c>
      <c r="P643" s="34">
        <f t="shared" si="29"/>
        <v>1073.25</v>
      </c>
      <c r="Q643" s="36">
        <f t="shared" ref="Q643:Q706" si="30">J643*1/100</f>
        <v>71.55</v>
      </c>
      <c r="R643" s="35">
        <v>500</v>
      </c>
    </row>
    <row r="644" spans="1:18" x14ac:dyDescent="0.25">
      <c r="A644" s="37" t="s">
        <v>781</v>
      </c>
      <c r="B644" s="37"/>
      <c r="C644" s="37" t="s">
        <v>50</v>
      </c>
      <c r="D644" s="37" t="s">
        <v>2582</v>
      </c>
      <c r="E644" s="38">
        <v>45558</v>
      </c>
      <c r="F644" s="38">
        <v>45923</v>
      </c>
      <c r="G644" s="37" t="s">
        <v>1583</v>
      </c>
      <c r="H644" s="37" t="s">
        <v>61</v>
      </c>
      <c r="I644" s="39">
        <v>9550</v>
      </c>
      <c r="J644" s="39">
        <v>7802</v>
      </c>
      <c r="K644" s="43">
        <f t="shared" ref="K644:K707" si="31">I644/O644</f>
        <v>2.5000000000000001E-2</v>
      </c>
      <c r="L644" s="37" t="s">
        <v>2338</v>
      </c>
      <c r="M644" s="40">
        <v>45558</v>
      </c>
      <c r="N644" s="33" t="s">
        <v>57</v>
      </c>
      <c r="O644" s="41">
        <v>382000</v>
      </c>
      <c r="P644" s="34">
        <f t="shared" ref="P644:P707" si="32">J644*15/100</f>
        <v>1170.3</v>
      </c>
      <c r="Q644" s="36">
        <f t="shared" si="30"/>
        <v>78.02</v>
      </c>
      <c r="R644" s="35">
        <v>500</v>
      </c>
    </row>
    <row r="645" spans="1:18" x14ac:dyDescent="0.25">
      <c r="A645" s="37" t="s">
        <v>782</v>
      </c>
      <c r="B645" s="37"/>
      <c r="C645" s="37" t="s">
        <v>51</v>
      </c>
      <c r="D645" s="37" t="s">
        <v>2582</v>
      </c>
      <c r="E645" s="38">
        <v>45558</v>
      </c>
      <c r="F645" s="38">
        <v>45923</v>
      </c>
      <c r="G645" s="37" t="s">
        <v>1584</v>
      </c>
      <c r="H645" s="37" t="s">
        <v>60</v>
      </c>
      <c r="I645" s="39">
        <v>8800</v>
      </c>
      <c r="J645" s="39">
        <v>7155</v>
      </c>
      <c r="K645" s="43">
        <f t="shared" si="31"/>
        <v>2.4999928977474495E-2</v>
      </c>
      <c r="L645" s="37" t="s">
        <v>2339</v>
      </c>
      <c r="M645" s="40">
        <v>45558</v>
      </c>
      <c r="N645" s="33" t="s">
        <v>57</v>
      </c>
      <c r="O645" s="41">
        <v>352001</v>
      </c>
      <c r="P645" s="34">
        <f t="shared" si="32"/>
        <v>1073.25</v>
      </c>
      <c r="Q645" s="36">
        <f t="shared" si="30"/>
        <v>71.55</v>
      </c>
      <c r="R645" s="35">
        <v>500</v>
      </c>
    </row>
    <row r="646" spans="1:18" x14ac:dyDescent="0.25">
      <c r="A646" s="37" t="s">
        <v>783</v>
      </c>
      <c r="B646" s="37"/>
      <c r="C646" s="37" t="s">
        <v>51</v>
      </c>
      <c r="D646" s="37" t="s">
        <v>2582</v>
      </c>
      <c r="E646" s="38">
        <v>45558</v>
      </c>
      <c r="F646" s="38">
        <v>45923</v>
      </c>
      <c r="G646" s="37" t="s">
        <v>1585</v>
      </c>
      <c r="H646" s="37" t="s">
        <v>60</v>
      </c>
      <c r="I646" s="39">
        <v>8800</v>
      </c>
      <c r="J646" s="39">
        <v>7155</v>
      </c>
      <c r="K646" s="43">
        <f t="shared" si="31"/>
        <v>2.4999928977474495E-2</v>
      </c>
      <c r="L646" s="37" t="s">
        <v>2340</v>
      </c>
      <c r="M646" s="40">
        <v>45558</v>
      </c>
      <c r="N646" s="33" t="s">
        <v>57</v>
      </c>
      <c r="O646" s="41">
        <v>352001</v>
      </c>
      <c r="P646" s="34">
        <f t="shared" si="32"/>
        <v>1073.25</v>
      </c>
      <c r="Q646" s="36">
        <f t="shared" si="30"/>
        <v>71.55</v>
      </c>
      <c r="R646" s="35">
        <v>500</v>
      </c>
    </row>
    <row r="647" spans="1:18" x14ac:dyDescent="0.25">
      <c r="A647" s="37" t="s">
        <v>784</v>
      </c>
      <c r="B647" s="37"/>
      <c r="C647" s="37" t="s">
        <v>51</v>
      </c>
      <c r="D647" s="37" t="s">
        <v>2582</v>
      </c>
      <c r="E647" s="38">
        <v>45558</v>
      </c>
      <c r="F647" s="38">
        <v>45923</v>
      </c>
      <c r="G647" s="37" t="s">
        <v>1586</v>
      </c>
      <c r="H647" s="37" t="s">
        <v>60</v>
      </c>
      <c r="I647" s="39">
        <v>8800</v>
      </c>
      <c r="J647" s="39">
        <v>7155</v>
      </c>
      <c r="K647" s="43">
        <f t="shared" si="31"/>
        <v>2.4999928977474495E-2</v>
      </c>
      <c r="L647" s="37" t="s">
        <v>2341</v>
      </c>
      <c r="M647" s="40">
        <v>45558</v>
      </c>
      <c r="N647" s="33" t="s">
        <v>57</v>
      </c>
      <c r="O647" s="41">
        <v>352001</v>
      </c>
      <c r="P647" s="34">
        <f t="shared" si="32"/>
        <v>1073.25</v>
      </c>
      <c r="Q647" s="36">
        <f t="shared" si="30"/>
        <v>71.55</v>
      </c>
      <c r="R647" s="35">
        <v>500</v>
      </c>
    </row>
    <row r="648" spans="1:18" x14ac:dyDescent="0.25">
      <c r="A648" s="37" t="s">
        <v>785</v>
      </c>
      <c r="B648" s="37"/>
      <c r="C648" s="37" t="s">
        <v>51</v>
      </c>
      <c r="D648" s="37" t="s">
        <v>2582</v>
      </c>
      <c r="E648" s="38">
        <v>45558</v>
      </c>
      <c r="F648" s="38">
        <v>45923</v>
      </c>
      <c r="G648" s="37" t="s">
        <v>1587</v>
      </c>
      <c r="H648" s="37" t="s">
        <v>63</v>
      </c>
      <c r="I648" s="39">
        <v>12475</v>
      </c>
      <c r="J648" s="39">
        <v>10323</v>
      </c>
      <c r="K648" s="43">
        <f t="shared" si="31"/>
        <v>2.4999949899899999E-2</v>
      </c>
      <c r="L648" s="37" t="s">
        <v>2342</v>
      </c>
      <c r="M648" s="40">
        <v>45558</v>
      </c>
      <c r="N648" s="33" t="s">
        <v>57</v>
      </c>
      <c r="O648" s="41">
        <v>499001</v>
      </c>
      <c r="P648" s="34">
        <f t="shared" si="32"/>
        <v>1548.45</v>
      </c>
      <c r="Q648" s="36">
        <f t="shared" si="30"/>
        <v>103.23</v>
      </c>
      <c r="R648" s="35">
        <v>500</v>
      </c>
    </row>
    <row r="649" spans="1:18" x14ac:dyDescent="0.25">
      <c r="A649" s="37" t="s">
        <v>786</v>
      </c>
      <c r="B649" s="37"/>
      <c r="C649" s="37" t="s">
        <v>51</v>
      </c>
      <c r="D649" s="37" t="s">
        <v>2582</v>
      </c>
      <c r="E649" s="38">
        <v>45558</v>
      </c>
      <c r="F649" s="38">
        <v>45923</v>
      </c>
      <c r="G649" s="37" t="s">
        <v>1588</v>
      </c>
      <c r="H649" s="37" t="s">
        <v>60</v>
      </c>
      <c r="I649" s="39">
        <v>8800</v>
      </c>
      <c r="J649" s="39">
        <v>7155</v>
      </c>
      <c r="K649" s="43">
        <f t="shared" si="31"/>
        <v>2.4999928977474495E-2</v>
      </c>
      <c r="L649" s="37" t="s">
        <v>2343</v>
      </c>
      <c r="M649" s="40">
        <v>45558</v>
      </c>
      <c r="N649" s="33" t="s">
        <v>57</v>
      </c>
      <c r="O649" s="41">
        <v>352001</v>
      </c>
      <c r="P649" s="34">
        <f t="shared" si="32"/>
        <v>1073.25</v>
      </c>
      <c r="Q649" s="36">
        <f t="shared" si="30"/>
        <v>71.55</v>
      </c>
      <c r="R649" s="35">
        <v>500</v>
      </c>
    </row>
    <row r="650" spans="1:18" x14ac:dyDescent="0.25">
      <c r="A650" s="37" t="s">
        <v>787</v>
      </c>
      <c r="B650" s="37"/>
      <c r="C650" s="37" t="s">
        <v>51</v>
      </c>
      <c r="D650" s="37" t="s">
        <v>2582</v>
      </c>
      <c r="E650" s="38">
        <v>45558</v>
      </c>
      <c r="F650" s="38">
        <v>45923</v>
      </c>
      <c r="G650" s="37" t="s">
        <v>1589</v>
      </c>
      <c r="H650" s="37" t="s">
        <v>60</v>
      </c>
      <c r="I650" s="39">
        <v>8800</v>
      </c>
      <c r="J650" s="39">
        <v>7155</v>
      </c>
      <c r="K650" s="43">
        <f t="shared" si="31"/>
        <v>2.4999928977474495E-2</v>
      </c>
      <c r="L650" s="37" t="s">
        <v>2344</v>
      </c>
      <c r="M650" s="40">
        <v>45558</v>
      </c>
      <c r="N650" s="33" t="s">
        <v>57</v>
      </c>
      <c r="O650" s="41">
        <v>352001</v>
      </c>
      <c r="P650" s="34">
        <f t="shared" si="32"/>
        <v>1073.25</v>
      </c>
      <c r="Q650" s="36">
        <f t="shared" si="30"/>
        <v>71.55</v>
      </c>
      <c r="R650" s="35">
        <v>500</v>
      </c>
    </row>
    <row r="651" spans="1:18" x14ac:dyDescent="0.25">
      <c r="A651" s="37" t="s">
        <v>788</v>
      </c>
      <c r="B651" s="37"/>
      <c r="C651" s="37" t="s">
        <v>53</v>
      </c>
      <c r="D651" s="37" t="s">
        <v>2582</v>
      </c>
      <c r="E651" s="38">
        <v>45558</v>
      </c>
      <c r="F651" s="38">
        <v>45923</v>
      </c>
      <c r="G651" s="37" t="s">
        <v>1590</v>
      </c>
      <c r="H651" s="37" t="s">
        <v>60</v>
      </c>
      <c r="I651" s="39">
        <v>8800</v>
      </c>
      <c r="J651" s="39">
        <v>7155</v>
      </c>
      <c r="K651" s="43">
        <f t="shared" si="31"/>
        <v>2.5000000000000001E-2</v>
      </c>
      <c r="L651" s="37" t="s">
        <v>2345</v>
      </c>
      <c r="M651" s="40">
        <v>45558</v>
      </c>
      <c r="N651" s="33" t="s">
        <v>57</v>
      </c>
      <c r="O651" s="41">
        <v>352000</v>
      </c>
      <c r="P651" s="34">
        <f t="shared" si="32"/>
        <v>1073.25</v>
      </c>
      <c r="Q651" s="36">
        <f t="shared" si="30"/>
        <v>71.55</v>
      </c>
      <c r="R651" s="35">
        <v>500</v>
      </c>
    </row>
    <row r="652" spans="1:18" x14ac:dyDescent="0.25">
      <c r="A652" s="37" t="s">
        <v>789</v>
      </c>
      <c r="B652" s="37"/>
      <c r="C652" s="37" t="s">
        <v>53</v>
      </c>
      <c r="D652" s="37" t="s">
        <v>2582</v>
      </c>
      <c r="E652" s="38">
        <v>45558</v>
      </c>
      <c r="F652" s="38">
        <v>45923</v>
      </c>
      <c r="G652" s="37" t="s">
        <v>1591</v>
      </c>
      <c r="H652" s="37" t="s">
        <v>61</v>
      </c>
      <c r="I652" s="39">
        <v>9550</v>
      </c>
      <c r="J652" s="39">
        <v>7802</v>
      </c>
      <c r="K652" s="43">
        <f t="shared" si="31"/>
        <v>2.5000000000000001E-2</v>
      </c>
      <c r="L652" s="37" t="s">
        <v>2346</v>
      </c>
      <c r="M652" s="40">
        <v>45558</v>
      </c>
      <c r="N652" s="33" t="s">
        <v>57</v>
      </c>
      <c r="O652" s="41">
        <v>382000</v>
      </c>
      <c r="P652" s="34">
        <f t="shared" si="32"/>
        <v>1170.3</v>
      </c>
      <c r="Q652" s="36">
        <f t="shared" si="30"/>
        <v>78.02</v>
      </c>
      <c r="R652" s="35">
        <v>500</v>
      </c>
    </row>
    <row r="653" spans="1:18" x14ac:dyDescent="0.25">
      <c r="A653" s="37" t="s">
        <v>790</v>
      </c>
      <c r="B653" s="37"/>
      <c r="C653" s="37" t="s">
        <v>38</v>
      </c>
      <c r="D653" s="37" t="s">
        <v>36</v>
      </c>
      <c r="E653" s="38">
        <v>45558</v>
      </c>
      <c r="F653" s="38">
        <v>45923</v>
      </c>
      <c r="G653" s="37" t="s">
        <v>1592</v>
      </c>
      <c r="H653" s="37" t="s">
        <v>63</v>
      </c>
      <c r="I653" s="39">
        <v>21208</v>
      </c>
      <c r="J653" s="39">
        <v>17852</v>
      </c>
      <c r="K653" s="43">
        <f t="shared" si="31"/>
        <v>4.2501002004008019E-2</v>
      </c>
      <c r="L653" s="37" t="s">
        <v>2347</v>
      </c>
      <c r="M653" s="40">
        <v>45558</v>
      </c>
      <c r="N653" s="33" t="s">
        <v>57</v>
      </c>
      <c r="O653" s="41">
        <v>499000</v>
      </c>
      <c r="P653" s="34">
        <f t="shared" si="32"/>
        <v>2677.8</v>
      </c>
      <c r="Q653" s="36">
        <f t="shared" si="30"/>
        <v>178.52</v>
      </c>
      <c r="R653" s="35">
        <v>500</v>
      </c>
    </row>
    <row r="654" spans="1:18" x14ac:dyDescent="0.25">
      <c r="A654" s="37" t="s">
        <v>791</v>
      </c>
      <c r="B654" s="37"/>
      <c r="C654" s="37" t="s">
        <v>38</v>
      </c>
      <c r="D654" s="37" t="s">
        <v>36</v>
      </c>
      <c r="E654" s="38">
        <v>45558</v>
      </c>
      <c r="F654" s="38">
        <v>45923</v>
      </c>
      <c r="G654" s="37" t="s">
        <v>1593</v>
      </c>
      <c r="H654" s="37" t="s">
        <v>60</v>
      </c>
      <c r="I654" s="39">
        <v>14960</v>
      </c>
      <c r="J654" s="39">
        <v>12466</v>
      </c>
      <c r="K654" s="43">
        <f t="shared" si="31"/>
        <v>4.2500000000000003E-2</v>
      </c>
      <c r="L654" s="37" t="s">
        <v>2348</v>
      </c>
      <c r="M654" s="40">
        <v>45558</v>
      </c>
      <c r="N654" s="33" t="s">
        <v>57</v>
      </c>
      <c r="O654" s="41">
        <v>352000</v>
      </c>
      <c r="P654" s="34">
        <f t="shared" si="32"/>
        <v>1869.9</v>
      </c>
      <c r="Q654" s="36">
        <f t="shared" si="30"/>
        <v>124.66</v>
      </c>
      <c r="R654" s="35">
        <v>500</v>
      </c>
    </row>
    <row r="655" spans="1:18" x14ac:dyDescent="0.25">
      <c r="A655" s="37" t="s">
        <v>792</v>
      </c>
      <c r="B655" s="37"/>
      <c r="C655" s="37" t="s">
        <v>38</v>
      </c>
      <c r="D655" s="37" t="s">
        <v>36</v>
      </c>
      <c r="E655" s="38">
        <v>45924</v>
      </c>
      <c r="F655" s="38">
        <v>46289</v>
      </c>
      <c r="G655" s="37" t="s">
        <v>1593</v>
      </c>
      <c r="H655" s="37" t="s">
        <v>60</v>
      </c>
      <c r="I655" s="39">
        <v>14960</v>
      </c>
      <c r="J655" s="39">
        <v>12466</v>
      </c>
      <c r="K655" s="43">
        <f t="shared" si="31"/>
        <v>4.2500000000000003E-2</v>
      </c>
      <c r="L655" s="37" t="s">
        <v>2348</v>
      </c>
      <c r="M655" s="40">
        <v>45558</v>
      </c>
      <c r="N655" s="33" t="s">
        <v>57</v>
      </c>
      <c r="O655" s="41">
        <v>352000</v>
      </c>
      <c r="P655" s="34">
        <f t="shared" si="32"/>
        <v>1869.9</v>
      </c>
      <c r="Q655" s="36">
        <f t="shared" si="30"/>
        <v>124.66</v>
      </c>
      <c r="R655" s="35">
        <v>500</v>
      </c>
    </row>
    <row r="656" spans="1:18" x14ac:dyDescent="0.25">
      <c r="A656" s="37" t="s">
        <v>793</v>
      </c>
      <c r="B656" s="37"/>
      <c r="C656" s="37" t="s">
        <v>38</v>
      </c>
      <c r="D656" s="37" t="s">
        <v>36</v>
      </c>
      <c r="E656" s="38">
        <v>45558</v>
      </c>
      <c r="F656" s="38">
        <v>45923</v>
      </c>
      <c r="G656" s="37" t="s">
        <v>1594</v>
      </c>
      <c r="H656" s="37" t="s">
        <v>62</v>
      </c>
      <c r="I656" s="39">
        <v>23248</v>
      </c>
      <c r="J656" s="39">
        <v>19610</v>
      </c>
      <c r="K656" s="43">
        <f t="shared" si="31"/>
        <v>4.2500914076782449E-2</v>
      </c>
      <c r="L656" s="37" t="s">
        <v>2349</v>
      </c>
      <c r="M656" s="40">
        <v>45558</v>
      </c>
      <c r="N656" s="33" t="s">
        <v>57</v>
      </c>
      <c r="O656" s="41">
        <v>547000</v>
      </c>
      <c r="P656" s="34">
        <f t="shared" si="32"/>
        <v>2941.5</v>
      </c>
      <c r="Q656" s="36">
        <f t="shared" si="30"/>
        <v>196.1</v>
      </c>
      <c r="R656" s="35">
        <v>500</v>
      </c>
    </row>
    <row r="657" spans="1:18" x14ac:dyDescent="0.25">
      <c r="A657" s="37" t="s">
        <v>794</v>
      </c>
      <c r="B657" s="37"/>
      <c r="C657" s="37" t="s">
        <v>38</v>
      </c>
      <c r="D657" s="37" t="s">
        <v>36</v>
      </c>
      <c r="E657" s="38">
        <v>45924</v>
      </c>
      <c r="F657" s="38">
        <v>46289</v>
      </c>
      <c r="G657" s="37" t="s">
        <v>1594</v>
      </c>
      <c r="H657" s="37" t="s">
        <v>62</v>
      </c>
      <c r="I657" s="39">
        <v>23248</v>
      </c>
      <c r="J657" s="39">
        <v>19610</v>
      </c>
      <c r="K657" s="43">
        <f t="shared" si="31"/>
        <v>4.2500914076782449E-2</v>
      </c>
      <c r="L657" s="37" t="s">
        <v>2349</v>
      </c>
      <c r="M657" s="40">
        <v>45558</v>
      </c>
      <c r="N657" s="33" t="s">
        <v>57</v>
      </c>
      <c r="O657" s="41">
        <v>547000</v>
      </c>
      <c r="P657" s="34">
        <f t="shared" si="32"/>
        <v>2941.5</v>
      </c>
      <c r="Q657" s="36">
        <f t="shared" si="30"/>
        <v>196.1</v>
      </c>
      <c r="R657" s="35">
        <v>500</v>
      </c>
    </row>
    <row r="658" spans="1:18" x14ac:dyDescent="0.25">
      <c r="A658" s="37" t="s">
        <v>795</v>
      </c>
      <c r="B658" s="37"/>
      <c r="C658" s="37" t="s">
        <v>38</v>
      </c>
      <c r="D658" s="37" t="s">
        <v>36</v>
      </c>
      <c r="E658" s="38">
        <v>45558</v>
      </c>
      <c r="F658" s="38">
        <v>45923</v>
      </c>
      <c r="G658" s="37" t="s">
        <v>127</v>
      </c>
      <c r="H658" s="37" t="s">
        <v>60</v>
      </c>
      <c r="I658" s="39">
        <v>14960</v>
      </c>
      <c r="J658" s="39">
        <v>12466</v>
      </c>
      <c r="K658" s="43">
        <f t="shared" si="31"/>
        <v>4.2500000000000003E-2</v>
      </c>
      <c r="L658" s="37" t="s">
        <v>2350</v>
      </c>
      <c r="M658" s="40">
        <v>45558</v>
      </c>
      <c r="N658" s="33" t="s">
        <v>57</v>
      </c>
      <c r="O658" s="41">
        <v>352000</v>
      </c>
      <c r="P658" s="34">
        <f t="shared" si="32"/>
        <v>1869.9</v>
      </c>
      <c r="Q658" s="36">
        <f t="shared" si="30"/>
        <v>124.66</v>
      </c>
      <c r="R658" s="35">
        <v>500</v>
      </c>
    </row>
    <row r="659" spans="1:18" x14ac:dyDescent="0.25">
      <c r="A659" s="37" t="s">
        <v>796</v>
      </c>
      <c r="B659" s="37"/>
      <c r="C659" s="37" t="s">
        <v>38</v>
      </c>
      <c r="D659" s="37" t="s">
        <v>36</v>
      </c>
      <c r="E659" s="38">
        <v>45558</v>
      </c>
      <c r="F659" s="38">
        <v>45923</v>
      </c>
      <c r="G659" s="37" t="s">
        <v>1595</v>
      </c>
      <c r="H659" s="37" t="s">
        <v>60</v>
      </c>
      <c r="I659" s="39">
        <v>14960</v>
      </c>
      <c r="J659" s="39">
        <v>12466</v>
      </c>
      <c r="K659" s="43">
        <f t="shared" si="31"/>
        <v>4.2500000000000003E-2</v>
      </c>
      <c r="L659" s="37" t="s">
        <v>2351</v>
      </c>
      <c r="M659" s="40">
        <v>45558</v>
      </c>
      <c r="N659" s="33" t="s">
        <v>57</v>
      </c>
      <c r="O659" s="41">
        <v>352000</v>
      </c>
      <c r="P659" s="34">
        <f t="shared" si="32"/>
        <v>1869.9</v>
      </c>
      <c r="Q659" s="36">
        <f t="shared" si="30"/>
        <v>124.66</v>
      </c>
      <c r="R659" s="35">
        <v>500</v>
      </c>
    </row>
    <row r="660" spans="1:18" x14ac:dyDescent="0.25">
      <c r="A660" s="37" t="s">
        <v>797</v>
      </c>
      <c r="B660" s="37"/>
      <c r="C660" s="37" t="s">
        <v>38</v>
      </c>
      <c r="D660" s="37" t="s">
        <v>36</v>
      </c>
      <c r="E660" s="38">
        <v>45558</v>
      </c>
      <c r="F660" s="38">
        <v>45923</v>
      </c>
      <c r="G660" s="37" t="s">
        <v>1596</v>
      </c>
      <c r="H660" s="37" t="s">
        <v>60</v>
      </c>
      <c r="I660" s="39">
        <v>14960</v>
      </c>
      <c r="J660" s="39">
        <v>12466</v>
      </c>
      <c r="K660" s="43">
        <f t="shared" si="31"/>
        <v>4.2500000000000003E-2</v>
      </c>
      <c r="L660" s="37" t="s">
        <v>2352</v>
      </c>
      <c r="M660" s="40">
        <v>45558</v>
      </c>
      <c r="N660" s="33" t="s">
        <v>57</v>
      </c>
      <c r="O660" s="41">
        <v>352000</v>
      </c>
      <c r="P660" s="34">
        <f t="shared" si="32"/>
        <v>1869.9</v>
      </c>
      <c r="Q660" s="36">
        <f t="shared" si="30"/>
        <v>124.66</v>
      </c>
      <c r="R660" s="35">
        <v>500</v>
      </c>
    </row>
    <row r="661" spans="1:18" x14ac:dyDescent="0.25">
      <c r="A661" s="37" t="s">
        <v>798</v>
      </c>
      <c r="B661" s="37"/>
      <c r="C661" s="37" t="s">
        <v>70</v>
      </c>
      <c r="D661" s="37" t="s">
        <v>2582</v>
      </c>
      <c r="E661" s="38">
        <v>45559</v>
      </c>
      <c r="F661" s="38">
        <v>45924</v>
      </c>
      <c r="G661" s="37" t="s">
        <v>1597</v>
      </c>
      <c r="H661" s="37" t="s">
        <v>60</v>
      </c>
      <c r="I661" s="39">
        <v>8800</v>
      </c>
      <c r="J661" s="39">
        <v>7155</v>
      </c>
      <c r="K661" s="43">
        <f t="shared" si="31"/>
        <v>2.5000000000000001E-2</v>
      </c>
      <c r="L661" s="37" t="s">
        <v>2353</v>
      </c>
      <c r="M661" s="40">
        <v>45559</v>
      </c>
      <c r="N661" s="33" t="s">
        <v>57</v>
      </c>
      <c r="O661" s="41">
        <v>352000</v>
      </c>
      <c r="P661" s="34">
        <f t="shared" si="32"/>
        <v>1073.25</v>
      </c>
      <c r="Q661" s="36">
        <f t="shared" si="30"/>
        <v>71.55</v>
      </c>
      <c r="R661" s="35">
        <v>500</v>
      </c>
    </row>
    <row r="662" spans="1:18" x14ac:dyDescent="0.25">
      <c r="A662" s="37" t="s">
        <v>799</v>
      </c>
      <c r="B662" s="37"/>
      <c r="C662" s="37" t="s">
        <v>53</v>
      </c>
      <c r="D662" s="37" t="s">
        <v>2582</v>
      </c>
      <c r="E662" s="38">
        <v>45559</v>
      </c>
      <c r="F662" s="38">
        <v>45924</v>
      </c>
      <c r="G662" s="37" t="s">
        <v>1598</v>
      </c>
      <c r="H662" s="37" t="s">
        <v>60</v>
      </c>
      <c r="I662" s="39">
        <v>8800</v>
      </c>
      <c r="J662" s="39">
        <v>7155</v>
      </c>
      <c r="K662" s="43">
        <f t="shared" si="31"/>
        <v>2.5000000000000001E-2</v>
      </c>
      <c r="L662" s="37" t="s">
        <v>2354</v>
      </c>
      <c r="M662" s="40">
        <v>45559</v>
      </c>
      <c r="N662" s="33" t="s">
        <v>57</v>
      </c>
      <c r="O662" s="41">
        <v>352000</v>
      </c>
      <c r="P662" s="34">
        <f t="shared" si="32"/>
        <v>1073.25</v>
      </c>
      <c r="Q662" s="36">
        <f t="shared" si="30"/>
        <v>71.55</v>
      </c>
      <c r="R662" s="35">
        <v>500</v>
      </c>
    </row>
    <row r="663" spans="1:18" x14ac:dyDescent="0.25">
      <c r="A663" s="37" t="s">
        <v>800</v>
      </c>
      <c r="B663" s="37"/>
      <c r="C663" s="37" t="s">
        <v>53</v>
      </c>
      <c r="D663" s="37" t="s">
        <v>2582</v>
      </c>
      <c r="E663" s="38">
        <v>45559</v>
      </c>
      <c r="F663" s="38">
        <v>45924</v>
      </c>
      <c r="G663" s="37" t="s">
        <v>129</v>
      </c>
      <c r="H663" s="37" t="s">
        <v>61</v>
      </c>
      <c r="I663" s="39">
        <v>9550</v>
      </c>
      <c r="J663" s="39">
        <v>7802</v>
      </c>
      <c r="K663" s="43">
        <f t="shared" si="31"/>
        <v>2.5000000000000001E-2</v>
      </c>
      <c r="L663" s="37" t="s">
        <v>2355</v>
      </c>
      <c r="M663" s="40">
        <v>45559</v>
      </c>
      <c r="N663" s="33" t="s">
        <v>57</v>
      </c>
      <c r="O663" s="41">
        <v>382000</v>
      </c>
      <c r="P663" s="34">
        <f t="shared" si="32"/>
        <v>1170.3</v>
      </c>
      <c r="Q663" s="36">
        <f t="shared" si="30"/>
        <v>78.02</v>
      </c>
      <c r="R663" s="35">
        <v>500</v>
      </c>
    </row>
    <row r="664" spans="1:18" x14ac:dyDescent="0.25">
      <c r="A664" s="37" t="s">
        <v>801</v>
      </c>
      <c r="B664" s="37"/>
      <c r="C664" s="37" t="s">
        <v>70</v>
      </c>
      <c r="D664" s="37" t="s">
        <v>2582</v>
      </c>
      <c r="E664" s="38">
        <v>45559</v>
      </c>
      <c r="F664" s="38">
        <v>45924</v>
      </c>
      <c r="G664" s="37" t="s">
        <v>1599</v>
      </c>
      <c r="H664" s="37" t="s">
        <v>60</v>
      </c>
      <c r="I664" s="39">
        <v>8800</v>
      </c>
      <c r="J664" s="39">
        <v>7155</v>
      </c>
      <c r="K664" s="43">
        <f t="shared" si="31"/>
        <v>2.5000000000000001E-2</v>
      </c>
      <c r="L664" s="37" t="s">
        <v>2356</v>
      </c>
      <c r="M664" s="40">
        <v>45559</v>
      </c>
      <c r="N664" s="33" t="s">
        <v>57</v>
      </c>
      <c r="O664" s="41">
        <v>352000</v>
      </c>
      <c r="P664" s="34">
        <f t="shared" si="32"/>
        <v>1073.25</v>
      </c>
      <c r="Q664" s="36">
        <f t="shared" si="30"/>
        <v>71.55</v>
      </c>
      <c r="R664" s="35">
        <v>500</v>
      </c>
    </row>
    <row r="665" spans="1:18" x14ac:dyDescent="0.25">
      <c r="A665" s="37" t="s">
        <v>802</v>
      </c>
      <c r="B665" s="37"/>
      <c r="C665" s="37" t="s">
        <v>35</v>
      </c>
      <c r="D665" s="37" t="s">
        <v>36</v>
      </c>
      <c r="E665" s="38">
        <v>45559</v>
      </c>
      <c r="F665" s="38">
        <v>45924</v>
      </c>
      <c r="G665" s="37" t="s">
        <v>1600</v>
      </c>
      <c r="H665" s="37" t="s">
        <v>60</v>
      </c>
      <c r="I665" s="39">
        <v>14960</v>
      </c>
      <c r="J665" s="39">
        <v>12466</v>
      </c>
      <c r="K665" s="43">
        <f t="shared" si="31"/>
        <v>4.2500000000000003E-2</v>
      </c>
      <c r="L665" s="37" t="s">
        <v>2357</v>
      </c>
      <c r="M665" s="40">
        <v>45559</v>
      </c>
      <c r="N665" s="33" t="s">
        <v>57</v>
      </c>
      <c r="O665" s="41">
        <v>352000</v>
      </c>
      <c r="P665" s="34">
        <f t="shared" si="32"/>
        <v>1869.9</v>
      </c>
      <c r="Q665" s="36">
        <f t="shared" si="30"/>
        <v>124.66</v>
      </c>
      <c r="R665" s="35">
        <v>500</v>
      </c>
    </row>
    <row r="666" spans="1:18" x14ac:dyDescent="0.25">
      <c r="A666" s="37" t="s">
        <v>803</v>
      </c>
      <c r="B666" s="37"/>
      <c r="C666" s="37" t="s">
        <v>35</v>
      </c>
      <c r="D666" s="37" t="s">
        <v>36</v>
      </c>
      <c r="E666" s="38">
        <v>45925</v>
      </c>
      <c r="F666" s="38">
        <v>46290</v>
      </c>
      <c r="G666" s="37" t="s">
        <v>1600</v>
      </c>
      <c r="H666" s="37" t="s">
        <v>60</v>
      </c>
      <c r="I666" s="39">
        <v>14960</v>
      </c>
      <c r="J666" s="39">
        <v>12466</v>
      </c>
      <c r="K666" s="43">
        <f t="shared" si="31"/>
        <v>4.2500000000000003E-2</v>
      </c>
      <c r="L666" s="37" t="s">
        <v>2357</v>
      </c>
      <c r="M666" s="40">
        <v>45559</v>
      </c>
      <c r="N666" s="33" t="s">
        <v>57</v>
      </c>
      <c r="O666" s="41">
        <v>352000</v>
      </c>
      <c r="P666" s="34">
        <f t="shared" si="32"/>
        <v>1869.9</v>
      </c>
      <c r="Q666" s="36">
        <f t="shared" si="30"/>
        <v>124.66</v>
      </c>
      <c r="R666" s="35">
        <v>500</v>
      </c>
    </row>
    <row r="667" spans="1:18" x14ac:dyDescent="0.25">
      <c r="A667" s="37" t="s">
        <v>804</v>
      </c>
      <c r="B667" s="37"/>
      <c r="C667" s="37" t="s">
        <v>31</v>
      </c>
      <c r="D667" s="37" t="s">
        <v>36</v>
      </c>
      <c r="E667" s="38">
        <v>45559</v>
      </c>
      <c r="F667" s="38">
        <v>45924</v>
      </c>
      <c r="G667" s="37" t="s">
        <v>1601</v>
      </c>
      <c r="H667" s="37" t="s">
        <v>60</v>
      </c>
      <c r="I667" s="39">
        <v>14960</v>
      </c>
      <c r="J667" s="39">
        <v>12466</v>
      </c>
      <c r="K667" s="43">
        <f t="shared" si="31"/>
        <v>4.2500000000000003E-2</v>
      </c>
      <c r="L667" s="37" t="s">
        <v>2358</v>
      </c>
      <c r="M667" s="40">
        <v>45559</v>
      </c>
      <c r="N667" s="33" t="s">
        <v>57</v>
      </c>
      <c r="O667" s="41">
        <v>352000</v>
      </c>
      <c r="P667" s="34">
        <f t="shared" si="32"/>
        <v>1869.9</v>
      </c>
      <c r="Q667" s="36">
        <f t="shared" si="30"/>
        <v>124.66</v>
      </c>
      <c r="R667" s="35">
        <v>500</v>
      </c>
    </row>
    <row r="668" spans="1:18" x14ac:dyDescent="0.25">
      <c r="A668" s="37" t="s">
        <v>805</v>
      </c>
      <c r="B668" s="37"/>
      <c r="C668" s="37" t="s">
        <v>38</v>
      </c>
      <c r="D668" s="37" t="s">
        <v>36</v>
      </c>
      <c r="E668" s="38">
        <v>45559</v>
      </c>
      <c r="F668" s="38">
        <v>45924</v>
      </c>
      <c r="G668" s="37" t="s">
        <v>1602</v>
      </c>
      <c r="H668" s="37" t="s">
        <v>61</v>
      </c>
      <c r="I668" s="39">
        <v>16235</v>
      </c>
      <c r="J668" s="39">
        <v>13565</v>
      </c>
      <c r="K668" s="43">
        <f t="shared" si="31"/>
        <v>4.2500000000000003E-2</v>
      </c>
      <c r="L668" s="37" t="s">
        <v>2359</v>
      </c>
      <c r="M668" s="40">
        <v>45559</v>
      </c>
      <c r="N668" s="33" t="s">
        <v>57</v>
      </c>
      <c r="O668" s="41">
        <v>382000</v>
      </c>
      <c r="P668" s="34">
        <f t="shared" si="32"/>
        <v>2034.75</v>
      </c>
      <c r="Q668" s="36">
        <f t="shared" si="30"/>
        <v>135.65</v>
      </c>
      <c r="R668" s="35">
        <v>500</v>
      </c>
    </row>
    <row r="669" spans="1:18" x14ac:dyDescent="0.25">
      <c r="A669" s="37" t="s">
        <v>806</v>
      </c>
      <c r="B669" s="37"/>
      <c r="C669" s="37" t="s">
        <v>38</v>
      </c>
      <c r="D669" s="37" t="s">
        <v>36</v>
      </c>
      <c r="E669" s="38">
        <v>45925</v>
      </c>
      <c r="F669" s="38">
        <v>46290</v>
      </c>
      <c r="G669" s="37" t="s">
        <v>1602</v>
      </c>
      <c r="H669" s="37" t="s">
        <v>61</v>
      </c>
      <c r="I669" s="39">
        <v>16235</v>
      </c>
      <c r="J669" s="39">
        <v>13565</v>
      </c>
      <c r="K669" s="43">
        <f t="shared" si="31"/>
        <v>4.2500000000000003E-2</v>
      </c>
      <c r="L669" s="37" t="s">
        <v>2359</v>
      </c>
      <c r="M669" s="40">
        <v>45559</v>
      </c>
      <c r="N669" s="33" t="s">
        <v>57</v>
      </c>
      <c r="O669" s="41">
        <v>382000</v>
      </c>
      <c r="P669" s="34">
        <f t="shared" si="32"/>
        <v>2034.75</v>
      </c>
      <c r="Q669" s="36">
        <f t="shared" si="30"/>
        <v>135.65</v>
      </c>
      <c r="R669" s="35">
        <v>500</v>
      </c>
    </row>
    <row r="670" spans="1:18" x14ac:dyDescent="0.25">
      <c r="A670" s="37" t="s">
        <v>807</v>
      </c>
      <c r="B670" s="37"/>
      <c r="C670" s="37" t="s">
        <v>30</v>
      </c>
      <c r="D670" s="37" t="s">
        <v>36</v>
      </c>
      <c r="E670" s="38">
        <v>45559</v>
      </c>
      <c r="F670" s="38">
        <v>45924</v>
      </c>
      <c r="G670" s="37" t="s">
        <v>1603</v>
      </c>
      <c r="H670" s="37" t="s">
        <v>60</v>
      </c>
      <c r="I670" s="39">
        <v>14960</v>
      </c>
      <c r="J670" s="39">
        <v>12466</v>
      </c>
      <c r="K670" s="43">
        <f t="shared" si="31"/>
        <v>4.2500000000000003E-2</v>
      </c>
      <c r="L670" s="37" t="s">
        <v>2360</v>
      </c>
      <c r="M670" s="40">
        <v>45559</v>
      </c>
      <c r="N670" s="33" t="s">
        <v>57</v>
      </c>
      <c r="O670" s="41">
        <v>352000</v>
      </c>
      <c r="P670" s="34">
        <f t="shared" si="32"/>
        <v>1869.9</v>
      </c>
      <c r="Q670" s="36">
        <f t="shared" si="30"/>
        <v>124.66</v>
      </c>
      <c r="R670" s="35">
        <v>500</v>
      </c>
    </row>
    <row r="671" spans="1:18" x14ac:dyDescent="0.25">
      <c r="A671" s="37" t="s">
        <v>808</v>
      </c>
      <c r="B671" s="37"/>
      <c r="C671" s="37" t="s">
        <v>30</v>
      </c>
      <c r="D671" s="37" t="s">
        <v>36</v>
      </c>
      <c r="E671" s="38">
        <v>45925</v>
      </c>
      <c r="F671" s="38">
        <v>46290</v>
      </c>
      <c r="G671" s="37" t="s">
        <v>1603</v>
      </c>
      <c r="H671" s="37" t="s">
        <v>60</v>
      </c>
      <c r="I671" s="39">
        <v>14960</v>
      </c>
      <c r="J671" s="39">
        <v>12466</v>
      </c>
      <c r="K671" s="43">
        <f t="shared" si="31"/>
        <v>4.2500000000000003E-2</v>
      </c>
      <c r="L671" s="37" t="s">
        <v>2360</v>
      </c>
      <c r="M671" s="40">
        <v>45559</v>
      </c>
      <c r="N671" s="33" t="s">
        <v>57</v>
      </c>
      <c r="O671" s="41">
        <v>352000</v>
      </c>
      <c r="P671" s="34">
        <f t="shared" si="32"/>
        <v>1869.9</v>
      </c>
      <c r="Q671" s="36">
        <f t="shared" si="30"/>
        <v>124.66</v>
      </c>
      <c r="R671" s="35">
        <v>500</v>
      </c>
    </row>
    <row r="672" spans="1:18" x14ac:dyDescent="0.25">
      <c r="A672" s="37" t="s">
        <v>809</v>
      </c>
      <c r="B672" s="37"/>
      <c r="C672" s="37" t="s">
        <v>39</v>
      </c>
      <c r="D672" s="37" t="s">
        <v>36</v>
      </c>
      <c r="E672" s="38">
        <v>45559</v>
      </c>
      <c r="F672" s="38">
        <v>45924</v>
      </c>
      <c r="G672" s="37" t="s">
        <v>1604</v>
      </c>
      <c r="H672" s="37" t="s">
        <v>60</v>
      </c>
      <c r="I672" s="39">
        <v>14960</v>
      </c>
      <c r="J672" s="39">
        <v>12466</v>
      </c>
      <c r="K672" s="43">
        <f t="shared" si="31"/>
        <v>4.2500000000000003E-2</v>
      </c>
      <c r="L672" s="37" t="s">
        <v>2361</v>
      </c>
      <c r="M672" s="40">
        <v>45559</v>
      </c>
      <c r="N672" s="33" t="s">
        <v>57</v>
      </c>
      <c r="O672" s="41">
        <v>352000</v>
      </c>
      <c r="P672" s="34">
        <f t="shared" si="32"/>
        <v>1869.9</v>
      </c>
      <c r="Q672" s="36">
        <f t="shared" si="30"/>
        <v>124.66</v>
      </c>
      <c r="R672" s="35">
        <v>500</v>
      </c>
    </row>
    <row r="673" spans="1:18" x14ac:dyDescent="0.25">
      <c r="A673" s="37" t="s">
        <v>810</v>
      </c>
      <c r="B673" s="37"/>
      <c r="C673" s="37" t="s">
        <v>65</v>
      </c>
      <c r="D673" s="37" t="s">
        <v>2582</v>
      </c>
      <c r="E673" s="38">
        <v>45559</v>
      </c>
      <c r="F673" s="38">
        <v>45924</v>
      </c>
      <c r="G673" s="37" t="s">
        <v>1605</v>
      </c>
      <c r="H673" s="37" t="s">
        <v>1788</v>
      </c>
      <c r="I673" s="39">
        <v>9550</v>
      </c>
      <c r="J673" s="39">
        <v>7802</v>
      </c>
      <c r="K673" s="43">
        <f t="shared" si="31"/>
        <v>2.5000000000000001E-2</v>
      </c>
      <c r="L673" s="37" t="s">
        <v>2362</v>
      </c>
      <c r="M673" s="40">
        <v>45559</v>
      </c>
      <c r="N673" s="33" t="s">
        <v>57</v>
      </c>
      <c r="O673" s="41">
        <v>382000</v>
      </c>
      <c r="P673" s="34">
        <f t="shared" si="32"/>
        <v>1170.3</v>
      </c>
      <c r="Q673" s="36">
        <f t="shared" si="30"/>
        <v>78.02</v>
      </c>
      <c r="R673" s="35">
        <v>500</v>
      </c>
    </row>
    <row r="674" spans="1:18" x14ac:dyDescent="0.25">
      <c r="A674" s="37" t="s">
        <v>811</v>
      </c>
      <c r="B674" s="37"/>
      <c r="C674" s="37" t="s">
        <v>35</v>
      </c>
      <c r="D674" s="37" t="s">
        <v>36</v>
      </c>
      <c r="E674" s="38">
        <v>45559</v>
      </c>
      <c r="F674" s="38">
        <v>45924</v>
      </c>
      <c r="G674" s="37" t="s">
        <v>1606</v>
      </c>
      <c r="H674" s="37" t="s">
        <v>60</v>
      </c>
      <c r="I674" s="39">
        <v>14960</v>
      </c>
      <c r="J674" s="39">
        <v>12466</v>
      </c>
      <c r="K674" s="43">
        <f t="shared" si="31"/>
        <v>4.2500000000000003E-2</v>
      </c>
      <c r="L674" s="37" t="s">
        <v>2363</v>
      </c>
      <c r="M674" s="40">
        <v>45559</v>
      </c>
      <c r="N674" s="33" t="s">
        <v>57</v>
      </c>
      <c r="O674" s="41">
        <v>352000</v>
      </c>
      <c r="P674" s="34">
        <f t="shared" si="32"/>
        <v>1869.9</v>
      </c>
      <c r="Q674" s="36">
        <f t="shared" si="30"/>
        <v>124.66</v>
      </c>
      <c r="R674" s="35">
        <v>500</v>
      </c>
    </row>
    <row r="675" spans="1:18" x14ac:dyDescent="0.25">
      <c r="A675" s="37" t="s">
        <v>812</v>
      </c>
      <c r="B675" s="37"/>
      <c r="C675" s="37" t="s">
        <v>78</v>
      </c>
      <c r="D675" s="37" t="s">
        <v>2582</v>
      </c>
      <c r="E675" s="38">
        <v>45559</v>
      </c>
      <c r="F675" s="38">
        <v>45924</v>
      </c>
      <c r="G675" s="37" t="s">
        <v>122</v>
      </c>
      <c r="H675" s="37" t="s">
        <v>60</v>
      </c>
      <c r="I675" s="39">
        <v>8800</v>
      </c>
      <c r="J675" s="39">
        <v>7155</v>
      </c>
      <c r="K675" s="43">
        <f t="shared" si="31"/>
        <v>2.5000000000000001E-2</v>
      </c>
      <c r="L675" s="37" t="s">
        <v>2364</v>
      </c>
      <c r="M675" s="40">
        <v>45559</v>
      </c>
      <c r="N675" s="33" t="s">
        <v>57</v>
      </c>
      <c r="O675" s="41">
        <v>352000</v>
      </c>
      <c r="P675" s="34">
        <f t="shared" si="32"/>
        <v>1073.25</v>
      </c>
      <c r="Q675" s="36">
        <f t="shared" si="30"/>
        <v>71.55</v>
      </c>
      <c r="R675" s="35">
        <v>500</v>
      </c>
    </row>
    <row r="676" spans="1:18" x14ac:dyDescent="0.25">
      <c r="A676" s="37" t="s">
        <v>813</v>
      </c>
      <c r="B676" s="37"/>
      <c r="C676" s="37" t="s">
        <v>36</v>
      </c>
      <c r="D676" s="37" t="s">
        <v>36</v>
      </c>
      <c r="E676" s="38">
        <v>45559</v>
      </c>
      <c r="F676" s="38">
        <v>45924</v>
      </c>
      <c r="G676" s="37" t="s">
        <v>1607</v>
      </c>
      <c r="H676" s="37" t="s">
        <v>60</v>
      </c>
      <c r="I676" s="39">
        <v>14960</v>
      </c>
      <c r="J676" s="39">
        <v>12466</v>
      </c>
      <c r="K676" s="43">
        <f t="shared" si="31"/>
        <v>4.2500000000000003E-2</v>
      </c>
      <c r="L676" s="37" t="s">
        <v>2365</v>
      </c>
      <c r="M676" s="40">
        <v>45559</v>
      </c>
      <c r="N676" s="33" t="s">
        <v>57</v>
      </c>
      <c r="O676" s="41">
        <v>352000</v>
      </c>
      <c r="P676" s="34">
        <f t="shared" si="32"/>
        <v>1869.9</v>
      </c>
      <c r="Q676" s="36">
        <f t="shared" si="30"/>
        <v>124.66</v>
      </c>
      <c r="R676" s="35">
        <v>500</v>
      </c>
    </row>
    <row r="677" spans="1:18" x14ac:dyDescent="0.25">
      <c r="A677" s="37" t="s">
        <v>814</v>
      </c>
      <c r="B677" s="37"/>
      <c r="C677" s="37" t="s">
        <v>36</v>
      </c>
      <c r="D677" s="37" t="s">
        <v>36</v>
      </c>
      <c r="E677" s="38">
        <v>45925</v>
      </c>
      <c r="F677" s="38">
        <v>46290</v>
      </c>
      <c r="G677" s="37" t="s">
        <v>1607</v>
      </c>
      <c r="H677" s="37" t="s">
        <v>60</v>
      </c>
      <c r="I677" s="39">
        <v>14960</v>
      </c>
      <c r="J677" s="39">
        <v>12466</v>
      </c>
      <c r="K677" s="43">
        <f t="shared" si="31"/>
        <v>4.2500000000000003E-2</v>
      </c>
      <c r="L677" s="37" t="s">
        <v>2365</v>
      </c>
      <c r="M677" s="40">
        <v>45559</v>
      </c>
      <c r="N677" s="33" t="s">
        <v>57</v>
      </c>
      <c r="O677" s="41">
        <v>352000</v>
      </c>
      <c r="P677" s="34">
        <f t="shared" si="32"/>
        <v>1869.9</v>
      </c>
      <c r="Q677" s="36">
        <f t="shared" si="30"/>
        <v>124.66</v>
      </c>
      <c r="R677" s="35">
        <v>500</v>
      </c>
    </row>
    <row r="678" spans="1:18" x14ac:dyDescent="0.25">
      <c r="A678" s="37" t="s">
        <v>815</v>
      </c>
      <c r="B678" s="37"/>
      <c r="C678" s="37" t="s">
        <v>78</v>
      </c>
      <c r="D678" s="37" t="s">
        <v>2582</v>
      </c>
      <c r="E678" s="38">
        <v>45559</v>
      </c>
      <c r="F678" s="38">
        <v>45924</v>
      </c>
      <c r="G678" s="37" t="s">
        <v>1608</v>
      </c>
      <c r="H678" s="37" t="s">
        <v>60</v>
      </c>
      <c r="I678" s="39">
        <v>8800</v>
      </c>
      <c r="J678" s="39">
        <v>7155</v>
      </c>
      <c r="K678" s="43">
        <f t="shared" si="31"/>
        <v>2.5000000000000001E-2</v>
      </c>
      <c r="L678" s="37" t="s">
        <v>2366</v>
      </c>
      <c r="M678" s="40">
        <v>45559</v>
      </c>
      <c r="N678" s="33" t="s">
        <v>57</v>
      </c>
      <c r="O678" s="41">
        <v>352000</v>
      </c>
      <c r="P678" s="34">
        <f t="shared" si="32"/>
        <v>1073.25</v>
      </c>
      <c r="Q678" s="36">
        <f t="shared" si="30"/>
        <v>71.55</v>
      </c>
      <c r="R678" s="35">
        <v>500</v>
      </c>
    </row>
    <row r="679" spans="1:18" x14ac:dyDescent="0.25">
      <c r="A679" s="37" t="s">
        <v>816</v>
      </c>
      <c r="B679" s="37"/>
      <c r="C679" s="37" t="s">
        <v>78</v>
      </c>
      <c r="D679" s="37" t="s">
        <v>2582</v>
      </c>
      <c r="E679" s="38">
        <v>45559</v>
      </c>
      <c r="F679" s="38">
        <v>45924</v>
      </c>
      <c r="G679" s="37" t="s">
        <v>1609</v>
      </c>
      <c r="H679" s="37" t="s">
        <v>60</v>
      </c>
      <c r="I679" s="39">
        <v>8800</v>
      </c>
      <c r="J679" s="39">
        <v>7155</v>
      </c>
      <c r="K679" s="43">
        <f t="shared" si="31"/>
        <v>2.5000000000000001E-2</v>
      </c>
      <c r="L679" s="37" t="s">
        <v>2367</v>
      </c>
      <c r="M679" s="40">
        <v>45559</v>
      </c>
      <c r="N679" s="33" t="s">
        <v>57</v>
      </c>
      <c r="O679" s="41">
        <v>352000</v>
      </c>
      <c r="P679" s="34">
        <f t="shared" si="32"/>
        <v>1073.25</v>
      </c>
      <c r="Q679" s="36">
        <f t="shared" si="30"/>
        <v>71.55</v>
      </c>
      <c r="R679" s="35">
        <v>500</v>
      </c>
    </row>
    <row r="680" spans="1:18" x14ac:dyDescent="0.25">
      <c r="A680" s="37" t="s">
        <v>817</v>
      </c>
      <c r="B680" s="37"/>
      <c r="C680" s="37" t="s">
        <v>30</v>
      </c>
      <c r="D680" s="37" t="s">
        <v>36</v>
      </c>
      <c r="E680" s="38">
        <v>45559</v>
      </c>
      <c r="F680" s="38">
        <v>45924</v>
      </c>
      <c r="G680" s="37" t="s">
        <v>1610</v>
      </c>
      <c r="H680" s="37" t="s">
        <v>60</v>
      </c>
      <c r="I680" s="39">
        <v>14960</v>
      </c>
      <c r="J680" s="39">
        <v>12466</v>
      </c>
      <c r="K680" s="43">
        <f t="shared" si="31"/>
        <v>4.2500000000000003E-2</v>
      </c>
      <c r="L680" s="37" t="s">
        <v>2368</v>
      </c>
      <c r="M680" s="40">
        <v>45559</v>
      </c>
      <c r="N680" s="33" t="s">
        <v>57</v>
      </c>
      <c r="O680" s="41">
        <v>352000</v>
      </c>
      <c r="P680" s="34">
        <f t="shared" si="32"/>
        <v>1869.9</v>
      </c>
      <c r="Q680" s="36">
        <f t="shared" si="30"/>
        <v>124.66</v>
      </c>
      <c r="R680" s="35">
        <v>500</v>
      </c>
    </row>
    <row r="681" spans="1:18" x14ac:dyDescent="0.25">
      <c r="A681" s="37" t="s">
        <v>818</v>
      </c>
      <c r="B681" s="37"/>
      <c r="C681" s="37" t="s">
        <v>30</v>
      </c>
      <c r="D681" s="37" t="s">
        <v>36</v>
      </c>
      <c r="E681" s="38">
        <v>45925</v>
      </c>
      <c r="F681" s="38">
        <v>46290</v>
      </c>
      <c r="G681" s="37" t="s">
        <v>1610</v>
      </c>
      <c r="H681" s="37" t="s">
        <v>60</v>
      </c>
      <c r="I681" s="39">
        <v>14960</v>
      </c>
      <c r="J681" s="39">
        <v>12466</v>
      </c>
      <c r="K681" s="43">
        <f t="shared" si="31"/>
        <v>4.2500000000000003E-2</v>
      </c>
      <c r="L681" s="37" t="s">
        <v>2368</v>
      </c>
      <c r="M681" s="40">
        <v>45559</v>
      </c>
      <c r="N681" s="33" t="s">
        <v>57</v>
      </c>
      <c r="O681" s="41">
        <v>352000</v>
      </c>
      <c r="P681" s="34">
        <f t="shared" si="32"/>
        <v>1869.9</v>
      </c>
      <c r="Q681" s="36">
        <f t="shared" si="30"/>
        <v>124.66</v>
      </c>
      <c r="R681" s="35">
        <v>500</v>
      </c>
    </row>
    <row r="682" spans="1:18" x14ac:dyDescent="0.25">
      <c r="A682" s="37" t="s">
        <v>819</v>
      </c>
      <c r="B682" s="37"/>
      <c r="C682" s="37" t="s">
        <v>78</v>
      </c>
      <c r="D682" s="37" t="s">
        <v>2582</v>
      </c>
      <c r="E682" s="38">
        <v>45559</v>
      </c>
      <c r="F682" s="38">
        <v>45924</v>
      </c>
      <c r="G682" s="37" t="s">
        <v>1611</v>
      </c>
      <c r="H682" s="37" t="s">
        <v>60</v>
      </c>
      <c r="I682" s="39">
        <v>8800</v>
      </c>
      <c r="J682" s="39">
        <v>7155</v>
      </c>
      <c r="K682" s="43">
        <f t="shared" si="31"/>
        <v>2.5000000000000001E-2</v>
      </c>
      <c r="L682" s="37" t="s">
        <v>2369</v>
      </c>
      <c r="M682" s="40">
        <v>45559</v>
      </c>
      <c r="N682" s="33" t="s">
        <v>57</v>
      </c>
      <c r="O682" s="41">
        <v>352000</v>
      </c>
      <c r="P682" s="34">
        <f t="shared" si="32"/>
        <v>1073.25</v>
      </c>
      <c r="Q682" s="36">
        <f t="shared" si="30"/>
        <v>71.55</v>
      </c>
      <c r="R682" s="35">
        <v>500</v>
      </c>
    </row>
    <row r="683" spans="1:18" x14ac:dyDescent="0.25">
      <c r="A683" s="37" t="s">
        <v>820</v>
      </c>
      <c r="B683" s="37"/>
      <c r="C683" s="37" t="s">
        <v>78</v>
      </c>
      <c r="D683" s="37" t="s">
        <v>2582</v>
      </c>
      <c r="E683" s="38">
        <v>45559</v>
      </c>
      <c r="F683" s="38">
        <v>45924</v>
      </c>
      <c r="G683" s="37" t="s">
        <v>1612</v>
      </c>
      <c r="H683" s="37" t="s">
        <v>61</v>
      </c>
      <c r="I683" s="39">
        <v>9550</v>
      </c>
      <c r="J683" s="39">
        <v>7802</v>
      </c>
      <c r="K683" s="43">
        <f t="shared" si="31"/>
        <v>2.5000000000000001E-2</v>
      </c>
      <c r="L683" s="37" t="s">
        <v>2370</v>
      </c>
      <c r="M683" s="40">
        <v>45559</v>
      </c>
      <c r="N683" s="33" t="s">
        <v>57</v>
      </c>
      <c r="O683" s="41">
        <v>382000</v>
      </c>
      <c r="P683" s="34">
        <f t="shared" si="32"/>
        <v>1170.3</v>
      </c>
      <c r="Q683" s="36">
        <f t="shared" si="30"/>
        <v>78.02</v>
      </c>
      <c r="R683" s="35">
        <v>500</v>
      </c>
    </row>
    <row r="684" spans="1:18" x14ac:dyDescent="0.25">
      <c r="A684" s="37" t="s">
        <v>821</v>
      </c>
      <c r="B684" s="37"/>
      <c r="C684" s="37" t="s">
        <v>36</v>
      </c>
      <c r="D684" s="37" t="s">
        <v>36</v>
      </c>
      <c r="E684" s="38">
        <v>45559</v>
      </c>
      <c r="F684" s="38">
        <v>45924</v>
      </c>
      <c r="G684" s="37" t="s">
        <v>1613</v>
      </c>
      <c r="H684" s="37" t="s">
        <v>60</v>
      </c>
      <c r="I684" s="39">
        <v>14960</v>
      </c>
      <c r="J684" s="39">
        <v>12466</v>
      </c>
      <c r="K684" s="43">
        <f t="shared" si="31"/>
        <v>4.2500000000000003E-2</v>
      </c>
      <c r="L684" s="37" t="s">
        <v>2371</v>
      </c>
      <c r="M684" s="40">
        <v>45559</v>
      </c>
      <c r="N684" s="33" t="s">
        <v>57</v>
      </c>
      <c r="O684" s="41">
        <v>352000</v>
      </c>
      <c r="P684" s="34">
        <f t="shared" si="32"/>
        <v>1869.9</v>
      </c>
      <c r="Q684" s="36">
        <f t="shared" si="30"/>
        <v>124.66</v>
      </c>
      <c r="R684" s="35">
        <v>500</v>
      </c>
    </row>
    <row r="685" spans="1:18" x14ac:dyDescent="0.25">
      <c r="A685" s="37" t="s">
        <v>822</v>
      </c>
      <c r="B685" s="37"/>
      <c r="C685" s="37" t="s">
        <v>78</v>
      </c>
      <c r="D685" s="37" t="s">
        <v>2582</v>
      </c>
      <c r="E685" s="38">
        <v>45559</v>
      </c>
      <c r="F685" s="38">
        <v>45924</v>
      </c>
      <c r="G685" s="37" t="s">
        <v>1614</v>
      </c>
      <c r="H685" s="37" t="s">
        <v>60</v>
      </c>
      <c r="I685" s="39">
        <v>8800</v>
      </c>
      <c r="J685" s="39">
        <v>7155</v>
      </c>
      <c r="K685" s="43">
        <f t="shared" si="31"/>
        <v>2.5000000000000001E-2</v>
      </c>
      <c r="L685" s="37" t="s">
        <v>2372</v>
      </c>
      <c r="M685" s="40">
        <v>45559</v>
      </c>
      <c r="N685" s="33" t="s">
        <v>57</v>
      </c>
      <c r="O685" s="41">
        <v>352000</v>
      </c>
      <c r="P685" s="34">
        <f t="shared" si="32"/>
        <v>1073.25</v>
      </c>
      <c r="Q685" s="36">
        <f t="shared" si="30"/>
        <v>71.55</v>
      </c>
      <c r="R685" s="35">
        <v>500</v>
      </c>
    </row>
    <row r="686" spans="1:18" x14ac:dyDescent="0.25">
      <c r="A686" s="37" t="s">
        <v>823</v>
      </c>
      <c r="B686" s="37"/>
      <c r="C686" s="37" t="s">
        <v>78</v>
      </c>
      <c r="D686" s="37" t="s">
        <v>2582</v>
      </c>
      <c r="E686" s="38">
        <v>45559</v>
      </c>
      <c r="F686" s="38">
        <v>45924</v>
      </c>
      <c r="G686" s="37" t="s">
        <v>1614</v>
      </c>
      <c r="H686" s="37" t="s">
        <v>60</v>
      </c>
      <c r="I686" s="39">
        <v>8800</v>
      </c>
      <c r="J686" s="39">
        <v>7155</v>
      </c>
      <c r="K686" s="43">
        <f t="shared" si="31"/>
        <v>2.5000000000000001E-2</v>
      </c>
      <c r="L686" s="37" t="s">
        <v>2372</v>
      </c>
      <c r="M686" s="40">
        <v>45559</v>
      </c>
      <c r="N686" s="33" t="s">
        <v>57</v>
      </c>
      <c r="O686" s="41">
        <v>352000</v>
      </c>
      <c r="P686" s="34">
        <f t="shared" si="32"/>
        <v>1073.25</v>
      </c>
      <c r="Q686" s="36">
        <f t="shared" si="30"/>
        <v>71.55</v>
      </c>
      <c r="R686" s="35">
        <v>500</v>
      </c>
    </row>
    <row r="687" spans="1:18" x14ac:dyDescent="0.25">
      <c r="A687" s="37" t="s">
        <v>824</v>
      </c>
      <c r="B687" s="37"/>
      <c r="C687" s="37" t="s">
        <v>78</v>
      </c>
      <c r="D687" s="37" t="s">
        <v>2582</v>
      </c>
      <c r="E687" s="38">
        <v>45559</v>
      </c>
      <c r="F687" s="38">
        <v>45924</v>
      </c>
      <c r="G687" s="37" t="s">
        <v>1615</v>
      </c>
      <c r="H687" s="37" t="s">
        <v>62</v>
      </c>
      <c r="I687" s="39">
        <v>13675</v>
      </c>
      <c r="J687" s="39">
        <v>11358</v>
      </c>
      <c r="K687" s="43">
        <f t="shared" si="31"/>
        <v>2.5000000000000001E-2</v>
      </c>
      <c r="L687" s="37" t="s">
        <v>2373</v>
      </c>
      <c r="M687" s="40">
        <v>45559</v>
      </c>
      <c r="N687" s="33" t="s">
        <v>57</v>
      </c>
      <c r="O687" s="41">
        <v>547000</v>
      </c>
      <c r="P687" s="34">
        <f t="shared" si="32"/>
        <v>1703.7</v>
      </c>
      <c r="Q687" s="36">
        <f t="shared" si="30"/>
        <v>113.58</v>
      </c>
      <c r="R687" s="35">
        <v>500</v>
      </c>
    </row>
    <row r="688" spans="1:18" x14ac:dyDescent="0.25">
      <c r="A688" s="37" t="s">
        <v>825</v>
      </c>
      <c r="B688" s="37"/>
      <c r="C688" s="37" t="s">
        <v>30</v>
      </c>
      <c r="D688" s="37" t="s">
        <v>36</v>
      </c>
      <c r="E688" s="38">
        <v>45559</v>
      </c>
      <c r="F688" s="38">
        <v>45924</v>
      </c>
      <c r="G688" s="37" t="s">
        <v>1616</v>
      </c>
      <c r="H688" s="37" t="s">
        <v>60</v>
      </c>
      <c r="I688" s="39">
        <v>14960</v>
      </c>
      <c r="J688" s="39">
        <v>12466</v>
      </c>
      <c r="K688" s="43">
        <f t="shared" si="31"/>
        <v>4.2500000000000003E-2</v>
      </c>
      <c r="L688" s="37" t="s">
        <v>2374</v>
      </c>
      <c r="M688" s="40">
        <v>45559</v>
      </c>
      <c r="N688" s="33" t="s">
        <v>57</v>
      </c>
      <c r="O688" s="41">
        <v>352000</v>
      </c>
      <c r="P688" s="34">
        <f t="shared" si="32"/>
        <v>1869.9</v>
      </c>
      <c r="Q688" s="36">
        <f t="shared" si="30"/>
        <v>124.66</v>
      </c>
      <c r="R688" s="35">
        <v>500</v>
      </c>
    </row>
    <row r="689" spans="1:18" x14ac:dyDescent="0.25">
      <c r="A689" s="37" t="s">
        <v>826</v>
      </c>
      <c r="B689" s="37"/>
      <c r="C689" s="37" t="s">
        <v>30</v>
      </c>
      <c r="D689" s="37" t="s">
        <v>36</v>
      </c>
      <c r="E689" s="38">
        <v>45925</v>
      </c>
      <c r="F689" s="38">
        <v>46290</v>
      </c>
      <c r="G689" s="37" t="s">
        <v>1616</v>
      </c>
      <c r="H689" s="37" t="s">
        <v>60</v>
      </c>
      <c r="I689" s="39">
        <v>14960</v>
      </c>
      <c r="J689" s="39">
        <v>12466</v>
      </c>
      <c r="K689" s="43">
        <f t="shared" si="31"/>
        <v>4.2500000000000003E-2</v>
      </c>
      <c r="L689" s="37" t="s">
        <v>2374</v>
      </c>
      <c r="M689" s="40">
        <v>45559</v>
      </c>
      <c r="N689" s="33" t="s">
        <v>57</v>
      </c>
      <c r="O689" s="41">
        <v>352000</v>
      </c>
      <c r="P689" s="34">
        <f t="shared" si="32"/>
        <v>1869.9</v>
      </c>
      <c r="Q689" s="36">
        <f t="shared" si="30"/>
        <v>124.66</v>
      </c>
      <c r="R689" s="35">
        <v>500</v>
      </c>
    </row>
    <row r="690" spans="1:18" x14ac:dyDescent="0.25">
      <c r="A690" s="37" t="s">
        <v>827</v>
      </c>
      <c r="B690" s="37"/>
      <c r="C690" s="37" t="s">
        <v>78</v>
      </c>
      <c r="D690" s="37" t="s">
        <v>2582</v>
      </c>
      <c r="E690" s="38">
        <v>45559</v>
      </c>
      <c r="F690" s="38">
        <v>45924</v>
      </c>
      <c r="G690" s="37" t="s">
        <v>1617</v>
      </c>
      <c r="H690" s="37" t="s">
        <v>60</v>
      </c>
      <c r="I690" s="39">
        <v>8800</v>
      </c>
      <c r="J690" s="39">
        <v>7155</v>
      </c>
      <c r="K690" s="43">
        <f t="shared" si="31"/>
        <v>2.5000000000000001E-2</v>
      </c>
      <c r="L690" s="37" t="s">
        <v>2375</v>
      </c>
      <c r="M690" s="40">
        <v>45559</v>
      </c>
      <c r="N690" s="33" t="s">
        <v>57</v>
      </c>
      <c r="O690" s="41">
        <v>352000</v>
      </c>
      <c r="P690" s="34">
        <f t="shared" si="32"/>
        <v>1073.25</v>
      </c>
      <c r="Q690" s="36">
        <f t="shared" si="30"/>
        <v>71.55</v>
      </c>
      <c r="R690" s="35">
        <v>500</v>
      </c>
    </row>
    <row r="691" spans="1:18" x14ac:dyDescent="0.25">
      <c r="A691" s="37" t="s">
        <v>828</v>
      </c>
      <c r="B691" s="37"/>
      <c r="C691" s="37" t="s">
        <v>78</v>
      </c>
      <c r="D691" s="37" t="s">
        <v>2582</v>
      </c>
      <c r="E691" s="38">
        <v>45559</v>
      </c>
      <c r="F691" s="38">
        <v>45924</v>
      </c>
      <c r="G691" s="37" t="s">
        <v>1618</v>
      </c>
      <c r="H691" s="37" t="s">
        <v>60</v>
      </c>
      <c r="I691" s="39">
        <v>8800</v>
      </c>
      <c r="J691" s="39">
        <v>7155</v>
      </c>
      <c r="K691" s="43">
        <f t="shared" si="31"/>
        <v>2.5000000000000001E-2</v>
      </c>
      <c r="L691" s="37" t="s">
        <v>2376</v>
      </c>
      <c r="M691" s="40">
        <v>45559</v>
      </c>
      <c r="N691" s="33" t="s">
        <v>57</v>
      </c>
      <c r="O691" s="41">
        <v>352000</v>
      </c>
      <c r="P691" s="34">
        <f t="shared" si="32"/>
        <v>1073.25</v>
      </c>
      <c r="Q691" s="36">
        <f t="shared" si="30"/>
        <v>71.55</v>
      </c>
      <c r="R691" s="35">
        <v>500</v>
      </c>
    </row>
    <row r="692" spans="1:18" x14ac:dyDescent="0.25">
      <c r="A692" s="37" t="s">
        <v>829</v>
      </c>
      <c r="B692" s="37"/>
      <c r="C692" s="37" t="s">
        <v>78</v>
      </c>
      <c r="D692" s="37" t="s">
        <v>2582</v>
      </c>
      <c r="E692" s="38">
        <v>45559</v>
      </c>
      <c r="F692" s="38">
        <v>45924</v>
      </c>
      <c r="G692" s="37" t="s">
        <v>1619</v>
      </c>
      <c r="H692" s="37" t="s">
        <v>60</v>
      </c>
      <c r="I692" s="39">
        <v>8800</v>
      </c>
      <c r="J692" s="39">
        <v>7155</v>
      </c>
      <c r="K692" s="43">
        <f t="shared" si="31"/>
        <v>2.5000000000000001E-2</v>
      </c>
      <c r="L692" s="37" t="s">
        <v>2377</v>
      </c>
      <c r="M692" s="40">
        <v>45559</v>
      </c>
      <c r="N692" s="33" t="s">
        <v>57</v>
      </c>
      <c r="O692" s="41">
        <v>352000</v>
      </c>
      <c r="P692" s="34">
        <f t="shared" si="32"/>
        <v>1073.25</v>
      </c>
      <c r="Q692" s="36">
        <f t="shared" si="30"/>
        <v>71.55</v>
      </c>
      <c r="R692" s="35">
        <v>500</v>
      </c>
    </row>
    <row r="693" spans="1:18" x14ac:dyDescent="0.25">
      <c r="A693" s="37" t="s">
        <v>830</v>
      </c>
      <c r="B693" s="37"/>
      <c r="C693" s="37" t="s">
        <v>36</v>
      </c>
      <c r="D693" s="37" t="s">
        <v>36</v>
      </c>
      <c r="E693" s="38">
        <v>45559</v>
      </c>
      <c r="F693" s="38">
        <v>45924</v>
      </c>
      <c r="G693" s="37" t="s">
        <v>1620</v>
      </c>
      <c r="H693" s="37" t="s">
        <v>60</v>
      </c>
      <c r="I693" s="39">
        <v>14960</v>
      </c>
      <c r="J693" s="39">
        <v>12466</v>
      </c>
      <c r="K693" s="43">
        <f t="shared" si="31"/>
        <v>4.2500000000000003E-2</v>
      </c>
      <c r="L693" s="37" t="s">
        <v>2378</v>
      </c>
      <c r="M693" s="40">
        <v>45559</v>
      </c>
      <c r="N693" s="33" t="s">
        <v>57</v>
      </c>
      <c r="O693" s="41">
        <v>352000</v>
      </c>
      <c r="P693" s="34">
        <f t="shared" si="32"/>
        <v>1869.9</v>
      </c>
      <c r="Q693" s="36">
        <f t="shared" si="30"/>
        <v>124.66</v>
      </c>
      <c r="R693" s="35">
        <v>500</v>
      </c>
    </row>
    <row r="694" spans="1:18" x14ac:dyDescent="0.25">
      <c r="A694" s="37" t="s">
        <v>831</v>
      </c>
      <c r="B694" s="37"/>
      <c r="C694" s="37" t="s">
        <v>36</v>
      </c>
      <c r="D694" s="37" t="s">
        <v>36</v>
      </c>
      <c r="E694" s="38">
        <v>45925</v>
      </c>
      <c r="F694" s="38">
        <v>46290</v>
      </c>
      <c r="G694" s="37" t="s">
        <v>1620</v>
      </c>
      <c r="H694" s="37" t="s">
        <v>60</v>
      </c>
      <c r="I694" s="39">
        <v>14960</v>
      </c>
      <c r="J694" s="39">
        <v>12466</v>
      </c>
      <c r="K694" s="43">
        <f t="shared" si="31"/>
        <v>4.2500000000000003E-2</v>
      </c>
      <c r="L694" s="37" t="s">
        <v>2378</v>
      </c>
      <c r="M694" s="40">
        <v>45559</v>
      </c>
      <c r="N694" s="33" t="s">
        <v>57</v>
      </c>
      <c r="O694" s="41">
        <v>352000</v>
      </c>
      <c r="P694" s="34">
        <f t="shared" si="32"/>
        <v>1869.9</v>
      </c>
      <c r="Q694" s="36">
        <f t="shared" si="30"/>
        <v>124.66</v>
      </c>
      <c r="R694" s="35">
        <v>500</v>
      </c>
    </row>
    <row r="695" spans="1:18" x14ac:dyDescent="0.25">
      <c r="A695" s="37" t="s">
        <v>832</v>
      </c>
      <c r="B695" s="37"/>
      <c r="C695" s="37" t="s">
        <v>30</v>
      </c>
      <c r="D695" s="37" t="s">
        <v>36</v>
      </c>
      <c r="E695" s="38">
        <v>45559</v>
      </c>
      <c r="F695" s="38">
        <v>45924</v>
      </c>
      <c r="G695" s="37" t="s">
        <v>1621</v>
      </c>
      <c r="H695" s="37" t="s">
        <v>60</v>
      </c>
      <c r="I695" s="39">
        <v>14960</v>
      </c>
      <c r="J695" s="39">
        <v>12466</v>
      </c>
      <c r="K695" s="43">
        <f t="shared" si="31"/>
        <v>4.2500000000000003E-2</v>
      </c>
      <c r="L695" s="37" t="s">
        <v>2379</v>
      </c>
      <c r="M695" s="40">
        <v>45559</v>
      </c>
      <c r="N695" s="33" t="s">
        <v>57</v>
      </c>
      <c r="O695" s="41">
        <v>352000</v>
      </c>
      <c r="P695" s="34">
        <f t="shared" si="32"/>
        <v>1869.9</v>
      </c>
      <c r="Q695" s="36">
        <f t="shared" si="30"/>
        <v>124.66</v>
      </c>
      <c r="R695" s="35">
        <v>500</v>
      </c>
    </row>
    <row r="696" spans="1:18" x14ac:dyDescent="0.25">
      <c r="A696" s="37" t="s">
        <v>833</v>
      </c>
      <c r="B696" s="37"/>
      <c r="C696" s="37" t="s">
        <v>53</v>
      </c>
      <c r="D696" s="37" t="s">
        <v>2582</v>
      </c>
      <c r="E696" s="38">
        <v>45559</v>
      </c>
      <c r="F696" s="38">
        <v>45924</v>
      </c>
      <c r="G696" s="37" t="s">
        <v>1622</v>
      </c>
      <c r="H696" s="37" t="s">
        <v>60</v>
      </c>
      <c r="I696" s="39">
        <v>8800</v>
      </c>
      <c r="J696" s="39">
        <v>7155</v>
      </c>
      <c r="K696" s="43">
        <f t="shared" si="31"/>
        <v>2.5000000000000001E-2</v>
      </c>
      <c r="L696" s="37" t="s">
        <v>2380</v>
      </c>
      <c r="M696" s="40">
        <v>45559</v>
      </c>
      <c r="N696" s="33" t="s">
        <v>57</v>
      </c>
      <c r="O696" s="41">
        <v>352000</v>
      </c>
      <c r="P696" s="34">
        <f t="shared" si="32"/>
        <v>1073.25</v>
      </c>
      <c r="Q696" s="36">
        <f t="shared" si="30"/>
        <v>71.55</v>
      </c>
      <c r="R696" s="35">
        <v>500</v>
      </c>
    </row>
    <row r="697" spans="1:18" x14ac:dyDescent="0.25">
      <c r="A697" s="37" t="s">
        <v>834</v>
      </c>
      <c r="B697" s="37"/>
      <c r="C697" s="37" t="s">
        <v>36</v>
      </c>
      <c r="D697" s="37" t="s">
        <v>36</v>
      </c>
      <c r="E697" s="38">
        <v>45559</v>
      </c>
      <c r="F697" s="38">
        <v>45924</v>
      </c>
      <c r="G697" s="37" t="s">
        <v>1623</v>
      </c>
      <c r="H697" s="37" t="s">
        <v>60</v>
      </c>
      <c r="I697" s="39">
        <v>14960</v>
      </c>
      <c r="J697" s="39">
        <v>12466</v>
      </c>
      <c r="K697" s="43">
        <f t="shared" si="31"/>
        <v>4.2500000000000003E-2</v>
      </c>
      <c r="L697" s="37" t="s">
        <v>2381</v>
      </c>
      <c r="M697" s="40">
        <v>45559</v>
      </c>
      <c r="N697" s="33" t="s">
        <v>57</v>
      </c>
      <c r="O697" s="41">
        <v>352000</v>
      </c>
      <c r="P697" s="34">
        <f t="shared" si="32"/>
        <v>1869.9</v>
      </c>
      <c r="Q697" s="36">
        <f t="shared" si="30"/>
        <v>124.66</v>
      </c>
      <c r="R697" s="35">
        <v>500</v>
      </c>
    </row>
    <row r="698" spans="1:18" x14ac:dyDescent="0.25">
      <c r="A698" s="37" t="s">
        <v>835</v>
      </c>
      <c r="B698" s="37"/>
      <c r="C698" s="37" t="s">
        <v>36</v>
      </c>
      <c r="D698" s="37" t="s">
        <v>36</v>
      </c>
      <c r="E698" s="38">
        <v>45559</v>
      </c>
      <c r="F698" s="38">
        <v>45924</v>
      </c>
      <c r="G698" s="37" t="s">
        <v>1624</v>
      </c>
      <c r="H698" s="37" t="s">
        <v>137</v>
      </c>
      <c r="I698" s="39">
        <v>14960</v>
      </c>
      <c r="J698" s="39">
        <v>12466</v>
      </c>
      <c r="K698" s="43">
        <f t="shared" si="31"/>
        <v>4.2500000000000003E-2</v>
      </c>
      <c r="L698" s="37" t="s">
        <v>2382</v>
      </c>
      <c r="M698" s="40">
        <v>45559</v>
      </c>
      <c r="N698" s="33" t="s">
        <v>57</v>
      </c>
      <c r="O698" s="41">
        <v>352000</v>
      </c>
      <c r="P698" s="34">
        <f t="shared" si="32"/>
        <v>1869.9</v>
      </c>
      <c r="Q698" s="36">
        <f t="shared" si="30"/>
        <v>124.66</v>
      </c>
      <c r="R698" s="35">
        <v>500</v>
      </c>
    </row>
    <row r="699" spans="1:18" x14ac:dyDescent="0.25">
      <c r="A699" s="37" t="s">
        <v>836</v>
      </c>
      <c r="B699" s="37"/>
      <c r="C699" s="37" t="s">
        <v>36</v>
      </c>
      <c r="D699" s="37" t="s">
        <v>36</v>
      </c>
      <c r="E699" s="38">
        <v>45925</v>
      </c>
      <c r="F699" s="38">
        <v>46290</v>
      </c>
      <c r="G699" s="37" t="s">
        <v>1624</v>
      </c>
      <c r="H699" s="37" t="s">
        <v>137</v>
      </c>
      <c r="I699" s="39">
        <v>14960</v>
      </c>
      <c r="J699" s="39">
        <v>12466</v>
      </c>
      <c r="K699" s="43">
        <f t="shared" si="31"/>
        <v>4.2500000000000003E-2</v>
      </c>
      <c r="L699" s="37" t="s">
        <v>2382</v>
      </c>
      <c r="M699" s="40">
        <v>45559</v>
      </c>
      <c r="N699" s="33" t="s">
        <v>57</v>
      </c>
      <c r="O699" s="41">
        <v>352000</v>
      </c>
      <c r="P699" s="34">
        <f t="shared" si="32"/>
        <v>1869.9</v>
      </c>
      <c r="Q699" s="36">
        <f t="shared" si="30"/>
        <v>124.66</v>
      </c>
      <c r="R699" s="35">
        <v>500</v>
      </c>
    </row>
    <row r="700" spans="1:18" x14ac:dyDescent="0.25">
      <c r="A700" s="37" t="s">
        <v>837</v>
      </c>
      <c r="B700" s="37"/>
      <c r="C700" s="37" t="s">
        <v>30</v>
      </c>
      <c r="D700" s="37" t="s">
        <v>36</v>
      </c>
      <c r="E700" s="38">
        <v>45559</v>
      </c>
      <c r="F700" s="38">
        <v>45924</v>
      </c>
      <c r="G700" s="37" t="s">
        <v>1625</v>
      </c>
      <c r="H700" s="37" t="s">
        <v>60</v>
      </c>
      <c r="I700" s="39">
        <v>14960</v>
      </c>
      <c r="J700" s="39">
        <v>12466</v>
      </c>
      <c r="K700" s="43">
        <f t="shared" si="31"/>
        <v>4.2500000000000003E-2</v>
      </c>
      <c r="L700" s="37" t="s">
        <v>2383</v>
      </c>
      <c r="M700" s="40">
        <v>45559</v>
      </c>
      <c r="N700" s="33" t="s">
        <v>57</v>
      </c>
      <c r="O700" s="41">
        <v>352000</v>
      </c>
      <c r="P700" s="34">
        <f t="shared" si="32"/>
        <v>1869.9</v>
      </c>
      <c r="Q700" s="36">
        <f t="shared" si="30"/>
        <v>124.66</v>
      </c>
      <c r="R700" s="35">
        <v>500</v>
      </c>
    </row>
    <row r="701" spans="1:18" x14ac:dyDescent="0.25">
      <c r="A701" s="37" t="s">
        <v>838</v>
      </c>
      <c r="B701" s="37"/>
      <c r="C701" s="37" t="s">
        <v>30</v>
      </c>
      <c r="D701" s="37" t="s">
        <v>36</v>
      </c>
      <c r="E701" s="38">
        <v>45559</v>
      </c>
      <c r="F701" s="38">
        <v>45924</v>
      </c>
      <c r="G701" s="37" t="s">
        <v>1626</v>
      </c>
      <c r="H701" s="37" t="s">
        <v>60</v>
      </c>
      <c r="I701" s="39">
        <v>14960</v>
      </c>
      <c r="J701" s="39">
        <v>12466</v>
      </c>
      <c r="K701" s="43">
        <f t="shared" si="31"/>
        <v>4.2500000000000003E-2</v>
      </c>
      <c r="L701" s="37" t="s">
        <v>2384</v>
      </c>
      <c r="M701" s="40">
        <v>45559</v>
      </c>
      <c r="N701" s="33" t="s">
        <v>57</v>
      </c>
      <c r="O701" s="41">
        <v>352000</v>
      </c>
      <c r="P701" s="34">
        <f t="shared" si="32"/>
        <v>1869.9</v>
      </c>
      <c r="Q701" s="36">
        <f t="shared" si="30"/>
        <v>124.66</v>
      </c>
      <c r="R701" s="35">
        <v>500</v>
      </c>
    </row>
    <row r="702" spans="1:18" x14ac:dyDescent="0.25">
      <c r="A702" s="37" t="s">
        <v>839</v>
      </c>
      <c r="B702" s="37"/>
      <c r="C702" s="37" t="s">
        <v>30</v>
      </c>
      <c r="D702" s="37" t="s">
        <v>36</v>
      </c>
      <c r="E702" s="38">
        <v>45925</v>
      </c>
      <c r="F702" s="38">
        <v>46290</v>
      </c>
      <c r="G702" s="37" t="s">
        <v>1626</v>
      </c>
      <c r="H702" s="37" t="s">
        <v>60</v>
      </c>
      <c r="I702" s="39">
        <v>14960</v>
      </c>
      <c r="J702" s="39">
        <v>12466</v>
      </c>
      <c r="K702" s="43">
        <f t="shared" si="31"/>
        <v>4.2500000000000003E-2</v>
      </c>
      <c r="L702" s="37" t="s">
        <v>2384</v>
      </c>
      <c r="M702" s="40">
        <v>45559</v>
      </c>
      <c r="N702" s="33" t="s">
        <v>57</v>
      </c>
      <c r="O702" s="41">
        <v>352000</v>
      </c>
      <c r="P702" s="34">
        <f t="shared" si="32"/>
        <v>1869.9</v>
      </c>
      <c r="Q702" s="36">
        <f t="shared" si="30"/>
        <v>124.66</v>
      </c>
      <c r="R702" s="35">
        <v>500</v>
      </c>
    </row>
    <row r="703" spans="1:18" x14ac:dyDescent="0.25">
      <c r="A703" s="37" t="s">
        <v>840</v>
      </c>
      <c r="B703" s="37"/>
      <c r="C703" s="37" t="s">
        <v>51</v>
      </c>
      <c r="D703" s="37" t="s">
        <v>2582</v>
      </c>
      <c r="E703" s="38">
        <v>45560</v>
      </c>
      <c r="F703" s="38">
        <v>45925</v>
      </c>
      <c r="G703" s="37" t="s">
        <v>1627</v>
      </c>
      <c r="H703" s="37" t="s">
        <v>63</v>
      </c>
      <c r="I703" s="39">
        <v>12475</v>
      </c>
      <c r="J703" s="39">
        <v>10323</v>
      </c>
      <c r="K703" s="43">
        <f t="shared" si="31"/>
        <v>2.4999949899899999E-2</v>
      </c>
      <c r="L703" s="37" t="s">
        <v>2385</v>
      </c>
      <c r="M703" s="40">
        <v>45560</v>
      </c>
      <c r="N703" s="33" t="s">
        <v>57</v>
      </c>
      <c r="O703" s="41">
        <v>499001</v>
      </c>
      <c r="P703" s="34">
        <f t="shared" si="32"/>
        <v>1548.45</v>
      </c>
      <c r="Q703" s="36">
        <f t="shared" si="30"/>
        <v>103.23</v>
      </c>
      <c r="R703" s="35">
        <v>500</v>
      </c>
    </row>
    <row r="704" spans="1:18" x14ac:dyDescent="0.25">
      <c r="A704" s="37" t="s">
        <v>841</v>
      </c>
      <c r="B704" s="37"/>
      <c r="C704" s="37" t="s">
        <v>51</v>
      </c>
      <c r="D704" s="37" t="s">
        <v>2582</v>
      </c>
      <c r="E704" s="38">
        <v>45560</v>
      </c>
      <c r="F704" s="38">
        <v>45925</v>
      </c>
      <c r="G704" s="37" t="s">
        <v>1628</v>
      </c>
      <c r="H704" s="37" t="s">
        <v>60</v>
      </c>
      <c r="I704" s="39">
        <v>8800</v>
      </c>
      <c r="J704" s="39">
        <v>7155</v>
      </c>
      <c r="K704" s="43">
        <f t="shared" si="31"/>
        <v>2.4999928977474495E-2</v>
      </c>
      <c r="L704" s="37" t="s">
        <v>2386</v>
      </c>
      <c r="M704" s="40">
        <v>45560</v>
      </c>
      <c r="N704" s="33" t="s">
        <v>57</v>
      </c>
      <c r="O704" s="41">
        <v>352001</v>
      </c>
      <c r="P704" s="34">
        <f t="shared" si="32"/>
        <v>1073.25</v>
      </c>
      <c r="Q704" s="36">
        <f t="shared" si="30"/>
        <v>71.55</v>
      </c>
      <c r="R704" s="35">
        <v>500</v>
      </c>
    </row>
    <row r="705" spans="1:18" x14ac:dyDescent="0.25">
      <c r="A705" s="37" t="s">
        <v>842</v>
      </c>
      <c r="B705" s="37"/>
      <c r="C705" s="37" t="s">
        <v>51</v>
      </c>
      <c r="D705" s="37" t="s">
        <v>2582</v>
      </c>
      <c r="E705" s="38">
        <v>45560</v>
      </c>
      <c r="F705" s="38">
        <v>45925</v>
      </c>
      <c r="G705" s="37" t="s">
        <v>1629</v>
      </c>
      <c r="H705" s="37" t="s">
        <v>60</v>
      </c>
      <c r="I705" s="39">
        <v>8800</v>
      </c>
      <c r="J705" s="39">
        <v>7155</v>
      </c>
      <c r="K705" s="43">
        <f t="shared" si="31"/>
        <v>2.4999928977474495E-2</v>
      </c>
      <c r="L705" s="37" t="s">
        <v>2387</v>
      </c>
      <c r="M705" s="40">
        <v>45560</v>
      </c>
      <c r="N705" s="33" t="s">
        <v>57</v>
      </c>
      <c r="O705" s="41">
        <v>352001</v>
      </c>
      <c r="P705" s="34">
        <f t="shared" si="32"/>
        <v>1073.25</v>
      </c>
      <c r="Q705" s="36">
        <f t="shared" si="30"/>
        <v>71.55</v>
      </c>
      <c r="R705" s="35">
        <v>500</v>
      </c>
    </row>
    <row r="706" spans="1:18" x14ac:dyDescent="0.25">
      <c r="A706" s="37" t="s">
        <v>843</v>
      </c>
      <c r="B706" s="37"/>
      <c r="C706" s="37" t="s">
        <v>51</v>
      </c>
      <c r="D706" s="37" t="s">
        <v>2582</v>
      </c>
      <c r="E706" s="38">
        <v>45560</v>
      </c>
      <c r="F706" s="38">
        <v>45925</v>
      </c>
      <c r="G706" s="37" t="s">
        <v>1630</v>
      </c>
      <c r="H706" s="37" t="s">
        <v>61</v>
      </c>
      <c r="I706" s="39">
        <v>9550</v>
      </c>
      <c r="J706" s="39">
        <v>7802</v>
      </c>
      <c r="K706" s="43">
        <f t="shared" si="31"/>
        <v>2.4999934555145143E-2</v>
      </c>
      <c r="L706" s="37" t="s">
        <v>2388</v>
      </c>
      <c r="M706" s="40">
        <v>45560</v>
      </c>
      <c r="N706" s="33" t="s">
        <v>57</v>
      </c>
      <c r="O706" s="41">
        <v>382001</v>
      </c>
      <c r="P706" s="34">
        <f t="shared" si="32"/>
        <v>1170.3</v>
      </c>
      <c r="Q706" s="36">
        <f t="shared" si="30"/>
        <v>78.02</v>
      </c>
      <c r="R706" s="35">
        <v>500</v>
      </c>
    </row>
    <row r="707" spans="1:18" x14ac:dyDescent="0.25">
      <c r="A707" s="37" t="s">
        <v>844</v>
      </c>
      <c r="B707" s="37"/>
      <c r="C707" s="37" t="s">
        <v>51</v>
      </c>
      <c r="D707" s="37" t="s">
        <v>2582</v>
      </c>
      <c r="E707" s="38">
        <v>45560</v>
      </c>
      <c r="F707" s="38">
        <v>45925</v>
      </c>
      <c r="G707" s="37" t="s">
        <v>1631</v>
      </c>
      <c r="H707" s="37" t="s">
        <v>61</v>
      </c>
      <c r="I707" s="39">
        <v>9550</v>
      </c>
      <c r="J707" s="39">
        <v>7802</v>
      </c>
      <c r="K707" s="43">
        <f t="shared" si="31"/>
        <v>2.4999934555145143E-2</v>
      </c>
      <c r="L707" s="37" t="s">
        <v>2389</v>
      </c>
      <c r="M707" s="40">
        <v>45560</v>
      </c>
      <c r="N707" s="33" t="s">
        <v>57</v>
      </c>
      <c r="O707" s="41">
        <v>382001</v>
      </c>
      <c r="P707" s="34">
        <f t="shared" si="32"/>
        <v>1170.3</v>
      </c>
      <c r="Q707" s="36">
        <f t="shared" ref="Q707:Q768" si="33">J707*1/100</f>
        <v>78.02</v>
      </c>
      <c r="R707" s="35">
        <v>500</v>
      </c>
    </row>
    <row r="708" spans="1:18" x14ac:dyDescent="0.25">
      <c r="A708" s="37" t="s">
        <v>845</v>
      </c>
      <c r="B708" s="37"/>
      <c r="C708" s="37" t="s">
        <v>35</v>
      </c>
      <c r="D708" s="37" t="s">
        <v>36</v>
      </c>
      <c r="E708" s="38">
        <v>45560</v>
      </c>
      <c r="F708" s="38">
        <v>45925</v>
      </c>
      <c r="G708" s="37" t="s">
        <v>1632</v>
      </c>
      <c r="H708" s="37" t="s">
        <v>63</v>
      </c>
      <c r="I708" s="39">
        <v>21208</v>
      </c>
      <c r="J708" s="39">
        <v>17852</v>
      </c>
      <c r="K708" s="43">
        <f t="shared" ref="K708:K771" si="34">I708/O708</f>
        <v>4.2501002004008019E-2</v>
      </c>
      <c r="L708" s="37" t="s">
        <v>2390</v>
      </c>
      <c r="M708" s="40">
        <v>45560</v>
      </c>
      <c r="N708" s="33" t="s">
        <v>57</v>
      </c>
      <c r="O708" s="41">
        <v>499000</v>
      </c>
      <c r="P708" s="34">
        <f t="shared" ref="P708:P771" si="35">J708*15/100</f>
        <v>2677.8</v>
      </c>
      <c r="Q708" s="36">
        <f t="shared" si="33"/>
        <v>178.52</v>
      </c>
      <c r="R708" s="35">
        <v>500</v>
      </c>
    </row>
    <row r="709" spans="1:18" x14ac:dyDescent="0.25">
      <c r="A709" s="37" t="s">
        <v>846</v>
      </c>
      <c r="B709" s="37"/>
      <c r="C709" s="37" t="s">
        <v>35</v>
      </c>
      <c r="D709" s="37" t="s">
        <v>36</v>
      </c>
      <c r="E709" s="38">
        <v>45926</v>
      </c>
      <c r="F709" s="38">
        <v>46291</v>
      </c>
      <c r="G709" s="37" t="s">
        <v>1632</v>
      </c>
      <c r="H709" s="37" t="s">
        <v>63</v>
      </c>
      <c r="I709" s="39">
        <v>21208</v>
      </c>
      <c r="J709" s="39">
        <v>17852</v>
      </c>
      <c r="K709" s="43">
        <f t="shared" si="34"/>
        <v>4.2501002004008019E-2</v>
      </c>
      <c r="L709" s="37" t="s">
        <v>2390</v>
      </c>
      <c r="M709" s="40">
        <v>45560</v>
      </c>
      <c r="N709" s="33" t="s">
        <v>57</v>
      </c>
      <c r="O709" s="41">
        <v>499000</v>
      </c>
      <c r="P709" s="34">
        <f t="shared" si="35"/>
        <v>2677.8</v>
      </c>
      <c r="Q709" s="36">
        <f t="shared" si="33"/>
        <v>178.52</v>
      </c>
      <c r="R709" s="35">
        <v>500</v>
      </c>
    </row>
    <row r="710" spans="1:18" x14ac:dyDescent="0.25">
      <c r="A710" s="37" t="s">
        <v>847</v>
      </c>
      <c r="B710" s="37"/>
      <c r="C710" s="37" t="s">
        <v>35</v>
      </c>
      <c r="D710" s="37" t="s">
        <v>36</v>
      </c>
      <c r="E710" s="38">
        <v>45560</v>
      </c>
      <c r="F710" s="38">
        <v>45925</v>
      </c>
      <c r="G710" s="37" t="s">
        <v>1633</v>
      </c>
      <c r="H710" s="37" t="s">
        <v>60</v>
      </c>
      <c r="I710" s="39">
        <v>14960</v>
      </c>
      <c r="J710" s="39">
        <v>12466</v>
      </c>
      <c r="K710" s="43">
        <f t="shared" si="34"/>
        <v>4.2500000000000003E-2</v>
      </c>
      <c r="L710" s="37" t="s">
        <v>2391</v>
      </c>
      <c r="M710" s="40">
        <v>45560</v>
      </c>
      <c r="N710" s="33" t="s">
        <v>57</v>
      </c>
      <c r="O710" s="41">
        <v>352000</v>
      </c>
      <c r="P710" s="34">
        <f t="shared" si="35"/>
        <v>1869.9</v>
      </c>
      <c r="Q710" s="36">
        <f t="shared" si="33"/>
        <v>124.66</v>
      </c>
      <c r="R710" s="35">
        <v>500</v>
      </c>
    </row>
    <row r="711" spans="1:18" x14ac:dyDescent="0.25">
      <c r="A711" s="37" t="s">
        <v>848</v>
      </c>
      <c r="B711" s="37"/>
      <c r="C711" s="37" t="s">
        <v>35</v>
      </c>
      <c r="D711" s="37" t="s">
        <v>36</v>
      </c>
      <c r="E711" s="38">
        <v>45560</v>
      </c>
      <c r="F711" s="38">
        <v>45925</v>
      </c>
      <c r="G711" s="37" t="s">
        <v>1634</v>
      </c>
      <c r="H711" s="37" t="s">
        <v>63</v>
      </c>
      <c r="I711" s="39">
        <v>21208</v>
      </c>
      <c r="J711" s="39">
        <v>17852</v>
      </c>
      <c r="K711" s="43">
        <f t="shared" si="34"/>
        <v>4.2501002004008019E-2</v>
      </c>
      <c r="L711" s="37" t="s">
        <v>2392</v>
      </c>
      <c r="M711" s="40">
        <v>45560</v>
      </c>
      <c r="N711" s="33" t="s">
        <v>57</v>
      </c>
      <c r="O711" s="41">
        <v>499000</v>
      </c>
      <c r="P711" s="34">
        <f t="shared" si="35"/>
        <v>2677.8</v>
      </c>
      <c r="Q711" s="36">
        <f t="shared" si="33"/>
        <v>178.52</v>
      </c>
      <c r="R711" s="35">
        <v>500</v>
      </c>
    </row>
    <row r="712" spans="1:18" x14ac:dyDescent="0.25">
      <c r="A712" s="37" t="s">
        <v>849</v>
      </c>
      <c r="B712" s="37"/>
      <c r="C712" s="37" t="s">
        <v>35</v>
      </c>
      <c r="D712" s="37" t="s">
        <v>36</v>
      </c>
      <c r="E712" s="38">
        <v>45926</v>
      </c>
      <c r="F712" s="38">
        <v>46291</v>
      </c>
      <c r="G712" s="37" t="s">
        <v>1634</v>
      </c>
      <c r="H712" s="37" t="s">
        <v>63</v>
      </c>
      <c r="I712" s="39">
        <v>21208</v>
      </c>
      <c r="J712" s="39">
        <v>17852</v>
      </c>
      <c r="K712" s="43">
        <f t="shared" si="34"/>
        <v>4.2501002004008019E-2</v>
      </c>
      <c r="L712" s="37" t="s">
        <v>2392</v>
      </c>
      <c r="M712" s="40">
        <v>45560</v>
      </c>
      <c r="N712" s="33" t="s">
        <v>57</v>
      </c>
      <c r="O712" s="41">
        <v>499000</v>
      </c>
      <c r="P712" s="34">
        <f t="shared" si="35"/>
        <v>2677.8</v>
      </c>
      <c r="Q712" s="36">
        <f t="shared" si="33"/>
        <v>178.52</v>
      </c>
      <c r="R712" s="35">
        <v>500</v>
      </c>
    </row>
    <row r="713" spans="1:18" x14ac:dyDescent="0.25">
      <c r="A713" s="37" t="s">
        <v>850</v>
      </c>
      <c r="B713" s="37"/>
      <c r="C713" s="37" t="s">
        <v>35</v>
      </c>
      <c r="D713" s="37" t="s">
        <v>36</v>
      </c>
      <c r="E713" s="38">
        <v>45560</v>
      </c>
      <c r="F713" s="38">
        <v>45925</v>
      </c>
      <c r="G713" s="37" t="s">
        <v>136</v>
      </c>
      <c r="H713" s="37" t="s">
        <v>60</v>
      </c>
      <c r="I713" s="39">
        <v>14960</v>
      </c>
      <c r="J713" s="39">
        <v>12466</v>
      </c>
      <c r="K713" s="43">
        <f t="shared" si="34"/>
        <v>4.2500000000000003E-2</v>
      </c>
      <c r="L713" s="37" t="s">
        <v>2393</v>
      </c>
      <c r="M713" s="40">
        <v>45560</v>
      </c>
      <c r="N713" s="33" t="s">
        <v>57</v>
      </c>
      <c r="O713" s="41">
        <v>352000</v>
      </c>
      <c r="P713" s="34">
        <f t="shared" si="35"/>
        <v>1869.9</v>
      </c>
      <c r="Q713" s="36">
        <f t="shared" si="33"/>
        <v>124.66</v>
      </c>
      <c r="R713" s="35">
        <v>500</v>
      </c>
    </row>
    <row r="714" spans="1:18" x14ac:dyDescent="0.25">
      <c r="A714" s="37" t="s">
        <v>851</v>
      </c>
      <c r="B714" s="37"/>
      <c r="C714" s="37" t="s">
        <v>35</v>
      </c>
      <c r="D714" s="37" t="s">
        <v>36</v>
      </c>
      <c r="E714" s="38">
        <v>45926</v>
      </c>
      <c r="F714" s="38">
        <v>46291</v>
      </c>
      <c r="G714" s="37" t="s">
        <v>136</v>
      </c>
      <c r="H714" s="37" t="s">
        <v>60</v>
      </c>
      <c r="I714" s="39">
        <v>14960</v>
      </c>
      <c r="J714" s="39">
        <v>12466</v>
      </c>
      <c r="K714" s="43">
        <f t="shared" si="34"/>
        <v>4.2500000000000003E-2</v>
      </c>
      <c r="L714" s="37" t="s">
        <v>2393</v>
      </c>
      <c r="M714" s="40">
        <v>45560</v>
      </c>
      <c r="N714" s="33" t="s">
        <v>57</v>
      </c>
      <c r="O714" s="41">
        <v>352000</v>
      </c>
      <c r="P714" s="34">
        <f t="shared" si="35"/>
        <v>1869.9</v>
      </c>
      <c r="Q714" s="36">
        <f t="shared" si="33"/>
        <v>124.66</v>
      </c>
      <c r="R714" s="35">
        <v>500</v>
      </c>
    </row>
    <row r="715" spans="1:18" x14ac:dyDescent="0.25">
      <c r="A715" s="37" t="s">
        <v>852</v>
      </c>
      <c r="B715" s="37"/>
      <c r="C715" s="37" t="s">
        <v>31</v>
      </c>
      <c r="D715" s="37" t="s">
        <v>36</v>
      </c>
      <c r="E715" s="38">
        <v>45560</v>
      </c>
      <c r="F715" s="38">
        <v>45925</v>
      </c>
      <c r="G715" s="37" t="s">
        <v>1635</v>
      </c>
      <c r="H715" s="37" t="s">
        <v>60</v>
      </c>
      <c r="I715" s="39">
        <v>14960</v>
      </c>
      <c r="J715" s="39">
        <v>12466</v>
      </c>
      <c r="K715" s="43">
        <f t="shared" si="34"/>
        <v>4.2500000000000003E-2</v>
      </c>
      <c r="L715" s="37" t="s">
        <v>2394</v>
      </c>
      <c r="M715" s="40">
        <v>45560</v>
      </c>
      <c r="N715" s="33" t="s">
        <v>57</v>
      </c>
      <c r="O715" s="41">
        <v>352000</v>
      </c>
      <c r="P715" s="34">
        <f t="shared" si="35"/>
        <v>1869.9</v>
      </c>
      <c r="Q715" s="36">
        <f t="shared" si="33"/>
        <v>124.66</v>
      </c>
      <c r="R715" s="35">
        <v>500</v>
      </c>
    </row>
    <row r="716" spans="1:18" x14ac:dyDescent="0.25">
      <c r="A716" s="37" t="s">
        <v>853</v>
      </c>
      <c r="B716" s="37"/>
      <c r="C716" s="37" t="s">
        <v>31</v>
      </c>
      <c r="D716" s="37" t="s">
        <v>36</v>
      </c>
      <c r="E716" s="38">
        <v>45926</v>
      </c>
      <c r="F716" s="38">
        <v>46291</v>
      </c>
      <c r="G716" s="37" t="s">
        <v>1635</v>
      </c>
      <c r="H716" s="37" t="s">
        <v>60</v>
      </c>
      <c r="I716" s="39">
        <v>14960</v>
      </c>
      <c r="J716" s="39">
        <v>12466</v>
      </c>
      <c r="K716" s="43">
        <f t="shared" si="34"/>
        <v>4.2500000000000003E-2</v>
      </c>
      <c r="L716" s="37" t="s">
        <v>2394</v>
      </c>
      <c r="M716" s="40">
        <v>45560</v>
      </c>
      <c r="N716" s="33" t="s">
        <v>57</v>
      </c>
      <c r="O716" s="41">
        <v>352000</v>
      </c>
      <c r="P716" s="34">
        <f t="shared" si="35"/>
        <v>1869.9</v>
      </c>
      <c r="Q716" s="36">
        <f t="shared" si="33"/>
        <v>124.66</v>
      </c>
      <c r="R716" s="35">
        <v>500</v>
      </c>
    </row>
    <row r="717" spans="1:18" x14ac:dyDescent="0.25">
      <c r="A717" s="37" t="s">
        <v>854</v>
      </c>
      <c r="B717" s="37"/>
      <c r="C717" s="37" t="s">
        <v>31</v>
      </c>
      <c r="D717" s="37" t="s">
        <v>36</v>
      </c>
      <c r="E717" s="38">
        <v>45560</v>
      </c>
      <c r="F717" s="38">
        <v>45925</v>
      </c>
      <c r="G717" s="37" t="s">
        <v>1636</v>
      </c>
      <c r="H717" s="37" t="s">
        <v>60</v>
      </c>
      <c r="I717" s="39">
        <v>14960</v>
      </c>
      <c r="J717" s="39">
        <v>12466</v>
      </c>
      <c r="K717" s="43">
        <f t="shared" si="34"/>
        <v>4.2500000000000003E-2</v>
      </c>
      <c r="L717" s="37" t="s">
        <v>2395</v>
      </c>
      <c r="M717" s="40">
        <v>45560</v>
      </c>
      <c r="N717" s="33" t="s">
        <v>57</v>
      </c>
      <c r="O717" s="41">
        <v>352000</v>
      </c>
      <c r="P717" s="34">
        <f t="shared" si="35"/>
        <v>1869.9</v>
      </c>
      <c r="Q717" s="36">
        <f t="shared" si="33"/>
        <v>124.66</v>
      </c>
      <c r="R717" s="35">
        <v>500</v>
      </c>
    </row>
    <row r="718" spans="1:18" x14ac:dyDescent="0.25">
      <c r="A718" s="37" t="s">
        <v>855</v>
      </c>
      <c r="B718" s="37"/>
      <c r="C718" s="37" t="s">
        <v>31</v>
      </c>
      <c r="D718" s="37" t="s">
        <v>36</v>
      </c>
      <c r="E718" s="38">
        <v>45926</v>
      </c>
      <c r="F718" s="38">
        <v>46291</v>
      </c>
      <c r="G718" s="37" t="s">
        <v>1636</v>
      </c>
      <c r="H718" s="37" t="s">
        <v>60</v>
      </c>
      <c r="I718" s="39">
        <v>14960</v>
      </c>
      <c r="J718" s="39">
        <v>12466</v>
      </c>
      <c r="K718" s="43">
        <f t="shared" si="34"/>
        <v>4.2500000000000003E-2</v>
      </c>
      <c r="L718" s="37" t="s">
        <v>2395</v>
      </c>
      <c r="M718" s="40">
        <v>45560</v>
      </c>
      <c r="N718" s="33" t="s">
        <v>57</v>
      </c>
      <c r="O718" s="41">
        <v>352000</v>
      </c>
      <c r="P718" s="34">
        <f t="shared" si="35"/>
        <v>1869.9</v>
      </c>
      <c r="Q718" s="36">
        <f t="shared" si="33"/>
        <v>124.66</v>
      </c>
      <c r="R718" s="35">
        <v>500</v>
      </c>
    </row>
    <row r="719" spans="1:18" x14ac:dyDescent="0.25">
      <c r="A719" s="37" t="s">
        <v>856</v>
      </c>
      <c r="B719" s="37"/>
      <c r="C719" s="37" t="s">
        <v>31</v>
      </c>
      <c r="D719" s="37" t="s">
        <v>36</v>
      </c>
      <c r="E719" s="38">
        <v>45560</v>
      </c>
      <c r="F719" s="38">
        <v>45925</v>
      </c>
      <c r="G719" s="37" t="s">
        <v>1637</v>
      </c>
      <c r="H719" s="37" t="s">
        <v>62</v>
      </c>
      <c r="I719" s="39">
        <v>23248</v>
      </c>
      <c r="J719" s="39">
        <v>19610</v>
      </c>
      <c r="K719" s="43">
        <f t="shared" si="34"/>
        <v>4.2500914076782449E-2</v>
      </c>
      <c r="L719" s="37" t="s">
        <v>2396</v>
      </c>
      <c r="M719" s="40">
        <v>45560</v>
      </c>
      <c r="N719" s="33" t="s">
        <v>57</v>
      </c>
      <c r="O719" s="41">
        <v>547000</v>
      </c>
      <c r="P719" s="34">
        <f t="shared" si="35"/>
        <v>2941.5</v>
      </c>
      <c r="Q719" s="36">
        <f t="shared" si="33"/>
        <v>196.1</v>
      </c>
      <c r="R719" s="35">
        <v>500</v>
      </c>
    </row>
    <row r="720" spans="1:18" x14ac:dyDescent="0.25">
      <c r="A720" s="37" t="s">
        <v>857</v>
      </c>
      <c r="B720" s="37"/>
      <c r="C720" s="37" t="s">
        <v>31</v>
      </c>
      <c r="D720" s="37" t="s">
        <v>36</v>
      </c>
      <c r="E720" s="38">
        <v>45560</v>
      </c>
      <c r="F720" s="38">
        <v>45925</v>
      </c>
      <c r="G720" s="37" t="s">
        <v>1638</v>
      </c>
      <c r="H720" s="37" t="s">
        <v>60</v>
      </c>
      <c r="I720" s="39">
        <v>14960</v>
      </c>
      <c r="J720" s="39">
        <v>12466</v>
      </c>
      <c r="K720" s="43">
        <f t="shared" si="34"/>
        <v>4.2500000000000003E-2</v>
      </c>
      <c r="L720" s="37" t="s">
        <v>2397</v>
      </c>
      <c r="M720" s="40">
        <v>45560</v>
      </c>
      <c r="N720" s="33" t="s">
        <v>57</v>
      </c>
      <c r="O720" s="41">
        <v>352000</v>
      </c>
      <c r="P720" s="34">
        <f t="shared" si="35"/>
        <v>1869.9</v>
      </c>
      <c r="Q720" s="36">
        <f t="shared" si="33"/>
        <v>124.66</v>
      </c>
      <c r="R720" s="35">
        <v>500</v>
      </c>
    </row>
    <row r="721" spans="1:18" x14ac:dyDescent="0.25">
      <c r="A721" s="37" t="s">
        <v>858</v>
      </c>
      <c r="B721" s="37"/>
      <c r="C721" s="37" t="s">
        <v>31</v>
      </c>
      <c r="D721" s="37" t="s">
        <v>36</v>
      </c>
      <c r="E721" s="38">
        <v>45926</v>
      </c>
      <c r="F721" s="38">
        <v>46291</v>
      </c>
      <c r="G721" s="37" t="s">
        <v>1638</v>
      </c>
      <c r="H721" s="37" t="s">
        <v>60</v>
      </c>
      <c r="I721" s="39">
        <v>14960</v>
      </c>
      <c r="J721" s="39">
        <v>12466</v>
      </c>
      <c r="K721" s="43">
        <f t="shared" si="34"/>
        <v>4.2500000000000003E-2</v>
      </c>
      <c r="L721" s="37" t="s">
        <v>2397</v>
      </c>
      <c r="M721" s="40">
        <v>45560</v>
      </c>
      <c r="N721" s="33" t="s">
        <v>57</v>
      </c>
      <c r="O721" s="41">
        <v>352000</v>
      </c>
      <c r="P721" s="34">
        <f t="shared" si="35"/>
        <v>1869.9</v>
      </c>
      <c r="Q721" s="36">
        <f t="shared" si="33"/>
        <v>124.66</v>
      </c>
      <c r="R721" s="35">
        <v>500</v>
      </c>
    </row>
    <row r="722" spans="1:18" x14ac:dyDescent="0.25">
      <c r="A722" s="37" t="s">
        <v>859</v>
      </c>
      <c r="B722" s="37"/>
      <c r="C722" s="37" t="s">
        <v>53</v>
      </c>
      <c r="D722" s="37" t="s">
        <v>2582</v>
      </c>
      <c r="E722" s="38">
        <v>45560</v>
      </c>
      <c r="F722" s="38">
        <v>45925</v>
      </c>
      <c r="G722" s="37" t="s">
        <v>74</v>
      </c>
      <c r="H722" s="37" t="s">
        <v>60</v>
      </c>
      <c r="I722" s="39">
        <v>8800</v>
      </c>
      <c r="J722" s="39">
        <v>7155</v>
      </c>
      <c r="K722" s="43">
        <f t="shared" si="34"/>
        <v>2.5000000000000001E-2</v>
      </c>
      <c r="L722" s="37" t="s">
        <v>2398</v>
      </c>
      <c r="M722" s="40">
        <v>45560</v>
      </c>
      <c r="N722" s="33" t="s">
        <v>57</v>
      </c>
      <c r="O722" s="41">
        <v>352000</v>
      </c>
      <c r="P722" s="34">
        <f t="shared" si="35"/>
        <v>1073.25</v>
      </c>
      <c r="Q722" s="36">
        <f t="shared" si="33"/>
        <v>71.55</v>
      </c>
      <c r="R722" s="35">
        <v>500</v>
      </c>
    </row>
    <row r="723" spans="1:18" x14ac:dyDescent="0.25">
      <c r="A723" s="37" t="s">
        <v>860</v>
      </c>
      <c r="B723" s="37"/>
      <c r="C723" s="37" t="s">
        <v>35</v>
      </c>
      <c r="D723" s="37" t="s">
        <v>36</v>
      </c>
      <c r="E723" s="38">
        <v>45560</v>
      </c>
      <c r="F723" s="38">
        <v>45925</v>
      </c>
      <c r="G723" s="37" t="s">
        <v>1639</v>
      </c>
      <c r="H723" s="37" t="s">
        <v>60</v>
      </c>
      <c r="I723" s="39">
        <v>14960</v>
      </c>
      <c r="J723" s="39">
        <v>12466</v>
      </c>
      <c r="K723" s="43">
        <f t="shared" si="34"/>
        <v>4.2500000000000003E-2</v>
      </c>
      <c r="L723" s="37" t="s">
        <v>2399</v>
      </c>
      <c r="M723" s="40">
        <v>45560</v>
      </c>
      <c r="N723" s="33" t="s">
        <v>57</v>
      </c>
      <c r="O723" s="41">
        <v>352000</v>
      </c>
      <c r="P723" s="34">
        <f t="shared" si="35"/>
        <v>1869.9</v>
      </c>
      <c r="Q723" s="36">
        <f t="shared" si="33"/>
        <v>124.66</v>
      </c>
      <c r="R723" s="35">
        <v>500</v>
      </c>
    </row>
    <row r="724" spans="1:18" x14ac:dyDescent="0.25">
      <c r="A724" s="37" t="s">
        <v>861</v>
      </c>
      <c r="B724" s="37"/>
      <c r="C724" s="37" t="s">
        <v>39</v>
      </c>
      <c r="D724" s="37" t="s">
        <v>36</v>
      </c>
      <c r="E724" s="38">
        <v>45560</v>
      </c>
      <c r="F724" s="38">
        <v>45925</v>
      </c>
      <c r="G724" s="37" t="s">
        <v>1640</v>
      </c>
      <c r="H724" s="37" t="s">
        <v>60</v>
      </c>
      <c r="I724" s="39">
        <v>14960</v>
      </c>
      <c r="J724" s="39">
        <v>12466</v>
      </c>
      <c r="K724" s="43">
        <f t="shared" si="34"/>
        <v>4.2500000000000003E-2</v>
      </c>
      <c r="L724" s="37" t="s">
        <v>2400</v>
      </c>
      <c r="M724" s="40">
        <v>45560</v>
      </c>
      <c r="N724" s="33" t="s">
        <v>57</v>
      </c>
      <c r="O724" s="41">
        <v>352000</v>
      </c>
      <c r="P724" s="34">
        <f t="shared" si="35"/>
        <v>1869.9</v>
      </c>
      <c r="Q724" s="36">
        <f t="shared" si="33"/>
        <v>124.66</v>
      </c>
      <c r="R724" s="35">
        <v>500</v>
      </c>
    </row>
    <row r="725" spans="1:18" x14ac:dyDescent="0.25">
      <c r="A725" s="37" t="s">
        <v>862</v>
      </c>
      <c r="B725" s="37"/>
      <c r="C725" s="37" t="s">
        <v>65</v>
      </c>
      <c r="D725" s="37" t="s">
        <v>2582</v>
      </c>
      <c r="E725" s="38">
        <v>45560</v>
      </c>
      <c r="F725" s="38">
        <v>45925</v>
      </c>
      <c r="G725" s="37" t="s">
        <v>112</v>
      </c>
      <c r="H725" s="37" t="s">
        <v>61</v>
      </c>
      <c r="I725" s="39">
        <v>9550</v>
      </c>
      <c r="J725" s="39">
        <v>7802</v>
      </c>
      <c r="K725" s="43">
        <f t="shared" si="34"/>
        <v>2.5000000000000001E-2</v>
      </c>
      <c r="L725" s="37" t="s">
        <v>2401</v>
      </c>
      <c r="M725" s="40">
        <v>45560</v>
      </c>
      <c r="N725" s="33" t="s">
        <v>57</v>
      </c>
      <c r="O725" s="41">
        <v>382000</v>
      </c>
      <c r="P725" s="34">
        <f t="shared" si="35"/>
        <v>1170.3</v>
      </c>
      <c r="Q725" s="36">
        <f t="shared" si="33"/>
        <v>78.02</v>
      </c>
      <c r="R725" s="35">
        <v>500</v>
      </c>
    </row>
    <row r="726" spans="1:18" x14ac:dyDescent="0.25">
      <c r="A726" s="37" t="s">
        <v>863</v>
      </c>
      <c r="B726" s="37"/>
      <c r="C726" s="37" t="s">
        <v>34</v>
      </c>
      <c r="D726" s="37" t="s">
        <v>2582</v>
      </c>
      <c r="E726" s="38">
        <v>45560</v>
      </c>
      <c r="F726" s="38">
        <v>45925</v>
      </c>
      <c r="G726" s="37" t="s">
        <v>80</v>
      </c>
      <c r="H726" s="37" t="s">
        <v>63</v>
      </c>
      <c r="I726" s="39">
        <v>12475</v>
      </c>
      <c r="J726" s="39">
        <v>10323</v>
      </c>
      <c r="K726" s="43">
        <f t="shared" si="34"/>
        <v>2.5000000000000001E-2</v>
      </c>
      <c r="L726" s="37" t="s">
        <v>2402</v>
      </c>
      <c r="M726" s="40">
        <v>45560</v>
      </c>
      <c r="N726" s="33" t="s">
        <v>57</v>
      </c>
      <c r="O726" s="41">
        <v>499000</v>
      </c>
      <c r="P726" s="34">
        <f t="shared" si="35"/>
        <v>1548.45</v>
      </c>
      <c r="Q726" s="36">
        <f t="shared" si="33"/>
        <v>103.23</v>
      </c>
      <c r="R726" s="35">
        <v>500</v>
      </c>
    </row>
    <row r="727" spans="1:18" x14ac:dyDescent="0.25">
      <c r="A727" s="37" t="s">
        <v>864</v>
      </c>
      <c r="B727" s="37"/>
      <c r="C727" s="37" t="s">
        <v>34</v>
      </c>
      <c r="D727" s="37" t="s">
        <v>2582</v>
      </c>
      <c r="E727" s="38">
        <v>45560</v>
      </c>
      <c r="F727" s="38">
        <v>45925</v>
      </c>
      <c r="G727" s="37" t="s">
        <v>1641</v>
      </c>
      <c r="H727" s="37" t="s">
        <v>63</v>
      </c>
      <c r="I727" s="39">
        <v>12475</v>
      </c>
      <c r="J727" s="39">
        <v>10323</v>
      </c>
      <c r="K727" s="43">
        <f t="shared" si="34"/>
        <v>2.5000000000000001E-2</v>
      </c>
      <c r="L727" s="37" t="s">
        <v>2403</v>
      </c>
      <c r="M727" s="40">
        <v>45560</v>
      </c>
      <c r="N727" s="33" t="s">
        <v>57</v>
      </c>
      <c r="O727" s="41">
        <v>499000</v>
      </c>
      <c r="P727" s="34">
        <f t="shared" si="35"/>
        <v>1548.45</v>
      </c>
      <c r="Q727" s="36">
        <f t="shared" si="33"/>
        <v>103.23</v>
      </c>
      <c r="R727" s="35">
        <v>500</v>
      </c>
    </row>
    <row r="728" spans="1:18" x14ac:dyDescent="0.25">
      <c r="A728" s="37" t="s">
        <v>865</v>
      </c>
      <c r="B728" s="37"/>
      <c r="C728" s="37" t="s">
        <v>34</v>
      </c>
      <c r="D728" s="37" t="s">
        <v>2582</v>
      </c>
      <c r="E728" s="38">
        <v>45560</v>
      </c>
      <c r="F728" s="38">
        <v>45925</v>
      </c>
      <c r="G728" s="37" t="s">
        <v>1642</v>
      </c>
      <c r="H728" s="37" t="s">
        <v>60</v>
      </c>
      <c r="I728" s="39">
        <v>8800</v>
      </c>
      <c r="J728" s="39">
        <v>7155</v>
      </c>
      <c r="K728" s="43">
        <f t="shared" si="34"/>
        <v>2.5000000000000001E-2</v>
      </c>
      <c r="L728" s="37" t="s">
        <v>2404</v>
      </c>
      <c r="M728" s="40">
        <v>45560</v>
      </c>
      <c r="N728" s="33" t="s">
        <v>57</v>
      </c>
      <c r="O728" s="41">
        <v>352000</v>
      </c>
      <c r="P728" s="34">
        <f t="shared" si="35"/>
        <v>1073.25</v>
      </c>
      <c r="Q728" s="36">
        <f t="shared" si="33"/>
        <v>71.55</v>
      </c>
      <c r="R728" s="35">
        <v>500</v>
      </c>
    </row>
    <row r="729" spans="1:18" x14ac:dyDescent="0.25">
      <c r="A729" s="37" t="s">
        <v>866</v>
      </c>
      <c r="B729" s="37"/>
      <c r="C729" s="37" t="s">
        <v>34</v>
      </c>
      <c r="D729" s="37" t="s">
        <v>2582</v>
      </c>
      <c r="E729" s="38">
        <v>45560</v>
      </c>
      <c r="F729" s="38">
        <v>45925</v>
      </c>
      <c r="G729" s="37" t="s">
        <v>1643</v>
      </c>
      <c r="H729" s="37" t="s">
        <v>60</v>
      </c>
      <c r="I729" s="39">
        <v>8800</v>
      </c>
      <c r="J729" s="39">
        <v>7155</v>
      </c>
      <c r="K729" s="43">
        <f t="shared" si="34"/>
        <v>2.5000000000000001E-2</v>
      </c>
      <c r="L729" s="37" t="s">
        <v>2405</v>
      </c>
      <c r="M729" s="40">
        <v>45560</v>
      </c>
      <c r="N729" s="33" t="s">
        <v>57</v>
      </c>
      <c r="O729" s="41">
        <v>352000</v>
      </c>
      <c r="P729" s="34">
        <f t="shared" si="35"/>
        <v>1073.25</v>
      </c>
      <c r="Q729" s="36">
        <f t="shared" si="33"/>
        <v>71.55</v>
      </c>
      <c r="R729" s="35">
        <v>500</v>
      </c>
    </row>
    <row r="730" spans="1:18" x14ac:dyDescent="0.25">
      <c r="A730" s="37" t="s">
        <v>867</v>
      </c>
      <c r="B730" s="37"/>
      <c r="C730" s="37" t="s">
        <v>34</v>
      </c>
      <c r="D730" s="37" t="s">
        <v>2582</v>
      </c>
      <c r="E730" s="38">
        <v>45560</v>
      </c>
      <c r="F730" s="38">
        <v>45925</v>
      </c>
      <c r="G730" s="37" t="s">
        <v>1644</v>
      </c>
      <c r="H730" s="37" t="s">
        <v>60</v>
      </c>
      <c r="I730" s="39">
        <v>8800</v>
      </c>
      <c r="J730" s="39">
        <v>7155</v>
      </c>
      <c r="K730" s="43">
        <f t="shared" si="34"/>
        <v>2.5000000000000001E-2</v>
      </c>
      <c r="L730" s="37" t="s">
        <v>2406</v>
      </c>
      <c r="M730" s="40">
        <v>45560</v>
      </c>
      <c r="N730" s="33" t="s">
        <v>57</v>
      </c>
      <c r="O730" s="41">
        <v>352000</v>
      </c>
      <c r="P730" s="34">
        <f t="shared" si="35"/>
        <v>1073.25</v>
      </c>
      <c r="Q730" s="36">
        <f t="shared" si="33"/>
        <v>71.55</v>
      </c>
      <c r="R730" s="35">
        <v>500</v>
      </c>
    </row>
    <row r="731" spans="1:18" x14ac:dyDescent="0.25">
      <c r="A731" s="37" t="s">
        <v>868</v>
      </c>
      <c r="B731" s="37"/>
      <c r="C731" s="37" t="s">
        <v>34</v>
      </c>
      <c r="D731" s="37" t="s">
        <v>2582</v>
      </c>
      <c r="E731" s="38">
        <v>45560</v>
      </c>
      <c r="F731" s="38">
        <v>45925</v>
      </c>
      <c r="G731" s="37" t="s">
        <v>1523</v>
      </c>
      <c r="H731" s="37" t="s">
        <v>61</v>
      </c>
      <c r="I731" s="39">
        <v>9550</v>
      </c>
      <c r="J731" s="39">
        <v>7802</v>
      </c>
      <c r="K731" s="43">
        <f t="shared" si="34"/>
        <v>2.5000000000000001E-2</v>
      </c>
      <c r="L731" s="37" t="s">
        <v>2407</v>
      </c>
      <c r="M731" s="40">
        <v>45560</v>
      </c>
      <c r="N731" s="33" t="s">
        <v>57</v>
      </c>
      <c r="O731" s="41">
        <v>382000</v>
      </c>
      <c r="P731" s="34">
        <f t="shared" si="35"/>
        <v>1170.3</v>
      </c>
      <c r="Q731" s="36">
        <f t="shared" si="33"/>
        <v>78.02</v>
      </c>
      <c r="R731" s="35">
        <v>500</v>
      </c>
    </row>
    <row r="732" spans="1:18" x14ac:dyDescent="0.25">
      <c r="A732" s="37" t="s">
        <v>869</v>
      </c>
      <c r="B732" s="37"/>
      <c r="C732" s="37" t="s">
        <v>34</v>
      </c>
      <c r="D732" s="37" t="s">
        <v>2582</v>
      </c>
      <c r="E732" s="38">
        <v>45560</v>
      </c>
      <c r="F732" s="38">
        <v>45925</v>
      </c>
      <c r="G732" s="37" t="s">
        <v>1645</v>
      </c>
      <c r="H732" s="37" t="s">
        <v>60</v>
      </c>
      <c r="I732" s="39">
        <v>8800</v>
      </c>
      <c r="J732" s="39">
        <v>7155</v>
      </c>
      <c r="K732" s="43">
        <f t="shared" si="34"/>
        <v>2.5000000000000001E-2</v>
      </c>
      <c r="L732" s="37" t="s">
        <v>2408</v>
      </c>
      <c r="M732" s="40">
        <v>45560</v>
      </c>
      <c r="N732" s="33" t="s">
        <v>57</v>
      </c>
      <c r="O732" s="41">
        <v>352000</v>
      </c>
      <c r="P732" s="34">
        <f t="shared" si="35"/>
        <v>1073.25</v>
      </c>
      <c r="Q732" s="36">
        <f t="shared" si="33"/>
        <v>71.55</v>
      </c>
      <c r="R732" s="35">
        <v>500</v>
      </c>
    </row>
    <row r="733" spans="1:18" x14ac:dyDescent="0.25">
      <c r="A733" s="37" t="s">
        <v>870</v>
      </c>
      <c r="B733" s="37"/>
      <c r="C733" s="37" t="s">
        <v>34</v>
      </c>
      <c r="D733" s="37" t="s">
        <v>2582</v>
      </c>
      <c r="E733" s="38">
        <v>45560</v>
      </c>
      <c r="F733" s="38">
        <v>45925</v>
      </c>
      <c r="G733" s="37" t="s">
        <v>1646</v>
      </c>
      <c r="H733" s="37" t="s">
        <v>61</v>
      </c>
      <c r="I733" s="39">
        <v>9550</v>
      </c>
      <c r="J733" s="39">
        <v>7802</v>
      </c>
      <c r="K733" s="43">
        <f t="shared" si="34"/>
        <v>2.5000000000000001E-2</v>
      </c>
      <c r="L733" s="37" t="s">
        <v>2409</v>
      </c>
      <c r="M733" s="40">
        <v>45560</v>
      </c>
      <c r="N733" s="33" t="s">
        <v>57</v>
      </c>
      <c r="O733" s="41">
        <v>382000</v>
      </c>
      <c r="P733" s="34">
        <f t="shared" si="35"/>
        <v>1170.3</v>
      </c>
      <c r="Q733" s="36">
        <f t="shared" si="33"/>
        <v>78.02</v>
      </c>
      <c r="R733" s="35">
        <v>500</v>
      </c>
    </row>
    <row r="734" spans="1:18" x14ac:dyDescent="0.25">
      <c r="A734" s="37" t="s">
        <v>871</v>
      </c>
      <c r="B734" s="37"/>
      <c r="C734" s="37" t="s">
        <v>36</v>
      </c>
      <c r="D734" s="37" t="s">
        <v>36</v>
      </c>
      <c r="E734" s="38">
        <v>45560</v>
      </c>
      <c r="F734" s="38">
        <v>45925</v>
      </c>
      <c r="G734" s="37" t="s">
        <v>1647</v>
      </c>
      <c r="H734" s="37" t="s">
        <v>61</v>
      </c>
      <c r="I734" s="39">
        <v>16235</v>
      </c>
      <c r="J734" s="39">
        <v>13565</v>
      </c>
      <c r="K734" s="43">
        <f t="shared" si="34"/>
        <v>4.2500000000000003E-2</v>
      </c>
      <c r="L734" s="37" t="s">
        <v>2410</v>
      </c>
      <c r="M734" s="40">
        <v>45560</v>
      </c>
      <c r="N734" s="33" t="s">
        <v>57</v>
      </c>
      <c r="O734" s="41">
        <v>382000</v>
      </c>
      <c r="P734" s="34">
        <f t="shared" si="35"/>
        <v>2034.75</v>
      </c>
      <c r="Q734" s="36">
        <f t="shared" si="33"/>
        <v>135.65</v>
      </c>
      <c r="R734" s="35">
        <v>500</v>
      </c>
    </row>
    <row r="735" spans="1:18" x14ac:dyDescent="0.25">
      <c r="A735" s="37" t="s">
        <v>872</v>
      </c>
      <c r="B735" s="37"/>
      <c r="C735" s="37" t="s">
        <v>34</v>
      </c>
      <c r="D735" s="37" t="s">
        <v>2582</v>
      </c>
      <c r="E735" s="38">
        <v>45560</v>
      </c>
      <c r="F735" s="38">
        <v>45925</v>
      </c>
      <c r="G735" s="37" t="s">
        <v>1648</v>
      </c>
      <c r="H735" s="37" t="s">
        <v>61</v>
      </c>
      <c r="I735" s="39">
        <v>9550</v>
      </c>
      <c r="J735" s="39">
        <v>7802</v>
      </c>
      <c r="K735" s="43">
        <f t="shared" si="34"/>
        <v>2.5000000000000001E-2</v>
      </c>
      <c r="L735" s="37" t="s">
        <v>2411</v>
      </c>
      <c r="M735" s="40">
        <v>45560</v>
      </c>
      <c r="N735" s="33" t="s">
        <v>57</v>
      </c>
      <c r="O735" s="41">
        <v>382000</v>
      </c>
      <c r="P735" s="34">
        <f t="shared" si="35"/>
        <v>1170.3</v>
      </c>
      <c r="Q735" s="36">
        <f t="shared" si="33"/>
        <v>78.02</v>
      </c>
      <c r="R735" s="35">
        <v>500</v>
      </c>
    </row>
    <row r="736" spans="1:18" x14ac:dyDescent="0.25">
      <c r="A736" s="37" t="s">
        <v>873</v>
      </c>
      <c r="B736" s="37"/>
      <c r="C736" s="37" t="s">
        <v>35</v>
      </c>
      <c r="D736" s="37" t="s">
        <v>36</v>
      </c>
      <c r="E736" s="38">
        <v>45560</v>
      </c>
      <c r="F736" s="38">
        <v>45925</v>
      </c>
      <c r="G736" s="37" t="s">
        <v>1649</v>
      </c>
      <c r="H736" s="37" t="s">
        <v>60</v>
      </c>
      <c r="I736" s="39">
        <v>14960</v>
      </c>
      <c r="J736" s="39">
        <v>12466</v>
      </c>
      <c r="K736" s="43">
        <f t="shared" si="34"/>
        <v>4.2500000000000003E-2</v>
      </c>
      <c r="L736" s="37" t="s">
        <v>2412</v>
      </c>
      <c r="M736" s="40">
        <v>45560</v>
      </c>
      <c r="N736" s="33" t="s">
        <v>57</v>
      </c>
      <c r="O736" s="41">
        <v>352000</v>
      </c>
      <c r="P736" s="34">
        <f t="shared" si="35"/>
        <v>1869.9</v>
      </c>
      <c r="Q736" s="36">
        <f t="shared" si="33"/>
        <v>124.66</v>
      </c>
      <c r="R736" s="35">
        <v>500</v>
      </c>
    </row>
    <row r="737" spans="1:18" x14ac:dyDescent="0.25">
      <c r="A737" s="37" t="s">
        <v>874</v>
      </c>
      <c r="B737" s="37"/>
      <c r="C737" s="37" t="s">
        <v>35</v>
      </c>
      <c r="D737" s="37" t="s">
        <v>36</v>
      </c>
      <c r="E737" s="38">
        <v>45926</v>
      </c>
      <c r="F737" s="38">
        <v>46291</v>
      </c>
      <c r="G737" s="37" t="s">
        <v>1649</v>
      </c>
      <c r="H737" s="37" t="s">
        <v>60</v>
      </c>
      <c r="I737" s="39">
        <v>14960</v>
      </c>
      <c r="J737" s="39">
        <v>12466</v>
      </c>
      <c r="K737" s="43">
        <f t="shared" si="34"/>
        <v>4.2500000000000003E-2</v>
      </c>
      <c r="L737" s="37" t="s">
        <v>2412</v>
      </c>
      <c r="M737" s="40">
        <v>45560</v>
      </c>
      <c r="N737" s="33" t="s">
        <v>57</v>
      </c>
      <c r="O737" s="41">
        <v>352000</v>
      </c>
      <c r="P737" s="34">
        <f t="shared" si="35"/>
        <v>1869.9</v>
      </c>
      <c r="Q737" s="36">
        <f t="shared" si="33"/>
        <v>124.66</v>
      </c>
      <c r="R737" s="35">
        <v>500</v>
      </c>
    </row>
    <row r="738" spans="1:18" x14ac:dyDescent="0.25">
      <c r="A738" s="37" t="s">
        <v>875</v>
      </c>
      <c r="B738" s="37"/>
      <c r="C738" s="37" t="s">
        <v>34</v>
      </c>
      <c r="D738" s="37" t="s">
        <v>2582</v>
      </c>
      <c r="E738" s="38">
        <v>45560</v>
      </c>
      <c r="F738" s="38">
        <v>45925</v>
      </c>
      <c r="G738" s="37" t="s">
        <v>1650</v>
      </c>
      <c r="H738" s="37" t="s">
        <v>60</v>
      </c>
      <c r="I738" s="39">
        <v>8800</v>
      </c>
      <c r="J738" s="39">
        <v>7155</v>
      </c>
      <c r="K738" s="43">
        <f t="shared" si="34"/>
        <v>2.5000000000000001E-2</v>
      </c>
      <c r="L738" s="37" t="s">
        <v>2413</v>
      </c>
      <c r="M738" s="40">
        <v>45560</v>
      </c>
      <c r="N738" s="33" t="s">
        <v>57</v>
      </c>
      <c r="O738" s="41">
        <v>352000</v>
      </c>
      <c r="P738" s="34">
        <f t="shared" si="35"/>
        <v>1073.25</v>
      </c>
      <c r="Q738" s="36">
        <f t="shared" si="33"/>
        <v>71.55</v>
      </c>
      <c r="R738" s="35">
        <v>500</v>
      </c>
    </row>
    <row r="739" spans="1:18" x14ac:dyDescent="0.25">
      <c r="A739" s="37" t="s">
        <v>876</v>
      </c>
      <c r="B739" s="37"/>
      <c r="C739" s="37" t="s">
        <v>36</v>
      </c>
      <c r="D739" s="37" t="s">
        <v>36</v>
      </c>
      <c r="E739" s="38">
        <v>45560</v>
      </c>
      <c r="F739" s="38">
        <v>45925</v>
      </c>
      <c r="G739" s="37" t="s">
        <v>1651</v>
      </c>
      <c r="H739" s="37" t="s">
        <v>63</v>
      </c>
      <c r="I739" s="39">
        <v>21208</v>
      </c>
      <c r="J739" s="39">
        <v>17852</v>
      </c>
      <c r="K739" s="43">
        <f t="shared" si="34"/>
        <v>4.2501002004008019E-2</v>
      </c>
      <c r="L739" s="37" t="s">
        <v>2414</v>
      </c>
      <c r="M739" s="40">
        <v>45560</v>
      </c>
      <c r="N739" s="33" t="s">
        <v>57</v>
      </c>
      <c r="O739" s="41">
        <v>499000</v>
      </c>
      <c r="P739" s="34">
        <f t="shared" si="35"/>
        <v>2677.8</v>
      </c>
      <c r="Q739" s="36">
        <f t="shared" si="33"/>
        <v>178.52</v>
      </c>
      <c r="R739" s="35">
        <v>500</v>
      </c>
    </row>
    <row r="740" spans="1:18" x14ac:dyDescent="0.25">
      <c r="A740" s="37" t="s">
        <v>877</v>
      </c>
      <c r="B740" s="37"/>
      <c r="C740" s="37" t="s">
        <v>36</v>
      </c>
      <c r="D740" s="37" t="s">
        <v>36</v>
      </c>
      <c r="E740" s="38">
        <v>45926</v>
      </c>
      <c r="F740" s="38">
        <v>46291</v>
      </c>
      <c r="G740" s="37" t="s">
        <v>1651</v>
      </c>
      <c r="H740" s="37" t="s">
        <v>63</v>
      </c>
      <c r="I740" s="39">
        <v>21208</v>
      </c>
      <c r="J740" s="39">
        <v>17852</v>
      </c>
      <c r="K740" s="43">
        <f t="shared" si="34"/>
        <v>4.2501002004008019E-2</v>
      </c>
      <c r="L740" s="37" t="s">
        <v>2414</v>
      </c>
      <c r="M740" s="40">
        <v>45560</v>
      </c>
      <c r="N740" s="33" t="s">
        <v>57</v>
      </c>
      <c r="O740" s="41">
        <v>499000</v>
      </c>
      <c r="P740" s="34">
        <f t="shared" si="35"/>
        <v>2677.8</v>
      </c>
      <c r="Q740" s="36">
        <f t="shared" si="33"/>
        <v>178.52</v>
      </c>
      <c r="R740" s="35">
        <v>500</v>
      </c>
    </row>
    <row r="741" spans="1:18" x14ac:dyDescent="0.25">
      <c r="A741" s="37" t="s">
        <v>878</v>
      </c>
      <c r="B741" s="37"/>
      <c r="C741" s="37" t="s">
        <v>49</v>
      </c>
      <c r="D741" s="37" t="s">
        <v>2582</v>
      </c>
      <c r="E741" s="38">
        <v>45560</v>
      </c>
      <c r="F741" s="38">
        <v>45925</v>
      </c>
      <c r="G741" s="37" t="s">
        <v>1652</v>
      </c>
      <c r="H741" s="37" t="s">
        <v>62</v>
      </c>
      <c r="I741" s="39">
        <v>13675</v>
      </c>
      <c r="J741" s="39">
        <v>11358</v>
      </c>
      <c r="K741" s="43">
        <f t="shared" si="34"/>
        <v>2.5000000000000001E-2</v>
      </c>
      <c r="L741" s="37" t="s">
        <v>2415</v>
      </c>
      <c r="M741" s="40">
        <v>45560</v>
      </c>
      <c r="N741" s="33" t="s">
        <v>57</v>
      </c>
      <c r="O741" s="41">
        <v>547000</v>
      </c>
      <c r="P741" s="34">
        <f t="shared" si="35"/>
        <v>1703.7</v>
      </c>
      <c r="Q741" s="36">
        <f t="shared" si="33"/>
        <v>113.58</v>
      </c>
      <c r="R741" s="35">
        <v>500</v>
      </c>
    </row>
    <row r="742" spans="1:18" x14ac:dyDescent="0.25">
      <c r="A742" s="37" t="s">
        <v>879</v>
      </c>
      <c r="B742" s="37"/>
      <c r="C742" s="37" t="s">
        <v>31</v>
      </c>
      <c r="D742" s="37" t="s">
        <v>36</v>
      </c>
      <c r="E742" s="38">
        <v>45560</v>
      </c>
      <c r="F742" s="38">
        <v>45925</v>
      </c>
      <c r="G742" s="37" t="s">
        <v>1653</v>
      </c>
      <c r="H742" s="37" t="s">
        <v>60</v>
      </c>
      <c r="I742" s="39">
        <v>14960</v>
      </c>
      <c r="J742" s="39">
        <v>12466</v>
      </c>
      <c r="K742" s="43">
        <f t="shared" si="34"/>
        <v>4.2500000000000003E-2</v>
      </c>
      <c r="L742" s="37" t="s">
        <v>2416</v>
      </c>
      <c r="M742" s="40">
        <v>45560</v>
      </c>
      <c r="N742" s="33" t="s">
        <v>57</v>
      </c>
      <c r="O742" s="41">
        <v>352000</v>
      </c>
      <c r="P742" s="34">
        <f t="shared" si="35"/>
        <v>1869.9</v>
      </c>
      <c r="Q742" s="36">
        <f t="shared" si="33"/>
        <v>124.66</v>
      </c>
      <c r="R742" s="35">
        <v>500</v>
      </c>
    </row>
    <row r="743" spans="1:18" x14ac:dyDescent="0.25">
      <c r="A743" s="37" t="s">
        <v>880</v>
      </c>
      <c r="B743" s="37"/>
      <c r="C743" s="37" t="s">
        <v>39</v>
      </c>
      <c r="D743" s="37" t="s">
        <v>36</v>
      </c>
      <c r="E743" s="38">
        <v>45560</v>
      </c>
      <c r="F743" s="38">
        <v>45925</v>
      </c>
      <c r="G743" s="37" t="s">
        <v>1655</v>
      </c>
      <c r="H743" s="37" t="s">
        <v>60</v>
      </c>
      <c r="I743" s="39">
        <v>14960</v>
      </c>
      <c r="J743" s="39">
        <v>12466</v>
      </c>
      <c r="K743" s="43">
        <f t="shared" si="34"/>
        <v>4.2500000000000003E-2</v>
      </c>
      <c r="L743" s="37" t="s">
        <v>2418</v>
      </c>
      <c r="M743" s="40">
        <v>45560</v>
      </c>
      <c r="N743" s="33" t="s">
        <v>57</v>
      </c>
      <c r="O743" s="41">
        <v>352000</v>
      </c>
      <c r="P743" s="34">
        <f t="shared" si="35"/>
        <v>1869.9</v>
      </c>
      <c r="Q743" s="36">
        <f t="shared" si="33"/>
        <v>124.66</v>
      </c>
      <c r="R743" s="35">
        <v>500</v>
      </c>
    </row>
    <row r="744" spans="1:18" x14ac:dyDescent="0.25">
      <c r="A744" s="37" t="s">
        <v>881</v>
      </c>
      <c r="B744" s="37"/>
      <c r="C744" s="37" t="s">
        <v>39</v>
      </c>
      <c r="D744" s="37" t="s">
        <v>36</v>
      </c>
      <c r="E744" s="38">
        <v>45926</v>
      </c>
      <c r="F744" s="38">
        <v>46291</v>
      </c>
      <c r="G744" s="37" t="s">
        <v>1655</v>
      </c>
      <c r="H744" s="37" t="s">
        <v>60</v>
      </c>
      <c r="I744" s="39">
        <v>14960</v>
      </c>
      <c r="J744" s="39">
        <v>12466</v>
      </c>
      <c r="K744" s="43">
        <f t="shared" si="34"/>
        <v>4.2500000000000003E-2</v>
      </c>
      <c r="L744" s="37" t="s">
        <v>2418</v>
      </c>
      <c r="M744" s="40">
        <v>45560</v>
      </c>
      <c r="N744" s="33" t="s">
        <v>57</v>
      </c>
      <c r="O744" s="41">
        <v>352000</v>
      </c>
      <c r="P744" s="34">
        <f t="shared" si="35"/>
        <v>1869.9</v>
      </c>
      <c r="Q744" s="36">
        <f t="shared" si="33"/>
        <v>124.66</v>
      </c>
      <c r="R744" s="35">
        <v>500</v>
      </c>
    </row>
    <row r="745" spans="1:18" x14ac:dyDescent="0.25">
      <c r="A745" s="37" t="s">
        <v>882</v>
      </c>
      <c r="B745" s="37"/>
      <c r="C745" s="37" t="s">
        <v>39</v>
      </c>
      <c r="D745" s="37" t="s">
        <v>36</v>
      </c>
      <c r="E745" s="38">
        <v>45560</v>
      </c>
      <c r="F745" s="38">
        <v>45925</v>
      </c>
      <c r="G745" s="37" t="s">
        <v>1656</v>
      </c>
      <c r="H745" s="37" t="s">
        <v>60</v>
      </c>
      <c r="I745" s="39">
        <v>14960</v>
      </c>
      <c r="J745" s="39">
        <v>12466</v>
      </c>
      <c r="K745" s="43">
        <f t="shared" si="34"/>
        <v>4.2500000000000003E-2</v>
      </c>
      <c r="L745" s="37" t="s">
        <v>2419</v>
      </c>
      <c r="M745" s="40">
        <v>45560</v>
      </c>
      <c r="N745" s="33" t="s">
        <v>57</v>
      </c>
      <c r="O745" s="41">
        <v>352000</v>
      </c>
      <c r="P745" s="34">
        <f t="shared" si="35"/>
        <v>1869.9</v>
      </c>
      <c r="Q745" s="36">
        <f t="shared" si="33"/>
        <v>124.66</v>
      </c>
      <c r="R745" s="35">
        <v>500</v>
      </c>
    </row>
    <row r="746" spans="1:18" x14ac:dyDescent="0.25">
      <c r="A746" s="37" t="s">
        <v>883</v>
      </c>
      <c r="B746" s="37"/>
      <c r="C746" s="37" t="s">
        <v>39</v>
      </c>
      <c r="D746" s="37" t="s">
        <v>36</v>
      </c>
      <c r="E746" s="38">
        <v>45926</v>
      </c>
      <c r="F746" s="38">
        <v>46291</v>
      </c>
      <c r="G746" s="37" t="s">
        <v>1656</v>
      </c>
      <c r="H746" s="37" t="s">
        <v>60</v>
      </c>
      <c r="I746" s="39">
        <v>14960</v>
      </c>
      <c r="J746" s="39">
        <v>12466</v>
      </c>
      <c r="K746" s="43">
        <f t="shared" si="34"/>
        <v>4.2500000000000003E-2</v>
      </c>
      <c r="L746" s="37" t="s">
        <v>2419</v>
      </c>
      <c r="M746" s="40">
        <v>45560</v>
      </c>
      <c r="N746" s="33" t="s">
        <v>57</v>
      </c>
      <c r="O746" s="41">
        <v>352000</v>
      </c>
      <c r="P746" s="34">
        <f t="shared" si="35"/>
        <v>1869.9</v>
      </c>
      <c r="Q746" s="36">
        <f t="shared" si="33"/>
        <v>124.66</v>
      </c>
      <c r="R746" s="35">
        <v>500</v>
      </c>
    </row>
    <row r="747" spans="1:18" x14ac:dyDescent="0.25">
      <c r="A747" s="37" t="s">
        <v>884</v>
      </c>
      <c r="B747" s="37"/>
      <c r="C747" s="37" t="s">
        <v>39</v>
      </c>
      <c r="D747" s="37" t="s">
        <v>36</v>
      </c>
      <c r="E747" s="38">
        <v>45560</v>
      </c>
      <c r="F747" s="38">
        <v>45925</v>
      </c>
      <c r="G747" s="37" t="s">
        <v>1637</v>
      </c>
      <c r="H747" s="37" t="s">
        <v>60</v>
      </c>
      <c r="I747" s="39">
        <v>14960</v>
      </c>
      <c r="J747" s="39">
        <v>12466</v>
      </c>
      <c r="K747" s="43">
        <f t="shared" si="34"/>
        <v>4.2500000000000003E-2</v>
      </c>
      <c r="L747" s="37" t="s">
        <v>2420</v>
      </c>
      <c r="M747" s="40">
        <v>45560</v>
      </c>
      <c r="N747" s="33" t="s">
        <v>57</v>
      </c>
      <c r="O747" s="41">
        <v>352000</v>
      </c>
      <c r="P747" s="34">
        <f t="shared" si="35"/>
        <v>1869.9</v>
      </c>
      <c r="Q747" s="36">
        <f t="shared" si="33"/>
        <v>124.66</v>
      </c>
      <c r="R747" s="35">
        <v>500</v>
      </c>
    </row>
    <row r="748" spans="1:18" x14ac:dyDescent="0.25">
      <c r="A748" s="37" t="s">
        <v>885</v>
      </c>
      <c r="B748" s="37"/>
      <c r="C748" s="37" t="s">
        <v>39</v>
      </c>
      <c r="D748" s="37" t="s">
        <v>36</v>
      </c>
      <c r="E748" s="38">
        <v>45926</v>
      </c>
      <c r="F748" s="38">
        <v>46291</v>
      </c>
      <c r="G748" s="37" t="s">
        <v>1637</v>
      </c>
      <c r="H748" s="37" t="s">
        <v>60</v>
      </c>
      <c r="I748" s="39">
        <v>14960</v>
      </c>
      <c r="J748" s="39">
        <v>12466</v>
      </c>
      <c r="K748" s="43">
        <f t="shared" si="34"/>
        <v>4.2500000000000003E-2</v>
      </c>
      <c r="L748" s="37" t="s">
        <v>2420</v>
      </c>
      <c r="M748" s="40">
        <v>45560</v>
      </c>
      <c r="N748" s="33" t="s">
        <v>57</v>
      </c>
      <c r="O748" s="41">
        <v>352000</v>
      </c>
      <c r="P748" s="34">
        <f t="shared" si="35"/>
        <v>1869.9</v>
      </c>
      <c r="Q748" s="36">
        <f t="shared" si="33"/>
        <v>124.66</v>
      </c>
      <c r="R748" s="35">
        <v>500</v>
      </c>
    </row>
    <row r="749" spans="1:18" x14ac:dyDescent="0.25">
      <c r="A749" s="37" t="s">
        <v>886</v>
      </c>
      <c r="B749" s="37"/>
      <c r="C749" s="37" t="s">
        <v>52</v>
      </c>
      <c r="D749" s="37" t="s">
        <v>36</v>
      </c>
      <c r="E749" s="38">
        <v>45560</v>
      </c>
      <c r="F749" s="38">
        <v>45925</v>
      </c>
      <c r="G749" s="37" t="s">
        <v>1657</v>
      </c>
      <c r="H749" s="37" t="s">
        <v>60</v>
      </c>
      <c r="I749" s="39">
        <v>14960</v>
      </c>
      <c r="J749" s="39">
        <v>12466</v>
      </c>
      <c r="K749" s="43">
        <f t="shared" si="34"/>
        <v>4.2500000000000003E-2</v>
      </c>
      <c r="L749" s="37" t="s">
        <v>2421</v>
      </c>
      <c r="M749" s="40">
        <v>45560</v>
      </c>
      <c r="N749" s="33" t="s">
        <v>57</v>
      </c>
      <c r="O749" s="41">
        <v>352000</v>
      </c>
      <c r="P749" s="34">
        <f t="shared" si="35"/>
        <v>1869.9</v>
      </c>
      <c r="Q749" s="36">
        <f t="shared" si="33"/>
        <v>124.66</v>
      </c>
      <c r="R749" s="35">
        <v>500</v>
      </c>
    </row>
    <row r="750" spans="1:18" x14ac:dyDescent="0.25">
      <c r="A750" s="37" t="s">
        <v>887</v>
      </c>
      <c r="B750" s="37"/>
      <c r="C750" s="37" t="s">
        <v>52</v>
      </c>
      <c r="D750" s="37" t="s">
        <v>36</v>
      </c>
      <c r="E750" s="38">
        <v>45560</v>
      </c>
      <c r="F750" s="38">
        <v>45925</v>
      </c>
      <c r="G750" s="37" t="s">
        <v>1658</v>
      </c>
      <c r="H750" s="37" t="s">
        <v>60</v>
      </c>
      <c r="I750" s="39">
        <v>14960</v>
      </c>
      <c r="J750" s="39">
        <v>12466</v>
      </c>
      <c r="K750" s="43">
        <f t="shared" si="34"/>
        <v>4.2500000000000003E-2</v>
      </c>
      <c r="L750" s="37" t="s">
        <v>2422</v>
      </c>
      <c r="M750" s="40">
        <v>45560</v>
      </c>
      <c r="N750" s="33" t="s">
        <v>57</v>
      </c>
      <c r="O750" s="41">
        <v>352000</v>
      </c>
      <c r="P750" s="34">
        <f t="shared" si="35"/>
        <v>1869.9</v>
      </c>
      <c r="Q750" s="36">
        <f t="shared" si="33"/>
        <v>124.66</v>
      </c>
      <c r="R750" s="35">
        <v>500</v>
      </c>
    </row>
    <row r="751" spans="1:18" x14ac:dyDescent="0.25">
      <c r="A751" s="37" t="s">
        <v>888</v>
      </c>
      <c r="B751" s="37"/>
      <c r="C751" s="37" t="s">
        <v>70</v>
      </c>
      <c r="D751" s="37" t="s">
        <v>2582</v>
      </c>
      <c r="E751" s="38">
        <v>45561</v>
      </c>
      <c r="F751" s="38">
        <v>45926</v>
      </c>
      <c r="G751" s="37" t="s">
        <v>1659</v>
      </c>
      <c r="H751" s="37" t="s">
        <v>60</v>
      </c>
      <c r="I751" s="39">
        <v>8800</v>
      </c>
      <c r="J751" s="39">
        <v>7155</v>
      </c>
      <c r="K751" s="43">
        <f t="shared" si="34"/>
        <v>2.5000000000000001E-2</v>
      </c>
      <c r="L751" s="37" t="s">
        <v>2423</v>
      </c>
      <c r="M751" s="40">
        <v>45561</v>
      </c>
      <c r="N751" s="33" t="s">
        <v>57</v>
      </c>
      <c r="O751" s="41">
        <v>352000</v>
      </c>
      <c r="P751" s="34">
        <f t="shared" si="35"/>
        <v>1073.25</v>
      </c>
      <c r="Q751" s="36">
        <f t="shared" si="33"/>
        <v>71.55</v>
      </c>
      <c r="R751" s="35">
        <v>500</v>
      </c>
    </row>
    <row r="752" spans="1:18" x14ac:dyDescent="0.25">
      <c r="A752" s="37" t="s">
        <v>889</v>
      </c>
      <c r="B752" s="37"/>
      <c r="C752" s="37" t="s">
        <v>70</v>
      </c>
      <c r="D752" s="37" t="s">
        <v>2582</v>
      </c>
      <c r="E752" s="38">
        <v>45561</v>
      </c>
      <c r="F752" s="38">
        <v>45926</v>
      </c>
      <c r="G752" s="37" t="s">
        <v>1660</v>
      </c>
      <c r="H752" s="37" t="s">
        <v>60</v>
      </c>
      <c r="I752" s="39">
        <v>13675</v>
      </c>
      <c r="J752" s="39">
        <v>11358</v>
      </c>
      <c r="K752" s="43">
        <f t="shared" si="34"/>
        <v>2.5000000000000001E-2</v>
      </c>
      <c r="L752" s="37" t="s">
        <v>2424</v>
      </c>
      <c r="M752" s="40">
        <v>45561</v>
      </c>
      <c r="N752" s="33" t="s">
        <v>57</v>
      </c>
      <c r="O752" s="41">
        <v>547000</v>
      </c>
      <c r="P752" s="34">
        <f t="shared" si="35"/>
        <v>1703.7</v>
      </c>
      <c r="Q752" s="36">
        <f t="shared" si="33"/>
        <v>113.58</v>
      </c>
      <c r="R752" s="35">
        <v>500</v>
      </c>
    </row>
    <row r="753" spans="1:18" x14ac:dyDescent="0.25">
      <c r="A753" s="37" t="s">
        <v>890</v>
      </c>
      <c r="B753" s="37"/>
      <c r="C753" s="37" t="s">
        <v>35</v>
      </c>
      <c r="D753" s="37" t="s">
        <v>36</v>
      </c>
      <c r="E753" s="38">
        <v>45561</v>
      </c>
      <c r="F753" s="38">
        <v>45926</v>
      </c>
      <c r="G753" s="37" t="s">
        <v>1661</v>
      </c>
      <c r="H753" s="37" t="s">
        <v>61</v>
      </c>
      <c r="I753" s="39">
        <v>16235</v>
      </c>
      <c r="J753" s="39">
        <v>13565</v>
      </c>
      <c r="K753" s="43">
        <f t="shared" si="34"/>
        <v>4.2500000000000003E-2</v>
      </c>
      <c r="L753" s="37" t="s">
        <v>2425</v>
      </c>
      <c r="M753" s="40">
        <v>45561</v>
      </c>
      <c r="N753" s="33" t="s">
        <v>57</v>
      </c>
      <c r="O753" s="41">
        <v>382000</v>
      </c>
      <c r="P753" s="34">
        <f t="shared" si="35"/>
        <v>2034.75</v>
      </c>
      <c r="Q753" s="36">
        <f t="shared" si="33"/>
        <v>135.65</v>
      </c>
      <c r="R753" s="35">
        <v>500</v>
      </c>
    </row>
    <row r="754" spans="1:18" x14ac:dyDescent="0.25">
      <c r="A754" s="37" t="s">
        <v>891</v>
      </c>
      <c r="B754" s="37"/>
      <c r="C754" s="37" t="s">
        <v>35</v>
      </c>
      <c r="D754" s="37" t="s">
        <v>36</v>
      </c>
      <c r="E754" s="38">
        <v>45561</v>
      </c>
      <c r="F754" s="38">
        <v>45926</v>
      </c>
      <c r="G754" s="37" t="s">
        <v>1662</v>
      </c>
      <c r="H754" s="37" t="s">
        <v>63</v>
      </c>
      <c r="I754" s="39">
        <v>21208</v>
      </c>
      <c r="J754" s="39">
        <v>17852</v>
      </c>
      <c r="K754" s="43">
        <f t="shared" si="34"/>
        <v>4.2501002004008019E-2</v>
      </c>
      <c r="L754" s="37" t="s">
        <v>2426</v>
      </c>
      <c r="M754" s="40">
        <v>45561</v>
      </c>
      <c r="N754" s="33" t="s">
        <v>57</v>
      </c>
      <c r="O754" s="41">
        <v>499000</v>
      </c>
      <c r="P754" s="34">
        <f t="shared" si="35"/>
        <v>2677.8</v>
      </c>
      <c r="Q754" s="36">
        <f t="shared" si="33"/>
        <v>178.52</v>
      </c>
      <c r="R754" s="35">
        <v>500</v>
      </c>
    </row>
    <row r="755" spans="1:18" x14ac:dyDescent="0.25">
      <c r="A755" s="37" t="s">
        <v>892</v>
      </c>
      <c r="B755" s="37"/>
      <c r="C755" s="37" t="s">
        <v>35</v>
      </c>
      <c r="D755" s="37" t="s">
        <v>36</v>
      </c>
      <c r="E755" s="38">
        <v>45927</v>
      </c>
      <c r="F755" s="38">
        <v>46292</v>
      </c>
      <c r="G755" s="37" t="s">
        <v>1662</v>
      </c>
      <c r="H755" s="37" t="s">
        <v>63</v>
      </c>
      <c r="I755" s="39">
        <v>21208</v>
      </c>
      <c r="J755" s="39">
        <v>17852</v>
      </c>
      <c r="K755" s="43">
        <f t="shared" si="34"/>
        <v>4.2501002004008019E-2</v>
      </c>
      <c r="L755" s="37" t="s">
        <v>2426</v>
      </c>
      <c r="M755" s="40">
        <v>45561</v>
      </c>
      <c r="N755" s="33" t="s">
        <v>57</v>
      </c>
      <c r="O755" s="41">
        <v>499000</v>
      </c>
      <c r="P755" s="34">
        <f t="shared" si="35"/>
        <v>2677.8</v>
      </c>
      <c r="Q755" s="36">
        <f t="shared" si="33"/>
        <v>178.52</v>
      </c>
      <c r="R755" s="35">
        <v>500</v>
      </c>
    </row>
    <row r="756" spans="1:18" x14ac:dyDescent="0.25">
      <c r="A756" s="37" t="s">
        <v>893</v>
      </c>
      <c r="B756" s="37"/>
      <c r="C756" s="37" t="s">
        <v>31</v>
      </c>
      <c r="D756" s="37" t="s">
        <v>36</v>
      </c>
      <c r="E756" s="38">
        <v>45561</v>
      </c>
      <c r="F756" s="38">
        <v>45926</v>
      </c>
      <c r="G756" s="37" t="s">
        <v>1663</v>
      </c>
      <c r="H756" s="37" t="s">
        <v>60</v>
      </c>
      <c r="I756" s="39">
        <v>14960</v>
      </c>
      <c r="J756" s="39">
        <v>12466</v>
      </c>
      <c r="K756" s="43">
        <f t="shared" si="34"/>
        <v>4.2500000000000003E-2</v>
      </c>
      <c r="L756" s="37" t="s">
        <v>2427</v>
      </c>
      <c r="M756" s="40">
        <v>45561</v>
      </c>
      <c r="N756" s="33" t="s">
        <v>57</v>
      </c>
      <c r="O756" s="41">
        <v>352000</v>
      </c>
      <c r="P756" s="34">
        <f t="shared" si="35"/>
        <v>1869.9</v>
      </c>
      <c r="Q756" s="36">
        <f t="shared" si="33"/>
        <v>124.66</v>
      </c>
      <c r="R756" s="35">
        <v>500</v>
      </c>
    </row>
    <row r="757" spans="1:18" x14ac:dyDescent="0.25">
      <c r="A757" s="37" t="s">
        <v>894</v>
      </c>
      <c r="B757" s="37"/>
      <c r="C757" s="37" t="s">
        <v>35</v>
      </c>
      <c r="D757" s="37" t="s">
        <v>36</v>
      </c>
      <c r="E757" s="38">
        <v>45561</v>
      </c>
      <c r="F757" s="38">
        <v>45926</v>
      </c>
      <c r="G757" s="37" t="s">
        <v>1664</v>
      </c>
      <c r="H757" s="37" t="s">
        <v>61</v>
      </c>
      <c r="I757" s="39">
        <v>16235</v>
      </c>
      <c r="J757" s="39">
        <v>13565</v>
      </c>
      <c r="K757" s="43">
        <f t="shared" si="34"/>
        <v>4.2500000000000003E-2</v>
      </c>
      <c r="L757" s="37" t="s">
        <v>2428</v>
      </c>
      <c r="M757" s="40">
        <v>45561</v>
      </c>
      <c r="N757" s="33" t="s">
        <v>57</v>
      </c>
      <c r="O757" s="41">
        <v>382000</v>
      </c>
      <c r="P757" s="34">
        <f t="shared" si="35"/>
        <v>2034.75</v>
      </c>
      <c r="Q757" s="36">
        <f t="shared" si="33"/>
        <v>135.65</v>
      </c>
      <c r="R757" s="35">
        <v>500</v>
      </c>
    </row>
    <row r="758" spans="1:18" x14ac:dyDescent="0.25">
      <c r="A758" s="37" t="s">
        <v>895</v>
      </c>
      <c r="B758" s="37"/>
      <c r="C758" s="37" t="s">
        <v>31</v>
      </c>
      <c r="D758" s="37" t="s">
        <v>36</v>
      </c>
      <c r="E758" s="38">
        <v>45561</v>
      </c>
      <c r="F758" s="38">
        <v>45926</v>
      </c>
      <c r="G758" s="37" t="s">
        <v>120</v>
      </c>
      <c r="H758" s="37" t="s">
        <v>60</v>
      </c>
      <c r="I758" s="39">
        <v>14960</v>
      </c>
      <c r="J758" s="39">
        <v>12466</v>
      </c>
      <c r="K758" s="43">
        <f t="shared" si="34"/>
        <v>4.2500000000000003E-2</v>
      </c>
      <c r="L758" s="37" t="s">
        <v>2429</v>
      </c>
      <c r="M758" s="40">
        <v>45561</v>
      </c>
      <c r="N758" s="33" t="s">
        <v>57</v>
      </c>
      <c r="O758" s="41">
        <v>352000</v>
      </c>
      <c r="P758" s="34">
        <f t="shared" si="35"/>
        <v>1869.9</v>
      </c>
      <c r="Q758" s="36">
        <f t="shared" si="33"/>
        <v>124.66</v>
      </c>
      <c r="R758" s="35">
        <v>500</v>
      </c>
    </row>
    <row r="759" spans="1:18" x14ac:dyDescent="0.25">
      <c r="A759" s="37" t="s">
        <v>896</v>
      </c>
      <c r="B759" s="37"/>
      <c r="C759" s="37" t="s">
        <v>71</v>
      </c>
      <c r="D759" s="37" t="s">
        <v>2582</v>
      </c>
      <c r="E759" s="38">
        <v>45561</v>
      </c>
      <c r="F759" s="38">
        <v>45926</v>
      </c>
      <c r="G759" s="37" t="s">
        <v>1665</v>
      </c>
      <c r="H759" s="37" t="s">
        <v>60</v>
      </c>
      <c r="I759" s="39">
        <v>8800</v>
      </c>
      <c r="J759" s="39">
        <v>7155</v>
      </c>
      <c r="K759" s="43">
        <f t="shared" si="34"/>
        <v>2.5000000000000001E-2</v>
      </c>
      <c r="L759" s="37" t="s">
        <v>2430</v>
      </c>
      <c r="M759" s="40">
        <v>45561</v>
      </c>
      <c r="N759" s="33" t="s">
        <v>57</v>
      </c>
      <c r="O759" s="41">
        <v>352000</v>
      </c>
      <c r="P759" s="34">
        <f t="shared" si="35"/>
        <v>1073.25</v>
      </c>
      <c r="Q759" s="36">
        <f t="shared" si="33"/>
        <v>71.55</v>
      </c>
      <c r="R759" s="35">
        <v>500</v>
      </c>
    </row>
    <row r="760" spans="1:18" x14ac:dyDescent="0.25">
      <c r="A760" s="37" t="s">
        <v>897</v>
      </c>
      <c r="B760" s="37"/>
      <c r="C760" s="37" t="s">
        <v>32</v>
      </c>
      <c r="D760" s="37" t="s">
        <v>36</v>
      </c>
      <c r="E760" s="38">
        <v>45561</v>
      </c>
      <c r="F760" s="38">
        <v>45926</v>
      </c>
      <c r="G760" s="37" t="s">
        <v>1666</v>
      </c>
      <c r="H760" s="37" t="s">
        <v>61</v>
      </c>
      <c r="I760" s="39">
        <v>16235</v>
      </c>
      <c r="J760" s="39">
        <v>13565</v>
      </c>
      <c r="K760" s="43">
        <f t="shared" si="34"/>
        <v>4.2500000000000003E-2</v>
      </c>
      <c r="L760" s="37" t="s">
        <v>2431</v>
      </c>
      <c r="M760" s="40">
        <v>45561</v>
      </c>
      <c r="N760" s="33" t="s">
        <v>57</v>
      </c>
      <c r="O760" s="41">
        <v>382000</v>
      </c>
      <c r="P760" s="34">
        <f t="shared" si="35"/>
        <v>2034.75</v>
      </c>
      <c r="Q760" s="36">
        <f t="shared" si="33"/>
        <v>135.65</v>
      </c>
      <c r="R760" s="35">
        <v>500</v>
      </c>
    </row>
    <row r="761" spans="1:18" x14ac:dyDescent="0.25">
      <c r="A761" s="37" t="s">
        <v>898</v>
      </c>
      <c r="B761" s="37"/>
      <c r="C761" s="37" t="s">
        <v>34</v>
      </c>
      <c r="D761" s="37" t="s">
        <v>2582</v>
      </c>
      <c r="E761" s="38">
        <v>45561</v>
      </c>
      <c r="F761" s="38">
        <v>45926</v>
      </c>
      <c r="G761" s="37" t="s">
        <v>1667</v>
      </c>
      <c r="H761" s="37" t="s">
        <v>60</v>
      </c>
      <c r="I761" s="39">
        <v>8800</v>
      </c>
      <c r="J761" s="39">
        <v>7155</v>
      </c>
      <c r="K761" s="43">
        <f t="shared" si="34"/>
        <v>2.5000000000000001E-2</v>
      </c>
      <c r="L761" s="37" t="s">
        <v>2432</v>
      </c>
      <c r="M761" s="40">
        <v>45561</v>
      </c>
      <c r="N761" s="33" t="s">
        <v>57</v>
      </c>
      <c r="O761" s="41">
        <v>352000</v>
      </c>
      <c r="P761" s="34">
        <f t="shared" si="35"/>
        <v>1073.25</v>
      </c>
      <c r="Q761" s="36">
        <f t="shared" si="33"/>
        <v>71.55</v>
      </c>
      <c r="R761" s="35">
        <v>500</v>
      </c>
    </row>
    <row r="762" spans="1:18" x14ac:dyDescent="0.25">
      <c r="A762" s="37" t="s">
        <v>899</v>
      </c>
      <c r="B762" s="37"/>
      <c r="C762" s="37" t="s">
        <v>32</v>
      </c>
      <c r="D762" s="37" t="s">
        <v>36</v>
      </c>
      <c r="E762" s="38">
        <v>45561</v>
      </c>
      <c r="F762" s="38">
        <v>45926</v>
      </c>
      <c r="G762" s="37" t="s">
        <v>1668</v>
      </c>
      <c r="H762" s="37" t="s">
        <v>61</v>
      </c>
      <c r="I762" s="39">
        <v>16235</v>
      </c>
      <c r="J762" s="39">
        <v>13565</v>
      </c>
      <c r="K762" s="43">
        <f t="shared" si="34"/>
        <v>4.2500000000000003E-2</v>
      </c>
      <c r="L762" s="37" t="s">
        <v>2433</v>
      </c>
      <c r="M762" s="40">
        <v>45561</v>
      </c>
      <c r="N762" s="33" t="s">
        <v>57</v>
      </c>
      <c r="O762" s="41">
        <v>382000</v>
      </c>
      <c r="P762" s="34">
        <f t="shared" si="35"/>
        <v>2034.75</v>
      </c>
      <c r="Q762" s="36">
        <f t="shared" si="33"/>
        <v>135.65</v>
      </c>
      <c r="R762" s="35">
        <v>500</v>
      </c>
    </row>
    <row r="763" spans="1:18" x14ac:dyDescent="0.25">
      <c r="A763" s="37" t="s">
        <v>900</v>
      </c>
      <c r="B763" s="37"/>
      <c r="C763" s="37" t="s">
        <v>34</v>
      </c>
      <c r="D763" s="37" t="s">
        <v>2582</v>
      </c>
      <c r="E763" s="38">
        <v>45561</v>
      </c>
      <c r="F763" s="38">
        <v>45926</v>
      </c>
      <c r="G763" s="37" t="s">
        <v>1669</v>
      </c>
      <c r="H763" s="37" t="s">
        <v>60</v>
      </c>
      <c r="I763" s="39">
        <v>8800</v>
      </c>
      <c r="J763" s="39">
        <v>7155</v>
      </c>
      <c r="K763" s="43">
        <f t="shared" si="34"/>
        <v>2.5000000000000001E-2</v>
      </c>
      <c r="L763" s="37" t="s">
        <v>2434</v>
      </c>
      <c r="M763" s="40">
        <v>45561</v>
      </c>
      <c r="N763" s="33" t="s">
        <v>57</v>
      </c>
      <c r="O763" s="41">
        <v>352000</v>
      </c>
      <c r="P763" s="34">
        <f t="shared" si="35"/>
        <v>1073.25</v>
      </c>
      <c r="Q763" s="36">
        <f t="shared" si="33"/>
        <v>71.55</v>
      </c>
      <c r="R763" s="35">
        <v>500</v>
      </c>
    </row>
    <row r="764" spans="1:18" x14ac:dyDescent="0.25">
      <c r="A764" s="37" t="s">
        <v>901</v>
      </c>
      <c r="B764" s="37"/>
      <c r="C764" s="37" t="s">
        <v>34</v>
      </c>
      <c r="D764" s="37" t="s">
        <v>2582</v>
      </c>
      <c r="E764" s="38">
        <v>45561</v>
      </c>
      <c r="F764" s="38">
        <v>45926</v>
      </c>
      <c r="G764" s="37" t="s">
        <v>1670</v>
      </c>
      <c r="H764" s="37" t="s">
        <v>60</v>
      </c>
      <c r="I764" s="39">
        <v>8800</v>
      </c>
      <c r="J764" s="39">
        <v>7155</v>
      </c>
      <c r="K764" s="43">
        <f t="shared" si="34"/>
        <v>2.5000000000000001E-2</v>
      </c>
      <c r="L764" s="37" t="s">
        <v>2435</v>
      </c>
      <c r="M764" s="40">
        <v>45561</v>
      </c>
      <c r="N764" s="33" t="s">
        <v>57</v>
      </c>
      <c r="O764" s="41">
        <v>352000</v>
      </c>
      <c r="P764" s="34">
        <f t="shared" si="35"/>
        <v>1073.25</v>
      </c>
      <c r="Q764" s="36">
        <f t="shared" si="33"/>
        <v>71.55</v>
      </c>
      <c r="R764" s="35">
        <v>500</v>
      </c>
    </row>
    <row r="765" spans="1:18" x14ac:dyDescent="0.25">
      <c r="A765" s="37" t="s">
        <v>902</v>
      </c>
      <c r="B765" s="37"/>
      <c r="C765" s="37" t="s">
        <v>34</v>
      </c>
      <c r="D765" s="37" t="s">
        <v>2582</v>
      </c>
      <c r="E765" s="38">
        <v>45561</v>
      </c>
      <c r="F765" s="38">
        <v>45926</v>
      </c>
      <c r="G765" s="37" t="s">
        <v>119</v>
      </c>
      <c r="H765" s="37" t="s">
        <v>63</v>
      </c>
      <c r="I765" s="39">
        <v>12475</v>
      </c>
      <c r="J765" s="39">
        <v>10323</v>
      </c>
      <c r="K765" s="43">
        <f t="shared" si="34"/>
        <v>2.5000000000000001E-2</v>
      </c>
      <c r="L765" s="37" t="s">
        <v>2436</v>
      </c>
      <c r="M765" s="40">
        <v>45561</v>
      </c>
      <c r="N765" s="33" t="s">
        <v>57</v>
      </c>
      <c r="O765" s="41">
        <v>499000</v>
      </c>
      <c r="P765" s="34">
        <f t="shared" si="35"/>
        <v>1548.45</v>
      </c>
      <c r="Q765" s="36">
        <f t="shared" si="33"/>
        <v>103.23</v>
      </c>
      <c r="R765" s="35">
        <v>500</v>
      </c>
    </row>
    <row r="766" spans="1:18" x14ac:dyDescent="0.25">
      <c r="A766" s="37" t="s">
        <v>903</v>
      </c>
      <c r="B766" s="37"/>
      <c r="C766" s="37" t="s">
        <v>34</v>
      </c>
      <c r="D766" s="37" t="s">
        <v>2582</v>
      </c>
      <c r="E766" s="38">
        <v>45561</v>
      </c>
      <c r="F766" s="38">
        <v>45926</v>
      </c>
      <c r="G766" s="37" t="s">
        <v>121</v>
      </c>
      <c r="H766" s="37" t="s">
        <v>60</v>
      </c>
      <c r="I766" s="39">
        <v>8800</v>
      </c>
      <c r="J766" s="39">
        <v>7155</v>
      </c>
      <c r="K766" s="43">
        <f t="shared" si="34"/>
        <v>2.5000000000000001E-2</v>
      </c>
      <c r="L766" s="37" t="s">
        <v>2437</v>
      </c>
      <c r="M766" s="40">
        <v>45561</v>
      </c>
      <c r="N766" s="33" t="s">
        <v>57</v>
      </c>
      <c r="O766" s="41">
        <v>352000</v>
      </c>
      <c r="P766" s="34">
        <f t="shared" si="35"/>
        <v>1073.25</v>
      </c>
      <c r="Q766" s="36">
        <f t="shared" si="33"/>
        <v>71.55</v>
      </c>
      <c r="R766" s="35">
        <v>500</v>
      </c>
    </row>
    <row r="767" spans="1:18" x14ac:dyDescent="0.25">
      <c r="A767" s="37" t="s">
        <v>904</v>
      </c>
      <c r="B767" s="37"/>
      <c r="C767" s="37" t="s">
        <v>35</v>
      </c>
      <c r="D767" s="37" t="s">
        <v>36</v>
      </c>
      <c r="E767" s="38">
        <v>45561</v>
      </c>
      <c r="F767" s="38">
        <v>45926</v>
      </c>
      <c r="G767" s="37" t="s">
        <v>1671</v>
      </c>
      <c r="H767" s="37" t="s">
        <v>62</v>
      </c>
      <c r="I767" s="39">
        <v>23248</v>
      </c>
      <c r="J767" s="39">
        <v>19610</v>
      </c>
      <c r="K767" s="43">
        <f t="shared" si="34"/>
        <v>4.2500914076782449E-2</v>
      </c>
      <c r="L767" s="37" t="s">
        <v>2438</v>
      </c>
      <c r="M767" s="40">
        <v>45561</v>
      </c>
      <c r="N767" s="33" t="s">
        <v>57</v>
      </c>
      <c r="O767" s="41">
        <v>547000</v>
      </c>
      <c r="P767" s="34">
        <f t="shared" si="35"/>
        <v>2941.5</v>
      </c>
      <c r="Q767" s="36">
        <f t="shared" si="33"/>
        <v>196.1</v>
      </c>
      <c r="R767" s="35">
        <v>500</v>
      </c>
    </row>
    <row r="768" spans="1:18" x14ac:dyDescent="0.25">
      <c r="A768" s="37" t="s">
        <v>905</v>
      </c>
      <c r="B768" s="37"/>
      <c r="C768" s="37" t="s">
        <v>35</v>
      </c>
      <c r="D768" s="37" t="s">
        <v>36</v>
      </c>
      <c r="E768" s="38">
        <v>45927</v>
      </c>
      <c r="F768" s="38">
        <v>46292</v>
      </c>
      <c r="G768" s="37" t="s">
        <v>1671</v>
      </c>
      <c r="H768" s="37" t="s">
        <v>62</v>
      </c>
      <c r="I768" s="39">
        <v>23248</v>
      </c>
      <c r="J768" s="39">
        <v>19610</v>
      </c>
      <c r="K768" s="43">
        <f t="shared" si="34"/>
        <v>4.2500914076782449E-2</v>
      </c>
      <c r="L768" s="37" t="s">
        <v>2438</v>
      </c>
      <c r="M768" s="40">
        <v>45561</v>
      </c>
      <c r="N768" s="33" t="s">
        <v>57</v>
      </c>
      <c r="O768" s="41">
        <v>547000</v>
      </c>
      <c r="P768" s="34">
        <f t="shared" si="35"/>
        <v>2941.5</v>
      </c>
      <c r="Q768" s="36">
        <f t="shared" si="33"/>
        <v>196.1</v>
      </c>
      <c r="R768" s="35">
        <v>500</v>
      </c>
    </row>
    <row r="769" spans="1:18" x14ac:dyDescent="0.25">
      <c r="A769" s="37" t="s">
        <v>906</v>
      </c>
      <c r="B769" s="37"/>
      <c r="C769" s="37" t="s">
        <v>34</v>
      </c>
      <c r="D769" s="37" t="s">
        <v>2582</v>
      </c>
      <c r="E769" s="38">
        <v>45561</v>
      </c>
      <c r="F769" s="38">
        <v>45926</v>
      </c>
      <c r="G769" s="37" t="s">
        <v>1672</v>
      </c>
      <c r="H769" s="37" t="s">
        <v>60</v>
      </c>
      <c r="I769" s="39">
        <v>8800</v>
      </c>
      <c r="J769" s="39">
        <v>7155</v>
      </c>
      <c r="K769" s="43">
        <f t="shared" si="34"/>
        <v>2.5000000000000001E-2</v>
      </c>
      <c r="L769" s="37" t="s">
        <v>2439</v>
      </c>
      <c r="M769" s="40">
        <v>45561</v>
      </c>
      <c r="N769" s="33" t="s">
        <v>57</v>
      </c>
      <c r="O769" s="41">
        <v>352000</v>
      </c>
      <c r="P769" s="34">
        <f t="shared" si="35"/>
        <v>1073.25</v>
      </c>
      <c r="Q769" s="36">
        <f t="shared" ref="Q769:Q831" si="36">J769*1/100</f>
        <v>71.55</v>
      </c>
      <c r="R769" s="35">
        <v>500</v>
      </c>
    </row>
    <row r="770" spans="1:18" x14ac:dyDescent="0.25">
      <c r="A770" s="37" t="s">
        <v>907</v>
      </c>
      <c r="B770" s="37"/>
      <c r="C770" s="37" t="s">
        <v>34</v>
      </c>
      <c r="D770" s="37" t="s">
        <v>2582</v>
      </c>
      <c r="E770" s="38">
        <v>45561</v>
      </c>
      <c r="F770" s="38">
        <v>45926</v>
      </c>
      <c r="G770" s="37" t="s">
        <v>1672</v>
      </c>
      <c r="H770" s="37" t="s">
        <v>60</v>
      </c>
      <c r="I770" s="39">
        <v>8800</v>
      </c>
      <c r="J770" s="39">
        <v>7155</v>
      </c>
      <c r="K770" s="43">
        <f t="shared" si="34"/>
        <v>2.5000000000000001E-2</v>
      </c>
      <c r="L770" s="37" t="s">
        <v>2439</v>
      </c>
      <c r="M770" s="40">
        <v>45561</v>
      </c>
      <c r="N770" s="33" t="s">
        <v>57</v>
      </c>
      <c r="O770" s="41">
        <v>352000</v>
      </c>
      <c r="P770" s="34">
        <f t="shared" si="35"/>
        <v>1073.25</v>
      </c>
      <c r="Q770" s="36">
        <f t="shared" si="36"/>
        <v>71.55</v>
      </c>
      <c r="R770" s="35">
        <v>500</v>
      </c>
    </row>
    <row r="771" spans="1:18" x14ac:dyDescent="0.25">
      <c r="A771" s="37" t="s">
        <v>908</v>
      </c>
      <c r="B771" s="37"/>
      <c r="C771" s="37" t="s">
        <v>36</v>
      </c>
      <c r="D771" s="37" t="s">
        <v>36</v>
      </c>
      <c r="E771" s="38">
        <v>45561</v>
      </c>
      <c r="F771" s="38">
        <v>45926</v>
      </c>
      <c r="G771" s="37" t="s">
        <v>1673</v>
      </c>
      <c r="H771" s="37" t="s">
        <v>60</v>
      </c>
      <c r="I771" s="39">
        <v>14960</v>
      </c>
      <c r="J771" s="39">
        <v>12466</v>
      </c>
      <c r="K771" s="43">
        <f t="shared" si="34"/>
        <v>4.2500000000000003E-2</v>
      </c>
      <c r="L771" s="37" t="s">
        <v>2440</v>
      </c>
      <c r="M771" s="40">
        <v>45561</v>
      </c>
      <c r="N771" s="33" t="s">
        <v>57</v>
      </c>
      <c r="O771" s="41">
        <v>352000</v>
      </c>
      <c r="P771" s="34">
        <f t="shared" si="35"/>
        <v>1869.9</v>
      </c>
      <c r="Q771" s="36">
        <f t="shared" si="36"/>
        <v>124.66</v>
      </c>
      <c r="R771" s="35">
        <v>500</v>
      </c>
    </row>
    <row r="772" spans="1:18" x14ac:dyDescent="0.25">
      <c r="A772" s="37" t="s">
        <v>909</v>
      </c>
      <c r="B772" s="37"/>
      <c r="C772" s="37" t="s">
        <v>36</v>
      </c>
      <c r="D772" s="37" t="s">
        <v>36</v>
      </c>
      <c r="E772" s="38">
        <v>45927</v>
      </c>
      <c r="F772" s="38">
        <v>46292</v>
      </c>
      <c r="G772" s="37" t="s">
        <v>1673</v>
      </c>
      <c r="H772" s="37" t="s">
        <v>60</v>
      </c>
      <c r="I772" s="39">
        <v>14960</v>
      </c>
      <c r="J772" s="39">
        <v>12466</v>
      </c>
      <c r="K772" s="43">
        <f t="shared" ref="K772:K835" si="37">I772/O772</f>
        <v>4.2500000000000003E-2</v>
      </c>
      <c r="L772" s="37" t="s">
        <v>2440</v>
      </c>
      <c r="M772" s="40">
        <v>45561</v>
      </c>
      <c r="N772" s="33" t="s">
        <v>57</v>
      </c>
      <c r="O772" s="41">
        <v>352000</v>
      </c>
      <c r="P772" s="34">
        <f t="shared" ref="P772:P835" si="38">J772*15/100</f>
        <v>1869.9</v>
      </c>
      <c r="Q772" s="36">
        <f t="shared" si="36"/>
        <v>124.66</v>
      </c>
      <c r="R772" s="35">
        <v>500</v>
      </c>
    </row>
    <row r="773" spans="1:18" x14ac:dyDescent="0.25">
      <c r="A773" s="37" t="s">
        <v>910</v>
      </c>
      <c r="B773" s="37"/>
      <c r="C773" s="37" t="s">
        <v>30</v>
      </c>
      <c r="D773" s="37" t="s">
        <v>36</v>
      </c>
      <c r="E773" s="38">
        <v>45561</v>
      </c>
      <c r="F773" s="38">
        <v>45926</v>
      </c>
      <c r="G773" s="37" t="s">
        <v>1674</v>
      </c>
      <c r="H773" s="37" t="s">
        <v>62</v>
      </c>
      <c r="I773" s="39">
        <v>23248</v>
      </c>
      <c r="J773" s="39">
        <v>19610</v>
      </c>
      <c r="K773" s="43">
        <f t="shared" si="37"/>
        <v>4.2500914076782449E-2</v>
      </c>
      <c r="L773" s="37" t="s">
        <v>2441</v>
      </c>
      <c r="M773" s="40">
        <v>45561</v>
      </c>
      <c r="N773" s="33" t="s">
        <v>57</v>
      </c>
      <c r="O773" s="41">
        <v>547000</v>
      </c>
      <c r="P773" s="34">
        <f t="shared" si="38"/>
        <v>2941.5</v>
      </c>
      <c r="Q773" s="36">
        <f t="shared" si="36"/>
        <v>196.1</v>
      </c>
      <c r="R773" s="35">
        <v>500</v>
      </c>
    </row>
    <row r="774" spans="1:18" x14ac:dyDescent="0.25">
      <c r="A774" s="37" t="s">
        <v>911</v>
      </c>
      <c r="B774" s="37"/>
      <c r="C774" s="37" t="s">
        <v>30</v>
      </c>
      <c r="D774" s="37" t="s">
        <v>36</v>
      </c>
      <c r="E774" s="38">
        <v>45927</v>
      </c>
      <c r="F774" s="38">
        <v>46292</v>
      </c>
      <c r="G774" s="37" t="s">
        <v>1674</v>
      </c>
      <c r="H774" s="37" t="s">
        <v>62</v>
      </c>
      <c r="I774" s="39">
        <v>23248</v>
      </c>
      <c r="J774" s="39">
        <v>19610</v>
      </c>
      <c r="K774" s="43">
        <f t="shared" si="37"/>
        <v>4.2500914076782449E-2</v>
      </c>
      <c r="L774" s="37" t="s">
        <v>2441</v>
      </c>
      <c r="M774" s="40">
        <v>45561</v>
      </c>
      <c r="N774" s="33" t="s">
        <v>57</v>
      </c>
      <c r="O774" s="41">
        <v>547000</v>
      </c>
      <c r="P774" s="34">
        <f t="shared" si="38"/>
        <v>2941.5</v>
      </c>
      <c r="Q774" s="36">
        <f t="shared" si="36"/>
        <v>196.1</v>
      </c>
      <c r="R774" s="35">
        <v>500</v>
      </c>
    </row>
    <row r="775" spans="1:18" x14ac:dyDescent="0.25">
      <c r="A775" s="37" t="s">
        <v>912</v>
      </c>
      <c r="B775" s="37"/>
      <c r="C775" s="37" t="s">
        <v>34</v>
      </c>
      <c r="D775" s="37" t="s">
        <v>2582</v>
      </c>
      <c r="E775" s="38">
        <v>45561</v>
      </c>
      <c r="F775" s="38">
        <v>45926</v>
      </c>
      <c r="G775" s="37" t="s">
        <v>1675</v>
      </c>
      <c r="H775" s="37" t="s">
        <v>64</v>
      </c>
      <c r="I775" s="39">
        <v>9550</v>
      </c>
      <c r="J775" s="39">
        <v>7802</v>
      </c>
      <c r="K775" s="43">
        <f t="shared" si="37"/>
        <v>2.5000000000000001E-2</v>
      </c>
      <c r="L775" s="37" t="s">
        <v>2442</v>
      </c>
      <c r="M775" s="40">
        <v>45561</v>
      </c>
      <c r="N775" s="33" t="s">
        <v>57</v>
      </c>
      <c r="O775" s="41">
        <v>382000</v>
      </c>
      <c r="P775" s="34">
        <f t="shared" si="38"/>
        <v>1170.3</v>
      </c>
      <c r="Q775" s="36">
        <f t="shared" si="36"/>
        <v>78.02</v>
      </c>
      <c r="R775" s="35">
        <v>500</v>
      </c>
    </row>
    <row r="776" spans="1:18" x14ac:dyDescent="0.25">
      <c r="A776" s="37" t="s">
        <v>913</v>
      </c>
      <c r="B776" s="37"/>
      <c r="C776" s="37" t="s">
        <v>35</v>
      </c>
      <c r="D776" s="37" t="s">
        <v>36</v>
      </c>
      <c r="E776" s="38">
        <v>45561</v>
      </c>
      <c r="F776" s="38">
        <v>45926</v>
      </c>
      <c r="G776" s="37" t="s">
        <v>1676</v>
      </c>
      <c r="H776" s="37" t="s">
        <v>64</v>
      </c>
      <c r="I776" s="39">
        <v>16235</v>
      </c>
      <c r="J776" s="39">
        <v>13565</v>
      </c>
      <c r="K776" s="43">
        <f t="shared" si="37"/>
        <v>4.2500000000000003E-2</v>
      </c>
      <c r="L776" s="37" t="s">
        <v>2443</v>
      </c>
      <c r="M776" s="40">
        <v>45561</v>
      </c>
      <c r="N776" s="33" t="s">
        <v>57</v>
      </c>
      <c r="O776" s="41">
        <v>382000</v>
      </c>
      <c r="P776" s="34">
        <f t="shared" si="38"/>
        <v>2034.75</v>
      </c>
      <c r="Q776" s="36">
        <f t="shared" si="36"/>
        <v>135.65</v>
      </c>
      <c r="R776" s="35">
        <v>500</v>
      </c>
    </row>
    <row r="777" spans="1:18" x14ac:dyDescent="0.25">
      <c r="A777" s="37" t="s">
        <v>914</v>
      </c>
      <c r="B777" s="37"/>
      <c r="C777" s="37" t="s">
        <v>34</v>
      </c>
      <c r="D777" s="37" t="s">
        <v>2582</v>
      </c>
      <c r="E777" s="38">
        <v>45561</v>
      </c>
      <c r="F777" s="38">
        <v>45926</v>
      </c>
      <c r="G777" s="37" t="s">
        <v>1677</v>
      </c>
      <c r="H777" s="37" t="s">
        <v>60</v>
      </c>
      <c r="I777" s="39">
        <v>8800</v>
      </c>
      <c r="J777" s="39">
        <v>7155</v>
      </c>
      <c r="K777" s="43">
        <f t="shared" si="37"/>
        <v>2.5000000000000001E-2</v>
      </c>
      <c r="L777" s="37" t="s">
        <v>2444</v>
      </c>
      <c r="M777" s="40">
        <v>45561</v>
      </c>
      <c r="N777" s="33" t="s">
        <v>57</v>
      </c>
      <c r="O777" s="41">
        <v>352000</v>
      </c>
      <c r="P777" s="34">
        <f t="shared" si="38"/>
        <v>1073.25</v>
      </c>
      <c r="Q777" s="36">
        <f t="shared" si="36"/>
        <v>71.55</v>
      </c>
      <c r="R777" s="35">
        <v>500</v>
      </c>
    </row>
    <row r="778" spans="1:18" x14ac:dyDescent="0.25">
      <c r="A778" s="37" t="s">
        <v>915</v>
      </c>
      <c r="B778" s="37"/>
      <c r="C778" s="37" t="s">
        <v>34</v>
      </c>
      <c r="D778" s="37" t="s">
        <v>2582</v>
      </c>
      <c r="E778" s="38">
        <v>45561</v>
      </c>
      <c r="F778" s="38">
        <v>45926</v>
      </c>
      <c r="G778" s="37" t="s">
        <v>1678</v>
      </c>
      <c r="H778" s="37" t="s">
        <v>60</v>
      </c>
      <c r="I778" s="39">
        <v>8800</v>
      </c>
      <c r="J778" s="39">
        <v>7155</v>
      </c>
      <c r="K778" s="43">
        <f t="shared" si="37"/>
        <v>2.5000000000000001E-2</v>
      </c>
      <c r="L778" s="37" t="s">
        <v>2445</v>
      </c>
      <c r="M778" s="40">
        <v>45561</v>
      </c>
      <c r="N778" s="33" t="s">
        <v>57</v>
      </c>
      <c r="O778" s="41">
        <v>352000</v>
      </c>
      <c r="P778" s="34">
        <f t="shared" si="38"/>
        <v>1073.25</v>
      </c>
      <c r="Q778" s="36">
        <f t="shared" si="36"/>
        <v>71.55</v>
      </c>
      <c r="R778" s="35">
        <v>500</v>
      </c>
    </row>
    <row r="779" spans="1:18" x14ac:dyDescent="0.25">
      <c r="A779" s="37" t="s">
        <v>916</v>
      </c>
      <c r="B779" s="37"/>
      <c r="C779" s="37" t="s">
        <v>30</v>
      </c>
      <c r="D779" s="37" t="s">
        <v>36</v>
      </c>
      <c r="E779" s="38">
        <v>45561</v>
      </c>
      <c r="F779" s="38">
        <v>45926</v>
      </c>
      <c r="G779" s="37" t="s">
        <v>1679</v>
      </c>
      <c r="H779" s="37" t="s">
        <v>60</v>
      </c>
      <c r="I779" s="39">
        <v>14960</v>
      </c>
      <c r="J779" s="39">
        <v>12466</v>
      </c>
      <c r="K779" s="43">
        <f t="shared" si="37"/>
        <v>4.2500000000000003E-2</v>
      </c>
      <c r="L779" s="37" t="s">
        <v>2446</v>
      </c>
      <c r="M779" s="40">
        <v>45561</v>
      </c>
      <c r="N779" s="33" t="s">
        <v>57</v>
      </c>
      <c r="O779" s="41">
        <v>352000</v>
      </c>
      <c r="P779" s="34">
        <f t="shared" si="38"/>
        <v>1869.9</v>
      </c>
      <c r="Q779" s="36">
        <f t="shared" si="36"/>
        <v>124.66</v>
      </c>
      <c r="R779" s="35">
        <v>500</v>
      </c>
    </row>
    <row r="780" spans="1:18" x14ac:dyDescent="0.25">
      <c r="A780" s="37" t="s">
        <v>917</v>
      </c>
      <c r="B780" s="37"/>
      <c r="C780" s="37" t="s">
        <v>30</v>
      </c>
      <c r="D780" s="37" t="s">
        <v>36</v>
      </c>
      <c r="E780" s="38">
        <v>45927</v>
      </c>
      <c r="F780" s="38">
        <v>46292</v>
      </c>
      <c r="G780" s="37" t="s">
        <v>1679</v>
      </c>
      <c r="H780" s="37" t="s">
        <v>60</v>
      </c>
      <c r="I780" s="39">
        <v>14960</v>
      </c>
      <c r="J780" s="39">
        <v>12466</v>
      </c>
      <c r="K780" s="43">
        <f t="shared" si="37"/>
        <v>4.2500000000000003E-2</v>
      </c>
      <c r="L780" s="37" t="s">
        <v>2446</v>
      </c>
      <c r="M780" s="40">
        <v>45561</v>
      </c>
      <c r="N780" s="33" t="s">
        <v>57</v>
      </c>
      <c r="O780" s="41">
        <v>352000</v>
      </c>
      <c r="P780" s="34">
        <f t="shared" si="38"/>
        <v>1869.9</v>
      </c>
      <c r="Q780" s="36">
        <f t="shared" si="36"/>
        <v>124.66</v>
      </c>
      <c r="R780" s="35">
        <v>500</v>
      </c>
    </row>
    <row r="781" spans="1:18" x14ac:dyDescent="0.25">
      <c r="A781" s="37" t="s">
        <v>918</v>
      </c>
      <c r="B781" s="37"/>
      <c r="C781" s="37" t="s">
        <v>30</v>
      </c>
      <c r="D781" s="37" t="s">
        <v>36</v>
      </c>
      <c r="E781" s="38">
        <v>45561</v>
      </c>
      <c r="F781" s="38">
        <v>45926</v>
      </c>
      <c r="G781" s="37" t="s">
        <v>1680</v>
      </c>
      <c r="H781" s="37" t="s">
        <v>60</v>
      </c>
      <c r="I781" s="39">
        <v>14960</v>
      </c>
      <c r="J781" s="39">
        <v>12466</v>
      </c>
      <c r="K781" s="43">
        <f t="shared" si="37"/>
        <v>4.2500000000000003E-2</v>
      </c>
      <c r="L781" s="37" t="s">
        <v>2447</v>
      </c>
      <c r="M781" s="40">
        <v>45561</v>
      </c>
      <c r="N781" s="33" t="s">
        <v>57</v>
      </c>
      <c r="O781" s="41">
        <v>352000</v>
      </c>
      <c r="P781" s="34">
        <f t="shared" si="38"/>
        <v>1869.9</v>
      </c>
      <c r="Q781" s="36">
        <f t="shared" si="36"/>
        <v>124.66</v>
      </c>
      <c r="R781" s="35">
        <v>500</v>
      </c>
    </row>
    <row r="782" spans="1:18" x14ac:dyDescent="0.25">
      <c r="A782" s="37" t="s">
        <v>919</v>
      </c>
      <c r="B782" s="37"/>
      <c r="C782" s="37" t="s">
        <v>30</v>
      </c>
      <c r="D782" s="37" t="s">
        <v>36</v>
      </c>
      <c r="E782" s="38">
        <v>45927</v>
      </c>
      <c r="F782" s="38">
        <v>46292</v>
      </c>
      <c r="G782" s="37" t="s">
        <v>1680</v>
      </c>
      <c r="H782" s="37" t="s">
        <v>60</v>
      </c>
      <c r="I782" s="39">
        <v>14960</v>
      </c>
      <c r="J782" s="39">
        <v>12466</v>
      </c>
      <c r="K782" s="43">
        <f t="shared" si="37"/>
        <v>4.2500000000000003E-2</v>
      </c>
      <c r="L782" s="37" t="s">
        <v>2447</v>
      </c>
      <c r="M782" s="40">
        <v>45561</v>
      </c>
      <c r="N782" s="33" t="s">
        <v>57</v>
      </c>
      <c r="O782" s="41">
        <v>352000</v>
      </c>
      <c r="P782" s="34">
        <f t="shared" si="38"/>
        <v>1869.9</v>
      </c>
      <c r="Q782" s="36">
        <f t="shared" si="36"/>
        <v>124.66</v>
      </c>
      <c r="R782" s="35">
        <v>500</v>
      </c>
    </row>
    <row r="783" spans="1:18" x14ac:dyDescent="0.25">
      <c r="A783" s="37" t="s">
        <v>920</v>
      </c>
      <c r="B783" s="37"/>
      <c r="C783" s="37" t="s">
        <v>34</v>
      </c>
      <c r="D783" s="37" t="s">
        <v>2582</v>
      </c>
      <c r="E783" s="38">
        <v>45561</v>
      </c>
      <c r="F783" s="38">
        <v>45926</v>
      </c>
      <c r="G783" s="37" t="s">
        <v>1681</v>
      </c>
      <c r="H783" s="37" t="s">
        <v>60</v>
      </c>
      <c r="I783" s="39">
        <v>8800</v>
      </c>
      <c r="J783" s="39">
        <v>7155</v>
      </c>
      <c r="K783" s="43">
        <f t="shared" si="37"/>
        <v>2.5000000000000001E-2</v>
      </c>
      <c r="L783" s="37" t="s">
        <v>2448</v>
      </c>
      <c r="M783" s="40">
        <v>45561</v>
      </c>
      <c r="N783" s="33" t="s">
        <v>57</v>
      </c>
      <c r="O783" s="41">
        <v>352000</v>
      </c>
      <c r="P783" s="34">
        <f t="shared" si="38"/>
        <v>1073.25</v>
      </c>
      <c r="Q783" s="36">
        <f t="shared" si="36"/>
        <v>71.55</v>
      </c>
      <c r="R783" s="35">
        <v>500</v>
      </c>
    </row>
    <row r="784" spans="1:18" x14ac:dyDescent="0.25">
      <c r="A784" s="37" t="s">
        <v>921</v>
      </c>
      <c r="B784" s="37"/>
      <c r="C784" s="37" t="s">
        <v>34</v>
      </c>
      <c r="D784" s="37" t="s">
        <v>2582</v>
      </c>
      <c r="E784" s="38">
        <v>45561</v>
      </c>
      <c r="F784" s="38">
        <v>45926</v>
      </c>
      <c r="G784" s="37" t="s">
        <v>1682</v>
      </c>
      <c r="H784" s="37" t="s">
        <v>60</v>
      </c>
      <c r="I784" s="39">
        <v>8800</v>
      </c>
      <c r="J784" s="39">
        <v>7155</v>
      </c>
      <c r="K784" s="43">
        <f t="shared" si="37"/>
        <v>2.5000000000000001E-2</v>
      </c>
      <c r="L784" s="37" t="s">
        <v>2449</v>
      </c>
      <c r="M784" s="40">
        <v>45561</v>
      </c>
      <c r="N784" s="33" t="s">
        <v>57</v>
      </c>
      <c r="O784" s="41">
        <v>352000</v>
      </c>
      <c r="P784" s="34">
        <f t="shared" si="38"/>
        <v>1073.25</v>
      </c>
      <c r="Q784" s="36">
        <f t="shared" si="36"/>
        <v>71.55</v>
      </c>
      <c r="R784" s="35">
        <v>500</v>
      </c>
    </row>
    <row r="785" spans="1:18" x14ac:dyDescent="0.25">
      <c r="A785" s="37" t="s">
        <v>922</v>
      </c>
      <c r="B785" s="37"/>
      <c r="C785" s="37" t="s">
        <v>53</v>
      </c>
      <c r="D785" s="37" t="s">
        <v>2582</v>
      </c>
      <c r="E785" s="38">
        <v>45561</v>
      </c>
      <c r="F785" s="38">
        <v>45926</v>
      </c>
      <c r="G785" s="37" t="s">
        <v>1683</v>
      </c>
      <c r="H785" s="37" t="s">
        <v>60</v>
      </c>
      <c r="I785" s="39">
        <v>8800</v>
      </c>
      <c r="J785" s="39">
        <v>7155</v>
      </c>
      <c r="K785" s="43">
        <f t="shared" si="37"/>
        <v>2.5000000000000001E-2</v>
      </c>
      <c r="L785" s="37" t="s">
        <v>2450</v>
      </c>
      <c r="M785" s="40">
        <v>45561</v>
      </c>
      <c r="N785" s="33" t="s">
        <v>57</v>
      </c>
      <c r="O785" s="41">
        <v>352000</v>
      </c>
      <c r="P785" s="34">
        <f t="shared" si="38"/>
        <v>1073.25</v>
      </c>
      <c r="Q785" s="36">
        <f t="shared" si="36"/>
        <v>71.55</v>
      </c>
      <c r="R785" s="35">
        <v>500</v>
      </c>
    </row>
    <row r="786" spans="1:18" x14ac:dyDescent="0.25">
      <c r="A786" s="37" t="s">
        <v>923</v>
      </c>
      <c r="B786" s="37"/>
      <c r="C786" s="37" t="s">
        <v>34</v>
      </c>
      <c r="D786" s="37" t="s">
        <v>2582</v>
      </c>
      <c r="E786" s="38">
        <v>45561</v>
      </c>
      <c r="F786" s="38">
        <v>45926</v>
      </c>
      <c r="G786" s="37" t="s">
        <v>1684</v>
      </c>
      <c r="H786" s="37" t="s">
        <v>60</v>
      </c>
      <c r="I786" s="39">
        <v>8800</v>
      </c>
      <c r="J786" s="39">
        <v>7155</v>
      </c>
      <c r="K786" s="43">
        <f t="shared" si="37"/>
        <v>2.5000000000000001E-2</v>
      </c>
      <c r="L786" s="37" t="s">
        <v>2451</v>
      </c>
      <c r="M786" s="40">
        <v>45561</v>
      </c>
      <c r="N786" s="33" t="s">
        <v>57</v>
      </c>
      <c r="O786" s="41">
        <v>352000</v>
      </c>
      <c r="P786" s="34">
        <f t="shared" si="38"/>
        <v>1073.25</v>
      </c>
      <c r="Q786" s="36">
        <f t="shared" si="36"/>
        <v>71.55</v>
      </c>
      <c r="R786" s="35">
        <v>500</v>
      </c>
    </row>
    <row r="787" spans="1:18" x14ac:dyDescent="0.25">
      <c r="A787" s="42" t="s">
        <v>924</v>
      </c>
      <c r="B787" s="37"/>
      <c r="C787" s="37" t="s">
        <v>30</v>
      </c>
      <c r="D787" s="37" t="s">
        <v>36</v>
      </c>
      <c r="E787" s="38">
        <v>45561</v>
      </c>
      <c r="F787" s="38">
        <v>45926</v>
      </c>
      <c r="G787" s="37" t="s">
        <v>1685</v>
      </c>
      <c r="H787" s="37" t="s">
        <v>60</v>
      </c>
      <c r="I787" s="39">
        <v>14960</v>
      </c>
      <c r="J787" s="39">
        <v>12466</v>
      </c>
      <c r="K787" s="43">
        <f t="shared" si="37"/>
        <v>4.2500000000000003E-2</v>
      </c>
      <c r="L787" s="37" t="s">
        <v>2452</v>
      </c>
      <c r="M787" s="40">
        <v>45561</v>
      </c>
      <c r="N787" s="33" t="s">
        <v>57</v>
      </c>
      <c r="O787" s="41">
        <v>352000</v>
      </c>
      <c r="P787" s="34">
        <f t="shared" si="38"/>
        <v>1869.9</v>
      </c>
      <c r="Q787" s="36">
        <f t="shared" si="36"/>
        <v>124.66</v>
      </c>
      <c r="R787" s="35">
        <v>500</v>
      </c>
    </row>
    <row r="788" spans="1:18" x14ac:dyDescent="0.25">
      <c r="A788" s="42" t="s">
        <v>925</v>
      </c>
      <c r="B788" s="37"/>
      <c r="C788" s="37" t="s">
        <v>30</v>
      </c>
      <c r="D788" s="37" t="s">
        <v>36</v>
      </c>
      <c r="E788" s="38">
        <v>45927</v>
      </c>
      <c r="F788" s="38">
        <v>46292</v>
      </c>
      <c r="G788" s="37" t="s">
        <v>1685</v>
      </c>
      <c r="H788" s="37" t="s">
        <v>60</v>
      </c>
      <c r="I788" s="39">
        <v>14960</v>
      </c>
      <c r="J788" s="39">
        <v>12466</v>
      </c>
      <c r="K788" s="43">
        <f t="shared" si="37"/>
        <v>4.2500000000000003E-2</v>
      </c>
      <c r="L788" s="37" t="s">
        <v>2452</v>
      </c>
      <c r="M788" s="40">
        <v>45561</v>
      </c>
      <c r="N788" s="33" t="s">
        <v>57</v>
      </c>
      <c r="O788" s="41">
        <v>352000</v>
      </c>
      <c r="P788" s="34">
        <f t="shared" si="38"/>
        <v>1869.9</v>
      </c>
      <c r="Q788" s="36">
        <f t="shared" si="36"/>
        <v>124.66</v>
      </c>
      <c r="R788" s="35">
        <v>500</v>
      </c>
    </row>
    <row r="789" spans="1:18" x14ac:dyDescent="0.25">
      <c r="A789" s="37" t="s">
        <v>926</v>
      </c>
      <c r="B789" s="37"/>
      <c r="C789" s="37" t="s">
        <v>34</v>
      </c>
      <c r="D789" s="37" t="s">
        <v>2582</v>
      </c>
      <c r="E789" s="38">
        <v>45561</v>
      </c>
      <c r="F789" s="38">
        <v>45926</v>
      </c>
      <c r="G789" s="37" t="s">
        <v>1686</v>
      </c>
      <c r="H789" s="37" t="s">
        <v>60</v>
      </c>
      <c r="I789" s="39">
        <v>8800</v>
      </c>
      <c r="J789" s="39">
        <v>7155</v>
      </c>
      <c r="K789" s="43">
        <f t="shared" si="37"/>
        <v>2.5000000000000001E-2</v>
      </c>
      <c r="L789" s="37" t="s">
        <v>2453</v>
      </c>
      <c r="M789" s="40">
        <v>45561</v>
      </c>
      <c r="N789" s="33" t="s">
        <v>57</v>
      </c>
      <c r="O789" s="41">
        <v>352000</v>
      </c>
      <c r="P789" s="34">
        <f t="shared" si="38"/>
        <v>1073.25</v>
      </c>
      <c r="Q789" s="36">
        <f t="shared" si="36"/>
        <v>71.55</v>
      </c>
      <c r="R789" s="35">
        <v>500</v>
      </c>
    </row>
    <row r="790" spans="1:18" x14ac:dyDescent="0.25">
      <c r="A790" s="37" t="s">
        <v>927</v>
      </c>
      <c r="B790" s="37"/>
      <c r="C790" s="37" t="s">
        <v>34</v>
      </c>
      <c r="D790" s="37" t="s">
        <v>2582</v>
      </c>
      <c r="E790" s="38">
        <v>45561</v>
      </c>
      <c r="F790" s="38">
        <v>45926</v>
      </c>
      <c r="G790" s="37" t="s">
        <v>1687</v>
      </c>
      <c r="H790" s="37" t="s">
        <v>60</v>
      </c>
      <c r="I790" s="39">
        <v>8800</v>
      </c>
      <c r="J790" s="39">
        <v>7155</v>
      </c>
      <c r="K790" s="43">
        <f t="shared" si="37"/>
        <v>2.5000000000000001E-2</v>
      </c>
      <c r="L790" s="37" t="s">
        <v>2454</v>
      </c>
      <c r="M790" s="40">
        <v>45561</v>
      </c>
      <c r="N790" s="33" t="s">
        <v>57</v>
      </c>
      <c r="O790" s="41">
        <v>352000</v>
      </c>
      <c r="P790" s="34">
        <f t="shared" si="38"/>
        <v>1073.25</v>
      </c>
      <c r="Q790" s="36">
        <f t="shared" si="36"/>
        <v>71.55</v>
      </c>
      <c r="R790" s="35">
        <v>500</v>
      </c>
    </row>
    <row r="791" spans="1:18" x14ac:dyDescent="0.25">
      <c r="A791" s="37" t="s">
        <v>928</v>
      </c>
      <c r="B791" s="37"/>
      <c r="C791" s="37" t="s">
        <v>30</v>
      </c>
      <c r="D791" s="37" t="s">
        <v>36</v>
      </c>
      <c r="E791" s="38">
        <v>45561</v>
      </c>
      <c r="F791" s="38">
        <v>45926</v>
      </c>
      <c r="G791" s="37" t="s">
        <v>1688</v>
      </c>
      <c r="H791" s="37" t="s">
        <v>61</v>
      </c>
      <c r="I791" s="39">
        <v>16235</v>
      </c>
      <c r="J791" s="39">
        <v>13565</v>
      </c>
      <c r="K791" s="43">
        <f t="shared" si="37"/>
        <v>4.2500000000000003E-2</v>
      </c>
      <c r="L791" s="37" t="s">
        <v>2455</v>
      </c>
      <c r="M791" s="40">
        <v>45561</v>
      </c>
      <c r="N791" s="33" t="s">
        <v>57</v>
      </c>
      <c r="O791" s="41">
        <v>382000</v>
      </c>
      <c r="P791" s="34">
        <f t="shared" si="38"/>
        <v>2034.75</v>
      </c>
      <c r="Q791" s="36">
        <f t="shared" si="36"/>
        <v>135.65</v>
      </c>
      <c r="R791" s="35">
        <v>500</v>
      </c>
    </row>
    <row r="792" spans="1:18" x14ac:dyDescent="0.25">
      <c r="A792" s="37" t="s">
        <v>929</v>
      </c>
      <c r="B792" s="37"/>
      <c r="C792" s="37" t="s">
        <v>30</v>
      </c>
      <c r="D792" s="37" t="s">
        <v>36</v>
      </c>
      <c r="E792" s="38">
        <v>45561</v>
      </c>
      <c r="F792" s="38">
        <v>45926</v>
      </c>
      <c r="G792" s="37" t="s">
        <v>1689</v>
      </c>
      <c r="H792" s="37" t="s">
        <v>61</v>
      </c>
      <c r="I792" s="39">
        <v>16235</v>
      </c>
      <c r="J792" s="39">
        <v>13565</v>
      </c>
      <c r="K792" s="43">
        <f t="shared" si="37"/>
        <v>4.2500000000000003E-2</v>
      </c>
      <c r="L792" s="37" t="s">
        <v>2455</v>
      </c>
      <c r="M792" s="40">
        <v>45561</v>
      </c>
      <c r="N792" s="33" t="s">
        <v>57</v>
      </c>
      <c r="O792" s="41">
        <v>382000</v>
      </c>
      <c r="P792" s="34">
        <f t="shared" si="38"/>
        <v>2034.75</v>
      </c>
      <c r="Q792" s="36">
        <f t="shared" si="36"/>
        <v>135.65</v>
      </c>
      <c r="R792" s="35">
        <v>500</v>
      </c>
    </row>
    <row r="793" spans="1:18" x14ac:dyDescent="0.25">
      <c r="A793" s="37" t="s">
        <v>930</v>
      </c>
      <c r="B793" s="37"/>
      <c r="C793" s="37" t="s">
        <v>36</v>
      </c>
      <c r="D793" s="37" t="s">
        <v>36</v>
      </c>
      <c r="E793" s="38">
        <v>45561</v>
      </c>
      <c r="F793" s="38">
        <v>45926</v>
      </c>
      <c r="G793" s="37" t="s">
        <v>1416</v>
      </c>
      <c r="H793" s="37" t="s">
        <v>60</v>
      </c>
      <c r="I793" s="39">
        <v>14960</v>
      </c>
      <c r="J793" s="39">
        <v>12466</v>
      </c>
      <c r="K793" s="43">
        <f t="shared" si="37"/>
        <v>4.2500000000000003E-2</v>
      </c>
      <c r="L793" s="37" t="s">
        <v>2456</v>
      </c>
      <c r="M793" s="40">
        <v>45561</v>
      </c>
      <c r="N793" s="33" t="s">
        <v>57</v>
      </c>
      <c r="O793" s="41">
        <v>352000</v>
      </c>
      <c r="P793" s="34">
        <f t="shared" si="38"/>
        <v>1869.9</v>
      </c>
      <c r="Q793" s="36">
        <f t="shared" si="36"/>
        <v>124.66</v>
      </c>
      <c r="R793" s="35">
        <v>500</v>
      </c>
    </row>
    <row r="794" spans="1:18" x14ac:dyDescent="0.25">
      <c r="A794" s="37" t="s">
        <v>931</v>
      </c>
      <c r="B794" s="37"/>
      <c r="C794" s="37" t="s">
        <v>39</v>
      </c>
      <c r="D794" s="37" t="s">
        <v>36</v>
      </c>
      <c r="E794" s="38">
        <v>45561</v>
      </c>
      <c r="F794" s="38">
        <v>45926</v>
      </c>
      <c r="G794" s="37" t="s">
        <v>1690</v>
      </c>
      <c r="H794" s="37" t="s">
        <v>62</v>
      </c>
      <c r="I794" s="39">
        <v>23248</v>
      </c>
      <c r="J794" s="39">
        <v>19610</v>
      </c>
      <c r="K794" s="43">
        <f t="shared" si="37"/>
        <v>4.2500914076782449E-2</v>
      </c>
      <c r="L794" s="37" t="s">
        <v>2457</v>
      </c>
      <c r="M794" s="40">
        <v>45561</v>
      </c>
      <c r="N794" s="33" t="s">
        <v>57</v>
      </c>
      <c r="O794" s="41">
        <v>547000</v>
      </c>
      <c r="P794" s="34">
        <f t="shared" si="38"/>
        <v>2941.5</v>
      </c>
      <c r="Q794" s="36">
        <f t="shared" si="36"/>
        <v>196.1</v>
      </c>
      <c r="R794" s="35">
        <v>500</v>
      </c>
    </row>
    <row r="795" spans="1:18" x14ac:dyDescent="0.25">
      <c r="A795" s="37" t="s">
        <v>932</v>
      </c>
      <c r="B795" s="37"/>
      <c r="C795" s="37" t="s">
        <v>33</v>
      </c>
      <c r="D795" s="37" t="s">
        <v>36</v>
      </c>
      <c r="E795" s="38">
        <v>45561</v>
      </c>
      <c r="F795" s="38">
        <v>45926</v>
      </c>
      <c r="G795" s="37" t="s">
        <v>128</v>
      </c>
      <c r="H795" s="37" t="s">
        <v>60</v>
      </c>
      <c r="I795" s="39">
        <v>14960</v>
      </c>
      <c r="J795" s="39">
        <v>12466</v>
      </c>
      <c r="K795" s="43">
        <f t="shared" si="37"/>
        <v>4.2500000000000003E-2</v>
      </c>
      <c r="L795" s="37" t="s">
        <v>2458</v>
      </c>
      <c r="M795" s="40">
        <v>45561</v>
      </c>
      <c r="N795" s="33" t="s">
        <v>57</v>
      </c>
      <c r="O795" s="41">
        <v>352000</v>
      </c>
      <c r="P795" s="34">
        <f t="shared" si="38"/>
        <v>1869.9</v>
      </c>
      <c r="Q795" s="36">
        <f t="shared" si="36"/>
        <v>124.66</v>
      </c>
      <c r="R795" s="35">
        <v>500</v>
      </c>
    </row>
    <row r="796" spans="1:18" x14ac:dyDescent="0.25">
      <c r="A796" s="37" t="s">
        <v>933</v>
      </c>
      <c r="B796" s="37"/>
      <c r="C796" s="37" t="s">
        <v>33</v>
      </c>
      <c r="D796" s="37" t="s">
        <v>36</v>
      </c>
      <c r="E796" s="38">
        <v>45927</v>
      </c>
      <c r="F796" s="38">
        <v>46292</v>
      </c>
      <c r="G796" s="37" t="s">
        <v>128</v>
      </c>
      <c r="H796" s="37" t="s">
        <v>60</v>
      </c>
      <c r="I796" s="39">
        <v>14960</v>
      </c>
      <c r="J796" s="39">
        <v>12466</v>
      </c>
      <c r="K796" s="43">
        <f t="shared" si="37"/>
        <v>4.2500000000000003E-2</v>
      </c>
      <c r="L796" s="37" t="s">
        <v>2458</v>
      </c>
      <c r="M796" s="40">
        <v>45561</v>
      </c>
      <c r="N796" s="33" t="s">
        <v>57</v>
      </c>
      <c r="O796" s="41">
        <v>352000</v>
      </c>
      <c r="P796" s="34">
        <f t="shared" si="38"/>
        <v>1869.9</v>
      </c>
      <c r="Q796" s="36">
        <f t="shared" si="36"/>
        <v>124.66</v>
      </c>
      <c r="R796" s="35">
        <v>500</v>
      </c>
    </row>
    <row r="797" spans="1:18" x14ac:dyDescent="0.25">
      <c r="A797" s="37" t="s">
        <v>934</v>
      </c>
      <c r="B797" s="37"/>
      <c r="C797" s="37" t="s">
        <v>32</v>
      </c>
      <c r="D797" s="37" t="s">
        <v>36</v>
      </c>
      <c r="E797" s="38">
        <v>45561</v>
      </c>
      <c r="F797" s="38">
        <v>45926</v>
      </c>
      <c r="G797" s="37" t="s">
        <v>1691</v>
      </c>
      <c r="H797" s="37" t="s">
        <v>60</v>
      </c>
      <c r="I797" s="39">
        <v>14960</v>
      </c>
      <c r="J797" s="39">
        <v>12466</v>
      </c>
      <c r="K797" s="43">
        <f t="shared" si="37"/>
        <v>4.2500000000000003E-2</v>
      </c>
      <c r="L797" s="37" t="s">
        <v>2459</v>
      </c>
      <c r="M797" s="40">
        <v>45561</v>
      </c>
      <c r="N797" s="33" t="s">
        <v>57</v>
      </c>
      <c r="O797" s="41">
        <v>352000</v>
      </c>
      <c r="P797" s="34">
        <f t="shared" si="38"/>
        <v>1869.9</v>
      </c>
      <c r="Q797" s="36">
        <f t="shared" si="36"/>
        <v>124.66</v>
      </c>
      <c r="R797" s="35">
        <v>500</v>
      </c>
    </row>
    <row r="798" spans="1:18" x14ac:dyDescent="0.25">
      <c r="A798" s="37" t="s">
        <v>935</v>
      </c>
      <c r="B798" s="37"/>
      <c r="C798" s="37" t="s">
        <v>32</v>
      </c>
      <c r="D798" s="37" t="s">
        <v>36</v>
      </c>
      <c r="E798" s="38">
        <v>45927</v>
      </c>
      <c r="F798" s="38">
        <v>46292</v>
      </c>
      <c r="G798" s="37" t="s">
        <v>1691</v>
      </c>
      <c r="H798" s="37" t="s">
        <v>60</v>
      </c>
      <c r="I798" s="39">
        <v>14960</v>
      </c>
      <c r="J798" s="39">
        <v>12466</v>
      </c>
      <c r="K798" s="43">
        <f t="shared" si="37"/>
        <v>4.2500000000000003E-2</v>
      </c>
      <c r="L798" s="37" t="s">
        <v>2459</v>
      </c>
      <c r="M798" s="40">
        <v>45561</v>
      </c>
      <c r="N798" s="33" t="s">
        <v>57</v>
      </c>
      <c r="O798" s="41">
        <v>352000</v>
      </c>
      <c r="P798" s="34">
        <f t="shared" si="38"/>
        <v>1869.9</v>
      </c>
      <c r="Q798" s="36">
        <f t="shared" si="36"/>
        <v>124.66</v>
      </c>
      <c r="R798" s="35">
        <v>500</v>
      </c>
    </row>
    <row r="799" spans="1:18" x14ac:dyDescent="0.25">
      <c r="A799" s="37" t="s">
        <v>936</v>
      </c>
      <c r="B799" s="37"/>
      <c r="C799" s="37" t="s">
        <v>32</v>
      </c>
      <c r="D799" s="37" t="s">
        <v>36</v>
      </c>
      <c r="E799" s="38">
        <v>45561</v>
      </c>
      <c r="F799" s="38">
        <v>45926</v>
      </c>
      <c r="G799" s="37" t="s">
        <v>1692</v>
      </c>
      <c r="H799" s="37" t="s">
        <v>60</v>
      </c>
      <c r="I799" s="39">
        <v>14960</v>
      </c>
      <c r="J799" s="39">
        <v>12466</v>
      </c>
      <c r="K799" s="43">
        <f t="shared" si="37"/>
        <v>4.2500000000000003E-2</v>
      </c>
      <c r="L799" s="37" t="s">
        <v>2460</v>
      </c>
      <c r="M799" s="40">
        <v>45561</v>
      </c>
      <c r="N799" s="33" t="s">
        <v>57</v>
      </c>
      <c r="O799" s="41">
        <v>352000</v>
      </c>
      <c r="P799" s="34">
        <f t="shared" si="38"/>
        <v>1869.9</v>
      </c>
      <c r="Q799" s="36">
        <f t="shared" si="36"/>
        <v>124.66</v>
      </c>
      <c r="R799" s="35">
        <v>500</v>
      </c>
    </row>
    <row r="800" spans="1:18" x14ac:dyDescent="0.25">
      <c r="A800" s="37" t="s">
        <v>937</v>
      </c>
      <c r="B800" s="37"/>
      <c r="C800" s="37" t="s">
        <v>32</v>
      </c>
      <c r="D800" s="37" t="s">
        <v>36</v>
      </c>
      <c r="E800" s="38">
        <v>45927</v>
      </c>
      <c r="F800" s="38">
        <v>46292</v>
      </c>
      <c r="G800" s="37" t="s">
        <v>1692</v>
      </c>
      <c r="H800" s="37" t="s">
        <v>60</v>
      </c>
      <c r="I800" s="39">
        <v>14960</v>
      </c>
      <c r="J800" s="39">
        <v>12466</v>
      </c>
      <c r="K800" s="43">
        <f t="shared" si="37"/>
        <v>4.2500000000000003E-2</v>
      </c>
      <c r="L800" s="37" t="s">
        <v>2460</v>
      </c>
      <c r="M800" s="40">
        <v>45561</v>
      </c>
      <c r="N800" s="33" t="s">
        <v>57</v>
      </c>
      <c r="O800" s="41">
        <v>352000</v>
      </c>
      <c r="P800" s="34">
        <f t="shared" si="38"/>
        <v>1869.9</v>
      </c>
      <c r="Q800" s="36">
        <f t="shared" si="36"/>
        <v>124.66</v>
      </c>
      <c r="R800" s="35">
        <v>500</v>
      </c>
    </row>
    <row r="801" spans="1:18" x14ac:dyDescent="0.25">
      <c r="A801" s="37" t="s">
        <v>938</v>
      </c>
      <c r="B801" s="37"/>
      <c r="C801" s="37" t="s">
        <v>32</v>
      </c>
      <c r="D801" s="37" t="s">
        <v>36</v>
      </c>
      <c r="E801" s="38">
        <v>45561</v>
      </c>
      <c r="F801" s="38">
        <v>45926</v>
      </c>
      <c r="G801" s="37" t="s">
        <v>1693</v>
      </c>
      <c r="H801" s="37" t="s">
        <v>60</v>
      </c>
      <c r="I801" s="39">
        <v>14960</v>
      </c>
      <c r="J801" s="39">
        <v>12466</v>
      </c>
      <c r="K801" s="43">
        <f t="shared" si="37"/>
        <v>4.2500000000000003E-2</v>
      </c>
      <c r="L801" s="37" t="s">
        <v>2461</v>
      </c>
      <c r="M801" s="40">
        <v>45561</v>
      </c>
      <c r="N801" s="33" t="s">
        <v>57</v>
      </c>
      <c r="O801" s="41">
        <v>352000</v>
      </c>
      <c r="P801" s="34">
        <f t="shared" si="38"/>
        <v>1869.9</v>
      </c>
      <c r="Q801" s="36">
        <f t="shared" si="36"/>
        <v>124.66</v>
      </c>
      <c r="R801" s="35">
        <v>500</v>
      </c>
    </row>
    <row r="802" spans="1:18" x14ac:dyDescent="0.25">
      <c r="A802" s="37" t="s">
        <v>939</v>
      </c>
      <c r="B802" s="37"/>
      <c r="C802" s="37" t="s">
        <v>30</v>
      </c>
      <c r="D802" s="37" t="s">
        <v>36</v>
      </c>
      <c r="E802" s="38">
        <v>45561</v>
      </c>
      <c r="F802" s="38">
        <v>45926</v>
      </c>
      <c r="G802" s="37" t="s">
        <v>1694</v>
      </c>
      <c r="H802" s="37" t="s">
        <v>60</v>
      </c>
      <c r="I802" s="39">
        <v>14960</v>
      </c>
      <c r="J802" s="39">
        <v>12466</v>
      </c>
      <c r="K802" s="43">
        <f t="shared" si="37"/>
        <v>4.2500000000000003E-2</v>
      </c>
      <c r="L802" s="37" t="s">
        <v>2462</v>
      </c>
      <c r="M802" s="40">
        <v>45561</v>
      </c>
      <c r="N802" s="33" t="s">
        <v>57</v>
      </c>
      <c r="O802" s="41">
        <v>352000</v>
      </c>
      <c r="P802" s="34">
        <f t="shared" si="38"/>
        <v>1869.9</v>
      </c>
      <c r="Q802" s="36">
        <f t="shared" si="36"/>
        <v>124.66</v>
      </c>
      <c r="R802" s="35">
        <v>500</v>
      </c>
    </row>
    <row r="803" spans="1:18" x14ac:dyDescent="0.25">
      <c r="A803" s="37" t="s">
        <v>940</v>
      </c>
      <c r="B803" s="37"/>
      <c r="C803" s="37" t="s">
        <v>30</v>
      </c>
      <c r="D803" s="37" t="s">
        <v>36</v>
      </c>
      <c r="E803" s="38">
        <v>45927</v>
      </c>
      <c r="F803" s="38">
        <v>46292</v>
      </c>
      <c r="G803" s="37" t="s">
        <v>1694</v>
      </c>
      <c r="H803" s="37" t="s">
        <v>60</v>
      </c>
      <c r="I803" s="39">
        <v>14960</v>
      </c>
      <c r="J803" s="39">
        <v>12466</v>
      </c>
      <c r="K803" s="43">
        <f t="shared" si="37"/>
        <v>4.2500000000000003E-2</v>
      </c>
      <c r="L803" s="37" t="s">
        <v>2462</v>
      </c>
      <c r="M803" s="40">
        <v>45561</v>
      </c>
      <c r="N803" s="33" t="s">
        <v>57</v>
      </c>
      <c r="O803" s="41">
        <v>352000</v>
      </c>
      <c r="P803" s="34">
        <f t="shared" si="38"/>
        <v>1869.9</v>
      </c>
      <c r="Q803" s="36">
        <f t="shared" si="36"/>
        <v>124.66</v>
      </c>
      <c r="R803" s="35">
        <v>500</v>
      </c>
    </row>
    <row r="804" spans="1:18" x14ac:dyDescent="0.25">
      <c r="A804" s="37" t="s">
        <v>941</v>
      </c>
      <c r="B804" s="37"/>
      <c r="C804" s="37" t="s">
        <v>32</v>
      </c>
      <c r="D804" s="37" t="s">
        <v>36</v>
      </c>
      <c r="E804" s="38">
        <v>45561</v>
      </c>
      <c r="F804" s="38">
        <v>45926</v>
      </c>
      <c r="G804" s="37" t="s">
        <v>75</v>
      </c>
      <c r="H804" s="37" t="s">
        <v>60</v>
      </c>
      <c r="I804" s="39">
        <v>14960</v>
      </c>
      <c r="J804" s="39">
        <v>12466</v>
      </c>
      <c r="K804" s="43">
        <f t="shared" si="37"/>
        <v>4.2500000000000003E-2</v>
      </c>
      <c r="L804" s="37" t="s">
        <v>2463</v>
      </c>
      <c r="M804" s="40">
        <v>45561</v>
      </c>
      <c r="N804" s="33" t="s">
        <v>57</v>
      </c>
      <c r="O804" s="41">
        <v>352000</v>
      </c>
      <c r="P804" s="34">
        <f t="shared" si="38"/>
        <v>1869.9</v>
      </c>
      <c r="Q804" s="36">
        <f t="shared" si="36"/>
        <v>124.66</v>
      </c>
      <c r="R804" s="35">
        <v>500</v>
      </c>
    </row>
    <row r="805" spans="1:18" x14ac:dyDescent="0.25">
      <c r="A805" s="37" t="s">
        <v>942</v>
      </c>
      <c r="B805" s="37"/>
      <c r="C805" s="37" t="s">
        <v>54</v>
      </c>
      <c r="D805" s="37" t="s">
        <v>2582</v>
      </c>
      <c r="E805" s="38">
        <v>45561</v>
      </c>
      <c r="F805" s="38">
        <v>45926</v>
      </c>
      <c r="G805" s="37" t="s">
        <v>1695</v>
      </c>
      <c r="H805" s="37" t="s">
        <v>63</v>
      </c>
      <c r="I805" s="39">
        <v>12475</v>
      </c>
      <c r="J805" s="39">
        <v>10323</v>
      </c>
      <c r="K805" s="43">
        <f t="shared" si="37"/>
        <v>2.5000000000000001E-2</v>
      </c>
      <c r="L805" s="37" t="s">
        <v>2464</v>
      </c>
      <c r="M805" s="40">
        <v>45561</v>
      </c>
      <c r="N805" s="33" t="s">
        <v>57</v>
      </c>
      <c r="O805" s="41">
        <v>499000</v>
      </c>
      <c r="P805" s="34">
        <f t="shared" si="38"/>
        <v>1548.45</v>
      </c>
      <c r="Q805" s="36">
        <f t="shared" si="36"/>
        <v>103.23</v>
      </c>
      <c r="R805" s="35">
        <v>500</v>
      </c>
    </row>
    <row r="806" spans="1:18" x14ac:dyDescent="0.25">
      <c r="A806" s="37" t="s">
        <v>943</v>
      </c>
      <c r="B806" s="37"/>
      <c r="C806" s="37" t="s">
        <v>32</v>
      </c>
      <c r="D806" s="37" t="s">
        <v>36</v>
      </c>
      <c r="E806" s="38">
        <v>45561</v>
      </c>
      <c r="F806" s="38">
        <v>45926</v>
      </c>
      <c r="G806" s="37" t="s">
        <v>1696</v>
      </c>
      <c r="H806" s="37" t="s">
        <v>60</v>
      </c>
      <c r="I806" s="39">
        <v>14960</v>
      </c>
      <c r="J806" s="39">
        <v>12466</v>
      </c>
      <c r="K806" s="43">
        <f t="shared" si="37"/>
        <v>4.2500000000000003E-2</v>
      </c>
      <c r="L806" s="37" t="s">
        <v>2465</v>
      </c>
      <c r="M806" s="40">
        <v>45561</v>
      </c>
      <c r="N806" s="33" t="s">
        <v>57</v>
      </c>
      <c r="O806" s="41">
        <v>352000</v>
      </c>
      <c r="P806" s="34">
        <f t="shared" si="38"/>
        <v>1869.9</v>
      </c>
      <c r="Q806" s="36">
        <f t="shared" si="36"/>
        <v>124.66</v>
      </c>
      <c r="R806" s="35">
        <v>500</v>
      </c>
    </row>
    <row r="807" spans="1:18" x14ac:dyDescent="0.25">
      <c r="A807" s="37" t="s">
        <v>944</v>
      </c>
      <c r="B807" s="37"/>
      <c r="C807" s="37" t="s">
        <v>32</v>
      </c>
      <c r="D807" s="37" t="s">
        <v>36</v>
      </c>
      <c r="E807" s="38">
        <v>45927</v>
      </c>
      <c r="F807" s="38">
        <v>46292</v>
      </c>
      <c r="G807" s="37" t="s">
        <v>1696</v>
      </c>
      <c r="H807" s="37" t="s">
        <v>60</v>
      </c>
      <c r="I807" s="39">
        <v>14960</v>
      </c>
      <c r="J807" s="39">
        <v>12466</v>
      </c>
      <c r="K807" s="43">
        <f t="shared" si="37"/>
        <v>4.2500000000000003E-2</v>
      </c>
      <c r="L807" s="37" t="s">
        <v>2465</v>
      </c>
      <c r="M807" s="40">
        <v>45561</v>
      </c>
      <c r="N807" s="33" t="s">
        <v>57</v>
      </c>
      <c r="O807" s="41">
        <v>352000</v>
      </c>
      <c r="P807" s="34">
        <f t="shared" si="38"/>
        <v>1869.9</v>
      </c>
      <c r="Q807" s="36">
        <f t="shared" si="36"/>
        <v>124.66</v>
      </c>
      <c r="R807" s="35">
        <v>500</v>
      </c>
    </row>
    <row r="808" spans="1:18" x14ac:dyDescent="0.25">
      <c r="A808" s="37" t="s">
        <v>945</v>
      </c>
      <c r="B808" s="37"/>
      <c r="C808" s="37" t="s">
        <v>32</v>
      </c>
      <c r="D808" s="37" t="s">
        <v>36</v>
      </c>
      <c r="E808" s="38">
        <v>45561</v>
      </c>
      <c r="F808" s="38">
        <v>45926</v>
      </c>
      <c r="G808" s="37" t="s">
        <v>1697</v>
      </c>
      <c r="H808" s="37" t="s">
        <v>60</v>
      </c>
      <c r="I808" s="39">
        <v>14960</v>
      </c>
      <c r="J808" s="39">
        <v>12466</v>
      </c>
      <c r="K808" s="43">
        <f t="shared" si="37"/>
        <v>4.2500000000000003E-2</v>
      </c>
      <c r="L808" s="37" t="s">
        <v>2466</v>
      </c>
      <c r="M808" s="40">
        <v>45561</v>
      </c>
      <c r="N808" s="33" t="s">
        <v>57</v>
      </c>
      <c r="O808" s="41">
        <v>352000</v>
      </c>
      <c r="P808" s="34">
        <f t="shared" si="38"/>
        <v>1869.9</v>
      </c>
      <c r="Q808" s="36">
        <f t="shared" si="36"/>
        <v>124.66</v>
      </c>
      <c r="R808" s="35">
        <v>500</v>
      </c>
    </row>
    <row r="809" spans="1:18" x14ac:dyDescent="0.25">
      <c r="A809" s="37" t="s">
        <v>946</v>
      </c>
      <c r="B809" s="37"/>
      <c r="C809" s="37" t="s">
        <v>32</v>
      </c>
      <c r="D809" s="37" t="s">
        <v>36</v>
      </c>
      <c r="E809" s="38">
        <v>45927</v>
      </c>
      <c r="F809" s="38">
        <v>46292</v>
      </c>
      <c r="G809" s="37" t="s">
        <v>1697</v>
      </c>
      <c r="H809" s="37" t="s">
        <v>60</v>
      </c>
      <c r="I809" s="39">
        <v>14960</v>
      </c>
      <c r="J809" s="39">
        <v>12466</v>
      </c>
      <c r="K809" s="43">
        <f t="shared" si="37"/>
        <v>4.2500000000000003E-2</v>
      </c>
      <c r="L809" s="37" t="s">
        <v>2466</v>
      </c>
      <c r="M809" s="40">
        <v>45561</v>
      </c>
      <c r="N809" s="33" t="s">
        <v>57</v>
      </c>
      <c r="O809" s="41">
        <v>352000</v>
      </c>
      <c r="P809" s="34">
        <f t="shared" si="38"/>
        <v>1869.9</v>
      </c>
      <c r="Q809" s="36">
        <f t="shared" si="36"/>
        <v>124.66</v>
      </c>
      <c r="R809" s="35">
        <v>500</v>
      </c>
    </row>
    <row r="810" spans="1:18" x14ac:dyDescent="0.25">
      <c r="A810" s="37" t="s">
        <v>947</v>
      </c>
      <c r="B810" s="37"/>
      <c r="C810" s="37" t="s">
        <v>30</v>
      </c>
      <c r="D810" s="37" t="s">
        <v>36</v>
      </c>
      <c r="E810" s="38">
        <v>45561</v>
      </c>
      <c r="F810" s="38">
        <v>45926</v>
      </c>
      <c r="G810" s="37" t="s">
        <v>92</v>
      </c>
      <c r="H810" s="37" t="s">
        <v>60</v>
      </c>
      <c r="I810" s="39">
        <v>14960</v>
      </c>
      <c r="J810" s="39">
        <v>12466</v>
      </c>
      <c r="K810" s="43">
        <f t="shared" si="37"/>
        <v>4.2500000000000003E-2</v>
      </c>
      <c r="L810" s="37" t="s">
        <v>2467</v>
      </c>
      <c r="M810" s="40">
        <v>45561</v>
      </c>
      <c r="N810" s="33" t="s">
        <v>57</v>
      </c>
      <c r="O810" s="41">
        <v>352000</v>
      </c>
      <c r="P810" s="34">
        <f t="shared" si="38"/>
        <v>1869.9</v>
      </c>
      <c r="Q810" s="36">
        <f t="shared" si="36"/>
        <v>124.66</v>
      </c>
      <c r="R810" s="35">
        <v>500</v>
      </c>
    </row>
    <row r="811" spans="1:18" x14ac:dyDescent="0.25">
      <c r="A811" s="37" t="s">
        <v>948</v>
      </c>
      <c r="B811" s="37"/>
      <c r="C811" s="37" t="s">
        <v>49</v>
      </c>
      <c r="D811" s="37" t="s">
        <v>2582</v>
      </c>
      <c r="E811" s="38">
        <v>45561</v>
      </c>
      <c r="F811" s="38">
        <v>45926</v>
      </c>
      <c r="G811" s="37" t="s">
        <v>1698</v>
      </c>
      <c r="H811" s="37" t="s">
        <v>60</v>
      </c>
      <c r="I811" s="39">
        <v>8800</v>
      </c>
      <c r="J811" s="39">
        <v>7155</v>
      </c>
      <c r="K811" s="43">
        <f t="shared" si="37"/>
        <v>2.5000000000000001E-2</v>
      </c>
      <c r="L811" s="37" t="s">
        <v>2468</v>
      </c>
      <c r="M811" s="40">
        <v>45561</v>
      </c>
      <c r="N811" s="33" t="s">
        <v>57</v>
      </c>
      <c r="O811" s="41">
        <v>352000</v>
      </c>
      <c r="P811" s="34">
        <f t="shared" si="38"/>
        <v>1073.25</v>
      </c>
      <c r="Q811" s="36">
        <f t="shared" si="36"/>
        <v>71.55</v>
      </c>
      <c r="R811" s="35">
        <v>500</v>
      </c>
    </row>
    <row r="812" spans="1:18" x14ac:dyDescent="0.25">
      <c r="A812" s="37" t="s">
        <v>949</v>
      </c>
      <c r="B812" s="37"/>
      <c r="C812" s="37" t="s">
        <v>32</v>
      </c>
      <c r="D812" s="37" t="s">
        <v>36</v>
      </c>
      <c r="E812" s="38">
        <v>45561</v>
      </c>
      <c r="F812" s="38">
        <v>45926</v>
      </c>
      <c r="G812" s="37" t="s">
        <v>1699</v>
      </c>
      <c r="H812" s="37" t="s">
        <v>60</v>
      </c>
      <c r="I812" s="39">
        <v>14960</v>
      </c>
      <c r="J812" s="39">
        <v>12466</v>
      </c>
      <c r="K812" s="43">
        <f t="shared" si="37"/>
        <v>4.2500000000000003E-2</v>
      </c>
      <c r="L812" s="37" t="s">
        <v>2469</v>
      </c>
      <c r="M812" s="40">
        <v>45561</v>
      </c>
      <c r="N812" s="33" t="s">
        <v>57</v>
      </c>
      <c r="O812" s="41">
        <v>352000</v>
      </c>
      <c r="P812" s="34">
        <f t="shared" si="38"/>
        <v>1869.9</v>
      </c>
      <c r="Q812" s="36">
        <f t="shared" si="36"/>
        <v>124.66</v>
      </c>
      <c r="R812" s="35">
        <v>500</v>
      </c>
    </row>
    <row r="813" spans="1:18" x14ac:dyDescent="0.25">
      <c r="A813" s="37" t="s">
        <v>950</v>
      </c>
      <c r="B813" s="37"/>
      <c r="C813" s="37" t="s">
        <v>32</v>
      </c>
      <c r="D813" s="37" t="s">
        <v>36</v>
      </c>
      <c r="E813" s="38">
        <v>45927</v>
      </c>
      <c r="F813" s="38">
        <v>46292</v>
      </c>
      <c r="G813" s="37" t="s">
        <v>1699</v>
      </c>
      <c r="H813" s="37" t="s">
        <v>60</v>
      </c>
      <c r="I813" s="39">
        <v>14960</v>
      </c>
      <c r="J813" s="39">
        <v>12466</v>
      </c>
      <c r="K813" s="43">
        <f t="shared" si="37"/>
        <v>4.2500000000000003E-2</v>
      </c>
      <c r="L813" s="37" t="s">
        <v>2469</v>
      </c>
      <c r="M813" s="40">
        <v>45561</v>
      </c>
      <c r="N813" s="33" t="s">
        <v>57</v>
      </c>
      <c r="O813" s="41">
        <v>352000</v>
      </c>
      <c r="P813" s="34">
        <f t="shared" si="38"/>
        <v>1869.9</v>
      </c>
      <c r="Q813" s="36">
        <f t="shared" si="36"/>
        <v>124.66</v>
      </c>
      <c r="R813" s="35">
        <v>500</v>
      </c>
    </row>
    <row r="814" spans="1:18" x14ac:dyDescent="0.25">
      <c r="A814" s="37" t="s">
        <v>951</v>
      </c>
      <c r="B814" s="37"/>
      <c r="C814" s="37" t="s">
        <v>32</v>
      </c>
      <c r="D814" s="37" t="s">
        <v>36</v>
      </c>
      <c r="E814" s="38">
        <v>45561</v>
      </c>
      <c r="F814" s="38">
        <v>45926</v>
      </c>
      <c r="G814" s="37" t="s">
        <v>97</v>
      </c>
      <c r="H814" s="37" t="s">
        <v>60</v>
      </c>
      <c r="I814" s="39">
        <v>14960</v>
      </c>
      <c r="J814" s="39">
        <v>12466</v>
      </c>
      <c r="K814" s="43">
        <f t="shared" si="37"/>
        <v>4.2500000000000003E-2</v>
      </c>
      <c r="L814" s="37" t="s">
        <v>2470</v>
      </c>
      <c r="M814" s="40">
        <v>45561</v>
      </c>
      <c r="N814" s="33" t="s">
        <v>57</v>
      </c>
      <c r="O814" s="41">
        <v>352000</v>
      </c>
      <c r="P814" s="34">
        <f t="shared" si="38"/>
        <v>1869.9</v>
      </c>
      <c r="Q814" s="36">
        <f t="shared" si="36"/>
        <v>124.66</v>
      </c>
      <c r="R814" s="35">
        <v>500</v>
      </c>
    </row>
    <row r="815" spans="1:18" x14ac:dyDescent="0.25">
      <c r="A815" s="37" t="s">
        <v>952</v>
      </c>
      <c r="B815" s="37"/>
      <c r="C815" s="37" t="s">
        <v>32</v>
      </c>
      <c r="D815" s="37" t="s">
        <v>36</v>
      </c>
      <c r="E815" s="38">
        <v>45927</v>
      </c>
      <c r="F815" s="38">
        <v>46292</v>
      </c>
      <c r="G815" s="37" t="s">
        <v>97</v>
      </c>
      <c r="H815" s="37" t="s">
        <v>60</v>
      </c>
      <c r="I815" s="39">
        <v>14960</v>
      </c>
      <c r="J815" s="39">
        <v>12466</v>
      </c>
      <c r="K815" s="43">
        <f t="shared" si="37"/>
        <v>4.2500000000000003E-2</v>
      </c>
      <c r="L815" s="37" t="s">
        <v>2470</v>
      </c>
      <c r="M815" s="40">
        <v>45561</v>
      </c>
      <c r="N815" s="33" t="s">
        <v>57</v>
      </c>
      <c r="O815" s="41">
        <v>352000</v>
      </c>
      <c r="P815" s="34">
        <f t="shared" si="38"/>
        <v>1869.9</v>
      </c>
      <c r="Q815" s="36">
        <f t="shared" si="36"/>
        <v>124.66</v>
      </c>
      <c r="R815" s="35">
        <v>500</v>
      </c>
    </row>
    <row r="816" spans="1:18" x14ac:dyDescent="0.25">
      <c r="A816" s="37" t="s">
        <v>953</v>
      </c>
      <c r="B816" s="37"/>
      <c r="C816" s="37" t="s">
        <v>32</v>
      </c>
      <c r="D816" s="37" t="s">
        <v>36</v>
      </c>
      <c r="E816" s="38">
        <v>45561</v>
      </c>
      <c r="F816" s="38">
        <v>45926</v>
      </c>
      <c r="G816" s="37" t="s">
        <v>1700</v>
      </c>
      <c r="H816" s="37" t="s">
        <v>61</v>
      </c>
      <c r="I816" s="39">
        <v>16235</v>
      </c>
      <c r="J816" s="39">
        <v>13565</v>
      </c>
      <c r="K816" s="43">
        <f t="shared" si="37"/>
        <v>4.2500000000000003E-2</v>
      </c>
      <c r="L816" s="37" t="s">
        <v>2471</v>
      </c>
      <c r="M816" s="40">
        <v>45561</v>
      </c>
      <c r="N816" s="33" t="s">
        <v>57</v>
      </c>
      <c r="O816" s="41">
        <v>382000</v>
      </c>
      <c r="P816" s="34">
        <f t="shared" si="38"/>
        <v>2034.75</v>
      </c>
      <c r="Q816" s="36">
        <f t="shared" si="36"/>
        <v>135.65</v>
      </c>
      <c r="R816" s="35">
        <v>500</v>
      </c>
    </row>
    <row r="817" spans="1:18" x14ac:dyDescent="0.25">
      <c r="A817" s="37" t="s">
        <v>954</v>
      </c>
      <c r="B817" s="37"/>
      <c r="C817" s="37" t="s">
        <v>38</v>
      </c>
      <c r="D817" s="37" t="s">
        <v>36</v>
      </c>
      <c r="E817" s="38">
        <v>45561</v>
      </c>
      <c r="F817" s="38">
        <v>45926</v>
      </c>
      <c r="G817" s="37" t="s">
        <v>67</v>
      </c>
      <c r="H817" s="37" t="s">
        <v>60</v>
      </c>
      <c r="I817" s="39">
        <v>14960</v>
      </c>
      <c r="J817" s="39">
        <v>12466</v>
      </c>
      <c r="K817" s="43">
        <f t="shared" si="37"/>
        <v>4.2500000000000003E-2</v>
      </c>
      <c r="L817" s="37" t="s">
        <v>2472</v>
      </c>
      <c r="M817" s="40">
        <v>45561</v>
      </c>
      <c r="N817" s="33" t="s">
        <v>57</v>
      </c>
      <c r="O817" s="41">
        <v>352000</v>
      </c>
      <c r="P817" s="34">
        <f t="shared" si="38"/>
        <v>1869.9</v>
      </c>
      <c r="Q817" s="36">
        <f t="shared" si="36"/>
        <v>124.66</v>
      </c>
      <c r="R817" s="35">
        <v>500</v>
      </c>
    </row>
    <row r="818" spans="1:18" x14ac:dyDescent="0.25">
      <c r="A818" s="37" t="s">
        <v>955</v>
      </c>
      <c r="B818" s="37"/>
      <c r="C818" s="37" t="s">
        <v>32</v>
      </c>
      <c r="D818" s="37" t="s">
        <v>36</v>
      </c>
      <c r="E818" s="38">
        <v>45561</v>
      </c>
      <c r="F818" s="38">
        <v>45926</v>
      </c>
      <c r="G818" s="37" t="s">
        <v>1701</v>
      </c>
      <c r="H818" s="37" t="s">
        <v>61</v>
      </c>
      <c r="I818" s="39">
        <v>16235</v>
      </c>
      <c r="J818" s="39">
        <v>13565</v>
      </c>
      <c r="K818" s="43">
        <f t="shared" si="37"/>
        <v>4.2500000000000003E-2</v>
      </c>
      <c r="L818" s="37" t="s">
        <v>2473</v>
      </c>
      <c r="M818" s="40">
        <v>45561</v>
      </c>
      <c r="N818" s="33" t="s">
        <v>57</v>
      </c>
      <c r="O818" s="41">
        <v>382000</v>
      </c>
      <c r="P818" s="34">
        <f t="shared" si="38"/>
        <v>2034.75</v>
      </c>
      <c r="Q818" s="36">
        <f t="shared" si="36"/>
        <v>135.65</v>
      </c>
      <c r="R818" s="35">
        <v>500</v>
      </c>
    </row>
    <row r="819" spans="1:18" x14ac:dyDescent="0.25">
      <c r="A819" s="37" t="s">
        <v>956</v>
      </c>
      <c r="B819" s="37"/>
      <c r="C819" s="37" t="s">
        <v>38</v>
      </c>
      <c r="D819" s="37" t="s">
        <v>36</v>
      </c>
      <c r="E819" s="38">
        <v>45561</v>
      </c>
      <c r="F819" s="38">
        <v>45926</v>
      </c>
      <c r="G819" s="37" t="s">
        <v>1131</v>
      </c>
      <c r="H819" s="37" t="s">
        <v>60</v>
      </c>
      <c r="I819" s="39">
        <v>14960</v>
      </c>
      <c r="J819" s="39">
        <v>12466</v>
      </c>
      <c r="K819" s="43">
        <f t="shared" si="37"/>
        <v>4.2500000000000003E-2</v>
      </c>
      <c r="L819" s="37" t="s">
        <v>2474</v>
      </c>
      <c r="M819" s="40">
        <v>45561</v>
      </c>
      <c r="N819" s="33" t="s">
        <v>57</v>
      </c>
      <c r="O819" s="41">
        <v>352000</v>
      </c>
      <c r="P819" s="34">
        <f t="shared" si="38"/>
        <v>1869.9</v>
      </c>
      <c r="Q819" s="36">
        <f t="shared" si="36"/>
        <v>124.66</v>
      </c>
      <c r="R819" s="35">
        <v>500</v>
      </c>
    </row>
    <row r="820" spans="1:18" x14ac:dyDescent="0.25">
      <c r="A820" s="37" t="s">
        <v>957</v>
      </c>
      <c r="B820" s="37"/>
      <c r="C820" s="37" t="s">
        <v>38</v>
      </c>
      <c r="D820" s="37" t="s">
        <v>36</v>
      </c>
      <c r="E820" s="38">
        <v>45927</v>
      </c>
      <c r="F820" s="38">
        <v>46292</v>
      </c>
      <c r="G820" s="37" t="s">
        <v>1131</v>
      </c>
      <c r="H820" s="37" t="s">
        <v>60</v>
      </c>
      <c r="I820" s="39">
        <v>14960</v>
      </c>
      <c r="J820" s="39">
        <v>12466</v>
      </c>
      <c r="K820" s="43">
        <f t="shared" si="37"/>
        <v>4.2500000000000003E-2</v>
      </c>
      <c r="L820" s="37" t="s">
        <v>2474</v>
      </c>
      <c r="M820" s="40">
        <v>45561</v>
      </c>
      <c r="N820" s="33" t="s">
        <v>57</v>
      </c>
      <c r="O820" s="41">
        <v>352000</v>
      </c>
      <c r="P820" s="34">
        <f t="shared" si="38"/>
        <v>1869.9</v>
      </c>
      <c r="Q820" s="36">
        <f t="shared" si="36"/>
        <v>124.66</v>
      </c>
      <c r="R820" s="35">
        <v>500</v>
      </c>
    </row>
    <row r="821" spans="1:18" x14ac:dyDescent="0.25">
      <c r="A821" s="37" t="s">
        <v>958</v>
      </c>
      <c r="B821" s="37"/>
      <c r="C821" s="37" t="s">
        <v>38</v>
      </c>
      <c r="D821" s="37" t="s">
        <v>36</v>
      </c>
      <c r="E821" s="38">
        <v>45561</v>
      </c>
      <c r="F821" s="38">
        <v>45926</v>
      </c>
      <c r="G821" s="37" t="s">
        <v>1702</v>
      </c>
      <c r="H821" s="37" t="s">
        <v>63</v>
      </c>
      <c r="I821" s="39">
        <v>21208</v>
      </c>
      <c r="J821" s="39">
        <v>17852</v>
      </c>
      <c r="K821" s="43">
        <f t="shared" si="37"/>
        <v>4.2501002004008019E-2</v>
      </c>
      <c r="L821" s="37" t="s">
        <v>2475</v>
      </c>
      <c r="M821" s="40">
        <v>45561</v>
      </c>
      <c r="N821" s="33" t="s">
        <v>57</v>
      </c>
      <c r="O821" s="41">
        <v>499000</v>
      </c>
      <c r="P821" s="34">
        <f t="shared" si="38"/>
        <v>2677.8</v>
      </c>
      <c r="Q821" s="36">
        <f t="shared" si="36"/>
        <v>178.52</v>
      </c>
      <c r="R821" s="35">
        <v>500</v>
      </c>
    </row>
    <row r="822" spans="1:18" x14ac:dyDescent="0.25">
      <c r="A822" s="37" t="s">
        <v>959</v>
      </c>
      <c r="B822" s="37"/>
      <c r="C822" s="37" t="s">
        <v>38</v>
      </c>
      <c r="D822" s="37" t="s">
        <v>36</v>
      </c>
      <c r="E822" s="38">
        <v>45927</v>
      </c>
      <c r="F822" s="38">
        <v>46292</v>
      </c>
      <c r="G822" s="37" t="s">
        <v>1702</v>
      </c>
      <c r="H822" s="37" t="s">
        <v>63</v>
      </c>
      <c r="I822" s="39">
        <v>21208</v>
      </c>
      <c r="J822" s="39">
        <v>17852</v>
      </c>
      <c r="K822" s="43">
        <f t="shared" si="37"/>
        <v>4.2501002004008019E-2</v>
      </c>
      <c r="L822" s="37" t="s">
        <v>2475</v>
      </c>
      <c r="M822" s="40">
        <v>45561</v>
      </c>
      <c r="N822" s="33" t="s">
        <v>57</v>
      </c>
      <c r="O822" s="41">
        <v>499000</v>
      </c>
      <c r="P822" s="34">
        <f t="shared" si="38"/>
        <v>2677.8</v>
      </c>
      <c r="Q822" s="36">
        <f t="shared" si="36"/>
        <v>178.52</v>
      </c>
      <c r="R822" s="35">
        <v>500</v>
      </c>
    </row>
    <row r="823" spans="1:18" x14ac:dyDescent="0.25">
      <c r="A823" s="37" t="s">
        <v>960</v>
      </c>
      <c r="B823" s="37"/>
      <c r="C823" s="37" t="s">
        <v>38</v>
      </c>
      <c r="D823" s="37" t="s">
        <v>36</v>
      </c>
      <c r="E823" s="38">
        <v>45561</v>
      </c>
      <c r="F823" s="38">
        <v>45926</v>
      </c>
      <c r="G823" s="37" t="s">
        <v>134</v>
      </c>
      <c r="H823" s="37" t="s">
        <v>60</v>
      </c>
      <c r="I823" s="39">
        <v>14960</v>
      </c>
      <c r="J823" s="39">
        <v>12466</v>
      </c>
      <c r="K823" s="43">
        <f t="shared" si="37"/>
        <v>4.2500000000000003E-2</v>
      </c>
      <c r="L823" s="37" t="s">
        <v>2476</v>
      </c>
      <c r="M823" s="40">
        <v>45561</v>
      </c>
      <c r="N823" s="33" t="s">
        <v>57</v>
      </c>
      <c r="O823" s="41">
        <v>352000</v>
      </c>
      <c r="P823" s="34">
        <f t="shared" si="38"/>
        <v>1869.9</v>
      </c>
      <c r="Q823" s="36">
        <f t="shared" si="36"/>
        <v>124.66</v>
      </c>
      <c r="R823" s="35">
        <v>500</v>
      </c>
    </row>
    <row r="824" spans="1:18" x14ac:dyDescent="0.25">
      <c r="A824" s="37" t="s">
        <v>961</v>
      </c>
      <c r="B824" s="37"/>
      <c r="C824" s="37" t="s">
        <v>38</v>
      </c>
      <c r="D824" s="37" t="s">
        <v>36</v>
      </c>
      <c r="E824" s="38">
        <v>45927</v>
      </c>
      <c r="F824" s="38">
        <v>46292</v>
      </c>
      <c r="G824" s="37" t="s">
        <v>134</v>
      </c>
      <c r="H824" s="37" t="s">
        <v>60</v>
      </c>
      <c r="I824" s="39">
        <v>14960</v>
      </c>
      <c r="J824" s="39">
        <v>12466</v>
      </c>
      <c r="K824" s="43">
        <f t="shared" si="37"/>
        <v>4.2500000000000003E-2</v>
      </c>
      <c r="L824" s="37" t="s">
        <v>2476</v>
      </c>
      <c r="M824" s="40">
        <v>45561</v>
      </c>
      <c r="N824" s="33" t="s">
        <v>57</v>
      </c>
      <c r="O824" s="41">
        <v>352000</v>
      </c>
      <c r="P824" s="34">
        <f t="shared" si="38"/>
        <v>1869.9</v>
      </c>
      <c r="Q824" s="36">
        <f t="shared" si="36"/>
        <v>124.66</v>
      </c>
      <c r="R824" s="35">
        <v>500</v>
      </c>
    </row>
    <row r="825" spans="1:18" x14ac:dyDescent="0.25">
      <c r="A825" s="37" t="s">
        <v>962</v>
      </c>
      <c r="B825" s="37"/>
      <c r="C825" s="37" t="s">
        <v>38</v>
      </c>
      <c r="D825" s="37" t="s">
        <v>36</v>
      </c>
      <c r="E825" s="38">
        <v>45561</v>
      </c>
      <c r="F825" s="38">
        <v>45926</v>
      </c>
      <c r="G825" s="37" t="s">
        <v>1703</v>
      </c>
      <c r="H825" s="37" t="s">
        <v>61</v>
      </c>
      <c r="I825" s="39">
        <v>16235</v>
      </c>
      <c r="J825" s="39">
        <v>13565</v>
      </c>
      <c r="K825" s="43">
        <f t="shared" si="37"/>
        <v>4.2500000000000003E-2</v>
      </c>
      <c r="L825" s="37" t="s">
        <v>2477</v>
      </c>
      <c r="M825" s="40">
        <v>45561</v>
      </c>
      <c r="N825" s="33" t="s">
        <v>57</v>
      </c>
      <c r="O825" s="41">
        <v>382000</v>
      </c>
      <c r="P825" s="34">
        <f t="shared" si="38"/>
        <v>2034.75</v>
      </c>
      <c r="Q825" s="36">
        <f t="shared" si="36"/>
        <v>135.65</v>
      </c>
      <c r="R825" s="35">
        <v>500</v>
      </c>
    </row>
    <row r="826" spans="1:18" x14ac:dyDescent="0.25">
      <c r="A826" s="37" t="s">
        <v>963</v>
      </c>
      <c r="B826" s="37"/>
      <c r="C826" s="37" t="s">
        <v>38</v>
      </c>
      <c r="D826" s="37" t="s">
        <v>36</v>
      </c>
      <c r="E826" s="38">
        <v>45927</v>
      </c>
      <c r="F826" s="38">
        <v>46292</v>
      </c>
      <c r="G826" s="37" t="s">
        <v>1703</v>
      </c>
      <c r="H826" s="37" t="s">
        <v>61</v>
      </c>
      <c r="I826" s="39">
        <v>16235</v>
      </c>
      <c r="J826" s="39">
        <v>13565</v>
      </c>
      <c r="K826" s="43">
        <f t="shared" si="37"/>
        <v>4.2500000000000003E-2</v>
      </c>
      <c r="L826" s="37" t="s">
        <v>2477</v>
      </c>
      <c r="M826" s="40">
        <v>45561</v>
      </c>
      <c r="N826" s="33" t="s">
        <v>57</v>
      </c>
      <c r="O826" s="41">
        <v>382000</v>
      </c>
      <c r="P826" s="34">
        <f t="shared" si="38"/>
        <v>2034.75</v>
      </c>
      <c r="Q826" s="36">
        <f t="shared" si="36"/>
        <v>135.65</v>
      </c>
      <c r="R826" s="35">
        <v>500</v>
      </c>
    </row>
    <row r="827" spans="1:18" x14ac:dyDescent="0.25">
      <c r="A827" s="37" t="s">
        <v>964</v>
      </c>
      <c r="B827" s="37"/>
      <c r="C827" s="37" t="s">
        <v>38</v>
      </c>
      <c r="D827" s="37" t="s">
        <v>36</v>
      </c>
      <c r="E827" s="38">
        <v>45561</v>
      </c>
      <c r="F827" s="38">
        <v>45926</v>
      </c>
      <c r="G827" s="37" t="s">
        <v>1704</v>
      </c>
      <c r="H827" s="37" t="s">
        <v>62</v>
      </c>
      <c r="I827" s="39">
        <v>23248</v>
      </c>
      <c r="J827" s="39">
        <v>19610</v>
      </c>
      <c r="K827" s="43">
        <f t="shared" si="37"/>
        <v>4.2500914076782449E-2</v>
      </c>
      <c r="L827" s="37" t="s">
        <v>2478</v>
      </c>
      <c r="M827" s="40">
        <v>45561</v>
      </c>
      <c r="N827" s="33" t="s">
        <v>57</v>
      </c>
      <c r="O827" s="41">
        <v>547000</v>
      </c>
      <c r="P827" s="34">
        <f t="shared" si="38"/>
        <v>2941.5</v>
      </c>
      <c r="Q827" s="36">
        <f t="shared" si="36"/>
        <v>196.1</v>
      </c>
      <c r="R827" s="35">
        <v>500</v>
      </c>
    </row>
    <row r="828" spans="1:18" x14ac:dyDescent="0.25">
      <c r="A828" s="37" t="s">
        <v>965</v>
      </c>
      <c r="B828" s="37"/>
      <c r="C828" s="37" t="s">
        <v>38</v>
      </c>
      <c r="D828" s="37" t="s">
        <v>36</v>
      </c>
      <c r="E828" s="38">
        <v>45927</v>
      </c>
      <c r="F828" s="38">
        <v>46292</v>
      </c>
      <c r="G828" s="37" t="s">
        <v>1704</v>
      </c>
      <c r="H828" s="37" t="s">
        <v>62</v>
      </c>
      <c r="I828" s="39">
        <v>23248</v>
      </c>
      <c r="J828" s="39">
        <v>19610</v>
      </c>
      <c r="K828" s="43">
        <f t="shared" si="37"/>
        <v>4.2500914076782449E-2</v>
      </c>
      <c r="L828" s="37" t="s">
        <v>2478</v>
      </c>
      <c r="M828" s="40">
        <v>45561</v>
      </c>
      <c r="N828" s="33" t="s">
        <v>57</v>
      </c>
      <c r="O828" s="41">
        <v>547000</v>
      </c>
      <c r="P828" s="34">
        <f t="shared" si="38"/>
        <v>2941.5</v>
      </c>
      <c r="Q828" s="36">
        <f t="shared" si="36"/>
        <v>196.1</v>
      </c>
      <c r="R828" s="35">
        <v>500</v>
      </c>
    </row>
    <row r="829" spans="1:18" x14ac:dyDescent="0.25">
      <c r="A829" s="37" t="s">
        <v>966</v>
      </c>
      <c r="B829" s="37"/>
      <c r="C829" s="37" t="s">
        <v>38</v>
      </c>
      <c r="D829" s="37" t="s">
        <v>36</v>
      </c>
      <c r="E829" s="38">
        <v>45561</v>
      </c>
      <c r="F829" s="38">
        <v>45926</v>
      </c>
      <c r="G829" s="37" t="s">
        <v>1705</v>
      </c>
      <c r="H829" s="37" t="s">
        <v>61</v>
      </c>
      <c r="I829" s="39">
        <v>16235</v>
      </c>
      <c r="J829" s="39">
        <v>13565</v>
      </c>
      <c r="K829" s="43">
        <f t="shared" si="37"/>
        <v>4.2500000000000003E-2</v>
      </c>
      <c r="L829" s="37" t="s">
        <v>2479</v>
      </c>
      <c r="M829" s="40">
        <v>45561</v>
      </c>
      <c r="N829" s="33" t="s">
        <v>57</v>
      </c>
      <c r="O829" s="41">
        <v>382000</v>
      </c>
      <c r="P829" s="34">
        <f t="shared" si="38"/>
        <v>2034.75</v>
      </c>
      <c r="Q829" s="36">
        <f t="shared" si="36"/>
        <v>135.65</v>
      </c>
      <c r="R829" s="35">
        <v>500</v>
      </c>
    </row>
    <row r="830" spans="1:18" x14ac:dyDescent="0.25">
      <c r="A830" s="37" t="s">
        <v>967</v>
      </c>
      <c r="B830" s="37"/>
      <c r="C830" s="37" t="s">
        <v>38</v>
      </c>
      <c r="D830" s="37" t="s">
        <v>36</v>
      </c>
      <c r="E830" s="38">
        <v>45561</v>
      </c>
      <c r="F830" s="38">
        <v>45926</v>
      </c>
      <c r="G830" s="37" t="s">
        <v>1706</v>
      </c>
      <c r="H830" s="37" t="s">
        <v>61</v>
      </c>
      <c r="I830" s="39">
        <v>16235</v>
      </c>
      <c r="J830" s="39">
        <v>13565</v>
      </c>
      <c r="K830" s="43">
        <f t="shared" si="37"/>
        <v>4.2500000000000003E-2</v>
      </c>
      <c r="L830" s="37" t="s">
        <v>2480</v>
      </c>
      <c r="M830" s="40">
        <v>45561</v>
      </c>
      <c r="N830" s="33" t="s">
        <v>57</v>
      </c>
      <c r="O830" s="41">
        <v>382000</v>
      </c>
      <c r="P830" s="34">
        <f t="shared" si="38"/>
        <v>2034.75</v>
      </c>
      <c r="Q830" s="36">
        <f t="shared" si="36"/>
        <v>135.65</v>
      </c>
      <c r="R830" s="35">
        <v>500</v>
      </c>
    </row>
    <row r="831" spans="1:18" x14ac:dyDescent="0.25">
      <c r="A831" s="37" t="s">
        <v>968</v>
      </c>
      <c r="B831" s="37"/>
      <c r="C831" s="37" t="s">
        <v>38</v>
      </c>
      <c r="D831" s="37" t="s">
        <v>36</v>
      </c>
      <c r="E831" s="38">
        <v>45927</v>
      </c>
      <c r="F831" s="38">
        <v>46292</v>
      </c>
      <c r="G831" s="37" t="s">
        <v>1706</v>
      </c>
      <c r="H831" s="37" t="s">
        <v>61</v>
      </c>
      <c r="I831" s="39">
        <v>16235</v>
      </c>
      <c r="J831" s="39">
        <v>13565</v>
      </c>
      <c r="K831" s="43">
        <f t="shared" si="37"/>
        <v>4.2500000000000003E-2</v>
      </c>
      <c r="L831" s="37" t="s">
        <v>2480</v>
      </c>
      <c r="M831" s="40">
        <v>45561</v>
      </c>
      <c r="N831" s="33" t="s">
        <v>57</v>
      </c>
      <c r="O831" s="41">
        <v>382000</v>
      </c>
      <c r="P831" s="34">
        <f t="shared" si="38"/>
        <v>2034.75</v>
      </c>
      <c r="Q831" s="36">
        <f t="shared" si="36"/>
        <v>135.65</v>
      </c>
      <c r="R831" s="35">
        <v>500</v>
      </c>
    </row>
    <row r="832" spans="1:18" x14ac:dyDescent="0.25">
      <c r="A832" s="37" t="s">
        <v>969</v>
      </c>
      <c r="B832" s="37"/>
      <c r="C832" s="37" t="s">
        <v>38</v>
      </c>
      <c r="D832" s="37" t="s">
        <v>36</v>
      </c>
      <c r="E832" s="38">
        <v>45561</v>
      </c>
      <c r="F832" s="38">
        <v>45926</v>
      </c>
      <c r="G832" s="37" t="s">
        <v>1707</v>
      </c>
      <c r="H832" s="37" t="s">
        <v>61</v>
      </c>
      <c r="I832" s="39">
        <v>16235</v>
      </c>
      <c r="J832" s="39">
        <v>13565</v>
      </c>
      <c r="K832" s="43">
        <f t="shared" si="37"/>
        <v>4.2500000000000003E-2</v>
      </c>
      <c r="L832" s="37" t="s">
        <v>2481</v>
      </c>
      <c r="M832" s="40">
        <v>45561</v>
      </c>
      <c r="N832" s="33" t="s">
        <v>57</v>
      </c>
      <c r="O832" s="41">
        <v>382000</v>
      </c>
      <c r="P832" s="34">
        <f t="shared" si="38"/>
        <v>2034.75</v>
      </c>
      <c r="Q832" s="36">
        <f t="shared" ref="Q832:Q895" si="39">J832*1/100</f>
        <v>135.65</v>
      </c>
      <c r="R832" s="35">
        <v>500</v>
      </c>
    </row>
    <row r="833" spans="1:18" x14ac:dyDescent="0.25">
      <c r="A833" s="37" t="s">
        <v>970</v>
      </c>
      <c r="B833" s="37"/>
      <c r="C833" s="37" t="s">
        <v>38</v>
      </c>
      <c r="D833" s="37" t="s">
        <v>36</v>
      </c>
      <c r="E833" s="38">
        <v>45561</v>
      </c>
      <c r="F833" s="38">
        <v>45926</v>
      </c>
      <c r="G833" s="37" t="s">
        <v>117</v>
      </c>
      <c r="H833" s="37" t="s">
        <v>60</v>
      </c>
      <c r="I833" s="39">
        <v>14960</v>
      </c>
      <c r="J833" s="39">
        <v>12466</v>
      </c>
      <c r="K833" s="43">
        <f t="shared" si="37"/>
        <v>4.2500000000000003E-2</v>
      </c>
      <c r="L833" s="37" t="s">
        <v>2482</v>
      </c>
      <c r="M833" s="40">
        <v>45561</v>
      </c>
      <c r="N833" s="33" t="s">
        <v>57</v>
      </c>
      <c r="O833" s="41">
        <v>352000</v>
      </c>
      <c r="P833" s="34">
        <f t="shared" si="38"/>
        <v>1869.9</v>
      </c>
      <c r="Q833" s="36">
        <f t="shared" si="39"/>
        <v>124.66</v>
      </c>
      <c r="R833" s="35">
        <v>500</v>
      </c>
    </row>
    <row r="834" spans="1:18" x14ac:dyDescent="0.25">
      <c r="A834" s="37" t="s">
        <v>971</v>
      </c>
      <c r="B834" s="37"/>
      <c r="C834" s="37" t="s">
        <v>36</v>
      </c>
      <c r="D834" s="37" t="s">
        <v>36</v>
      </c>
      <c r="E834" s="38">
        <v>45562</v>
      </c>
      <c r="F834" s="38">
        <v>45927</v>
      </c>
      <c r="G834" s="37" t="s">
        <v>1708</v>
      </c>
      <c r="H834" s="37" t="s">
        <v>60</v>
      </c>
      <c r="I834" s="39">
        <v>14960</v>
      </c>
      <c r="J834" s="39">
        <v>12466</v>
      </c>
      <c r="K834" s="43">
        <f t="shared" si="37"/>
        <v>4.2500000000000003E-2</v>
      </c>
      <c r="L834" s="37" t="s">
        <v>2483</v>
      </c>
      <c r="M834" s="40">
        <v>45562</v>
      </c>
      <c r="N834" s="33" t="s">
        <v>57</v>
      </c>
      <c r="O834" s="41">
        <v>352000</v>
      </c>
      <c r="P834" s="34">
        <f t="shared" si="38"/>
        <v>1869.9</v>
      </c>
      <c r="Q834" s="36">
        <f t="shared" si="39"/>
        <v>124.66</v>
      </c>
      <c r="R834" s="35">
        <v>500</v>
      </c>
    </row>
    <row r="835" spans="1:18" x14ac:dyDescent="0.25">
      <c r="A835" s="37" t="s">
        <v>972</v>
      </c>
      <c r="B835" s="37"/>
      <c r="C835" s="37" t="s">
        <v>36</v>
      </c>
      <c r="D835" s="37" t="s">
        <v>36</v>
      </c>
      <c r="E835" s="38">
        <v>45928</v>
      </c>
      <c r="F835" s="38">
        <v>46293</v>
      </c>
      <c r="G835" s="37" t="s">
        <v>1708</v>
      </c>
      <c r="H835" s="37" t="s">
        <v>60</v>
      </c>
      <c r="I835" s="39">
        <v>14960</v>
      </c>
      <c r="J835" s="39">
        <v>12466</v>
      </c>
      <c r="K835" s="43">
        <f t="shared" si="37"/>
        <v>4.2500000000000003E-2</v>
      </c>
      <c r="L835" s="37" t="s">
        <v>2483</v>
      </c>
      <c r="M835" s="40">
        <v>45562</v>
      </c>
      <c r="N835" s="33" t="s">
        <v>57</v>
      </c>
      <c r="O835" s="41">
        <v>352000</v>
      </c>
      <c r="P835" s="34">
        <f t="shared" si="38"/>
        <v>1869.9</v>
      </c>
      <c r="Q835" s="36">
        <f t="shared" si="39"/>
        <v>124.66</v>
      </c>
      <c r="R835" s="35">
        <v>500</v>
      </c>
    </row>
    <row r="836" spans="1:18" x14ac:dyDescent="0.25">
      <c r="A836" s="37" t="s">
        <v>973</v>
      </c>
      <c r="B836" s="37"/>
      <c r="C836" s="37" t="s">
        <v>70</v>
      </c>
      <c r="D836" s="37" t="s">
        <v>2582</v>
      </c>
      <c r="E836" s="38">
        <v>45562</v>
      </c>
      <c r="F836" s="38">
        <v>45927</v>
      </c>
      <c r="G836" s="37" t="s">
        <v>1709</v>
      </c>
      <c r="H836" s="37" t="s">
        <v>60</v>
      </c>
      <c r="I836" s="39">
        <v>8800</v>
      </c>
      <c r="J836" s="39">
        <v>7155</v>
      </c>
      <c r="K836" s="43">
        <f t="shared" ref="K836:K899" si="40">I836/O836</f>
        <v>2.5000000000000001E-2</v>
      </c>
      <c r="L836" s="37" t="s">
        <v>2484</v>
      </c>
      <c r="M836" s="40">
        <v>45562</v>
      </c>
      <c r="N836" s="33" t="s">
        <v>57</v>
      </c>
      <c r="O836" s="41">
        <v>352000</v>
      </c>
      <c r="P836" s="34">
        <f t="shared" ref="P836:P899" si="41">J836*15/100</f>
        <v>1073.25</v>
      </c>
      <c r="Q836" s="36">
        <f t="shared" si="39"/>
        <v>71.55</v>
      </c>
      <c r="R836" s="35">
        <v>500</v>
      </c>
    </row>
    <row r="837" spans="1:18" x14ac:dyDescent="0.25">
      <c r="A837" s="37" t="s">
        <v>974</v>
      </c>
      <c r="B837" s="37"/>
      <c r="C837" s="37" t="s">
        <v>53</v>
      </c>
      <c r="D837" s="37" t="s">
        <v>2582</v>
      </c>
      <c r="E837" s="38">
        <v>45562</v>
      </c>
      <c r="F837" s="38">
        <v>45927</v>
      </c>
      <c r="G837" s="37" t="s">
        <v>1710</v>
      </c>
      <c r="H837" s="37" t="s">
        <v>61</v>
      </c>
      <c r="I837" s="39">
        <v>9550</v>
      </c>
      <c r="J837" s="39">
        <v>7802</v>
      </c>
      <c r="K837" s="43">
        <f t="shared" si="40"/>
        <v>2.5000000000000001E-2</v>
      </c>
      <c r="L837" s="37" t="s">
        <v>2485</v>
      </c>
      <c r="M837" s="40">
        <v>45562</v>
      </c>
      <c r="N837" s="33" t="s">
        <v>57</v>
      </c>
      <c r="O837" s="41">
        <v>382000</v>
      </c>
      <c r="P837" s="34">
        <f t="shared" si="41"/>
        <v>1170.3</v>
      </c>
      <c r="Q837" s="36">
        <f t="shared" si="39"/>
        <v>78.02</v>
      </c>
      <c r="R837" s="35">
        <v>500</v>
      </c>
    </row>
    <row r="838" spans="1:18" x14ac:dyDescent="0.25">
      <c r="A838" s="37" t="s">
        <v>975</v>
      </c>
      <c r="B838" s="37"/>
      <c r="C838" s="37" t="s">
        <v>70</v>
      </c>
      <c r="D838" s="37" t="s">
        <v>2582</v>
      </c>
      <c r="E838" s="38">
        <v>45562</v>
      </c>
      <c r="F838" s="38">
        <v>45927</v>
      </c>
      <c r="G838" s="37" t="s">
        <v>1711</v>
      </c>
      <c r="H838" s="37" t="s">
        <v>61</v>
      </c>
      <c r="I838" s="39">
        <v>9550</v>
      </c>
      <c r="J838" s="39">
        <v>7802</v>
      </c>
      <c r="K838" s="43">
        <f t="shared" si="40"/>
        <v>2.5000000000000001E-2</v>
      </c>
      <c r="L838" s="37" t="s">
        <v>2486</v>
      </c>
      <c r="M838" s="40">
        <v>45562</v>
      </c>
      <c r="N838" s="33" t="s">
        <v>57</v>
      </c>
      <c r="O838" s="41">
        <v>382000</v>
      </c>
      <c r="P838" s="34">
        <f t="shared" si="41"/>
        <v>1170.3</v>
      </c>
      <c r="Q838" s="36">
        <f t="shared" si="39"/>
        <v>78.02</v>
      </c>
      <c r="R838" s="35">
        <v>500</v>
      </c>
    </row>
    <row r="839" spans="1:18" x14ac:dyDescent="0.25">
      <c r="A839" s="37" t="s">
        <v>976</v>
      </c>
      <c r="B839" s="37"/>
      <c r="C839" s="37" t="s">
        <v>36</v>
      </c>
      <c r="D839" s="37" t="s">
        <v>36</v>
      </c>
      <c r="E839" s="38">
        <v>45562</v>
      </c>
      <c r="F839" s="38">
        <v>45927</v>
      </c>
      <c r="G839" s="37" t="s">
        <v>93</v>
      </c>
      <c r="H839" s="37" t="s">
        <v>60</v>
      </c>
      <c r="I839" s="39">
        <v>14960</v>
      </c>
      <c r="J839" s="39">
        <v>12466</v>
      </c>
      <c r="K839" s="43">
        <f t="shared" si="40"/>
        <v>4.2500000000000003E-2</v>
      </c>
      <c r="L839" s="37" t="s">
        <v>2487</v>
      </c>
      <c r="M839" s="40">
        <v>45562</v>
      </c>
      <c r="N839" s="33" t="s">
        <v>57</v>
      </c>
      <c r="O839" s="41">
        <v>352000</v>
      </c>
      <c r="P839" s="34">
        <f t="shared" si="41"/>
        <v>1869.9</v>
      </c>
      <c r="Q839" s="36">
        <f t="shared" si="39"/>
        <v>124.66</v>
      </c>
      <c r="R839" s="35">
        <v>500</v>
      </c>
    </row>
    <row r="840" spans="1:18" x14ac:dyDescent="0.25">
      <c r="A840" s="37" t="s">
        <v>977</v>
      </c>
      <c r="B840" s="37"/>
      <c r="C840" s="37" t="s">
        <v>70</v>
      </c>
      <c r="D840" s="37" t="s">
        <v>2582</v>
      </c>
      <c r="E840" s="38">
        <v>45562</v>
      </c>
      <c r="F840" s="38">
        <v>45927</v>
      </c>
      <c r="G840" s="37" t="s">
        <v>1712</v>
      </c>
      <c r="H840" s="37" t="s">
        <v>60</v>
      </c>
      <c r="I840" s="39">
        <v>8800</v>
      </c>
      <c r="J840" s="39">
        <v>7155</v>
      </c>
      <c r="K840" s="43">
        <f t="shared" si="40"/>
        <v>2.5000000000000001E-2</v>
      </c>
      <c r="L840" s="37" t="s">
        <v>2488</v>
      </c>
      <c r="M840" s="40">
        <v>45562</v>
      </c>
      <c r="N840" s="33" t="s">
        <v>57</v>
      </c>
      <c r="O840" s="41">
        <v>352000</v>
      </c>
      <c r="P840" s="34">
        <f t="shared" si="41"/>
        <v>1073.25</v>
      </c>
      <c r="Q840" s="36">
        <f t="shared" si="39"/>
        <v>71.55</v>
      </c>
      <c r="R840" s="35">
        <v>500</v>
      </c>
    </row>
    <row r="841" spans="1:18" x14ac:dyDescent="0.25">
      <c r="A841" s="37" t="s">
        <v>978</v>
      </c>
      <c r="B841" s="37"/>
      <c r="C841" s="37" t="s">
        <v>31</v>
      </c>
      <c r="D841" s="37" t="s">
        <v>36</v>
      </c>
      <c r="E841" s="38">
        <v>45562</v>
      </c>
      <c r="F841" s="38">
        <v>45927</v>
      </c>
      <c r="G841" s="37" t="s">
        <v>108</v>
      </c>
      <c r="H841" s="37" t="s">
        <v>63</v>
      </c>
      <c r="I841" s="39">
        <v>21208</v>
      </c>
      <c r="J841" s="39">
        <v>17852</v>
      </c>
      <c r="K841" s="43">
        <f t="shared" si="40"/>
        <v>4.2501002004008019E-2</v>
      </c>
      <c r="L841" s="37" t="s">
        <v>2489</v>
      </c>
      <c r="M841" s="40">
        <v>45562</v>
      </c>
      <c r="N841" s="33" t="s">
        <v>57</v>
      </c>
      <c r="O841" s="41">
        <v>499000</v>
      </c>
      <c r="P841" s="34">
        <f t="shared" si="41"/>
        <v>2677.8</v>
      </c>
      <c r="Q841" s="36">
        <f t="shared" si="39"/>
        <v>178.52</v>
      </c>
      <c r="R841" s="35">
        <v>500</v>
      </c>
    </row>
    <row r="842" spans="1:18" x14ac:dyDescent="0.25">
      <c r="A842" s="37" t="s">
        <v>979</v>
      </c>
      <c r="B842" s="37"/>
      <c r="C842" s="37" t="s">
        <v>31</v>
      </c>
      <c r="D842" s="37" t="s">
        <v>36</v>
      </c>
      <c r="E842" s="38">
        <v>45928</v>
      </c>
      <c r="F842" s="38">
        <v>46293</v>
      </c>
      <c r="G842" s="37" t="s">
        <v>108</v>
      </c>
      <c r="H842" s="37" t="s">
        <v>63</v>
      </c>
      <c r="I842" s="39">
        <v>21208</v>
      </c>
      <c r="J842" s="39">
        <v>17852</v>
      </c>
      <c r="K842" s="43">
        <f t="shared" si="40"/>
        <v>4.2501002004008019E-2</v>
      </c>
      <c r="L842" s="37" t="s">
        <v>2489</v>
      </c>
      <c r="M842" s="40">
        <v>45562</v>
      </c>
      <c r="N842" s="33" t="s">
        <v>57</v>
      </c>
      <c r="O842" s="41">
        <v>499000</v>
      </c>
      <c r="P842" s="34">
        <f t="shared" si="41"/>
        <v>2677.8</v>
      </c>
      <c r="Q842" s="36">
        <f t="shared" si="39"/>
        <v>178.52</v>
      </c>
      <c r="R842" s="35">
        <v>500</v>
      </c>
    </row>
    <row r="843" spans="1:18" x14ac:dyDescent="0.25">
      <c r="A843" s="37" t="s">
        <v>980</v>
      </c>
      <c r="B843" s="37"/>
      <c r="C843" s="37" t="s">
        <v>70</v>
      </c>
      <c r="D843" s="37" t="s">
        <v>2582</v>
      </c>
      <c r="E843" s="38">
        <v>45562</v>
      </c>
      <c r="F843" s="38">
        <v>45927</v>
      </c>
      <c r="G843" s="37" t="s">
        <v>1713</v>
      </c>
      <c r="H843" s="37" t="s">
        <v>60</v>
      </c>
      <c r="I843" s="39">
        <v>8800</v>
      </c>
      <c r="J843" s="39">
        <v>7155</v>
      </c>
      <c r="K843" s="43">
        <f t="shared" si="40"/>
        <v>2.5000000000000001E-2</v>
      </c>
      <c r="L843" s="37" t="s">
        <v>2490</v>
      </c>
      <c r="M843" s="40">
        <v>45562</v>
      </c>
      <c r="N843" s="33" t="s">
        <v>57</v>
      </c>
      <c r="O843" s="41">
        <v>352000</v>
      </c>
      <c r="P843" s="34">
        <f t="shared" si="41"/>
        <v>1073.25</v>
      </c>
      <c r="Q843" s="36">
        <f t="shared" si="39"/>
        <v>71.55</v>
      </c>
      <c r="R843" s="35">
        <v>500</v>
      </c>
    </row>
    <row r="844" spans="1:18" x14ac:dyDescent="0.25">
      <c r="A844" s="37" t="s">
        <v>981</v>
      </c>
      <c r="B844" s="37"/>
      <c r="C844" s="37" t="s">
        <v>31</v>
      </c>
      <c r="D844" s="37" t="s">
        <v>36</v>
      </c>
      <c r="E844" s="38">
        <v>45562</v>
      </c>
      <c r="F844" s="38">
        <v>45927</v>
      </c>
      <c r="G844" s="37" t="s">
        <v>1714</v>
      </c>
      <c r="H844" s="37" t="s">
        <v>61</v>
      </c>
      <c r="I844" s="39">
        <v>16235</v>
      </c>
      <c r="J844" s="39">
        <v>13565</v>
      </c>
      <c r="K844" s="43">
        <f t="shared" si="40"/>
        <v>4.2500000000000003E-2</v>
      </c>
      <c r="L844" s="37" t="s">
        <v>2491</v>
      </c>
      <c r="M844" s="40">
        <v>45562</v>
      </c>
      <c r="N844" s="33" t="s">
        <v>57</v>
      </c>
      <c r="O844" s="41">
        <v>382000</v>
      </c>
      <c r="P844" s="34">
        <f t="shared" si="41"/>
        <v>2034.75</v>
      </c>
      <c r="Q844" s="36">
        <f t="shared" si="39"/>
        <v>135.65</v>
      </c>
      <c r="R844" s="35">
        <v>500</v>
      </c>
    </row>
    <row r="845" spans="1:18" x14ac:dyDescent="0.25">
      <c r="A845" s="37" t="s">
        <v>982</v>
      </c>
      <c r="B845" s="37"/>
      <c r="C845" s="37" t="s">
        <v>31</v>
      </c>
      <c r="D845" s="37" t="s">
        <v>36</v>
      </c>
      <c r="E845" s="38">
        <v>45928</v>
      </c>
      <c r="F845" s="38">
        <v>46293</v>
      </c>
      <c r="G845" s="37" t="s">
        <v>1714</v>
      </c>
      <c r="H845" s="37" t="s">
        <v>61</v>
      </c>
      <c r="I845" s="39">
        <v>16235</v>
      </c>
      <c r="J845" s="39">
        <v>13565</v>
      </c>
      <c r="K845" s="43">
        <f t="shared" si="40"/>
        <v>4.2500000000000003E-2</v>
      </c>
      <c r="L845" s="37" t="s">
        <v>2491</v>
      </c>
      <c r="M845" s="40">
        <v>45562</v>
      </c>
      <c r="N845" s="33" t="s">
        <v>57</v>
      </c>
      <c r="O845" s="41">
        <v>382000</v>
      </c>
      <c r="P845" s="34">
        <f t="shared" si="41"/>
        <v>2034.75</v>
      </c>
      <c r="Q845" s="36">
        <f t="shared" si="39"/>
        <v>135.65</v>
      </c>
      <c r="R845" s="35">
        <v>500</v>
      </c>
    </row>
    <row r="846" spans="1:18" x14ac:dyDescent="0.25">
      <c r="A846" s="37" t="s">
        <v>983</v>
      </c>
      <c r="B846" s="37"/>
      <c r="C846" s="37" t="s">
        <v>31</v>
      </c>
      <c r="D846" s="37" t="s">
        <v>36</v>
      </c>
      <c r="E846" s="38">
        <v>45562</v>
      </c>
      <c r="F846" s="38">
        <v>45927</v>
      </c>
      <c r="G846" s="37" t="s">
        <v>1715</v>
      </c>
      <c r="H846" s="37" t="s">
        <v>60</v>
      </c>
      <c r="I846" s="39">
        <v>16235</v>
      </c>
      <c r="J846" s="39">
        <v>13565</v>
      </c>
      <c r="K846" s="43">
        <f t="shared" si="40"/>
        <v>4.2500000000000003E-2</v>
      </c>
      <c r="L846" s="37" t="s">
        <v>2492</v>
      </c>
      <c r="M846" s="40">
        <v>45562</v>
      </c>
      <c r="N846" s="33" t="s">
        <v>57</v>
      </c>
      <c r="O846" s="41">
        <v>382000</v>
      </c>
      <c r="P846" s="34">
        <f t="shared" si="41"/>
        <v>2034.75</v>
      </c>
      <c r="Q846" s="36">
        <f t="shared" si="39"/>
        <v>135.65</v>
      </c>
      <c r="R846" s="35">
        <v>500</v>
      </c>
    </row>
    <row r="847" spans="1:18" x14ac:dyDescent="0.25">
      <c r="A847" s="37" t="s">
        <v>984</v>
      </c>
      <c r="B847" s="37"/>
      <c r="C847" s="37" t="s">
        <v>31</v>
      </c>
      <c r="D847" s="37" t="s">
        <v>36</v>
      </c>
      <c r="E847" s="38">
        <v>45562</v>
      </c>
      <c r="F847" s="38">
        <v>45927</v>
      </c>
      <c r="G847" s="37" t="s">
        <v>1716</v>
      </c>
      <c r="H847" s="37" t="s">
        <v>61</v>
      </c>
      <c r="I847" s="39">
        <v>16235</v>
      </c>
      <c r="J847" s="39">
        <v>13565</v>
      </c>
      <c r="K847" s="43">
        <f t="shared" si="40"/>
        <v>4.2500000000000003E-2</v>
      </c>
      <c r="L847" s="37" t="s">
        <v>2493</v>
      </c>
      <c r="M847" s="40">
        <v>45562</v>
      </c>
      <c r="N847" s="33" t="s">
        <v>57</v>
      </c>
      <c r="O847" s="41">
        <v>382000</v>
      </c>
      <c r="P847" s="34">
        <f t="shared" si="41"/>
        <v>2034.75</v>
      </c>
      <c r="Q847" s="36">
        <f t="shared" si="39"/>
        <v>135.65</v>
      </c>
      <c r="R847" s="35">
        <v>500</v>
      </c>
    </row>
    <row r="848" spans="1:18" x14ac:dyDescent="0.25">
      <c r="A848" s="37" t="s">
        <v>985</v>
      </c>
      <c r="B848" s="37"/>
      <c r="C848" s="37" t="s">
        <v>31</v>
      </c>
      <c r="D848" s="37" t="s">
        <v>36</v>
      </c>
      <c r="E848" s="38">
        <v>45928</v>
      </c>
      <c r="F848" s="38">
        <v>46293</v>
      </c>
      <c r="G848" s="37" t="s">
        <v>1716</v>
      </c>
      <c r="H848" s="37" t="s">
        <v>61</v>
      </c>
      <c r="I848" s="39">
        <v>16235</v>
      </c>
      <c r="J848" s="39">
        <v>13565</v>
      </c>
      <c r="K848" s="43">
        <f t="shared" si="40"/>
        <v>4.2500000000000003E-2</v>
      </c>
      <c r="L848" s="37" t="s">
        <v>2493</v>
      </c>
      <c r="M848" s="40">
        <v>45562</v>
      </c>
      <c r="N848" s="33" t="s">
        <v>57</v>
      </c>
      <c r="O848" s="41">
        <v>382000</v>
      </c>
      <c r="P848" s="34">
        <f t="shared" si="41"/>
        <v>2034.75</v>
      </c>
      <c r="Q848" s="36">
        <f t="shared" si="39"/>
        <v>135.65</v>
      </c>
      <c r="R848" s="35">
        <v>500</v>
      </c>
    </row>
    <row r="849" spans="1:18" x14ac:dyDescent="0.25">
      <c r="A849" s="37" t="s">
        <v>986</v>
      </c>
      <c r="B849" s="37"/>
      <c r="C849" s="37" t="s">
        <v>39</v>
      </c>
      <c r="D849" s="37" t="s">
        <v>36</v>
      </c>
      <c r="E849" s="38">
        <v>45562</v>
      </c>
      <c r="F849" s="38">
        <v>45927</v>
      </c>
      <c r="G849" s="37" t="s">
        <v>1717</v>
      </c>
      <c r="H849" s="37" t="s">
        <v>61</v>
      </c>
      <c r="I849" s="39">
        <v>16235</v>
      </c>
      <c r="J849" s="39">
        <v>13565</v>
      </c>
      <c r="K849" s="43">
        <f t="shared" si="40"/>
        <v>4.2500000000000003E-2</v>
      </c>
      <c r="L849" s="37" t="s">
        <v>2494</v>
      </c>
      <c r="M849" s="40">
        <v>45562</v>
      </c>
      <c r="N849" s="33" t="s">
        <v>57</v>
      </c>
      <c r="O849" s="41">
        <v>382000</v>
      </c>
      <c r="P849" s="34">
        <f t="shared" si="41"/>
        <v>2034.75</v>
      </c>
      <c r="Q849" s="36">
        <f t="shared" si="39"/>
        <v>135.65</v>
      </c>
      <c r="R849" s="35">
        <v>500</v>
      </c>
    </row>
    <row r="850" spans="1:18" x14ac:dyDescent="0.25">
      <c r="A850" s="37" t="s">
        <v>987</v>
      </c>
      <c r="B850" s="37"/>
      <c r="C850" s="37" t="s">
        <v>39</v>
      </c>
      <c r="D850" s="37" t="s">
        <v>36</v>
      </c>
      <c r="E850" s="38">
        <v>45928</v>
      </c>
      <c r="F850" s="38">
        <v>46293</v>
      </c>
      <c r="G850" s="37" t="s">
        <v>1717</v>
      </c>
      <c r="H850" s="37" t="s">
        <v>61</v>
      </c>
      <c r="I850" s="39">
        <v>16235</v>
      </c>
      <c r="J850" s="39">
        <v>13565</v>
      </c>
      <c r="K850" s="43">
        <f t="shared" si="40"/>
        <v>4.2500000000000003E-2</v>
      </c>
      <c r="L850" s="37" t="s">
        <v>2494</v>
      </c>
      <c r="M850" s="40">
        <v>45562</v>
      </c>
      <c r="N850" s="33" t="s">
        <v>57</v>
      </c>
      <c r="O850" s="41">
        <v>382000</v>
      </c>
      <c r="P850" s="34">
        <f t="shared" si="41"/>
        <v>2034.75</v>
      </c>
      <c r="Q850" s="36">
        <f t="shared" si="39"/>
        <v>135.65</v>
      </c>
      <c r="R850" s="35">
        <v>500</v>
      </c>
    </row>
    <row r="851" spans="1:18" x14ac:dyDescent="0.25">
      <c r="A851" s="37" t="s">
        <v>988</v>
      </c>
      <c r="B851" s="37"/>
      <c r="C851" s="37" t="s">
        <v>70</v>
      </c>
      <c r="D851" s="37" t="s">
        <v>2582</v>
      </c>
      <c r="E851" s="38">
        <v>45562</v>
      </c>
      <c r="F851" s="38">
        <v>45927</v>
      </c>
      <c r="G851" s="37" t="s">
        <v>1718</v>
      </c>
      <c r="H851" s="37" t="s">
        <v>60</v>
      </c>
      <c r="I851" s="39">
        <v>8800</v>
      </c>
      <c r="J851" s="39">
        <v>7155</v>
      </c>
      <c r="K851" s="43">
        <f t="shared" si="40"/>
        <v>2.5000000000000001E-2</v>
      </c>
      <c r="L851" s="37" t="s">
        <v>2495</v>
      </c>
      <c r="M851" s="40">
        <v>45562</v>
      </c>
      <c r="N851" s="33" t="s">
        <v>57</v>
      </c>
      <c r="O851" s="41">
        <v>352000</v>
      </c>
      <c r="P851" s="34">
        <f t="shared" si="41"/>
        <v>1073.25</v>
      </c>
      <c r="Q851" s="36">
        <f t="shared" si="39"/>
        <v>71.55</v>
      </c>
      <c r="R851" s="35">
        <v>500</v>
      </c>
    </row>
    <row r="852" spans="1:18" x14ac:dyDescent="0.25">
      <c r="A852" s="37" t="s">
        <v>989</v>
      </c>
      <c r="B852" s="37"/>
      <c r="C852" s="37" t="s">
        <v>39</v>
      </c>
      <c r="D852" s="37" t="s">
        <v>36</v>
      </c>
      <c r="E852" s="38">
        <v>45562</v>
      </c>
      <c r="F852" s="38">
        <v>45927</v>
      </c>
      <c r="G852" s="37" t="s">
        <v>1719</v>
      </c>
      <c r="H852" s="37" t="s">
        <v>63</v>
      </c>
      <c r="I852" s="39">
        <v>21208</v>
      </c>
      <c r="J852" s="39">
        <v>17852</v>
      </c>
      <c r="K852" s="43">
        <f t="shared" si="40"/>
        <v>4.2501002004008019E-2</v>
      </c>
      <c r="L852" s="37" t="s">
        <v>2496</v>
      </c>
      <c r="M852" s="40">
        <v>45562</v>
      </c>
      <c r="N852" s="33" t="s">
        <v>57</v>
      </c>
      <c r="O852" s="41">
        <v>499000</v>
      </c>
      <c r="P852" s="34">
        <f t="shared" si="41"/>
        <v>2677.8</v>
      </c>
      <c r="Q852" s="36">
        <f t="shared" si="39"/>
        <v>178.52</v>
      </c>
      <c r="R852" s="35">
        <v>500</v>
      </c>
    </row>
    <row r="853" spans="1:18" x14ac:dyDescent="0.25">
      <c r="A853" s="37" t="s">
        <v>990</v>
      </c>
      <c r="B853" s="37"/>
      <c r="C853" s="37" t="s">
        <v>39</v>
      </c>
      <c r="D853" s="37" t="s">
        <v>36</v>
      </c>
      <c r="E853" s="38">
        <v>45928</v>
      </c>
      <c r="F853" s="38">
        <v>46293</v>
      </c>
      <c r="G853" s="37" t="s">
        <v>1719</v>
      </c>
      <c r="H853" s="37" t="s">
        <v>63</v>
      </c>
      <c r="I853" s="39">
        <v>21208</v>
      </c>
      <c r="J853" s="39">
        <v>17852</v>
      </c>
      <c r="K853" s="43">
        <f t="shared" si="40"/>
        <v>4.2501002004008019E-2</v>
      </c>
      <c r="L853" s="37" t="s">
        <v>2496</v>
      </c>
      <c r="M853" s="40">
        <v>45562</v>
      </c>
      <c r="N853" s="33" t="s">
        <v>57</v>
      </c>
      <c r="O853" s="41">
        <v>499000</v>
      </c>
      <c r="P853" s="34">
        <f t="shared" si="41"/>
        <v>2677.8</v>
      </c>
      <c r="Q853" s="36">
        <f t="shared" si="39"/>
        <v>178.52</v>
      </c>
      <c r="R853" s="35">
        <v>500</v>
      </c>
    </row>
    <row r="854" spans="1:18" x14ac:dyDescent="0.25">
      <c r="A854" s="37" t="s">
        <v>991</v>
      </c>
      <c r="B854" s="37"/>
      <c r="C854" s="37" t="s">
        <v>65</v>
      </c>
      <c r="D854" s="37" t="s">
        <v>2582</v>
      </c>
      <c r="E854" s="38">
        <v>45562</v>
      </c>
      <c r="F854" s="38">
        <v>45927</v>
      </c>
      <c r="G854" s="37" t="s">
        <v>82</v>
      </c>
      <c r="H854" s="37" t="s">
        <v>60</v>
      </c>
      <c r="I854" s="39">
        <v>8800</v>
      </c>
      <c r="J854" s="39">
        <v>7155</v>
      </c>
      <c r="K854" s="43">
        <f t="shared" si="40"/>
        <v>2.5000000000000001E-2</v>
      </c>
      <c r="L854" s="37" t="s">
        <v>2497</v>
      </c>
      <c r="M854" s="40">
        <v>45562</v>
      </c>
      <c r="N854" s="33" t="s">
        <v>57</v>
      </c>
      <c r="O854" s="41">
        <v>352000</v>
      </c>
      <c r="P854" s="34">
        <f t="shared" si="41"/>
        <v>1073.25</v>
      </c>
      <c r="Q854" s="36">
        <f t="shared" si="39"/>
        <v>71.55</v>
      </c>
      <c r="R854" s="35">
        <v>500</v>
      </c>
    </row>
    <row r="855" spans="1:18" x14ac:dyDescent="0.25">
      <c r="A855" s="37" t="s">
        <v>992</v>
      </c>
      <c r="B855" s="37"/>
      <c r="C855" s="37" t="s">
        <v>65</v>
      </c>
      <c r="D855" s="37" t="s">
        <v>2582</v>
      </c>
      <c r="E855" s="38">
        <v>45562</v>
      </c>
      <c r="F855" s="38">
        <v>45927</v>
      </c>
      <c r="G855" s="37" t="s">
        <v>1720</v>
      </c>
      <c r="H855" s="37" t="s">
        <v>60</v>
      </c>
      <c r="I855" s="39">
        <v>8800</v>
      </c>
      <c r="J855" s="39">
        <v>7155</v>
      </c>
      <c r="K855" s="43">
        <f t="shared" si="40"/>
        <v>2.5000000000000001E-2</v>
      </c>
      <c r="L855" s="37" t="s">
        <v>2498</v>
      </c>
      <c r="M855" s="40">
        <v>45562</v>
      </c>
      <c r="N855" s="33" t="s">
        <v>57</v>
      </c>
      <c r="O855" s="41">
        <v>352000</v>
      </c>
      <c r="P855" s="34">
        <f t="shared" si="41"/>
        <v>1073.25</v>
      </c>
      <c r="Q855" s="36">
        <f t="shared" si="39"/>
        <v>71.55</v>
      </c>
      <c r="R855" s="35">
        <v>500</v>
      </c>
    </row>
    <row r="856" spans="1:18" x14ac:dyDescent="0.25">
      <c r="A856" s="37" t="s">
        <v>993</v>
      </c>
      <c r="B856" s="37"/>
      <c r="C856" s="37" t="s">
        <v>65</v>
      </c>
      <c r="D856" s="37" t="s">
        <v>2582</v>
      </c>
      <c r="E856" s="38">
        <v>45562</v>
      </c>
      <c r="F856" s="38">
        <v>45927</v>
      </c>
      <c r="G856" s="37" t="s">
        <v>1721</v>
      </c>
      <c r="H856" s="37" t="s">
        <v>60</v>
      </c>
      <c r="I856" s="39">
        <v>8800</v>
      </c>
      <c r="J856" s="39">
        <v>7155</v>
      </c>
      <c r="K856" s="43">
        <f t="shared" si="40"/>
        <v>2.5000000000000001E-2</v>
      </c>
      <c r="L856" s="37" t="s">
        <v>2499</v>
      </c>
      <c r="M856" s="40">
        <v>45562</v>
      </c>
      <c r="N856" s="33" t="s">
        <v>57</v>
      </c>
      <c r="O856" s="41">
        <v>352000</v>
      </c>
      <c r="P856" s="34">
        <f t="shared" si="41"/>
        <v>1073.25</v>
      </c>
      <c r="Q856" s="36">
        <f t="shared" si="39"/>
        <v>71.55</v>
      </c>
      <c r="R856" s="35">
        <v>500</v>
      </c>
    </row>
    <row r="857" spans="1:18" x14ac:dyDescent="0.25">
      <c r="A857" s="37" t="s">
        <v>994</v>
      </c>
      <c r="B857" s="37"/>
      <c r="C857" s="37" t="s">
        <v>79</v>
      </c>
      <c r="D857" s="37" t="s">
        <v>2582</v>
      </c>
      <c r="E857" s="38">
        <v>45562</v>
      </c>
      <c r="F857" s="38">
        <v>45927</v>
      </c>
      <c r="G857" s="37" t="s">
        <v>1722</v>
      </c>
      <c r="H857" s="37" t="s">
        <v>61</v>
      </c>
      <c r="I857" s="39">
        <v>9550</v>
      </c>
      <c r="J857" s="39">
        <v>7802</v>
      </c>
      <c r="K857" s="43">
        <f t="shared" si="40"/>
        <v>2.5000000000000001E-2</v>
      </c>
      <c r="L857" s="37" t="s">
        <v>2500</v>
      </c>
      <c r="M857" s="40">
        <v>45562</v>
      </c>
      <c r="N857" s="33" t="s">
        <v>57</v>
      </c>
      <c r="O857" s="41">
        <v>382000</v>
      </c>
      <c r="P857" s="34">
        <f t="shared" si="41"/>
        <v>1170.3</v>
      </c>
      <c r="Q857" s="36">
        <f t="shared" si="39"/>
        <v>78.02</v>
      </c>
      <c r="R857" s="35">
        <v>500</v>
      </c>
    </row>
    <row r="858" spans="1:18" x14ac:dyDescent="0.25">
      <c r="A858" s="37" t="s">
        <v>995</v>
      </c>
      <c r="B858" s="37"/>
      <c r="C858" s="37" t="s">
        <v>79</v>
      </c>
      <c r="D858" s="37" t="s">
        <v>2582</v>
      </c>
      <c r="E858" s="38">
        <v>45562</v>
      </c>
      <c r="F858" s="38">
        <v>45927</v>
      </c>
      <c r="G858" s="37" t="s">
        <v>1723</v>
      </c>
      <c r="H858" s="37" t="s">
        <v>60</v>
      </c>
      <c r="I858" s="39">
        <v>8800</v>
      </c>
      <c r="J858" s="39">
        <v>7155</v>
      </c>
      <c r="K858" s="43">
        <f t="shared" si="40"/>
        <v>2.5000000000000001E-2</v>
      </c>
      <c r="L858" s="37" t="s">
        <v>2501</v>
      </c>
      <c r="M858" s="40">
        <v>45562</v>
      </c>
      <c r="N858" s="33" t="s">
        <v>57</v>
      </c>
      <c r="O858" s="41">
        <v>352000</v>
      </c>
      <c r="P858" s="34">
        <f t="shared" si="41"/>
        <v>1073.25</v>
      </c>
      <c r="Q858" s="36">
        <f t="shared" si="39"/>
        <v>71.55</v>
      </c>
      <c r="R858" s="35">
        <v>500</v>
      </c>
    </row>
    <row r="859" spans="1:18" x14ac:dyDescent="0.25">
      <c r="A859" s="37" t="s">
        <v>996</v>
      </c>
      <c r="B859" s="37"/>
      <c r="C859" s="37" t="s">
        <v>79</v>
      </c>
      <c r="D859" s="37" t="s">
        <v>2582</v>
      </c>
      <c r="E859" s="38">
        <v>45562</v>
      </c>
      <c r="F859" s="38">
        <v>45927</v>
      </c>
      <c r="G859" s="37" t="s">
        <v>1724</v>
      </c>
      <c r="H859" s="37" t="s">
        <v>60</v>
      </c>
      <c r="I859" s="39">
        <v>8800</v>
      </c>
      <c r="J859" s="39">
        <v>7155</v>
      </c>
      <c r="K859" s="43">
        <f t="shared" si="40"/>
        <v>2.5000000000000001E-2</v>
      </c>
      <c r="L859" s="37" t="s">
        <v>2502</v>
      </c>
      <c r="M859" s="40">
        <v>45562</v>
      </c>
      <c r="N859" s="33" t="s">
        <v>57</v>
      </c>
      <c r="O859" s="41">
        <v>352000</v>
      </c>
      <c r="P859" s="34">
        <f t="shared" si="41"/>
        <v>1073.25</v>
      </c>
      <c r="Q859" s="36">
        <f t="shared" si="39"/>
        <v>71.55</v>
      </c>
      <c r="R859" s="35">
        <v>500</v>
      </c>
    </row>
    <row r="860" spans="1:18" x14ac:dyDescent="0.25">
      <c r="A860" s="37" t="s">
        <v>997</v>
      </c>
      <c r="B860" s="37"/>
      <c r="C860" s="37" t="s">
        <v>79</v>
      </c>
      <c r="D860" s="37" t="s">
        <v>2582</v>
      </c>
      <c r="E860" s="38">
        <v>45562</v>
      </c>
      <c r="F860" s="38">
        <v>45927</v>
      </c>
      <c r="G860" s="37" t="s">
        <v>1725</v>
      </c>
      <c r="H860" s="37" t="s">
        <v>60</v>
      </c>
      <c r="I860" s="39">
        <v>8800</v>
      </c>
      <c r="J860" s="39">
        <v>7155</v>
      </c>
      <c r="K860" s="43">
        <f t="shared" si="40"/>
        <v>2.5000000000000001E-2</v>
      </c>
      <c r="L860" s="37" t="s">
        <v>2503</v>
      </c>
      <c r="M860" s="40">
        <v>45562</v>
      </c>
      <c r="N860" s="33" t="s">
        <v>57</v>
      </c>
      <c r="O860" s="41">
        <v>352000</v>
      </c>
      <c r="P860" s="34">
        <f t="shared" si="41"/>
        <v>1073.25</v>
      </c>
      <c r="Q860" s="36">
        <f t="shared" si="39"/>
        <v>71.55</v>
      </c>
      <c r="R860" s="35">
        <v>500</v>
      </c>
    </row>
    <row r="861" spans="1:18" x14ac:dyDescent="0.25">
      <c r="A861" s="37" t="s">
        <v>998</v>
      </c>
      <c r="B861" s="37"/>
      <c r="C861" s="37" t="s">
        <v>31</v>
      </c>
      <c r="D861" s="37" t="s">
        <v>36</v>
      </c>
      <c r="E861" s="38">
        <v>45562</v>
      </c>
      <c r="F861" s="38">
        <v>45927</v>
      </c>
      <c r="G861" s="37" t="s">
        <v>1726</v>
      </c>
      <c r="H861" s="37" t="s">
        <v>61</v>
      </c>
      <c r="I861" s="39">
        <v>16235</v>
      </c>
      <c r="J861" s="39">
        <v>13565</v>
      </c>
      <c r="K861" s="43">
        <f t="shared" si="40"/>
        <v>4.2500000000000003E-2</v>
      </c>
      <c r="L861" s="37" t="s">
        <v>2504</v>
      </c>
      <c r="M861" s="40">
        <v>45562</v>
      </c>
      <c r="N861" s="33" t="s">
        <v>57</v>
      </c>
      <c r="O861" s="41">
        <v>382000</v>
      </c>
      <c r="P861" s="34">
        <f t="shared" si="41"/>
        <v>2034.75</v>
      </c>
      <c r="Q861" s="36">
        <f t="shared" si="39"/>
        <v>135.65</v>
      </c>
      <c r="R861" s="35">
        <v>500</v>
      </c>
    </row>
    <row r="862" spans="1:18" x14ac:dyDescent="0.25">
      <c r="A862" s="37" t="s">
        <v>999</v>
      </c>
      <c r="B862" s="37"/>
      <c r="C862" s="37" t="s">
        <v>39</v>
      </c>
      <c r="D862" s="37" t="s">
        <v>36</v>
      </c>
      <c r="E862" s="38">
        <v>45562</v>
      </c>
      <c r="F862" s="38">
        <v>45927</v>
      </c>
      <c r="G862" s="37" t="s">
        <v>1727</v>
      </c>
      <c r="H862" s="37" t="s">
        <v>60</v>
      </c>
      <c r="I862" s="39">
        <v>14960</v>
      </c>
      <c r="J862" s="39">
        <v>12466</v>
      </c>
      <c r="K862" s="43">
        <f t="shared" si="40"/>
        <v>4.2500000000000003E-2</v>
      </c>
      <c r="L862" s="37" t="s">
        <v>2505</v>
      </c>
      <c r="M862" s="40">
        <v>45562</v>
      </c>
      <c r="N862" s="33" t="s">
        <v>57</v>
      </c>
      <c r="O862" s="41">
        <v>352000</v>
      </c>
      <c r="P862" s="34">
        <f t="shared" si="41"/>
        <v>1869.9</v>
      </c>
      <c r="Q862" s="36">
        <f t="shared" si="39"/>
        <v>124.66</v>
      </c>
      <c r="R862" s="35">
        <v>500</v>
      </c>
    </row>
    <row r="863" spans="1:18" x14ac:dyDescent="0.25">
      <c r="A863" s="37" t="s">
        <v>1000</v>
      </c>
      <c r="B863" s="37"/>
      <c r="C863" s="37" t="s">
        <v>39</v>
      </c>
      <c r="D863" s="37" t="s">
        <v>36</v>
      </c>
      <c r="E863" s="38">
        <v>45928</v>
      </c>
      <c r="F863" s="38">
        <v>46293</v>
      </c>
      <c r="G863" s="37" t="s">
        <v>1727</v>
      </c>
      <c r="H863" s="37" t="s">
        <v>60</v>
      </c>
      <c r="I863" s="39">
        <v>14960</v>
      </c>
      <c r="J863" s="39">
        <v>12466</v>
      </c>
      <c r="K863" s="43">
        <f t="shared" si="40"/>
        <v>4.2500000000000003E-2</v>
      </c>
      <c r="L863" s="37" t="s">
        <v>2505</v>
      </c>
      <c r="M863" s="40">
        <v>45562</v>
      </c>
      <c r="N863" s="33" t="s">
        <v>57</v>
      </c>
      <c r="O863" s="41">
        <v>352000</v>
      </c>
      <c r="P863" s="34">
        <f t="shared" si="41"/>
        <v>1869.9</v>
      </c>
      <c r="Q863" s="36">
        <f t="shared" si="39"/>
        <v>124.66</v>
      </c>
      <c r="R863" s="35">
        <v>500</v>
      </c>
    </row>
    <row r="864" spans="1:18" x14ac:dyDescent="0.25">
      <c r="A864" s="37" t="s">
        <v>1001</v>
      </c>
      <c r="B864" s="37"/>
      <c r="C864" s="37" t="s">
        <v>30</v>
      </c>
      <c r="D864" s="37" t="s">
        <v>36</v>
      </c>
      <c r="E864" s="38">
        <v>45562</v>
      </c>
      <c r="F864" s="38">
        <v>45927</v>
      </c>
      <c r="G864" s="37" t="s">
        <v>1728</v>
      </c>
      <c r="H864" s="37" t="s">
        <v>63</v>
      </c>
      <c r="I864" s="39">
        <v>21208</v>
      </c>
      <c r="J864" s="39">
        <v>17852</v>
      </c>
      <c r="K864" s="43">
        <f t="shared" si="40"/>
        <v>4.2501002004008019E-2</v>
      </c>
      <c r="L864" s="37" t="s">
        <v>2506</v>
      </c>
      <c r="M864" s="40">
        <v>45562</v>
      </c>
      <c r="N864" s="33" t="s">
        <v>57</v>
      </c>
      <c r="O864" s="41">
        <v>499000</v>
      </c>
      <c r="P864" s="34">
        <f t="shared" si="41"/>
        <v>2677.8</v>
      </c>
      <c r="Q864" s="36">
        <f t="shared" si="39"/>
        <v>178.52</v>
      </c>
      <c r="R864" s="35">
        <v>500</v>
      </c>
    </row>
    <row r="865" spans="1:18" x14ac:dyDescent="0.25">
      <c r="A865" s="37" t="s">
        <v>1002</v>
      </c>
      <c r="B865" s="37"/>
      <c r="C865" s="37" t="s">
        <v>30</v>
      </c>
      <c r="D865" s="37" t="s">
        <v>36</v>
      </c>
      <c r="E865" s="38">
        <v>45562</v>
      </c>
      <c r="F865" s="38">
        <v>45927</v>
      </c>
      <c r="G865" s="37" t="s">
        <v>1729</v>
      </c>
      <c r="H865" s="37" t="s">
        <v>60</v>
      </c>
      <c r="I865" s="39">
        <v>14960</v>
      </c>
      <c r="J865" s="39">
        <v>12466</v>
      </c>
      <c r="K865" s="43">
        <f t="shared" si="40"/>
        <v>4.2500000000000003E-2</v>
      </c>
      <c r="L865" s="37" t="s">
        <v>2507</v>
      </c>
      <c r="M865" s="40">
        <v>45562</v>
      </c>
      <c r="N865" s="33" t="s">
        <v>57</v>
      </c>
      <c r="O865" s="41">
        <v>352000</v>
      </c>
      <c r="P865" s="34">
        <f t="shared" si="41"/>
        <v>1869.9</v>
      </c>
      <c r="Q865" s="36">
        <f t="shared" si="39"/>
        <v>124.66</v>
      </c>
      <c r="R865" s="35">
        <v>500</v>
      </c>
    </row>
    <row r="866" spans="1:18" x14ac:dyDescent="0.25">
      <c r="A866" s="37" t="s">
        <v>1003</v>
      </c>
      <c r="B866" s="37"/>
      <c r="C866" s="37" t="s">
        <v>30</v>
      </c>
      <c r="D866" s="37" t="s">
        <v>36</v>
      </c>
      <c r="E866" s="38">
        <v>45928</v>
      </c>
      <c r="F866" s="38">
        <v>46293</v>
      </c>
      <c r="G866" s="37" t="s">
        <v>1729</v>
      </c>
      <c r="H866" s="37" t="s">
        <v>60</v>
      </c>
      <c r="I866" s="39">
        <v>14960</v>
      </c>
      <c r="J866" s="39">
        <v>12466</v>
      </c>
      <c r="K866" s="43">
        <f t="shared" si="40"/>
        <v>4.2500000000000003E-2</v>
      </c>
      <c r="L866" s="37" t="s">
        <v>2507</v>
      </c>
      <c r="M866" s="40">
        <v>45562</v>
      </c>
      <c r="N866" s="33" t="s">
        <v>57</v>
      </c>
      <c r="O866" s="41">
        <v>352000</v>
      </c>
      <c r="P866" s="34">
        <f t="shared" si="41"/>
        <v>1869.9</v>
      </c>
      <c r="Q866" s="36">
        <f t="shared" si="39"/>
        <v>124.66</v>
      </c>
      <c r="R866" s="35">
        <v>500</v>
      </c>
    </row>
    <row r="867" spans="1:18" x14ac:dyDescent="0.25">
      <c r="A867" s="37" t="s">
        <v>1004</v>
      </c>
      <c r="B867" s="37"/>
      <c r="C867" s="37" t="s">
        <v>70</v>
      </c>
      <c r="D867" s="37" t="s">
        <v>2582</v>
      </c>
      <c r="E867" s="38">
        <v>45562</v>
      </c>
      <c r="F867" s="38">
        <v>45927</v>
      </c>
      <c r="G867" s="37" t="s">
        <v>1730</v>
      </c>
      <c r="H867" s="37" t="s">
        <v>62</v>
      </c>
      <c r="I867" s="39">
        <v>13675</v>
      </c>
      <c r="J867" s="39">
        <v>11358</v>
      </c>
      <c r="K867" s="43">
        <f t="shared" si="40"/>
        <v>2.5000000000000001E-2</v>
      </c>
      <c r="L867" s="37" t="s">
        <v>2508</v>
      </c>
      <c r="M867" s="40">
        <v>45562</v>
      </c>
      <c r="N867" s="33" t="s">
        <v>57</v>
      </c>
      <c r="O867" s="41">
        <v>547000</v>
      </c>
      <c r="P867" s="34">
        <f t="shared" si="41"/>
        <v>1703.7</v>
      </c>
      <c r="Q867" s="36">
        <f t="shared" si="39"/>
        <v>113.58</v>
      </c>
      <c r="R867" s="35">
        <v>500</v>
      </c>
    </row>
    <row r="868" spans="1:18" x14ac:dyDescent="0.25">
      <c r="A868" s="37" t="s">
        <v>1005</v>
      </c>
      <c r="B868" s="37"/>
      <c r="C868" s="37" t="s">
        <v>70</v>
      </c>
      <c r="D868" s="37" t="s">
        <v>2582</v>
      </c>
      <c r="E868" s="38">
        <v>45562</v>
      </c>
      <c r="F868" s="38">
        <v>45927</v>
      </c>
      <c r="G868" s="37" t="s">
        <v>1731</v>
      </c>
      <c r="H868" s="37" t="s">
        <v>60</v>
      </c>
      <c r="I868" s="39">
        <v>8800</v>
      </c>
      <c r="J868" s="39">
        <v>7155</v>
      </c>
      <c r="K868" s="43">
        <f t="shared" si="40"/>
        <v>2.5000000000000001E-2</v>
      </c>
      <c r="L868" s="37" t="s">
        <v>2509</v>
      </c>
      <c r="M868" s="40">
        <v>45562</v>
      </c>
      <c r="N868" s="33" t="s">
        <v>57</v>
      </c>
      <c r="O868" s="41">
        <v>352000</v>
      </c>
      <c r="P868" s="34">
        <f t="shared" si="41"/>
        <v>1073.25</v>
      </c>
      <c r="Q868" s="36">
        <f t="shared" si="39"/>
        <v>71.55</v>
      </c>
      <c r="R868" s="35">
        <v>500</v>
      </c>
    </row>
    <row r="869" spans="1:18" x14ac:dyDescent="0.25">
      <c r="A869" s="37" t="s">
        <v>1006</v>
      </c>
      <c r="B869" s="37"/>
      <c r="C869" s="37" t="s">
        <v>32</v>
      </c>
      <c r="D869" s="37" t="s">
        <v>36</v>
      </c>
      <c r="E869" s="38">
        <v>45562</v>
      </c>
      <c r="F869" s="38">
        <v>45927</v>
      </c>
      <c r="G869" s="37" t="s">
        <v>1732</v>
      </c>
      <c r="H869" s="37" t="s">
        <v>60</v>
      </c>
      <c r="I869" s="39">
        <v>14960</v>
      </c>
      <c r="J869" s="39">
        <v>12466</v>
      </c>
      <c r="K869" s="43">
        <f t="shared" si="40"/>
        <v>4.2500000000000003E-2</v>
      </c>
      <c r="L869" s="37" t="s">
        <v>2510</v>
      </c>
      <c r="M869" s="40">
        <v>45562</v>
      </c>
      <c r="N869" s="33" t="s">
        <v>57</v>
      </c>
      <c r="O869" s="41">
        <v>352000</v>
      </c>
      <c r="P869" s="34">
        <f t="shared" si="41"/>
        <v>1869.9</v>
      </c>
      <c r="Q869" s="36">
        <f t="shared" si="39"/>
        <v>124.66</v>
      </c>
      <c r="R869" s="35">
        <v>500</v>
      </c>
    </row>
    <row r="870" spans="1:18" x14ac:dyDescent="0.25">
      <c r="A870" s="37" t="s">
        <v>1007</v>
      </c>
      <c r="B870" s="37"/>
      <c r="C870" s="37" t="s">
        <v>35</v>
      </c>
      <c r="D870" s="37" t="s">
        <v>36</v>
      </c>
      <c r="E870" s="38">
        <v>45563</v>
      </c>
      <c r="F870" s="38">
        <v>45928</v>
      </c>
      <c r="G870" s="37" t="s">
        <v>1733</v>
      </c>
      <c r="H870" s="37" t="s">
        <v>60</v>
      </c>
      <c r="I870" s="39">
        <v>14960</v>
      </c>
      <c r="J870" s="39">
        <v>12466</v>
      </c>
      <c r="K870" s="43">
        <f t="shared" si="40"/>
        <v>4.2500000000000003E-2</v>
      </c>
      <c r="L870" s="37" t="s">
        <v>2511</v>
      </c>
      <c r="M870" s="40">
        <v>45563</v>
      </c>
      <c r="N870" s="33" t="s">
        <v>57</v>
      </c>
      <c r="O870" s="41">
        <v>352000</v>
      </c>
      <c r="P870" s="34">
        <f t="shared" si="41"/>
        <v>1869.9</v>
      </c>
      <c r="Q870" s="36">
        <f t="shared" si="39"/>
        <v>124.66</v>
      </c>
      <c r="R870" s="35">
        <v>500</v>
      </c>
    </row>
    <row r="871" spans="1:18" x14ac:dyDescent="0.25">
      <c r="A871" s="37" t="s">
        <v>1008</v>
      </c>
      <c r="B871" s="37"/>
      <c r="C871" s="37" t="s">
        <v>35</v>
      </c>
      <c r="D871" s="37" t="s">
        <v>36</v>
      </c>
      <c r="E871" s="38">
        <v>45929</v>
      </c>
      <c r="F871" s="38">
        <v>46294</v>
      </c>
      <c r="G871" s="37" t="s">
        <v>1733</v>
      </c>
      <c r="H871" s="37" t="s">
        <v>60</v>
      </c>
      <c r="I871" s="39">
        <v>14960</v>
      </c>
      <c r="J871" s="39">
        <v>12466</v>
      </c>
      <c r="K871" s="43">
        <f t="shared" si="40"/>
        <v>4.2500000000000003E-2</v>
      </c>
      <c r="L871" s="37" t="s">
        <v>2511</v>
      </c>
      <c r="M871" s="40">
        <v>45563</v>
      </c>
      <c r="N871" s="33" t="s">
        <v>57</v>
      </c>
      <c r="O871" s="41">
        <v>352000</v>
      </c>
      <c r="P871" s="34">
        <f t="shared" si="41"/>
        <v>1869.9</v>
      </c>
      <c r="Q871" s="36">
        <f t="shared" si="39"/>
        <v>124.66</v>
      </c>
      <c r="R871" s="35">
        <v>500</v>
      </c>
    </row>
    <row r="872" spans="1:18" x14ac:dyDescent="0.25">
      <c r="A872" s="37" t="s">
        <v>1009</v>
      </c>
      <c r="B872" s="37"/>
      <c r="C872" s="37" t="s">
        <v>35</v>
      </c>
      <c r="D872" s="37" t="s">
        <v>36</v>
      </c>
      <c r="E872" s="38">
        <v>45563</v>
      </c>
      <c r="F872" s="38">
        <v>45928</v>
      </c>
      <c r="G872" s="37" t="s">
        <v>1734</v>
      </c>
      <c r="H872" s="37" t="s">
        <v>61</v>
      </c>
      <c r="I872" s="39">
        <v>16235</v>
      </c>
      <c r="J872" s="39">
        <v>13565</v>
      </c>
      <c r="K872" s="43">
        <f t="shared" si="40"/>
        <v>4.2500000000000003E-2</v>
      </c>
      <c r="L872" s="37" t="s">
        <v>2512</v>
      </c>
      <c r="M872" s="40">
        <v>45563</v>
      </c>
      <c r="N872" s="33" t="s">
        <v>57</v>
      </c>
      <c r="O872" s="41">
        <v>382000</v>
      </c>
      <c r="P872" s="34">
        <f t="shared" si="41"/>
        <v>2034.75</v>
      </c>
      <c r="Q872" s="36">
        <f t="shared" si="39"/>
        <v>135.65</v>
      </c>
      <c r="R872" s="35">
        <v>500</v>
      </c>
    </row>
    <row r="873" spans="1:18" x14ac:dyDescent="0.25">
      <c r="A873" s="37" t="s">
        <v>1010</v>
      </c>
      <c r="B873" s="37"/>
      <c r="C873" s="37" t="s">
        <v>35</v>
      </c>
      <c r="D873" s="37" t="s">
        <v>36</v>
      </c>
      <c r="E873" s="38">
        <v>45929</v>
      </c>
      <c r="F873" s="38">
        <v>46294</v>
      </c>
      <c r="G873" s="37" t="s">
        <v>1734</v>
      </c>
      <c r="H873" s="37" t="s">
        <v>61</v>
      </c>
      <c r="I873" s="39">
        <v>16235</v>
      </c>
      <c r="J873" s="39">
        <v>13565</v>
      </c>
      <c r="K873" s="43">
        <f t="shared" si="40"/>
        <v>4.2500000000000003E-2</v>
      </c>
      <c r="L873" s="37" t="s">
        <v>2512</v>
      </c>
      <c r="M873" s="40">
        <v>45563</v>
      </c>
      <c r="N873" s="33" t="s">
        <v>57</v>
      </c>
      <c r="O873" s="41">
        <v>382000</v>
      </c>
      <c r="P873" s="34">
        <f t="shared" si="41"/>
        <v>2034.75</v>
      </c>
      <c r="Q873" s="36">
        <f t="shared" si="39"/>
        <v>135.65</v>
      </c>
      <c r="R873" s="35">
        <v>500</v>
      </c>
    </row>
    <row r="874" spans="1:18" x14ac:dyDescent="0.25">
      <c r="A874" s="37" t="s">
        <v>1011</v>
      </c>
      <c r="B874" s="37"/>
      <c r="C874" s="37" t="s">
        <v>36</v>
      </c>
      <c r="D874" s="37" t="s">
        <v>36</v>
      </c>
      <c r="E874" s="38">
        <v>45563</v>
      </c>
      <c r="F874" s="38">
        <v>45928</v>
      </c>
      <c r="G874" s="37" t="s">
        <v>87</v>
      </c>
      <c r="H874" s="37" t="s">
        <v>60</v>
      </c>
      <c r="I874" s="39">
        <v>14960</v>
      </c>
      <c r="J874" s="39">
        <v>12466</v>
      </c>
      <c r="K874" s="43">
        <f t="shared" si="40"/>
        <v>4.2500000000000003E-2</v>
      </c>
      <c r="L874" s="37" t="s">
        <v>2513</v>
      </c>
      <c r="M874" s="40">
        <v>45563</v>
      </c>
      <c r="N874" s="33" t="s">
        <v>57</v>
      </c>
      <c r="O874" s="41">
        <v>352000</v>
      </c>
      <c r="P874" s="34">
        <f t="shared" si="41"/>
        <v>1869.9</v>
      </c>
      <c r="Q874" s="36">
        <f t="shared" si="39"/>
        <v>124.66</v>
      </c>
      <c r="R874" s="35">
        <v>500</v>
      </c>
    </row>
    <row r="875" spans="1:18" x14ac:dyDescent="0.25">
      <c r="A875" s="37" t="s">
        <v>1012</v>
      </c>
      <c r="B875" s="37"/>
      <c r="C875" s="37" t="s">
        <v>36</v>
      </c>
      <c r="D875" s="37" t="s">
        <v>36</v>
      </c>
      <c r="E875" s="38">
        <v>45563</v>
      </c>
      <c r="F875" s="38">
        <v>45928</v>
      </c>
      <c r="G875" s="37" t="s">
        <v>119</v>
      </c>
      <c r="H875" s="37" t="s">
        <v>62</v>
      </c>
      <c r="I875" s="39">
        <v>23248</v>
      </c>
      <c r="J875" s="39">
        <v>19610</v>
      </c>
      <c r="K875" s="43">
        <f t="shared" si="40"/>
        <v>4.2500914076782449E-2</v>
      </c>
      <c r="L875" s="37" t="s">
        <v>2514</v>
      </c>
      <c r="M875" s="40">
        <v>45563</v>
      </c>
      <c r="N875" s="33" t="s">
        <v>57</v>
      </c>
      <c r="O875" s="41">
        <v>547000</v>
      </c>
      <c r="P875" s="34">
        <f t="shared" si="41"/>
        <v>2941.5</v>
      </c>
      <c r="Q875" s="36">
        <f t="shared" si="39"/>
        <v>196.1</v>
      </c>
      <c r="R875" s="35">
        <v>500</v>
      </c>
    </row>
    <row r="876" spans="1:18" x14ac:dyDescent="0.25">
      <c r="A876" s="37" t="s">
        <v>1013</v>
      </c>
      <c r="B876" s="37"/>
      <c r="C876" s="37" t="s">
        <v>36</v>
      </c>
      <c r="D876" s="37" t="s">
        <v>36</v>
      </c>
      <c r="E876" s="38">
        <v>45929</v>
      </c>
      <c r="F876" s="38">
        <v>46294</v>
      </c>
      <c r="G876" s="37" t="s">
        <v>119</v>
      </c>
      <c r="H876" s="37" t="s">
        <v>62</v>
      </c>
      <c r="I876" s="39">
        <v>23248</v>
      </c>
      <c r="J876" s="39">
        <v>19610</v>
      </c>
      <c r="K876" s="43">
        <f t="shared" si="40"/>
        <v>4.2500914076782449E-2</v>
      </c>
      <c r="L876" s="37" t="s">
        <v>2514</v>
      </c>
      <c r="M876" s="40">
        <v>45563</v>
      </c>
      <c r="N876" s="33" t="s">
        <v>57</v>
      </c>
      <c r="O876" s="41">
        <v>547000</v>
      </c>
      <c r="P876" s="34">
        <f t="shared" si="41"/>
        <v>2941.5</v>
      </c>
      <c r="Q876" s="36">
        <f t="shared" si="39"/>
        <v>196.1</v>
      </c>
      <c r="R876" s="35">
        <v>500</v>
      </c>
    </row>
    <row r="877" spans="1:18" x14ac:dyDescent="0.25">
      <c r="A877" s="37" t="s">
        <v>1014</v>
      </c>
      <c r="B877" s="37"/>
      <c r="C877" s="37" t="s">
        <v>36</v>
      </c>
      <c r="D877" s="37" t="s">
        <v>36</v>
      </c>
      <c r="E877" s="38">
        <v>45563</v>
      </c>
      <c r="F877" s="38">
        <v>45928</v>
      </c>
      <c r="G877" s="37" t="s">
        <v>1735</v>
      </c>
      <c r="H877" s="37" t="s">
        <v>62</v>
      </c>
      <c r="I877" s="39">
        <v>23248</v>
      </c>
      <c r="J877" s="39">
        <v>19610</v>
      </c>
      <c r="K877" s="43">
        <f t="shared" si="40"/>
        <v>4.2500914076782449E-2</v>
      </c>
      <c r="L877" s="37" t="s">
        <v>2515</v>
      </c>
      <c r="M877" s="40">
        <v>45563</v>
      </c>
      <c r="N877" s="33" t="s">
        <v>57</v>
      </c>
      <c r="O877" s="41">
        <v>547000</v>
      </c>
      <c r="P877" s="34">
        <f t="shared" si="41"/>
        <v>2941.5</v>
      </c>
      <c r="Q877" s="36">
        <f t="shared" si="39"/>
        <v>196.1</v>
      </c>
      <c r="R877" s="35">
        <v>500</v>
      </c>
    </row>
    <row r="878" spans="1:18" x14ac:dyDescent="0.25">
      <c r="A878" s="37" t="s">
        <v>1015</v>
      </c>
      <c r="B878" s="37"/>
      <c r="C878" s="37" t="s">
        <v>36</v>
      </c>
      <c r="D878" s="37" t="s">
        <v>36</v>
      </c>
      <c r="E878" s="38">
        <v>45929</v>
      </c>
      <c r="F878" s="38">
        <v>46294</v>
      </c>
      <c r="G878" s="37" t="s">
        <v>1735</v>
      </c>
      <c r="H878" s="37" t="s">
        <v>62</v>
      </c>
      <c r="I878" s="39">
        <v>23248</v>
      </c>
      <c r="J878" s="39">
        <v>19610</v>
      </c>
      <c r="K878" s="43">
        <f t="shared" si="40"/>
        <v>4.2500914076782449E-2</v>
      </c>
      <c r="L878" s="37" t="s">
        <v>2515</v>
      </c>
      <c r="M878" s="40">
        <v>45563</v>
      </c>
      <c r="N878" s="33" t="s">
        <v>57</v>
      </c>
      <c r="O878" s="41">
        <v>547000</v>
      </c>
      <c r="P878" s="34">
        <f t="shared" si="41"/>
        <v>2941.5</v>
      </c>
      <c r="Q878" s="36">
        <f t="shared" si="39"/>
        <v>196.1</v>
      </c>
      <c r="R878" s="35">
        <v>500</v>
      </c>
    </row>
    <row r="879" spans="1:18" x14ac:dyDescent="0.25">
      <c r="A879" s="37" t="s">
        <v>1016</v>
      </c>
      <c r="B879" s="37"/>
      <c r="C879" s="37" t="s">
        <v>35</v>
      </c>
      <c r="D879" s="37" t="s">
        <v>36</v>
      </c>
      <c r="E879" s="38">
        <v>45563</v>
      </c>
      <c r="F879" s="38">
        <v>45928</v>
      </c>
      <c r="G879" s="37" t="s">
        <v>1736</v>
      </c>
      <c r="H879" s="37" t="s">
        <v>60</v>
      </c>
      <c r="I879" s="39">
        <v>14960</v>
      </c>
      <c r="J879" s="39">
        <v>12466</v>
      </c>
      <c r="K879" s="43">
        <f t="shared" si="40"/>
        <v>4.2500000000000003E-2</v>
      </c>
      <c r="L879" s="37" t="s">
        <v>2516</v>
      </c>
      <c r="M879" s="40">
        <v>45563</v>
      </c>
      <c r="N879" s="33" t="s">
        <v>57</v>
      </c>
      <c r="O879" s="41">
        <v>352000</v>
      </c>
      <c r="P879" s="34">
        <f t="shared" si="41"/>
        <v>1869.9</v>
      </c>
      <c r="Q879" s="36">
        <f t="shared" si="39"/>
        <v>124.66</v>
      </c>
      <c r="R879" s="35">
        <v>500</v>
      </c>
    </row>
    <row r="880" spans="1:18" x14ac:dyDescent="0.25">
      <c r="A880" s="37" t="s">
        <v>1017</v>
      </c>
      <c r="B880" s="37"/>
      <c r="C880" s="37" t="s">
        <v>35</v>
      </c>
      <c r="D880" s="37" t="s">
        <v>36</v>
      </c>
      <c r="E880" s="38">
        <v>45929</v>
      </c>
      <c r="F880" s="38">
        <v>46294</v>
      </c>
      <c r="G880" s="37" t="s">
        <v>1736</v>
      </c>
      <c r="H880" s="37" t="s">
        <v>60</v>
      </c>
      <c r="I880" s="39">
        <v>14960</v>
      </c>
      <c r="J880" s="39">
        <v>12466</v>
      </c>
      <c r="K880" s="43">
        <f t="shared" si="40"/>
        <v>4.2500000000000003E-2</v>
      </c>
      <c r="L880" s="37" t="s">
        <v>2516</v>
      </c>
      <c r="M880" s="40">
        <v>45563</v>
      </c>
      <c r="N880" s="33" t="s">
        <v>57</v>
      </c>
      <c r="O880" s="41">
        <v>352000</v>
      </c>
      <c r="P880" s="34">
        <f t="shared" si="41"/>
        <v>1869.9</v>
      </c>
      <c r="Q880" s="36">
        <f t="shared" si="39"/>
        <v>124.66</v>
      </c>
      <c r="R880" s="35">
        <v>500</v>
      </c>
    </row>
    <row r="881" spans="1:18" x14ac:dyDescent="0.25">
      <c r="A881" s="37" t="s">
        <v>1018</v>
      </c>
      <c r="B881" s="37"/>
      <c r="C881" s="37" t="s">
        <v>33</v>
      </c>
      <c r="D881" s="37" t="s">
        <v>36</v>
      </c>
      <c r="E881" s="38">
        <v>45563</v>
      </c>
      <c r="F881" s="38">
        <v>45928</v>
      </c>
      <c r="G881" s="37" t="s">
        <v>1737</v>
      </c>
      <c r="H881" s="37" t="s">
        <v>61</v>
      </c>
      <c r="I881" s="39">
        <v>16235</v>
      </c>
      <c r="J881" s="39">
        <v>13565</v>
      </c>
      <c r="K881" s="43">
        <f t="shared" si="40"/>
        <v>4.2500000000000003E-2</v>
      </c>
      <c r="L881" s="37" t="s">
        <v>2517</v>
      </c>
      <c r="M881" s="40">
        <v>45563</v>
      </c>
      <c r="N881" s="33" t="s">
        <v>57</v>
      </c>
      <c r="O881" s="41">
        <v>382000</v>
      </c>
      <c r="P881" s="34">
        <f t="shared" si="41"/>
        <v>2034.75</v>
      </c>
      <c r="Q881" s="36">
        <f t="shared" si="39"/>
        <v>135.65</v>
      </c>
      <c r="R881" s="35">
        <v>500</v>
      </c>
    </row>
    <row r="882" spans="1:18" x14ac:dyDescent="0.25">
      <c r="A882" s="37" t="s">
        <v>1019</v>
      </c>
      <c r="B882" s="37"/>
      <c r="C882" s="37" t="s">
        <v>35</v>
      </c>
      <c r="D882" s="37" t="s">
        <v>36</v>
      </c>
      <c r="E882" s="38">
        <v>45563</v>
      </c>
      <c r="F882" s="38">
        <v>45928</v>
      </c>
      <c r="G882" s="37" t="s">
        <v>102</v>
      </c>
      <c r="H882" s="37" t="s">
        <v>60</v>
      </c>
      <c r="I882" s="39">
        <v>14960</v>
      </c>
      <c r="J882" s="39">
        <v>12466</v>
      </c>
      <c r="K882" s="43">
        <f t="shared" si="40"/>
        <v>4.2500000000000003E-2</v>
      </c>
      <c r="L882" s="37" t="s">
        <v>2518</v>
      </c>
      <c r="M882" s="40">
        <v>45563</v>
      </c>
      <c r="N882" s="33" t="s">
        <v>57</v>
      </c>
      <c r="O882" s="41">
        <v>352000</v>
      </c>
      <c r="P882" s="34">
        <f t="shared" si="41"/>
        <v>1869.9</v>
      </c>
      <c r="Q882" s="36">
        <f t="shared" si="39"/>
        <v>124.66</v>
      </c>
      <c r="R882" s="35">
        <v>500</v>
      </c>
    </row>
    <row r="883" spans="1:18" x14ac:dyDescent="0.25">
      <c r="A883" s="37" t="s">
        <v>1020</v>
      </c>
      <c r="B883" s="37"/>
      <c r="C883" s="37" t="s">
        <v>35</v>
      </c>
      <c r="D883" s="37" t="s">
        <v>36</v>
      </c>
      <c r="E883" s="38">
        <v>45929</v>
      </c>
      <c r="F883" s="38">
        <v>46294</v>
      </c>
      <c r="G883" s="37" t="s">
        <v>102</v>
      </c>
      <c r="H883" s="37" t="s">
        <v>60</v>
      </c>
      <c r="I883" s="39">
        <v>14960</v>
      </c>
      <c r="J883" s="39">
        <v>12466</v>
      </c>
      <c r="K883" s="43">
        <f t="shared" si="40"/>
        <v>4.2500000000000003E-2</v>
      </c>
      <c r="L883" s="37" t="s">
        <v>2518</v>
      </c>
      <c r="M883" s="40">
        <v>45563</v>
      </c>
      <c r="N883" s="33" t="s">
        <v>57</v>
      </c>
      <c r="O883" s="41">
        <v>352000</v>
      </c>
      <c r="P883" s="34">
        <f t="shared" si="41"/>
        <v>1869.9</v>
      </c>
      <c r="Q883" s="36">
        <f t="shared" si="39"/>
        <v>124.66</v>
      </c>
      <c r="R883" s="35">
        <v>500</v>
      </c>
    </row>
    <row r="884" spans="1:18" x14ac:dyDescent="0.25">
      <c r="A884" s="37" t="s">
        <v>1021</v>
      </c>
      <c r="B884" s="37"/>
      <c r="C884" s="37" t="s">
        <v>78</v>
      </c>
      <c r="D884" s="37" t="s">
        <v>2582</v>
      </c>
      <c r="E884" s="38">
        <v>45563</v>
      </c>
      <c r="F884" s="38">
        <v>45928</v>
      </c>
      <c r="G884" s="37" t="s">
        <v>73</v>
      </c>
      <c r="H884" s="37" t="s">
        <v>60</v>
      </c>
      <c r="I884" s="39">
        <v>8800</v>
      </c>
      <c r="J884" s="39">
        <v>7155</v>
      </c>
      <c r="K884" s="43">
        <f t="shared" si="40"/>
        <v>2.5000000000000001E-2</v>
      </c>
      <c r="L884" s="37" t="s">
        <v>2519</v>
      </c>
      <c r="M884" s="40">
        <v>45563</v>
      </c>
      <c r="N884" s="33" t="s">
        <v>57</v>
      </c>
      <c r="O884" s="41">
        <v>352000</v>
      </c>
      <c r="P884" s="34">
        <f t="shared" si="41"/>
        <v>1073.25</v>
      </c>
      <c r="Q884" s="36">
        <f t="shared" si="39"/>
        <v>71.55</v>
      </c>
      <c r="R884" s="35">
        <v>500</v>
      </c>
    </row>
    <row r="885" spans="1:18" x14ac:dyDescent="0.25">
      <c r="A885" s="37" t="s">
        <v>1022</v>
      </c>
      <c r="B885" s="37"/>
      <c r="C885" s="37" t="s">
        <v>78</v>
      </c>
      <c r="D885" s="37" t="s">
        <v>2582</v>
      </c>
      <c r="E885" s="38">
        <v>45563</v>
      </c>
      <c r="F885" s="38">
        <v>45928</v>
      </c>
      <c r="G885" s="37" t="s">
        <v>1738</v>
      </c>
      <c r="H885" s="37" t="s">
        <v>60</v>
      </c>
      <c r="I885" s="39">
        <v>8800</v>
      </c>
      <c r="J885" s="39">
        <v>7155</v>
      </c>
      <c r="K885" s="43">
        <f t="shared" si="40"/>
        <v>2.5000000000000001E-2</v>
      </c>
      <c r="L885" s="37" t="s">
        <v>2520</v>
      </c>
      <c r="M885" s="40">
        <v>45563</v>
      </c>
      <c r="N885" s="33" t="s">
        <v>57</v>
      </c>
      <c r="O885" s="41">
        <v>352000</v>
      </c>
      <c r="P885" s="34">
        <f t="shared" si="41"/>
        <v>1073.25</v>
      </c>
      <c r="Q885" s="36">
        <f t="shared" si="39"/>
        <v>71.55</v>
      </c>
      <c r="R885" s="35">
        <v>500</v>
      </c>
    </row>
    <row r="886" spans="1:18" x14ac:dyDescent="0.25">
      <c r="A886" s="37" t="s">
        <v>1023</v>
      </c>
      <c r="B886" s="37"/>
      <c r="C886" s="37" t="s">
        <v>78</v>
      </c>
      <c r="D886" s="37" t="s">
        <v>2582</v>
      </c>
      <c r="E886" s="38">
        <v>45563</v>
      </c>
      <c r="F886" s="38">
        <v>45928</v>
      </c>
      <c r="G886" s="37" t="s">
        <v>1739</v>
      </c>
      <c r="H886" s="37" t="s">
        <v>60</v>
      </c>
      <c r="I886" s="39">
        <v>8800</v>
      </c>
      <c r="J886" s="39">
        <v>7155</v>
      </c>
      <c r="K886" s="43">
        <f t="shared" si="40"/>
        <v>2.5000000000000001E-2</v>
      </c>
      <c r="L886" s="37" t="s">
        <v>2521</v>
      </c>
      <c r="M886" s="40">
        <v>45563</v>
      </c>
      <c r="N886" s="33" t="s">
        <v>57</v>
      </c>
      <c r="O886" s="41">
        <v>352000</v>
      </c>
      <c r="P886" s="34">
        <f t="shared" si="41"/>
        <v>1073.25</v>
      </c>
      <c r="Q886" s="36">
        <f t="shared" si="39"/>
        <v>71.55</v>
      </c>
      <c r="R886" s="35">
        <v>500</v>
      </c>
    </row>
    <row r="887" spans="1:18" x14ac:dyDescent="0.25">
      <c r="A887" s="37" t="s">
        <v>1024</v>
      </c>
      <c r="B887" s="37"/>
      <c r="C887" s="37" t="s">
        <v>78</v>
      </c>
      <c r="D887" s="37" t="s">
        <v>2582</v>
      </c>
      <c r="E887" s="38">
        <v>45563</v>
      </c>
      <c r="F887" s="38">
        <v>45928</v>
      </c>
      <c r="G887" s="37" t="s">
        <v>1740</v>
      </c>
      <c r="H887" s="37" t="s">
        <v>60</v>
      </c>
      <c r="I887" s="39">
        <v>8800</v>
      </c>
      <c r="J887" s="39">
        <v>7155</v>
      </c>
      <c r="K887" s="43">
        <f t="shared" si="40"/>
        <v>2.5000000000000001E-2</v>
      </c>
      <c r="L887" s="37" t="s">
        <v>2522</v>
      </c>
      <c r="M887" s="40">
        <v>45563</v>
      </c>
      <c r="N887" s="33" t="s">
        <v>57</v>
      </c>
      <c r="O887" s="41">
        <v>352000</v>
      </c>
      <c r="P887" s="34">
        <f t="shared" si="41"/>
        <v>1073.25</v>
      </c>
      <c r="Q887" s="36">
        <f t="shared" si="39"/>
        <v>71.55</v>
      </c>
      <c r="R887" s="35">
        <v>500</v>
      </c>
    </row>
    <row r="888" spans="1:18" x14ac:dyDescent="0.25">
      <c r="A888" s="37" t="s">
        <v>1025</v>
      </c>
      <c r="B888" s="37"/>
      <c r="C888" s="37" t="s">
        <v>78</v>
      </c>
      <c r="D888" s="37" t="s">
        <v>2582</v>
      </c>
      <c r="E888" s="38">
        <v>45563</v>
      </c>
      <c r="F888" s="38">
        <v>45928</v>
      </c>
      <c r="G888" s="37" t="s">
        <v>1741</v>
      </c>
      <c r="H888" s="37" t="s">
        <v>60</v>
      </c>
      <c r="I888" s="39">
        <v>8800</v>
      </c>
      <c r="J888" s="39">
        <v>7155</v>
      </c>
      <c r="K888" s="43">
        <f t="shared" si="40"/>
        <v>2.5000000000000001E-2</v>
      </c>
      <c r="L888" s="37" t="s">
        <v>2523</v>
      </c>
      <c r="M888" s="40">
        <v>45563</v>
      </c>
      <c r="N888" s="33" t="s">
        <v>57</v>
      </c>
      <c r="O888" s="41">
        <v>352000</v>
      </c>
      <c r="P888" s="34">
        <f t="shared" si="41"/>
        <v>1073.25</v>
      </c>
      <c r="Q888" s="36">
        <f t="shared" si="39"/>
        <v>71.55</v>
      </c>
      <c r="R888" s="35">
        <v>500</v>
      </c>
    </row>
    <row r="889" spans="1:18" x14ac:dyDescent="0.25">
      <c r="A889" s="37" t="s">
        <v>1026</v>
      </c>
      <c r="B889" s="37"/>
      <c r="C889" s="37" t="s">
        <v>31</v>
      </c>
      <c r="D889" s="37" t="s">
        <v>36</v>
      </c>
      <c r="E889" s="38">
        <v>45563</v>
      </c>
      <c r="F889" s="38">
        <v>45928</v>
      </c>
      <c r="G889" s="37" t="s">
        <v>1742</v>
      </c>
      <c r="H889" s="37" t="s">
        <v>60</v>
      </c>
      <c r="I889" s="39">
        <v>14960</v>
      </c>
      <c r="J889" s="39">
        <v>12466</v>
      </c>
      <c r="K889" s="43">
        <f t="shared" si="40"/>
        <v>4.2500000000000003E-2</v>
      </c>
      <c r="L889" s="37" t="s">
        <v>2524</v>
      </c>
      <c r="M889" s="40">
        <v>45563</v>
      </c>
      <c r="N889" s="33" t="s">
        <v>57</v>
      </c>
      <c r="O889" s="41">
        <v>352000</v>
      </c>
      <c r="P889" s="34">
        <f t="shared" si="41"/>
        <v>1869.9</v>
      </c>
      <c r="Q889" s="36">
        <f t="shared" si="39"/>
        <v>124.66</v>
      </c>
      <c r="R889" s="35">
        <v>500</v>
      </c>
    </row>
    <row r="890" spans="1:18" x14ac:dyDescent="0.25">
      <c r="A890" s="37" t="s">
        <v>1027</v>
      </c>
      <c r="B890" s="37"/>
      <c r="C890" s="37" t="s">
        <v>31</v>
      </c>
      <c r="D890" s="37" t="s">
        <v>36</v>
      </c>
      <c r="E890" s="38">
        <v>45929</v>
      </c>
      <c r="F890" s="38">
        <v>46294</v>
      </c>
      <c r="G890" s="37" t="s">
        <v>1742</v>
      </c>
      <c r="H890" s="37" t="s">
        <v>60</v>
      </c>
      <c r="I890" s="39">
        <v>14960</v>
      </c>
      <c r="J890" s="39">
        <v>12466</v>
      </c>
      <c r="K890" s="43">
        <f t="shared" si="40"/>
        <v>4.2500000000000003E-2</v>
      </c>
      <c r="L890" s="37" t="s">
        <v>2524</v>
      </c>
      <c r="M890" s="40">
        <v>45563</v>
      </c>
      <c r="N890" s="33" t="s">
        <v>57</v>
      </c>
      <c r="O890" s="41">
        <v>352000</v>
      </c>
      <c r="P890" s="34">
        <f t="shared" si="41"/>
        <v>1869.9</v>
      </c>
      <c r="Q890" s="36">
        <f t="shared" si="39"/>
        <v>124.66</v>
      </c>
      <c r="R890" s="35">
        <v>500</v>
      </c>
    </row>
    <row r="891" spans="1:18" x14ac:dyDescent="0.25">
      <c r="A891" s="37" t="s">
        <v>1027</v>
      </c>
      <c r="B891" s="37"/>
      <c r="C891" s="37" t="s">
        <v>34</v>
      </c>
      <c r="D891" s="37" t="s">
        <v>2582</v>
      </c>
      <c r="E891" s="38">
        <v>45563</v>
      </c>
      <c r="F891" s="38">
        <v>45928</v>
      </c>
      <c r="G891" s="37" t="s">
        <v>1743</v>
      </c>
      <c r="H891" s="37" t="s">
        <v>60</v>
      </c>
      <c r="I891" s="39">
        <v>8800</v>
      </c>
      <c r="J891" s="39">
        <v>7155</v>
      </c>
      <c r="K891" s="43">
        <f t="shared" si="40"/>
        <v>2.5000000000000001E-2</v>
      </c>
      <c r="L891" s="37" t="s">
        <v>2525</v>
      </c>
      <c r="M891" s="40">
        <v>45563</v>
      </c>
      <c r="N891" s="33" t="s">
        <v>57</v>
      </c>
      <c r="O891" s="41">
        <v>352000</v>
      </c>
      <c r="P891" s="34">
        <f t="shared" si="41"/>
        <v>1073.25</v>
      </c>
      <c r="Q891" s="36">
        <f t="shared" si="39"/>
        <v>71.55</v>
      </c>
      <c r="R891" s="35">
        <v>500</v>
      </c>
    </row>
    <row r="892" spans="1:18" x14ac:dyDescent="0.25">
      <c r="A892" s="37" t="s">
        <v>1028</v>
      </c>
      <c r="B892" s="37"/>
      <c r="C892" s="37" t="s">
        <v>34</v>
      </c>
      <c r="D892" s="37" t="s">
        <v>2582</v>
      </c>
      <c r="E892" s="38">
        <v>45563</v>
      </c>
      <c r="F892" s="38">
        <v>45928</v>
      </c>
      <c r="G892" s="37" t="s">
        <v>1744</v>
      </c>
      <c r="H892" s="37" t="s">
        <v>60</v>
      </c>
      <c r="I892" s="39">
        <v>8800</v>
      </c>
      <c r="J892" s="39">
        <v>7155</v>
      </c>
      <c r="K892" s="43">
        <f t="shared" si="40"/>
        <v>2.5000000000000001E-2</v>
      </c>
      <c r="L892" s="37" t="s">
        <v>2526</v>
      </c>
      <c r="M892" s="40">
        <v>45563</v>
      </c>
      <c r="N892" s="33" t="s">
        <v>57</v>
      </c>
      <c r="O892" s="41">
        <v>352000</v>
      </c>
      <c r="P892" s="34">
        <f t="shared" si="41"/>
        <v>1073.25</v>
      </c>
      <c r="Q892" s="36">
        <f t="shared" si="39"/>
        <v>71.55</v>
      </c>
      <c r="R892" s="35">
        <v>500</v>
      </c>
    </row>
    <row r="893" spans="1:18" x14ac:dyDescent="0.25">
      <c r="A893" s="37" t="s">
        <v>1029</v>
      </c>
      <c r="B893" s="37"/>
      <c r="C893" s="37" t="s">
        <v>34</v>
      </c>
      <c r="D893" s="37" t="s">
        <v>2582</v>
      </c>
      <c r="E893" s="38">
        <v>45563</v>
      </c>
      <c r="F893" s="38">
        <v>45928</v>
      </c>
      <c r="G893" s="37" t="s">
        <v>1745</v>
      </c>
      <c r="H893" s="37" t="s">
        <v>60</v>
      </c>
      <c r="I893" s="39">
        <v>8800</v>
      </c>
      <c r="J893" s="39">
        <v>7155</v>
      </c>
      <c r="K893" s="43">
        <f t="shared" si="40"/>
        <v>2.5000000000000001E-2</v>
      </c>
      <c r="L893" s="37" t="s">
        <v>2527</v>
      </c>
      <c r="M893" s="40">
        <v>45563</v>
      </c>
      <c r="N893" s="33" t="s">
        <v>57</v>
      </c>
      <c r="O893" s="41">
        <v>352000</v>
      </c>
      <c r="P893" s="34">
        <f t="shared" si="41"/>
        <v>1073.25</v>
      </c>
      <c r="Q893" s="36">
        <f t="shared" si="39"/>
        <v>71.55</v>
      </c>
      <c r="R893" s="35">
        <v>500</v>
      </c>
    </row>
    <row r="894" spans="1:18" x14ac:dyDescent="0.25">
      <c r="A894" s="37" t="s">
        <v>1030</v>
      </c>
      <c r="B894" s="37"/>
      <c r="C894" s="37" t="s">
        <v>55</v>
      </c>
      <c r="D894" s="37" t="s">
        <v>2582</v>
      </c>
      <c r="E894" s="38">
        <v>45563</v>
      </c>
      <c r="F894" s="38">
        <v>45928</v>
      </c>
      <c r="G894" s="37" t="s">
        <v>1746</v>
      </c>
      <c r="H894" s="37" t="s">
        <v>60</v>
      </c>
      <c r="I894" s="39">
        <v>8800</v>
      </c>
      <c r="J894" s="39">
        <v>7155</v>
      </c>
      <c r="K894" s="43">
        <f t="shared" si="40"/>
        <v>2.5000000000000001E-2</v>
      </c>
      <c r="L894" s="37" t="s">
        <v>2528</v>
      </c>
      <c r="M894" s="40">
        <v>45563</v>
      </c>
      <c r="N894" s="33" t="s">
        <v>57</v>
      </c>
      <c r="O894" s="41">
        <v>352000</v>
      </c>
      <c r="P894" s="34">
        <f t="shared" si="41"/>
        <v>1073.25</v>
      </c>
      <c r="Q894" s="36">
        <f t="shared" si="39"/>
        <v>71.55</v>
      </c>
      <c r="R894" s="35">
        <v>500</v>
      </c>
    </row>
    <row r="895" spans="1:18" x14ac:dyDescent="0.25">
      <c r="A895" s="37" t="s">
        <v>1031</v>
      </c>
      <c r="B895" s="37"/>
      <c r="C895" s="37" t="s">
        <v>55</v>
      </c>
      <c r="D895" s="37" t="s">
        <v>2582</v>
      </c>
      <c r="E895" s="38">
        <v>45563</v>
      </c>
      <c r="F895" s="38">
        <v>45928</v>
      </c>
      <c r="G895" s="37" t="s">
        <v>1747</v>
      </c>
      <c r="H895" s="37" t="s">
        <v>60</v>
      </c>
      <c r="I895" s="39">
        <v>8800</v>
      </c>
      <c r="J895" s="39">
        <v>7155</v>
      </c>
      <c r="K895" s="43">
        <f t="shared" si="40"/>
        <v>2.5000000000000001E-2</v>
      </c>
      <c r="L895" s="37" t="s">
        <v>2529</v>
      </c>
      <c r="M895" s="40">
        <v>45563</v>
      </c>
      <c r="N895" s="33" t="s">
        <v>57</v>
      </c>
      <c r="O895" s="41">
        <v>352000</v>
      </c>
      <c r="P895" s="34">
        <f t="shared" si="41"/>
        <v>1073.25</v>
      </c>
      <c r="Q895" s="36">
        <f t="shared" si="39"/>
        <v>71.55</v>
      </c>
      <c r="R895" s="35">
        <v>500</v>
      </c>
    </row>
    <row r="896" spans="1:18" x14ac:dyDescent="0.25">
      <c r="A896" s="37" t="s">
        <v>1032</v>
      </c>
      <c r="B896" s="37"/>
      <c r="C896" s="37" t="s">
        <v>32</v>
      </c>
      <c r="D896" s="37" t="s">
        <v>36</v>
      </c>
      <c r="E896" s="38">
        <v>45563</v>
      </c>
      <c r="F896" s="38">
        <v>45928</v>
      </c>
      <c r="G896" s="37" t="s">
        <v>1748</v>
      </c>
      <c r="H896" s="37" t="s">
        <v>60</v>
      </c>
      <c r="I896" s="39">
        <v>14960</v>
      </c>
      <c r="J896" s="39">
        <v>12466</v>
      </c>
      <c r="K896" s="43">
        <f t="shared" si="40"/>
        <v>4.2500000000000003E-2</v>
      </c>
      <c r="L896" s="37" t="s">
        <v>2530</v>
      </c>
      <c r="M896" s="40">
        <v>45563</v>
      </c>
      <c r="N896" s="33" t="s">
        <v>57</v>
      </c>
      <c r="O896" s="41">
        <v>352000</v>
      </c>
      <c r="P896" s="34">
        <f t="shared" si="41"/>
        <v>1869.9</v>
      </c>
      <c r="Q896" s="36">
        <f t="shared" ref="Q896:Q959" si="42">J896*1/100</f>
        <v>124.66</v>
      </c>
      <c r="R896" s="35">
        <v>500</v>
      </c>
    </row>
    <row r="897" spans="1:18" x14ac:dyDescent="0.25">
      <c r="A897" s="37" t="s">
        <v>1033</v>
      </c>
      <c r="B897" s="37"/>
      <c r="C897" s="37" t="s">
        <v>32</v>
      </c>
      <c r="D897" s="37" t="s">
        <v>36</v>
      </c>
      <c r="E897" s="38">
        <v>45929</v>
      </c>
      <c r="F897" s="38">
        <v>46294</v>
      </c>
      <c r="G897" s="37" t="s">
        <v>1748</v>
      </c>
      <c r="H897" s="37" t="s">
        <v>60</v>
      </c>
      <c r="I897" s="39">
        <v>14960</v>
      </c>
      <c r="J897" s="39">
        <v>12466</v>
      </c>
      <c r="K897" s="43">
        <f t="shared" si="40"/>
        <v>4.2500000000000003E-2</v>
      </c>
      <c r="L897" s="37" t="s">
        <v>2530</v>
      </c>
      <c r="M897" s="40">
        <v>45563</v>
      </c>
      <c r="N897" s="33" t="s">
        <v>57</v>
      </c>
      <c r="O897" s="41">
        <v>352000</v>
      </c>
      <c r="P897" s="34">
        <f t="shared" si="41"/>
        <v>1869.9</v>
      </c>
      <c r="Q897" s="36">
        <f t="shared" si="42"/>
        <v>124.66</v>
      </c>
      <c r="R897" s="35">
        <v>500</v>
      </c>
    </row>
    <row r="898" spans="1:18" x14ac:dyDescent="0.25">
      <c r="A898" s="37" t="s">
        <v>1034</v>
      </c>
      <c r="B898" s="37"/>
      <c r="C898" s="37" t="s">
        <v>35</v>
      </c>
      <c r="D898" s="37" t="s">
        <v>36</v>
      </c>
      <c r="E898" s="38">
        <v>45564</v>
      </c>
      <c r="F898" s="38">
        <v>45929</v>
      </c>
      <c r="G898" s="37" t="s">
        <v>1749</v>
      </c>
      <c r="H898" s="37" t="s">
        <v>60</v>
      </c>
      <c r="I898" s="39">
        <v>14960</v>
      </c>
      <c r="J898" s="39">
        <v>12466</v>
      </c>
      <c r="K898" s="43">
        <f t="shared" si="40"/>
        <v>4.2500000000000003E-2</v>
      </c>
      <c r="L898" s="37" t="s">
        <v>2531</v>
      </c>
      <c r="M898" s="40">
        <v>45564</v>
      </c>
      <c r="N898" s="33" t="s">
        <v>57</v>
      </c>
      <c r="O898" s="41">
        <v>352000</v>
      </c>
      <c r="P898" s="34">
        <f t="shared" si="41"/>
        <v>1869.9</v>
      </c>
      <c r="Q898" s="36">
        <f t="shared" si="42"/>
        <v>124.66</v>
      </c>
      <c r="R898" s="35">
        <v>500</v>
      </c>
    </row>
    <row r="899" spans="1:18" x14ac:dyDescent="0.25">
      <c r="A899" s="37" t="s">
        <v>1035</v>
      </c>
      <c r="B899" s="37"/>
      <c r="C899" s="37" t="s">
        <v>52</v>
      </c>
      <c r="D899" s="37" t="s">
        <v>36</v>
      </c>
      <c r="E899" s="38">
        <v>45564</v>
      </c>
      <c r="F899" s="38">
        <v>45929</v>
      </c>
      <c r="G899" s="37" t="s">
        <v>1750</v>
      </c>
      <c r="H899" s="37" t="s">
        <v>60</v>
      </c>
      <c r="I899" s="39">
        <v>14960</v>
      </c>
      <c r="J899" s="39">
        <v>12466</v>
      </c>
      <c r="K899" s="43">
        <f t="shared" si="40"/>
        <v>4.2500000000000003E-2</v>
      </c>
      <c r="L899" s="37" t="s">
        <v>2532</v>
      </c>
      <c r="M899" s="40">
        <v>45564</v>
      </c>
      <c r="N899" s="33" t="s">
        <v>57</v>
      </c>
      <c r="O899" s="41">
        <v>352000</v>
      </c>
      <c r="P899" s="34">
        <f t="shared" si="41"/>
        <v>1869.9</v>
      </c>
      <c r="Q899" s="36">
        <f t="shared" si="42"/>
        <v>124.66</v>
      </c>
      <c r="R899" s="35">
        <v>500</v>
      </c>
    </row>
    <row r="900" spans="1:18" x14ac:dyDescent="0.25">
      <c r="A900" s="37" t="s">
        <v>1036</v>
      </c>
      <c r="B900" s="37"/>
      <c r="C900" s="37" t="s">
        <v>52</v>
      </c>
      <c r="D900" s="37" t="s">
        <v>36</v>
      </c>
      <c r="E900" s="38">
        <v>45930</v>
      </c>
      <c r="F900" s="38">
        <v>46295</v>
      </c>
      <c r="G900" s="37" t="s">
        <v>1750</v>
      </c>
      <c r="H900" s="37" t="s">
        <v>60</v>
      </c>
      <c r="I900" s="39">
        <v>14960</v>
      </c>
      <c r="J900" s="39">
        <v>12466</v>
      </c>
      <c r="K900" s="43">
        <f t="shared" ref="K900:K960" si="43">I900/O900</f>
        <v>4.2500000000000003E-2</v>
      </c>
      <c r="L900" s="37" t="s">
        <v>2532</v>
      </c>
      <c r="M900" s="40">
        <v>45564</v>
      </c>
      <c r="N900" s="33" t="s">
        <v>57</v>
      </c>
      <c r="O900" s="41">
        <v>352000</v>
      </c>
      <c r="P900" s="34">
        <f t="shared" ref="P900:P960" si="44">J900*15/100</f>
        <v>1869.9</v>
      </c>
      <c r="Q900" s="36">
        <f t="shared" si="42"/>
        <v>124.66</v>
      </c>
      <c r="R900" s="35">
        <v>500</v>
      </c>
    </row>
    <row r="901" spans="1:18" x14ac:dyDescent="0.25">
      <c r="A901" s="37" t="s">
        <v>1037</v>
      </c>
      <c r="B901" s="37"/>
      <c r="C901" s="37" t="s">
        <v>33</v>
      </c>
      <c r="D901" s="37" t="s">
        <v>36</v>
      </c>
      <c r="E901" s="38">
        <v>45564</v>
      </c>
      <c r="F901" s="38">
        <v>45929</v>
      </c>
      <c r="G901" s="37" t="s">
        <v>1751</v>
      </c>
      <c r="H901" s="37" t="s">
        <v>60</v>
      </c>
      <c r="I901" s="39">
        <v>14960</v>
      </c>
      <c r="J901" s="39">
        <v>12466</v>
      </c>
      <c r="K901" s="43">
        <f t="shared" si="43"/>
        <v>4.2500000000000003E-2</v>
      </c>
      <c r="L901" s="37" t="s">
        <v>2533</v>
      </c>
      <c r="M901" s="40">
        <v>45564</v>
      </c>
      <c r="N901" s="33" t="s">
        <v>57</v>
      </c>
      <c r="O901" s="41">
        <v>352000</v>
      </c>
      <c r="P901" s="34">
        <f t="shared" si="44"/>
        <v>1869.9</v>
      </c>
      <c r="Q901" s="36">
        <f t="shared" si="42"/>
        <v>124.66</v>
      </c>
      <c r="R901" s="35">
        <v>500</v>
      </c>
    </row>
    <row r="902" spans="1:18" x14ac:dyDescent="0.25">
      <c r="A902" s="37" t="s">
        <v>1038</v>
      </c>
      <c r="B902" s="37"/>
      <c r="C902" s="37" t="s">
        <v>33</v>
      </c>
      <c r="D902" s="37" t="s">
        <v>36</v>
      </c>
      <c r="E902" s="38">
        <v>45930</v>
      </c>
      <c r="F902" s="38">
        <v>46295</v>
      </c>
      <c r="G902" s="37" t="s">
        <v>1751</v>
      </c>
      <c r="H902" s="37" t="s">
        <v>60</v>
      </c>
      <c r="I902" s="39">
        <v>14960</v>
      </c>
      <c r="J902" s="39">
        <v>12466</v>
      </c>
      <c r="K902" s="43">
        <f t="shared" si="43"/>
        <v>4.2500000000000003E-2</v>
      </c>
      <c r="L902" s="37" t="s">
        <v>2533</v>
      </c>
      <c r="M902" s="40">
        <v>45564</v>
      </c>
      <c r="N902" s="33" t="s">
        <v>57</v>
      </c>
      <c r="O902" s="41">
        <v>352000</v>
      </c>
      <c r="P902" s="34">
        <f t="shared" si="44"/>
        <v>1869.9</v>
      </c>
      <c r="Q902" s="36">
        <f t="shared" si="42"/>
        <v>124.66</v>
      </c>
      <c r="R902" s="35">
        <v>500</v>
      </c>
    </row>
    <row r="903" spans="1:18" x14ac:dyDescent="0.25">
      <c r="A903" s="37" t="s">
        <v>1039</v>
      </c>
      <c r="B903" s="37"/>
      <c r="C903" s="37" t="s">
        <v>52</v>
      </c>
      <c r="D903" s="37" t="s">
        <v>36</v>
      </c>
      <c r="E903" s="38">
        <v>45564</v>
      </c>
      <c r="F903" s="38">
        <v>45929</v>
      </c>
      <c r="G903" s="37" t="s">
        <v>1752</v>
      </c>
      <c r="H903" s="37" t="s">
        <v>62</v>
      </c>
      <c r="I903" s="39">
        <v>23248</v>
      </c>
      <c r="J903" s="39">
        <v>19610</v>
      </c>
      <c r="K903" s="43">
        <f t="shared" si="43"/>
        <v>4.2500914076782449E-2</v>
      </c>
      <c r="L903" s="37" t="s">
        <v>2534</v>
      </c>
      <c r="M903" s="40">
        <v>45564</v>
      </c>
      <c r="N903" s="33" t="s">
        <v>57</v>
      </c>
      <c r="O903" s="41">
        <v>547000</v>
      </c>
      <c r="P903" s="34">
        <f t="shared" si="44"/>
        <v>2941.5</v>
      </c>
      <c r="Q903" s="36">
        <f t="shared" si="42"/>
        <v>196.1</v>
      </c>
      <c r="R903" s="35">
        <v>500</v>
      </c>
    </row>
    <row r="904" spans="1:18" x14ac:dyDescent="0.25">
      <c r="A904" s="37" t="s">
        <v>1040</v>
      </c>
      <c r="B904" s="37"/>
      <c r="C904" s="37" t="s">
        <v>32</v>
      </c>
      <c r="D904" s="37" t="s">
        <v>36</v>
      </c>
      <c r="E904" s="38">
        <v>45564</v>
      </c>
      <c r="F904" s="38">
        <v>45929</v>
      </c>
      <c r="G904" s="37" t="s">
        <v>1753</v>
      </c>
      <c r="H904" s="37" t="s">
        <v>60</v>
      </c>
      <c r="I904" s="39">
        <v>14960</v>
      </c>
      <c r="J904" s="39">
        <v>12466</v>
      </c>
      <c r="K904" s="43">
        <f t="shared" si="43"/>
        <v>4.2500000000000003E-2</v>
      </c>
      <c r="L904" s="37" t="s">
        <v>2535</v>
      </c>
      <c r="M904" s="40">
        <v>45564</v>
      </c>
      <c r="N904" s="33" t="s">
        <v>57</v>
      </c>
      <c r="O904" s="41">
        <v>352000</v>
      </c>
      <c r="P904" s="34">
        <f t="shared" si="44"/>
        <v>1869.9</v>
      </c>
      <c r="Q904" s="36">
        <f t="shared" si="42"/>
        <v>124.66</v>
      </c>
      <c r="R904" s="35">
        <v>500</v>
      </c>
    </row>
    <row r="905" spans="1:18" x14ac:dyDescent="0.25">
      <c r="A905" s="37" t="s">
        <v>1041</v>
      </c>
      <c r="B905" s="37"/>
      <c r="C905" s="37" t="s">
        <v>32</v>
      </c>
      <c r="D905" s="37" t="s">
        <v>36</v>
      </c>
      <c r="E905" s="38">
        <v>45930</v>
      </c>
      <c r="F905" s="38">
        <v>46295</v>
      </c>
      <c r="G905" s="37" t="s">
        <v>1753</v>
      </c>
      <c r="H905" s="37" t="s">
        <v>60</v>
      </c>
      <c r="I905" s="39">
        <v>14960</v>
      </c>
      <c r="J905" s="39">
        <v>12466</v>
      </c>
      <c r="K905" s="43">
        <f t="shared" si="43"/>
        <v>4.2500000000000003E-2</v>
      </c>
      <c r="L905" s="37" t="s">
        <v>2535</v>
      </c>
      <c r="M905" s="40">
        <v>45564</v>
      </c>
      <c r="N905" s="33" t="s">
        <v>57</v>
      </c>
      <c r="O905" s="41">
        <v>352000</v>
      </c>
      <c r="P905" s="34">
        <f t="shared" si="44"/>
        <v>1869.9</v>
      </c>
      <c r="Q905" s="36">
        <f t="shared" si="42"/>
        <v>124.66</v>
      </c>
      <c r="R905" s="35">
        <v>500</v>
      </c>
    </row>
    <row r="906" spans="1:18" x14ac:dyDescent="0.25">
      <c r="A906" s="37" t="s">
        <v>1042</v>
      </c>
      <c r="B906" s="37"/>
      <c r="C906" s="37" t="s">
        <v>33</v>
      </c>
      <c r="D906" s="37" t="s">
        <v>36</v>
      </c>
      <c r="E906" s="38">
        <v>45564</v>
      </c>
      <c r="F906" s="38">
        <v>45929</v>
      </c>
      <c r="G906" s="37" t="s">
        <v>1754</v>
      </c>
      <c r="H906" s="37" t="s">
        <v>61</v>
      </c>
      <c r="I906" s="39">
        <v>16235</v>
      </c>
      <c r="J906" s="39">
        <v>13565</v>
      </c>
      <c r="K906" s="43">
        <f t="shared" si="43"/>
        <v>4.2500000000000003E-2</v>
      </c>
      <c r="L906" s="37" t="s">
        <v>2536</v>
      </c>
      <c r="M906" s="40">
        <v>45564</v>
      </c>
      <c r="N906" s="33" t="s">
        <v>57</v>
      </c>
      <c r="O906" s="41">
        <v>382000</v>
      </c>
      <c r="P906" s="34">
        <f t="shared" si="44"/>
        <v>2034.75</v>
      </c>
      <c r="Q906" s="36">
        <f t="shared" si="42"/>
        <v>135.65</v>
      </c>
      <c r="R906" s="35">
        <v>500</v>
      </c>
    </row>
    <row r="907" spans="1:18" x14ac:dyDescent="0.25">
      <c r="A907" s="37" t="s">
        <v>1043</v>
      </c>
      <c r="B907" s="37"/>
      <c r="C907" s="37" t="s">
        <v>38</v>
      </c>
      <c r="D907" s="37" t="s">
        <v>36</v>
      </c>
      <c r="E907" s="38">
        <v>45564</v>
      </c>
      <c r="F907" s="38">
        <v>45929</v>
      </c>
      <c r="G907" s="37" t="s">
        <v>1755</v>
      </c>
      <c r="H907" s="37" t="s">
        <v>62</v>
      </c>
      <c r="I907" s="39">
        <v>23248</v>
      </c>
      <c r="J907" s="39">
        <v>19610</v>
      </c>
      <c r="K907" s="43">
        <f t="shared" si="43"/>
        <v>4.2500914076782449E-2</v>
      </c>
      <c r="L907" s="37" t="s">
        <v>2537</v>
      </c>
      <c r="M907" s="40">
        <v>45564</v>
      </c>
      <c r="N907" s="33" t="s">
        <v>57</v>
      </c>
      <c r="O907" s="41">
        <v>547000</v>
      </c>
      <c r="P907" s="34">
        <f t="shared" si="44"/>
        <v>2941.5</v>
      </c>
      <c r="Q907" s="36">
        <f t="shared" si="42"/>
        <v>196.1</v>
      </c>
      <c r="R907" s="35">
        <v>500</v>
      </c>
    </row>
    <row r="908" spans="1:18" x14ac:dyDescent="0.25">
      <c r="A908" s="37" t="s">
        <v>1044</v>
      </c>
      <c r="B908" s="37"/>
      <c r="C908" s="37" t="s">
        <v>38</v>
      </c>
      <c r="D908" s="37" t="s">
        <v>36</v>
      </c>
      <c r="E908" s="38">
        <v>45930</v>
      </c>
      <c r="F908" s="38">
        <v>46295</v>
      </c>
      <c r="G908" s="37" t="s">
        <v>1755</v>
      </c>
      <c r="H908" s="37" t="s">
        <v>62</v>
      </c>
      <c r="I908" s="39">
        <v>23248</v>
      </c>
      <c r="J908" s="39">
        <v>19610</v>
      </c>
      <c r="K908" s="43">
        <f t="shared" si="43"/>
        <v>4.2500914076782449E-2</v>
      </c>
      <c r="L908" s="37" t="s">
        <v>2537</v>
      </c>
      <c r="M908" s="40">
        <v>45564</v>
      </c>
      <c r="N908" s="33" t="s">
        <v>57</v>
      </c>
      <c r="O908" s="41">
        <v>547000</v>
      </c>
      <c r="P908" s="34">
        <f t="shared" si="44"/>
        <v>2941.5</v>
      </c>
      <c r="Q908" s="36">
        <f t="shared" si="42"/>
        <v>196.1</v>
      </c>
      <c r="R908" s="35">
        <v>500</v>
      </c>
    </row>
    <row r="909" spans="1:18" x14ac:dyDescent="0.25">
      <c r="A909" s="37" t="s">
        <v>1045</v>
      </c>
      <c r="B909" s="37"/>
      <c r="C909" s="37" t="s">
        <v>38</v>
      </c>
      <c r="D909" s="37" t="s">
        <v>36</v>
      </c>
      <c r="E909" s="38">
        <v>45564</v>
      </c>
      <c r="F909" s="38">
        <v>45929</v>
      </c>
      <c r="G909" s="37" t="s">
        <v>1756</v>
      </c>
      <c r="H909" s="37" t="s">
        <v>64</v>
      </c>
      <c r="I909" s="39">
        <v>16235</v>
      </c>
      <c r="J909" s="39">
        <v>13565</v>
      </c>
      <c r="K909" s="43">
        <f t="shared" si="43"/>
        <v>4.2500000000000003E-2</v>
      </c>
      <c r="L909" s="37" t="s">
        <v>2538</v>
      </c>
      <c r="M909" s="40">
        <v>45564</v>
      </c>
      <c r="N909" s="33" t="s">
        <v>57</v>
      </c>
      <c r="O909" s="41">
        <v>382000</v>
      </c>
      <c r="P909" s="34">
        <f t="shared" si="44"/>
        <v>2034.75</v>
      </c>
      <c r="Q909" s="36">
        <f t="shared" si="42"/>
        <v>135.65</v>
      </c>
      <c r="R909" s="35">
        <v>500</v>
      </c>
    </row>
    <row r="910" spans="1:18" x14ac:dyDescent="0.25">
      <c r="A910" s="37" t="s">
        <v>1046</v>
      </c>
      <c r="B910" s="37"/>
      <c r="C910" s="37" t="s">
        <v>38</v>
      </c>
      <c r="D910" s="37" t="s">
        <v>36</v>
      </c>
      <c r="E910" s="38">
        <v>45930</v>
      </c>
      <c r="F910" s="38">
        <v>46295</v>
      </c>
      <c r="G910" s="37" t="s">
        <v>1756</v>
      </c>
      <c r="H910" s="37" t="s">
        <v>64</v>
      </c>
      <c r="I910" s="39">
        <v>16235</v>
      </c>
      <c r="J910" s="39">
        <v>13565</v>
      </c>
      <c r="K910" s="43">
        <f t="shared" si="43"/>
        <v>4.2500000000000003E-2</v>
      </c>
      <c r="L910" s="37" t="s">
        <v>2538</v>
      </c>
      <c r="M910" s="40">
        <v>45564</v>
      </c>
      <c r="N910" s="33" t="s">
        <v>57</v>
      </c>
      <c r="O910" s="41">
        <v>382000</v>
      </c>
      <c r="P910" s="34">
        <f t="shared" si="44"/>
        <v>2034.75</v>
      </c>
      <c r="Q910" s="36">
        <f t="shared" si="42"/>
        <v>135.65</v>
      </c>
      <c r="R910" s="35">
        <v>500</v>
      </c>
    </row>
    <row r="911" spans="1:18" x14ac:dyDescent="0.25">
      <c r="A911" s="37" t="s">
        <v>1047</v>
      </c>
      <c r="B911" s="37"/>
      <c r="C911" s="37" t="s">
        <v>38</v>
      </c>
      <c r="D911" s="37" t="s">
        <v>36</v>
      </c>
      <c r="E911" s="38">
        <v>45564</v>
      </c>
      <c r="F911" s="38">
        <v>45929</v>
      </c>
      <c r="G911" s="37" t="s">
        <v>1715</v>
      </c>
      <c r="H911" s="37" t="s">
        <v>61</v>
      </c>
      <c r="I911" s="39">
        <v>16235</v>
      </c>
      <c r="J911" s="39">
        <v>13565</v>
      </c>
      <c r="K911" s="43">
        <f t="shared" si="43"/>
        <v>4.2500000000000003E-2</v>
      </c>
      <c r="L911" s="37" t="s">
        <v>2539</v>
      </c>
      <c r="M911" s="40">
        <v>45564</v>
      </c>
      <c r="N911" s="33" t="s">
        <v>57</v>
      </c>
      <c r="O911" s="41">
        <v>382000</v>
      </c>
      <c r="P911" s="34">
        <f t="shared" si="44"/>
        <v>2034.75</v>
      </c>
      <c r="Q911" s="36">
        <f t="shared" si="42"/>
        <v>135.65</v>
      </c>
      <c r="R911" s="35">
        <v>500</v>
      </c>
    </row>
    <row r="912" spans="1:18" x14ac:dyDescent="0.25">
      <c r="A912" s="37" t="s">
        <v>1048</v>
      </c>
      <c r="B912" s="37"/>
      <c r="C912" s="37" t="s">
        <v>38</v>
      </c>
      <c r="D912" s="37" t="s">
        <v>36</v>
      </c>
      <c r="E912" s="38">
        <v>45930</v>
      </c>
      <c r="F912" s="38">
        <v>46295</v>
      </c>
      <c r="G912" s="37" t="s">
        <v>1715</v>
      </c>
      <c r="H912" s="37" t="s">
        <v>61</v>
      </c>
      <c r="I912" s="39">
        <v>16235</v>
      </c>
      <c r="J912" s="39">
        <v>13565</v>
      </c>
      <c r="K912" s="43">
        <f t="shared" si="43"/>
        <v>4.2500000000000003E-2</v>
      </c>
      <c r="L912" s="37" t="s">
        <v>2539</v>
      </c>
      <c r="M912" s="40">
        <v>45564</v>
      </c>
      <c r="N912" s="33" t="s">
        <v>57</v>
      </c>
      <c r="O912" s="41">
        <v>382000</v>
      </c>
      <c r="P912" s="34">
        <f t="shared" si="44"/>
        <v>2034.75</v>
      </c>
      <c r="Q912" s="36">
        <f t="shared" si="42"/>
        <v>135.65</v>
      </c>
      <c r="R912" s="35">
        <v>500</v>
      </c>
    </row>
    <row r="913" spans="1:18" x14ac:dyDescent="0.25">
      <c r="A913" s="37" t="s">
        <v>1049</v>
      </c>
      <c r="B913" s="37"/>
      <c r="C913" s="37" t="s">
        <v>38</v>
      </c>
      <c r="D913" s="37" t="s">
        <v>36</v>
      </c>
      <c r="E913" s="38">
        <v>45564</v>
      </c>
      <c r="F913" s="38">
        <v>45929</v>
      </c>
      <c r="G913" s="37" t="s">
        <v>1757</v>
      </c>
      <c r="H913" s="37" t="s">
        <v>60</v>
      </c>
      <c r="I913" s="39">
        <v>14960</v>
      </c>
      <c r="J913" s="39">
        <v>12466</v>
      </c>
      <c r="K913" s="43">
        <f t="shared" si="43"/>
        <v>4.2500000000000003E-2</v>
      </c>
      <c r="L913" s="37" t="s">
        <v>2540</v>
      </c>
      <c r="M913" s="40">
        <v>45564</v>
      </c>
      <c r="N913" s="33" t="s">
        <v>57</v>
      </c>
      <c r="O913" s="41">
        <v>352000</v>
      </c>
      <c r="P913" s="34">
        <f t="shared" si="44"/>
        <v>1869.9</v>
      </c>
      <c r="Q913" s="36">
        <f t="shared" si="42"/>
        <v>124.66</v>
      </c>
      <c r="R913" s="35">
        <v>500</v>
      </c>
    </row>
    <row r="914" spans="1:18" x14ac:dyDescent="0.25">
      <c r="A914" s="37" t="s">
        <v>1050</v>
      </c>
      <c r="B914" s="37"/>
      <c r="C914" s="37" t="s">
        <v>38</v>
      </c>
      <c r="D914" s="37" t="s">
        <v>36</v>
      </c>
      <c r="E914" s="38">
        <v>45930</v>
      </c>
      <c r="F914" s="38">
        <v>46295</v>
      </c>
      <c r="G914" s="37" t="s">
        <v>1757</v>
      </c>
      <c r="H914" s="37" t="s">
        <v>60</v>
      </c>
      <c r="I914" s="39">
        <v>14960</v>
      </c>
      <c r="J914" s="39">
        <v>12466</v>
      </c>
      <c r="K914" s="43">
        <f t="shared" si="43"/>
        <v>4.2500000000000003E-2</v>
      </c>
      <c r="L914" s="37" t="s">
        <v>2540</v>
      </c>
      <c r="M914" s="40">
        <v>45564</v>
      </c>
      <c r="N914" s="33" t="s">
        <v>57</v>
      </c>
      <c r="O914" s="41">
        <v>352000</v>
      </c>
      <c r="P914" s="34">
        <f t="shared" si="44"/>
        <v>1869.9</v>
      </c>
      <c r="Q914" s="36">
        <f t="shared" si="42"/>
        <v>124.66</v>
      </c>
      <c r="R914" s="35">
        <v>500</v>
      </c>
    </row>
    <row r="915" spans="1:18" x14ac:dyDescent="0.25">
      <c r="A915" s="37" t="s">
        <v>1051</v>
      </c>
      <c r="B915" s="37"/>
      <c r="C915" s="37" t="s">
        <v>38</v>
      </c>
      <c r="D915" s="37" t="s">
        <v>36</v>
      </c>
      <c r="E915" s="38">
        <v>45564</v>
      </c>
      <c r="F915" s="38">
        <v>45929</v>
      </c>
      <c r="G915" s="37" t="s">
        <v>1758</v>
      </c>
      <c r="H915" s="37" t="s">
        <v>60</v>
      </c>
      <c r="I915" s="39">
        <v>14960</v>
      </c>
      <c r="J915" s="39">
        <v>12466</v>
      </c>
      <c r="K915" s="43">
        <f t="shared" si="43"/>
        <v>4.2500000000000003E-2</v>
      </c>
      <c r="L915" s="37" t="s">
        <v>2541</v>
      </c>
      <c r="M915" s="40">
        <v>45564</v>
      </c>
      <c r="N915" s="33" t="s">
        <v>57</v>
      </c>
      <c r="O915" s="41">
        <v>352000</v>
      </c>
      <c r="P915" s="34">
        <f t="shared" si="44"/>
        <v>1869.9</v>
      </c>
      <c r="Q915" s="36">
        <f t="shared" si="42"/>
        <v>124.66</v>
      </c>
      <c r="R915" s="35">
        <v>500</v>
      </c>
    </row>
    <row r="916" spans="1:18" x14ac:dyDescent="0.25">
      <c r="A916" s="37" t="s">
        <v>1052</v>
      </c>
      <c r="B916" s="37"/>
      <c r="C916" s="37" t="s">
        <v>38</v>
      </c>
      <c r="D916" s="37" t="s">
        <v>36</v>
      </c>
      <c r="E916" s="38">
        <v>45930</v>
      </c>
      <c r="F916" s="38">
        <v>46295</v>
      </c>
      <c r="G916" s="37" t="s">
        <v>1758</v>
      </c>
      <c r="H916" s="37" t="s">
        <v>60</v>
      </c>
      <c r="I916" s="39">
        <v>14960</v>
      </c>
      <c r="J916" s="39">
        <v>12466</v>
      </c>
      <c r="K916" s="43">
        <f t="shared" si="43"/>
        <v>4.2500000000000003E-2</v>
      </c>
      <c r="L916" s="37" t="s">
        <v>2541</v>
      </c>
      <c r="M916" s="40">
        <v>45564</v>
      </c>
      <c r="N916" s="33" t="s">
        <v>57</v>
      </c>
      <c r="O916" s="41">
        <v>352000</v>
      </c>
      <c r="P916" s="34">
        <f t="shared" si="44"/>
        <v>1869.9</v>
      </c>
      <c r="Q916" s="36">
        <f t="shared" si="42"/>
        <v>124.66</v>
      </c>
      <c r="R916" s="35">
        <v>500</v>
      </c>
    </row>
    <row r="917" spans="1:18" x14ac:dyDescent="0.25">
      <c r="A917" s="37" t="s">
        <v>1053</v>
      </c>
      <c r="B917" s="37"/>
      <c r="C917" s="37" t="s">
        <v>36</v>
      </c>
      <c r="D917" s="37" t="s">
        <v>36</v>
      </c>
      <c r="E917" s="38">
        <v>45565</v>
      </c>
      <c r="F917" s="38">
        <v>45930</v>
      </c>
      <c r="G917" s="37" t="s">
        <v>88</v>
      </c>
      <c r="H917" s="37" t="s">
        <v>62</v>
      </c>
      <c r="I917" s="39">
        <v>23248</v>
      </c>
      <c r="J917" s="39">
        <v>19610</v>
      </c>
      <c r="K917" s="43">
        <f t="shared" si="43"/>
        <v>4.2500914076782449E-2</v>
      </c>
      <c r="L917" s="37" t="s">
        <v>2542</v>
      </c>
      <c r="M917" s="40">
        <v>45565</v>
      </c>
      <c r="N917" s="33" t="s">
        <v>57</v>
      </c>
      <c r="O917" s="41">
        <v>547000</v>
      </c>
      <c r="P917" s="34">
        <f t="shared" si="44"/>
        <v>2941.5</v>
      </c>
      <c r="Q917" s="36">
        <f t="shared" si="42"/>
        <v>196.1</v>
      </c>
      <c r="R917" s="35">
        <v>500</v>
      </c>
    </row>
    <row r="918" spans="1:18" x14ac:dyDescent="0.25">
      <c r="A918" s="37" t="s">
        <v>1054</v>
      </c>
      <c r="B918" s="37"/>
      <c r="C918" s="37" t="s">
        <v>36</v>
      </c>
      <c r="D918" s="37" t="s">
        <v>36</v>
      </c>
      <c r="E918" s="38">
        <v>45931</v>
      </c>
      <c r="F918" s="38">
        <v>46296</v>
      </c>
      <c r="G918" s="37" t="s">
        <v>88</v>
      </c>
      <c r="H918" s="37" t="s">
        <v>62</v>
      </c>
      <c r="I918" s="39">
        <v>23248</v>
      </c>
      <c r="J918" s="39">
        <v>19610</v>
      </c>
      <c r="K918" s="43">
        <f t="shared" si="43"/>
        <v>4.2500914076782449E-2</v>
      </c>
      <c r="L918" s="37" t="s">
        <v>2542</v>
      </c>
      <c r="M918" s="40">
        <v>45565</v>
      </c>
      <c r="N918" s="33" t="s">
        <v>57</v>
      </c>
      <c r="O918" s="41">
        <v>547000</v>
      </c>
      <c r="P918" s="34">
        <f t="shared" si="44"/>
        <v>2941.5</v>
      </c>
      <c r="Q918" s="36">
        <f t="shared" si="42"/>
        <v>196.1</v>
      </c>
      <c r="R918" s="35">
        <v>500</v>
      </c>
    </row>
    <row r="919" spans="1:18" x14ac:dyDescent="0.25">
      <c r="A919" s="37" t="s">
        <v>1055</v>
      </c>
      <c r="B919" s="37"/>
      <c r="C919" s="37" t="s">
        <v>39</v>
      </c>
      <c r="D919" s="37" t="s">
        <v>36</v>
      </c>
      <c r="E919" s="38">
        <v>45565</v>
      </c>
      <c r="F919" s="38">
        <v>45930</v>
      </c>
      <c r="G919" s="37" t="s">
        <v>1759</v>
      </c>
      <c r="H919" s="37" t="s">
        <v>60</v>
      </c>
      <c r="I919" s="39">
        <v>14960</v>
      </c>
      <c r="J919" s="39">
        <v>12466</v>
      </c>
      <c r="K919" s="43">
        <f t="shared" si="43"/>
        <v>4.2500000000000003E-2</v>
      </c>
      <c r="L919" s="37" t="s">
        <v>2543</v>
      </c>
      <c r="M919" s="40">
        <v>45565</v>
      </c>
      <c r="N919" s="33" t="s">
        <v>57</v>
      </c>
      <c r="O919" s="41">
        <v>352000</v>
      </c>
      <c r="P919" s="34">
        <f t="shared" si="44"/>
        <v>1869.9</v>
      </c>
      <c r="Q919" s="36">
        <f t="shared" si="42"/>
        <v>124.66</v>
      </c>
      <c r="R919" s="35">
        <v>500</v>
      </c>
    </row>
    <row r="920" spans="1:18" x14ac:dyDescent="0.25">
      <c r="A920" s="37" t="s">
        <v>1056</v>
      </c>
      <c r="B920" s="37"/>
      <c r="C920" s="37" t="s">
        <v>50</v>
      </c>
      <c r="D920" s="37" t="s">
        <v>2582</v>
      </c>
      <c r="E920" s="38">
        <v>45565</v>
      </c>
      <c r="F920" s="38">
        <v>45930</v>
      </c>
      <c r="G920" s="37" t="s">
        <v>1760</v>
      </c>
      <c r="H920" s="37" t="s">
        <v>61</v>
      </c>
      <c r="I920" s="39">
        <v>9550</v>
      </c>
      <c r="J920" s="39">
        <v>7802</v>
      </c>
      <c r="K920" s="43">
        <f t="shared" si="43"/>
        <v>2.5000000000000001E-2</v>
      </c>
      <c r="L920" s="37" t="s">
        <v>2544</v>
      </c>
      <c r="M920" s="40">
        <v>45565</v>
      </c>
      <c r="N920" s="33" t="s">
        <v>57</v>
      </c>
      <c r="O920" s="41">
        <v>382000</v>
      </c>
      <c r="P920" s="34">
        <f t="shared" si="44"/>
        <v>1170.3</v>
      </c>
      <c r="Q920" s="36">
        <f t="shared" si="42"/>
        <v>78.02</v>
      </c>
      <c r="R920" s="35">
        <v>500</v>
      </c>
    </row>
    <row r="921" spans="1:18" x14ac:dyDescent="0.25">
      <c r="A921" s="37" t="s">
        <v>1057</v>
      </c>
      <c r="B921" s="37"/>
      <c r="C921" s="37" t="s">
        <v>50</v>
      </c>
      <c r="D921" s="37" t="s">
        <v>2582</v>
      </c>
      <c r="E921" s="38">
        <v>45565</v>
      </c>
      <c r="F921" s="38">
        <v>45930</v>
      </c>
      <c r="G921" s="37" t="s">
        <v>1761</v>
      </c>
      <c r="H921" s="37" t="s">
        <v>62</v>
      </c>
      <c r="I921" s="39">
        <v>13675</v>
      </c>
      <c r="J921" s="39">
        <v>11358</v>
      </c>
      <c r="K921" s="43">
        <f t="shared" si="43"/>
        <v>2.5000000000000001E-2</v>
      </c>
      <c r="L921" s="37" t="s">
        <v>2545</v>
      </c>
      <c r="M921" s="40">
        <v>45565</v>
      </c>
      <c r="N921" s="33" t="s">
        <v>57</v>
      </c>
      <c r="O921" s="41">
        <v>547000</v>
      </c>
      <c r="P921" s="34">
        <f t="shared" si="44"/>
        <v>1703.7</v>
      </c>
      <c r="Q921" s="36">
        <f t="shared" si="42"/>
        <v>113.58</v>
      </c>
      <c r="R921" s="35">
        <v>500</v>
      </c>
    </row>
    <row r="922" spans="1:18" x14ac:dyDescent="0.25">
      <c r="A922" s="37" t="s">
        <v>1058</v>
      </c>
      <c r="B922" s="37"/>
      <c r="C922" s="37" t="s">
        <v>50</v>
      </c>
      <c r="D922" s="37" t="s">
        <v>2582</v>
      </c>
      <c r="E922" s="38">
        <v>45565</v>
      </c>
      <c r="F922" s="38">
        <v>45930</v>
      </c>
      <c r="G922" s="37" t="s">
        <v>1762</v>
      </c>
      <c r="H922" s="37" t="s">
        <v>61</v>
      </c>
      <c r="I922" s="39">
        <v>9550</v>
      </c>
      <c r="J922" s="39">
        <v>7802</v>
      </c>
      <c r="K922" s="43">
        <f t="shared" si="43"/>
        <v>2.5000000000000001E-2</v>
      </c>
      <c r="L922" s="37" t="s">
        <v>2546</v>
      </c>
      <c r="M922" s="40">
        <v>45565</v>
      </c>
      <c r="N922" s="33" t="s">
        <v>57</v>
      </c>
      <c r="O922" s="41">
        <v>382000</v>
      </c>
      <c r="P922" s="34">
        <f t="shared" si="44"/>
        <v>1170.3</v>
      </c>
      <c r="Q922" s="36">
        <f t="shared" si="42"/>
        <v>78.02</v>
      </c>
      <c r="R922" s="35">
        <v>500</v>
      </c>
    </row>
    <row r="923" spans="1:18" x14ac:dyDescent="0.25">
      <c r="A923" s="37" t="s">
        <v>1059</v>
      </c>
      <c r="B923" s="37"/>
      <c r="C923" s="37" t="s">
        <v>50</v>
      </c>
      <c r="D923" s="37" t="s">
        <v>2582</v>
      </c>
      <c r="E923" s="38">
        <v>45565</v>
      </c>
      <c r="F923" s="38">
        <v>45930</v>
      </c>
      <c r="G923" s="37" t="s">
        <v>1763</v>
      </c>
      <c r="H923" s="37" t="s">
        <v>62</v>
      </c>
      <c r="I923" s="39">
        <v>13675</v>
      </c>
      <c r="J923" s="39">
        <v>11358</v>
      </c>
      <c r="K923" s="43">
        <f t="shared" si="43"/>
        <v>2.5000000000000001E-2</v>
      </c>
      <c r="L923" s="37" t="s">
        <v>2547</v>
      </c>
      <c r="M923" s="40">
        <v>45565</v>
      </c>
      <c r="N923" s="33" t="s">
        <v>57</v>
      </c>
      <c r="O923" s="41">
        <v>547000</v>
      </c>
      <c r="P923" s="34">
        <f t="shared" si="44"/>
        <v>1703.7</v>
      </c>
      <c r="Q923" s="36">
        <f t="shared" si="42"/>
        <v>113.58</v>
      </c>
      <c r="R923" s="35">
        <v>500</v>
      </c>
    </row>
    <row r="924" spans="1:18" x14ac:dyDescent="0.25">
      <c r="A924" s="37" t="s">
        <v>1060</v>
      </c>
      <c r="B924" s="37"/>
      <c r="C924" s="37" t="s">
        <v>99</v>
      </c>
      <c r="D924" s="37" t="s">
        <v>2582</v>
      </c>
      <c r="E924" s="38">
        <v>45565</v>
      </c>
      <c r="F924" s="38">
        <v>45930</v>
      </c>
      <c r="G924" s="37" t="s">
        <v>1764</v>
      </c>
      <c r="H924" s="37" t="s">
        <v>61</v>
      </c>
      <c r="I924" s="39">
        <v>9550</v>
      </c>
      <c r="J924" s="39">
        <v>7802</v>
      </c>
      <c r="K924" s="43">
        <f t="shared" si="43"/>
        <v>2.5000000000000001E-2</v>
      </c>
      <c r="L924" s="37" t="s">
        <v>2548</v>
      </c>
      <c r="M924" s="40">
        <v>45565</v>
      </c>
      <c r="N924" s="33" t="s">
        <v>57</v>
      </c>
      <c r="O924" s="41">
        <v>382000</v>
      </c>
      <c r="P924" s="34">
        <f t="shared" si="44"/>
        <v>1170.3</v>
      </c>
      <c r="Q924" s="36">
        <f t="shared" si="42"/>
        <v>78.02</v>
      </c>
      <c r="R924" s="35">
        <v>500</v>
      </c>
    </row>
    <row r="925" spans="1:18" x14ac:dyDescent="0.25">
      <c r="A925" s="37" t="s">
        <v>1061</v>
      </c>
      <c r="B925" s="37"/>
      <c r="C925" s="37" t="s">
        <v>99</v>
      </c>
      <c r="D925" s="37" t="s">
        <v>2582</v>
      </c>
      <c r="E925" s="38">
        <v>45565</v>
      </c>
      <c r="F925" s="38">
        <v>45930</v>
      </c>
      <c r="G925" s="37" t="s">
        <v>1765</v>
      </c>
      <c r="H925" s="37" t="s">
        <v>61</v>
      </c>
      <c r="I925" s="39">
        <v>9550</v>
      </c>
      <c r="J925" s="39">
        <v>7802</v>
      </c>
      <c r="K925" s="43">
        <f t="shared" si="43"/>
        <v>2.5000000000000001E-2</v>
      </c>
      <c r="L925" s="37" t="s">
        <v>2549</v>
      </c>
      <c r="M925" s="40">
        <v>45565</v>
      </c>
      <c r="N925" s="33" t="s">
        <v>57</v>
      </c>
      <c r="O925" s="41">
        <v>382000</v>
      </c>
      <c r="P925" s="34">
        <f t="shared" si="44"/>
        <v>1170.3</v>
      </c>
      <c r="Q925" s="36">
        <f t="shared" si="42"/>
        <v>78.02</v>
      </c>
      <c r="R925" s="35">
        <v>500</v>
      </c>
    </row>
    <row r="926" spans="1:18" x14ac:dyDescent="0.25">
      <c r="A926" s="37" t="s">
        <v>1062</v>
      </c>
      <c r="B926" s="37"/>
      <c r="C926" s="37" t="s">
        <v>50</v>
      </c>
      <c r="D926" s="37" t="s">
        <v>2582</v>
      </c>
      <c r="E926" s="38">
        <v>45565</v>
      </c>
      <c r="F926" s="38">
        <v>45930</v>
      </c>
      <c r="G926" s="37" t="s">
        <v>75</v>
      </c>
      <c r="H926" s="37" t="s">
        <v>60</v>
      </c>
      <c r="I926" s="39">
        <v>8800</v>
      </c>
      <c r="J926" s="39">
        <v>7155</v>
      </c>
      <c r="K926" s="43">
        <f t="shared" si="43"/>
        <v>2.5000000000000001E-2</v>
      </c>
      <c r="L926" s="37" t="s">
        <v>2550</v>
      </c>
      <c r="M926" s="40">
        <v>45565</v>
      </c>
      <c r="N926" s="33" t="s">
        <v>57</v>
      </c>
      <c r="O926" s="41">
        <v>352000</v>
      </c>
      <c r="P926" s="34">
        <f t="shared" si="44"/>
        <v>1073.25</v>
      </c>
      <c r="Q926" s="36">
        <f t="shared" si="42"/>
        <v>71.55</v>
      </c>
      <c r="R926" s="35">
        <v>500</v>
      </c>
    </row>
    <row r="927" spans="1:18" x14ac:dyDescent="0.25">
      <c r="A927" s="37" t="s">
        <v>1063</v>
      </c>
      <c r="B927" s="37"/>
      <c r="C927" s="37" t="s">
        <v>99</v>
      </c>
      <c r="D927" s="37" t="s">
        <v>2582</v>
      </c>
      <c r="E927" s="38">
        <v>45565</v>
      </c>
      <c r="F927" s="38">
        <v>45930</v>
      </c>
      <c r="G927" s="37" t="s">
        <v>1766</v>
      </c>
      <c r="H927" s="37" t="s">
        <v>61</v>
      </c>
      <c r="I927" s="39">
        <v>9550</v>
      </c>
      <c r="J927" s="39">
        <v>7802</v>
      </c>
      <c r="K927" s="43">
        <f t="shared" si="43"/>
        <v>2.5000000000000001E-2</v>
      </c>
      <c r="L927" s="37" t="s">
        <v>2551</v>
      </c>
      <c r="M927" s="40">
        <v>45565</v>
      </c>
      <c r="N927" s="33" t="s">
        <v>57</v>
      </c>
      <c r="O927" s="41">
        <v>382000</v>
      </c>
      <c r="P927" s="34">
        <f t="shared" si="44"/>
        <v>1170.3</v>
      </c>
      <c r="Q927" s="36">
        <f t="shared" si="42"/>
        <v>78.02</v>
      </c>
      <c r="R927" s="35">
        <v>500</v>
      </c>
    </row>
    <row r="928" spans="1:18" x14ac:dyDescent="0.25">
      <c r="A928" s="37" t="s">
        <v>1064</v>
      </c>
      <c r="B928" s="37"/>
      <c r="C928" s="37" t="s">
        <v>99</v>
      </c>
      <c r="D928" s="37" t="s">
        <v>2582</v>
      </c>
      <c r="E928" s="38">
        <v>45565</v>
      </c>
      <c r="F928" s="38">
        <v>45930</v>
      </c>
      <c r="G928" s="37" t="s">
        <v>114</v>
      </c>
      <c r="H928" s="37" t="s">
        <v>61</v>
      </c>
      <c r="I928" s="39">
        <v>9550</v>
      </c>
      <c r="J928" s="39">
        <v>7802</v>
      </c>
      <c r="K928" s="43">
        <f t="shared" si="43"/>
        <v>2.5000000000000001E-2</v>
      </c>
      <c r="L928" s="37" t="s">
        <v>2552</v>
      </c>
      <c r="M928" s="40">
        <v>45565</v>
      </c>
      <c r="N928" s="33" t="s">
        <v>57</v>
      </c>
      <c r="O928" s="41">
        <v>382000</v>
      </c>
      <c r="P928" s="34">
        <f t="shared" si="44"/>
        <v>1170.3</v>
      </c>
      <c r="Q928" s="36">
        <f t="shared" si="42"/>
        <v>78.02</v>
      </c>
      <c r="R928" s="35">
        <v>500</v>
      </c>
    </row>
    <row r="929" spans="1:18" x14ac:dyDescent="0.25">
      <c r="A929" s="37" t="s">
        <v>1065</v>
      </c>
      <c r="B929" s="37"/>
      <c r="C929" s="37" t="s">
        <v>99</v>
      </c>
      <c r="D929" s="37" t="s">
        <v>2582</v>
      </c>
      <c r="E929" s="38">
        <v>45565</v>
      </c>
      <c r="F929" s="38">
        <v>45930</v>
      </c>
      <c r="G929" s="37" t="s">
        <v>1767</v>
      </c>
      <c r="H929" s="37" t="s">
        <v>61</v>
      </c>
      <c r="I929" s="39">
        <v>9550</v>
      </c>
      <c r="J929" s="39">
        <v>7802</v>
      </c>
      <c r="K929" s="43">
        <f t="shared" si="43"/>
        <v>2.5000000000000001E-2</v>
      </c>
      <c r="L929" s="37" t="s">
        <v>2553</v>
      </c>
      <c r="M929" s="40">
        <v>45565</v>
      </c>
      <c r="N929" s="33" t="s">
        <v>57</v>
      </c>
      <c r="O929" s="41">
        <v>382000</v>
      </c>
      <c r="P929" s="34">
        <f t="shared" si="44"/>
        <v>1170.3</v>
      </c>
      <c r="Q929" s="36">
        <f t="shared" si="42"/>
        <v>78.02</v>
      </c>
      <c r="R929" s="35">
        <v>500</v>
      </c>
    </row>
    <row r="930" spans="1:18" x14ac:dyDescent="0.25">
      <c r="A930" s="37" t="s">
        <v>1066</v>
      </c>
      <c r="B930" s="37"/>
      <c r="C930" s="37" t="s">
        <v>50</v>
      </c>
      <c r="D930" s="37" t="s">
        <v>2582</v>
      </c>
      <c r="E930" s="38">
        <v>45565</v>
      </c>
      <c r="F930" s="38">
        <v>45930</v>
      </c>
      <c r="G930" s="37" t="s">
        <v>1768</v>
      </c>
      <c r="H930" s="37" t="s">
        <v>60</v>
      </c>
      <c r="I930" s="39">
        <v>8800</v>
      </c>
      <c r="J930" s="39">
        <v>7155</v>
      </c>
      <c r="K930" s="43">
        <f t="shared" si="43"/>
        <v>2.5000000000000001E-2</v>
      </c>
      <c r="L930" s="37" t="s">
        <v>2554</v>
      </c>
      <c r="M930" s="40">
        <v>45565</v>
      </c>
      <c r="N930" s="33" t="s">
        <v>57</v>
      </c>
      <c r="O930" s="41">
        <v>352000</v>
      </c>
      <c r="P930" s="34">
        <f t="shared" si="44"/>
        <v>1073.25</v>
      </c>
      <c r="Q930" s="36">
        <f t="shared" si="42"/>
        <v>71.55</v>
      </c>
      <c r="R930" s="35">
        <v>500</v>
      </c>
    </row>
    <row r="931" spans="1:18" x14ac:dyDescent="0.25">
      <c r="A931" s="37" t="s">
        <v>1067</v>
      </c>
      <c r="B931" s="37"/>
      <c r="C931" s="37" t="s">
        <v>99</v>
      </c>
      <c r="D931" s="37" t="s">
        <v>2582</v>
      </c>
      <c r="E931" s="38">
        <v>45565</v>
      </c>
      <c r="F931" s="38">
        <v>45930</v>
      </c>
      <c r="G931" s="37" t="s">
        <v>1769</v>
      </c>
      <c r="H931" s="37" t="s">
        <v>64</v>
      </c>
      <c r="I931" s="39">
        <v>9550</v>
      </c>
      <c r="J931" s="39">
        <v>7802</v>
      </c>
      <c r="K931" s="43">
        <f t="shared" si="43"/>
        <v>2.5000000000000001E-2</v>
      </c>
      <c r="L931" s="37" t="s">
        <v>2555</v>
      </c>
      <c r="M931" s="40">
        <v>45565</v>
      </c>
      <c r="N931" s="33" t="s">
        <v>57</v>
      </c>
      <c r="O931" s="41">
        <v>382000</v>
      </c>
      <c r="P931" s="34">
        <f t="shared" si="44"/>
        <v>1170.3</v>
      </c>
      <c r="Q931" s="36">
        <f t="shared" si="42"/>
        <v>78.02</v>
      </c>
      <c r="R931" s="35">
        <v>500</v>
      </c>
    </row>
    <row r="932" spans="1:18" x14ac:dyDescent="0.25">
      <c r="A932" s="37" t="s">
        <v>1068</v>
      </c>
      <c r="B932" s="37"/>
      <c r="C932" s="37" t="s">
        <v>55</v>
      </c>
      <c r="D932" s="37" t="s">
        <v>2582</v>
      </c>
      <c r="E932" s="38">
        <v>45565</v>
      </c>
      <c r="F932" s="38">
        <v>45930</v>
      </c>
      <c r="G932" s="37" t="s">
        <v>1770</v>
      </c>
      <c r="H932" s="37" t="s">
        <v>63</v>
      </c>
      <c r="I932" s="39">
        <v>12475</v>
      </c>
      <c r="J932" s="39">
        <v>10323</v>
      </c>
      <c r="K932" s="43">
        <f t="shared" si="43"/>
        <v>2.5000000000000001E-2</v>
      </c>
      <c r="L932" s="37" t="s">
        <v>2556</v>
      </c>
      <c r="M932" s="40">
        <v>45565</v>
      </c>
      <c r="N932" s="33" t="s">
        <v>57</v>
      </c>
      <c r="O932" s="41">
        <v>499000</v>
      </c>
      <c r="P932" s="34">
        <f t="shared" si="44"/>
        <v>1548.45</v>
      </c>
      <c r="Q932" s="36">
        <f t="shared" si="42"/>
        <v>103.23</v>
      </c>
      <c r="R932" s="35">
        <v>500</v>
      </c>
    </row>
    <row r="933" spans="1:18" x14ac:dyDescent="0.25">
      <c r="A933" s="37" t="s">
        <v>1069</v>
      </c>
      <c r="B933" s="37"/>
      <c r="C933" s="37" t="s">
        <v>99</v>
      </c>
      <c r="D933" s="37" t="s">
        <v>2582</v>
      </c>
      <c r="E933" s="38">
        <v>45565</v>
      </c>
      <c r="F933" s="38">
        <v>45930</v>
      </c>
      <c r="G933" s="37" t="s">
        <v>1771</v>
      </c>
      <c r="H933" s="37" t="s">
        <v>61</v>
      </c>
      <c r="I933" s="39">
        <v>9550</v>
      </c>
      <c r="J933" s="39">
        <v>7802</v>
      </c>
      <c r="K933" s="43">
        <f t="shared" si="43"/>
        <v>2.5000000000000001E-2</v>
      </c>
      <c r="L933" s="37" t="s">
        <v>2557</v>
      </c>
      <c r="M933" s="40">
        <v>45565</v>
      </c>
      <c r="N933" s="33" t="s">
        <v>57</v>
      </c>
      <c r="O933" s="41">
        <v>382000</v>
      </c>
      <c r="P933" s="34">
        <f t="shared" si="44"/>
        <v>1170.3</v>
      </c>
      <c r="Q933" s="36">
        <f t="shared" si="42"/>
        <v>78.02</v>
      </c>
      <c r="R933" s="35">
        <v>500</v>
      </c>
    </row>
    <row r="934" spans="1:18" x14ac:dyDescent="0.25">
      <c r="A934" s="37" t="s">
        <v>1070</v>
      </c>
      <c r="B934" s="37"/>
      <c r="C934" s="37" t="s">
        <v>99</v>
      </c>
      <c r="D934" s="37" t="s">
        <v>2582</v>
      </c>
      <c r="E934" s="38">
        <v>45565</v>
      </c>
      <c r="F934" s="38">
        <v>45930</v>
      </c>
      <c r="G934" s="37" t="s">
        <v>1772</v>
      </c>
      <c r="H934" s="37" t="s">
        <v>61</v>
      </c>
      <c r="I934" s="39">
        <v>9550</v>
      </c>
      <c r="J934" s="39">
        <v>7802</v>
      </c>
      <c r="K934" s="43">
        <f t="shared" si="43"/>
        <v>2.5000000000000001E-2</v>
      </c>
      <c r="L934" s="37" t="s">
        <v>2558</v>
      </c>
      <c r="M934" s="40">
        <v>45565</v>
      </c>
      <c r="N934" s="33" t="s">
        <v>57</v>
      </c>
      <c r="O934" s="41">
        <v>382000</v>
      </c>
      <c r="P934" s="34">
        <f t="shared" si="44"/>
        <v>1170.3</v>
      </c>
      <c r="Q934" s="36">
        <f t="shared" si="42"/>
        <v>78.02</v>
      </c>
      <c r="R934" s="35">
        <v>500</v>
      </c>
    </row>
    <row r="935" spans="1:18" x14ac:dyDescent="0.25">
      <c r="A935" s="37" t="s">
        <v>1071</v>
      </c>
      <c r="B935" s="37"/>
      <c r="C935" s="37" t="s">
        <v>99</v>
      </c>
      <c r="D935" s="37" t="s">
        <v>2582</v>
      </c>
      <c r="E935" s="38">
        <v>45565</v>
      </c>
      <c r="F935" s="38">
        <v>45930</v>
      </c>
      <c r="G935" s="37" t="s">
        <v>1773</v>
      </c>
      <c r="H935" s="37" t="s">
        <v>63</v>
      </c>
      <c r="I935" s="39">
        <v>12475</v>
      </c>
      <c r="J935" s="39">
        <v>10323</v>
      </c>
      <c r="K935" s="43">
        <f t="shared" si="43"/>
        <v>2.5000000000000001E-2</v>
      </c>
      <c r="L935" s="37" t="s">
        <v>2559</v>
      </c>
      <c r="M935" s="40">
        <v>45565</v>
      </c>
      <c r="N935" s="33" t="s">
        <v>57</v>
      </c>
      <c r="O935" s="41">
        <v>499000</v>
      </c>
      <c r="P935" s="34">
        <f t="shared" si="44"/>
        <v>1548.45</v>
      </c>
      <c r="Q935" s="36">
        <f t="shared" si="42"/>
        <v>103.23</v>
      </c>
      <c r="R935" s="35">
        <v>500</v>
      </c>
    </row>
    <row r="936" spans="1:18" x14ac:dyDescent="0.25">
      <c r="A936" s="37" t="s">
        <v>1072</v>
      </c>
      <c r="B936" s="37"/>
      <c r="C936" s="37" t="s">
        <v>34</v>
      </c>
      <c r="D936" s="37" t="s">
        <v>2582</v>
      </c>
      <c r="E936" s="38">
        <v>45565</v>
      </c>
      <c r="F936" s="38">
        <v>45930</v>
      </c>
      <c r="G936" s="37" t="s">
        <v>1774</v>
      </c>
      <c r="H936" s="37" t="s">
        <v>60</v>
      </c>
      <c r="I936" s="39">
        <v>8800</v>
      </c>
      <c r="J936" s="39">
        <v>7155</v>
      </c>
      <c r="K936" s="43">
        <f t="shared" si="43"/>
        <v>2.5000000000000001E-2</v>
      </c>
      <c r="L936" s="37" t="s">
        <v>2560</v>
      </c>
      <c r="M936" s="40">
        <v>45565</v>
      </c>
      <c r="N936" s="33" t="s">
        <v>57</v>
      </c>
      <c r="O936" s="41">
        <v>352000</v>
      </c>
      <c r="P936" s="34">
        <f t="shared" si="44"/>
        <v>1073.25</v>
      </c>
      <c r="Q936" s="36">
        <f t="shared" si="42"/>
        <v>71.55</v>
      </c>
      <c r="R936" s="35">
        <v>500</v>
      </c>
    </row>
    <row r="937" spans="1:18" x14ac:dyDescent="0.25">
      <c r="A937" s="37" t="s">
        <v>1073</v>
      </c>
      <c r="B937" s="37"/>
      <c r="C937" s="37" t="s">
        <v>34</v>
      </c>
      <c r="D937" s="37" t="s">
        <v>2582</v>
      </c>
      <c r="E937" s="38">
        <v>45565</v>
      </c>
      <c r="F937" s="38">
        <v>45930</v>
      </c>
      <c r="G937" s="37" t="s">
        <v>1775</v>
      </c>
      <c r="H937" s="37" t="s">
        <v>61</v>
      </c>
      <c r="I937" s="39">
        <v>9550</v>
      </c>
      <c r="J937" s="39">
        <v>7802</v>
      </c>
      <c r="K937" s="43">
        <f t="shared" si="43"/>
        <v>2.5000000000000001E-2</v>
      </c>
      <c r="L937" s="37" t="s">
        <v>2561</v>
      </c>
      <c r="M937" s="40">
        <v>45565</v>
      </c>
      <c r="N937" s="33" t="s">
        <v>57</v>
      </c>
      <c r="O937" s="41">
        <v>382000</v>
      </c>
      <c r="P937" s="34">
        <f t="shared" si="44"/>
        <v>1170.3</v>
      </c>
      <c r="Q937" s="36">
        <f t="shared" si="42"/>
        <v>78.02</v>
      </c>
      <c r="R937" s="35">
        <v>500</v>
      </c>
    </row>
    <row r="938" spans="1:18" x14ac:dyDescent="0.25">
      <c r="A938" s="37" t="s">
        <v>1074</v>
      </c>
      <c r="B938" s="37"/>
      <c r="C938" s="37" t="s">
        <v>30</v>
      </c>
      <c r="D938" s="37" t="s">
        <v>36</v>
      </c>
      <c r="E938" s="38">
        <v>45565</v>
      </c>
      <c r="F938" s="38">
        <v>45930</v>
      </c>
      <c r="G938" s="37" t="s">
        <v>1667</v>
      </c>
      <c r="H938" s="37" t="s">
        <v>63</v>
      </c>
      <c r="I938" s="39">
        <v>21208</v>
      </c>
      <c r="J938" s="39">
        <v>17852</v>
      </c>
      <c r="K938" s="43">
        <f t="shared" si="43"/>
        <v>4.2501002004008019E-2</v>
      </c>
      <c r="L938" s="37" t="s">
        <v>2562</v>
      </c>
      <c r="M938" s="40">
        <v>45565</v>
      </c>
      <c r="N938" s="33" t="s">
        <v>57</v>
      </c>
      <c r="O938" s="41">
        <v>499000</v>
      </c>
      <c r="P938" s="34">
        <f t="shared" si="44"/>
        <v>2677.8</v>
      </c>
      <c r="Q938" s="36">
        <f t="shared" si="42"/>
        <v>178.52</v>
      </c>
      <c r="R938" s="35">
        <v>500</v>
      </c>
    </row>
    <row r="939" spans="1:18" x14ac:dyDescent="0.25">
      <c r="A939" s="37" t="s">
        <v>1075</v>
      </c>
      <c r="B939" s="37"/>
      <c r="C939" s="37" t="s">
        <v>30</v>
      </c>
      <c r="D939" s="37" t="s">
        <v>36</v>
      </c>
      <c r="E939" s="38">
        <v>45931</v>
      </c>
      <c r="F939" s="38">
        <v>46296</v>
      </c>
      <c r="G939" s="37" t="s">
        <v>1667</v>
      </c>
      <c r="H939" s="37" t="s">
        <v>63</v>
      </c>
      <c r="I939" s="39">
        <v>21208</v>
      </c>
      <c r="J939" s="39">
        <v>17852</v>
      </c>
      <c r="K939" s="43">
        <f t="shared" si="43"/>
        <v>4.2501002004008019E-2</v>
      </c>
      <c r="L939" s="37" t="s">
        <v>2562</v>
      </c>
      <c r="M939" s="40">
        <v>45565</v>
      </c>
      <c r="N939" s="33" t="s">
        <v>57</v>
      </c>
      <c r="O939" s="41">
        <v>499000</v>
      </c>
      <c r="P939" s="34">
        <f t="shared" si="44"/>
        <v>2677.8</v>
      </c>
      <c r="Q939" s="36">
        <f t="shared" si="42"/>
        <v>178.52</v>
      </c>
      <c r="R939" s="35">
        <v>500</v>
      </c>
    </row>
    <row r="940" spans="1:18" x14ac:dyDescent="0.25">
      <c r="A940" s="37" t="s">
        <v>1076</v>
      </c>
      <c r="B940" s="37"/>
      <c r="C940" s="37" t="s">
        <v>30</v>
      </c>
      <c r="D940" s="37" t="s">
        <v>36</v>
      </c>
      <c r="E940" s="38">
        <v>45565</v>
      </c>
      <c r="F940" s="38">
        <v>45930</v>
      </c>
      <c r="G940" s="37" t="s">
        <v>1776</v>
      </c>
      <c r="H940" s="37" t="s">
        <v>62</v>
      </c>
      <c r="I940" s="39">
        <v>23248</v>
      </c>
      <c r="J940" s="39">
        <v>19610</v>
      </c>
      <c r="K940" s="43">
        <f t="shared" si="43"/>
        <v>4.2500914076782449E-2</v>
      </c>
      <c r="L940" s="37" t="s">
        <v>2563</v>
      </c>
      <c r="M940" s="40">
        <v>45565</v>
      </c>
      <c r="N940" s="33" t="s">
        <v>57</v>
      </c>
      <c r="O940" s="41">
        <v>547000</v>
      </c>
      <c r="P940" s="34">
        <f t="shared" si="44"/>
        <v>2941.5</v>
      </c>
      <c r="Q940" s="36">
        <f t="shared" si="42"/>
        <v>196.1</v>
      </c>
      <c r="R940" s="35">
        <v>500</v>
      </c>
    </row>
    <row r="941" spans="1:18" x14ac:dyDescent="0.25">
      <c r="A941" s="37" t="s">
        <v>1077</v>
      </c>
      <c r="B941" s="37"/>
      <c r="C941" s="37" t="s">
        <v>30</v>
      </c>
      <c r="D941" s="37" t="s">
        <v>36</v>
      </c>
      <c r="E941" s="38">
        <v>45931</v>
      </c>
      <c r="F941" s="38">
        <v>46296</v>
      </c>
      <c r="G941" s="37" t="s">
        <v>1776</v>
      </c>
      <c r="H941" s="37" t="s">
        <v>62</v>
      </c>
      <c r="I941" s="39">
        <v>23248</v>
      </c>
      <c r="J941" s="39">
        <v>19610</v>
      </c>
      <c r="K941" s="43">
        <f t="shared" si="43"/>
        <v>4.2500914076782449E-2</v>
      </c>
      <c r="L941" s="37" t="s">
        <v>2563</v>
      </c>
      <c r="M941" s="40">
        <v>45565</v>
      </c>
      <c r="N941" s="33" t="s">
        <v>57</v>
      </c>
      <c r="O941" s="41">
        <v>547000</v>
      </c>
      <c r="P941" s="34">
        <f t="shared" si="44"/>
        <v>2941.5</v>
      </c>
      <c r="Q941" s="36">
        <f t="shared" si="42"/>
        <v>196.1</v>
      </c>
      <c r="R941" s="35">
        <v>500</v>
      </c>
    </row>
    <row r="942" spans="1:18" x14ac:dyDescent="0.25">
      <c r="A942" s="37" t="s">
        <v>1078</v>
      </c>
      <c r="B942" s="37"/>
      <c r="C942" s="37" t="s">
        <v>39</v>
      </c>
      <c r="D942" s="37" t="s">
        <v>36</v>
      </c>
      <c r="E942" s="38">
        <v>45565</v>
      </c>
      <c r="F942" s="38">
        <v>45930</v>
      </c>
      <c r="G942" s="37" t="s">
        <v>1777</v>
      </c>
      <c r="H942" s="37" t="s">
        <v>63</v>
      </c>
      <c r="I942" s="39">
        <v>21208</v>
      </c>
      <c r="J942" s="39">
        <v>17852</v>
      </c>
      <c r="K942" s="43">
        <f t="shared" si="43"/>
        <v>4.2501002004008019E-2</v>
      </c>
      <c r="L942" s="37" t="s">
        <v>2564</v>
      </c>
      <c r="M942" s="40">
        <v>45565</v>
      </c>
      <c r="N942" s="33" t="s">
        <v>57</v>
      </c>
      <c r="O942" s="41">
        <v>499000</v>
      </c>
      <c r="P942" s="34">
        <f t="shared" si="44"/>
        <v>2677.8</v>
      </c>
      <c r="Q942" s="36">
        <f t="shared" si="42"/>
        <v>178.52</v>
      </c>
      <c r="R942" s="35">
        <v>500</v>
      </c>
    </row>
    <row r="943" spans="1:18" x14ac:dyDescent="0.25">
      <c r="A943" s="37" t="s">
        <v>1079</v>
      </c>
      <c r="B943" s="37"/>
      <c r="C943" s="37" t="s">
        <v>39</v>
      </c>
      <c r="D943" s="37" t="s">
        <v>36</v>
      </c>
      <c r="E943" s="38">
        <v>45931</v>
      </c>
      <c r="F943" s="38">
        <v>46296</v>
      </c>
      <c r="G943" s="37" t="s">
        <v>1777</v>
      </c>
      <c r="H943" s="37" t="s">
        <v>63</v>
      </c>
      <c r="I943" s="39">
        <v>21208</v>
      </c>
      <c r="J943" s="39">
        <v>17852</v>
      </c>
      <c r="K943" s="43">
        <f t="shared" si="43"/>
        <v>4.2501002004008019E-2</v>
      </c>
      <c r="L943" s="37" t="s">
        <v>2564</v>
      </c>
      <c r="M943" s="40">
        <v>45565</v>
      </c>
      <c r="N943" s="33" t="s">
        <v>57</v>
      </c>
      <c r="O943" s="41">
        <v>499000</v>
      </c>
      <c r="P943" s="34">
        <f t="shared" si="44"/>
        <v>2677.8</v>
      </c>
      <c r="Q943" s="36">
        <f t="shared" si="42"/>
        <v>178.52</v>
      </c>
      <c r="R943" s="35">
        <v>500</v>
      </c>
    </row>
    <row r="944" spans="1:18" x14ac:dyDescent="0.25">
      <c r="A944" s="37" t="s">
        <v>1080</v>
      </c>
      <c r="B944" s="37"/>
      <c r="C944" s="37" t="s">
        <v>53</v>
      </c>
      <c r="D944" s="37" t="s">
        <v>2582</v>
      </c>
      <c r="E944" s="38">
        <v>45565</v>
      </c>
      <c r="F944" s="38">
        <v>45930</v>
      </c>
      <c r="G944" s="37" t="s">
        <v>1778</v>
      </c>
      <c r="H944" s="37" t="s">
        <v>62</v>
      </c>
      <c r="I944" s="39">
        <v>13675</v>
      </c>
      <c r="J944" s="39">
        <v>11358</v>
      </c>
      <c r="K944" s="43">
        <f t="shared" si="43"/>
        <v>2.5000000000000001E-2</v>
      </c>
      <c r="L944" s="37" t="s">
        <v>2565</v>
      </c>
      <c r="M944" s="40">
        <v>45565</v>
      </c>
      <c r="N944" s="33" t="s">
        <v>57</v>
      </c>
      <c r="O944" s="41">
        <v>547000</v>
      </c>
      <c r="P944" s="34">
        <f t="shared" si="44"/>
        <v>1703.7</v>
      </c>
      <c r="Q944" s="36">
        <f t="shared" si="42"/>
        <v>113.58</v>
      </c>
      <c r="R944" s="35">
        <v>500</v>
      </c>
    </row>
    <row r="945" spans="1:18" x14ac:dyDescent="0.25">
      <c r="A945" s="37" t="s">
        <v>1081</v>
      </c>
      <c r="B945" s="37"/>
      <c r="C945" s="37" t="s">
        <v>39</v>
      </c>
      <c r="D945" s="37" t="s">
        <v>36</v>
      </c>
      <c r="E945" s="38">
        <v>45565</v>
      </c>
      <c r="F945" s="38">
        <v>45930</v>
      </c>
      <c r="G945" s="37" t="s">
        <v>1437</v>
      </c>
      <c r="H945" s="37" t="s">
        <v>60</v>
      </c>
      <c r="I945" s="39">
        <v>14960</v>
      </c>
      <c r="J945" s="39">
        <v>12466</v>
      </c>
      <c r="K945" s="43">
        <f t="shared" si="43"/>
        <v>4.2500000000000003E-2</v>
      </c>
      <c r="L945" s="37" t="s">
        <v>2566</v>
      </c>
      <c r="M945" s="40">
        <v>45565</v>
      </c>
      <c r="N945" s="33" t="s">
        <v>57</v>
      </c>
      <c r="O945" s="41">
        <v>352000</v>
      </c>
      <c r="P945" s="34">
        <f t="shared" si="44"/>
        <v>1869.9</v>
      </c>
      <c r="Q945" s="36">
        <f t="shared" si="42"/>
        <v>124.66</v>
      </c>
      <c r="R945" s="35">
        <v>500</v>
      </c>
    </row>
    <row r="946" spans="1:18" x14ac:dyDescent="0.25">
      <c r="A946" s="37" t="s">
        <v>1082</v>
      </c>
      <c r="B946" s="37"/>
      <c r="C946" s="37" t="s">
        <v>39</v>
      </c>
      <c r="D946" s="37" t="s">
        <v>36</v>
      </c>
      <c r="E946" s="38">
        <v>45565</v>
      </c>
      <c r="F946" s="38">
        <v>45930</v>
      </c>
      <c r="G946" s="37" t="s">
        <v>1779</v>
      </c>
      <c r="H946" s="37" t="s">
        <v>60</v>
      </c>
      <c r="I946" s="39">
        <v>14960</v>
      </c>
      <c r="J946" s="39">
        <v>12466</v>
      </c>
      <c r="K946" s="43">
        <f t="shared" si="43"/>
        <v>4.2500000000000003E-2</v>
      </c>
      <c r="L946" s="37" t="s">
        <v>2567</v>
      </c>
      <c r="M946" s="40">
        <v>45565</v>
      </c>
      <c r="N946" s="33" t="s">
        <v>57</v>
      </c>
      <c r="O946" s="41">
        <v>352000</v>
      </c>
      <c r="P946" s="34">
        <f t="shared" si="44"/>
        <v>1869.9</v>
      </c>
      <c r="Q946" s="36">
        <f t="shared" si="42"/>
        <v>124.66</v>
      </c>
      <c r="R946" s="35">
        <v>500</v>
      </c>
    </row>
    <row r="947" spans="1:18" x14ac:dyDescent="0.25">
      <c r="A947" s="37" t="s">
        <v>1083</v>
      </c>
      <c r="B947" s="37"/>
      <c r="C947" s="37" t="s">
        <v>36</v>
      </c>
      <c r="D947" s="37" t="s">
        <v>36</v>
      </c>
      <c r="E947" s="38">
        <v>45565</v>
      </c>
      <c r="F947" s="38">
        <v>45930</v>
      </c>
      <c r="G947" s="37" t="s">
        <v>1780</v>
      </c>
      <c r="H947" s="37" t="s">
        <v>60</v>
      </c>
      <c r="I947" s="39">
        <v>14960</v>
      </c>
      <c r="J947" s="39">
        <v>12466</v>
      </c>
      <c r="K947" s="43">
        <f t="shared" si="43"/>
        <v>4.2500000000000003E-2</v>
      </c>
      <c r="L947" s="37" t="s">
        <v>2568</v>
      </c>
      <c r="M947" s="40">
        <v>45565</v>
      </c>
      <c r="N947" s="33" t="s">
        <v>57</v>
      </c>
      <c r="O947" s="41">
        <v>352000</v>
      </c>
      <c r="P947" s="34">
        <f t="shared" si="44"/>
        <v>1869.9</v>
      </c>
      <c r="Q947" s="36">
        <f t="shared" si="42"/>
        <v>124.66</v>
      </c>
      <c r="R947" s="35">
        <v>500</v>
      </c>
    </row>
    <row r="948" spans="1:18" x14ac:dyDescent="0.25">
      <c r="A948" s="37" t="s">
        <v>1084</v>
      </c>
      <c r="B948" s="37"/>
      <c r="C948" s="37" t="s">
        <v>39</v>
      </c>
      <c r="D948" s="37" t="s">
        <v>36</v>
      </c>
      <c r="E948" s="38">
        <v>45565</v>
      </c>
      <c r="F948" s="38">
        <v>45930</v>
      </c>
      <c r="G948" s="37" t="s">
        <v>1654</v>
      </c>
      <c r="H948" s="37" t="s">
        <v>60</v>
      </c>
      <c r="I948" s="39">
        <v>14960</v>
      </c>
      <c r="J948" s="39">
        <v>12466</v>
      </c>
      <c r="K948" s="43">
        <f t="shared" si="43"/>
        <v>4.2500000000000003E-2</v>
      </c>
      <c r="L948" s="37" t="s">
        <v>2569</v>
      </c>
      <c r="M948" s="40">
        <v>45565</v>
      </c>
      <c r="N948" s="33" t="s">
        <v>57</v>
      </c>
      <c r="O948" s="41">
        <v>352000</v>
      </c>
      <c r="P948" s="34">
        <f t="shared" si="44"/>
        <v>1869.9</v>
      </c>
      <c r="Q948" s="36">
        <f t="shared" si="42"/>
        <v>124.66</v>
      </c>
      <c r="R948" s="35">
        <v>500</v>
      </c>
    </row>
    <row r="949" spans="1:18" x14ac:dyDescent="0.25">
      <c r="A949" s="37" t="s">
        <v>1085</v>
      </c>
      <c r="B949" s="37"/>
      <c r="C949" s="37" t="s">
        <v>39</v>
      </c>
      <c r="D949" s="37" t="s">
        <v>36</v>
      </c>
      <c r="E949" s="38">
        <v>45931</v>
      </c>
      <c r="F949" s="38">
        <v>46296</v>
      </c>
      <c r="G949" s="37" t="s">
        <v>1654</v>
      </c>
      <c r="H949" s="37" t="s">
        <v>60</v>
      </c>
      <c r="I949" s="39">
        <v>14960</v>
      </c>
      <c r="J949" s="39">
        <v>12466</v>
      </c>
      <c r="K949" s="43">
        <f t="shared" si="43"/>
        <v>4.2500000000000003E-2</v>
      </c>
      <c r="L949" s="37" t="s">
        <v>2569</v>
      </c>
      <c r="M949" s="40">
        <v>45565</v>
      </c>
      <c r="N949" s="33" t="s">
        <v>57</v>
      </c>
      <c r="O949" s="41">
        <v>352000</v>
      </c>
      <c r="P949" s="34">
        <f t="shared" si="44"/>
        <v>1869.9</v>
      </c>
      <c r="Q949" s="36">
        <f t="shared" si="42"/>
        <v>124.66</v>
      </c>
      <c r="R949" s="35">
        <v>500</v>
      </c>
    </row>
    <row r="950" spans="1:18" x14ac:dyDescent="0.25">
      <c r="A950" s="37" t="s">
        <v>1086</v>
      </c>
      <c r="B950" s="37"/>
      <c r="C950" s="37" t="s">
        <v>39</v>
      </c>
      <c r="D950" s="37" t="s">
        <v>36</v>
      </c>
      <c r="E950" s="38">
        <v>45565</v>
      </c>
      <c r="F950" s="38">
        <v>45930</v>
      </c>
      <c r="G950" s="37" t="s">
        <v>1781</v>
      </c>
      <c r="H950" s="37" t="s">
        <v>60</v>
      </c>
      <c r="I950" s="39">
        <v>14960</v>
      </c>
      <c r="J950" s="39">
        <v>12466</v>
      </c>
      <c r="K950" s="43">
        <f t="shared" si="43"/>
        <v>4.2500000000000003E-2</v>
      </c>
      <c r="L950" s="37" t="s">
        <v>2417</v>
      </c>
      <c r="M950" s="40">
        <v>45565</v>
      </c>
      <c r="N950" s="33" t="s">
        <v>57</v>
      </c>
      <c r="O950" s="41">
        <v>352000</v>
      </c>
      <c r="P950" s="34">
        <f t="shared" si="44"/>
        <v>1869.9</v>
      </c>
      <c r="Q950" s="36">
        <f t="shared" si="42"/>
        <v>124.66</v>
      </c>
      <c r="R950" s="35">
        <v>500</v>
      </c>
    </row>
    <row r="951" spans="1:18" x14ac:dyDescent="0.25">
      <c r="A951" s="37" t="s">
        <v>1087</v>
      </c>
      <c r="B951" s="37"/>
      <c r="C951" s="37" t="s">
        <v>36</v>
      </c>
      <c r="D951" s="37" t="s">
        <v>36</v>
      </c>
      <c r="E951" s="38">
        <v>45565</v>
      </c>
      <c r="F951" s="38">
        <v>45930</v>
      </c>
      <c r="G951" s="37" t="s">
        <v>98</v>
      </c>
      <c r="H951" s="37" t="s">
        <v>61</v>
      </c>
      <c r="I951" s="39">
        <v>16235</v>
      </c>
      <c r="J951" s="39">
        <v>13565</v>
      </c>
      <c r="K951" s="43">
        <f t="shared" si="43"/>
        <v>4.2500000000000003E-2</v>
      </c>
      <c r="L951" s="37" t="s">
        <v>2570</v>
      </c>
      <c r="M951" s="40">
        <v>45565</v>
      </c>
      <c r="N951" s="33" t="s">
        <v>57</v>
      </c>
      <c r="O951" s="41">
        <v>382000</v>
      </c>
      <c r="P951" s="34">
        <f t="shared" si="44"/>
        <v>2034.75</v>
      </c>
      <c r="Q951" s="36">
        <f t="shared" si="42"/>
        <v>135.65</v>
      </c>
      <c r="R951" s="35">
        <v>500</v>
      </c>
    </row>
    <row r="952" spans="1:18" x14ac:dyDescent="0.25">
      <c r="A952" s="37" t="s">
        <v>1088</v>
      </c>
      <c r="B952" s="37"/>
      <c r="C952" s="37" t="s">
        <v>36</v>
      </c>
      <c r="D952" s="37" t="s">
        <v>36</v>
      </c>
      <c r="E952" s="38">
        <v>45565</v>
      </c>
      <c r="F952" s="38">
        <v>45930</v>
      </c>
      <c r="G952" s="37" t="s">
        <v>1782</v>
      </c>
      <c r="H952" s="37" t="s">
        <v>60</v>
      </c>
      <c r="I952" s="39">
        <v>14960</v>
      </c>
      <c r="J952" s="39">
        <v>12466</v>
      </c>
      <c r="K952" s="43">
        <f t="shared" si="43"/>
        <v>4.2500000000000003E-2</v>
      </c>
      <c r="L952" s="37" t="s">
        <v>2571</v>
      </c>
      <c r="M952" s="40">
        <v>45565</v>
      </c>
      <c r="N952" s="33" t="s">
        <v>57</v>
      </c>
      <c r="O952" s="41">
        <v>352000</v>
      </c>
      <c r="P952" s="34">
        <f t="shared" si="44"/>
        <v>1869.9</v>
      </c>
      <c r="Q952" s="36">
        <f t="shared" si="42"/>
        <v>124.66</v>
      </c>
      <c r="R952" s="35">
        <v>500</v>
      </c>
    </row>
    <row r="953" spans="1:18" x14ac:dyDescent="0.25">
      <c r="A953" s="37" t="s">
        <v>1089</v>
      </c>
      <c r="B953" s="37"/>
      <c r="C953" s="37" t="s">
        <v>36</v>
      </c>
      <c r="D953" s="37" t="s">
        <v>36</v>
      </c>
      <c r="E953" s="38">
        <v>45931</v>
      </c>
      <c r="F953" s="38">
        <v>46296</v>
      </c>
      <c r="G953" s="37" t="s">
        <v>1782</v>
      </c>
      <c r="H953" s="37" t="s">
        <v>60</v>
      </c>
      <c r="I953" s="39">
        <v>14960</v>
      </c>
      <c r="J953" s="39">
        <v>12466</v>
      </c>
      <c r="K953" s="43">
        <f t="shared" si="43"/>
        <v>4.2500000000000003E-2</v>
      </c>
      <c r="L953" s="37" t="s">
        <v>2571</v>
      </c>
      <c r="M953" s="40">
        <v>45565</v>
      </c>
      <c r="N953" s="33" t="s">
        <v>57</v>
      </c>
      <c r="O953" s="41">
        <v>352000</v>
      </c>
      <c r="P953" s="34">
        <f t="shared" si="44"/>
        <v>1869.9</v>
      </c>
      <c r="Q953" s="36">
        <f t="shared" si="42"/>
        <v>124.66</v>
      </c>
      <c r="R953" s="35">
        <v>500</v>
      </c>
    </row>
    <row r="954" spans="1:18" x14ac:dyDescent="0.25">
      <c r="A954" s="37" t="s">
        <v>1090</v>
      </c>
      <c r="B954" s="37"/>
      <c r="C954" s="37" t="s">
        <v>36</v>
      </c>
      <c r="D954" s="37" t="s">
        <v>36</v>
      </c>
      <c r="E954" s="38">
        <v>45565</v>
      </c>
      <c r="F954" s="38">
        <v>45930</v>
      </c>
      <c r="G954" s="37" t="s">
        <v>1783</v>
      </c>
      <c r="H954" s="37" t="s">
        <v>61</v>
      </c>
      <c r="I954" s="39">
        <v>16235</v>
      </c>
      <c r="J954" s="39">
        <v>13565</v>
      </c>
      <c r="K954" s="43">
        <f t="shared" si="43"/>
        <v>4.2500000000000003E-2</v>
      </c>
      <c r="L954" s="37" t="s">
        <v>2572</v>
      </c>
      <c r="M954" s="40">
        <v>45565</v>
      </c>
      <c r="N954" s="33" t="s">
        <v>57</v>
      </c>
      <c r="O954" s="41">
        <v>382000</v>
      </c>
      <c r="P954" s="34">
        <f t="shared" si="44"/>
        <v>2034.75</v>
      </c>
      <c r="Q954" s="36">
        <f t="shared" si="42"/>
        <v>135.65</v>
      </c>
      <c r="R954" s="35">
        <v>500</v>
      </c>
    </row>
    <row r="955" spans="1:18" x14ac:dyDescent="0.25">
      <c r="A955" s="37" t="s">
        <v>1091</v>
      </c>
      <c r="B955" s="37"/>
      <c r="C955" s="37" t="s">
        <v>36</v>
      </c>
      <c r="D955" s="37" t="s">
        <v>36</v>
      </c>
      <c r="E955" s="38">
        <v>45931</v>
      </c>
      <c r="F955" s="38">
        <v>46296</v>
      </c>
      <c r="G955" s="37" t="s">
        <v>1783</v>
      </c>
      <c r="H955" s="37" t="s">
        <v>61</v>
      </c>
      <c r="I955" s="39">
        <v>16235</v>
      </c>
      <c r="J955" s="39">
        <v>13565</v>
      </c>
      <c r="K955" s="43">
        <f t="shared" si="43"/>
        <v>4.2500000000000003E-2</v>
      </c>
      <c r="L955" s="37" t="s">
        <v>2572</v>
      </c>
      <c r="M955" s="40">
        <v>45565</v>
      </c>
      <c r="N955" s="33" t="s">
        <v>57</v>
      </c>
      <c r="O955" s="41">
        <v>382000</v>
      </c>
      <c r="P955" s="34">
        <f t="shared" si="44"/>
        <v>2034.75</v>
      </c>
      <c r="Q955" s="36">
        <f t="shared" si="42"/>
        <v>135.65</v>
      </c>
      <c r="R955" s="35">
        <v>500</v>
      </c>
    </row>
    <row r="956" spans="1:18" x14ac:dyDescent="0.25">
      <c r="A956" s="37" t="s">
        <v>1092</v>
      </c>
      <c r="B956" s="37"/>
      <c r="C956" s="37" t="s">
        <v>36</v>
      </c>
      <c r="D956" s="37" t="s">
        <v>36</v>
      </c>
      <c r="E956" s="38">
        <v>45565</v>
      </c>
      <c r="F956" s="38">
        <v>45930</v>
      </c>
      <c r="G956" s="37" t="s">
        <v>75</v>
      </c>
      <c r="H956" s="37" t="s">
        <v>60</v>
      </c>
      <c r="I956" s="39">
        <v>14960</v>
      </c>
      <c r="J956" s="39">
        <v>12466</v>
      </c>
      <c r="K956" s="43">
        <f t="shared" si="43"/>
        <v>4.2500000000000003E-2</v>
      </c>
      <c r="L956" s="37" t="s">
        <v>2573</v>
      </c>
      <c r="M956" s="40">
        <v>45565</v>
      </c>
      <c r="N956" s="33" t="s">
        <v>57</v>
      </c>
      <c r="O956" s="41">
        <v>352000</v>
      </c>
      <c r="P956" s="34">
        <f t="shared" si="44"/>
        <v>1869.9</v>
      </c>
      <c r="Q956" s="36">
        <f t="shared" si="42"/>
        <v>124.66</v>
      </c>
      <c r="R956" s="35">
        <v>500</v>
      </c>
    </row>
    <row r="957" spans="1:18" x14ac:dyDescent="0.25">
      <c r="A957" s="37" t="s">
        <v>1093</v>
      </c>
      <c r="B957" s="37"/>
      <c r="C957" s="37" t="s">
        <v>33</v>
      </c>
      <c r="D957" s="37" t="s">
        <v>36</v>
      </c>
      <c r="E957" s="38">
        <v>45565</v>
      </c>
      <c r="F957" s="38">
        <v>45930</v>
      </c>
      <c r="G957" s="37" t="s">
        <v>1784</v>
      </c>
      <c r="H957" s="37" t="s">
        <v>62</v>
      </c>
      <c r="I957" s="39">
        <v>23248</v>
      </c>
      <c r="J957" s="39">
        <v>19610</v>
      </c>
      <c r="K957" s="43">
        <f t="shared" si="43"/>
        <v>4.2500914076782449E-2</v>
      </c>
      <c r="L957" s="37" t="s">
        <v>2574</v>
      </c>
      <c r="M957" s="40">
        <v>45565</v>
      </c>
      <c r="N957" s="33" t="s">
        <v>57</v>
      </c>
      <c r="O957" s="41">
        <v>547000</v>
      </c>
      <c r="P957" s="34">
        <f t="shared" si="44"/>
        <v>2941.5</v>
      </c>
      <c r="Q957" s="36">
        <f t="shared" si="42"/>
        <v>196.1</v>
      </c>
      <c r="R957" s="35">
        <v>500</v>
      </c>
    </row>
    <row r="958" spans="1:18" x14ac:dyDescent="0.25">
      <c r="A958" s="37" t="s">
        <v>1094</v>
      </c>
      <c r="B958" s="37"/>
      <c r="C958" s="37" t="s">
        <v>32</v>
      </c>
      <c r="D958" s="37" t="s">
        <v>36</v>
      </c>
      <c r="E958" s="38">
        <v>45565</v>
      </c>
      <c r="F958" s="38">
        <v>45930</v>
      </c>
      <c r="G958" s="37" t="s">
        <v>1785</v>
      </c>
      <c r="H958" s="37" t="s">
        <v>62</v>
      </c>
      <c r="I958" s="39">
        <v>23248</v>
      </c>
      <c r="J958" s="39">
        <v>19610</v>
      </c>
      <c r="K958" s="43">
        <f t="shared" si="43"/>
        <v>4.2500914076782449E-2</v>
      </c>
      <c r="L958" s="37" t="s">
        <v>2575</v>
      </c>
      <c r="M958" s="40">
        <v>45565</v>
      </c>
      <c r="N958" s="33" t="s">
        <v>57</v>
      </c>
      <c r="O958" s="41">
        <v>547000</v>
      </c>
      <c r="P958" s="34">
        <f t="shared" si="44"/>
        <v>2941.5</v>
      </c>
      <c r="Q958" s="36">
        <f t="shared" si="42"/>
        <v>196.1</v>
      </c>
      <c r="R958" s="35">
        <v>500</v>
      </c>
    </row>
    <row r="959" spans="1:18" x14ac:dyDescent="0.25">
      <c r="A959" s="37" t="s">
        <v>1095</v>
      </c>
      <c r="B959" s="37"/>
      <c r="C959" s="37" t="s">
        <v>32</v>
      </c>
      <c r="D959" s="37" t="s">
        <v>36</v>
      </c>
      <c r="E959" s="38">
        <v>45565</v>
      </c>
      <c r="F959" s="38">
        <v>45930</v>
      </c>
      <c r="G959" s="37" t="s">
        <v>1786</v>
      </c>
      <c r="H959" s="37" t="s">
        <v>60</v>
      </c>
      <c r="I959" s="39">
        <v>14960</v>
      </c>
      <c r="J959" s="39">
        <v>12466</v>
      </c>
      <c r="K959" s="43">
        <f t="shared" si="43"/>
        <v>4.2500000000000003E-2</v>
      </c>
      <c r="L959" s="37" t="s">
        <v>2576</v>
      </c>
      <c r="M959" s="40">
        <v>45565</v>
      </c>
      <c r="N959" s="33" t="s">
        <v>57</v>
      </c>
      <c r="O959" s="41">
        <v>352000</v>
      </c>
      <c r="P959" s="34">
        <f t="shared" si="44"/>
        <v>1869.9</v>
      </c>
      <c r="Q959" s="36">
        <f t="shared" si="42"/>
        <v>124.66</v>
      </c>
      <c r="R959" s="35">
        <v>500</v>
      </c>
    </row>
    <row r="960" spans="1:18" x14ac:dyDescent="0.25">
      <c r="A960" s="37" t="s">
        <v>1096</v>
      </c>
      <c r="B960" s="37"/>
      <c r="C960" s="37" t="s">
        <v>32</v>
      </c>
      <c r="D960" s="37" t="s">
        <v>36</v>
      </c>
      <c r="E960" s="38">
        <v>45565</v>
      </c>
      <c r="F960" s="38">
        <v>45930</v>
      </c>
      <c r="G960" s="37" t="s">
        <v>1787</v>
      </c>
      <c r="H960" s="37" t="s">
        <v>62</v>
      </c>
      <c r="I960" s="39">
        <v>23248</v>
      </c>
      <c r="J960" s="39">
        <v>19610</v>
      </c>
      <c r="K960" s="43">
        <f t="shared" si="43"/>
        <v>4.2500914076782449E-2</v>
      </c>
      <c r="L960" s="37" t="s">
        <v>2577</v>
      </c>
      <c r="M960" s="40">
        <v>45565</v>
      </c>
      <c r="N960" s="33" t="s">
        <v>57</v>
      </c>
      <c r="O960" s="41">
        <v>547000</v>
      </c>
      <c r="P960" s="34">
        <f t="shared" si="44"/>
        <v>2941.5</v>
      </c>
      <c r="Q960" s="36">
        <f t="shared" ref="Q960" si="45">J960*1/100</f>
        <v>196.1</v>
      </c>
      <c r="R960" s="35">
        <v>500</v>
      </c>
    </row>
  </sheetData>
  <autoFilter ref="A2:S960" xr:uid="{47CF375C-9CAC-4F68-AD57-A0E165361B63}"/>
  <conditionalFormatting sqref="A3:B485">
    <cfRule type="duplicateValues" dxfId="25" priority="536"/>
    <cfRule type="duplicateValues" dxfId="24" priority="537"/>
    <cfRule type="duplicateValues" dxfId="23" priority="538"/>
    <cfRule type="duplicateValues" dxfId="22" priority="539"/>
    <cfRule type="duplicateValues" dxfId="21" priority="540"/>
    <cfRule type="duplicateValues" dxfId="20" priority="541"/>
    <cfRule type="duplicateValues" dxfId="19" priority="542"/>
    <cfRule type="duplicateValues" dxfId="18" priority="543"/>
  </conditionalFormatting>
  <conditionalFormatting sqref="H2">
    <cfRule type="duplicateValues" dxfId="17" priority="65"/>
    <cfRule type="duplicateValues" dxfId="16" priority="66"/>
    <cfRule type="duplicateValues" dxfId="15" priority="67"/>
    <cfRule type="duplicateValues" dxfId="14" priority="68"/>
    <cfRule type="duplicateValues" dxfId="13" priority="69"/>
    <cfRule type="duplicateValues" dxfId="12" priority="70"/>
  </conditionalFormatting>
  <conditionalFormatting sqref="H3:H485">
    <cfRule type="duplicateValues" dxfId="11" priority="552"/>
    <cfRule type="duplicateValues" dxfId="10" priority="553"/>
    <cfRule type="duplicateValues" dxfId="9" priority="554"/>
    <cfRule type="duplicateValues" dxfId="8" priority="555"/>
    <cfRule type="duplicateValues" dxfId="7" priority="556"/>
    <cfRule type="duplicateValues" dxfId="6" priority="557"/>
  </conditionalFormatting>
  <conditionalFormatting sqref="L2">
    <cfRule type="duplicateValues" dxfId="5" priority="64"/>
  </conditionalFormatting>
  <conditionalFormatting sqref="L3:L485">
    <cfRule type="duplicateValues" dxfId="4" priority="564"/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49E6-E676-429C-8FC6-79A8E677202D}">
  <dimension ref="A1:C960"/>
  <sheetViews>
    <sheetView tabSelected="1" topLeftCell="A946" workbookViewId="0">
      <selection activeCell="F958" sqref="F958"/>
    </sheetView>
  </sheetViews>
  <sheetFormatPr defaultRowHeight="15" x14ac:dyDescent="0.25"/>
  <cols>
    <col min="1" max="1" width="39.85546875" bestFit="1" customWidth="1"/>
    <col min="2" max="2" width="13.85546875" style="46" bestFit="1" customWidth="1"/>
  </cols>
  <sheetData>
    <row r="1" spans="1:2" x14ac:dyDescent="0.25">
      <c r="A1" s="44" t="s">
        <v>17</v>
      </c>
      <c r="B1" s="45" t="s">
        <v>2595</v>
      </c>
    </row>
    <row r="2" spans="1:2" x14ac:dyDescent="0.25">
      <c r="A2" t="s">
        <v>140</v>
      </c>
      <c r="B2" s="46">
        <v>8800</v>
      </c>
    </row>
    <row r="3" spans="1:2" x14ac:dyDescent="0.25">
      <c r="A3" t="s">
        <v>141</v>
      </c>
      <c r="B3" s="46">
        <v>23248</v>
      </c>
    </row>
    <row r="4" spans="1:2" x14ac:dyDescent="0.25">
      <c r="A4" t="s">
        <v>142</v>
      </c>
      <c r="B4" s="46">
        <v>23248</v>
      </c>
    </row>
    <row r="5" spans="1:2" x14ac:dyDescent="0.25">
      <c r="A5" t="s">
        <v>143</v>
      </c>
      <c r="B5" s="46">
        <v>16235</v>
      </c>
    </row>
    <row r="6" spans="1:2" x14ac:dyDescent="0.25">
      <c r="A6" t="s">
        <v>144</v>
      </c>
      <c r="B6" s="46">
        <v>16235</v>
      </c>
    </row>
    <row r="7" spans="1:2" x14ac:dyDescent="0.25">
      <c r="A7" t="s">
        <v>145</v>
      </c>
      <c r="B7" s="46">
        <v>9550</v>
      </c>
    </row>
    <row r="8" spans="1:2" x14ac:dyDescent="0.25">
      <c r="A8" t="s">
        <v>146</v>
      </c>
      <c r="B8" s="46">
        <v>8800</v>
      </c>
    </row>
    <row r="9" spans="1:2" x14ac:dyDescent="0.25">
      <c r="A9" t="s">
        <v>147</v>
      </c>
      <c r="B9" s="46">
        <v>14960</v>
      </c>
    </row>
    <row r="10" spans="1:2" x14ac:dyDescent="0.25">
      <c r="A10" t="s">
        <v>148</v>
      </c>
      <c r="B10" s="46">
        <v>14960</v>
      </c>
    </row>
    <row r="11" spans="1:2" x14ac:dyDescent="0.25">
      <c r="A11" t="s">
        <v>149</v>
      </c>
      <c r="B11" s="46">
        <v>14960</v>
      </c>
    </row>
    <row r="12" spans="1:2" x14ac:dyDescent="0.25">
      <c r="A12" t="s">
        <v>150</v>
      </c>
      <c r="B12" s="46">
        <v>14960</v>
      </c>
    </row>
    <row r="13" spans="1:2" x14ac:dyDescent="0.25">
      <c r="A13" t="s">
        <v>151</v>
      </c>
      <c r="B13" s="46">
        <v>14960</v>
      </c>
    </row>
    <row r="14" spans="1:2" x14ac:dyDescent="0.25">
      <c r="A14" t="s">
        <v>152</v>
      </c>
      <c r="B14" s="46">
        <v>16235</v>
      </c>
    </row>
    <row r="15" spans="1:2" x14ac:dyDescent="0.25">
      <c r="A15" t="s">
        <v>153</v>
      </c>
      <c r="B15" s="46">
        <v>8800</v>
      </c>
    </row>
    <row r="16" spans="1:2" x14ac:dyDescent="0.25">
      <c r="A16" t="s">
        <v>154</v>
      </c>
      <c r="B16" s="46">
        <v>8800</v>
      </c>
    </row>
    <row r="17" spans="1:2" x14ac:dyDescent="0.25">
      <c r="A17" t="s">
        <v>155</v>
      </c>
      <c r="B17" s="46">
        <v>14960</v>
      </c>
    </row>
    <row r="18" spans="1:2" x14ac:dyDescent="0.25">
      <c r="A18" t="s">
        <v>156</v>
      </c>
      <c r="B18" s="46">
        <v>14960</v>
      </c>
    </row>
    <row r="19" spans="1:2" x14ac:dyDescent="0.25">
      <c r="A19" t="s">
        <v>157</v>
      </c>
      <c r="B19" s="46">
        <v>9550</v>
      </c>
    </row>
    <row r="20" spans="1:2" x14ac:dyDescent="0.25">
      <c r="A20" t="s">
        <v>158</v>
      </c>
      <c r="B20" s="46">
        <v>8800</v>
      </c>
    </row>
    <row r="21" spans="1:2" x14ac:dyDescent="0.25">
      <c r="A21" t="s">
        <v>159</v>
      </c>
      <c r="B21" s="46">
        <v>23248</v>
      </c>
    </row>
    <row r="22" spans="1:2" x14ac:dyDescent="0.25">
      <c r="A22" t="s">
        <v>160</v>
      </c>
      <c r="B22" s="46">
        <v>23248</v>
      </c>
    </row>
    <row r="23" spans="1:2" x14ac:dyDescent="0.25">
      <c r="A23" t="s">
        <v>161</v>
      </c>
      <c r="B23" s="46">
        <v>8800</v>
      </c>
    </row>
    <row r="24" spans="1:2" x14ac:dyDescent="0.25">
      <c r="A24" t="s">
        <v>162</v>
      </c>
      <c r="B24" s="46">
        <v>8800</v>
      </c>
    </row>
    <row r="25" spans="1:2" x14ac:dyDescent="0.25">
      <c r="A25" t="s">
        <v>163</v>
      </c>
      <c r="B25" s="46">
        <v>14960</v>
      </c>
    </row>
    <row r="26" spans="1:2" x14ac:dyDescent="0.25">
      <c r="A26" t="s">
        <v>164</v>
      </c>
      <c r="B26" s="46">
        <v>13675</v>
      </c>
    </row>
    <row r="27" spans="1:2" x14ac:dyDescent="0.25">
      <c r="A27" t="s">
        <v>165</v>
      </c>
      <c r="B27" s="46">
        <v>13675</v>
      </c>
    </row>
    <row r="28" spans="1:2" x14ac:dyDescent="0.25">
      <c r="A28" t="s">
        <v>166</v>
      </c>
      <c r="B28" s="46">
        <v>8800</v>
      </c>
    </row>
    <row r="29" spans="1:2" x14ac:dyDescent="0.25">
      <c r="A29" t="s">
        <v>167</v>
      </c>
      <c r="B29" s="46">
        <v>12475</v>
      </c>
    </row>
    <row r="30" spans="1:2" x14ac:dyDescent="0.25">
      <c r="A30" t="s">
        <v>168</v>
      </c>
      <c r="B30" s="46">
        <v>9550</v>
      </c>
    </row>
    <row r="31" spans="1:2" x14ac:dyDescent="0.25">
      <c r="A31" t="s">
        <v>169</v>
      </c>
      <c r="B31" s="46">
        <v>8800</v>
      </c>
    </row>
    <row r="32" spans="1:2" x14ac:dyDescent="0.25">
      <c r="A32" t="s">
        <v>170</v>
      </c>
      <c r="B32" s="46">
        <v>14960</v>
      </c>
    </row>
    <row r="33" spans="1:2" x14ac:dyDescent="0.25">
      <c r="A33" t="s">
        <v>171</v>
      </c>
      <c r="B33" s="46">
        <v>14960</v>
      </c>
    </row>
    <row r="34" spans="1:2" x14ac:dyDescent="0.25">
      <c r="A34" t="s">
        <v>172</v>
      </c>
      <c r="B34" s="46">
        <v>9550</v>
      </c>
    </row>
    <row r="35" spans="1:2" x14ac:dyDescent="0.25">
      <c r="A35" t="s">
        <v>173</v>
      </c>
      <c r="B35" s="46">
        <v>8800</v>
      </c>
    </row>
    <row r="36" spans="1:2" x14ac:dyDescent="0.25">
      <c r="A36" t="s">
        <v>174</v>
      </c>
      <c r="B36" s="46">
        <v>8800</v>
      </c>
    </row>
    <row r="37" spans="1:2" x14ac:dyDescent="0.25">
      <c r="A37" t="s">
        <v>175</v>
      </c>
      <c r="B37" s="46">
        <v>8800</v>
      </c>
    </row>
    <row r="38" spans="1:2" x14ac:dyDescent="0.25">
      <c r="A38" t="s">
        <v>176</v>
      </c>
      <c r="B38" s="46">
        <v>8800</v>
      </c>
    </row>
    <row r="39" spans="1:2" x14ac:dyDescent="0.25">
      <c r="A39" t="s">
        <v>177</v>
      </c>
      <c r="B39" s="46">
        <v>8800</v>
      </c>
    </row>
    <row r="40" spans="1:2" x14ac:dyDescent="0.25">
      <c r="A40" t="s">
        <v>178</v>
      </c>
      <c r="B40" s="46">
        <v>8800</v>
      </c>
    </row>
    <row r="41" spans="1:2" x14ac:dyDescent="0.25">
      <c r="A41" t="s">
        <v>179</v>
      </c>
      <c r="B41" s="46">
        <v>8800</v>
      </c>
    </row>
    <row r="42" spans="1:2" x14ac:dyDescent="0.25">
      <c r="A42" t="s">
        <v>180</v>
      </c>
      <c r="B42" s="46">
        <v>9550</v>
      </c>
    </row>
    <row r="43" spans="1:2" x14ac:dyDescent="0.25">
      <c r="A43" t="s">
        <v>181</v>
      </c>
      <c r="B43" s="46">
        <v>9550</v>
      </c>
    </row>
    <row r="44" spans="1:2" x14ac:dyDescent="0.25">
      <c r="A44" t="s">
        <v>182</v>
      </c>
      <c r="B44" s="46">
        <v>12475</v>
      </c>
    </row>
    <row r="45" spans="1:2" x14ac:dyDescent="0.25">
      <c r="A45" t="s">
        <v>183</v>
      </c>
      <c r="B45" s="46">
        <v>8800</v>
      </c>
    </row>
    <row r="46" spans="1:2" x14ac:dyDescent="0.25">
      <c r="A46" t="s">
        <v>184</v>
      </c>
      <c r="B46" s="46">
        <v>9550</v>
      </c>
    </row>
    <row r="47" spans="1:2" x14ac:dyDescent="0.25">
      <c r="A47" t="s">
        <v>185</v>
      </c>
      <c r="B47" s="46">
        <v>8800</v>
      </c>
    </row>
    <row r="48" spans="1:2" x14ac:dyDescent="0.25">
      <c r="A48" t="s">
        <v>186</v>
      </c>
      <c r="B48" s="46">
        <v>8800</v>
      </c>
    </row>
    <row r="49" spans="1:2" x14ac:dyDescent="0.25">
      <c r="A49" t="s">
        <v>187</v>
      </c>
      <c r="B49" s="46">
        <v>8800</v>
      </c>
    </row>
    <row r="50" spans="1:2" x14ac:dyDescent="0.25">
      <c r="A50" t="s">
        <v>188</v>
      </c>
      <c r="B50" s="46">
        <v>9550</v>
      </c>
    </row>
    <row r="51" spans="1:2" x14ac:dyDescent="0.25">
      <c r="A51" t="s">
        <v>189</v>
      </c>
      <c r="B51" s="46">
        <v>8800</v>
      </c>
    </row>
    <row r="52" spans="1:2" x14ac:dyDescent="0.25">
      <c r="A52" t="s">
        <v>190</v>
      </c>
      <c r="B52" s="46">
        <v>8800</v>
      </c>
    </row>
    <row r="53" spans="1:2" x14ac:dyDescent="0.25">
      <c r="A53" t="s">
        <v>191</v>
      </c>
      <c r="B53" s="46">
        <v>9550</v>
      </c>
    </row>
    <row r="54" spans="1:2" x14ac:dyDescent="0.25">
      <c r="A54" t="s">
        <v>192</v>
      </c>
      <c r="B54" s="46">
        <v>8800</v>
      </c>
    </row>
    <row r="55" spans="1:2" x14ac:dyDescent="0.25">
      <c r="A55" t="s">
        <v>193</v>
      </c>
      <c r="B55" s="46">
        <v>13675</v>
      </c>
    </row>
    <row r="56" spans="1:2" x14ac:dyDescent="0.25">
      <c r="A56" t="s">
        <v>194</v>
      </c>
      <c r="B56" s="46">
        <v>9550</v>
      </c>
    </row>
    <row r="57" spans="1:2" x14ac:dyDescent="0.25">
      <c r="A57" t="s">
        <v>195</v>
      </c>
      <c r="B57" s="46">
        <v>14960</v>
      </c>
    </row>
    <row r="58" spans="1:2" x14ac:dyDescent="0.25">
      <c r="A58" t="s">
        <v>196</v>
      </c>
      <c r="B58" s="46">
        <v>14960</v>
      </c>
    </row>
    <row r="59" spans="1:2" x14ac:dyDescent="0.25">
      <c r="A59" t="s">
        <v>197</v>
      </c>
      <c r="B59" s="46">
        <v>9550</v>
      </c>
    </row>
    <row r="60" spans="1:2" x14ac:dyDescent="0.25">
      <c r="A60" t="s">
        <v>198</v>
      </c>
      <c r="B60" s="46">
        <v>16235</v>
      </c>
    </row>
    <row r="61" spans="1:2" x14ac:dyDescent="0.25">
      <c r="A61" t="s">
        <v>199</v>
      </c>
      <c r="B61" s="46">
        <v>16235</v>
      </c>
    </row>
    <row r="62" spans="1:2" x14ac:dyDescent="0.25">
      <c r="A62" t="s">
        <v>200</v>
      </c>
      <c r="B62" s="46">
        <v>9550</v>
      </c>
    </row>
    <row r="63" spans="1:2" x14ac:dyDescent="0.25">
      <c r="A63" t="s">
        <v>201</v>
      </c>
      <c r="B63" s="46">
        <v>8800</v>
      </c>
    </row>
    <row r="64" spans="1:2" x14ac:dyDescent="0.25">
      <c r="A64" t="s">
        <v>202</v>
      </c>
      <c r="B64" s="46">
        <v>8800</v>
      </c>
    </row>
    <row r="65" spans="1:3" x14ac:dyDescent="0.25">
      <c r="A65" t="s">
        <v>203</v>
      </c>
      <c r="B65" s="46">
        <v>13675</v>
      </c>
    </row>
    <row r="66" spans="1:3" x14ac:dyDescent="0.25">
      <c r="A66" t="s">
        <v>204</v>
      </c>
      <c r="B66" s="46">
        <v>14960</v>
      </c>
    </row>
    <row r="67" spans="1:3" x14ac:dyDescent="0.25">
      <c r="A67" t="s">
        <v>205</v>
      </c>
      <c r="B67" s="46">
        <v>14960</v>
      </c>
    </row>
    <row r="68" spans="1:3" x14ac:dyDescent="0.25">
      <c r="A68" t="s">
        <v>206</v>
      </c>
      <c r="B68" s="46">
        <v>14960</v>
      </c>
    </row>
    <row r="69" spans="1:3" x14ac:dyDescent="0.25">
      <c r="A69" t="s">
        <v>207</v>
      </c>
      <c r="B69" s="46">
        <v>9550</v>
      </c>
    </row>
    <row r="70" spans="1:3" x14ac:dyDescent="0.25">
      <c r="A70" t="s">
        <v>208</v>
      </c>
      <c r="B70" s="46">
        <v>9550</v>
      </c>
    </row>
    <row r="71" spans="1:3" x14ac:dyDescent="0.25">
      <c r="A71" t="s">
        <v>209</v>
      </c>
      <c r="B71" s="46">
        <v>12475</v>
      </c>
    </row>
    <row r="72" spans="1:3" x14ac:dyDescent="0.25">
      <c r="A72" t="s">
        <v>210</v>
      </c>
      <c r="B72" s="46">
        <v>13615</v>
      </c>
      <c r="C72" t="s">
        <v>2593</v>
      </c>
    </row>
    <row r="73" spans="1:3" x14ac:dyDescent="0.25">
      <c r="A73" t="s">
        <v>211</v>
      </c>
      <c r="B73" s="46">
        <v>14960</v>
      </c>
    </row>
    <row r="74" spans="1:3" x14ac:dyDescent="0.25">
      <c r="A74" t="s">
        <v>212</v>
      </c>
      <c r="B74" s="46">
        <v>14960</v>
      </c>
    </row>
    <row r="75" spans="1:3" x14ac:dyDescent="0.25">
      <c r="A75" t="s">
        <v>213</v>
      </c>
      <c r="B75" s="46">
        <v>8800</v>
      </c>
    </row>
    <row r="76" spans="1:3" x14ac:dyDescent="0.25">
      <c r="A76" t="s">
        <v>214</v>
      </c>
      <c r="B76" s="46">
        <v>8800</v>
      </c>
    </row>
    <row r="77" spans="1:3" x14ac:dyDescent="0.25">
      <c r="A77" t="s">
        <v>215</v>
      </c>
      <c r="B77" s="46">
        <v>8800</v>
      </c>
    </row>
    <row r="78" spans="1:3" x14ac:dyDescent="0.25">
      <c r="A78" t="s">
        <v>216</v>
      </c>
      <c r="B78" s="46">
        <v>8800</v>
      </c>
    </row>
    <row r="79" spans="1:3" x14ac:dyDescent="0.25">
      <c r="A79" t="s">
        <v>217</v>
      </c>
      <c r="B79" s="46">
        <v>8800</v>
      </c>
    </row>
    <row r="80" spans="1:3" x14ac:dyDescent="0.25">
      <c r="A80" t="s">
        <v>218</v>
      </c>
      <c r="B80" s="46">
        <v>8800</v>
      </c>
    </row>
    <row r="81" spans="1:2" x14ac:dyDescent="0.25">
      <c r="A81" t="s">
        <v>219</v>
      </c>
      <c r="B81" s="46">
        <v>8800</v>
      </c>
    </row>
    <row r="82" spans="1:2" x14ac:dyDescent="0.25">
      <c r="A82" t="s">
        <v>220</v>
      </c>
      <c r="B82" s="46">
        <v>8800</v>
      </c>
    </row>
    <row r="83" spans="1:2" x14ac:dyDescent="0.25">
      <c r="A83" t="s">
        <v>221</v>
      </c>
      <c r="B83" s="46">
        <v>8800</v>
      </c>
    </row>
    <row r="84" spans="1:2" x14ac:dyDescent="0.25">
      <c r="A84" t="s">
        <v>222</v>
      </c>
      <c r="B84" s="46">
        <v>14960</v>
      </c>
    </row>
    <row r="85" spans="1:2" x14ac:dyDescent="0.25">
      <c r="A85" t="s">
        <v>223</v>
      </c>
      <c r="B85" s="46">
        <v>14960</v>
      </c>
    </row>
    <row r="86" spans="1:2" x14ac:dyDescent="0.25">
      <c r="A86" t="s">
        <v>224</v>
      </c>
      <c r="B86" s="46">
        <v>8800</v>
      </c>
    </row>
    <row r="87" spans="1:2" x14ac:dyDescent="0.25">
      <c r="A87" t="s">
        <v>225</v>
      </c>
      <c r="B87" s="46">
        <v>9550</v>
      </c>
    </row>
    <row r="88" spans="1:2" x14ac:dyDescent="0.25">
      <c r="A88" t="s">
        <v>226</v>
      </c>
      <c r="B88" s="46">
        <v>14960</v>
      </c>
    </row>
    <row r="89" spans="1:2" x14ac:dyDescent="0.25">
      <c r="A89" t="s">
        <v>227</v>
      </c>
      <c r="B89" s="46">
        <v>14960</v>
      </c>
    </row>
    <row r="90" spans="1:2" x14ac:dyDescent="0.25">
      <c r="A90" t="s">
        <v>228</v>
      </c>
      <c r="B90" s="46">
        <v>16235</v>
      </c>
    </row>
    <row r="91" spans="1:2" x14ac:dyDescent="0.25">
      <c r="A91" t="s">
        <v>229</v>
      </c>
      <c r="B91" s="46">
        <v>16235</v>
      </c>
    </row>
    <row r="92" spans="1:2" x14ac:dyDescent="0.25">
      <c r="A92" t="s">
        <v>230</v>
      </c>
      <c r="B92" s="46">
        <v>8800</v>
      </c>
    </row>
    <row r="93" spans="1:2" x14ac:dyDescent="0.25">
      <c r="A93" t="s">
        <v>231</v>
      </c>
      <c r="B93" s="46">
        <v>8800</v>
      </c>
    </row>
    <row r="94" spans="1:2" x14ac:dyDescent="0.25">
      <c r="A94" t="s">
        <v>232</v>
      </c>
      <c r="B94" s="46">
        <v>9550</v>
      </c>
    </row>
    <row r="95" spans="1:2" x14ac:dyDescent="0.25">
      <c r="A95" t="s">
        <v>233</v>
      </c>
      <c r="B95" s="46">
        <v>8800</v>
      </c>
    </row>
    <row r="96" spans="1:2" x14ac:dyDescent="0.25">
      <c r="A96" t="s">
        <v>234</v>
      </c>
      <c r="B96" s="46">
        <v>14960</v>
      </c>
    </row>
    <row r="97" spans="1:2" x14ac:dyDescent="0.25">
      <c r="A97" t="s">
        <v>235</v>
      </c>
      <c r="B97" s="46">
        <v>16235</v>
      </c>
    </row>
    <row r="98" spans="1:2" x14ac:dyDescent="0.25">
      <c r="A98" t="s">
        <v>236</v>
      </c>
      <c r="B98" s="46">
        <v>16235</v>
      </c>
    </row>
    <row r="99" spans="1:2" x14ac:dyDescent="0.25">
      <c r="A99" t="s">
        <v>237</v>
      </c>
      <c r="B99" s="46">
        <v>16235</v>
      </c>
    </row>
    <row r="100" spans="1:2" x14ac:dyDescent="0.25">
      <c r="A100" t="s">
        <v>238</v>
      </c>
      <c r="B100" s="46">
        <v>8800</v>
      </c>
    </row>
    <row r="101" spans="1:2" x14ac:dyDescent="0.25">
      <c r="A101" t="s">
        <v>239</v>
      </c>
      <c r="B101" s="46">
        <v>16235</v>
      </c>
    </row>
    <row r="102" spans="1:2" x14ac:dyDescent="0.25">
      <c r="A102" t="s">
        <v>240</v>
      </c>
      <c r="B102" s="46">
        <v>14960</v>
      </c>
    </row>
    <row r="103" spans="1:2" x14ac:dyDescent="0.25">
      <c r="A103" t="s">
        <v>241</v>
      </c>
      <c r="B103" s="46">
        <v>12475</v>
      </c>
    </row>
    <row r="104" spans="1:2" x14ac:dyDescent="0.25">
      <c r="A104" t="s">
        <v>242</v>
      </c>
      <c r="B104" s="46">
        <v>8800</v>
      </c>
    </row>
    <row r="105" spans="1:2" x14ac:dyDescent="0.25">
      <c r="A105" t="s">
        <v>243</v>
      </c>
      <c r="B105" s="46">
        <v>9550</v>
      </c>
    </row>
    <row r="106" spans="1:2" x14ac:dyDescent="0.25">
      <c r="A106" t="s">
        <v>244</v>
      </c>
      <c r="B106" s="46">
        <v>8800</v>
      </c>
    </row>
    <row r="107" spans="1:2" x14ac:dyDescent="0.25">
      <c r="A107" t="s">
        <v>245</v>
      </c>
      <c r="B107" s="46">
        <v>8800</v>
      </c>
    </row>
    <row r="108" spans="1:2" x14ac:dyDescent="0.25">
      <c r="A108" t="s">
        <v>246</v>
      </c>
      <c r="B108" s="46">
        <v>13675</v>
      </c>
    </row>
    <row r="109" spans="1:2" x14ac:dyDescent="0.25">
      <c r="A109" t="s">
        <v>247</v>
      </c>
      <c r="B109" s="46">
        <v>12475</v>
      </c>
    </row>
    <row r="110" spans="1:2" x14ac:dyDescent="0.25">
      <c r="A110" t="s">
        <v>248</v>
      </c>
      <c r="B110" s="46">
        <v>12475</v>
      </c>
    </row>
    <row r="111" spans="1:2" x14ac:dyDescent="0.25">
      <c r="A111" t="s">
        <v>249</v>
      </c>
      <c r="B111" s="46">
        <v>23248</v>
      </c>
    </row>
    <row r="112" spans="1:2" x14ac:dyDescent="0.25">
      <c r="A112" t="s">
        <v>250</v>
      </c>
      <c r="B112" s="46">
        <v>14960</v>
      </c>
    </row>
    <row r="113" spans="1:2" x14ac:dyDescent="0.25">
      <c r="A113" t="s">
        <v>251</v>
      </c>
      <c r="B113" s="46">
        <v>16235</v>
      </c>
    </row>
    <row r="114" spans="1:2" x14ac:dyDescent="0.25">
      <c r="A114" t="s">
        <v>252</v>
      </c>
      <c r="B114" s="46">
        <v>8800</v>
      </c>
    </row>
    <row r="115" spans="1:2" x14ac:dyDescent="0.25">
      <c r="A115" t="s">
        <v>253</v>
      </c>
      <c r="B115" s="46">
        <v>8800</v>
      </c>
    </row>
    <row r="116" spans="1:2" x14ac:dyDescent="0.25">
      <c r="A116" t="s">
        <v>254</v>
      </c>
      <c r="B116" s="46">
        <v>13675</v>
      </c>
    </row>
    <row r="117" spans="1:2" x14ac:dyDescent="0.25">
      <c r="A117" t="s">
        <v>255</v>
      </c>
      <c r="B117" s="46">
        <v>8800</v>
      </c>
    </row>
    <row r="118" spans="1:2" x14ac:dyDescent="0.25">
      <c r="A118" t="s">
        <v>256</v>
      </c>
      <c r="B118" s="46">
        <v>12475</v>
      </c>
    </row>
    <row r="119" spans="1:2" x14ac:dyDescent="0.25">
      <c r="A119" t="s">
        <v>257</v>
      </c>
      <c r="B119" s="46">
        <v>8800</v>
      </c>
    </row>
    <row r="120" spans="1:2" x14ac:dyDescent="0.25">
      <c r="A120" t="s">
        <v>258</v>
      </c>
      <c r="B120" s="46">
        <v>8800</v>
      </c>
    </row>
    <row r="121" spans="1:2" x14ac:dyDescent="0.25">
      <c r="A121" t="s">
        <v>259</v>
      </c>
      <c r="B121" s="46">
        <v>12475</v>
      </c>
    </row>
    <row r="122" spans="1:2" x14ac:dyDescent="0.25">
      <c r="A122" t="s">
        <v>260</v>
      </c>
      <c r="B122" s="46">
        <v>9550</v>
      </c>
    </row>
    <row r="123" spans="1:2" x14ac:dyDescent="0.25">
      <c r="A123" t="s">
        <v>261</v>
      </c>
      <c r="B123" s="46">
        <v>9550</v>
      </c>
    </row>
    <row r="124" spans="1:2" x14ac:dyDescent="0.25">
      <c r="A124" t="s">
        <v>262</v>
      </c>
      <c r="B124" s="46">
        <v>9550</v>
      </c>
    </row>
    <row r="125" spans="1:2" x14ac:dyDescent="0.25">
      <c r="A125" t="s">
        <v>263</v>
      </c>
      <c r="B125" s="46">
        <v>13675</v>
      </c>
    </row>
    <row r="126" spans="1:2" x14ac:dyDescent="0.25">
      <c r="A126" t="s">
        <v>264</v>
      </c>
      <c r="B126" s="46">
        <v>8800</v>
      </c>
    </row>
    <row r="127" spans="1:2" x14ac:dyDescent="0.25">
      <c r="A127" t="s">
        <v>265</v>
      </c>
      <c r="B127" s="46">
        <v>16235</v>
      </c>
    </row>
    <row r="128" spans="1:2" x14ac:dyDescent="0.25">
      <c r="A128" t="s">
        <v>266</v>
      </c>
      <c r="B128" s="46">
        <v>16235</v>
      </c>
    </row>
    <row r="129" spans="1:2" x14ac:dyDescent="0.25">
      <c r="A129" t="s">
        <v>267</v>
      </c>
      <c r="B129" s="46">
        <v>14960</v>
      </c>
    </row>
    <row r="130" spans="1:2" x14ac:dyDescent="0.25">
      <c r="A130" t="s">
        <v>268</v>
      </c>
      <c r="B130" s="46">
        <v>14960</v>
      </c>
    </row>
    <row r="131" spans="1:2" x14ac:dyDescent="0.25">
      <c r="A131" t="s">
        <v>269</v>
      </c>
      <c r="B131" s="46">
        <v>14960</v>
      </c>
    </row>
    <row r="132" spans="1:2" x14ac:dyDescent="0.25">
      <c r="A132" t="s">
        <v>270</v>
      </c>
      <c r="B132" s="46">
        <v>23248</v>
      </c>
    </row>
    <row r="133" spans="1:2" x14ac:dyDescent="0.25">
      <c r="A133" t="s">
        <v>271</v>
      </c>
      <c r="B133" s="46">
        <v>14960</v>
      </c>
    </row>
    <row r="134" spans="1:2" x14ac:dyDescent="0.25">
      <c r="A134" t="s">
        <v>272</v>
      </c>
      <c r="B134" s="46">
        <v>14960</v>
      </c>
    </row>
    <row r="135" spans="1:2" x14ac:dyDescent="0.25">
      <c r="A135" t="s">
        <v>273</v>
      </c>
      <c r="B135" s="46">
        <v>8800</v>
      </c>
    </row>
    <row r="136" spans="1:2" x14ac:dyDescent="0.25">
      <c r="A136" t="s">
        <v>274</v>
      </c>
      <c r="B136" s="46">
        <v>23248</v>
      </c>
    </row>
    <row r="137" spans="1:2" x14ac:dyDescent="0.25">
      <c r="A137" t="s">
        <v>275</v>
      </c>
      <c r="B137" s="46">
        <v>23248</v>
      </c>
    </row>
    <row r="138" spans="1:2" x14ac:dyDescent="0.25">
      <c r="A138" t="s">
        <v>276</v>
      </c>
      <c r="B138" s="46">
        <v>8800</v>
      </c>
    </row>
    <row r="139" spans="1:2" x14ac:dyDescent="0.25">
      <c r="A139" t="s">
        <v>277</v>
      </c>
      <c r="B139" s="46">
        <v>23248</v>
      </c>
    </row>
    <row r="140" spans="1:2" x14ac:dyDescent="0.25">
      <c r="A140" t="s">
        <v>278</v>
      </c>
      <c r="B140" s="46">
        <v>14960</v>
      </c>
    </row>
    <row r="141" spans="1:2" x14ac:dyDescent="0.25">
      <c r="A141" t="s">
        <v>279</v>
      </c>
      <c r="B141" s="46">
        <v>14960</v>
      </c>
    </row>
    <row r="142" spans="1:2" x14ac:dyDescent="0.25">
      <c r="A142" t="s">
        <v>280</v>
      </c>
      <c r="B142" s="46">
        <v>16235</v>
      </c>
    </row>
    <row r="143" spans="1:2" x14ac:dyDescent="0.25">
      <c r="A143" t="s">
        <v>281</v>
      </c>
      <c r="B143" s="46">
        <v>16235</v>
      </c>
    </row>
    <row r="144" spans="1:2" x14ac:dyDescent="0.25">
      <c r="A144" t="s">
        <v>282</v>
      </c>
      <c r="B144" s="46">
        <v>16235</v>
      </c>
    </row>
    <row r="145" spans="1:2" x14ac:dyDescent="0.25">
      <c r="A145" t="s">
        <v>283</v>
      </c>
      <c r="B145" s="46">
        <v>16235</v>
      </c>
    </row>
    <row r="146" spans="1:2" x14ac:dyDescent="0.25">
      <c r="A146" t="s">
        <v>284</v>
      </c>
      <c r="B146" s="46">
        <v>23248</v>
      </c>
    </row>
    <row r="147" spans="1:2" x14ac:dyDescent="0.25">
      <c r="A147" t="s">
        <v>285</v>
      </c>
      <c r="B147" s="46">
        <v>16235</v>
      </c>
    </row>
    <row r="148" spans="1:2" x14ac:dyDescent="0.25">
      <c r="A148" t="s">
        <v>286</v>
      </c>
      <c r="B148" s="46">
        <v>14960</v>
      </c>
    </row>
    <row r="149" spans="1:2" x14ac:dyDescent="0.25">
      <c r="A149" t="s">
        <v>287</v>
      </c>
      <c r="B149" s="46">
        <v>21208</v>
      </c>
    </row>
    <row r="150" spans="1:2" x14ac:dyDescent="0.25">
      <c r="A150" t="s">
        <v>288</v>
      </c>
      <c r="B150" s="46">
        <v>21208</v>
      </c>
    </row>
    <row r="151" spans="1:2" x14ac:dyDescent="0.25">
      <c r="A151" t="s">
        <v>289</v>
      </c>
      <c r="B151" s="46">
        <v>16235</v>
      </c>
    </row>
    <row r="152" spans="1:2" x14ac:dyDescent="0.25">
      <c r="A152" t="s">
        <v>290</v>
      </c>
      <c r="B152" s="46">
        <v>14960</v>
      </c>
    </row>
    <row r="153" spans="1:2" x14ac:dyDescent="0.25">
      <c r="A153" t="s">
        <v>291</v>
      </c>
      <c r="B153" s="46">
        <v>14960</v>
      </c>
    </row>
    <row r="154" spans="1:2" x14ac:dyDescent="0.25">
      <c r="A154" t="s">
        <v>292</v>
      </c>
      <c r="B154" s="46">
        <v>8800</v>
      </c>
    </row>
    <row r="155" spans="1:2" x14ac:dyDescent="0.25">
      <c r="A155" t="s">
        <v>293</v>
      </c>
      <c r="B155" s="46">
        <v>8800</v>
      </c>
    </row>
    <row r="156" spans="1:2" x14ac:dyDescent="0.25">
      <c r="A156" t="s">
        <v>294</v>
      </c>
      <c r="B156" s="46">
        <v>16235</v>
      </c>
    </row>
    <row r="157" spans="1:2" x14ac:dyDescent="0.25">
      <c r="A157" t="s">
        <v>295</v>
      </c>
      <c r="B157" s="46">
        <v>16235</v>
      </c>
    </row>
    <row r="158" spans="1:2" x14ac:dyDescent="0.25">
      <c r="A158" t="s">
        <v>296</v>
      </c>
      <c r="B158" s="46">
        <v>23248</v>
      </c>
    </row>
    <row r="159" spans="1:2" x14ac:dyDescent="0.25">
      <c r="A159" t="s">
        <v>297</v>
      </c>
      <c r="B159" s="46">
        <v>23248</v>
      </c>
    </row>
    <row r="160" spans="1:2" x14ac:dyDescent="0.25">
      <c r="A160" t="s">
        <v>298</v>
      </c>
      <c r="B160" s="46">
        <v>14960</v>
      </c>
    </row>
    <row r="161" spans="1:2" x14ac:dyDescent="0.25">
      <c r="A161" t="s">
        <v>299</v>
      </c>
      <c r="B161" s="46">
        <v>14960</v>
      </c>
    </row>
    <row r="162" spans="1:2" x14ac:dyDescent="0.25">
      <c r="A162" t="s">
        <v>300</v>
      </c>
      <c r="B162" s="46">
        <v>8800</v>
      </c>
    </row>
    <row r="163" spans="1:2" x14ac:dyDescent="0.25">
      <c r="A163" t="s">
        <v>301</v>
      </c>
      <c r="B163" s="46">
        <v>9550</v>
      </c>
    </row>
    <row r="164" spans="1:2" x14ac:dyDescent="0.25">
      <c r="A164" t="s">
        <v>302</v>
      </c>
      <c r="B164" s="46">
        <v>8800</v>
      </c>
    </row>
    <row r="165" spans="1:2" x14ac:dyDescent="0.25">
      <c r="A165" t="s">
        <v>303</v>
      </c>
      <c r="B165" s="46">
        <v>8800</v>
      </c>
    </row>
    <row r="166" spans="1:2" x14ac:dyDescent="0.25">
      <c r="A166" t="s">
        <v>304</v>
      </c>
      <c r="B166" s="46">
        <v>14960</v>
      </c>
    </row>
    <row r="167" spans="1:2" x14ac:dyDescent="0.25">
      <c r="A167" t="s">
        <v>305</v>
      </c>
      <c r="B167" s="46">
        <v>14960</v>
      </c>
    </row>
    <row r="168" spans="1:2" x14ac:dyDescent="0.25">
      <c r="A168" t="s">
        <v>306</v>
      </c>
      <c r="B168" s="46">
        <v>14960</v>
      </c>
    </row>
    <row r="169" spans="1:2" x14ac:dyDescent="0.25">
      <c r="A169" t="s">
        <v>307</v>
      </c>
      <c r="B169" s="46">
        <v>23248</v>
      </c>
    </row>
    <row r="170" spans="1:2" x14ac:dyDescent="0.25">
      <c r="A170" t="s">
        <v>308</v>
      </c>
      <c r="B170" s="46">
        <v>23248</v>
      </c>
    </row>
    <row r="171" spans="1:2" x14ac:dyDescent="0.25">
      <c r="A171" t="s">
        <v>309</v>
      </c>
      <c r="B171" s="46">
        <v>16235</v>
      </c>
    </row>
    <row r="172" spans="1:2" x14ac:dyDescent="0.25">
      <c r="A172" t="s">
        <v>310</v>
      </c>
      <c r="B172" s="46">
        <v>16235</v>
      </c>
    </row>
    <row r="173" spans="1:2" x14ac:dyDescent="0.25">
      <c r="A173" t="s">
        <v>311</v>
      </c>
      <c r="B173" s="46">
        <v>14960</v>
      </c>
    </row>
    <row r="174" spans="1:2" x14ac:dyDescent="0.25">
      <c r="A174" t="s">
        <v>312</v>
      </c>
      <c r="B174" s="46">
        <v>8800</v>
      </c>
    </row>
    <row r="175" spans="1:2" x14ac:dyDescent="0.25">
      <c r="A175" t="s">
        <v>313</v>
      </c>
      <c r="B175" s="46">
        <v>8800</v>
      </c>
    </row>
    <row r="176" spans="1:2" x14ac:dyDescent="0.25">
      <c r="A176" t="s">
        <v>314</v>
      </c>
      <c r="B176" s="46">
        <v>13675</v>
      </c>
    </row>
    <row r="177" spans="1:2" x14ac:dyDescent="0.25">
      <c r="A177" t="s">
        <v>315</v>
      </c>
      <c r="B177" s="46">
        <v>9550</v>
      </c>
    </row>
    <row r="178" spans="1:2" x14ac:dyDescent="0.25">
      <c r="A178" t="s">
        <v>316</v>
      </c>
      <c r="B178" s="46">
        <v>8800</v>
      </c>
    </row>
    <row r="179" spans="1:2" x14ac:dyDescent="0.25">
      <c r="A179" t="s">
        <v>317</v>
      </c>
      <c r="B179" s="46">
        <v>12475</v>
      </c>
    </row>
    <row r="180" spans="1:2" x14ac:dyDescent="0.25">
      <c r="A180" t="s">
        <v>318</v>
      </c>
      <c r="B180" s="46">
        <v>8800</v>
      </c>
    </row>
    <row r="181" spans="1:2" x14ac:dyDescent="0.25">
      <c r="A181" t="s">
        <v>319</v>
      </c>
      <c r="B181" s="46">
        <v>8800</v>
      </c>
    </row>
    <row r="182" spans="1:2" x14ac:dyDescent="0.25">
      <c r="A182" t="s">
        <v>320</v>
      </c>
      <c r="B182" s="46">
        <v>8800</v>
      </c>
    </row>
    <row r="183" spans="1:2" x14ac:dyDescent="0.25">
      <c r="A183" t="s">
        <v>321</v>
      </c>
      <c r="B183" s="46">
        <v>8800</v>
      </c>
    </row>
    <row r="184" spans="1:2" x14ac:dyDescent="0.25">
      <c r="A184" t="s">
        <v>322</v>
      </c>
      <c r="B184" s="46">
        <v>8800</v>
      </c>
    </row>
    <row r="185" spans="1:2" x14ac:dyDescent="0.25">
      <c r="A185" t="s">
        <v>323</v>
      </c>
      <c r="B185" s="46">
        <v>8800</v>
      </c>
    </row>
    <row r="186" spans="1:2" x14ac:dyDescent="0.25">
      <c r="A186" t="s">
        <v>324</v>
      </c>
      <c r="B186" s="46">
        <v>8800</v>
      </c>
    </row>
    <row r="187" spans="1:2" x14ac:dyDescent="0.25">
      <c r="A187" t="s">
        <v>325</v>
      </c>
      <c r="B187" s="46">
        <v>8800</v>
      </c>
    </row>
    <row r="188" spans="1:2" x14ac:dyDescent="0.25">
      <c r="A188" t="s">
        <v>326</v>
      </c>
      <c r="B188" s="46">
        <v>14960</v>
      </c>
    </row>
    <row r="189" spans="1:2" x14ac:dyDescent="0.25">
      <c r="A189" t="s">
        <v>327</v>
      </c>
      <c r="B189" s="46">
        <v>13675</v>
      </c>
    </row>
    <row r="190" spans="1:2" x14ac:dyDescent="0.25">
      <c r="A190" t="s">
        <v>328</v>
      </c>
      <c r="B190" s="46">
        <v>14960</v>
      </c>
    </row>
    <row r="191" spans="1:2" x14ac:dyDescent="0.25">
      <c r="A191" t="s">
        <v>329</v>
      </c>
      <c r="B191" s="46">
        <v>14960</v>
      </c>
    </row>
    <row r="192" spans="1:2" x14ac:dyDescent="0.25">
      <c r="A192" t="s">
        <v>330</v>
      </c>
      <c r="B192" s="46">
        <v>16235</v>
      </c>
    </row>
    <row r="193" spans="1:2" x14ac:dyDescent="0.25">
      <c r="A193" t="s">
        <v>331</v>
      </c>
      <c r="B193" s="46">
        <v>16235</v>
      </c>
    </row>
    <row r="194" spans="1:2" x14ac:dyDescent="0.25">
      <c r="A194" t="s">
        <v>332</v>
      </c>
      <c r="B194" s="46">
        <v>8800</v>
      </c>
    </row>
    <row r="195" spans="1:2" x14ac:dyDescent="0.25">
      <c r="A195" t="s">
        <v>333</v>
      </c>
      <c r="B195" s="46">
        <v>8800</v>
      </c>
    </row>
    <row r="196" spans="1:2" x14ac:dyDescent="0.25">
      <c r="A196" t="s">
        <v>334</v>
      </c>
      <c r="B196" s="46">
        <v>8800</v>
      </c>
    </row>
    <row r="197" spans="1:2" x14ac:dyDescent="0.25">
      <c r="A197" t="s">
        <v>335</v>
      </c>
      <c r="B197" s="46">
        <v>14960</v>
      </c>
    </row>
    <row r="198" spans="1:2" x14ac:dyDescent="0.25">
      <c r="A198" t="s">
        <v>336</v>
      </c>
      <c r="B198" s="46">
        <v>8800</v>
      </c>
    </row>
    <row r="199" spans="1:2" x14ac:dyDescent="0.25">
      <c r="A199" t="s">
        <v>337</v>
      </c>
      <c r="B199" s="46">
        <v>8800</v>
      </c>
    </row>
    <row r="200" spans="1:2" x14ac:dyDescent="0.25">
      <c r="A200" t="s">
        <v>338</v>
      </c>
      <c r="B200" s="46">
        <v>8800</v>
      </c>
    </row>
    <row r="201" spans="1:2" x14ac:dyDescent="0.25">
      <c r="A201" t="s">
        <v>339</v>
      </c>
      <c r="B201" s="46">
        <v>8800</v>
      </c>
    </row>
    <row r="202" spans="1:2" x14ac:dyDescent="0.25">
      <c r="A202" t="s">
        <v>340</v>
      </c>
      <c r="B202" s="46">
        <v>8800</v>
      </c>
    </row>
    <row r="203" spans="1:2" x14ac:dyDescent="0.25">
      <c r="A203" t="s">
        <v>341</v>
      </c>
      <c r="B203" s="46">
        <v>8800</v>
      </c>
    </row>
    <row r="204" spans="1:2" x14ac:dyDescent="0.25">
      <c r="A204" t="s">
        <v>342</v>
      </c>
      <c r="B204" s="46">
        <v>8800</v>
      </c>
    </row>
    <row r="205" spans="1:2" x14ac:dyDescent="0.25">
      <c r="A205" t="s">
        <v>343</v>
      </c>
      <c r="B205" s="46">
        <v>8800</v>
      </c>
    </row>
    <row r="206" spans="1:2" x14ac:dyDescent="0.25">
      <c r="A206" t="s">
        <v>344</v>
      </c>
      <c r="B206" s="46">
        <v>14960</v>
      </c>
    </row>
    <row r="207" spans="1:2" x14ac:dyDescent="0.25">
      <c r="A207" t="s">
        <v>345</v>
      </c>
      <c r="B207" s="46">
        <v>14960</v>
      </c>
    </row>
    <row r="208" spans="1:2" x14ac:dyDescent="0.25">
      <c r="A208" t="s">
        <v>346</v>
      </c>
      <c r="B208" s="46">
        <v>14960</v>
      </c>
    </row>
    <row r="209" spans="1:2" x14ac:dyDescent="0.25">
      <c r="A209" t="s">
        <v>347</v>
      </c>
      <c r="B209" s="46">
        <v>16235</v>
      </c>
    </row>
    <row r="210" spans="1:2" x14ac:dyDescent="0.25">
      <c r="A210" t="s">
        <v>348</v>
      </c>
      <c r="B210" s="46">
        <v>23248</v>
      </c>
    </row>
    <row r="211" spans="1:2" x14ac:dyDescent="0.25">
      <c r="A211" t="s">
        <v>349</v>
      </c>
      <c r="B211" s="46">
        <v>23248</v>
      </c>
    </row>
    <row r="212" spans="1:2" x14ac:dyDescent="0.25">
      <c r="A212" t="s">
        <v>350</v>
      </c>
      <c r="B212" s="46">
        <v>14960</v>
      </c>
    </row>
    <row r="213" spans="1:2" x14ac:dyDescent="0.25">
      <c r="A213" t="s">
        <v>351</v>
      </c>
      <c r="B213" s="46">
        <v>14960</v>
      </c>
    </row>
    <row r="214" spans="1:2" x14ac:dyDescent="0.25">
      <c r="A214" t="s">
        <v>352</v>
      </c>
      <c r="B214" s="46">
        <v>14960</v>
      </c>
    </row>
    <row r="215" spans="1:2" x14ac:dyDescent="0.25">
      <c r="A215" t="s">
        <v>353</v>
      </c>
      <c r="B215" s="46">
        <v>14960</v>
      </c>
    </row>
    <row r="216" spans="1:2" x14ac:dyDescent="0.25">
      <c r="A216" t="s">
        <v>354</v>
      </c>
      <c r="B216" s="46">
        <v>14960</v>
      </c>
    </row>
    <row r="217" spans="1:2" x14ac:dyDescent="0.25">
      <c r="A217" t="s">
        <v>355</v>
      </c>
      <c r="B217" s="46">
        <v>21208</v>
      </c>
    </row>
    <row r="218" spans="1:2" x14ac:dyDescent="0.25">
      <c r="A218" t="s">
        <v>356</v>
      </c>
      <c r="B218" s="46">
        <v>21208</v>
      </c>
    </row>
    <row r="219" spans="1:2" x14ac:dyDescent="0.25">
      <c r="A219" t="s">
        <v>357</v>
      </c>
      <c r="B219" s="46">
        <v>23248</v>
      </c>
    </row>
    <row r="220" spans="1:2" x14ac:dyDescent="0.25">
      <c r="A220" t="s">
        <v>358</v>
      </c>
      <c r="B220" s="46">
        <v>14960</v>
      </c>
    </row>
    <row r="221" spans="1:2" x14ac:dyDescent="0.25">
      <c r="A221" t="s">
        <v>359</v>
      </c>
      <c r="B221" s="46">
        <v>14960</v>
      </c>
    </row>
    <row r="222" spans="1:2" x14ac:dyDescent="0.25">
      <c r="A222" t="s">
        <v>360</v>
      </c>
      <c r="B222" s="46">
        <v>14960</v>
      </c>
    </row>
    <row r="223" spans="1:2" x14ac:dyDescent="0.25">
      <c r="A223" t="s">
        <v>361</v>
      </c>
      <c r="B223" s="46">
        <v>8800</v>
      </c>
    </row>
    <row r="224" spans="1:2" x14ac:dyDescent="0.25">
      <c r="A224" t="s">
        <v>362</v>
      </c>
      <c r="B224" s="46">
        <v>16235</v>
      </c>
    </row>
    <row r="225" spans="1:2" x14ac:dyDescent="0.25">
      <c r="A225" t="s">
        <v>363</v>
      </c>
      <c r="B225" s="46">
        <v>14960</v>
      </c>
    </row>
    <row r="226" spans="1:2" x14ac:dyDescent="0.25">
      <c r="A226" t="s">
        <v>364</v>
      </c>
      <c r="B226" s="46">
        <v>14960</v>
      </c>
    </row>
    <row r="227" spans="1:2" x14ac:dyDescent="0.25">
      <c r="A227" t="s">
        <v>365</v>
      </c>
      <c r="B227" s="46">
        <v>16235</v>
      </c>
    </row>
    <row r="228" spans="1:2" x14ac:dyDescent="0.25">
      <c r="A228" t="s">
        <v>366</v>
      </c>
      <c r="B228" s="46">
        <v>23248</v>
      </c>
    </row>
    <row r="229" spans="1:2" x14ac:dyDescent="0.25">
      <c r="A229" t="s">
        <v>367</v>
      </c>
      <c r="B229" s="46">
        <v>14960</v>
      </c>
    </row>
    <row r="230" spans="1:2" x14ac:dyDescent="0.25">
      <c r="A230" t="s">
        <v>368</v>
      </c>
      <c r="B230" s="46">
        <v>9550</v>
      </c>
    </row>
    <row r="231" spans="1:2" x14ac:dyDescent="0.25">
      <c r="A231" t="s">
        <v>369</v>
      </c>
      <c r="B231" s="46">
        <v>14960</v>
      </c>
    </row>
    <row r="232" spans="1:2" x14ac:dyDescent="0.25">
      <c r="A232" t="s">
        <v>370</v>
      </c>
      <c r="B232" s="46">
        <v>8800</v>
      </c>
    </row>
    <row r="233" spans="1:2" x14ac:dyDescent="0.25">
      <c r="A233" t="s">
        <v>371</v>
      </c>
      <c r="B233" s="46">
        <v>14960</v>
      </c>
    </row>
    <row r="234" spans="1:2" x14ac:dyDescent="0.25">
      <c r="A234" t="s">
        <v>372</v>
      </c>
      <c r="B234" s="46">
        <v>14960</v>
      </c>
    </row>
    <row r="235" spans="1:2" x14ac:dyDescent="0.25">
      <c r="A235" t="s">
        <v>373</v>
      </c>
      <c r="B235" s="46">
        <v>8800</v>
      </c>
    </row>
    <row r="236" spans="1:2" x14ac:dyDescent="0.25">
      <c r="A236" t="s">
        <v>374</v>
      </c>
      <c r="B236" s="46">
        <v>16235</v>
      </c>
    </row>
    <row r="237" spans="1:2" x14ac:dyDescent="0.25">
      <c r="A237" t="s">
        <v>375</v>
      </c>
      <c r="B237" s="46">
        <v>8800</v>
      </c>
    </row>
    <row r="238" spans="1:2" x14ac:dyDescent="0.25">
      <c r="A238" t="s">
        <v>376</v>
      </c>
      <c r="B238" s="46">
        <v>9550</v>
      </c>
    </row>
    <row r="239" spans="1:2" x14ac:dyDescent="0.25">
      <c r="A239" t="s">
        <v>377</v>
      </c>
      <c r="B239" s="46">
        <v>9550</v>
      </c>
    </row>
    <row r="240" spans="1:2" x14ac:dyDescent="0.25">
      <c r="A240" t="s">
        <v>378</v>
      </c>
      <c r="B240" s="46">
        <v>9550</v>
      </c>
    </row>
    <row r="241" spans="1:2" x14ac:dyDescent="0.25">
      <c r="A241" t="s">
        <v>379</v>
      </c>
      <c r="B241" s="46">
        <v>8800</v>
      </c>
    </row>
    <row r="242" spans="1:2" x14ac:dyDescent="0.25">
      <c r="A242" t="s">
        <v>380</v>
      </c>
      <c r="B242" s="46">
        <v>14960</v>
      </c>
    </row>
    <row r="243" spans="1:2" x14ac:dyDescent="0.25">
      <c r="A243" t="s">
        <v>381</v>
      </c>
      <c r="B243" s="46">
        <v>14960</v>
      </c>
    </row>
    <row r="244" spans="1:2" x14ac:dyDescent="0.25">
      <c r="A244" t="s">
        <v>382</v>
      </c>
      <c r="B244" s="46">
        <v>23248</v>
      </c>
    </row>
    <row r="245" spans="1:2" x14ac:dyDescent="0.25">
      <c r="A245" t="s">
        <v>383</v>
      </c>
      <c r="B245" s="46">
        <v>14960</v>
      </c>
    </row>
    <row r="246" spans="1:2" x14ac:dyDescent="0.25">
      <c r="A246" t="s">
        <v>384</v>
      </c>
      <c r="B246" s="46">
        <v>14960</v>
      </c>
    </row>
    <row r="247" spans="1:2" x14ac:dyDescent="0.25">
      <c r="A247" t="s">
        <v>385</v>
      </c>
      <c r="B247" s="46">
        <v>14960</v>
      </c>
    </row>
    <row r="248" spans="1:2" x14ac:dyDescent="0.25">
      <c r="A248" t="s">
        <v>386</v>
      </c>
      <c r="B248" s="46">
        <v>14960</v>
      </c>
    </row>
    <row r="249" spans="1:2" x14ac:dyDescent="0.25">
      <c r="A249" t="s">
        <v>387</v>
      </c>
      <c r="B249" s="46">
        <v>14960</v>
      </c>
    </row>
    <row r="250" spans="1:2" x14ac:dyDescent="0.25">
      <c r="A250" t="s">
        <v>388</v>
      </c>
      <c r="B250" s="46">
        <v>14960</v>
      </c>
    </row>
    <row r="251" spans="1:2" x14ac:dyDescent="0.25">
      <c r="A251" t="s">
        <v>389</v>
      </c>
      <c r="B251" s="46">
        <v>14960</v>
      </c>
    </row>
    <row r="252" spans="1:2" x14ac:dyDescent="0.25">
      <c r="A252" t="s">
        <v>390</v>
      </c>
      <c r="B252" s="46">
        <v>16235</v>
      </c>
    </row>
    <row r="253" spans="1:2" x14ac:dyDescent="0.25">
      <c r="A253" t="s">
        <v>391</v>
      </c>
      <c r="B253" s="46">
        <v>16235</v>
      </c>
    </row>
    <row r="254" spans="1:2" x14ac:dyDescent="0.25">
      <c r="A254" t="s">
        <v>392</v>
      </c>
      <c r="B254" s="46">
        <v>14960</v>
      </c>
    </row>
    <row r="255" spans="1:2" x14ac:dyDescent="0.25">
      <c r="A255" t="s">
        <v>393</v>
      </c>
      <c r="B255" s="46">
        <v>16235</v>
      </c>
    </row>
    <row r="256" spans="1:2" x14ac:dyDescent="0.25">
      <c r="A256" t="s">
        <v>394</v>
      </c>
      <c r="B256" s="46">
        <v>16235</v>
      </c>
    </row>
    <row r="257" spans="1:2" x14ac:dyDescent="0.25">
      <c r="A257" t="s">
        <v>395</v>
      </c>
      <c r="B257" s="46">
        <v>14960</v>
      </c>
    </row>
    <row r="258" spans="1:2" x14ac:dyDescent="0.25">
      <c r="A258" t="s">
        <v>396</v>
      </c>
      <c r="B258" s="46">
        <v>14960</v>
      </c>
    </row>
    <row r="259" spans="1:2" x14ac:dyDescent="0.25">
      <c r="A259" t="s">
        <v>397</v>
      </c>
      <c r="B259" s="46">
        <v>14960</v>
      </c>
    </row>
    <row r="260" spans="1:2" x14ac:dyDescent="0.25">
      <c r="A260" t="s">
        <v>398</v>
      </c>
      <c r="B260" s="46">
        <v>14960</v>
      </c>
    </row>
    <row r="261" spans="1:2" x14ac:dyDescent="0.25">
      <c r="A261" t="s">
        <v>399</v>
      </c>
      <c r="B261" s="46">
        <v>14960</v>
      </c>
    </row>
    <row r="262" spans="1:2" x14ac:dyDescent="0.25">
      <c r="A262" t="s">
        <v>400</v>
      </c>
      <c r="B262" s="46">
        <v>23248</v>
      </c>
    </row>
    <row r="263" spans="1:2" x14ac:dyDescent="0.25">
      <c r="A263" t="s">
        <v>401</v>
      </c>
      <c r="B263" s="46">
        <v>23248</v>
      </c>
    </row>
    <row r="264" spans="1:2" x14ac:dyDescent="0.25">
      <c r="A264" t="s">
        <v>402</v>
      </c>
      <c r="B264" s="46">
        <v>14960</v>
      </c>
    </row>
    <row r="265" spans="1:2" x14ac:dyDescent="0.25">
      <c r="A265" t="s">
        <v>403</v>
      </c>
      <c r="B265" s="46">
        <v>14960</v>
      </c>
    </row>
    <row r="266" spans="1:2" x14ac:dyDescent="0.25">
      <c r="A266" t="s">
        <v>404</v>
      </c>
      <c r="B266" s="46">
        <v>14960</v>
      </c>
    </row>
    <row r="267" spans="1:2" x14ac:dyDescent="0.25">
      <c r="A267" t="s">
        <v>405</v>
      </c>
      <c r="B267" s="46">
        <v>14960</v>
      </c>
    </row>
    <row r="268" spans="1:2" x14ac:dyDescent="0.25">
      <c r="A268" t="s">
        <v>406</v>
      </c>
      <c r="B268" s="46">
        <v>14960</v>
      </c>
    </row>
    <row r="269" spans="1:2" x14ac:dyDescent="0.25">
      <c r="A269" t="s">
        <v>407</v>
      </c>
      <c r="B269" s="46">
        <v>14960</v>
      </c>
    </row>
    <row r="270" spans="1:2" x14ac:dyDescent="0.25">
      <c r="A270" t="s">
        <v>408</v>
      </c>
      <c r="B270" s="46">
        <v>14960</v>
      </c>
    </row>
    <row r="271" spans="1:2" x14ac:dyDescent="0.25">
      <c r="A271" t="s">
        <v>409</v>
      </c>
      <c r="B271" s="46">
        <v>8800</v>
      </c>
    </row>
    <row r="272" spans="1:2" x14ac:dyDescent="0.25">
      <c r="A272" t="s">
        <v>410</v>
      </c>
      <c r="B272" s="46">
        <v>23248</v>
      </c>
    </row>
    <row r="273" spans="1:2" x14ac:dyDescent="0.25">
      <c r="A273" t="s">
        <v>411</v>
      </c>
      <c r="B273" s="46">
        <v>16235</v>
      </c>
    </row>
    <row r="274" spans="1:2" x14ac:dyDescent="0.25">
      <c r="A274" t="s">
        <v>412</v>
      </c>
      <c r="B274" s="46">
        <v>16235</v>
      </c>
    </row>
    <row r="275" spans="1:2" x14ac:dyDescent="0.25">
      <c r="A275" t="s">
        <v>413</v>
      </c>
      <c r="B275" s="46">
        <v>14960</v>
      </c>
    </row>
    <row r="276" spans="1:2" x14ac:dyDescent="0.25">
      <c r="A276" t="s">
        <v>414</v>
      </c>
      <c r="B276" s="46">
        <v>12475</v>
      </c>
    </row>
    <row r="277" spans="1:2" x14ac:dyDescent="0.25">
      <c r="A277" t="s">
        <v>415</v>
      </c>
      <c r="B277" s="46">
        <v>8800</v>
      </c>
    </row>
    <row r="278" spans="1:2" x14ac:dyDescent="0.25">
      <c r="A278" t="s">
        <v>416</v>
      </c>
      <c r="B278" s="46">
        <v>14960</v>
      </c>
    </row>
    <row r="279" spans="1:2" x14ac:dyDescent="0.25">
      <c r="A279" t="s">
        <v>417</v>
      </c>
      <c r="B279" s="46">
        <v>14960</v>
      </c>
    </row>
    <row r="280" spans="1:2" x14ac:dyDescent="0.25">
      <c r="A280" t="s">
        <v>418</v>
      </c>
      <c r="B280" s="46">
        <v>9550</v>
      </c>
    </row>
    <row r="281" spans="1:2" x14ac:dyDescent="0.25">
      <c r="A281" t="s">
        <v>419</v>
      </c>
      <c r="B281" s="46">
        <v>21208</v>
      </c>
    </row>
    <row r="282" spans="1:2" x14ac:dyDescent="0.25">
      <c r="A282" t="s">
        <v>420</v>
      </c>
      <c r="B282" s="46">
        <v>8800</v>
      </c>
    </row>
    <row r="283" spans="1:2" x14ac:dyDescent="0.25">
      <c r="A283" t="s">
        <v>421</v>
      </c>
      <c r="B283" s="46">
        <v>12475</v>
      </c>
    </row>
    <row r="284" spans="1:2" x14ac:dyDescent="0.25">
      <c r="A284" t="s">
        <v>422</v>
      </c>
      <c r="B284" s="46">
        <v>16235</v>
      </c>
    </row>
    <row r="285" spans="1:2" x14ac:dyDescent="0.25">
      <c r="A285" t="s">
        <v>423</v>
      </c>
      <c r="B285" s="46">
        <v>8800</v>
      </c>
    </row>
    <row r="286" spans="1:2" x14ac:dyDescent="0.25">
      <c r="A286" t="s">
        <v>424</v>
      </c>
      <c r="B286" s="46">
        <v>8800</v>
      </c>
    </row>
    <row r="287" spans="1:2" x14ac:dyDescent="0.25">
      <c r="A287" t="s">
        <v>425</v>
      </c>
      <c r="B287" s="46">
        <v>8800</v>
      </c>
    </row>
    <row r="288" spans="1:2" x14ac:dyDescent="0.25">
      <c r="A288" t="s">
        <v>426</v>
      </c>
      <c r="B288" s="46">
        <v>14960</v>
      </c>
    </row>
    <row r="289" spans="1:2" x14ac:dyDescent="0.25">
      <c r="A289" t="s">
        <v>427</v>
      </c>
      <c r="B289" s="46">
        <v>16235</v>
      </c>
    </row>
    <row r="290" spans="1:2" x14ac:dyDescent="0.25">
      <c r="A290" t="s">
        <v>428</v>
      </c>
      <c r="B290" s="46">
        <v>16235</v>
      </c>
    </row>
    <row r="291" spans="1:2" x14ac:dyDescent="0.25">
      <c r="A291" t="s">
        <v>429</v>
      </c>
      <c r="B291" s="46">
        <v>8800</v>
      </c>
    </row>
    <row r="292" spans="1:2" x14ac:dyDescent="0.25">
      <c r="A292" t="s">
        <v>430</v>
      </c>
      <c r="B292" s="46">
        <v>8800</v>
      </c>
    </row>
    <row r="293" spans="1:2" x14ac:dyDescent="0.25">
      <c r="A293" t="s">
        <v>431</v>
      </c>
      <c r="B293" s="46">
        <v>16235</v>
      </c>
    </row>
    <row r="294" spans="1:2" x14ac:dyDescent="0.25">
      <c r="A294" t="s">
        <v>432</v>
      </c>
      <c r="B294" s="46">
        <v>16235</v>
      </c>
    </row>
    <row r="295" spans="1:2" x14ac:dyDescent="0.25">
      <c r="A295" t="s">
        <v>433</v>
      </c>
      <c r="B295" s="46">
        <v>14960</v>
      </c>
    </row>
    <row r="296" spans="1:2" x14ac:dyDescent="0.25">
      <c r="A296" t="s">
        <v>434</v>
      </c>
      <c r="B296" s="46">
        <v>14960</v>
      </c>
    </row>
    <row r="297" spans="1:2" x14ac:dyDescent="0.25">
      <c r="A297" t="s">
        <v>435</v>
      </c>
      <c r="B297" s="46">
        <v>14960</v>
      </c>
    </row>
    <row r="298" spans="1:2" x14ac:dyDescent="0.25">
      <c r="A298" t="s">
        <v>436</v>
      </c>
      <c r="B298" s="46">
        <v>14960</v>
      </c>
    </row>
    <row r="299" spans="1:2" x14ac:dyDescent="0.25">
      <c r="A299" t="s">
        <v>437</v>
      </c>
      <c r="B299" s="46">
        <v>14960</v>
      </c>
    </row>
    <row r="300" spans="1:2" x14ac:dyDescent="0.25">
      <c r="A300" t="s">
        <v>438</v>
      </c>
      <c r="B300" s="46">
        <v>14960</v>
      </c>
    </row>
    <row r="301" spans="1:2" x14ac:dyDescent="0.25">
      <c r="A301" t="s">
        <v>439</v>
      </c>
      <c r="B301" s="46">
        <v>14960</v>
      </c>
    </row>
    <row r="302" spans="1:2" x14ac:dyDescent="0.25">
      <c r="A302" t="s">
        <v>440</v>
      </c>
      <c r="B302" s="46">
        <v>14960</v>
      </c>
    </row>
    <row r="303" spans="1:2" x14ac:dyDescent="0.25">
      <c r="A303" t="s">
        <v>441</v>
      </c>
      <c r="B303" s="46">
        <v>14960</v>
      </c>
    </row>
    <row r="304" spans="1:2" x14ac:dyDescent="0.25">
      <c r="A304" t="s">
        <v>442</v>
      </c>
      <c r="B304" s="46">
        <v>13675</v>
      </c>
    </row>
    <row r="305" spans="1:2" x14ac:dyDescent="0.25">
      <c r="A305" t="s">
        <v>443</v>
      </c>
      <c r="B305" s="46">
        <v>14960</v>
      </c>
    </row>
    <row r="306" spans="1:2" x14ac:dyDescent="0.25">
      <c r="A306" t="s">
        <v>444</v>
      </c>
      <c r="B306" s="46">
        <v>8800</v>
      </c>
    </row>
    <row r="307" spans="1:2" x14ac:dyDescent="0.25">
      <c r="A307" t="s">
        <v>445</v>
      </c>
      <c r="B307" s="46">
        <v>16235</v>
      </c>
    </row>
    <row r="308" spans="1:2" x14ac:dyDescent="0.25">
      <c r="A308" t="s">
        <v>446</v>
      </c>
      <c r="B308" s="46">
        <v>16235</v>
      </c>
    </row>
    <row r="309" spans="1:2" x14ac:dyDescent="0.25">
      <c r="A309" t="s">
        <v>447</v>
      </c>
      <c r="B309" s="46">
        <v>14960</v>
      </c>
    </row>
    <row r="310" spans="1:2" x14ac:dyDescent="0.25">
      <c r="A310" t="s">
        <v>448</v>
      </c>
      <c r="B310" s="46">
        <v>14960</v>
      </c>
    </row>
    <row r="311" spans="1:2" x14ac:dyDescent="0.25">
      <c r="A311" t="s">
        <v>449</v>
      </c>
      <c r="B311" s="46">
        <v>8800</v>
      </c>
    </row>
    <row r="312" spans="1:2" x14ac:dyDescent="0.25">
      <c r="A312" t="s">
        <v>450</v>
      </c>
      <c r="B312" s="46">
        <v>13675</v>
      </c>
    </row>
    <row r="313" spans="1:2" x14ac:dyDescent="0.25">
      <c r="A313" t="s">
        <v>451</v>
      </c>
      <c r="B313" s="46">
        <v>8800</v>
      </c>
    </row>
    <row r="314" spans="1:2" x14ac:dyDescent="0.25">
      <c r="A314" t="s">
        <v>452</v>
      </c>
      <c r="B314" s="46">
        <v>8800</v>
      </c>
    </row>
    <row r="315" spans="1:2" x14ac:dyDescent="0.25">
      <c r="A315" t="s">
        <v>453</v>
      </c>
      <c r="B315" s="46">
        <v>14960</v>
      </c>
    </row>
    <row r="316" spans="1:2" x14ac:dyDescent="0.25">
      <c r="A316" t="s">
        <v>454</v>
      </c>
      <c r="B316" s="46">
        <v>14960</v>
      </c>
    </row>
    <row r="317" spans="1:2" x14ac:dyDescent="0.25">
      <c r="A317" t="s">
        <v>455</v>
      </c>
      <c r="B317" s="46">
        <v>14960</v>
      </c>
    </row>
    <row r="318" spans="1:2" x14ac:dyDescent="0.25">
      <c r="A318" t="s">
        <v>456</v>
      </c>
      <c r="B318" s="46">
        <v>16235</v>
      </c>
    </row>
    <row r="319" spans="1:2" x14ac:dyDescent="0.25">
      <c r="A319" t="s">
        <v>457</v>
      </c>
      <c r="B319" s="46">
        <v>14960</v>
      </c>
    </row>
    <row r="320" spans="1:2" x14ac:dyDescent="0.25">
      <c r="A320" t="s">
        <v>458</v>
      </c>
      <c r="B320" s="46">
        <v>23248</v>
      </c>
    </row>
    <row r="321" spans="1:2" x14ac:dyDescent="0.25">
      <c r="A321" t="s">
        <v>459</v>
      </c>
      <c r="B321" s="46">
        <v>14960</v>
      </c>
    </row>
    <row r="322" spans="1:2" x14ac:dyDescent="0.25">
      <c r="A322" t="s">
        <v>460</v>
      </c>
      <c r="B322" s="46">
        <v>14960</v>
      </c>
    </row>
    <row r="323" spans="1:2" x14ac:dyDescent="0.25">
      <c r="A323" t="s">
        <v>461</v>
      </c>
      <c r="B323" s="46">
        <v>8800</v>
      </c>
    </row>
    <row r="324" spans="1:2" x14ac:dyDescent="0.25">
      <c r="A324" t="s">
        <v>462</v>
      </c>
      <c r="B324" s="46">
        <v>8800</v>
      </c>
    </row>
    <row r="325" spans="1:2" x14ac:dyDescent="0.25">
      <c r="A325" t="s">
        <v>463</v>
      </c>
      <c r="B325" s="46">
        <v>16235</v>
      </c>
    </row>
    <row r="326" spans="1:2" x14ac:dyDescent="0.25">
      <c r="A326" t="s">
        <v>464</v>
      </c>
      <c r="B326" s="46">
        <v>14960</v>
      </c>
    </row>
    <row r="327" spans="1:2" x14ac:dyDescent="0.25">
      <c r="A327" t="s">
        <v>465</v>
      </c>
      <c r="B327" s="46">
        <v>16235</v>
      </c>
    </row>
    <row r="328" spans="1:2" x14ac:dyDescent="0.25">
      <c r="A328" t="s">
        <v>466</v>
      </c>
      <c r="B328" s="46">
        <v>14960</v>
      </c>
    </row>
    <row r="329" spans="1:2" x14ac:dyDescent="0.25">
      <c r="A329" t="s">
        <v>467</v>
      </c>
      <c r="B329" s="46">
        <v>21208</v>
      </c>
    </row>
    <row r="330" spans="1:2" x14ac:dyDescent="0.25">
      <c r="A330" t="s">
        <v>468</v>
      </c>
      <c r="B330" s="46">
        <v>21208</v>
      </c>
    </row>
    <row r="331" spans="1:2" x14ac:dyDescent="0.25">
      <c r="A331" t="s">
        <v>469</v>
      </c>
      <c r="B331" s="46">
        <v>23248</v>
      </c>
    </row>
    <row r="332" spans="1:2" x14ac:dyDescent="0.25">
      <c r="A332" t="s">
        <v>470</v>
      </c>
      <c r="B332" s="46">
        <v>8800</v>
      </c>
    </row>
    <row r="333" spans="1:2" x14ac:dyDescent="0.25">
      <c r="A333" t="s">
        <v>471</v>
      </c>
      <c r="B333" s="46">
        <v>8800</v>
      </c>
    </row>
    <row r="334" spans="1:2" x14ac:dyDescent="0.25">
      <c r="A334" t="s">
        <v>472</v>
      </c>
      <c r="B334" s="46">
        <v>8800</v>
      </c>
    </row>
    <row r="335" spans="1:2" x14ac:dyDescent="0.25">
      <c r="A335" t="s">
        <v>473</v>
      </c>
      <c r="B335" s="46">
        <v>8800</v>
      </c>
    </row>
    <row r="336" spans="1:2" x14ac:dyDescent="0.25">
      <c r="A336" t="s">
        <v>474</v>
      </c>
      <c r="B336" s="46">
        <v>16235</v>
      </c>
    </row>
    <row r="337" spans="1:2" x14ac:dyDescent="0.25">
      <c r="A337" t="s">
        <v>475</v>
      </c>
      <c r="B337" s="46">
        <v>16235</v>
      </c>
    </row>
    <row r="338" spans="1:2" x14ac:dyDescent="0.25">
      <c r="A338" t="s">
        <v>476</v>
      </c>
      <c r="B338" s="46">
        <v>14960</v>
      </c>
    </row>
    <row r="339" spans="1:2" x14ac:dyDescent="0.25">
      <c r="A339" t="s">
        <v>477</v>
      </c>
      <c r="B339" s="46">
        <v>14960</v>
      </c>
    </row>
    <row r="340" spans="1:2" x14ac:dyDescent="0.25">
      <c r="A340" t="s">
        <v>478</v>
      </c>
      <c r="B340" s="46">
        <v>14960</v>
      </c>
    </row>
    <row r="341" spans="1:2" x14ac:dyDescent="0.25">
      <c r="A341" t="s">
        <v>479</v>
      </c>
      <c r="B341" s="46">
        <v>14960</v>
      </c>
    </row>
    <row r="342" spans="1:2" x14ac:dyDescent="0.25">
      <c r="A342" t="s">
        <v>480</v>
      </c>
      <c r="B342" s="46">
        <v>14960</v>
      </c>
    </row>
    <row r="343" spans="1:2" x14ac:dyDescent="0.25">
      <c r="A343" t="s">
        <v>481</v>
      </c>
      <c r="B343" s="46">
        <v>14960</v>
      </c>
    </row>
    <row r="344" spans="1:2" x14ac:dyDescent="0.25">
      <c r="A344" t="s">
        <v>482</v>
      </c>
      <c r="B344" s="46">
        <v>14960</v>
      </c>
    </row>
    <row r="345" spans="1:2" x14ac:dyDescent="0.25">
      <c r="A345" t="s">
        <v>483</v>
      </c>
      <c r="B345" s="46">
        <v>8800</v>
      </c>
    </row>
    <row r="346" spans="1:2" x14ac:dyDescent="0.25">
      <c r="A346" t="s">
        <v>484</v>
      </c>
      <c r="B346" s="46">
        <v>8800</v>
      </c>
    </row>
    <row r="347" spans="1:2" x14ac:dyDescent="0.25">
      <c r="A347" t="s">
        <v>485</v>
      </c>
      <c r="B347" s="46">
        <v>8800</v>
      </c>
    </row>
    <row r="348" spans="1:2" x14ac:dyDescent="0.25">
      <c r="A348" t="s">
        <v>486</v>
      </c>
      <c r="B348" s="46">
        <v>8800</v>
      </c>
    </row>
    <row r="349" spans="1:2" x14ac:dyDescent="0.25">
      <c r="A349" t="s">
        <v>487</v>
      </c>
      <c r="B349" s="46">
        <v>8800</v>
      </c>
    </row>
    <row r="350" spans="1:2" x14ac:dyDescent="0.25">
      <c r="A350" t="s">
        <v>488</v>
      </c>
      <c r="B350" s="46">
        <v>13675</v>
      </c>
    </row>
    <row r="351" spans="1:2" x14ac:dyDescent="0.25">
      <c r="A351" t="s">
        <v>489</v>
      </c>
      <c r="B351" s="46">
        <v>8800</v>
      </c>
    </row>
    <row r="352" spans="1:2" x14ac:dyDescent="0.25">
      <c r="A352" t="s">
        <v>490</v>
      </c>
      <c r="B352" s="46">
        <v>12475</v>
      </c>
    </row>
    <row r="353" spans="1:2" x14ac:dyDescent="0.25">
      <c r="A353" t="s">
        <v>491</v>
      </c>
      <c r="B353" s="46">
        <v>8800</v>
      </c>
    </row>
    <row r="354" spans="1:2" x14ac:dyDescent="0.25">
      <c r="A354" t="s">
        <v>492</v>
      </c>
      <c r="B354" s="46">
        <v>13675</v>
      </c>
    </row>
    <row r="355" spans="1:2" x14ac:dyDescent="0.25">
      <c r="A355" t="s">
        <v>493</v>
      </c>
      <c r="B355" s="46">
        <v>14960</v>
      </c>
    </row>
    <row r="356" spans="1:2" x14ac:dyDescent="0.25">
      <c r="A356" t="s">
        <v>494</v>
      </c>
      <c r="B356" s="46">
        <v>14960</v>
      </c>
    </row>
    <row r="357" spans="1:2" x14ac:dyDescent="0.25">
      <c r="A357" t="s">
        <v>495</v>
      </c>
      <c r="B357" s="46">
        <v>14960</v>
      </c>
    </row>
    <row r="358" spans="1:2" x14ac:dyDescent="0.25">
      <c r="A358" t="s">
        <v>496</v>
      </c>
      <c r="B358" s="46">
        <v>14960</v>
      </c>
    </row>
    <row r="359" spans="1:2" x14ac:dyDescent="0.25">
      <c r="A359" t="s">
        <v>497</v>
      </c>
      <c r="B359" s="46">
        <v>14365</v>
      </c>
    </row>
    <row r="360" spans="1:2" x14ac:dyDescent="0.25">
      <c r="A360" t="s">
        <v>498</v>
      </c>
      <c r="B360" s="46">
        <v>14960</v>
      </c>
    </row>
    <row r="361" spans="1:2" x14ac:dyDescent="0.25">
      <c r="A361" t="s">
        <v>499</v>
      </c>
      <c r="B361" s="46">
        <v>14960</v>
      </c>
    </row>
    <row r="362" spans="1:2" x14ac:dyDescent="0.25">
      <c r="A362" t="s">
        <v>500</v>
      </c>
      <c r="B362" s="46">
        <v>14960</v>
      </c>
    </row>
    <row r="363" spans="1:2" x14ac:dyDescent="0.25">
      <c r="A363" t="s">
        <v>501</v>
      </c>
      <c r="B363" s="46">
        <v>14960</v>
      </c>
    </row>
    <row r="364" spans="1:2" x14ac:dyDescent="0.25">
      <c r="A364" t="s">
        <v>502</v>
      </c>
      <c r="B364" s="46">
        <v>14960</v>
      </c>
    </row>
    <row r="365" spans="1:2" x14ac:dyDescent="0.25">
      <c r="A365" t="s">
        <v>503</v>
      </c>
      <c r="B365" s="46">
        <v>14960</v>
      </c>
    </row>
    <row r="366" spans="1:2" x14ac:dyDescent="0.25">
      <c r="A366" t="s">
        <v>504</v>
      </c>
      <c r="B366" s="46">
        <v>14960</v>
      </c>
    </row>
    <row r="367" spans="1:2" x14ac:dyDescent="0.25">
      <c r="A367" t="s">
        <v>505</v>
      </c>
      <c r="B367" s="46">
        <v>14960</v>
      </c>
    </row>
    <row r="368" spans="1:2" x14ac:dyDescent="0.25">
      <c r="A368" t="s">
        <v>506</v>
      </c>
      <c r="B368" s="46">
        <v>23248</v>
      </c>
    </row>
    <row r="369" spans="1:2" x14ac:dyDescent="0.25">
      <c r="A369" t="s">
        <v>507</v>
      </c>
      <c r="B369" s="46">
        <v>23248</v>
      </c>
    </row>
    <row r="370" spans="1:2" x14ac:dyDescent="0.25">
      <c r="A370" t="s">
        <v>508</v>
      </c>
      <c r="B370" s="46">
        <v>14960</v>
      </c>
    </row>
    <row r="371" spans="1:2" x14ac:dyDescent="0.25">
      <c r="A371" t="s">
        <v>509</v>
      </c>
      <c r="B371" s="46">
        <v>14960</v>
      </c>
    </row>
    <row r="372" spans="1:2" x14ac:dyDescent="0.25">
      <c r="A372" t="s">
        <v>510</v>
      </c>
      <c r="B372" s="46">
        <v>14960</v>
      </c>
    </row>
    <row r="373" spans="1:2" x14ac:dyDescent="0.25">
      <c r="A373" t="s">
        <v>511</v>
      </c>
      <c r="B373" s="46">
        <v>16235</v>
      </c>
    </row>
    <row r="374" spans="1:2" x14ac:dyDescent="0.25">
      <c r="A374" t="s">
        <v>512</v>
      </c>
      <c r="B374" s="46">
        <v>14960</v>
      </c>
    </row>
    <row r="375" spans="1:2" x14ac:dyDescent="0.25">
      <c r="A375" t="s">
        <v>513</v>
      </c>
      <c r="B375" s="46">
        <v>23248</v>
      </c>
    </row>
    <row r="376" spans="1:2" x14ac:dyDescent="0.25">
      <c r="A376" t="s">
        <v>514</v>
      </c>
      <c r="B376" s="46">
        <v>23248</v>
      </c>
    </row>
    <row r="377" spans="1:2" x14ac:dyDescent="0.25">
      <c r="A377" t="s">
        <v>515</v>
      </c>
      <c r="B377" s="46">
        <v>14960</v>
      </c>
    </row>
    <row r="378" spans="1:2" x14ac:dyDescent="0.25">
      <c r="A378" t="s">
        <v>516</v>
      </c>
      <c r="B378" s="46">
        <v>14960</v>
      </c>
    </row>
    <row r="379" spans="1:2" x14ac:dyDescent="0.25">
      <c r="A379" t="s">
        <v>517</v>
      </c>
      <c r="B379" s="46">
        <v>8800</v>
      </c>
    </row>
    <row r="380" spans="1:2" x14ac:dyDescent="0.25">
      <c r="A380" t="s">
        <v>518</v>
      </c>
      <c r="B380" s="46">
        <v>8800</v>
      </c>
    </row>
    <row r="381" spans="1:2" x14ac:dyDescent="0.25">
      <c r="A381" t="s">
        <v>519</v>
      </c>
      <c r="B381" s="46">
        <v>9550</v>
      </c>
    </row>
    <row r="382" spans="1:2" x14ac:dyDescent="0.25">
      <c r="A382" t="s">
        <v>520</v>
      </c>
      <c r="B382" s="46">
        <v>8800</v>
      </c>
    </row>
    <row r="383" spans="1:2" x14ac:dyDescent="0.25">
      <c r="A383" t="s">
        <v>521</v>
      </c>
      <c r="B383" s="46">
        <v>9550</v>
      </c>
    </row>
    <row r="384" spans="1:2" x14ac:dyDescent="0.25">
      <c r="A384" t="s">
        <v>522</v>
      </c>
      <c r="B384" s="46">
        <v>13675</v>
      </c>
    </row>
    <row r="385" spans="1:3" x14ac:dyDescent="0.25">
      <c r="A385" t="s">
        <v>523</v>
      </c>
      <c r="B385" s="46">
        <v>9550</v>
      </c>
    </row>
    <row r="386" spans="1:3" x14ac:dyDescent="0.25">
      <c r="A386" t="s">
        <v>524</v>
      </c>
      <c r="B386" s="46">
        <v>13675</v>
      </c>
    </row>
    <row r="387" spans="1:3" x14ac:dyDescent="0.25">
      <c r="A387" t="s">
        <v>525</v>
      </c>
      <c r="B387" s="46">
        <v>8800</v>
      </c>
    </row>
    <row r="388" spans="1:3" x14ac:dyDescent="0.25">
      <c r="A388" t="s">
        <v>526</v>
      </c>
      <c r="B388" s="46">
        <v>13675</v>
      </c>
    </row>
    <row r="389" spans="1:3" x14ac:dyDescent="0.25">
      <c r="A389" t="s">
        <v>527</v>
      </c>
      <c r="B389" s="46">
        <v>13675</v>
      </c>
    </row>
    <row r="390" spans="1:3" x14ac:dyDescent="0.25">
      <c r="A390" t="s">
        <v>528</v>
      </c>
      <c r="B390" s="46">
        <v>9550</v>
      </c>
    </row>
    <row r="391" spans="1:3" x14ac:dyDescent="0.25">
      <c r="A391" t="s">
        <v>529</v>
      </c>
      <c r="B391" s="46">
        <v>8800</v>
      </c>
    </row>
    <row r="392" spans="1:3" x14ac:dyDescent="0.25">
      <c r="A392" t="s">
        <v>530</v>
      </c>
      <c r="B392" s="46">
        <v>23248</v>
      </c>
    </row>
    <row r="393" spans="1:3" x14ac:dyDescent="0.25">
      <c r="A393" t="s">
        <v>531</v>
      </c>
      <c r="B393" s="46">
        <v>9550</v>
      </c>
    </row>
    <row r="394" spans="1:3" x14ac:dyDescent="0.25">
      <c r="A394" t="s">
        <v>532</v>
      </c>
      <c r="B394" s="46">
        <v>13675</v>
      </c>
    </row>
    <row r="395" spans="1:3" x14ac:dyDescent="0.25">
      <c r="A395" t="s">
        <v>533</v>
      </c>
      <c r="B395" s="46">
        <v>8800</v>
      </c>
    </row>
    <row r="396" spans="1:3" x14ac:dyDescent="0.25">
      <c r="A396" t="s">
        <v>534</v>
      </c>
      <c r="B396" s="46">
        <v>8800</v>
      </c>
    </row>
    <row r="397" spans="1:3" x14ac:dyDescent="0.25">
      <c r="A397" t="s">
        <v>535</v>
      </c>
      <c r="B397" s="46">
        <v>8800</v>
      </c>
    </row>
    <row r="398" spans="1:3" x14ac:dyDescent="0.25">
      <c r="A398" t="s">
        <v>536</v>
      </c>
      <c r="B398" s="46">
        <v>8800</v>
      </c>
      <c r="C398" t="s">
        <v>2594</v>
      </c>
    </row>
    <row r="399" spans="1:3" x14ac:dyDescent="0.25">
      <c r="A399" t="s">
        <v>537</v>
      </c>
      <c r="B399" s="46">
        <v>12475</v>
      </c>
    </row>
    <row r="400" spans="1:3" x14ac:dyDescent="0.25">
      <c r="A400" t="s">
        <v>538</v>
      </c>
      <c r="B400" s="46">
        <v>8800</v>
      </c>
    </row>
    <row r="401" spans="1:2" x14ac:dyDescent="0.25">
      <c r="A401" t="s">
        <v>539</v>
      </c>
      <c r="B401" s="46">
        <v>14960</v>
      </c>
    </row>
    <row r="402" spans="1:2" x14ac:dyDescent="0.25">
      <c r="A402" t="s">
        <v>540</v>
      </c>
      <c r="B402" s="46">
        <v>8800</v>
      </c>
    </row>
    <row r="403" spans="1:2" x14ac:dyDescent="0.25">
      <c r="A403" t="s">
        <v>541</v>
      </c>
      <c r="B403" s="46">
        <v>14960</v>
      </c>
    </row>
    <row r="404" spans="1:2" x14ac:dyDescent="0.25">
      <c r="A404" t="s">
        <v>542</v>
      </c>
      <c r="B404" s="46">
        <v>9550</v>
      </c>
    </row>
    <row r="405" spans="1:2" x14ac:dyDescent="0.25">
      <c r="A405" t="s">
        <v>543</v>
      </c>
      <c r="B405" s="46">
        <v>9550</v>
      </c>
    </row>
    <row r="406" spans="1:2" x14ac:dyDescent="0.25">
      <c r="A406" t="s">
        <v>544</v>
      </c>
      <c r="B406" s="46">
        <v>8800</v>
      </c>
    </row>
    <row r="407" spans="1:2" x14ac:dyDescent="0.25">
      <c r="A407" t="s">
        <v>545</v>
      </c>
      <c r="B407" s="46">
        <v>8800</v>
      </c>
    </row>
    <row r="408" spans="1:2" x14ac:dyDescent="0.25">
      <c r="A408" t="s">
        <v>546</v>
      </c>
      <c r="B408" s="46">
        <v>8800</v>
      </c>
    </row>
    <row r="409" spans="1:2" x14ac:dyDescent="0.25">
      <c r="A409" t="s">
        <v>547</v>
      </c>
      <c r="B409" s="46">
        <v>8800</v>
      </c>
    </row>
    <row r="410" spans="1:2" x14ac:dyDescent="0.25">
      <c r="A410" t="s">
        <v>548</v>
      </c>
      <c r="B410" s="46">
        <v>21208</v>
      </c>
    </row>
    <row r="411" spans="1:2" x14ac:dyDescent="0.25">
      <c r="A411" t="s">
        <v>549</v>
      </c>
      <c r="B411" s="46">
        <v>21208</v>
      </c>
    </row>
    <row r="412" spans="1:2" x14ac:dyDescent="0.25">
      <c r="A412" t="s">
        <v>550</v>
      </c>
      <c r="B412" s="46">
        <v>8800</v>
      </c>
    </row>
    <row r="413" spans="1:2" x14ac:dyDescent="0.25">
      <c r="A413" t="s">
        <v>551</v>
      </c>
      <c r="B413" s="46">
        <v>9550</v>
      </c>
    </row>
    <row r="414" spans="1:2" x14ac:dyDescent="0.25">
      <c r="A414" t="s">
        <v>552</v>
      </c>
      <c r="B414" s="46">
        <v>8800</v>
      </c>
    </row>
    <row r="415" spans="1:2" x14ac:dyDescent="0.25">
      <c r="A415" t="s">
        <v>553</v>
      </c>
      <c r="B415" s="46">
        <v>8800</v>
      </c>
    </row>
    <row r="416" spans="1:2" x14ac:dyDescent="0.25">
      <c r="A416" t="s">
        <v>554</v>
      </c>
      <c r="B416" s="46">
        <v>9550</v>
      </c>
    </row>
    <row r="417" spans="1:2" x14ac:dyDescent="0.25">
      <c r="A417" t="s">
        <v>555</v>
      </c>
      <c r="B417" s="46">
        <v>8800</v>
      </c>
    </row>
    <row r="418" spans="1:2" x14ac:dyDescent="0.25">
      <c r="A418" t="s">
        <v>556</v>
      </c>
      <c r="B418" s="46">
        <v>21208</v>
      </c>
    </row>
    <row r="419" spans="1:2" x14ac:dyDescent="0.25">
      <c r="A419" t="s">
        <v>557</v>
      </c>
      <c r="B419" s="46">
        <v>8800</v>
      </c>
    </row>
    <row r="420" spans="1:2" x14ac:dyDescent="0.25">
      <c r="A420" t="s">
        <v>558</v>
      </c>
      <c r="B420" s="46">
        <v>8800</v>
      </c>
    </row>
    <row r="421" spans="1:2" x14ac:dyDescent="0.25">
      <c r="A421" t="s">
        <v>559</v>
      </c>
      <c r="B421" s="46">
        <v>8800</v>
      </c>
    </row>
    <row r="422" spans="1:2" x14ac:dyDescent="0.25">
      <c r="A422" t="s">
        <v>560</v>
      </c>
      <c r="B422" s="46">
        <v>8800</v>
      </c>
    </row>
    <row r="423" spans="1:2" x14ac:dyDescent="0.25">
      <c r="A423" t="s">
        <v>561</v>
      </c>
      <c r="B423" s="46">
        <v>14960</v>
      </c>
    </row>
    <row r="424" spans="1:2" x14ac:dyDescent="0.25">
      <c r="A424" t="s">
        <v>562</v>
      </c>
      <c r="B424" s="46">
        <v>8800</v>
      </c>
    </row>
    <row r="425" spans="1:2" x14ac:dyDescent="0.25">
      <c r="A425" t="s">
        <v>563</v>
      </c>
      <c r="B425" s="46">
        <v>12475</v>
      </c>
    </row>
    <row r="426" spans="1:2" x14ac:dyDescent="0.25">
      <c r="A426" t="s">
        <v>564</v>
      </c>
      <c r="B426" s="46">
        <v>8800</v>
      </c>
    </row>
    <row r="427" spans="1:2" x14ac:dyDescent="0.25">
      <c r="A427" t="s">
        <v>565</v>
      </c>
      <c r="B427" s="46">
        <v>8800</v>
      </c>
    </row>
    <row r="428" spans="1:2" x14ac:dyDescent="0.25">
      <c r="A428" t="s">
        <v>566</v>
      </c>
      <c r="B428" s="46">
        <v>8800</v>
      </c>
    </row>
    <row r="429" spans="1:2" x14ac:dyDescent="0.25">
      <c r="A429" t="s">
        <v>567</v>
      </c>
      <c r="B429" s="46">
        <v>8800</v>
      </c>
    </row>
    <row r="430" spans="1:2" x14ac:dyDescent="0.25">
      <c r="A430" t="s">
        <v>568</v>
      </c>
      <c r="B430" s="46">
        <v>8800</v>
      </c>
    </row>
    <row r="431" spans="1:2" x14ac:dyDescent="0.25">
      <c r="A431" t="s">
        <v>569</v>
      </c>
      <c r="B431" s="46">
        <v>9550</v>
      </c>
    </row>
    <row r="432" spans="1:2" x14ac:dyDescent="0.25">
      <c r="A432" t="s">
        <v>570</v>
      </c>
      <c r="B432" s="46">
        <v>8800</v>
      </c>
    </row>
    <row r="433" spans="1:2" x14ac:dyDescent="0.25">
      <c r="A433" t="s">
        <v>571</v>
      </c>
      <c r="B433" s="46">
        <v>8800</v>
      </c>
    </row>
    <row r="434" spans="1:2" x14ac:dyDescent="0.25">
      <c r="A434" t="s">
        <v>572</v>
      </c>
      <c r="B434" s="46">
        <v>9550</v>
      </c>
    </row>
    <row r="435" spans="1:2" x14ac:dyDescent="0.25">
      <c r="A435" t="s">
        <v>573</v>
      </c>
      <c r="B435" s="46">
        <v>8800</v>
      </c>
    </row>
    <row r="436" spans="1:2" x14ac:dyDescent="0.25">
      <c r="A436" t="s">
        <v>574</v>
      </c>
      <c r="B436" s="46">
        <v>8800</v>
      </c>
    </row>
    <row r="437" spans="1:2" x14ac:dyDescent="0.25">
      <c r="A437" t="s">
        <v>575</v>
      </c>
      <c r="B437" s="46">
        <v>8800</v>
      </c>
    </row>
    <row r="438" spans="1:2" x14ac:dyDescent="0.25">
      <c r="A438" t="s">
        <v>576</v>
      </c>
      <c r="B438" s="46">
        <v>8800</v>
      </c>
    </row>
    <row r="439" spans="1:2" x14ac:dyDescent="0.25">
      <c r="A439" t="s">
        <v>577</v>
      </c>
      <c r="B439" s="46">
        <v>9550</v>
      </c>
    </row>
    <row r="440" spans="1:2" x14ac:dyDescent="0.25">
      <c r="A440" t="s">
        <v>578</v>
      </c>
      <c r="B440" s="46">
        <v>12475</v>
      </c>
    </row>
    <row r="441" spans="1:2" x14ac:dyDescent="0.25">
      <c r="A441" t="s">
        <v>579</v>
      </c>
      <c r="B441" s="46">
        <v>8800</v>
      </c>
    </row>
    <row r="442" spans="1:2" x14ac:dyDescent="0.25">
      <c r="A442" t="s">
        <v>580</v>
      </c>
      <c r="B442" s="46">
        <v>9550</v>
      </c>
    </row>
    <row r="443" spans="1:2" x14ac:dyDescent="0.25">
      <c r="A443" t="s">
        <v>581</v>
      </c>
      <c r="B443" s="46">
        <v>8800</v>
      </c>
    </row>
    <row r="444" spans="1:2" x14ac:dyDescent="0.25">
      <c r="A444" t="s">
        <v>582</v>
      </c>
      <c r="B444" s="46">
        <v>8800</v>
      </c>
    </row>
    <row r="445" spans="1:2" x14ac:dyDescent="0.25">
      <c r="A445" t="s">
        <v>583</v>
      </c>
      <c r="B445" s="46">
        <v>16235</v>
      </c>
    </row>
    <row r="446" spans="1:2" x14ac:dyDescent="0.25">
      <c r="A446" t="s">
        <v>584</v>
      </c>
      <c r="B446" s="46">
        <v>16235</v>
      </c>
    </row>
    <row r="447" spans="1:2" x14ac:dyDescent="0.25">
      <c r="A447" t="s">
        <v>585</v>
      </c>
      <c r="B447" s="46">
        <v>8800</v>
      </c>
    </row>
    <row r="448" spans="1:2" x14ac:dyDescent="0.25">
      <c r="A448" t="s">
        <v>586</v>
      </c>
      <c r="B448" s="46">
        <v>8800</v>
      </c>
    </row>
    <row r="449" spans="1:2" x14ac:dyDescent="0.25">
      <c r="A449" t="s">
        <v>587</v>
      </c>
      <c r="B449" s="46">
        <v>12475</v>
      </c>
    </row>
    <row r="450" spans="1:2" x14ac:dyDescent="0.25">
      <c r="A450" t="s">
        <v>588</v>
      </c>
      <c r="B450" s="46">
        <v>8800</v>
      </c>
    </row>
    <row r="451" spans="1:2" x14ac:dyDescent="0.25">
      <c r="A451" t="s">
        <v>589</v>
      </c>
      <c r="B451" s="46">
        <v>8800</v>
      </c>
    </row>
    <row r="452" spans="1:2" x14ac:dyDescent="0.25">
      <c r="A452" t="s">
        <v>590</v>
      </c>
      <c r="B452" s="46">
        <v>8800</v>
      </c>
    </row>
    <row r="453" spans="1:2" x14ac:dyDescent="0.25">
      <c r="A453" t="s">
        <v>591</v>
      </c>
      <c r="B453" s="46">
        <v>8800</v>
      </c>
    </row>
    <row r="454" spans="1:2" x14ac:dyDescent="0.25">
      <c r="A454" t="s">
        <v>592</v>
      </c>
      <c r="B454" s="46">
        <v>8800</v>
      </c>
    </row>
    <row r="455" spans="1:2" x14ac:dyDescent="0.25">
      <c r="A455" t="s">
        <v>593</v>
      </c>
      <c r="B455" s="46">
        <v>12475</v>
      </c>
    </row>
    <row r="456" spans="1:2" x14ac:dyDescent="0.25">
      <c r="A456" t="s">
        <v>594</v>
      </c>
      <c r="B456" s="46">
        <v>12475</v>
      </c>
    </row>
    <row r="457" spans="1:2" x14ac:dyDescent="0.25">
      <c r="A457" t="s">
        <v>595</v>
      </c>
      <c r="B457" s="46">
        <v>13675</v>
      </c>
    </row>
    <row r="458" spans="1:2" x14ac:dyDescent="0.25">
      <c r="A458" t="s">
        <v>596</v>
      </c>
      <c r="B458" s="46">
        <v>14960</v>
      </c>
    </row>
    <row r="459" spans="1:2" x14ac:dyDescent="0.25">
      <c r="A459" t="s">
        <v>597</v>
      </c>
      <c r="B459" s="46">
        <v>14960</v>
      </c>
    </row>
    <row r="460" spans="1:2" x14ac:dyDescent="0.25">
      <c r="A460" t="s">
        <v>598</v>
      </c>
      <c r="B460" s="46">
        <v>12475</v>
      </c>
    </row>
    <row r="461" spans="1:2" x14ac:dyDescent="0.25">
      <c r="A461" t="s">
        <v>599</v>
      </c>
      <c r="B461" s="46">
        <v>14960</v>
      </c>
    </row>
    <row r="462" spans="1:2" x14ac:dyDescent="0.25">
      <c r="A462" t="s">
        <v>600</v>
      </c>
      <c r="B462" s="46">
        <v>14960</v>
      </c>
    </row>
    <row r="463" spans="1:2" x14ac:dyDescent="0.25">
      <c r="A463" t="s">
        <v>601</v>
      </c>
      <c r="B463" s="46">
        <v>8800</v>
      </c>
    </row>
    <row r="464" spans="1:2" x14ac:dyDescent="0.25">
      <c r="A464" t="s">
        <v>602</v>
      </c>
      <c r="B464" s="46">
        <v>12475</v>
      </c>
    </row>
    <row r="465" spans="1:2" x14ac:dyDescent="0.25">
      <c r="A465" t="s">
        <v>603</v>
      </c>
      <c r="B465" s="46">
        <v>14960</v>
      </c>
    </row>
    <row r="466" spans="1:2" x14ac:dyDescent="0.25">
      <c r="A466" t="s">
        <v>604</v>
      </c>
      <c r="B466" s="46">
        <v>14960</v>
      </c>
    </row>
    <row r="467" spans="1:2" x14ac:dyDescent="0.25">
      <c r="A467" t="s">
        <v>605</v>
      </c>
      <c r="B467" s="46">
        <v>12475</v>
      </c>
    </row>
    <row r="468" spans="1:2" x14ac:dyDescent="0.25">
      <c r="A468" t="s">
        <v>606</v>
      </c>
      <c r="B468" s="46">
        <v>8800</v>
      </c>
    </row>
    <row r="469" spans="1:2" x14ac:dyDescent="0.25">
      <c r="A469" t="s">
        <v>607</v>
      </c>
      <c r="B469" s="46">
        <v>21208</v>
      </c>
    </row>
    <row r="470" spans="1:2" x14ac:dyDescent="0.25">
      <c r="A470" t="s">
        <v>608</v>
      </c>
      <c r="B470" s="46">
        <v>21208</v>
      </c>
    </row>
    <row r="471" spans="1:2" x14ac:dyDescent="0.25">
      <c r="A471" t="s">
        <v>609</v>
      </c>
      <c r="B471" s="46">
        <v>8800</v>
      </c>
    </row>
    <row r="472" spans="1:2" x14ac:dyDescent="0.25">
      <c r="A472" t="s">
        <v>610</v>
      </c>
      <c r="B472" s="46">
        <v>23248</v>
      </c>
    </row>
    <row r="473" spans="1:2" x14ac:dyDescent="0.25">
      <c r="A473" t="s">
        <v>611</v>
      </c>
      <c r="B473" s="46">
        <v>23248</v>
      </c>
    </row>
    <row r="474" spans="1:2" x14ac:dyDescent="0.25">
      <c r="A474" t="s">
        <v>612</v>
      </c>
      <c r="B474" s="46">
        <v>8800</v>
      </c>
    </row>
    <row r="475" spans="1:2" x14ac:dyDescent="0.25">
      <c r="A475" t="s">
        <v>613</v>
      </c>
      <c r="B475" s="46">
        <v>8800</v>
      </c>
    </row>
    <row r="476" spans="1:2" x14ac:dyDescent="0.25">
      <c r="A476" t="s">
        <v>614</v>
      </c>
      <c r="B476" s="46">
        <v>8800</v>
      </c>
    </row>
    <row r="477" spans="1:2" x14ac:dyDescent="0.25">
      <c r="A477" t="s">
        <v>615</v>
      </c>
      <c r="B477" s="46">
        <v>8800</v>
      </c>
    </row>
    <row r="478" spans="1:2" x14ac:dyDescent="0.25">
      <c r="A478" t="s">
        <v>616</v>
      </c>
      <c r="B478" s="46">
        <v>23248</v>
      </c>
    </row>
    <row r="479" spans="1:2" x14ac:dyDescent="0.25">
      <c r="A479" t="s">
        <v>617</v>
      </c>
      <c r="B479" s="46">
        <v>8800</v>
      </c>
    </row>
    <row r="480" spans="1:2" x14ac:dyDescent="0.25">
      <c r="A480" t="s">
        <v>618</v>
      </c>
      <c r="B480" s="46">
        <v>14960</v>
      </c>
    </row>
    <row r="481" spans="1:2" x14ac:dyDescent="0.25">
      <c r="A481" t="s">
        <v>619</v>
      </c>
      <c r="B481" s="46">
        <v>8800</v>
      </c>
    </row>
    <row r="482" spans="1:2" x14ac:dyDescent="0.25">
      <c r="A482" t="s">
        <v>620</v>
      </c>
      <c r="B482" s="46">
        <v>9550</v>
      </c>
    </row>
    <row r="483" spans="1:2" x14ac:dyDescent="0.25">
      <c r="A483" t="s">
        <v>621</v>
      </c>
      <c r="B483" s="46">
        <v>8800</v>
      </c>
    </row>
    <row r="484" spans="1:2" x14ac:dyDescent="0.25">
      <c r="A484" t="s">
        <v>622</v>
      </c>
      <c r="B484" s="46">
        <v>12475</v>
      </c>
    </row>
    <row r="485" spans="1:2" x14ac:dyDescent="0.25">
      <c r="A485" t="s">
        <v>623</v>
      </c>
      <c r="B485" s="46">
        <v>9550</v>
      </c>
    </row>
    <row r="486" spans="1:2" x14ac:dyDescent="0.25">
      <c r="A486" t="s">
        <v>624</v>
      </c>
      <c r="B486" s="46">
        <v>9550</v>
      </c>
    </row>
    <row r="487" spans="1:2" x14ac:dyDescent="0.25">
      <c r="A487" t="s">
        <v>625</v>
      </c>
      <c r="B487" s="46">
        <v>9550</v>
      </c>
    </row>
    <row r="488" spans="1:2" x14ac:dyDescent="0.25">
      <c r="A488" t="s">
        <v>626</v>
      </c>
      <c r="B488" s="46">
        <v>8800</v>
      </c>
    </row>
    <row r="489" spans="1:2" x14ac:dyDescent="0.25">
      <c r="A489" t="s">
        <v>627</v>
      </c>
      <c r="B489" s="46">
        <v>9550</v>
      </c>
    </row>
    <row r="490" spans="1:2" x14ac:dyDescent="0.25">
      <c r="A490" t="s">
        <v>628</v>
      </c>
      <c r="B490" s="46">
        <v>9550</v>
      </c>
    </row>
    <row r="491" spans="1:2" x14ac:dyDescent="0.25">
      <c r="A491" t="s">
        <v>629</v>
      </c>
      <c r="B491" s="46">
        <v>12475</v>
      </c>
    </row>
    <row r="492" spans="1:2" x14ac:dyDescent="0.25">
      <c r="A492" t="s">
        <v>630</v>
      </c>
      <c r="B492" s="46">
        <v>13675</v>
      </c>
    </row>
    <row r="493" spans="1:2" x14ac:dyDescent="0.25">
      <c r="A493" t="s">
        <v>631</v>
      </c>
      <c r="B493" s="46">
        <v>13675</v>
      </c>
    </row>
    <row r="494" spans="1:2" x14ac:dyDescent="0.25">
      <c r="A494" t="s">
        <v>632</v>
      </c>
      <c r="B494" s="46">
        <v>12475</v>
      </c>
    </row>
    <row r="495" spans="1:2" x14ac:dyDescent="0.25">
      <c r="A495" t="s">
        <v>633</v>
      </c>
      <c r="B495" s="46">
        <v>12475</v>
      </c>
    </row>
    <row r="496" spans="1:2" x14ac:dyDescent="0.25">
      <c r="A496" t="s">
        <v>634</v>
      </c>
      <c r="B496" s="46">
        <v>8800</v>
      </c>
    </row>
    <row r="497" spans="1:2" x14ac:dyDescent="0.25">
      <c r="A497" t="s">
        <v>635</v>
      </c>
      <c r="B497" s="46">
        <v>8800</v>
      </c>
    </row>
    <row r="498" spans="1:2" x14ac:dyDescent="0.25">
      <c r="A498" t="s">
        <v>636</v>
      </c>
      <c r="B498" s="46">
        <v>13675</v>
      </c>
    </row>
    <row r="499" spans="1:2" x14ac:dyDescent="0.25">
      <c r="A499" t="s">
        <v>637</v>
      </c>
      <c r="B499" s="46">
        <v>9550</v>
      </c>
    </row>
    <row r="500" spans="1:2" x14ac:dyDescent="0.25">
      <c r="A500" t="s">
        <v>638</v>
      </c>
      <c r="B500" s="46">
        <v>9550</v>
      </c>
    </row>
    <row r="501" spans="1:2" x14ac:dyDescent="0.25">
      <c r="A501" t="s">
        <v>639</v>
      </c>
      <c r="B501" s="46">
        <v>13675</v>
      </c>
    </row>
    <row r="502" spans="1:2" x14ac:dyDescent="0.25">
      <c r="A502" t="s">
        <v>640</v>
      </c>
      <c r="B502" s="46">
        <v>8800</v>
      </c>
    </row>
    <row r="503" spans="1:2" x14ac:dyDescent="0.25">
      <c r="A503" t="s">
        <v>641</v>
      </c>
      <c r="B503" s="46">
        <v>9550</v>
      </c>
    </row>
    <row r="504" spans="1:2" x14ac:dyDescent="0.25">
      <c r="A504" t="s">
        <v>642</v>
      </c>
      <c r="B504" s="46">
        <v>13675</v>
      </c>
    </row>
    <row r="505" spans="1:2" x14ac:dyDescent="0.25">
      <c r="A505" t="s">
        <v>643</v>
      </c>
      <c r="B505" s="46">
        <v>9550</v>
      </c>
    </row>
    <row r="506" spans="1:2" x14ac:dyDescent="0.25">
      <c r="A506" t="s">
        <v>644</v>
      </c>
      <c r="B506" s="46">
        <v>13675</v>
      </c>
    </row>
    <row r="507" spans="1:2" x14ac:dyDescent="0.25">
      <c r="A507" t="s">
        <v>645</v>
      </c>
      <c r="B507" s="46">
        <v>8800</v>
      </c>
    </row>
    <row r="508" spans="1:2" x14ac:dyDescent="0.25">
      <c r="A508" t="s">
        <v>646</v>
      </c>
      <c r="B508" s="46">
        <v>8800</v>
      </c>
    </row>
    <row r="509" spans="1:2" x14ac:dyDescent="0.25">
      <c r="A509" t="s">
        <v>647</v>
      </c>
      <c r="B509" s="46">
        <v>8800</v>
      </c>
    </row>
    <row r="510" spans="1:2" x14ac:dyDescent="0.25">
      <c r="A510" t="s">
        <v>648</v>
      </c>
      <c r="B510" s="46">
        <v>12475</v>
      </c>
    </row>
    <row r="511" spans="1:2" x14ac:dyDescent="0.25">
      <c r="A511" t="s">
        <v>649</v>
      </c>
      <c r="B511" s="46">
        <v>9550</v>
      </c>
    </row>
    <row r="512" spans="1:2" x14ac:dyDescent="0.25">
      <c r="A512" t="s">
        <v>650</v>
      </c>
      <c r="B512" s="46">
        <v>14960</v>
      </c>
    </row>
    <row r="513" spans="1:2" x14ac:dyDescent="0.25">
      <c r="A513" t="s">
        <v>651</v>
      </c>
      <c r="B513" s="46">
        <v>14960</v>
      </c>
    </row>
    <row r="514" spans="1:2" x14ac:dyDescent="0.25">
      <c r="A514" t="s">
        <v>652</v>
      </c>
      <c r="B514" s="46">
        <v>14960</v>
      </c>
    </row>
    <row r="515" spans="1:2" x14ac:dyDescent="0.25">
      <c r="A515" t="s">
        <v>653</v>
      </c>
      <c r="B515" s="46">
        <v>14960</v>
      </c>
    </row>
    <row r="516" spans="1:2" x14ac:dyDescent="0.25">
      <c r="A516" t="s">
        <v>654</v>
      </c>
      <c r="B516" s="46">
        <v>8800</v>
      </c>
    </row>
    <row r="517" spans="1:2" x14ac:dyDescent="0.25">
      <c r="A517" t="s">
        <v>655</v>
      </c>
      <c r="B517" s="46">
        <v>8800</v>
      </c>
    </row>
    <row r="518" spans="1:2" x14ac:dyDescent="0.25">
      <c r="A518" t="s">
        <v>656</v>
      </c>
      <c r="B518" s="46">
        <v>12475</v>
      </c>
    </row>
    <row r="519" spans="1:2" x14ac:dyDescent="0.25">
      <c r="A519" t="s">
        <v>657</v>
      </c>
      <c r="B519" s="46">
        <v>12475</v>
      </c>
    </row>
    <row r="520" spans="1:2" x14ac:dyDescent="0.25">
      <c r="A520" t="s">
        <v>658</v>
      </c>
      <c r="B520" s="46">
        <v>8800</v>
      </c>
    </row>
    <row r="521" spans="1:2" x14ac:dyDescent="0.25">
      <c r="A521" t="s">
        <v>659</v>
      </c>
      <c r="B521" s="46">
        <v>8800</v>
      </c>
    </row>
    <row r="522" spans="1:2" x14ac:dyDescent="0.25">
      <c r="A522" t="s">
        <v>660</v>
      </c>
      <c r="B522" s="46">
        <v>12475</v>
      </c>
    </row>
    <row r="523" spans="1:2" x14ac:dyDescent="0.25">
      <c r="A523" t="s">
        <v>661</v>
      </c>
      <c r="B523" s="46">
        <v>8800</v>
      </c>
    </row>
    <row r="524" spans="1:2" x14ac:dyDescent="0.25">
      <c r="A524" t="s">
        <v>662</v>
      </c>
      <c r="B524" s="46">
        <v>8800</v>
      </c>
    </row>
    <row r="525" spans="1:2" x14ac:dyDescent="0.25">
      <c r="A525" t="s">
        <v>663</v>
      </c>
      <c r="B525" s="46">
        <v>8800</v>
      </c>
    </row>
    <row r="526" spans="1:2" x14ac:dyDescent="0.25">
      <c r="A526" t="s">
        <v>664</v>
      </c>
      <c r="B526" s="46">
        <v>8800</v>
      </c>
    </row>
    <row r="527" spans="1:2" x14ac:dyDescent="0.25">
      <c r="A527" t="s">
        <v>665</v>
      </c>
      <c r="B527" s="46">
        <v>14960</v>
      </c>
    </row>
    <row r="528" spans="1:2" x14ac:dyDescent="0.25">
      <c r="A528" t="s">
        <v>666</v>
      </c>
      <c r="B528" s="46">
        <v>14960</v>
      </c>
    </row>
    <row r="529" spans="1:2" x14ac:dyDescent="0.25">
      <c r="A529" t="s">
        <v>667</v>
      </c>
      <c r="B529" s="46">
        <v>8800</v>
      </c>
    </row>
    <row r="530" spans="1:2" x14ac:dyDescent="0.25">
      <c r="A530" t="s">
        <v>668</v>
      </c>
      <c r="B530" s="46">
        <v>12475</v>
      </c>
    </row>
    <row r="531" spans="1:2" x14ac:dyDescent="0.25">
      <c r="A531" t="s">
        <v>669</v>
      </c>
      <c r="B531" s="46">
        <v>8800</v>
      </c>
    </row>
    <row r="532" spans="1:2" x14ac:dyDescent="0.25">
      <c r="A532" t="s">
        <v>670</v>
      </c>
      <c r="B532" s="46">
        <v>8800</v>
      </c>
    </row>
    <row r="533" spans="1:2" x14ac:dyDescent="0.25">
      <c r="A533" t="s">
        <v>671</v>
      </c>
      <c r="B533" s="46">
        <v>13675</v>
      </c>
    </row>
    <row r="534" spans="1:2" x14ac:dyDescent="0.25">
      <c r="A534" t="s">
        <v>672</v>
      </c>
      <c r="B534" s="46">
        <v>9550</v>
      </c>
    </row>
    <row r="535" spans="1:2" x14ac:dyDescent="0.25">
      <c r="A535" t="s">
        <v>673</v>
      </c>
      <c r="B535" s="46">
        <v>9550</v>
      </c>
    </row>
    <row r="536" spans="1:2" x14ac:dyDescent="0.25">
      <c r="A536" t="s">
        <v>674</v>
      </c>
      <c r="B536" s="46">
        <v>14960</v>
      </c>
    </row>
    <row r="537" spans="1:2" x14ac:dyDescent="0.25">
      <c r="A537" t="s">
        <v>675</v>
      </c>
      <c r="B537" s="46">
        <v>14960</v>
      </c>
    </row>
    <row r="538" spans="1:2" x14ac:dyDescent="0.25">
      <c r="A538" t="s">
        <v>676</v>
      </c>
      <c r="B538" s="46">
        <v>8800</v>
      </c>
    </row>
    <row r="539" spans="1:2" x14ac:dyDescent="0.25">
      <c r="A539" t="s">
        <v>677</v>
      </c>
      <c r="B539" s="46">
        <v>13675</v>
      </c>
    </row>
    <row r="540" spans="1:2" x14ac:dyDescent="0.25">
      <c r="A540" t="s">
        <v>678</v>
      </c>
      <c r="B540" s="46">
        <v>14960</v>
      </c>
    </row>
    <row r="541" spans="1:2" x14ac:dyDescent="0.25">
      <c r="A541" t="s">
        <v>679</v>
      </c>
      <c r="B541" s="46">
        <v>14960</v>
      </c>
    </row>
    <row r="542" spans="1:2" x14ac:dyDescent="0.25">
      <c r="A542" t="s">
        <v>680</v>
      </c>
      <c r="B542" s="46">
        <v>14960</v>
      </c>
    </row>
    <row r="543" spans="1:2" x14ac:dyDescent="0.25">
      <c r="A543" t="s">
        <v>681</v>
      </c>
      <c r="B543" s="46">
        <v>8800</v>
      </c>
    </row>
    <row r="544" spans="1:2" x14ac:dyDescent="0.25">
      <c r="A544" t="s">
        <v>682</v>
      </c>
      <c r="B544" s="46">
        <v>8800</v>
      </c>
    </row>
    <row r="545" spans="1:2" x14ac:dyDescent="0.25">
      <c r="A545" t="s">
        <v>683</v>
      </c>
      <c r="B545" s="46">
        <v>8800</v>
      </c>
    </row>
    <row r="546" spans="1:2" x14ac:dyDescent="0.25">
      <c r="A546" t="s">
        <v>684</v>
      </c>
      <c r="B546" s="46">
        <v>12475</v>
      </c>
    </row>
    <row r="547" spans="1:2" x14ac:dyDescent="0.25">
      <c r="A547" t="s">
        <v>685</v>
      </c>
      <c r="B547" s="46">
        <v>9550</v>
      </c>
    </row>
    <row r="548" spans="1:2" x14ac:dyDescent="0.25">
      <c r="A548" t="s">
        <v>686</v>
      </c>
      <c r="B548" s="46">
        <v>8800</v>
      </c>
    </row>
    <row r="549" spans="1:2" x14ac:dyDescent="0.25">
      <c r="A549" t="s">
        <v>687</v>
      </c>
      <c r="B549" s="46">
        <v>12475</v>
      </c>
    </row>
    <row r="550" spans="1:2" x14ac:dyDescent="0.25">
      <c r="A550" t="s">
        <v>688</v>
      </c>
      <c r="B550" s="46">
        <v>9550</v>
      </c>
    </row>
    <row r="551" spans="1:2" x14ac:dyDescent="0.25">
      <c r="A551" t="s">
        <v>689</v>
      </c>
      <c r="B551" s="46">
        <v>9550</v>
      </c>
    </row>
    <row r="552" spans="1:2" x14ac:dyDescent="0.25">
      <c r="A552" t="s">
        <v>690</v>
      </c>
      <c r="B552" s="46">
        <v>9550</v>
      </c>
    </row>
    <row r="553" spans="1:2" x14ac:dyDescent="0.25">
      <c r="A553" t="s">
        <v>691</v>
      </c>
      <c r="B553" s="46">
        <v>14960</v>
      </c>
    </row>
    <row r="554" spans="1:2" x14ac:dyDescent="0.25">
      <c r="A554" t="s">
        <v>692</v>
      </c>
      <c r="B554" s="46">
        <v>14960</v>
      </c>
    </row>
    <row r="555" spans="1:2" x14ac:dyDescent="0.25">
      <c r="A555" t="s">
        <v>693</v>
      </c>
      <c r="B555" s="46">
        <v>12475</v>
      </c>
    </row>
    <row r="556" spans="1:2" x14ac:dyDescent="0.25">
      <c r="A556" t="s">
        <v>694</v>
      </c>
      <c r="B556" s="46">
        <v>14960</v>
      </c>
    </row>
    <row r="557" spans="1:2" x14ac:dyDescent="0.25">
      <c r="A557" t="s">
        <v>695</v>
      </c>
      <c r="B557" s="46">
        <v>16235</v>
      </c>
    </row>
    <row r="558" spans="1:2" x14ac:dyDescent="0.25">
      <c r="A558" t="s">
        <v>696</v>
      </c>
      <c r="B558" s="46">
        <v>14960</v>
      </c>
    </row>
    <row r="559" spans="1:2" x14ac:dyDescent="0.25">
      <c r="A559" t="s">
        <v>697</v>
      </c>
      <c r="B559" s="46">
        <v>14960</v>
      </c>
    </row>
    <row r="560" spans="1:2" x14ac:dyDescent="0.25">
      <c r="A560" t="s">
        <v>698</v>
      </c>
      <c r="B560" s="46">
        <v>14960</v>
      </c>
    </row>
    <row r="561" spans="1:2" x14ac:dyDescent="0.25">
      <c r="A561" t="s">
        <v>699</v>
      </c>
      <c r="B561" s="46">
        <v>9550</v>
      </c>
    </row>
    <row r="562" spans="1:2" x14ac:dyDescent="0.25">
      <c r="A562" t="s">
        <v>700</v>
      </c>
      <c r="B562" s="46">
        <v>14960</v>
      </c>
    </row>
    <row r="563" spans="1:2" x14ac:dyDescent="0.25">
      <c r="A563" t="s">
        <v>701</v>
      </c>
      <c r="B563" s="46">
        <v>14960</v>
      </c>
    </row>
    <row r="564" spans="1:2" x14ac:dyDescent="0.25">
      <c r="A564" t="s">
        <v>702</v>
      </c>
      <c r="B564" s="46">
        <v>14960</v>
      </c>
    </row>
    <row r="565" spans="1:2" x14ac:dyDescent="0.25">
      <c r="A565" t="s">
        <v>703</v>
      </c>
      <c r="B565" s="46">
        <v>14960</v>
      </c>
    </row>
    <row r="566" spans="1:2" x14ac:dyDescent="0.25">
      <c r="A566" t="s">
        <v>704</v>
      </c>
      <c r="B566" s="46">
        <v>16235</v>
      </c>
    </row>
    <row r="567" spans="1:2" x14ac:dyDescent="0.25">
      <c r="A567" t="s">
        <v>705</v>
      </c>
      <c r="B567" s="46">
        <v>16235</v>
      </c>
    </row>
    <row r="568" spans="1:2" x14ac:dyDescent="0.25">
      <c r="A568" t="s">
        <v>706</v>
      </c>
      <c r="B568" s="46">
        <v>9550</v>
      </c>
    </row>
    <row r="569" spans="1:2" x14ac:dyDescent="0.25">
      <c r="A569" t="s">
        <v>707</v>
      </c>
      <c r="B569" s="46">
        <v>8800</v>
      </c>
    </row>
    <row r="570" spans="1:2" x14ac:dyDescent="0.25">
      <c r="A570" t="s">
        <v>708</v>
      </c>
      <c r="B570" s="46">
        <v>9550</v>
      </c>
    </row>
    <row r="571" spans="1:2" x14ac:dyDescent="0.25">
      <c r="A571" t="s">
        <v>709</v>
      </c>
      <c r="B571" s="46">
        <v>12475</v>
      </c>
    </row>
    <row r="572" spans="1:2" x14ac:dyDescent="0.25">
      <c r="A572" t="s">
        <v>710</v>
      </c>
      <c r="B572" s="46">
        <v>14960</v>
      </c>
    </row>
    <row r="573" spans="1:2" x14ac:dyDescent="0.25">
      <c r="A573" t="s">
        <v>711</v>
      </c>
      <c r="B573" s="46">
        <v>14960</v>
      </c>
    </row>
    <row r="574" spans="1:2" x14ac:dyDescent="0.25">
      <c r="A574" t="s">
        <v>712</v>
      </c>
      <c r="B574" s="46">
        <v>8800</v>
      </c>
    </row>
    <row r="575" spans="1:2" x14ac:dyDescent="0.25">
      <c r="A575" t="s">
        <v>713</v>
      </c>
      <c r="B575" s="46">
        <v>14960</v>
      </c>
    </row>
    <row r="576" spans="1:2" x14ac:dyDescent="0.25">
      <c r="A576" t="s">
        <v>714</v>
      </c>
      <c r="B576" s="46">
        <v>8800</v>
      </c>
    </row>
    <row r="577" spans="1:2" x14ac:dyDescent="0.25">
      <c r="A577" t="s">
        <v>715</v>
      </c>
      <c r="B577" s="46">
        <v>8800</v>
      </c>
    </row>
    <row r="578" spans="1:2" x14ac:dyDescent="0.25">
      <c r="A578" t="s">
        <v>716</v>
      </c>
      <c r="B578" s="46">
        <v>9550</v>
      </c>
    </row>
    <row r="579" spans="1:2" x14ac:dyDescent="0.25">
      <c r="A579" t="s">
        <v>717</v>
      </c>
      <c r="B579" s="46">
        <v>14960</v>
      </c>
    </row>
    <row r="580" spans="1:2" x14ac:dyDescent="0.25">
      <c r="A580" t="s">
        <v>718</v>
      </c>
      <c r="B580" s="46">
        <v>13675</v>
      </c>
    </row>
    <row r="581" spans="1:2" x14ac:dyDescent="0.25">
      <c r="A581" t="s">
        <v>719</v>
      </c>
      <c r="B581" s="46">
        <v>8800</v>
      </c>
    </row>
    <row r="582" spans="1:2" x14ac:dyDescent="0.25">
      <c r="A582" t="s">
        <v>720</v>
      </c>
      <c r="B582" s="46">
        <v>8800</v>
      </c>
    </row>
    <row r="583" spans="1:2" x14ac:dyDescent="0.25">
      <c r="A583" t="s">
        <v>721</v>
      </c>
      <c r="B583" s="46">
        <v>8800</v>
      </c>
    </row>
    <row r="584" spans="1:2" x14ac:dyDescent="0.25">
      <c r="A584" t="s">
        <v>722</v>
      </c>
      <c r="B584" s="46">
        <v>14960</v>
      </c>
    </row>
    <row r="585" spans="1:2" x14ac:dyDescent="0.25">
      <c r="A585" t="s">
        <v>723</v>
      </c>
      <c r="B585" s="46">
        <v>14960</v>
      </c>
    </row>
    <row r="586" spans="1:2" x14ac:dyDescent="0.25">
      <c r="A586" t="s">
        <v>724</v>
      </c>
      <c r="B586" s="46">
        <v>16235</v>
      </c>
    </row>
    <row r="587" spans="1:2" x14ac:dyDescent="0.25">
      <c r="A587" t="s">
        <v>725</v>
      </c>
      <c r="B587" s="46">
        <v>16235</v>
      </c>
    </row>
    <row r="588" spans="1:2" x14ac:dyDescent="0.25">
      <c r="A588" t="s">
        <v>726</v>
      </c>
      <c r="B588" s="46">
        <v>16235</v>
      </c>
    </row>
    <row r="589" spans="1:2" x14ac:dyDescent="0.25">
      <c r="A589" t="s">
        <v>727</v>
      </c>
      <c r="B589" s="46">
        <v>16235</v>
      </c>
    </row>
    <row r="590" spans="1:2" x14ac:dyDescent="0.25">
      <c r="A590" t="s">
        <v>728</v>
      </c>
      <c r="B590" s="46">
        <v>16235</v>
      </c>
    </row>
    <row r="591" spans="1:2" x14ac:dyDescent="0.25">
      <c r="A591" t="s">
        <v>729</v>
      </c>
      <c r="B591" s="46">
        <v>21208</v>
      </c>
    </row>
    <row r="592" spans="1:2" x14ac:dyDescent="0.25">
      <c r="A592" t="s">
        <v>730</v>
      </c>
      <c r="B592" s="46">
        <v>21208</v>
      </c>
    </row>
    <row r="593" spans="1:2" x14ac:dyDescent="0.25">
      <c r="A593" t="s">
        <v>731</v>
      </c>
      <c r="B593" s="46">
        <v>8800</v>
      </c>
    </row>
    <row r="594" spans="1:2" x14ac:dyDescent="0.25">
      <c r="A594" t="s">
        <v>732</v>
      </c>
      <c r="B594" s="46">
        <v>14960</v>
      </c>
    </row>
    <row r="595" spans="1:2" x14ac:dyDescent="0.25">
      <c r="A595" t="s">
        <v>733</v>
      </c>
      <c r="B595" s="46">
        <v>14960</v>
      </c>
    </row>
    <row r="596" spans="1:2" x14ac:dyDescent="0.25">
      <c r="A596" t="s">
        <v>734</v>
      </c>
      <c r="B596" s="46">
        <v>14960</v>
      </c>
    </row>
    <row r="597" spans="1:2" x14ac:dyDescent="0.25">
      <c r="A597" t="s">
        <v>735</v>
      </c>
      <c r="B597" s="46">
        <v>14960</v>
      </c>
    </row>
    <row r="598" spans="1:2" x14ac:dyDescent="0.25">
      <c r="A598" t="s">
        <v>736</v>
      </c>
      <c r="B598" s="46">
        <v>14960</v>
      </c>
    </row>
    <row r="599" spans="1:2" x14ac:dyDescent="0.25">
      <c r="A599" t="s">
        <v>737</v>
      </c>
      <c r="B599" s="46">
        <v>14960</v>
      </c>
    </row>
    <row r="600" spans="1:2" x14ac:dyDescent="0.25">
      <c r="A600" t="s">
        <v>738</v>
      </c>
      <c r="B600" s="46">
        <v>21208</v>
      </c>
    </row>
    <row r="601" spans="1:2" x14ac:dyDescent="0.25">
      <c r="A601" t="s">
        <v>739</v>
      </c>
      <c r="B601" s="46">
        <v>14960</v>
      </c>
    </row>
    <row r="602" spans="1:2" x14ac:dyDescent="0.25">
      <c r="A602" t="s">
        <v>740</v>
      </c>
      <c r="B602" s="46">
        <v>14960</v>
      </c>
    </row>
    <row r="603" spans="1:2" x14ac:dyDescent="0.25">
      <c r="A603" t="s">
        <v>741</v>
      </c>
      <c r="B603" s="46">
        <v>14960</v>
      </c>
    </row>
    <row r="604" spans="1:2" x14ac:dyDescent="0.25">
      <c r="A604" t="s">
        <v>742</v>
      </c>
      <c r="B604" s="46">
        <v>14960</v>
      </c>
    </row>
    <row r="605" spans="1:2" x14ac:dyDescent="0.25">
      <c r="A605" t="s">
        <v>743</v>
      </c>
      <c r="B605" s="46">
        <v>14960</v>
      </c>
    </row>
    <row r="606" spans="1:2" x14ac:dyDescent="0.25">
      <c r="A606" t="s">
        <v>744</v>
      </c>
      <c r="B606" s="46">
        <v>14960</v>
      </c>
    </row>
    <row r="607" spans="1:2" x14ac:dyDescent="0.25">
      <c r="A607" t="s">
        <v>745</v>
      </c>
      <c r="B607" s="46">
        <v>14960</v>
      </c>
    </row>
    <row r="608" spans="1:2" x14ac:dyDescent="0.25">
      <c r="A608" t="s">
        <v>746</v>
      </c>
      <c r="B608" s="46">
        <v>16235</v>
      </c>
    </row>
    <row r="609" spans="1:2" x14ac:dyDescent="0.25">
      <c r="A609" t="s">
        <v>747</v>
      </c>
      <c r="B609" s="46">
        <v>14960</v>
      </c>
    </row>
    <row r="610" spans="1:2" x14ac:dyDescent="0.25">
      <c r="A610" t="s">
        <v>748</v>
      </c>
      <c r="B610" s="46">
        <v>14960</v>
      </c>
    </row>
    <row r="611" spans="1:2" x14ac:dyDescent="0.25">
      <c r="A611" t="s">
        <v>749</v>
      </c>
      <c r="B611" s="46">
        <v>14960</v>
      </c>
    </row>
    <row r="612" spans="1:2" x14ac:dyDescent="0.25">
      <c r="A612" t="s">
        <v>750</v>
      </c>
      <c r="B612" s="46">
        <v>14960</v>
      </c>
    </row>
    <row r="613" spans="1:2" x14ac:dyDescent="0.25">
      <c r="A613" t="s">
        <v>751</v>
      </c>
      <c r="B613" s="46">
        <v>14960</v>
      </c>
    </row>
    <row r="614" spans="1:2" x14ac:dyDescent="0.25">
      <c r="A614" t="s">
        <v>752</v>
      </c>
      <c r="B614" s="46">
        <v>8800</v>
      </c>
    </row>
    <row r="615" spans="1:2" x14ac:dyDescent="0.25">
      <c r="A615" t="s">
        <v>753</v>
      </c>
      <c r="B615" s="46">
        <v>8800</v>
      </c>
    </row>
    <row r="616" spans="1:2" x14ac:dyDescent="0.25">
      <c r="A616" t="s">
        <v>754</v>
      </c>
      <c r="B616" s="46">
        <v>12475</v>
      </c>
    </row>
    <row r="617" spans="1:2" x14ac:dyDescent="0.25">
      <c r="A617" t="s">
        <v>755</v>
      </c>
      <c r="B617" s="46">
        <v>14960</v>
      </c>
    </row>
    <row r="618" spans="1:2" x14ac:dyDescent="0.25">
      <c r="A618" t="s">
        <v>756</v>
      </c>
      <c r="B618" s="46">
        <v>14960</v>
      </c>
    </row>
    <row r="619" spans="1:2" x14ac:dyDescent="0.25">
      <c r="A619" t="s">
        <v>757</v>
      </c>
      <c r="B619" s="46">
        <v>8800</v>
      </c>
    </row>
    <row r="620" spans="1:2" x14ac:dyDescent="0.25">
      <c r="A620" t="s">
        <v>758</v>
      </c>
      <c r="B620" s="46">
        <v>8800</v>
      </c>
    </row>
    <row r="621" spans="1:2" x14ac:dyDescent="0.25">
      <c r="A621" t="s">
        <v>759</v>
      </c>
      <c r="B621" s="46">
        <v>12475</v>
      </c>
    </row>
    <row r="622" spans="1:2" x14ac:dyDescent="0.25">
      <c r="A622" t="s">
        <v>760</v>
      </c>
      <c r="B622" s="46">
        <v>14960</v>
      </c>
    </row>
    <row r="623" spans="1:2" x14ac:dyDescent="0.25">
      <c r="A623" t="s">
        <v>761</v>
      </c>
      <c r="B623" s="46">
        <v>14960</v>
      </c>
    </row>
    <row r="624" spans="1:2" x14ac:dyDescent="0.25">
      <c r="A624" t="s">
        <v>762</v>
      </c>
      <c r="B624" s="46">
        <v>8800</v>
      </c>
    </row>
    <row r="625" spans="1:2" x14ac:dyDescent="0.25">
      <c r="A625" t="s">
        <v>763</v>
      </c>
      <c r="B625" s="46">
        <v>8800</v>
      </c>
    </row>
    <row r="626" spans="1:2" x14ac:dyDescent="0.25">
      <c r="A626" t="s">
        <v>764</v>
      </c>
      <c r="B626" s="46">
        <v>14960</v>
      </c>
    </row>
    <row r="627" spans="1:2" x14ac:dyDescent="0.25">
      <c r="A627" t="s">
        <v>765</v>
      </c>
      <c r="B627" s="46">
        <v>14960</v>
      </c>
    </row>
    <row r="628" spans="1:2" x14ac:dyDescent="0.25">
      <c r="A628" t="s">
        <v>766</v>
      </c>
      <c r="B628" s="46">
        <v>8800</v>
      </c>
    </row>
    <row r="629" spans="1:2" x14ac:dyDescent="0.25">
      <c r="A629" t="s">
        <v>767</v>
      </c>
      <c r="B629" s="46">
        <v>9550</v>
      </c>
    </row>
    <row r="630" spans="1:2" x14ac:dyDescent="0.25">
      <c r="A630" t="s">
        <v>768</v>
      </c>
      <c r="B630" s="46">
        <v>8800</v>
      </c>
    </row>
    <row r="631" spans="1:2" x14ac:dyDescent="0.25">
      <c r="A631" t="s">
        <v>769</v>
      </c>
      <c r="B631" s="46">
        <v>13675</v>
      </c>
    </row>
    <row r="632" spans="1:2" x14ac:dyDescent="0.25">
      <c r="A632" t="s">
        <v>770</v>
      </c>
      <c r="B632" s="46">
        <v>23248</v>
      </c>
    </row>
    <row r="633" spans="1:2" x14ac:dyDescent="0.25">
      <c r="A633" t="s">
        <v>771</v>
      </c>
      <c r="B633" s="46">
        <v>9550</v>
      </c>
    </row>
    <row r="634" spans="1:2" x14ac:dyDescent="0.25">
      <c r="A634" t="s">
        <v>772</v>
      </c>
      <c r="B634" s="46">
        <v>9550</v>
      </c>
    </row>
    <row r="635" spans="1:2" x14ac:dyDescent="0.25">
      <c r="A635" t="s">
        <v>773</v>
      </c>
      <c r="B635" s="46">
        <v>9550</v>
      </c>
    </row>
    <row r="636" spans="1:2" x14ac:dyDescent="0.25">
      <c r="A636" t="s">
        <v>774</v>
      </c>
      <c r="B636" s="46">
        <v>8800</v>
      </c>
    </row>
    <row r="637" spans="1:2" x14ac:dyDescent="0.25">
      <c r="A637" t="s">
        <v>775</v>
      </c>
      <c r="B637" s="46">
        <v>8800</v>
      </c>
    </row>
    <row r="638" spans="1:2" x14ac:dyDescent="0.25">
      <c r="A638" t="s">
        <v>776</v>
      </c>
      <c r="B638" s="46">
        <v>9550</v>
      </c>
    </row>
    <row r="639" spans="1:2" x14ac:dyDescent="0.25">
      <c r="A639" t="s">
        <v>777</v>
      </c>
      <c r="B639" s="46">
        <v>8800</v>
      </c>
    </row>
    <row r="640" spans="1:2" x14ac:dyDescent="0.25">
      <c r="A640" t="s">
        <v>778</v>
      </c>
      <c r="B640" s="46">
        <v>8800</v>
      </c>
    </row>
    <row r="641" spans="1:2" x14ac:dyDescent="0.25">
      <c r="A641" t="s">
        <v>779</v>
      </c>
      <c r="B641" s="46">
        <v>9550</v>
      </c>
    </row>
    <row r="642" spans="1:2" x14ac:dyDescent="0.25">
      <c r="A642" t="s">
        <v>780</v>
      </c>
      <c r="B642" s="46">
        <v>8800</v>
      </c>
    </row>
    <row r="643" spans="1:2" x14ac:dyDescent="0.25">
      <c r="A643" t="s">
        <v>781</v>
      </c>
      <c r="B643" s="46">
        <v>9550</v>
      </c>
    </row>
    <row r="644" spans="1:2" x14ac:dyDescent="0.25">
      <c r="A644" t="s">
        <v>782</v>
      </c>
      <c r="B644" s="46">
        <v>8800</v>
      </c>
    </row>
    <row r="645" spans="1:2" x14ac:dyDescent="0.25">
      <c r="A645" t="s">
        <v>783</v>
      </c>
      <c r="B645" s="46">
        <v>8800</v>
      </c>
    </row>
    <row r="646" spans="1:2" x14ac:dyDescent="0.25">
      <c r="A646" t="s">
        <v>784</v>
      </c>
      <c r="B646" s="46">
        <v>8800</v>
      </c>
    </row>
    <row r="647" spans="1:2" x14ac:dyDescent="0.25">
      <c r="A647" t="s">
        <v>785</v>
      </c>
      <c r="B647" s="46">
        <v>12475</v>
      </c>
    </row>
    <row r="648" spans="1:2" x14ac:dyDescent="0.25">
      <c r="A648" t="s">
        <v>786</v>
      </c>
      <c r="B648" s="46">
        <v>8800</v>
      </c>
    </row>
    <row r="649" spans="1:2" x14ac:dyDescent="0.25">
      <c r="A649" t="s">
        <v>787</v>
      </c>
      <c r="B649" s="46">
        <v>8800</v>
      </c>
    </row>
    <row r="650" spans="1:2" x14ac:dyDescent="0.25">
      <c r="A650" t="s">
        <v>788</v>
      </c>
      <c r="B650" s="46">
        <v>8800</v>
      </c>
    </row>
    <row r="651" spans="1:2" x14ac:dyDescent="0.25">
      <c r="A651" t="s">
        <v>789</v>
      </c>
      <c r="B651" s="46">
        <v>9550</v>
      </c>
    </row>
    <row r="652" spans="1:2" x14ac:dyDescent="0.25">
      <c r="A652" t="s">
        <v>790</v>
      </c>
      <c r="B652" s="46">
        <v>21208</v>
      </c>
    </row>
    <row r="653" spans="1:2" x14ac:dyDescent="0.25">
      <c r="A653" t="s">
        <v>791</v>
      </c>
      <c r="B653" s="46">
        <v>14960</v>
      </c>
    </row>
    <row r="654" spans="1:2" x14ac:dyDescent="0.25">
      <c r="A654" t="s">
        <v>792</v>
      </c>
      <c r="B654" s="46">
        <v>14960</v>
      </c>
    </row>
    <row r="655" spans="1:2" x14ac:dyDescent="0.25">
      <c r="A655" t="s">
        <v>793</v>
      </c>
      <c r="B655" s="46">
        <v>23248</v>
      </c>
    </row>
    <row r="656" spans="1:2" x14ac:dyDescent="0.25">
      <c r="A656" t="s">
        <v>794</v>
      </c>
      <c r="B656" s="46">
        <v>23248</v>
      </c>
    </row>
    <row r="657" spans="1:2" x14ac:dyDescent="0.25">
      <c r="A657" t="s">
        <v>795</v>
      </c>
      <c r="B657" s="46">
        <v>14960</v>
      </c>
    </row>
    <row r="658" spans="1:2" x14ac:dyDescent="0.25">
      <c r="A658" t="s">
        <v>796</v>
      </c>
      <c r="B658" s="46">
        <v>14960</v>
      </c>
    </row>
    <row r="659" spans="1:2" x14ac:dyDescent="0.25">
      <c r="A659" t="s">
        <v>797</v>
      </c>
      <c r="B659" s="46">
        <v>14960</v>
      </c>
    </row>
    <row r="660" spans="1:2" x14ac:dyDescent="0.25">
      <c r="A660" t="s">
        <v>798</v>
      </c>
      <c r="B660" s="46">
        <v>8800</v>
      </c>
    </row>
    <row r="661" spans="1:2" x14ac:dyDescent="0.25">
      <c r="A661" t="s">
        <v>799</v>
      </c>
      <c r="B661" s="46">
        <v>8800</v>
      </c>
    </row>
    <row r="662" spans="1:2" x14ac:dyDescent="0.25">
      <c r="A662" t="s">
        <v>800</v>
      </c>
      <c r="B662" s="46">
        <v>9550</v>
      </c>
    </row>
    <row r="663" spans="1:2" x14ac:dyDescent="0.25">
      <c r="A663" t="s">
        <v>801</v>
      </c>
      <c r="B663" s="46">
        <v>8800</v>
      </c>
    </row>
    <row r="664" spans="1:2" x14ac:dyDescent="0.25">
      <c r="A664" t="s">
        <v>802</v>
      </c>
      <c r="B664" s="46">
        <v>14960</v>
      </c>
    </row>
    <row r="665" spans="1:2" x14ac:dyDescent="0.25">
      <c r="A665" t="s">
        <v>803</v>
      </c>
      <c r="B665" s="46">
        <v>14960</v>
      </c>
    </row>
    <row r="666" spans="1:2" x14ac:dyDescent="0.25">
      <c r="A666" t="s">
        <v>804</v>
      </c>
      <c r="B666" s="46">
        <v>14960</v>
      </c>
    </row>
    <row r="667" spans="1:2" x14ac:dyDescent="0.25">
      <c r="A667" t="s">
        <v>805</v>
      </c>
      <c r="B667" s="46">
        <v>16235</v>
      </c>
    </row>
    <row r="668" spans="1:2" x14ac:dyDescent="0.25">
      <c r="A668" t="s">
        <v>806</v>
      </c>
      <c r="B668" s="46">
        <v>16235</v>
      </c>
    </row>
    <row r="669" spans="1:2" x14ac:dyDescent="0.25">
      <c r="A669" t="s">
        <v>807</v>
      </c>
      <c r="B669" s="46">
        <v>14960</v>
      </c>
    </row>
    <row r="670" spans="1:2" x14ac:dyDescent="0.25">
      <c r="A670" t="s">
        <v>808</v>
      </c>
      <c r="B670" s="46">
        <v>14960</v>
      </c>
    </row>
    <row r="671" spans="1:2" x14ac:dyDescent="0.25">
      <c r="A671" t="s">
        <v>809</v>
      </c>
      <c r="B671" s="46">
        <v>14960</v>
      </c>
    </row>
    <row r="672" spans="1:2" x14ac:dyDescent="0.25">
      <c r="A672" t="s">
        <v>810</v>
      </c>
      <c r="B672" s="46">
        <v>9550</v>
      </c>
    </row>
    <row r="673" spans="1:2" x14ac:dyDescent="0.25">
      <c r="A673" t="s">
        <v>811</v>
      </c>
      <c r="B673" s="46">
        <v>14960</v>
      </c>
    </row>
    <row r="674" spans="1:2" x14ac:dyDescent="0.25">
      <c r="A674" t="s">
        <v>812</v>
      </c>
      <c r="B674" s="46">
        <v>8800</v>
      </c>
    </row>
    <row r="675" spans="1:2" x14ac:dyDescent="0.25">
      <c r="A675" t="s">
        <v>813</v>
      </c>
      <c r="B675" s="46">
        <v>14960</v>
      </c>
    </row>
    <row r="676" spans="1:2" x14ac:dyDescent="0.25">
      <c r="A676" t="s">
        <v>814</v>
      </c>
      <c r="B676" s="46">
        <v>14960</v>
      </c>
    </row>
    <row r="677" spans="1:2" x14ac:dyDescent="0.25">
      <c r="A677" t="s">
        <v>815</v>
      </c>
      <c r="B677" s="46">
        <v>8800</v>
      </c>
    </row>
    <row r="678" spans="1:2" x14ac:dyDescent="0.25">
      <c r="A678" t="s">
        <v>816</v>
      </c>
      <c r="B678" s="46">
        <v>8800</v>
      </c>
    </row>
    <row r="679" spans="1:2" x14ac:dyDescent="0.25">
      <c r="A679" t="s">
        <v>817</v>
      </c>
      <c r="B679" s="46">
        <v>14960</v>
      </c>
    </row>
    <row r="680" spans="1:2" x14ac:dyDescent="0.25">
      <c r="A680" t="s">
        <v>818</v>
      </c>
      <c r="B680" s="46">
        <v>14960</v>
      </c>
    </row>
    <row r="681" spans="1:2" x14ac:dyDescent="0.25">
      <c r="A681" t="s">
        <v>819</v>
      </c>
      <c r="B681" s="46">
        <v>8800</v>
      </c>
    </row>
    <row r="682" spans="1:2" x14ac:dyDescent="0.25">
      <c r="A682" t="s">
        <v>820</v>
      </c>
      <c r="B682" s="46">
        <v>9550</v>
      </c>
    </row>
    <row r="683" spans="1:2" x14ac:dyDescent="0.25">
      <c r="A683" t="s">
        <v>821</v>
      </c>
      <c r="B683" s="46">
        <v>14960</v>
      </c>
    </row>
    <row r="684" spans="1:2" x14ac:dyDescent="0.25">
      <c r="A684" t="s">
        <v>822</v>
      </c>
      <c r="B684" s="46">
        <v>8800</v>
      </c>
    </row>
    <row r="685" spans="1:2" x14ac:dyDescent="0.25">
      <c r="A685" t="s">
        <v>823</v>
      </c>
      <c r="B685" s="46">
        <v>8800</v>
      </c>
    </row>
    <row r="686" spans="1:2" x14ac:dyDescent="0.25">
      <c r="A686" t="s">
        <v>824</v>
      </c>
      <c r="B686" s="46">
        <v>13675</v>
      </c>
    </row>
    <row r="687" spans="1:2" x14ac:dyDescent="0.25">
      <c r="A687" t="s">
        <v>825</v>
      </c>
      <c r="B687" s="46">
        <v>14960</v>
      </c>
    </row>
    <row r="688" spans="1:2" x14ac:dyDescent="0.25">
      <c r="A688" t="s">
        <v>826</v>
      </c>
      <c r="B688" s="46">
        <v>14960</v>
      </c>
    </row>
    <row r="689" spans="1:2" x14ac:dyDescent="0.25">
      <c r="A689" t="s">
        <v>827</v>
      </c>
      <c r="B689" s="46">
        <v>8800</v>
      </c>
    </row>
    <row r="690" spans="1:2" x14ac:dyDescent="0.25">
      <c r="A690" t="s">
        <v>828</v>
      </c>
      <c r="B690" s="46">
        <v>8800</v>
      </c>
    </row>
    <row r="691" spans="1:2" x14ac:dyDescent="0.25">
      <c r="A691" t="s">
        <v>829</v>
      </c>
      <c r="B691" s="46">
        <v>8800</v>
      </c>
    </row>
    <row r="692" spans="1:2" x14ac:dyDescent="0.25">
      <c r="A692" t="s">
        <v>830</v>
      </c>
      <c r="B692" s="46">
        <v>14960</v>
      </c>
    </row>
    <row r="693" spans="1:2" x14ac:dyDescent="0.25">
      <c r="A693" t="s">
        <v>831</v>
      </c>
      <c r="B693" s="46">
        <v>14960</v>
      </c>
    </row>
    <row r="694" spans="1:2" x14ac:dyDescent="0.25">
      <c r="A694" t="s">
        <v>832</v>
      </c>
      <c r="B694" s="46">
        <v>14960</v>
      </c>
    </row>
    <row r="695" spans="1:2" x14ac:dyDescent="0.25">
      <c r="A695" t="s">
        <v>833</v>
      </c>
      <c r="B695" s="46">
        <v>8800</v>
      </c>
    </row>
    <row r="696" spans="1:2" x14ac:dyDescent="0.25">
      <c r="A696" t="s">
        <v>834</v>
      </c>
      <c r="B696" s="46">
        <v>14960</v>
      </c>
    </row>
    <row r="697" spans="1:2" x14ac:dyDescent="0.25">
      <c r="A697" t="s">
        <v>835</v>
      </c>
      <c r="B697" s="46">
        <v>14960</v>
      </c>
    </row>
    <row r="698" spans="1:2" x14ac:dyDescent="0.25">
      <c r="A698" t="s">
        <v>836</v>
      </c>
      <c r="B698" s="46">
        <v>14960</v>
      </c>
    </row>
    <row r="699" spans="1:2" x14ac:dyDescent="0.25">
      <c r="A699" t="s">
        <v>837</v>
      </c>
      <c r="B699" s="46">
        <v>14960</v>
      </c>
    </row>
    <row r="700" spans="1:2" x14ac:dyDescent="0.25">
      <c r="A700" t="s">
        <v>838</v>
      </c>
      <c r="B700" s="46">
        <v>14960</v>
      </c>
    </row>
    <row r="701" spans="1:2" x14ac:dyDescent="0.25">
      <c r="A701" t="s">
        <v>839</v>
      </c>
      <c r="B701" s="46">
        <v>14960</v>
      </c>
    </row>
    <row r="702" spans="1:2" x14ac:dyDescent="0.25">
      <c r="A702" t="s">
        <v>840</v>
      </c>
      <c r="B702" s="46">
        <v>12475</v>
      </c>
    </row>
    <row r="703" spans="1:2" x14ac:dyDescent="0.25">
      <c r="A703" t="s">
        <v>841</v>
      </c>
      <c r="B703" s="46">
        <v>8800</v>
      </c>
    </row>
    <row r="704" spans="1:2" x14ac:dyDescent="0.25">
      <c r="A704" t="s">
        <v>842</v>
      </c>
      <c r="B704" s="46">
        <v>8800</v>
      </c>
    </row>
    <row r="705" spans="1:2" x14ac:dyDescent="0.25">
      <c r="A705" t="s">
        <v>843</v>
      </c>
      <c r="B705" s="46">
        <v>9550</v>
      </c>
    </row>
    <row r="706" spans="1:2" x14ac:dyDescent="0.25">
      <c r="A706" t="s">
        <v>844</v>
      </c>
      <c r="B706" s="46">
        <v>9550</v>
      </c>
    </row>
    <row r="707" spans="1:2" x14ac:dyDescent="0.25">
      <c r="A707" t="s">
        <v>845</v>
      </c>
      <c r="B707" s="46">
        <v>21208</v>
      </c>
    </row>
    <row r="708" spans="1:2" x14ac:dyDescent="0.25">
      <c r="A708" t="s">
        <v>846</v>
      </c>
      <c r="B708" s="46">
        <v>21208</v>
      </c>
    </row>
    <row r="709" spans="1:2" x14ac:dyDescent="0.25">
      <c r="A709" t="s">
        <v>847</v>
      </c>
      <c r="B709" s="46">
        <v>14960</v>
      </c>
    </row>
    <row r="710" spans="1:2" x14ac:dyDescent="0.25">
      <c r="A710" t="s">
        <v>848</v>
      </c>
      <c r="B710" s="46">
        <v>21208</v>
      </c>
    </row>
    <row r="711" spans="1:2" x14ac:dyDescent="0.25">
      <c r="A711" t="s">
        <v>849</v>
      </c>
      <c r="B711" s="46">
        <v>21208</v>
      </c>
    </row>
    <row r="712" spans="1:2" x14ac:dyDescent="0.25">
      <c r="A712" t="s">
        <v>850</v>
      </c>
      <c r="B712" s="46">
        <v>14960</v>
      </c>
    </row>
    <row r="713" spans="1:2" x14ac:dyDescent="0.25">
      <c r="A713" t="s">
        <v>851</v>
      </c>
      <c r="B713" s="46">
        <v>14960</v>
      </c>
    </row>
    <row r="714" spans="1:2" x14ac:dyDescent="0.25">
      <c r="A714" t="s">
        <v>852</v>
      </c>
      <c r="B714" s="46">
        <v>14960</v>
      </c>
    </row>
    <row r="715" spans="1:2" x14ac:dyDescent="0.25">
      <c r="A715" t="s">
        <v>853</v>
      </c>
      <c r="B715" s="46">
        <v>14960</v>
      </c>
    </row>
    <row r="716" spans="1:2" x14ac:dyDescent="0.25">
      <c r="A716" t="s">
        <v>854</v>
      </c>
      <c r="B716" s="46">
        <v>14960</v>
      </c>
    </row>
    <row r="717" spans="1:2" x14ac:dyDescent="0.25">
      <c r="A717" t="s">
        <v>855</v>
      </c>
      <c r="B717" s="46">
        <v>14960</v>
      </c>
    </row>
    <row r="718" spans="1:2" x14ac:dyDescent="0.25">
      <c r="A718" t="s">
        <v>856</v>
      </c>
      <c r="B718" s="46">
        <v>23248</v>
      </c>
    </row>
    <row r="719" spans="1:2" x14ac:dyDescent="0.25">
      <c r="A719" t="s">
        <v>857</v>
      </c>
      <c r="B719" s="46">
        <v>14960</v>
      </c>
    </row>
    <row r="720" spans="1:2" x14ac:dyDescent="0.25">
      <c r="A720" t="s">
        <v>858</v>
      </c>
      <c r="B720" s="46">
        <v>14960</v>
      </c>
    </row>
    <row r="721" spans="1:2" x14ac:dyDescent="0.25">
      <c r="A721" t="s">
        <v>859</v>
      </c>
      <c r="B721" s="46">
        <v>8800</v>
      </c>
    </row>
    <row r="722" spans="1:2" x14ac:dyDescent="0.25">
      <c r="A722" t="s">
        <v>860</v>
      </c>
      <c r="B722" s="46">
        <v>14960</v>
      </c>
    </row>
    <row r="723" spans="1:2" x14ac:dyDescent="0.25">
      <c r="A723" t="s">
        <v>861</v>
      </c>
      <c r="B723" s="46">
        <v>14960</v>
      </c>
    </row>
    <row r="724" spans="1:2" x14ac:dyDescent="0.25">
      <c r="A724" t="s">
        <v>862</v>
      </c>
      <c r="B724" s="46">
        <v>9550</v>
      </c>
    </row>
    <row r="725" spans="1:2" x14ac:dyDescent="0.25">
      <c r="A725" t="s">
        <v>863</v>
      </c>
      <c r="B725" s="46">
        <v>12475</v>
      </c>
    </row>
    <row r="726" spans="1:2" x14ac:dyDescent="0.25">
      <c r="A726" t="s">
        <v>864</v>
      </c>
      <c r="B726" s="46">
        <v>12475</v>
      </c>
    </row>
    <row r="727" spans="1:2" x14ac:dyDescent="0.25">
      <c r="A727" t="s">
        <v>865</v>
      </c>
      <c r="B727" s="46">
        <v>8800</v>
      </c>
    </row>
    <row r="728" spans="1:2" x14ac:dyDescent="0.25">
      <c r="A728" t="s">
        <v>866</v>
      </c>
      <c r="B728" s="46">
        <v>8800</v>
      </c>
    </row>
    <row r="729" spans="1:2" x14ac:dyDescent="0.25">
      <c r="A729" t="s">
        <v>867</v>
      </c>
      <c r="B729" s="46">
        <v>8800</v>
      </c>
    </row>
    <row r="730" spans="1:2" x14ac:dyDescent="0.25">
      <c r="A730" t="s">
        <v>868</v>
      </c>
      <c r="B730" s="46">
        <v>9550</v>
      </c>
    </row>
    <row r="731" spans="1:2" x14ac:dyDescent="0.25">
      <c r="A731" t="s">
        <v>869</v>
      </c>
      <c r="B731" s="46">
        <v>8800</v>
      </c>
    </row>
    <row r="732" spans="1:2" x14ac:dyDescent="0.25">
      <c r="A732" t="s">
        <v>870</v>
      </c>
      <c r="B732" s="46">
        <v>9550</v>
      </c>
    </row>
    <row r="733" spans="1:2" x14ac:dyDescent="0.25">
      <c r="A733" t="s">
        <v>871</v>
      </c>
      <c r="B733" s="46">
        <v>16235</v>
      </c>
    </row>
    <row r="734" spans="1:2" x14ac:dyDescent="0.25">
      <c r="A734" t="s">
        <v>872</v>
      </c>
      <c r="B734" s="46">
        <v>9550</v>
      </c>
    </row>
    <row r="735" spans="1:2" x14ac:dyDescent="0.25">
      <c r="A735" t="s">
        <v>873</v>
      </c>
      <c r="B735" s="46">
        <v>14960</v>
      </c>
    </row>
    <row r="736" spans="1:2" x14ac:dyDescent="0.25">
      <c r="A736" t="s">
        <v>874</v>
      </c>
      <c r="B736" s="46">
        <v>14960</v>
      </c>
    </row>
    <row r="737" spans="1:2" x14ac:dyDescent="0.25">
      <c r="A737" t="s">
        <v>875</v>
      </c>
      <c r="B737" s="46">
        <v>8800</v>
      </c>
    </row>
    <row r="738" spans="1:2" x14ac:dyDescent="0.25">
      <c r="A738" t="s">
        <v>876</v>
      </c>
      <c r="B738" s="46">
        <v>21208</v>
      </c>
    </row>
    <row r="739" spans="1:2" x14ac:dyDescent="0.25">
      <c r="A739" t="s">
        <v>877</v>
      </c>
      <c r="B739" s="46">
        <v>21208</v>
      </c>
    </row>
    <row r="740" spans="1:2" x14ac:dyDescent="0.25">
      <c r="A740" t="s">
        <v>878</v>
      </c>
      <c r="B740" s="46">
        <v>13675</v>
      </c>
    </row>
    <row r="741" spans="1:2" x14ac:dyDescent="0.25">
      <c r="A741" t="s">
        <v>879</v>
      </c>
      <c r="B741" s="46">
        <v>14960</v>
      </c>
    </row>
    <row r="742" spans="1:2" x14ac:dyDescent="0.25">
      <c r="A742" t="s">
        <v>880</v>
      </c>
      <c r="B742" s="46">
        <v>14960</v>
      </c>
    </row>
    <row r="743" spans="1:2" x14ac:dyDescent="0.25">
      <c r="A743" t="s">
        <v>881</v>
      </c>
      <c r="B743" s="46">
        <v>14960</v>
      </c>
    </row>
    <row r="744" spans="1:2" x14ac:dyDescent="0.25">
      <c r="A744" t="s">
        <v>882</v>
      </c>
      <c r="B744" s="46">
        <v>14960</v>
      </c>
    </row>
    <row r="745" spans="1:2" x14ac:dyDescent="0.25">
      <c r="A745" t="s">
        <v>883</v>
      </c>
      <c r="B745" s="46">
        <v>14960</v>
      </c>
    </row>
    <row r="746" spans="1:2" x14ac:dyDescent="0.25">
      <c r="A746" t="s">
        <v>884</v>
      </c>
      <c r="B746" s="46">
        <v>14960</v>
      </c>
    </row>
    <row r="747" spans="1:2" x14ac:dyDescent="0.25">
      <c r="A747" t="s">
        <v>885</v>
      </c>
      <c r="B747" s="46">
        <v>14960</v>
      </c>
    </row>
    <row r="748" spans="1:2" x14ac:dyDescent="0.25">
      <c r="A748" t="s">
        <v>886</v>
      </c>
      <c r="B748" s="46">
        <v>14960</v>
      </c>
    </row>
    <row r="749" spans="1:2" x14ac:dyDescent="0.25">
      <c r="A749" t="s">
        <v>887</v>
      </c>
      <c r="B749" s="46">
        <v>14960</v>
      </c>
    </row>
    <row r="750" spans="1:2" x14ac:dyDescent="0.25">
      <c r="A750" t="s">
        <v>888</v>
      </c>
      <c r="B750" s="46">
        <v>8800</v>
      </c>
    </row>
    <row r="751" spans="1:2" x14ac:dyDescent="0.25">
      <c r="A751" t="s">
        <v>889</v>
      </c>
      <c r="B751" s="46">
        <v>13675</v>
      </c>
    </row>
    <row r="752" spans="1:2" x14ac:dyDescent="0.25">
      <c r="A752" t="s">
        <v>890</v>
      </c>
      <c r="B752" s="46">
        <v>16235</v>
      </c>
    </row>
    <row r="753" spans="1:2" x14ac:dyDescent="0.25">
      <c r="A753" t="s">
        <v>891</v>
      </c>
      <c r="B753" s="46">
        <v>21208</v>
      </c>
    </row>
    <row r="754" spans="1:2" x14ac:dyDescent="0.25">
      <c r="A754" t="s">
        <v>892</v>
      </c>
      <c r="B754" s="46">
        <v>21208</v>
      </c>
    </row>
    <row r="755" spans="1:2" x14ac:dyDescent="0.25">
      <c r="A755" t="s">
        <v>893</v>
      </c>
      <c r="B755" s="46">
        <v>14960</v>
      </c>
    </row>
    <row r="756" spans="1:2" x14ac:dyDescent="0.25">
      <c r="A756" t="s">
        <v>894</v>
      </c>
      <c r="B756" s="46">
        <v>16235</v>
      </c>
    </row>
    <row r="757" spans="1:2" x14ac:dyDescent="0.25">
      <c r="A757" t="s">
        <v>895</v>
      </c>
      <c r="B757" s="46">
        <v>14960</v>
      </c>
    </row>
    <row r="758" spans="1:2" x14ac:dyDescent="0.25">
      <c r="A758" t="s">
        <v>896</v>
      </c>
      <c r="B758" s="46">
        <v>8800</v>
      </c>
    </row>
    <row r="759" spans="1:2" x14ac:dyDescent="0.25">
      <c r="A759" t="s">
        <v>897</v>
      </c>
      <c r="B759" s="46">
        <v>16235</v>
      </c>
    </row>
    <row r="760" spans="1:2" x14ac:dyDescent="0.25">
      <c r="A760" t="s">
        <v>898</v>
      </c>
      <c r="B760" s="46">
        <v>8800</v>
      </c>
    </row>
    <row r="761" spans="1:2" x14ac:dyDescent="0.25">
      <c r="A761" t="s">
        <v>899</v>
      </c>
      <c r="B761" s="46">
        <v>16235</v>
      </c>
    </row>
    <row r="762" spans="1:2" x14ac:dyDescent="0.25">
      <c r="A762" t="s">
        <v>900</v>
      </c>
      <c r="B762" s="46">
        <v>8800</v>
      </c>
    </row>
    <row r="763" spans="1:2" x14ac:dyDescent="0.25">
      <c r="A763" t="s">
        <v>901</v>
      </c>
      <c r="B763" s="46">
        <v>8800</v>
      </c>
    </row>
    <row r="764" spans="1:2" x14ac:dyDescent="0.25">
      <c r="A764" t="s">
        <v>902</v>
      </c>
      <c r="B764" s="46">
        <v>12475</v>
      </c>
    </row>
    <row r="765" spans="1:2" x14ac:dyDescent="0.25">
      <c r="A765" t="s">
        <v>903</v>
      </c>
      <c r="B765" s="46">
        <v>8800</v>
      </c>
    </row>
    <row r="766" spans="1:2" x14ac:dyDescent="0.25">
      <c r="A766" t="s">
        <v>904</v>
      </c>
      <c r="B766" s="46">
        <v>23248</v>
      </c>
    </row>
    <row r="767" spans="1:2" x14ac:dyDescent="0.25">
      <c r="A767" t="s">
        <v>905</v>
      </c>
      <c r="B767" s="46">
        <v>23248</v>
      </c>
    </row>
    <row r="768" spans="1:2" x14ac:dyDescent="0.25">
      <c r="A768" t="s">
        <v>906</v>
      </c>
      <c r="B768" s="46">
        <v>8800</v>
      </c>
    </row>
    <row r="769" spans="1:2" x14ac:dyDescent="0.25">
      <c r="A769" t="s">
        <v>907</v>
      </c>
      <c r="B769" s="46">
        <v>8800</v>
      </c>
    </row>
    <row r="770" spans="1:2" x14ac:dyDescent="0.25">
      <c r="A770" t="s">
        <v>908</v>
      </c>
      <c r="B770" s="46">
        <v>14960</v>
      </c>
    </row>
    <row r="771" spans="1:2" x14ac:dyDescent="0.25">
      <c r="A771" t="s">
        <v>909</v>
      </c>
      <c r="B771" s="46">
        <v>14960</v>
      </c>
    </row>
    <row r="772" spans="1:2" x14ac:dyDescent="0.25">
      <c r="A772" t="s">
        <v>910</v>
      </c>
      <c r="B772" s="46">
        <v>23248</v>
      </c>
    </row>
    <row r="773" spans="1:2" x14ac:dyDescent="0.25">
      <c r="A773" t="s">
        <v>911</v>
      </c>
      <c r="B773" s="46">
        <v>23248</v>
      </c>
    </row>
    <row r="774" spans="1:2" x14ac:dyDescent="0.25">
      <c r="A774" t="s">
        <v>912</v>
      </c>
      <c r="B774" s="46">
        <v>9550</v>
      </c>
    </row>
    <row r="775" spans="1:2" x14ac:dyDescent="0.25">
      <c r="A775" t="s">
        <v>913</v>
      </c>
      <c r="B775" s="46">
        <v>16235</v>
      </c>
    </row>
    <row r="776" spans="1:2" x14ac:dyDescent="0.25">
      <c r="A776" t="s">
        <v>914</v>
      </c>
      <c r="B776" s="46">
        <v>8800</v>
      </c>
    </row>
    <row r="777" spans="1:2" x14ac:dyDescent="0.25">
      <c r="A777" t="s">
        <v>915</v>
      </c>
      <c r="B777" s="46">
        <v>8800</v>
      </c>
    </row>
    <row r="778" spans="1:2" x14ac:dyDescent="0.25">
      <c r="A778" t="s">
        <v>916</v>
      </c>
      <c r="B778" s="46">
        <v>14960</v>
      </c>
    </row>
    <row r="779" spans="1:2" x14ac:dyDescent="0.25">
      <c r="A779" t="s">
        <v>917</v>
      </c>
      <c r="B779" s="46">
        <v>14960</v>
      </c>
    </row>
    <row r="780" spans="1:2" x14ac:dyDescent="0.25">
      <c r="A780" t="s">
        <v>918</v>
      </c>
      <c r="B780" s="46">
        <v>14960</v>
      </c>
    </row>
    <row r="781" spans="1:2" x14ac:dyDescent="0.25">
      <c r="A781" t="s">
        <v>919</v>
      </c>
      <c r="B781" s="46">
        <v>14960</v>
      </c>
    </row>
    <row r="782" spans="1:2" x14ac:dyDescent="0.25">
      <c r="A782" t="s">
        <v>920</v>
      </c>
      <c r="B782" s="46">
        <v>8800</v>
      </c>
    </row>
    <row r="783" spans="1:2" x14ac:dyDescent="0.25">
      <c r="A783" t="s">
        <v>921</v>
      </c>
      <c r="B783" s="46">
        <v>8800</v>
      </c>
    </row>
    <row r="784" spans="1:2" x14ac:dyDescent="0.25">
      <c r="A784" t="s">
        <v>922</v>
      </c>
      <c r="B784" s="46">
        <v>8800</v>
      </c>
    </row>
    <row r="785" spans="1:2" x14ac:dyDescent="0.25">
      <c r="A785" t="s">
        <v>923</v>
      </c>
      <c r="B785" s="46">
        <v>8800</v>
      </c>
    </row>
    <row r="786" spans="1:2" x14ac:dyDescent="0.25">
      <c r="A786" t="s">
        <v>924</v>
      </c>
      <c r="B786" s="46">
        <v>14960</v>
      </c>
    </row>
    <row r="787" spans="1:2" x14ac:dyDescent="0.25">
      <c r="A787" t="s">
        <v>925</v>
      </c>
      <c r="B787" s="46">
        <v>14960</v>
      </c>
    </row>
    <row r="788" spans="1:2" x14ac:dyDescent="0.25">
      <c r="A788" t="s">
        <v>926</v>
      </c>
      <c r="B788" s="46">
        <v>8800</v>
      </c>
    </row>
    <row r="789" spans="1:2" x14ac:dyDescent="0.25">
      <c r="A789" t="s">
        <v>927</v>
      </c>
      <c r="B789" s="46">
        <v>8800</v>
      </c>
    </row>
    <row r="790" spans="1:2" x14ac:dyDescent="0.25">
      <c r="A790" t="s">
        <v>928</v>
      </c>
      <c r="B790" s="46">
        <v>16235</v>
      </c>
    </row>
    <row r="791" spans="1:2" x14ac:dyDescent="0.25">
      <c r="A791" t="s">
        <v>929</v>
      </c>
      <c r="B791" s="46">
        <v>16235</v>
      </c>
    </row>
    <row r="792" spans="1:2" x14ac:dyDescent="0.25">
      <c r="A792" t="s">
        <v>930</v>
      </c>
      <c r="B792" s="46">
        <v>14960</v>
      </c>
    </row>
    <row r="793" spans="1:2" x14ac:dyDescent="0.25">
      <c r="A793" t="s">
        <v>931</v>
      </c>
      <c r="B793" s="46">
        <v>23248</v>
      </c>
    </row>
    <row r="794" spans="1:2" x14ac:dyDescent="0.25">
      <c r="A794" t="s">
        <v>932</v>
      </c>
      <c r="B794" s="46">
        <v>14960</v>
      </c>
    </row>
    <row r="795" spans="1:2" x14ac:dyDescent="0.25">
      <c r="A795" t="s">
        <v>933</v>
      </c>
      <c r="B795" s="46">
        <v>14960</v>
      </c>
    </row>
    <row r="796" spans="1:2" x14ac:dyDescent="0.25">
      <c r="A796" t="s">
        <v>934</v>
      </c>
      <c r="B796" s="46">
        <v>14960</v>
      </c>
    </row>
    <row r="797" spans="1:2" x14ac:dyDescent="0.25">
      <c r="A797" t="s">
        <v>935</v>
      </c>
      <c r="B797" s="46">
        <v>14960</v>
      </c>
    </row>
    <row r="798" spans="1:2" x14ac:dyDescent="0.25">
      <c r="A798" t="s">
        <v>936</v>
      </c>
      <c r="B798" s="46">
        <v>14960</v>
      </c>
    </row>
    <row r="799" spans="1:2" x14ac:dyDescent="0.25">
      <c r="A799" t="s">
        <v>937</v>
      </c>
      <c r="B799" s="46">
        <v>14960</v>
      </c>
    </row>
    <row r="800" spans="1:2" x14ac:dyDescent="0.25">
      <c r="A800" t="s">
        <v>938</v>
      </c>
      <c r="B800" s="46">
        <v>14960</v>
      </c>
    </row>
    <row r="801" spans="1:2" x14ac:dyDescent="0.25">
      <c r="A801" t="s">
        <v>939</v>
      </c>
      <c r="B801" s="46">
        <v>14960</v>
      </c>
    </row>
    <row r="802" spans="1:2" x14ac:dyDescent="0.25">
      <c r="A802" t="s">
        <v>940</v>
      </c>
      <c r="B802" s="46">
        <v>14960</v>
      </c>
    </row>
    <row r="803" spans="1:2" x14ac:dyDescent="0.25">
      <c r="A803" t="s">
        <v>941</v>
      </c>
      <c r="B803" s="46">
        <v>14960</v>
      </c>
    </row>
    <row r="804" spans="1:2" x14ac:dyDescent="0.25">
      <c r="A804" t="s">
        <v>942</v>
      </c>
      <c r="B804" s="46">
        <v>12475</v>
      </c>
    </row>
    <row r="805" spans="1:2" x14ac:dyDescent="0.25">
      <c r="A805" t="s">
        <v>943</v>
      </c>
      <c r="B805" s="46">
        <v>14960</v>
      </c>
    </row>
    <row r="806" spans="1:2" x14ac:dyDescent="0.25">
      <c r="A806" t="s">
        <v>944</v>
      </c>
      <c r="B806" s="46">
        <v>14960</v>
      </c>
    </row>
    <row r="807" spans="1:2" x14ac:dyDescent="0.25">
      <c r="A807" t="s">
        <v>945</v>
      </c>
      <c r="B807" s="46">
        <v>14960</v>
      </c>
    </row>
    <row r="808" spans="1:2" x14ac:dyDescent="0.25">
      <c r="A808" t="s">
        <v>946</v>
      </c>
      <c r="B808" s="46">
        <v>14960</v>
      </c>
    </row>
    <row r="809" spans="1:2" x14ac:dyDescent="0.25">
      <c r="A809" t="s">
        <v>947</v>
      </c>
      <c r="B809" s="46">
        <v>14960</v>
      </c>
    </row>
    <row r="810" spans="1:2" x14ac:dyDescent="0.25">
      <c r="A810" t="s">
        <v>948</v>
      </c>
      <c r="B810" s="46">
        <v>8800</v>
      </c>
    </row>
    <row r="811" spans="1:2" x14ac:dyDescent="0.25">
      <c r="A811" t="s">
        <v>949</v>
      </c>
      <c r="B811" s="46">
        <v>14960</v>
      </c>
    </row>
    <row r="812" spans="1:2" x14ac:dyDescent="0.25">
      <c r="A812" t="s">
        <v>950</v>
      </c>
      <c r="B812" s="46">
        <v>14960</v>
      </c>
    </row>
    <row r="813" spans="1:2" x14ac:dyDescent="0.25">
      <c r="A813" t="s">
        <v>951</v>
      </c>
      <c r="B813" s="46">
        <v>14960</v>
      </c>
    </row>
    <row r="814" spans="1:2" x14ac:dyDescent="0.25">
      <c r="A814" t="s">
        <v>952</v>
      </c>
      <c r="B814" s="46">
        <v>14960</v>
      </c>
    </row>
    <row r="815" spans="1:2" x14ac:dyDescent="0.25">
      <c r="A815" t="s">
        <v>953</v>
      </c>
      <c r="B815" s="46">
        <v>16235</v>
      </c>
    </row>
    <row r="816" spans="1:2" x14ac:dyDescent="0.25">
      <c r="A816" t="s">
        <v>954</v>
      </c>
      <c r="B816" s="46">
        <v>14960</v>
      </c>
    </row>
    <row r="817" spans="1:2" x14ac:dyDescent="0.25">
      <c r="A817" t="s">
        <v>955</v>
      </c>
      <c r="B817" s="46">
        <v>16235</v>
      </c>
    </row>
    <row r="818" spans="1:2" x14ac:dyDescent="0.25">
      <c r="A818" t="s">
        <v>956</v>
      </c>
      <c r="B818" s="46">
        <v>14960</v>
      </c>
    </row>
    <row r="819" spans="1:2" x14ac:dyDescent="0.25">
      <c r="A819" t="s">
        <v>957</v>
      </c>
      <c r="B819" s="46">
        <v>14960</v>
      </c>
    </row>
    <row r="820" spans="1:2" x14ac:dyDescent="0.25">
      <c r="A820" t="s">
        <v>958</v>
      </c>
      <c r="B820" s="46">
        <v>21208</v>
      </c>
    </row>
    <row r="821" spans="1:2" x14ac:dyDescent="0.25">
      <c r="A821" t="s">
        <v>959</v>
      </c>
      <c r="B821" s="46">
        <v>21208</v>
      </c>
    </row>
    <row r="822" spans="1:2" x14ac:dyDescent="0.25">
      <c r="A822" t="s">
        <v>960</v>
      </c>
      <c r="B822" s="46">
        <v>14960</v>
      </c>
    </row>
    <row r="823" spans="1:2" x14ac:dyDescent="0.25">
      <c r="A823" t="s">
        <v>961</v>
      </c>
      <c r="B823" s="46">
        <v>14960</v>
      </c>
    </row>
    <row r="824" spans="1:2" x14ac:dyDescent="0.25">
      <c r="A824" t="s">
        <v>962</v>
      </c>
      <c r="B824" s="46">
        <v>16235</v>
      </c>
    </row>
    <row r="825" spans="1:2" x14ac:dyDescent="0.25">
      <c r="A825" t="s">
        <v>963</v>
      </c>
      <c r="B825" s="46">
        <v>16235</v>
      </c>
    </row>
    <row r="826" spans="1:2" x14ac:dyDescent="0.25">
      <c r="A826" t="s">
        <v>964</v>
      </c>
      <c r="B826" s="46">
        <v>23248</v>
      </c>
    </row>
    <row r="827" spans="1:2" x14ac:dyDescent="0.25">
      <c r="A827" t="s">
        <v>965</v>
      </c>
      <c r="B827" s="46">
        <v>23248</v>
      </c>
    </row>
    <row r="828" spans="1:2" x14ac:dyDescent="0.25">
      <c r="A828" t="s">
        <v>966</v>
      </c>
      <c r="B828" s="46">
        <v>16235</v>
      </c>
    </row>
    <row r="829" spans="1:2" x14ac:dyDescent="0.25">
      <c r="A829" t="s">
        <v>967</v>
      </c>
      <c r="B829" s="46">
        <v>16235</v>
      </c>
    </row>
    <row r="830" spans="1:2" x14ac:dyDescent="0.25">
      <c r="A830" t="s">
        <v>968</v>
      </c>
      <c r="B830" s="46">
        <v>16235</v>
      </c>
    </row>
    <row r="831" spans="1:2" x14ac:dyDescent="0.25">
      <c r="A831" t="s">
        <v>969</v>
      </c>
      <c r="B831" s="46">
        <v>16235</v>
      </c>
    </row>
    <row r="832" spans="1:2" x14ac:dyDescent="0.25">
      <c r="A832" t="s">
        <v>970</v>
      </c>
      <c r="B832" s="46">
        <v>14960</v>
      </c>
    </row>
    <row r="833" spans="1:2" x14ac:dyDescent="0.25">
      <c r="A833" t="s">
        <v>971</v>
      </c>
      <c r="B833" s="46">
        <v>14960</v>
      </c>
    </row>
    <row r="834" spans="1:2" x14ac:dyDescent="0.25">
      <c r="A834" t="s">
        <v>972</v>
      </c>
      <c r="B834" s="46">
        <v>14960</v>
      </c>
    </row>
    <row r="835" spans="1:2" x14ac:dyDescent="0.25">
      <c r="A835" t="s">
        <v>973</v>
      </c>
      <c r="B835" s="46">
        <v>8800</v>
      </c>
    </row>
    <row r="836" spans="1:2" x14ac:dyDescent="0.25">
      <c r="A836" t="s">
        <v>974</v>
      </c>
      <c r="B836" s="46">
        <v>9550</v>
      </c>
    </row>
    <row r="837" spans="1:2" x14ac:dyDescent="0.25">
      <c r="A837" t="s">
        <v>975</v>
      </c>
      <c r="B837" s="46">
        <v>9550</v>
      </c>
    </row>
    <row r="838" spans="1:2" x14ac:dyDescent="0.25">
      <c r="A838" t="s">
        <v>976</v>
      </c>
      <c r="B838" s="46">
        <v>14960</v>
      </c>
    </row>
    <row r="839" spans="1:2" x14ac:dyDescent="0.25">
      <c r="A839" t="s">
        <v>977</v>
      </c>
      <c r="B839" s="46">
        <v>8800</v>
      </c>
    </row>
    <row r="840" spans="1:2" x14ac:dyDescent="0.25">
      <c r="A840" t="s">
        <v>978</v>
      </c>
      <c r="B840" s="46">
        <v>21208</v>
      </c>
    </row>
    <row r="841" spans="1:2" x14ac:dyDescent="0.25">
      <c r="A841" t="s">
        <v>979</v>
      </c>
      <c r="B841" s="46">
        <v>21208</v>
      </c>
    </row>
    <row r="842" spans="1:2" x14ac:dyDescent="0.25">
      <c r="A842" t="s">
        <v>980</v>
      </c>
      <c r="B842" s="46">
        <v>8800</v>
      </c>
    </row>
    <row r="843" spans="1:2" x14ac:dyDescent="0.25">
      <c r="A843" t="s">
        <v>981</v>
      </c>
      <c r="B843" s="46">
        <v>16235</v>
      </c>
    </row>
    <row r="844" spans="1:2" x14ac:dyDescent="0.25">
      <c r="A844" t="s">
        <v>982</v>
      </c>
      <c r="B844" s="46">
        <v>16235</v>
      </c>
    </row>
    <row r="845" spans="1:2" x14ac:dyDescent="0.25">
      <c r="A845" t="s">
        <v>983</v>
      </c>
      <c r="B845" s="46">
        <v>16235</v>
      </c>
    </row>
    <row r="846" spans="1:2" x14ac:dyDescent="0.25">
      <c r="A846" t="s">
        <v>984</v>
      </c>
      <c r="B846" s="46">
        <v>16235</v>
      </c>
    </row>
    <row r="847" spans="1:2" x14ac:dyDescent="0.25">
      <c r="A847" t="s">
        <v>985</v>
      </c>
      <c r="B847" s="46">
        <v>16235</v>
      </c>
    </row>
    <row r="848" spans="1:2" x14ac:dyDescent="0.25">
      <c r="A848" t="s">
        <v>986</v>
      </c>
      <c r="B848" s="46">
        <v>16235</v>
      </c>
    </row>
    <row r="849" spans="1:2" x14ac:dyDescent="0.25">
      <c r="A849" t="s">
        <v>987</v>
      </c>
      <c r="B849" s="46">
        <v>16235</v>
      </c>
    </row>
    <row r="850" spans="1:2" x14ac:dyDescent="0.25">
      <c r="A850" t="s">
        <v>988</v>
      </c>
      <c r="B850" s="46">
        <v>8800</v>
      </c>
    </row>
    <row r="851" spans="1:2" x14ac:dyDescent="0.25">
      <c r="A851" t="s">
        <v>989</v>
      </c>
      <c r="B851" s="46">
        <v>21208</v>
      </c>
    </row>
    <row r="852" spans="1:2" x14ac:dyDescent="0.25">
      <c r="A852" t="s">
        <v>990</v>
      </c>
      <c r="B852" s="46">
        <v>21208</v>
      </c>
    </row>
    <row r="853" spans="1:2" x14ac:dyDescent="0.25">
      <c r="A853" t="s">
        <v>991</v>
      </c>
      <c r="B853" s="46">
        <v>8800</v>
      </c>
    </row>
    <row r="854" spans="1:2" x14ac:dyDescent="0.25">
      <c r="A854" t="s">
        <v>992</v>
      </c>
      <c r="B854" s="46">
        <v>8800</v>
      </c>
    </row>
    <row r="855" spans="1:2" x14ac:dyDescent="0.25">
      <c r="A855" t="s">
        <v>993</v>
      </c>
      <c r="B855" s="46">
        <v>8800</v>
      </c>
    </row>
    <row r="856" spans="1:2" x14ac:dyDescent="0.25">
      <c r="A856" t="s">
        <v>994</v>
      </c>
      <c r="B856" s="46">
        <v>9550</v>
      </c>
    </row>
    <row r="857" spans="1:2" x14ac:dyDescent="0.25">
      <c r="A857" t="s">
        <v>995</v>
      </c>
      <c r="B857" s="46">
        <v>8800</v>
      </c>
    </row>
    <row r="858" spans="1:2" x14ac:dyDescent="0.25">
      <c r="A858" t="s">
        <v>996</v>
      </c>
      <c r="B858" s="46">
        <v>8800</v>
      </c>
    </row>
    <row r="859" spans="1:2" x14ac:dyDescent="0.25">
      <c r="A859" t="s">
        <v>997</v>
      </c>
      <c r="B859" s="46">
        <v>8800</v>
      </c>
    </row>
    <row r="860" spans="1:2" x14ac:dyDescent="0.25">
      <c r="A860" t="s">
        <v>998</v>
      </c>
      <c r="B860" s="46">
        <v>16235</v>
      </c>
    </row>
    <row r="861" spans="1:2" x14ac:dyDescent="0.25">
      <c r="A861" t="s">
        <v>999</v>
      </c>
      <c r="B861" s="46">
        <v>14960</v>
      </c>
    </row>
    <row r="862" spans="1:2" x14ac:dyDescent="0.25">
      <c r="A862" t="s">
        <v>1000</v>
      </c>
      <c r="B862" s="46">
        <v>14960</v>
      </c>
    </row>
    <row r="863" spans="1:2" x14ac:dyDescent="0.25">
      <c r="A863" t="s">
        <v>1001</v>
      </c>
      <c r="B863" s="46">
        <v>21208</v>
      </c>
    </row>
    <row r="864" spans="1:2" x14ac:dyDescent="0.25">
      <c r="A864" t="s">
        <v>1002</v>
      </c>
      <c r="B864" s="46">
        <v>14960</v>
      </c>
    </row>
    <row r="865" spans="1:2" x14ac:dyDescent="0.25">
      <c r="A865" t="s">
        <v>1003</v>
      </c>
      <c r="B865" s="46">
        <v>14960</v>
      </c>
    </row>
    <row r="866" spans="1:2" x14ac:dyDescent="0.25">
      <c r="A866" t="s">
        <v>1004</v>
      </c>
      <c r="B866" s="46">
        <v>13675</v>
      </c>
    </row>
    <row r="867" spans="1:2" x14ac:dyDescent="0.25">
      <c r="A867" t="s">
        <v>1005</v>
      </c>
      <c r="B867" s="46">
        <v>8800</v>
      </c>
    </row>
    <row r="868" spans="1:2" x14ac:dyDescent="0.25">
      <c r="A868" t="s">
        <v>1006</v>
      </c>
      <c r="B868" s="46">
        <v>14960</v>
      </c>
    </row>
    <row r="869" spans="1:2" x14ac:dyDescent="0.25">
      <c r="A869" t="s">
        <v>1007</v>
      </c>
      <c r="B869" s="46">
        <v>14960</v>
      </c>
    </row>
    <row r="870" spans="1:2" x14ac:dyDescent="0.25">
      <c r="A870" t="s">
        <v>1008</v>
      </c>
      <c r="B870" s="46">
        <v>14960</v>
      </c>
    </row>
    <row r="871" spans="1:2" x14ac:dyDescent="0.25">
      <c r="A871" t="s">
        <v>1009</v>
      </c>
      <c r="B871" s="46">
        <v>16235</v>
      </c>
    </row>
    <row r="872" spans="1:2" x14ac:dyDescent="0.25">
      <c r="A872" t="s">
        <v>1010</v>
      </c>
      <c r="B872" s="46">
        <v>16235</v>
      </c>
    </row>
    <row r="873" spans="1:2" x14ac:dyDescent="0.25">
      <c r="A873" t="s">
        <v>1011</v>
      </c>
      <c r="B873" s="46">
        <v>14960</v>
      </c>
    </row>
    <row r="874" spans="1:2" x14ac:dyDescent="0.25">
      <c r="A874" t="s">
        <v>1012</v>
      </c>
      <c r="B874" s="46">
        <v>23248</v>
      </c>
    </row>
    <row r="875" spans="1:2" x14ac:dyDescent="0.25">
      <c r="A875" t="s">
        <v>1013</v>
      </c>
      <c r="B875" s="46">
        <v>23248</v>
      </c>
    </row>
    <row r="876" spans="1:2" x14ac:dyDescent="0.25">
      <c r="A876" t="s">
        <v>1014</v>
      </c>
      <c r="B876" s="46">
        <v>23248</v>
      </c>
    </row>
    <row r="877" spans="1:2" x14ac:dyDescent="0.25">
      <c r="A877" t="s">
        <v>1015</v>
      </c>
      <c r="B877" s="46">
        <v>23248</v>
      </c>
    </row>
    <row r="878" spans="1:2" x14ac:dyDescent="0.25">
      <c r="A878" t="s">
        <v>1016</v>
      </c>
      <c r="B878" s="46">
        <v>14960</v>
      </c>
    </row>
    <row r="879" spans="1:2" x14ac:dyDescent="0.25">
      <c r="A879" t="s">
        <v>1017</v>
      </c>
      <c r="B879" s="46">
        <v>14960</v>
      </c>
    </row>
    <row r="880" spans="1:2" x14ac:dyDescent="0.25">
      <c r="A880" t="s">
        <v>1018</v>
      </c>
      <c r="B880" s="46">
        <v>16235</v>
      </c>
    </row>
    <row r="881" spans="1:2" x14ac:dyDescent="0.25">
      <c r="A881" t="s">
        <v>1019</v>
      </c>
      <c r="B881" s="46">
        <v>14960</v>
      </c>
    </row>
    <row r="882" spans="1:2" x14ac:dyDescent="0.25">
      <c r="A882" t="s">
        <v>1020</v>
      </c>
      <c r="B882" s="46">
        <v>14960</v>
      </c>
    </row>
    <row r="883" spans="1:2" x14ac:dyDescent="0.25">
      <c r="A883" t="s">
        <v>1021</v>
      </c>
      <c r="B883" s="46">
        <v>8800</v>
      </c>
    </row>
    <row r="884" spans="1:2" x14ac:dyDescent="0.25">
      <c r="A884" t="s">
        <v>1022</v>
      </c>
      <c r="B884" s="46">
        <v>8800</v>
      </c>
    </row>
    <row r="885" spans="1:2" x14ac:dyDescent="0.25">
      <c r="A885" t="s">
        <v>1023</v>
      </c>
      <c r="B885" s="46">
        <v>8800</v>
      </c>
    </row>
    <row r="886" spans="1:2" x14ac:dyDescent="0.25">
      <c r="A886" t="s">
        <v>1024</v>
      </c>
      <c r="B886" s="46">
        <v>8800</v>
      </c>
    </row>
    <row r="887" spans="1:2" x14ac:dyDescent="0.25">
      <c r="A887" t="s">
        <v>1025</v>
      </c>
      <c r="B887" s="46">
        <v>8800</v>
      </c>
    </row>
    <row r="888" spans="1:2" x14ac:dyDescent="0.25">
      <c r="A888" t="s">
        <v>1026</v>
      </c>
      <c r="B888" s="46">
        <v>14960</v>
      </c>
    </row>
    <row r="889" spans="1:2" x14ac:dyDescent="0.25">
      <c r="A889" t="s">
        <v>1027</v>
      </c>
      <c r="B889" s="46">
        <v>14960</v>
      </c>
    </row>
    <row r="890" spans="1:2" x14ac:dyDescent="0.25">
      <c r="A890" t="s">
        <v>1027</v>
      </c>
      <c r="B890" s="46">
        <v>8800</v>
      </c>
    </row>
    <row r="891" spans="1:2" x14ac:dyDescent="0.25">
      <c r="A891" t="s">
        <v>1028</v>
      </c>
      <c r="B891" s="46">
        <v>8800</v>
      </c>
    </row>
    <row r="892" spans="1:2" x14ac:dyDescent="0.25">
      <c r="A892" t="s">
        <v>1029</v>
      </c>
      <c r="B892" s="46">
        <v>8800</v>
      </c>
    </row>
    <row r="893" spans="1:2" x14ac:dyDescent="0.25">
      <c r="A893" t="s">
        <v>1030</v>
      </c>
      <c r="B893" s="46">
        <v>8800</v>
      </c>
    </row>
    <row r="894" spans="1:2" x14ac:dyDescent="0.25">
      <c r="A894" t="s">
        <v>1031</v>
      </c>
      <c r="B894" s="46">
        <v>8800</v>
      </c>
    </row>
    <row r="895" spans="1:2" x14ac:dyDescent="0.25">
      <c r="A895" t="s">
        <v>1032</v>
      </c>
      <c r="B895" s="46">
        <v>14960</v>
      </c>
    </row>
    <row r="896" spans="1:2" x14ac:dyDescent="0.25">
      <c r="A896" t="s">
        <v>1033</v>
      </c>
      <c r="B896" s="46">
        <v>14960</v>
      </c>
    </row>
    <row r="897" spans="1:2" x14ac:dyDescent="0.25">
      <c r="A897" t="s">
        <v>1034</v>
      </c>
      <c r="B897" s="46">
        <v>14960</v>
      </c>
    </row>
    <row r="898" spans="1:2" x14ac:dyDescent="0.25">
      <c r="A898" t="s">
        <v>1035</v>
      </c>
      <c r="B898" s="46">
        <v>14960</v>
      </c>
    </row>
    <row r="899" spans="1:2" x14ac:dyDescent="0.25">
      <c r="A899" t="s">
        <v>1036</v>
      </c>
      <c r="B899" s="46">
        <v>14960</v>
      </c>
    </row>
    <row r="900" spans="1:2" x14ac:dyDescent="0.25">
      <c r="A900" t="s">
        <v>1037</v>
      </c>
      <c r="B900" s="46">
        <v>14960</v>
      </c>
    </row>
    <row r="901" spans="1:2" x14ac:dyDescent="0.25">
      <c r="A901" t="s">
        <v>1038</v>
      </c>
      <c r="B901" s="46">
        <v>14960</v>
      </c>
    </row>
    <row r="902" spans="1:2" x14ac:dyDescent="0.25">
      <c r="A902" t="s">
        <v>1039</v>
      </c>
      <c r="B902" s="46">
        <v>23248</v>
      </c>
    </row>
    <row r="903" spans="1:2" x14ac:dyDescent="0.25">
      <c r="A903" t="s">
        <v>1040</v>
      </c>
      <c r="B903" s="46">
        <v>14960</v>
      </c>
    </row>
    <row r="904" spans="1:2" x14ac:dyDescent="0.25">
      <c r="A904" t="s">
        <v>1041</v>
      </c>
      <c r="B904" s="46">
        <v>14960</v>
      </c>
    </row>
    <row r="905" spans="1:2" x14ac:dyDescent="0.25">
      <c r="A905" t="s">
        <v>1042</v>
      </c>
      <c r="B905" s="46">
        <v>16235</v>
      </c>
    </row>
    <row r="906" spans="1:2" x14ac:dyDescent="0.25">
      <c r="A906" t="s">
        <v>1043</v>
      </c>
      <c r="B906" s="46">
        <v>23248</v>
      </c>
    </row>
    <row r="907" spans="1:2" x14ac:dyDescent="0.25">
      <c r="A907" t="s">
        <v>1044</v>
      </c>
      <c r="B907" s="46">
        <v>23248</v>
      </c>
    </row>
    <row r="908" spans="1:2" x14ac:dyDescent="0.25">
      <c r="A908" t="s">
        <v>1045</v>
      </c>
      <c r="B908" s="46">
        <v>16235</v>
      </c>
    </row>
    <row r="909" spans="1:2" x14ac:dyDescent="0.25">
      <c r="A909" t="s">
        <v>1046</v>
      </c>
      <c r="B909" s="46">
        <v>16235</v>
      </c>
    </row>
    <row r="910" spans="1:2" x14ac:dyDescent="0.25">
      <c r="A910" t="s">
        <v>1047</v>
      </c>
      <c r="B910" s="46">
        <v>16235</v>
      </c>
    </row>
    <row r="911" spans="1:2" x14ac:dyDescent="0.25">
      <c r="A911" t="s">
        <v>1048</v>
      </c>
      <c r="B911" s="46">
        <v>16235</v>
      </c>
    </row>
    <row r="912" spans="1:2" x14ac:dyDescent="0.25">
      <c r="A912" t="s">
        <v>1049</v>
      </c>
      <c r="B912" s="46">
        <v>14960</v>
      </c>
    </row>
    <row r="913" spans="1:2" x14ac:dyDescent="0.25">
      <c r="A913" t="s">
        <v>1050</v>
      </c>
      <c r="B913" s="46">
        <v>14960</v>
      </c>
    </row>
    <row r="914" spans="1:2" x14ac:dyDescent="0.25">
      <c r="A914" t="s">
        <v>1051</v>
      </c>
      <c r="B914" s="46">
        <v>14960</v>
      </c>
    </row>
    <row r="915" spans="1:2" x14ac:dyDescent="0.25">
      <c r="A915" t="s">
        <v>1052</v>
      </c>
      <c r="B915" s="46">
        <v>14960</v>
      </c>
    </row>
    <row r="916" spans="1:2" x14ac:dyDescent="0.25">
      <c r="A916" t="s">
        <v>1053</v>
      </c>
      <c r="B916" s="46">
        <v>23248</v>
      </c>
    </row>
    <row r="917" spans="1:2" x14ac:dyDescent="0.25">
      <c r="A917" t="s">
        <v>1054</v>
      </c>
      <c r="B917" s="46">
        <v>23248</v>
      </c>
    </row>
    <row r="918" spans="1:2" x14ac:dyDescent="0.25">
      <c r="A918" t="s">
        <v>1055</v>
      </c>
      <c r="B918" s="46">
        <v>14960</v>
      </c>
    </row>
    <row r="919" spans="1:2" x14ac:dyDescent="0.25">
      <c r="A919" t="s">
        <v>1056</v>
      </c>
      <c r="B919" s="46">
        <v>9550</v>
      </c>
    </row>
    <row r="920" spans="1:2" x14ac:dyDescent="0.25">
      <c r="A920" t="s">
        <v>1057</v>
      </c>
      <c r="B920" s="46">
        <v>13675</v>
      </c>
    </row>
    <row r="921" spans="1:2" x14ac:dyDescent="0.25">
      <c r="A921" t="s">
        <v>1058</v>
      </c>
      <c r="B921" s="46">
        <v>9550</v>
      </c>
    </row>
    <row r="922" spans="1:2" x14ac:dyDescent="0.25">
      <c r="A922" t="s">
        <v>1059</v>
      </c>
      <c r="B922" s="46">
        <v>13675</v>
      </c>
    </row>
    <row r="923" spans="1:2" x14ac:dyDescent="0.25">
      <c r="A923" t="s">
        <v>1060</v>
      </c>
      <c r="B923" s="46">
        <v>9550</v>
      </c>
    </row>
    <row r="924" spans="1:2" x14ac:dyDescent="0.25">
      <c r="A924" t="s">
        <v>1061</v>
      </c>
      <c r="B924" s="46">
        <v>9550</v>
      </c>
    </row>
    <row r="925" spans="1:2" x14ac:dyDescent="0.25">
      <c r="A925" t="s">
        <v>1062</v>
      </c>
      <c r="B925" s="46">
        <v>8800</v>
      </c>
    </row>
    <row r="926" spans="1:2" x14ac:dyDescent="0.25">
      <c r="A926" t="s">
        <v>1063</v>
      </c>
      <c r="B926" s="46">
        <v>9550</v>
      </c>
    </row>
    <row r="927" spans="1:2" x14ac:dyDescent="0.25">
      <c r="A927" t="s">
        <v>1064</v>
      </c>
      <c r="B927" s="46">
        <v>9550</v>
      </c>
    </row>
    <row r="928" spans="1:2" x14ac:dyDescent="0.25">
      <c r="A928" t="s">
        <v>1065</v>
      </c>
      <c r="B928" s="46">
        <v>9550</v>
      </c>
    </row>
    <row r="929" spans="1:2" x14ac:dyDescent="0.25">
      <c r="A929" t="s">
        <v>1066</v>
      </c>
      <c r="B929" s="46">
        <v>8800</v>
      </c>
    </row>
    <row r="930" spans="1:2" x14ac:dyDescent="0.25">
      <c r="A930" t="s">
        <v>1067</v>
      </c>
      <c r="B930" s="46">
        <v>9550</v>
      </c>
    </row>
    <row r="931" spans="1:2" x14ac:dyDescent="0.25">
      <c r="A931" t="s">
        <v>1068</v>
      </c>
      <c r="B931" s="46">
        <v>12475</v>
      </c>
    </row>
    <row r="932" spans="1:2" x14ac:dyDescent="0.25">
      <c r="A932" t="s">
        <v>1069</v>
      </c>
      <c r="B932" s="46">
        <v>9550</v>
      </c>
    </row>
    <row r="933" spans="1:2" x14ac:dyDescent="0.25">
      <c r="A933" t="s">
        <v>1070</v>
      </c>
      <c r="B933" s="46">
        <v>9550</v>
      </c>
    </row>
    <row r="934" spans="1:2" x14ac:dyDescent="0.25">
      <c r="A934" t="s">
        <v>1071</v>
      </c>
      <c r="B934" s="46">
        <v>12475</v>
      </c>
    </row>
    <row r="935" spans="1:2" x14ac:dyDescent="0.25">
      <c r="A935" t="s">
        <v>1072</v>
      </c>
      <c r="B935" s="46">
        <v>8800</v>
      </c>
    </row>
    <row r="936" spans="1:2" x14ac:dyDescent="0.25">
      <c r="A936" t="s">
        <v>1073</v>
      </c>
      <c r="B936" s="46">
        <v>9550</v>
      </c>
    </row>
    <row r="937" spans="1:2" x14ac:dyDescent="0.25">
      <c r="A937" t="s">
        <v>1074</v>
      </c>
      <c r="B937" s="46">
        <v>21208</v>
      </c>
    </row>
    <row r="938" spans="1:2" x14ac:dyDescent="0.25">
      <c r="A938" t="s">
        <v>1075</v>
      </c>
      <c r="B938" s="46">
        <v>21208</v>
      </c>
    </row>
    <row r="939" spans="1:2" x14ac:dyDescent="0.25">
      <c r="A939" t="s">
        <v>1076</v>
      </c>
      <c r="B939" s="46">
        <v>23248</v>
      </c>
    </row>
    <row r="940" spans="1:2" x14ac:dyDescent="0.25">
      <c r="A940" t="s">
        <v>1077</v>
      </c>
      <c r="B940" s="46">
        <v>23248</v>
      </c>
    </row>
    <row r="941" spans="1:2" x14ac:dyDescent="0.25">
      <c r="A941" t="s">
        <v>1078</v>
      </c>
      <c r="B941" s="46">
        <v>21208</v>
      </c>
    </row>
    <row r="942" spans="1:2" x14ac:dyDescent="0.25">
      <c r="A942" t="s">
        <v>1079</v>
      </c>
      <c r="B942" s="46">
        <v>21208</v>
      </c>
    </row>
    <row r="943" spans="1:2" x14ac:dyDescent="0.25">
      <c r="A943" t="s">
        <v>1080</v>
      </c>
      <c r="B943" s="46">
        <v>13675</v>
      </c>
    </row>
    <row r="944" spans="1:2" x14ac:dyDescent="0.25">
      <c r="A944" t="s">
        <v>1081</v>
      </c>
      <c r="B944" s="46">
        <v>14960</v>
      </c>
    </row>
    <row r="945" spans="1:2" x14ac:dyDescent="0.25">
      <c r="A945" t="s">
        <v>1082</v>
      </c>
      <c r="B945" s="46">
        <v>14960</v>
      </c>
    </row>
    <row r="946" spans="1:2" x14ac:dyDescent="0.25">
      <c r="A946" t="s">
        <v>1083</v>
      </c>
      <c r="B946" s="46">
        <v>14960</v>
      </c>
    </row>
    <row r="947" spans="1:2" x14ac:dyDescent="0.25">
      <c r="A947" t="s">
        <v>1084</v>
      </c>
      <c r="B947" s="46">
        <v>14960</v>
      </c>
    </row>
    <row r="948" spans="1:2" x14ac:dyDescent="0.25">
      <c r="A948" t="s">
        <v>1085</v>
      </c>
      <c r="B948" s="46">
        <v>14960</v>
      </c>
    </row>
    <row r="949" spans="1:2" x14ac:dyDescent="0.25">
      <c r="A949" t="s">
        <v>1086</v>
      </c>
      <c r="B949" s="46">
        <v>14960</v>
      </c>
    </row>
    <row r="950" spans="1:2" x14ac:dyDescent="0.25">
      <c r="A950" t="s">
        <v>1087</v>
      </c>
      <c r="B950" s="46">
        <v>16235</v>
      </c>
    </row>
    <row r="951" spans="1:2" x14ac:dyDescent="0.25">
      <c r="A951" t="s">
        <v>1088</v>
      </c>
      <c r="B951" s="46">
        <v>14960</v>
      </c>
    </row>
    <row r="952" spans="1:2" x14ac:dyDescent="0.25">
      <c r="A952" t="s">
        <v>1089</v>
      </c>
      <c r="B952" s="46">
        <v>14960</v>
      </c>
    </row>
    <row r="953" spans="1:2" x14ac:dyDescent="0.25">
      <c r="A953" t="s">
        <v>1090</v>
      </c>
      <c r="B953" s="46">
        <v>16235</v>
      </c>
    </row>
    <row r="954" spans="1:2" x14ac:dyDescent="0.25">
      <c r="A954" t="s">
        <v>1091</v>
      </c>
      <c r="B954" s="46">
        <v>16235</v>
      </c>
    </row>
    <row r="955" spans="1:2" x14ac:dyDescent="0.25">
      <c r="A955" t="s">
        <v>1092</v>
      </c>
      <c r="B955" s="46">
        <v>14960</v>
      </c>
    </row>
    <row r="956" spans="1:2" x14ac:dyDescent="0.25">
      <c r="A956" t="s">
        <v>1093</v>
      </c>
      <c r="B956" s="46">
        <v>23248</v>
      </c>
    </row>
    <row r="957" spans="1:2" x14ac:dyDescent="0.25">
      <c r="A957" t="s">
        <v>1094</v>
      </c>
      <c r="B957" s="46">
        <v>23248</v>
      </c>
    </row>
    <row r="958" spans="1:2" x14ac:dyDescent="0.25">
      <c r="A958" t="s">
        <v>1095</v>
      </c>
      <c r="B958" s="46">
        <v>14960</v>
      </c>
    </row>
    <row r="959" spans="1:2" x14ac:dyDescent="0.25">
      <c r="A959" t="s">
        <v>1096</v>
      </c>
      <c r="B959" s="46">
        <v>23062</v>
      </c>
    </row>
    <row r="960" spans="1:2" x14ac:dyDescent="0.25">
      <c r="B960" s="46">
        <f>SUM(B2:B959)</f>
        <v>12797755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C610-D57D-4505-933D-4CFFA35617F6}">
  <dimension ref="A1:H961"/>
  <sheetViews>
    <sheetView topLeftCell="F1" workbookViewId="0">
      <selection activeCell="H959" sqref="H2:H959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3.28515625" bestFit="1" customWidth="1"/>
    <col min="4" max="4" width="11.5703125" bestFit="1" customWidth="1"/>
    <col min="5" max="5" width="13.7109375" bestFit="1" customWidth="1"/>
    <col min="6" max="6" width="94.7109375" customWidth="1"/>
    <col min="7" max="7" width="85.140625" customWidth="1"/>
    <col min="8" max="8" width="77.5703125" customWidth="1"/>
  </cols>
  <sheetData>
    <row r="1" spans="1:8" x14ac:dyDescent="0.25">
      <c r="A1" s="77" t="s">
        <v>3560</v>
      </c>
      <c r="B1" t="s">
        <v>3561</v>
      </c>
      <c r="D1" s="78" t="s">
        <v>3562</v>
      </c>
      <c r="E1" s="79" t="s">
        <v>3563</v>
      </c>
    </row>
    <row r="2" spans="1:8" ht="109.5" customHeight="1" x14ac:dyDescent="0.25">
      <c r="A2" t="s">
        <v>140</v>
      </c>
      <c r="B2" s="80" t="str">
        <f>VLOOKUP(A2,policy!B:C,2,0)</f>
        <v>040000183086</v>
      </c>
      <c r="C2" s="46">
        <v>8800</v>
      </c>
      <c r="D2" s="81">
        <f>ROUND(C2,0)</f>
        <v>8800</v>
      </c>
      <c r="E2" s="79" t="s">
        <v>3563</v>
      </c>
      <c r="F2" s="82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83" t="str">
        <f>"('"&amp;E2&amp;"','"&amp;B2&amp;"','"&amp;D2&amp;"',(select max(to_number(i.premium_rcv_detail_code))+1
from ins_premium_det i),'"&amp;D2&amp;"','"&amp;D2&amp;"','02', '11000003','00','Request by Mr. Omair Ali 30-Aug-2024');"</f>
        <v>('29Oct240071','040000183086','8800',(select max(to_number(i.premium_rcv_detail_code))+1
from ins_premium_det i),'8800','8800','02', '11000003','00','Request by Mr. Omair Ali 30-Aug-2024');</v>
      </c>
      <c r="H2" s="84" t="str">
        <f>F2&amp;G2</f>
        <v>insert into ins_premium_det (premium_rcv_code,assorted_code, rec_amount,premium_rcv_detail_code,remaining_amt, payrec, mode_code,coinsurance_code,class_cd,it_remarks) values('29Oct240071','040000183086','8800',(select max(to_number(i.premium_rcv_detail_code))+1
from ins_premium_det i),'8800','8800','02', '11000003','00','Request by Mr. Omair Ali 30-Aug-2024');</v>
      </c>
    </row>
    <row r="3" spans="1:8" ht="105" x14ac:dyDescent="0.25">
      <c r="A3" t="s">
        <v>141</v>
      </c>
      <c r="B3" s="80" t="str">
        <f>VLOOKUP(A3,policy!B:C,2,0)</f>
        <v>040000183087</v>
      </c>
      <c r="C3" s="46">
        <v>23248</v>
      </c>
      <c r="D3" s="81">
        <f t="shared" ref="D3:D66" si="1">ROUND(C3,0)</f>
        <v>23248</v>
      </c>
      <c r="E3" s="79" t="s">
        <v>3563</v>
      </c>
      <c r="F3" s="82" t="str">
        <f t="shared" si="0"/>
        <v>insert into ins_premium_det (premium_rcv_code,assorted_code, rec_amount,premium_rcv_detail_code,remaining_amt, payrec, mode_code,coinsurance_code,class_cd,it_remarks) values</v>
      </c>
      <c r="G3" s="83" t="str">
        <f t="shared" ref="G3:G66" si="2">"('"&amp;E3&amp;"','"&amp;B3&amp;"','"&amp;D3&amp;"',(select max(to_number(i.premium_rcv_detail_code))+1
from ins_premium_det i),'"&amp;D3&amp;"','"&amp;D3&amp;"','02', '11000003','00','Request by Mr. Omair Ali 30-Aug-2024');"</f>
        <v>('29Oct240071','040000183087','23248',(select max(to_number(i.premium_rcv_detail_code))+1
from ins_premium_det i),'23248','23248','02', '11000003','00','Request by Mr. Omair Ali 30-Aug-2024');</v>
      </c>
      <c r="H3" s="84" t="str">
        <f t="shared" ref="H3:H66" si="3">F3&amp;G3</f>
        <v>insert into ins_premium_det (premium_rcv_code,assorted_code, rec_amount,premium_rcv_detail_code,remaining_amt, payrec, mode_code,coinsurance_code,class_cd,it_remarks) values('29Oct240071','040000183087','23248',(select max(to_number(i.premium_rcv_detail_code))+1
from ins_premium_det i),'23248','23248','02', '11000003','00','Request by Mr. Omair Ali 30-Aug-2024');</v>
      </c>
    </row>
    <row r="4" spans="1:8" ht="105" x14ac:dyDescent="0.25">
      <c r="A4" t="s">
        <v>142</v>
      </c>
      <c r="B4" s="80" t="str">
        <f>VLOOKUP(A4,policy!B:C,2,0)</f>
        <v>040000183088</v>
      </c>
      <c r="C4" s="46">
        <v>23248</v>
      </c>
      <c r="D4" s="81">
        <f t="shared" si="1"/>
        <v>23248</v>
      </c>
      <c r="E4" s="79" t="s">
        <v>3563</v>
      </c>
      <c r="F4" s="82" t="str">
        <f t="shared" si="0"/>
        <v>insert into ins_premium_det (premium_rcv_code,assorted_code, rec_amount,premium_rcv_detail_code,remaining_amt, payrec, mode_code,coinsurance_code,class_cd,it_remarks) values</v>
      </c>
      <c r="G4" s="83" t="str">
        <f t="shared" si="2"/>
        <v>('29Oct240071','040000183088','23248',(select max(to_number(i.premium_rcv_detail_code))+1
from ins_premium_det i),'23248','23248','02', '11000003','00','Request by Mr. Omair Ali 30-Aug-2024');</v>
      </c>
      <c r="H4" s="84" t="str">
        <f t="shared" si="3"/>
        <v>insert into ins_premium_det (premium_rcv_code,assorted_code, rec_amount,premium_rcv_detail_code,remaining_amt, payrec, mode_code,coinsurance_code,class_cd,it_remarks) values('29Oct240071','040000183088','23248',(select max(to_number(i.premium_rcv_detail_code))+1
from ins_premium_det i),'23248','23248','02', '11000003','00','Request by Mr. Omair Ali 30-Aug-2024');</v>
      </c>
    </row>
    <row r="5" spans="1:8" ht="105" x14ac:dyDescent="0.25">
      <c r="A5" t="s">
        <v>143</v>
      </c>
      <c r="B5" s="80" t="str">
        <f>VLOOKUP(A5,policy!B:C,2,0)</f>
        <v>040000183099</v>
      </c>
      <c r="C5" s="46">
        <v>16235</v>
      </c>
      <c r="D5" s="81">
        <f t="shared" si="1"/>
        <v>16235</v>
      </c>
      <c r="E5" s="79" t="s">
        <v>3563</v>
      </c>
      <c r="F5" s="82" t="str">
        <f t="shared" si="0"/>
        <v>insert into ins_premium_det (premium_rcv_code,assorted_code, rec_amount,premium_rcv_detail_code,remaining_amt, payrec, mode_code,coinsurance_code,class_cd,it_remarks) values</v>
      </c>
      <c r="G5" s="83" t="str">
        <f t="shared" si="2"/>
        <v>('29Oct240071','040000183099','16235',(select max(to_number(i.premium_rcv_detail_code))+1
from ins_premium_det i),'16235','16235','02', '11000003','00','Request by Mr. Omair Ali 30-Aug-2024');</v>
      </c>
      <c r="H5" s="84" t="str">
        <f t="shared" si="3"/>
        <v>insert into ins_premium_det (premium_rcv_code,assorted_code, rec_amount,premium_rcv_detail_code,remaining_amt, payrec, mode_code,coinsurance_code,class_cd,it_remarks) values('29Oct240071','040000183099','16235',(select max(to_number(i.premium_rcv_detail_code))+1
from ins_premium_det i),'16235','16235','02', '11000003','00','Request by Mr. Omair Ali 30-Aug-2024');</v>
      </c>
    </row>
    <row r="6" spans="1:8" ht="105" x14ac:dyDescent="0.25">
      <c r="A6" t="s">
        <v>144</v>
      </c>
      <c r="B6" s="80" t="str">
        <f>VLOOKUP(A6,policy!B:C,2,0)</f>
        <v>040000183100</v>
      </c>
      <c r="C6" s="46">
        <v>16235</v>
      </c>
      <c r="D6" s="81">
        <f t="shared" si="1"/>
        <v>16235</v>
      </c>
      <c r="E6" s="79" t="s">
        <v>3563</v>
      </c>
      <c r="F6" s="82" t="str">
        <f t="shared" si="0"/>
        <v>insert into ins_premium_det (premium_rcv_code,assorted_code, rec_amount,premium_rcv_detail_code,remaining_amt, payrec, mode_code,coinsurance_code,class_cd,it_remarks) values</v>
      </c>
      <c r="G6" s="83" t="str">
        <f t="shared" si="2"/>
        <v>('29Oct240071','040000183100','16235',(select max(to_number(i.premium_rcv_detail_code))+1
from ins_premium_det i),'16235','16235','02', '11000003','00','Request by Mr. Omair Ali 30-Aug-2024');</v>
      </c>
      <c r="H6" s="84" t="str">
        <f t="shared" si="3"/>
        <v>insert into ins_premium_det (premium_rcv_code,assorted_code, rec_amount,premium_rcv_detail_code,remaining_amt, payrec, mode_code,coinsurance_code,class_cd,it_remarks) values('29Oct240071','040000183100','16235',(select max(to_number(i.premium_rcv_detail_code))+1
from ins_premium_det i),'16235','16235','02', '11000003','00','Request by Mr. Omair Ali 30-Aug-2024');</v>
      </c>
    </row>
    <row r="7" spans="1:8" ht="105" x14ac:dyDescent="0.25">
      <c r="A7" t="s">
        <v>145</v>
      </c>
      <c r="B7" s="80" t="str">
        <f>VLOOKUP(A7,policy!B:C,2,0)</f>
        <v>040000183102</v>
      </c>
      <c r="C7" s="46">
        <v>9550</v>
      </c>
      <c r="D7" s="81">
        <f t="shared" si="1"/>
        <v>9550</v>
      </c>
      <c r="E7" s="79" t="s">
        <v>3563</v>
      </c>
      <c r="F7" s="82" t="str">
        <f t="shared" si="0"/>
        <v>insert into ins_premium_det (premium_rcv_code,assorted_code, rec_amount,premium_rcv_detail_code,remaining_amt, payrec, mode_code,coinsurance_code,class_cd,it_remarks) values</v>
      </c>
      <c r="G7" s="83" t="str">
        <f t="shared" si="2"/>
        <v>('29Oct240071','040000183102','9550',(select max(to_number(i.premium_rcv_detail_code))+1
from ins_premium_det i),'9550','9550','02', '11000003','00','Request by Mr. Omair Ali 30-Aug-2024');</v>
      </c>
      <c r="H7" s="84" t="str">
        <f t="shared" si="3"/>
        <v>insert into ins_premium_det (premium_rcv_code,assorted_code, rec_amount,premium_rcv_detail_code,remaining_amt, payrec, mode_code,coinsurance_code,class_cd,it_remarks) values('29Oct240071','040000183102','9550',(select max(to_number(i.premium_rcv_detail_code))+1
from ins_premium_det i),'9550','9550','02', '11000003','00','Request by Mr. Omair Ali 30-Aug-2024');</v>
      </c>
    </row>
    <row r="8" spans="1:8" ht="105" x14ac:dyDescent="0.25">
      <c r="A8" t="s">
        <v>146</v>
      </c>
      <c r="B8" s="80" t="str">
        <f>VLOOKUP(A8,policy!B:C,2,0)</f>
        <v>040000183110</v>
      </c>
      <c r="C8" s="46">
        <v>8800</v>
      </c>
      <c r="D8" s="81">
        <f t="shared" si="1"/>
        <v>8800</v>
      </c>
      <c r="E8" s="79" t="s">
        <v>3563</v>
      </c>
      <c r="F8" s="82" t="str">
        <f t="shared" si="0"/>
        <v>insert into ins_premium_det (premium_rcv_code,assorted_code, rec_amount,premium_rcv_detail_code,remaining_amt, payrec, mode_code,coinsurance_code,class_cd,it_remarks) values</v>
      </c>
      <c r="G8" s="83" t="str">
        <f t="shared" si="2"/>
        <v>('29Oct240071','040000183110','8800',(select max(to_number(i.premium_rcv_detail_code))+1
from ins_premium_det i),'8800','8800','02', '11000003','00','Request by Mr. Omair Ali 30-Aug-2024');</v>
      </c>
      <c r="H8" s="84" t="str">
        <f t="shared" si="3"/>
        <v>insert into ins_premium_det (premium_rcv_code,assorted_code, rec_amount,premium_rcv_detail_code,remaining_amt, payrec, mode_code,coinsurance_code,class_cd,it_remarks) values('29Oct240071','040000183110','8800',(select max(to_number(i.premium_rcv_detail_code))+1
from ins_premium_det i),'8800','8800','02', '11000003','00','Request by Mr. Omair Ali 30-Aug-2024');</v>
      </c>
    </row>
    <row r="9" spans="1:8" ht="105" x14ac:dyDescent="0.25">
      <c r="A9" t="s">
        <v>147</v>
      </c>
      <c r="B9" s="80" t="str">
        <f>VLOOKUP(A9,policy!B:C,2,0)</f>
        <v>040000183132</v>
      </c>
      <c r="C9" s="46">
        <v>14960</v>
      </c>
      <c r="D9" s="81">
        <f t="shared" si="1"/>
        <v>14960</v>
      </c>
      <c r="E9" s="79" t="s">
        <v>3563</v>
      </c>
      <c r="F9" s="82" t="str">
        <f t="shared" si="0"/>
        <v>insert into ins_premium_det (premium_rcv_code,assorted_code, rec_amount,premium_rcv_detail_code,remaining_amt, payrec, mode_code,coinsurance_code,class_cd,it_remarks) values</v>
      </c>
      <c r="G9" s="83" t="str">
        <f t="shared" si="2"/>
        <v>('29Oct240071','040000183132','14960',(select max(to_number(i.premium_rcv_detail_code))+1
from ins_premium_det i),'14960','14960','02', '11000003','00','Request by Mr. Omair Ali 30-Aug-2024');</v>
      </c>
      <c r="H9" s="84" t="str">
        <f t="shared" si="3"/>
        <v>insert into ins_premium_det (premium_rcv_code,assorted_code, rec_amount,premium_rcv_detail_code,remaining_amt, payrec, mode_code,coinsurance_code,class_cd,it_remarks) values('29Oct240071','040000183132','14960',(select max(to_number(i.premium_rcv_detail_code))+1
from ins_premium_det i),'14960','14960','02', '11000003','00','Request by Mr. Omair Ali 30-Aug-2024');</v>
      </c>
    </row>
    <row r="10" spans="1:8" ht="105" x14ac:dyDescent="0.25">
      <c r="A10" t="s">
        <v>148</v>
      </c>
      <c r="B10" s="80" t="str">
        <f>VLOOKUP(A10,policy!B:C,2,0)</f>
        <v>040000183136</v>
      </c>
      <c r="C10" s="46">
        <v>14960</v>
      </c>
      <c r="D10" s="81">
        <f t="shared" si="1"/>
        <v>14960</v>
      </c>
      <c r="E10" s="79" t="s">
        <v>3563</v>
      </c>
      <c r="F10" s="82" t="str">
        <f t="shared" si="0"/>
        <v>insert into ins_premium_det (premium_rcv_code,assorted_code, rec_amount,premium_rcv_detail_code,remaining_amt, payrec, mode_code,coinsurance_code,class_cd,it_remarks) values</v>
      </c>
      <c r="G10" s="83" t="str">
        <f t="shared" si="2"/>
        <v>('29Oct240071','040000183136','14960',(select max(to_number(i.premium_rcv_detail_code))+1
from ins_premium_det i),'14960','14960','02', '11000003','00','Request by Mr. Omair Ali 30-Aug-2024');</v>
      </c>
      <c r="H10" s="84" t="str">
        <f t="shared" si="3"/>
        <v>insert into ins_premium_det (premium_rcv_code,assorted_code, rec_amount,premium_rcv_detail_code,remaining_amt, payrec, mode_code,coinsurance_code,class_cd,it_remarks) values('29Oct240071','040000183136','14960',(select max(to_number(i.premium_rcv_detail_code))+1
from ins_premium_det i),'14960','14960','02', '11000003','00','Request by Mr. Omair Ali 30-Aug-2024');</v>
      </c>
    </row>
    <row r="11" spans="1:8" ht="105" x14ac:dyDescent="0.25">
      <c r="A11" t="s">
        <v>149</v>
      </c>
      <c r="B11" s="80" t="str">
        <f>VLOOKUP(A11,policy!B:C,2,0)</f>
        <v>040000183138</v>
      </c>
      <c r="C11" s="46">
        <v>14960</v>
      </c>
      <c r="D11" s="81">
        <f t="shared" si="1"/>
        <v>14960</v>
      </c>
      <c r="E11" s="79" t="s">
        <v>3563</v>
      </c>
      <c r="F11" s="82" t="str">
        <f t="shared" si="0"/>
        <v>insert into ins_premium_det (premium_rcv_code,assorted_code, rec_amount,premium_rcv_detail_code,remaining_amt, payrec, mode_code,coinsurance_code,class_cd,it_remarks) values</v>
      </c>
      <c r="G11" s="83" t="str">
        <f t="shared" si="2"/>
        <v>('29Oct240071','040000183138','14960',(select max(to_number(i.premium_rcv_detail_code))+1
from ins_premium_det i),'14960','14960','02', '11000003','00','Request by Mr. Omair Ali 30-Aug-2024');</v>
      </c>
      <c r="H11" s="84" t="str">
        <f t="shared" si="3"/>
        <v>insert into ins_premium_det (premium_rcv_code,assorted_code, rec_amount,premium_rcv_detail_code,remaining_amt, payrec, mode_code,coinsurance_code,class_cd,it_remarks) values('29Oct240071','040000183138','14960',(select max(to_number(i.premium_rcv_detail_code))+1
from ins_premium_det i),'14960','14960','02', '11000003','00','Request by Mr. Omair Ali 30-Aug-2024');</v>
      </c>
    </row>
    <row r="12" spans="1:8" ht="105" x14ac:dyDescent="0.25">
      <c r="A12" t="s">
        <v>150</v>
      </c>
      <c r="B12" s="80" t="str">
        <f>VLOOKUP(A12,policy!B:C,2,0)</f>
        <v>040000183140</v>
      </c>
      <c r="C12" s="46">
        <v>14960</v>
      </c>
      <c r="D12" s="81">
        <f t="shared" si="1"/>
        <v>14960</v>
      </c>
      <c r="E12" s="79" t="s">
        <v>3563</v>
      </c>
      <c r="F12" s="82" t="str">
        <f t="shared" si="0"/>
        <v>insert into ins_premium_det (premium_rcv_code,assorted_code, rec_amount,premium_rcv_detail_code,remaining_amt, payrec, mode_code,coinsurance_code,class_cd,it_remarks) values</v>
      </c>
      <c r="G12" s="83" t="str">
        <f t="shared" si="2"/>
        <v>('29Oct240071','040000183140','14960',(select max(to_number(i.premium_rcv_detail_code))+1
from ins_premium_det i),'14960','14960','02', '11000003','00','Request by Mr. Omair Ali 30-Aug-2024');</v>
      </c>
      <c r="H12" s="84" t="str">
        <f t="shared" si="3"/>
        <v>insert into ins_premium_det (premium_rcv_code,assorted_code, rec_amount,premium_rcv_detail_code,remaining_amt, payrec, mode_code,coinsurance_code,class_cd,it_remarks) values('29Oct240071','040000183140','14960',(select max(to_number(i.premium_rcv_detail_code))+1
from ins_premium_det i),'14960','14960','02', '11000003','00','Request by Mr. Omair Ali 30-Aug-2024');</v>
      </c>
    </row>
    <row r="13" spans="1:8" ht="105" x14ac:dyDescent="0.25">
      <c r="A13" t="s">
        <v>151</v>
      </c>
      <c r="B13" s="80" t="str">
        <f>VLOOKUP(A13,policy!B:C,2,0)</f>
        <v>040000183141</v>
      </c>
      <c r="C13" s="46">
        <v>14960</v>
      </c>
      <c r="D13" s="81">
        <f t="shared" si="1"/>
        <v>14960</v>
      </c>
      <c r="E13" s="79" t="s">
        <v>3563</v>
      </c>
      <c r="F13" s="82" t="str">
        <f t="shared" si="0"/>
        <v>insert into ins_premium_det (premium_rcv_code,assorted_code, rec_amount,premium_rcv_detail_code,remaining_amt, payrec, mode_code,coinsurance_code,class_cd,it_remarks) values</v>
      </c>
      <c r="G13" s="83" t="str">
        <f t="shared" si="2"/>
        <v>('29Oct240071','040000183141','14960',(select max(to_number(i.premium_rcv_detail_code))+1
from ins_premium_det i),'14960','14960','02', '11000003','00','Request by Mr. Omair Ali 30-Aug-2024');</v>
      </c>
      <c r="H13" s="84" t="str">
        <f t="shared" si="3"/>
        <v>insert into ins_premium_det (premium_rcv_code,assorted_code, rec_amount,premium_rcv_detail_code,remaining_amt, payrec, mode_code,coinsurance_code,class_cd,it_remarks) values('29Oct240071','040000183141','14960',(select max(to_number(i.premium_rcv_detail_code))+1
from ins_premium_det i),'14960','14960','02', '11000003','00','Request by Mr. Omair Ali 30-Aug-2024');</v>
      </c>
    </row>
    <row r="14" spans="1:8" ht="105" x14ac:dyDescent="0.25">
      <c r="A14" t="s">
        <v>152</v>
      </c>
      <c r="B14" s="80" t="str">
        <f>VLOOKUP(A14,policy!B:C,2,0)</f>
        <v>040000183164</v>
      </c>
      <c r="C14" s="46">
        <v>16235</v>
      </c>
      <c r="D14" s="81">
        <f t="shared" si="1"/>
        <v>16235</v>
      </c>
      <c r="E14" s="79" t="s">
        <v>3563</v>
      </c>
      <c r="F14" s="82" t="str">
        <f t="shared" si="0"/>
        <v>insert into ins_premium_det (premium_rcv_code,assorted_code, rec_amount,premium_rcv_detail_code,remaining_amt, payrec, mode_code,coinsurance_code,class_cd,it_remarks) values</v>
      </c>
      <c r="G14" s="83" t="str">
        <f t="shared" si="2"/>
        <v>('29Oct240071','040000183164','16235',(select max(to_number(i.premium_rcv_detail_code))+1
from ins_premium_det i),'16235','16235','02', '11000003','00','Request by Mr. Omair Ali 30-Aug-2024');</v>
      </c>
      <c r="H14" s="84" t="str">
        <f t="shared" si="3"/>
        <v>insert into ins_premium_det (premium_rcv_code,assorted_code, rec_amount,premium_rcv_detail_code,remaining_amt, payrec, mode_code,coinsurance_code,class_cd,it_remarks) values('29Oct240071','040000183164','16235',(select max(to_number(i.premium_rcv_detail_code))+1
from ins_premium_det i),'16235','16235','02', '11000003','00','Request by Mr. Omair Ali 30-Aug-2024');</v>
      </c>
    </row>
    <row r="15" spans="1:8" ht="105" x14ac:dyDescent="0.25">
      <c r="A15" t="s">
        <v>153</v>
      </c>
      <c r="B15" s="80" t="str">
        <f>VLOOKUP(A15,policy!B:C,2,0)</f>
        <v>040000183165</v>
      </c>
      <c r="C15" s="46">
        <v>8800</v>
      </c>
      <c r="D15" s="81">
        <f t="shared" si="1"/>
        <v>8800</v>
      </c>
      <c r="E15" s="79" t="s">
        <v>3563</v>
      </c>
      <c r="F15" s="82" t="str">
        <f t="shared" si="0"/>
        <v>insert into ins_premium_det (premium_rcv_code,assorted_code, rec_amount,premium_rcv_detail_code,remaining_amt, payrec, mode_code,coinsurance_code,class_cd,it_remarks) values</v>
      </c>
      <c r="G15" s="83" t="str">
        <f t="shared" si="2"/>
        <v>('29Oct240071','040000183165','8800',(select max(to_number(i.premium_rcv_detail_code))+1
from ins_premium_det i),'8800','8800','02', '11000003','00','Request by Mr. Omair Ali 30-Aug-2024');</v>
      </c>
      <c r="H15" s="84" t="str">
        <f t="shared" si="3"/>
        <v>insert into ins_premium_det (premium_rcv_code,assorted_code, rec_amount,premium_rcv_detail_code,remaining_amt, payrec, mode_code,coinsurance_code,class_cd,it_remarks) values('29Oct240071','040000183165','8800',(select max(to_number(i.premium_rcv_detail_code))+1
from ins_premium_det i),'8800','8800','02', '11000003','00','Request by Mr. Omair Ali 30-Aug-2024');</v>
      </c>
    </row>
    <row r="16" spans="1:8" ht="105" x14ac:dyDescent="0.25">
      <c r="A16" t="s">
        <v>154</v>
      </c>
      <c r="B16" s="80" t="str">
        <f>VLOOKUP(A16,policy!B:C,2,0)</f>
        <v>040000183166</v>
      </c>
      <c r="C16" s="46">
        <v>8800</v>
      </c>
      <c r="D16" s="81">
        <f t="shared" si="1"/>
        <v>8800</v>
      </c>
      <c r="E16" s="79" t="s">
        <v>3563</v>
      </c>
      <c r="F16" s="82" t="str">
        <f t="shared" si="0"/>
        <v>insert into ins_premium_det (premium_rcv_code,assorted_code, rec_amount,premium_rcv_detail_code,remaining_amt, payrec, mode_code,coinsurance_code,class_cd,it_remarks) values</v>
      </c>
      <c r="G16" s="83" t="str">
        <f t="shared" si="2"/>
        <v>('29Oct240071','040000183166','8800',(select max(to_number(i.premium_rcv_detail_code))+1
from ins_premium_det i),'8800','8800','02', '11000003','00','Request by Mr. Omair Ali 30-Aug-2024');</v>
      </c>
      <c r="H16" s="84" t="str">
        <f t="shared" si="3"/>
        <v>insert into ins_premium_det (premium_rcv_code,assorted_code, rec_amount,premium_rcv_detail_code,remaining_amt, payrec, mode_code,coinsurance_code,class_cd,it_remarks) values('29Oct240071','040000183166','8800',(select max(to_number(i.premium_rcv_detail_code))+1
from ins_premium_det i),'8800','8800','02', '11000003','00','Request by Mr. Omair Ali 30-Aug-2024');</v>
      </c>
    </row>
    <row r="17" spans="1:8" ht="105" x14ac:dyDescent="0.25">
      <c r="A17" t="s">
        <v>155</v>
      </c>
      <c r="B17" s="80" t="str">
        <f>VLOOKUP(A17,policy!B:C,2,0)</f>
        <v>040000183180</v>
      </c>
      <c r="C17" s="46">
        <v>14960</v>
      </c>
      <c r="D17" s="81">
        <f t="shared" si="1"/>
        <v>14960</v>
      </c>
      <c r="E17" s="79" t="s">
        <v>3563</v>
      </c>
      <c r="F17" s="82" t="str">
        <f t="shared" si="0"/>
        <v>insert into ins_premium_det (premium_rcv_code,assorted_code, rec_amount,premium_rcv_detail_code,remaining_amt, payrec, mode_code,coinsurance_code,class_cd,it_remarks) values</v>
      </c>
      <c r="G17" s="83" t="str">
        <f t="shared" si="2"/>
        <v>('29Oct240071','040000183180','14960',(select max(to_number(i.premium_rcv_detail_code))+1
from ins_premium_det i),'14960','14960','02', '11000003','00','Request by Mr. Omair Ali 30-Aug-2024');</v>
      </c>
      <c r="H17" s="84" t="str">
        <f t="shared" si="3"/>
        <v>insert into ins_premium_det (premium_rcv_code,assorted_code, rec_amount,premium_rcv_detail_code,remaining_amt, payrec, mode_code,coinsurance_code,class_cd,it_remarks) values('29Oct240071','040000183180','14960',(select max(to_number(i.premium_rcv_detail_code))+1
from ins_premium_det i),'14960','14960','02', '11000003','00','Request by Mr. Omair Ali 30-Aug-2024');</v>
      </c>
    </row>
    <row r="18" spans="1:8" ht="105" x14ac:dyDescent="0.25">
      <c r="A18" t="s">
        <v>156</v>
      </c>
      <c r="B18" s="80" t="str">
        <f>VLOOKUP(A18,policy!B:C,2,0)</f>
        <v>040000183184</v>
      </c>
      <c r="C18" s="46">
        <v>14960</v>
      </c>
      <c r="D18" s="81">
        <f t="shared" si="1"/>
        <v>14960</v>
      </c>
      <c r="E18" s="79" t="s">
        <v>3563</v>
      </c>
      <c r="F18" s="82" t="str">
        <f t="shared" si="0"/>
        <v>insert into ins_premium_det (premium_rcv_code,assorted_code, rec_amount,premium_rcv_detail_code,remaining_amt, payrec, mode_code,coinsurance_code,class_cd,it_remarks) values</v>
      </c>
      <c r="G18" s="83" t="str">
        <f t="shared" si="2"/>
        <v>('29Oct240071','040000183184','14960',(select max(to_number(i.premium_rcv_detail_code))+1
from ins_premium_det i),'14960','14960','02', '11000003','00','Request by Mr. Omair Ali 30-Aug-2024');</v>
      </c>
      <c r="H18" s="84" t="str">
        <f t="shared" si="3"/>
        <v>insert into ins_premium_det (premium_rcv_code,assorted_code, rec_amount,premium_rcv_detail_code,remaining_amt, payrec, mode_code,coinsurance_code,class_cd,it_remarks) values('29Oct240071','040000183184','14960',(select max(to_number(i.premium_rcv_detail_code))+1
from ins_premium_det i),'14960','14960','02', '11000003','00','Request by Mr. Omair Ali 30-Aug-2024');</v>
      </c>
    </row>
    <row r="19" spans="1:8" ht="105" x14ac:dyDescent="0.25">
      <c r="A19" t="s">
        <v>157</v>
      </c>
      <c r="B19" s="80" t="str">
        <f>VLOOKUP(A19,policy!B:C,2,0)</f>
        <v>040000183192</v>
      </c>
      <c r="C19" s="46">
        <v>9550</v>
      </c>
      <c r="D19" s="81">
        <f t="shared" si="1"/>
        <v>9550</v>
      </c>
      <c r="E19" s="79" t="s">
        <v>3563</v>
      </c>
      <c r="F19" s="82" t="str">
        <f t="shared" si="0"/>
        <v>insert into ins_premium_det (premium_rcv_code,assorted_code, rec_amount,premium_rcv_detail_code,remaining_amt, payrec, mode_code,coinsurance_code,class_cd,it_remarks) values</v>
      </c>
      <c r="G19" s="83" t="str">
        <f t="shared" si="2"/>
        <v>('29Oct240071','040000183192','9550',(select max(to_number(i.premium_rcv_detail_code))+1
from ins_premium_det i),'9550','9550','02', '11000003','00','Request by Mr. Omair Ali 30-Aug-2024');</v>
      </c>
      <c r="H19" s="84" t="str">
        <f t="shared" si="3"/>
        <v>insert into ins_premium_det (premium_rcv_code,assorted_code, rec_amount,premium_rcv_detail_code,remaining_amt, payrec, mode_code,coinsurance_code,class_cd,it_remarks) values('29Oct240071','040000183192','9550',(select max(to_number(i.premium_rcv_detail_code))+1
from ins_premium_det i),'9550','9550','02', '11000003','00','Request by Mr. Omair Ali 30-Aug-2024');</v>
      </c>
    </row>
    <row r="20" spans="1:8" ht="105" x14ac:dyDescent="0.25">
      <c r="A20" t="s">
        <v>158</v>
      </c>
      <c r="B20" s="80" t="str">
        <f>VLOOKUP(A20,policy!B:C,2,0)</f>
        <v>040000183198</v>
      </c>
      <c r="C20" s="46">
        <v>8800</v>
      </c>
      <c r="D20" s="81">
        <f t="shared" si="1"/>
        <v>8800</v>
      </c>
      <c r="E20" s="79" t="s">
        <v>3563</v>
      </c>
      <c r="F20" s="82" t="str">
        <f t="shared" si="0"/>
        <v>insert into ins_premium_det (premium_rcv_code,assorted_code, rec_amount,premium_rcv_detail_code,remaining_amt, payrec, mode_code,coinsurance_code,class_cd,it_remarks) values</v>
      </c>
      <c r="G20" s="83" t="str">
        <f t="shared" si="2"/>
        <v>('29Oct240071','040000183198','8800',(select max(to_number(i.premium_rcv_detail_code))+1
from ins_premium_det i),'8800','8800','02', '11000003','00','Request by Mr. Omair Ali 30-Aug-2024');</v>
      </c>
      <c r="H20" s="84" t="str">
        <f t="shared" si="3"/>
        <v>insert into ins_premium_det (premium_rcv_code,assorted_code, rec_amount,premium_rcv_detail_code,remaining_amt, payrec, mode_code,coinsurance_code,class_cd,it_remarks) values('29Oct240071','040000183198','8800',(select max(to_number(i.premium_rcv_detail_code))+1
from ins_premium_det i),'8800','8800','02', '11000003','00','Request by Mr. Omair Ali 30-Aug-2024');</v>
      </c>
    </row>
    <row r="21" spans="1:8" ht="105" x14ac:dyDescent="0.25">
      <c r="A21" t="s">
        <v>159</v>
      </c>
      <c r="B21" s="80" t="str">
        <f>VLOOKUP(A21,policy!B:C,2,0)</f>
        <v>040000183207</v>
      </c>
      <c r="C21" s="46">
        <v>23248</v>
      </c>
      <c r="D21" s="81">
        <f t="shared" si="1"/>
        <v>23248</v>
      </c>
      <c r="E21" s="79" t="s">
        <v>3563</v>
      </c>
      <c r="F21" s="82" t="str">
        <f t="shared" si="0"/>
        <v>insert into ins_premium_det (premium_rcv_code,assorted_code, rec_amount,premium_rcv_detail_code,remaining_amt, payrec, mode_code,coinsurance_code,class_cd,it_remarks) values</v>
      </c>
      <c r="G21" s="83" t="str">
        <f t="shared" si="2"/>
        <v>('29Oct240071','040000183207','23248',(select max(to_number(i.premium_rcv_detail_code))+1
from ins_premium_det i),'23248','23248','02', '11000003','00','Request by Mr. Omair Ali 30-Aug-2024');</v>
      </c>
      <c r="H21" s="84" t="str">
        <f t="shared" si="3"/>
        <v>insert into ins_premium_det (premium_rcv_code,assorted_code, rec_amount,premium_rcv_detail_code,remaining_amt, payrec, mode_code,coinsurance_code,class_cd,it_remarks) values('29Oct240071','040000183207','23248',(select max(to_number(i.premium_rcv_detail_code))+1
from ins_premium_det i),'23248','23248','02', '11000003','00','Request by Mr. Omair Ali 30-Aug-2024');</v>
      </c>
    </row>
    <row r="22" spans="1:8" ht="105" x14ac:dyDescent="0.25">
      <c r="A22" t="s">
        <v>160</v>
      </c>
      <c r="B22" s="80" t="str">
        <f>VLOOKUP(A22,policy!B:C,2,0)</f>
        <v>040000183215</v>
      </c>
      <c r="C22" s="46">
        <v>23248</v>
      </c>
      <c r="D22" s="81">
        <f t="shared" si="1"/>
        <v>23248</v>
      </c>
      <c r="E22" s="79" t="s">
        <v>3563</v>
      </c>
      <c r="F22" s="82" t="str">
        <f t="shared" si="0"/>
        <v>insert into ins_premium_det (premium_rcv_code,assorted_code, rec_amount,premium_rcv_detail_code,remaining_amt, payrec, mode_code,coinsurance_code,class_cd,it_remarks) values</v>
      </c>
      <c r="G22" s="83" t="str">
        <f t="shared" si="2"/>
        <v>('29Oct240071','040000183215','23248',(select max(to_number(i.premium_rcv_detail_code))+1
from ins_premium_det i),'23248','23248','02', '11000003','00','Request by Mr. Omair Ali 30-Aug-2024');</v>
      </c>
      <c r="H22" s="84" t="str">
        <f t="shared" si="3"/>
        <v>insert into ins_premium_det (premium_rcv_code,assorted_code, rec_amount,premium_rcv_detail_code,remaining_amt, payrec, mode_code,coinsurance_code,class_cd,it_remarks) values('29Oct240071','040000183215','23248',(select max(to_number(i.premium_rcv_detail_code))+1
from ins_premium_det i),'23248','23248','02', '11000003','00','Request by Mr. Omair Ali 30-Aug-2024');</v>
      </c>
    </row>
    <row r="23" spans="1:8" ht="105" x14ac:dyDescent="0.25">
      <c r="A23" t="s">
        <v>161</v>
      </c>
      <c r="B23" s="80" t="str">
        <f>VLOOKUP(A23,policy!B:C,2,0)</f>
        <v>040000183228</v>
      </c>
      <c r="C23" s="46">
        <v>8800</v>
      </c>
      <c r="D23" s="81">
        <f t="shared" si="1"/>
        <v>8800</v>
      </c>
      <c r="E23" s="79" t="s">
        <v>3563</v>
      </c>
      <c r="F23" s="82" t="str">
        <f t="shared" si="0"/>
        <v>insert into ins_premium_det (premium_rcv_code,assorted_code, rec_amount,premium_rcv_detail_code,remaining_amt, payrec, mode_code,coinsurance_code,class_cd,it_remarks) values</v>
      </c>
      <c r="G23" s="83" t="str">
        <f t="shared" si="2"/>
        <v>('29Oct240071','040000183228','8800',(select max(to_number(i.premium_rcv_detail_code))+1
from ins_premium_det i),'8800','8800','02', '11000003','00','Request by Mr. Omair Ali 30-Aug-2024');</v>
      </c>
      <c r="H23" s="84" t="str">
        <f t="shared" si="3"/>
        <v>insert into ins_premium_det (premium_rcv_code,assorted_code, rec_amount,premium_rcv_detail_code,remaining_amt, payrec, mode_code,coinsurance_code,class_cd,it_remarks) values('29Oct240071','040000183228','8800',(select max(to_number(i.premium_rcv_detail_code))+1
from ins_premium_det i),'8800','8800','02', '11000003','00','Request by Mr. Omair Ali 30-Aug-2024');</v>
      </c>
    </row>
    <row r="24" spans="1:8" ht="105" x14ac:dyDescent="0.25">
      <c r="A24" t="s">
        <v>162</v>
      </c>
      <c r="B24" s="80" t="str">
        <f>VLOOKUP(A24,policy!B:C,2,0)</f>
        <v>040000183230</v>
      </c>
      <c r="C24" s="46">
        <v>8800</v>
      </c>
      <c r="D24" s="81">
        <f t="shared" si="1"/>
        <v>8800</v>
      </c>
      <c r="E24" s="79" t="s">
        <v>3563</v>
      </c>
      <c r="F24" s="82" t="str">
        <f t="shared" si="0"/>
        <v>insert into ins_premium_det (premium_rcv_code,assorted_code, rec_amount,premium_rcv_detail_code,remaining_amt, payrec, mode_code,coinsurance_code,class_cd,it_remarks) values</v>
      </c>
      <c r="G24" s="83" t="str">
        <f t="shared" si="2"/>
        <v>('29Oct240071','040000183230','8800',(select max(to_number(i.premium_rcv_detail_code))+1
from ins_premium_det i),'8800','8800','02', '11000003','00','Request by Mr. Omair Ali 30-Aug-2024');</v>
      </c>
      <c r="H24" s="84" t="str">
        <f t="shared" si="3"/>
        <v>insert into ins_premium_det (premium_rcv_code,assorted_code, rec_amount,premium_rcv_detail_code,remaining_amt, payrec, mode_code,coinsurance_code,class_cd,it_remarks) values('29Oct240071','040000183230','8800',(select max(to_number(i.premium_rcv_detail_code))+1
from ins_premium_det i),'8800','8800','02', '11000003','00','Request by Mr. Omair Ali 30-Aug-2024');</v>
      </c>
    </row>
    <row r="25" spans="1:8" ht="105" x14ac:dyDescent="0.25">
      <c r="A25" t="s">
        <v>163</v>
      </c>
      <c r="B25" s="80" t="str">
        <f>VLOOKUP(A25,policy!B:C,2,0)</f>
        <v>040000183236</v>
      </c>
      <c r="C25" s="46">
        <v>14960</v>
      </c>
      <c r="D25" s="81">
        <f t="shared" si="1"/>
        <v>14960</v>
      </c>
      <c r="E25" s="79" t="s">
        <v>3563</v>
      </c>
      <c r="F25" s="82" t="str">
        <f t="shared" si="0"/>
        <v>insert into ins_premium_det (premium_rcv_code,assorted_code, rec_amount,premium_rcv_detail_code,remaining_amt, payrec, mode_code,coinsurance_code,class_cd,it_remarks) values</v>
      </c>
      <c r="G25" s="83" t="str">
        <f t="shared" si="2"/>
        <v>('29Oct240071','040000183236','14960',(select max(to_number(i.premium_rcv_detail_code))+1
from ins_premium_det i),'14960','14960','02', '11000003','00','Request by Mr. Omair Ali 30-Aug-2024');</v>
      </c>
      <c r="H25" s="84" t="str">
        <f t="shared" si="3"/>
        <v>insert into ins_premium_det (premium_rcv_code,assorted_code, rec_amount,premium_rcv_detail_code,remaining_amt, payrec, mode_code,coinsurance_code,class_cd,it_remarks) values('29Oct240071','040000183236','14960',(select max(to_number(i.premium_rcv_detail_code))+1
from ins_premium_det i),'14960','14960','02', '11000003','00','Request by Mr. Omair Ali 30-Aug-2024');</v>
      </c>
    </row>
    <row r="26" spans="1:8" ht="105" x14ac:dyDescent="0.25">
      <c r="A26" t="s">
        <v>164</v>
      </c>
      <c r="B26" s="80" t="str">
        <f>VLOOKUP(A26,policy!B:C,2,0)</f>
        <v>040000183254</v>
      </c>
      <c r="C26" s="46">
        <v>13675</v>
      </c>
      <c r="D26" s="81">
        <f t="shared" si="1"/>
        <v>13675</v>
      </c>
      <c r="E26" s="79" t="s">
        <v>3563</v>
      </c>
      <c r="F26" s="82" t="str">
        <f t="shared" si="0"/>
        <v>insert into ins_premium_det (premium_rcv_code,assorted_code, rec_amount,premium_rcv_detail_code,remaining_amt, payrec, mode_code,coinsurance_code,class_cd,it_remarks) values</v>
      </c>
      <c r="G26" s="83" t="str">
        <f t="shared" si="2"/>
        <v>('29Oct240071','040000183254','13675',(select max(to_number(i.premium_rcv_detail_code))+1
from ins_premium_det i),'13675','13675','02', '11000003','00','Request by Mr. Omair Ali 30-Aug-2024');</v>
      </c>
      <c r="H26" s="84" t="str">
        <f t="shared" si="3"/>
        <v>insert into ins_premium_det (premium_rcv_code,assorted_code, rec_amount,premium_rcv_detail_code,remaining_amt, payrec, mode_code,coinsurance_code,class_cd,it_remarks) values('29Oct240071','040000183254','13675',(select max(to_number(i.premium_rcv_detail_code))+1
from ins_premium_det i),'13675','13675','02', '11000003','00','Request by Mr. Omair Ali 30-Aug-2024');</v>
      </c>
    </row>
    <row r="27" spans="1:8" ht="105" x14ac:dyDescent="0.25">
      <c r="A27" t="s">
        <v>165</v>
      </c>
      <c r="B27" s="80" t="str">
        <f>VLOOKUP(A27,policy!B:C,2,0)</f>
        <v>040000183255</v>
      </c>
      <c r="C27" s="46">
        <v>13675</v>
      </c>
      <c r="D27" s="81">
        <f t="shared" si="1"/>
        <v>13675</v>
      </c>
      <c r="E27" s="79" t="s">
        <v>3563</v>
      </c>
      <c r="F27" s="82" t="str">
        <f t="shared" si="0"/>
        <v>insert into ins_premium_det (premium_rcv_code,assorted_code, rec_amount,premium_rcv_detail_code,remaining_amt, payrec, mode_code,coinsurance_code,class_cd,it_remarks) values</v>
      </c>
      <c r="G27" s="83" t="str">
        <f t="shared" si="2"/>
        <v>('29Oct240071','040000183255','13675',(select max(to_number(i.premium_rcv_detail_code))+1
from ins_premium_det i),'13675','13675','02', '11000003','00','Request by Mr. Omair Ali 30-Aug-2024');</v>
      </c>
      <c r="H27" s="84" t="str">
        <f t="shared" si="3"/>
        <v>insert into ins_premium_det (premium_rcv_code,assorted_code, rec_amount,premium_rcv_detail_code,remaining_amt, payrec, mode_code,coinsurance_code,class_cd,it_remarks) values('29Oct240071','040000183255','13675',(select max(to_number(i.premium_rcv_detail_code))+1
from ins_premium_det i),'13675','13675','02', '11000003','00','Request by Mr. Omair Ali 30-Aug-2024');</v>
      </c>
    </row>
    <row r="28" spans="1:8" ht="105" x14ac:dyDescent="0.25">
      <c r="A28" t="s">
        <v>166</v>
      </c>
      <c r="B28" s="80" t="str">
        <f>VLOOKUP(A28,policy!B:C,2,0)</f>
        <v>040000183256</v>
      </c>
      <c r="C28" s="46">
        <v>8800</v>
      </c>
      <c r="D28" s="81">
        <f t="shared" si="1"/>
        <v>8800</v>
      </c>
      <c r="E28" s="79" t="s">
        <v>3563</v>
      </c>
      <c r="F28" s="82" t="str">
        <f t="shared" si="0"/>
        <v>insert into ins_premium_det (premium_rcv_code,assorted_code, rec_amount,premium_rcv_detail_code,remaining_amt, payrec, mode_code,coinsurance_code,class_cd,it_remarks) values</v>
      </c>
      <c r="G28" s="83" t="str">
        <f t="shared" si="2"/>
        <v>('29Oct240071','040000183256','8800',(select max(to_number(i.premium_rcv_detail_code))+1
from ins_premium_det i),'8800','8800','02', '11000003','00','Request by Mr. Omair Ali 30-Aug-2024');</v>
      </c>
      <c r="H28" s="84" t="str">
        <f t="shared" si="3"/>
        <v>insert into ins_premium_det (premium_rcv_code,assorted_code, rec_amount,premium_rcv_detail_code,remaining_amt, payrec, mode_code,coinsurance_code,class_cd,it_remarks) values('29Oct240071','040000183256','8800',(select max(to_number(i.premium_rcv_detail_code))+1
from ins_premium_det i),'8800','8800','02', '11000003','00','Request by Mr. Omair Ali 30-Aug-2024');</v>
      </c>
    </row>
    <row r="29" spans="1:8" ht="105" x14ac:dyDescent="0.25">
      <c r="A29" t="s">
        <v>167</v>
      </c>
      <c r="B29" s="80" t="str">
        <f>VLOOKUP(A29,policy!B:C,2,0)</f>
        <v>040000183257</v>
      </c>
      <c r="C29" s="46">
        <v>12475</v>
      </c>
      <c r="D29" s="81">
        <f t="shared" si="1"/>
        <v>12475</v>
      </c>
      <c r="E29" s="79" t="s">
        <v>3563</v>
      </c>
      <c r="F29" s="82" t="str">
        <f t="shared" si="0"/>
        <v>insert into ins_premium_det (premium_rcv_code,assorted_code, rec_amount,premium_rcv_detail_code,remaining_amt, payrec, mode_code,coinsurance_code,class_cd,it_remarks) values</v>
      </c>
      <c r="G29" s="83" t="str">
        <f t="shared" si="2"/>
        <v>('29Oct240071','040000183257','12475',(select max(to_number(i.premium_rcv_detail_code))+1
from ins_premium_det i),'12475','12475','02', '11000003','00','Request by Mr. Omair Ali 30-Aug-2024');</v>
      </c>
      <c r="H29" s="84" t="str">
        <f t="shared" si="3"/>
        <v>insert into ins_premium_det (premium_rcv_code,assorted_code, rec_amount,premium_rcv_detail_code,remaining_amt, payrec, mode_code,coinsurance_code,class_cd,it_remarks) values('29Oct240071','040000183257','12475',(select max(to_number(i.premium_rcv_detail_code))+1
from ins_premium_det i),'12475','12475','02', '11000003','00','Request by Mr. Omair Ali 30-Aug-2024');</v>
      </c>
    </row>
    <row r="30" spans="1:8" ht="105" x14ac:dyDescent="0.25">
      <c r="A30" t="s">
        <v>168</v>
      </c>
      <c r="B30" s="80" t="str">
        <f>VLOOKUP(A30,policy!B:C,2,0)</f>
        <v>040000183258</v>
      </c>
      <c r="C30" s="46">
        <v>9550</v>
      </c>
      <c r="D30" s="81">
        <f t="shared" si="1"/>
        <v>9550</v>
      </c>
      <c r="E30" s="79" t="s">
        <v>3563</v>
      </c>
      <c r="F30" s="82" t="str">
        <f t="shared" si="0"/>
        <v>insert into ins_premium_det (premium_rcv_code,assorted_code, rec_amount,premium_rcv_detail_code,remaining_amt, payrec, mode_code,coinsurance_code,class_cd,it_remarks) values</v>
      </c>
      <c r="G30" s="83" t="str">
        <f t="shared" si="2"/>
        <v>('29Oct240071','040000183258','9550',(select max(to_number(i.premium_rcv_detail_code))+1
from ins_premium_det i),'9550','9550','02', '11000003','00','Request by Mr. Omair Ali 30-Aug-2024');</v>
      </c>
      <c r="H30" s="84" t="str">
        <f t="shared" si="3"/>
        <v>insert into ins_premium_det (premium_rcv_code,assorted_code, rec_amount,premium_rcv_detail_code,remaining_amt, payrec, mode_code,coinsurance_code,class_cd,it_remarks) values('29Oct240071','040000183258','9550',(select max(to_number(i.premium_rcv_detail_code))+1
from ins_premium_det i),'9550','9550','02', '11000003','00','Request by Mr. Omair Ali 30-Aug-2024');</v>
      </c>
    </row>
    <row r="31" spans="1:8" ht="105" x14ac:dyDescent="0.25">
      <c r="A31" t="s">
        <v>169</v>
      </c>
      <c r="B31" s="80" t="str">
        <f>VLOOKUP(A31,policy!B:C,2,0)</f>
        <v>040000183264</v>
      </c>
      <c r="C31" s="46">
        <v>8800</v>
      </c>
      <c r="D31" s="81">
        <f t="shared" si="1"/>
        <v>8800</v>
      </c>
      <c r="E31" s="79" t="s">
        <v>3563</v>
      </c>
      <c r="F31" s="82" t="str">
        <f t="shared" si="0"/>
        <v>insert into ins_premium_det (premium_rcv_code,assorted_code, rec_amount,premium_rcv_detail_code,remaining_amt, payrec, mode_code,coinsurance_code,class_cd,it_remarks) values</v>
      </c>
      <c r="G31" s="83" t="str">
        <f t="shared" si="2"/>
        <v>('29Oct240071','040000183264','8800',(select max(to_number(i.premium_rcv_detail_code))+1
from ins_premium_det i),'8800','8800','02', '11000003','00','Request by Mr. Omair Ali 30-Aug-2024');</v>
      </c>
      <c r="H31" s="84" t="str">
        <f t="shared" si="3"/>
        <v>insert into ins_premium_det (premium_rcv_code,assorted_code, rec_amount,premium_rcv_detail_code,remaining_amt, payrec, mode_code,coinsurance_code,class_cd,it_remarks) values('29Oct240071','040000183264','8800',(select max(to_number(i.premium_rcv_detail_code))+1
from ins_premium_det i),'8800','8800','02', '11000003','00','Request by Mr. Omair Ali 30-Aug-2024');</v>
      </c>
    </row>
    <row r="32" spans="1:8" ht="105" x14ac:dyDescent="0.25">
      <c r="A32" t="s">
        <v>170</v>
      </c>
      <c r="B32" s="80" t="str">
        <f>VLOOKUP(A32,policy!B:C,2,0)</f>
        <v>040000183265</v>
      </c>
      <c r="C32" s="46">
        <v>14960</v>
      </c>
      <c r="D32" s="81">
        <f t="shared" si="1"/>
        <v>14960</v>
      </c>
      <c r="E32" s="79" t="s">
        <v>3563</v>
      </c>
      <c r="F32" s="82" t="str">
        <f t="shared" si="0"/>
        <v>insert into ins_premium_det (premium_rcv_code,assorted_code, rec_amount,premium_rcv_detail_code,remaining_amt, payrec, mode_code,coinsurance_code,class_cd,it_remarks) values</v>
      </c>
      <c r="G32" s="83" t="str">
        <f t="shared" si="2"/>
        <v>('29Oct240071','040000183265','14960',(select max(to_number(i.premium_rcv_detail_code))+1
from ins_premium_det i),'14960','14960','02', '11000003','00','Request by Mr. Omair Ali 30-Aug-2024');</v>
      </c>
      <c r="H32" s="84" t="str">
        <f t="shared" si="3"/>
        <v>insert into ins_premium_det (premium_rcv_code,assorted_code, rec_amount,premium_rcv_detail_code,remaining_amt, payrec, mode_code,coinsurance_code,class_cd,it_remarks) values('29Oct240071','040000183265','14960',(select max(to_number(i.premium_rcv_detail_code))+1
from ins_premium_det i),'14960','14960','02', '11000003','00','Request by Mr. Omair Ali 30-Aug-2024');</v>
      </c>
    </row>
    <row r="33" spans="1:8" ht="105" x14ac:dyDescent="0.25">
      <c r="A33" t="s">
        <v>171</v>
      </c>
      <c r="B33" s="80" t="str">
        <f>VLOOKUP(A33,policy!B:C,2,0)</f>
        <v>040000183266</v>
      </c>
      <c r="C33" s="46">
        <v>14960</v>
      </c>
      <c r="D33" s="81">
        <f t="shared" si="1"/>
        <v>14960</v>
      </c>
      <c r="E33" s="79" t="s">
        <v>3563</v>
      </c>
      <c r="F33" s="82" t="str">
        <f t="shared" si="0"/>
        <v>insert into ins_premium_det (premium_rcv_code,assorted_code, rec_amount,premium_rcv_detail_code,remaining_amt, payrec, mode_code,coinsurance_code,class_cd,it_remarks) values</v>
      </c>
      <c r="G33" s="83" t="str">
        <f t="shared" si="2"/>
        <v>('29Oct240071','040000183266','14960',(select max(to_number(i.premium_rcv_detail_code))+1
from ins_premium_det i),'14960','14960','02', '11000003','00','Request by Mr. Omair Ali 30-Aug-2024');</v>
      </c>
      <c r="H33" s="84" t="str">
        <f t="shared" si="3"/>
        <v>insert into ins_premium_det (premium_rcv_code,assorted_code, rec_amount,premium_rcv_detail_code,remaining_amt, payrec, mode_code,coinsurance_code,class_cd,it_remarks) values('29Oct240071','040000183266','14960',(select max(to_number(i.premium_rcv_detail_code))+1
from ins_premium_det i),'14960','14960','02', '11000003','00','Request by Mr. Omair Ali 30-Aug-2024');</v>
      </c>
    </row>
    <row r="34" spans="1:8" ht="105" x14ac:dyDescent="0.25">
      <c r="A34" t="s">
        <v>172</v>
      </c>
      <c r="B34" s="80" t="str">
        <f>VLOOKUP(A34,policy!B:C,2,0)</f>
        <v>040000183267</v>
      </c>
      <c r="C34" s="46">
        <v>9550</v>
      </c>
      <c r="D34" s="81">
        <f t="shared" si="1"/>
        <v>9550</v>
      </c>
      <c r="E34" s="79" t="s">
        <v>3563</v>
      </c>
      <c r="F34" s="82" t="str">
        <f t="shared" si="0"/>
        <v>insert into ins_premium_det (premium_rcv_code,assorted_code, rec_amount,premium_rcv_detail_code,remaining_amt, payrec, mode_code,coinsurance_code,class_cd,it_remarks) values</v>
      </c>
      <c r="G34" s="83" t="str">
        <f t="shared" si="2"/>
        <v>('29Oct240071','040000183267','9550',(select max(to_number(i.premium_rcv_detail_code))+1
from ins_premium_det i),'9550','9550','02', '11000003','00','Request by Mr. Omair Ali 30-Aug-2024');</v>
      </c>
      <c r="H34" s="84" t="str">
        <f t="shared" si="3"/>
        <v>insert into ins_premium_det (premium_rcv_code,assorted_code, rec_amount,premium_rcv_detail_code,remaining_amt, payrec, mode_code,coinsurance_code,class_cd,it_remarks) values('29Oct240071','040000183267','9550',(select max(to_number(i.premium_rcv_detail_code))+1
from ins_premium_det i),'9550','9550','02', '11000003','00','Request by Mr. Omair Ali 30-Aug-2024');</v>
      </c>
    </row>
    <row r="35" spans="1:8" ht="105" x14ac:dyDescent="0.25">
      <c r="A35" t="s">
        <v>173</v>
      </c>
      <c r="B35" s="80" t="str">
        <f>VLOOKUP(A35,policy!B:C,2,0)</f>
        <v>040000183268</v>
      </c>
      <c r="C35" s="46">
        <v>8800</v>
      </c>
      <c r="D35" s="81">
        <f t="shared" si="1"/>
        <v>8800</v>
      </c>
      <c r="E35" s="79" t="s">
        <v>3563</v>
      </c>
      <c r="F35" s="82" t="str">
        <f t="shared" si="0"/>
        <v>insert into ins_premium_det (premium_rcv_code,assorted_code, rec_amount,premium_rcv_detail_code,remaining_amt, payrec, mode_code,coinsurance_code,class_cd,it_remarks) values</v>
      </c>
      <c r="G35" s="83" t="str">
        <f t="shared" si="2"/>
        <v>('29Oct240071','040000183268','8800',(select max(to_number(i.premium_rcv_detail_code))+1
from ins_premium_det i),'8800','8800','02', '11000003','00','Request by Mr. Omair Ali 30-Aug-2024');</v>
      </c>
      <c r="H35" s="84" t="str">
        <f t="shared" si="3"/>
        <v>insert into ins_premium_det (premium_rcv_code,assorted_code, rec_amount,premium_rcv_detail_code,remaining_amt, payrec, mode_code,coinsurance_code,class_cd,it_remarks) values('29Oct240071','040000183268','8800',(select max(to_number(i.premium_rcv_detail_code))+1
from ins_premium_det i),'8800','8800','02', '11000003','00','Request by Mr. Omair Ali 30-Aug-2024');</v>
      </c>
    </row>
    <row r="36" spans="1:8" ht="105" x14ac:dyDescent="0.25">
      <c r="A36" t="s">
        <v>174</v>
      </c>
      <c r="B36" s="80" t="str">
        <f>VLOOKUP(A36,policy!B:C,2,0)</f>
        <v>040000183269</v>
      </c>
      <c r="C36" s="46">
        <v>8800</v>
      </c>
      <c r="D36" s="81">
        <f t="shared" si="1"/>
        <v>8800</v>
      </c>
      <c r="E36" s="79" t="s">
        <v>3563</v>
      </c>
      <c r="F36" s="82" t="str">
        <f t="shared" si="0"/>
        <v>insert into ins_premium_det (premium_rcv_code,assorted_code, rec_amount,premium_rcv_detail_code,remaining_amt, payrec, mode_code,coinsurance_code,class_cd,it_remarks) values</v>
      </c>
      <c r="G36" s="83" t="str">
        <f t="shared" si="2"/>
        <v>('29Oct240071','040000183269','8800',(select max(to_number(i.premium_rcv_detail_code))+1
from ins_premium_det i),'8800','8800','02', '11000003','00','Request by Mr. Omair Ali 30-Aug-2024');</v>
      </c>
      <c r="H36" s="84" t="str">
        <f t="shared" si="3"/>
        <v>insert into ins_premium_det (premium_rcv_code,assorted_code, rec_amount,premium_rcv_detail_code,remaining_amt, payrec, mode_code,coinsurance_code,class_cd,it_remarks) values('29Oct240071','040000183269','8800',(select max(to_number(i.premium_rcv_detail_code))+1
from ins_premium_det i),'8800','8800','02', '11000003','00','Request by Mr. Omair Ali 30-Aug-2024');</v>
      </c>
    </row>
    <row r="37" spans="1:8" ht="105" x14ac:dyDescent="0.25">
      <c r="A37" t="s">
        <v>175</v>
      </c>
      <c r="B37" s="80" t="str">
        <f>VLOOKUP(A37,policy!B:C,2,0)</f>
        <v>040000183297</v>
      </c>
      <c r="C37" s="46">
        <v>8800</v>
      </c>
      <c r="D37" s="81">
        <f t="shared" si="1"/>
        <v>8800</v>
      </c>
      <c r="E37" s="79" t="s">
        <v>3563</v>
      </c>
      <c r="F37" s="82" t="str">
        <f t="shared" si="0"/>
        <v>insert into ins_premium_det (premium_rcv_code,assorted_code, rec_amount,premium_rcv_detail_code,remaining_amt, payrec, mode_code,coinsurance_code,class_cd,it_remarks) values</v>
      </c>
      <c r="G37" s="83" t="str">
        <f t="shared" si="2"/>
        <v>('29Oct240071','040000183297','8800',(select max(to_number(i.premium_rcv_detail_code))+1
from ins_premium_det i),'8800','8800','02', '11000003','00','Request by Mr. Omair Ali 30-Aug-2024');</v>
      </c>
      <c r="H37" s="84" t="str">
        <f t="shared" si="3"/>
        <v>insert into ins_premium_det (premium_rcv_code,assorted_code, rec_amount,premium_rcv_detail_code,remaining_amt, payrec, mode_code,coinsurance_code,class_cd,it_remarks) values('29Oct240071','040000183297','8800',(select max(to_number(i.premium_rcv_detail_code))+1
from ins_premium_det i),'8800','8800','02', '11000003','00','Request by Mr. Omair Ali 30-Aug-2024');</v>
      </c>
    </row>
    <row r="38" spans="1:8" ht="105" x14ac:dyDescent="0.25">
      <c r="A38" t="s">
        <v>176</v>
      </c>
      <c r="B38" s="80" t="str">
        <f>VLOOKUP(A38,policy!B:C,2,0)</f>
        <v>040000183299</v>
      </c>
      <c r="C38" s="46">
        <v>8800</v>
      </c>
      <c r="D38" s="81">
        <f t="shared" si="1"/>
        <v>8800</v>
      </c>
      <c r="E38" s="79" t="s">
        <v>3563</v>
      </c>
      <c r="F38" s="82" t="str">
        <f t="shared" si="0"/>
        <v>insert into ins_premium_det (premium_rcv_code,assorted_code, rec_amount,premium_rcv_detail_code,remaining_amt, payrec, mode_code,coinsurance_code,class_cd,it_remarks) values</v>
      </c>
      <c r="G38" s="83" t="str">
        <f t="shared" si="2"/>
        <v>('29Oct240071','040000183299','8800',(select max(to_number(i.premium_rcv_detail_code))+1
from ins_premium_det i),'8800','8800','02', '11000003','00','Request by Mr. Omair Ali 30-Aug-2024');</v>
      </c>
      <c r="H38" s="84" t="str">
        <f t="shared" si="3"/>
        <v>insert into ins_premium_det (premium_rcv_code,assorted_code, rec_amount,premium_rcv_detail_code,remaining_amt, payrec, mode_code,coinsurance_code,class_cd,it_remarks) values('29Oct240071','040000183299','8800',(select max(to_number(i.premium_rcv_detail_code))+1
from ins_premium_det i),'8800','8800','02', '11000003','00','Request by Mr. Omair Ali 30-Aug-2024');</v>
      </c>
    </row>
    <row r="39" spans="1:8" ht="105" x14ac:dyDescent="0.25">
      <c r="A39" t="s">
        <v>177</v>
      </c>
      <c r="B39" s="80" t="str">
        <f>VLOOKUP(A39,policy!B:C,2,0)</f>
        <v>040000183300</v>
      </c>
      <c r="C39" s="46">
        <v>8800</v>
      </c>
      <c r="D39" s="81">
        <f t="shared" si="1"/>
        <v>8800</v>
      </c>
      <c r="E39" s="79" t="s">
        <v>3563</v>
      </c>
      <c r="F39" s="82" t="str">
        <f t="shared" si="0"/>
        <v>insert into ins_premium_det (premium_rcv_code,assorted_code, rec_amount,premium_rcv_detail_code,remaining_amt, payrec, mode_code,coinsurance_code,class_cd,it_remarks) values</v>
      </c>
      <c r="G39" s="83" t="str">
        <f t="shared" si="2"/>
        <v>('29Oct240071','040000183300','8800',(select max(to_number(i.premium_rcv_detail_code))+1
from ins_premium_det i),'8800','8800','02', '11000003','00','Request by Mr. Omair Ali 30-Aug-2024');</v>
      </c>
      <c r="H39" s="84" t="str">
        <f t="shared" si="3"/>
        <v>insert into ins_premium_det (premium_rcv_code,assorted_code, rec_amount,premium_rcv_detail_code,remaining_amt, payrec, mode_code,coinsurance_code,class_cd,it_remarks) values('29Oct240071','040000183300','8800',(select max(to_number(i.premium_rcv_detail_code))+1
from ins_premium_det i),'8800','8800','02', '11000003','00','Request by Mr. Omair Ali 30-Aug-2024');</v>
      </c>
    </row>
    <row r="40" spans="1:8" ht="105" x14ac:dyDescent="0.25">
      <c r="A40" t="s">
        <v>178</v>
      </c>
      <c r="B40" s="80" t="str">
        <f>VLOOKUP(A40,policy!B:C,2,0)</f>
        <v>040000183301</v>
      </c>
      <c r="C40" s="46">
        <v>8800</v>
      </c>
      <c r="D40" s="81">
        <f t="shared" si="1"/>
        <v>8800</v>
      </c>
      <c r="E40" s="79" t="s">
        <v>3563</v>
      </c>
      <c r="F40" s="82" t="str">
        <f t="shared" si="0"/>
        <v>insert into ins_premium_det (premium_rcv_code,assorted_code, rec_amount,premium_rcv_detail_code,remaining_amt, payrec, mode_code,coinsurance_code,class_cd,it_remarks) values</v>
      </c>
      <c r="G40" s="83" t="str">
        <f t="shared" si="2"/>
        <v>('29Oct240071','040000183301','8800',(select max(to_number(i.premium_rcv_detail_code))+1
from ins_premium_det i),'8800','8800','02', '11000003','00','Request by Mr. Omair Ali 30-Aug-2024');</v>
      </c>
      <c r="H40" s="84" t="str">
        <f t="shared" si="3"/>
        <v>insert into ins_premium_det (premium_rcv_code,assorted_code, rec_amount,premium_rcv_detail_code,remaining_amt, payrec, mode_code,coinsurance_code,class_cd,it_remarks) values('29Oct240071','040000183301','8800',(select max(to_number(i.premium_rcv_detail_code))+1
from ins_premium_det i),'8800','8800','02', '11000003','00','Request by Mr. Omair Ali 30-Aug-2024');</v>
      </c>
    </row>
    <row r="41" spans="1:8" ht="105" x14ac:dyDescent="0.25">
      <c r="A41" t="s">
        <v>179</v>
      </c>
      <c r="B41" s="80" t="str">
        <f>VLOOKUP(A41,policy!B:C,2,0)</f>
        <v>040000183302</v>
      </c>
      <c r="C41" s="46">
        <v>8800</v>
      </c>
      <c r="D41" s="81">
        <f t="shared" si="1"/>
        <v>8800</v>
      </c>
      <c r="E41" s="79" t="s">
        <v>3563</v>
      </c>
      <c r="F41" s="82" t="str">
        <f t="shared" si="0"/>
        <v>insert into ins_premium_det (premium_rcv_code,assorted_code, rec_amount,premium_rcv_detail_code,remaining_amt, payrec, mode_code,coinsurance_code,class_cd,it_remarks) values</v>
      </c>
      <c r="G41" s="83" t="str">
        <f t="shared" si="2"/>
        <v>('29Oct240071','040000183302','8800',(select max(to_number(i.premium_rcv_detail_code))+1
from ins_premium_det i),'8800','8800','02', '11000003','00','Request by Mr. Omair Ali 30-Aug-2024');</v>
      </c>
      <c r="H41" s="84" t="str">
        <f t="shared" si="3"/>
        <v>insert into ins_premium_det (premium_rcv_code,assorted_code, rec_amount,premium_rcv_detail_code,remaining_amt, payrec, mode_code,coinsurance_code,class_cd,it_remarks) values('29Oct240071','040000183302','8800',(select max(to_number(i.premium_rcv_detail_code))+1
from ins_premium_det i),'8800','8800','02', '11000003','00','Request by Mr. Omair Ali 30-Aug-2024');</v>
      </c>
    </row>
    <row r="42" spans="1:8" ht="105" x14ac:dyDescent="0.25">
      <c r="A42" t="s">
        <v>180</v>
      </c>
      <c r="B42" s="80" t="str">
        <f>VLOOKUP(A42,policy!B:C,2,0)</f>
        <v>040000183303</v>
      </c>
      <c r="C42" s="46">
        <v>9550</v>
      </c>
      <c r="D42" s="81">
        <f t="shared" si="1"/>
        <v>9550</v>
      </c>
      <c r="E42" s="79" t="s">
        <v>3563</v>
      </c>
      <c r="F42" s="82" t="str">
        <f t="shared" si="0"/>
        <v>insert into ins_premium_det (premium_rcv_code,assorted_code, rec_amount,premium_rcv_detail_code,remaining_amt, payrec, mode_code,coinsurance_code,class_cd,it_remarks) values</v>
      </c>
      <c r="G42" s="83" t="str">
        <f t="shared" si="2"/>
        <v>('29Oct240071','040000183303','9550',(select max(to_number(i.premium_rcv_detail_code))+1
from ins_premium_det i),'9550','9550','02', '11000003','00','Request by Mr. Omair Ali 30-Aug-2024');</v>
      </c>
      <c r="H42" s="84" t="str">
        <f t="shared" si="3"/>
        <v>insert into ins_premium_det (premium_rcv_code,assorted_code, rec_amount,premium_rcv_detail_code,remaining_amt, payrec, mode_code,coinsurance_code,class_cd,it_remarks) values('29Oct240071','040000183303','9550',(select max(to_number(i.premium_rcv_detail_code))+1
from ins_premium_det i),'9550','9550','02', '11000003','00','Request by Mr. Omair Ali 30-Aug-2024');</v>
      </c>
    </row>
    <row r="43" spans="1:8" ht="105" x14ac:dyDescent="0.25">
      <c r="A43" t="s">
        <v>181</v>
      </c>
      <c r="B43" s="80" t="str">
        <f>VLOOKUP(A43,policy!B:C,2,0)</f>
        <v>040000183304</v>
      </c>
      <c r="C43" s="46">
        <v>9550</v>
      </c>
      <c r="D43" s="81">
        <f t="shared" si="1"/>
        <v>9550</v>
      </c>
      <c r="E43" s="79" t="s">
        <v>3563</v>
      </c>
      <c r="F43" s="82" t="str">
        <f t="shared" si="0"/>
        <v>insert into ins_premium_det (premium_rcv_code,assorted_code, rec_amount,premium_rcv_detail_code,remaining_amt, payrec, mode_code,coinsurance_code,class_cd,it_remarks) values</v>
      </c>
      <c r="G43" s="83" t="str">
        <f t="shared" si="2"/>
        <v>('29Oct240071','040000183304','9550',(select max(to_number(i.premium_rcv_detail_code))+1
from ins_premium_det i),'9550','9550','02', '11000003','00','Request by Mr. Omair Ali 30-Aug-2024');</v>
      </c>
      <c r="H43" s="84" t="str">
        <f t="shared" si="3"/>
        <v>insert into ins_premium_det (premium_rcv_code,assorted_code, rec_amount,premium_rcv_detail_code,remaining_amt, payrec, mode_code,coinsurance_code,class_cd,it_remarks) values('29Oct240071','040000183304','9550',(select max(to_number(i.premium_rcv_detail_code))+1
from ins_premium_det i),'9550','9550','02', '11000003','00','Request by Mr. Omair Ali 30-Aug-2024');</v>
      </c>
    </row>
    <row r="44" spans="1:8" ht="105" x14ac:dyDescent="0.25">
      <c r="A44" t="s">
        <v>182</v>
      </c>
      <c r="B44" s="80" t="str">
        <f>VLOOKUP(A44,policy!B:C,2,0)</f>
        <v>040000183305</v>
      </c>
      <c r="C44" s="46">
        <v>12475</v>
      </c>
      <c r="D44" s="81">
        <f t="shared" si="1"/>
        <v>12475</v>
      </c>
      <c r="E44" s="79" t="s">
        <v>3563</v>
      </c>
      <c r="F44" s="82" t="str">
        <f t="shared" si="0"/>
        <v>insert into ins_premium_det (premium_rcv_code,assorted_code, rec_amount,premium_rcv_detail_code,remaining_amt, payrec, mode_code,coinsurance_code,class_cd,it_remarks) values</v>
      </c>
      <c r="G44" s="83" t="str">
        <f t="shared" si="2"/>
        <v>('29Oct240071','040000183305','12475',(select max(to_number(i.premium_rcv_detail_code))+1
from ins_premium_det i),'12475','12475','02', '11000003','00','Request by Mr. Omair Ali 30-Aug-2024');</v>
      </c>
      <c r="H44" s="84" t="str">
        <f t="shared" si="3"/>
        <v>insert into ins_premium_det (premium_rcv_code,assorted_code, rec_amount,premium_rcv_detail_code,remaining_amt, payrec, mode_code,coinsurance_code,class_cd,it_remarks) values('29Oct240071','040000183305','12475',(select max(to_number(i.premium_rcv_detail_code))+1
from ins_premium_det i),'12475','12475','02', '11000003','00','Request by Mr. Omair Ali 30-Aug-2024');</v>
      </c>
    </row>
    <row r="45" spans="1:8" ht="105" x14ac:dyDescent="0.25">
      <c r="A45" t="s">
        <v>183</v>
      </c>
      <c r="B45" s="80" t="str">
        <f>VLOOKUP(A45,policy!B:C,2,0)</f>
        <v>040000183307</v>
      </c>
      <c r="C45" s="46">
        <v>8800</v>
      </c>
      <c r="D45" s="81">
        <f t="shared" si="1"/>
        <v>8800</v>
      </c>
      <c r="E45" s="79" t="s">
        <v>3563</v>
      </c>
      <c r="F45" s="82" t="str">
        <f t="shared" si="0"/>
        <v>insert into ins_premium_det (premium_rcv_code,assorted_code, rec_amount,premium_rcv_detail_code,remaining_amt, payrec, mode_code,coinsurance_code,class_cd,it_remarks) values</v>
      </c>
      <c r="G45" s="83" t="str">
        <f t="shared" si="2"/>
        <v>('29Oct240071','040000183307','8800',(select max(to_number(i.premium_rcv_detail_code))+1
from ins_premium_det i),'8800','8800','02', '11000003','00','Request by Mr. Omair Ali 30-Aug-2024');</v>
      </c>
      <c r="H45" s="84" t="str">
        <f t="shared" si="3"/>
        <v>insert into ins_premium_det (premium_rcv_code,assorted_code, rec_amount,premium_rcv_detail_code,remaining_amt, payrec, mode_code,coinsurance_code,class_cd,it_remarks) values('29Oct240071','040000183307','8800',(select max(to_number(i.premium_rcv_detail_code))+1
from ins_premium_det i),'8800','8800','02', '11000003','00','Request by Mr. Omair Ali 30-Aug-2024');</v>
      </c>
    </row>
    <row r="46" spans="1:8" ht="105" x14ac:dyDescent="0.25">
      <c r="A46" t="s">
        <v>184</v>
      </c>
      <c r="B46" s="80" t="str">
        <f>VLOOKUP(A46,policy!B:C,2,0)</f>
        <v>040000183308</v>
      </c>
      <c r="C46" s="46">
        <v>9550</v>
      </c>
      <c r="D46" s="81">
        <f t="shared" si="1"/>
        <v>9550</v>
      </c>
      <c r="E46" s="79" t="s">
        <v>3563</v>
      </c>
      <c r="F46" s="82" t="str">
        <f t="shared" si="0"/>
        <v>insert into ins_premium_det (premium_rcv_code,assorted_code, rec_amount,premium_rcv_detail_code,remaining_amt, payrec, mode_code,coinsurance_code,class_cd,it_remarks) values</v>
      </c>
      <c r="G46" s="83" t="str">
        <f t="shared" si="2"/>
        <v>('29Oct240071','040000183308','9550',(select max(to_number(i.premium_rcv_detail_code))+1
from ins_premium_det i),'9550','9550','02', '11000003','00','Request by Mr. Omair Ali 30-Aug-2024');</v>
      </c>
      <c r="H46" s="84" t="str">
        <f t="shared" si="3"/>
        <v>insert into ins_premium_det (premium_rcv_code,assorted_code, rec_amount,premium_rcv_detail_code,remaining_amt, payrec, mode_code,coinsurance_code,class_cd,it_remarks) values('29Oct240071','040000183308','9550',(select max(to_number(i.premium_rcv_detail_code))+1
from ins_premium_det i),'9550','9550','02', '11000003','00','Request by Mr. Omair Ali 30-Aug-2024');</v>
      </c>
    </row>
    <row r="47" spans="1:8" ht="105" x14ac:dyDescent="0.25">
      <c r="A47" t="s">
        <v>185</v>
      </c>
      <c r="B47" s="80" t="str">
        <f>VLOOKUP(A47,policy!B:C,2,0)</f>
        <v>040000183309</v>
      </c>
      <c r="C47" s="46">
        <v>8800</v>
      </c>
      <c r="D47" s="81">
        <f t="shared" si="1"/>
        <v>8800</v>
      </c>
      <c r="E47" s="79" t="s">
        <v>3563</v>
      </c>
      <c r="F47" s="82" t="str">
        <f t="shared" si="0"/>
        <v>insert into ins_premium_det (premium_rcv_code,assorted_code, rec_amount,premium_rcv_detail_code,remaining_amt, payrec, mode_code,coinsurance_code,class_cd,it_remarks) values</v>
      </c>
      <c r="G47" s="83" t="str">
        <f t="shared" si="2"/>
        <v>('29Oct240071','040000183309','8800',(select max(to_number(i.premium_rcv_detail_code))+1
from ins_premium_det i),'8800','8800','02', '11000003','00','Request by Mr. Omair Ali 30-Aug-2024');</v>
      </c>
      <c r="H47" s="84" t="str">
        <f t="shared" si="3"/>
        <v>insert into ins_premium_det (premium_rcv_code,assorted_code, rec_amount,premium_rcv_detail_code,remaining_amt, payrec, mode_code,coinsurance_code,class_cd,it_remarks) values('29Oct240071','040000183309','8800',(select max(to_number(i.premium_rcv_detail_code))+1
from ins_premium_det i),'8800','8800','02', '11000003','00','Request by Mr. Omair Ali 30-Aug-2024');</v>
      </c>
    </row>
    <row r="48" spans="1:8" ht="105" x14ac:dyDescent="0.25">
      <c r="A48" t="s">
        <v>186</v>
      </c>
      <c r="B48" s="80" t="str">
        <f>VLOOKUP(A48,policy!B:C,2,0)</f>
        <v>040000183310</v>
      </c>
      <c r="C48" s="46">
        <v>8800</v>
      </c>
      <c r="D48" s="81">
        <f t="shared" si="1"/>
        <v>8800</v>
      </c>
      <c r="E48" s="79" t="s">
        <v>3563</v>
      </c>
      <c r="F48" s="82" t="str">
        <f t="shared" si="0"/>
        <v>insert into ins_premium_det (premium_rcv_code,assorted_code, rec_amount,premium_rcv_detail_code,remaining_amt, payrec, mode_code,coinsurance_code,class_cd,it_remarks) values</v>
      </c>
      <c r="G48" s="83" t="str">
        <f t="shared" si="2"/>
        <v>('29Oct240071','040000183310','8800',(select max(to_number(i.premium_rcv_detail_code))+1
from ins_premium_det i),'8800','8800','02', '11000003','00','Request by Mr. Omair Ali 30-Aug-2024');</v>
      </c>
      <c r="H48" s="84" t="str">
        <f t="shared" si="3"/>
        <v>insert into ins_premium_det (premium_rcv_code,assorted_code, rec_amount,premium_rcv_detail_code,remaining_amt, payrec, mode_code,coinsurance_code,class_cd,it_remarks) values('29Oct240071','040000183310','8800',(select max(to_number(i.premium_rcv_detail_code))+1
from ins_premium_det i),'8800','8800','02', '11000003','00','Request by Mr. Omair Ali 30-Aug-2024');</v>
      </c>
    </row>
    <row r="49" spans="1:8" ht="105" x14ac:dyDescent="0.25">
      <c r="A49" t="s">
        <v>187</v>
      </c>
      <c r="B49" s="80" t="str">
        <f>VLOOKUP(A49,policy!B:C,2,0)</f>
        <v>040000183311</v>
      </c>
      <c r="C49" s="46">
        <v>8800</v>
      </c>
      <c r="D49" s="81">
        <f t="shared" si="1"/>
        <v>8800</v>
      </c>
      <c r="E49" s="79" t="s">
        <v>3563</v>
      </c>
      <c r="F49" s="82" t="str">
        <f t="shared" si="0"/>
        <v>insert into ins_premium_det (premium_rcv_code,assorted_code, rec_amount,premium_rcv_detail_code,remaining_amt, payrec, mode_code,coinsurance_code,class_cd,it_remarks) values</v>
      </c>
      <c r="G49" s="83" t="str">
        <f t="shared" si="2"/>
        <v>('29Oct240071','040000183311','8800',(select max(to_number(i.premium_rcv_detail_code))+1
from ins_premium_det i),'8800','8800','02', '11000003','00','Request by Mr. Omair Ali 30-Aug-2024');</v>
      </c>
      <c r="H49" s="84" t="str">
        <f t="shared" si="3"/>
        <v>insert into ins_premium_det (premium_rcv_code,assorted_code, rec_amount,premium_rcv_detail_code,remaining_amt, payrec, mode_code,coinsurance_code,class_cd,it_remarks) values('29Oct240071','040000183311','8800',(select max(to_number(i.premium_rcv_detail_code))+1
from ins_premium_det i),'8800','8800','02', '11000003','00','Request by Mr. Omair Ali 30-Aug-2024');</v>
      </c>
    </row>
    <row r="50" spans="1:8" ht="105" x14ac:dyDescent="0.25">
      <c r="A50" t="s">
        <v>188</v>
      </c>
      <c r="B50" s="80" t="str">
        <f>VLOOKUP(A50,policy!B:C,2,0)</f>
        <v>040000183313</v>
      </c>
      <c r="C50" s="46">
        <v>9550</v>
      </c>
      <c r="D50" s="81">
        <f t="shared" si="1"/>
        <v>9550</v>
      </c>
      <c r="E50" s="79" t="s">
        <v>3563</v>
      </c>
      <c r="F50" s="82" t="str">
        <f t="shared" si="0"/>
        <v>insert into ins_premium_det (premium_rcv_code,assorted_code, rec_amount,premium_rcv_detail_code,remaining_amt, payrec, mode_code,coinsurance_code,class_cd,it_remarks) values</v>
      </c>
      <c r="G50" s="83" t="str">
        <f t="shared" si="2"/>
        <v>('29Oct240071','040000183313','9550',(select max(to_number(i.premium_rcv_detail_code))+1
from ins_premium_det i),'9550','9550','02', '11000003','00','Request by Mr. Omair Ali 30-Aug-2024');</v>
      </c>
      <c r="H50" s="84" t="str">
        <f t="shared" si="3"/>
        <v>insert into ins_premium_det (premium_rcv_code,assorted_code, rec_amount,premium_rcv_detail_code,remaining_amt, payrec, mode_code,coinsurance_code,class_cd,it_remarks) values('29Oct240071','040000183313','9550',(select max(to_number(i.premium_rcv_detail_code))+1
from ins_premium_det i),'9550','9550','02', '11000003','00','Request by Mr. Omair Ali 30-Aug-2024');</v>
      </c>
    </row>
    <row r="51" spans="1:8" ht="105" x14ac:dyDescent="0.25">
      <c r="A51" t="s">
        <v>189</v>
      </c>
      <c r="B51" s="80" t="str">
        <f>VLOOKUP(A51,policy!B:C,2,0)</f>
        <v>040000183315</v>
      </c>
      <c r="C51" s="46">
        <v>8800</v>
      </c>
      <c r="D51" s="81">
        <f t="shared" si="1"/>
        <v>8800</v>
      </c>
      <c r="E51" s="79" t="s">
        <v>3563</v>
      </c>
      <c r="F51" s="82" t="str">
        <f t="shared" si="0"/>
        <v>insert into ins_premium_det (premium_rcv_code,assorted_code, rec_amount,premium_rcv_detail_code,remaining_amt, payrec, mode_code,coinsurance_code,class_cd,it_remarks) values</v>
      </c>
      <c r="G51" s="83" t="str">
        <f t="shared" si="2"/>
        <v>('29Oct240071','040000183315','8800',(select max(to_number(i.premium_rcv_detail_code))+1
from ins_premium_det i),'8800','8800','02', '11000003','00','Request by Mr. Omair Ali 30-Aug-2024');</v>
      </c>
      <c r="H51" s="84" t="str">
        <f t="shared" si="3"/>
        <v>insert into ins_premium_det (premium_rcv_code,assorted_code, rec_amount,premium_rcv_detail_code,remaining_amt, payrec, mode_code,coinsurance_code,class_cd,it_remarks) values('29Oct240071','040000183315','8800',(select max(to_number(i.premium_rcv_detail_code))+1
from ins_premium_det i),'8800','8800','02', '11000003','00','Request by Mr. Omair Ali 30-Aug-2024');</v>
      </c>
    </row>
    <row r="52" spans="1:8" ht="105" x14ac:dyDescent="0.25">
      <c r="A52" t="s">
        <v>190</v>
      </c>
      <c r="B52" s="80" t="str">
        <f>VLOOKUP(A52,policy!B:C,2,0)</f>
        <v>040000183316</v>
      </c>
      <c r="C52" s="46">
        <v>8800</v>
      </c>
      <c r="D52" s="81">
        <f t="shared" si="1"/>
        <v>8800</v>
      </c>
      <c r="E52" s="79" t="s">
        <v>3563</v>
      </c>
      <c r="F52" s="82" t="str">
        <f t="shared" si="0"/>
        <v>insert into ins_premium_det (premium_rcv_code,assorted_code, rec_amount,premium_rcv_detail_code,remaining_amt, payrec, mode_code,coinsurance_code,class_cd,it_remarks) values</v>
      </c>
      <c r="G52" s="83" t="str">
        <f t="shared" si="2"/>
        <v>('29Oct240071','040000183316','8800',(select max(to_number(i.premium_rcv_detail_code))+1
from ins_premium_det i),'8800','8800','02', '11000003','00','Request by Mr. Omair Ali 30-Aug-2024');</v>
      </c>
      <c r="H52" s="84" t="str">
        <f t="shared" si="3"/>
        <v>insert into ins_premium_det (premium_rcv_code,assorted_code, rec_amount,premium_rcv_detail_code,remaining_amt, payrec, mode_code,coinsurance_code,class_cd,it_remarks) values('29Oct240071','040000183316','8800',(select max(to_number(i.premium_rcv_detail_code))+1
from ins_premium_det i),'8800','8800','02', '11000003','00','Request by Mr. Omair Ali 30-Aug-2024');</v>
      </c>
    </row>
    <row r="53" spans="1:8" ht="105" x14ac:dyDescent="0.25">
      <c r="A53" t="s">
        <v>191</v>
      </c>
      <c r="B53" s="80" t="str">
        <f>VLOOKUP(A53,policy!B:C,2,0)</f>
        <v>040000183317</v>
      </c>
      <c r="C53" s="46">
        <v>9550</v>
      </c>
      <c r="D53" s="81">
        <f t="shared" si="1"/>
        <v>9550</v>
      </c>
      <c r="E53" s="79" t="s">
        <v>3563</v>
      </c>
      <c r="F53" s="82" t="str">
        <f t="shared" si="0"/>
        <v>insert into ins_premium_det (premium_rcv_code,assorted_code, rec_amount,premium_rcv_detail_code,remaining_amt, payrec, mode_code,coinsurance_code,class_cd,it_remarks) values</v>
      </c>
      <c r="G53" s="83" t="str">
        <f t="shared" si="2"/>
        <v>('29Oct240071','040000183317','9550',(select max(to_number(i.premium_rcv_detail_code))+1
from ins_premium_det i),'9550','9550','02', '11000003','00','Request by Mr. Omair Ali 30-Aug-2024');</v>
      </c>
      <c r="H53" s="84" t="str">
        <f t="shared" si="3"/>
        <v>insert into ins_premium_det (premium_rcv_code,assorted_code, rec_amount,premium_rcv_detail_code,remaining_amt, payrec, mode_code,coinsurance_code,class_cd,it_remarks) values('29Oct240071','040000183317','9550',(select max(to_number(i.premium_rcv_detail_code))+1
from ins_premium_det i),'9550','9550','02', '11000003','00','Request by Mr. Omair Ali 30-Aug-2024');</v>
      </c>
    </row>
    <row r="54" spans="1:8" ht="105" x14ac:dyDescent="0.25">
      <c r="A54" t="s">
        <v>192</v>
      </c>
      <c r="B54" s="80" t="str">
        <f>VLOOKUP(A54,policy!B:C,2,0)</f>
        <v>040000183318</v>
      </c>
      <c r="C54" s="46">
        <v>8800</v>
      </c>
      <c r="D54" s="81">
        <f t="shared" si="1"/>
        <v>8800</v>
      </c>
      <c r="E54" s="79" t="s">
        <v>3563</v>
      </c>
      <c r="F54" s="82" t="str">
        <f t="shared" si="0"/>
        <v>insert into ins_premium_det (premium_rcv_code,assorted_code, rec_amount,premium_rcv_detail_code,remaining_amt, payrec, mode_code,coinsurance_code,class_cd,it_remarks) values</v>
      </c>
      <c r="G54" s="83" t="str">
        <f t="shared" si="2"/>
        <v>('29Oct240071','040000183318','8800',(select max(to_number(i.premium_rcv_detail_code))+1
from ins_premium_det i),'8800','8800','02', '11000003','00','Request by Mr. Omair Ali 30-Aug-2024');</v>
      </c>
      <c r="H54" s="84" t="str">
        <f t="shared" si="3"/>
        <v>insert into ins_premium_det (premium_rcv_code,assorted_code, rec_amount,premium_rcv_detail_code,remaining_amt, payrec, mode_code,coinsurance_code,class_cd,it_remarks) values('29Oct240071','040000183318','8800',(select max(to_number(i.premium_rcv_detail_code))+1
from ins_premium_det i),'8800','8800','02', '11000003','00','Request by Mr. Omair Ali 30-Aug-2024');</v>
      </c>
    </row>
    <row r="55" spans="1:8" ht="105" x14ac:dyDescent="0.25">
      <c r="A55" t="s">
        <v>193</v>
      </c>
      <c r="B55" s="80" t="str">
        <f>VLOOKUP(A55,policy!B:C,2,0)</f>
        <v>040000183320</v>
      </c>
      <c r="C55" s="46">
        <v>13675</v>
      </c>
      <c r="D55" s="81">
        <f t="shared" si="1"/>
        <v>13675</v>
      </c>
      <c r="E55" s="79" t="s">
        <v>3563</v>
      </c>
      <c r="F55" s="82" t="str">
        <f t="shared" si="0"/>
        <v>insert into ins_premium_det (premium_rcv_code,assorted_code, rec_amount,premium_rcv_detail_code,remaining_amt, payrec, mode_code,coinsurance_code,class_cd,it_remarks) values</v>
      </c>
      <c r="G55" s="83" t="str">
        <f t="shared" si="2"/>
        <v>('29Oct240071','040000183320','13675',(select max(to_number(i.premium_rcv_detail_code))+1
from ins_premium_det i),'13675','13675','02', '11000003','00','Request by Mr. Omair Ali 30-Aug-2024');</v>
      </c>
      <c r="H55" s="84" t="str">
        <f t="shared" si="3"/>
        <v>insert into ins_premium_det (premium_rcv_code,assorted_code, rec_amount,premium_rcv_detail_code,remaining_amt, payrec, mode_code,coinsurance_code,class_cd,it_remarks) values('29Oct240071','040000183320','13675',(select max(to_number(i.premium_rcv_detail_code))+1
from ins_premium_det i),'13675','13675','02', '11000003','00','Request by Mr. Omair Ali 30-Aug-2024');</v>
      </c>
    </row>
    <row r="56" spans="1:8" ht="105" x14ac:dyDescent="0.25">
      <c r="A56" t="s">
        <v>194</v>
      </c>
      <c r="B56" s="80" t="str">
        <f>VLOOKUP(A56,policy!B:C,2,0)</f>
        <v>040000183331</v>
      </c>
      <c r="C56" s="46">
        <v>9550</v>
      </c>
      <c r="D56" s="81">
        <f t="shared" si="1"/>
        <v>9550</v>
      </c>
      <c r="E56" s="79" t="s">
        <v>3563</v>
      </c>
      <c r="F56" s="82" t="str">
        <f t="shared" si="0"/>
        <v>insert into ins_premium_det (premium_rcv_code,assorted_code, rec_amount,premium_rcv_detail_code,remaining_amt, payrec, mode_code,coinsurance_code,class_cd,it_remarks) values</v>
      </c>
      <c r="G56" s="83" t="str">
        <f t="shared" si="2"/>
        <v>('29Oct240071','040000183331','9550',(select max(to_number(i.premium_rcv_detail_code))+1
from ins_premium_det i),'9550','9550','02', '11000003','00','Request by Mr. Omair Ali 30-Aug-2024');</v>
      </c>
      <c r="H56" s="84" t="str">
        <f t="shared" si="3"/>
        <v>insert into ins_premium_det (premium_rcv_code,assorted_code, rec_amount,premium_rcv_detail_code,remaining_amt, payrec, mode_code,coinsurance_code,class_cd,it_remarks) values('29Oct240071','040000183331','9550',(select max(to_number(i.premium_rcv_detail_code))+1
from ins_premium_det i),'9550','9550','02', '11000003','00','Request by Mr. Omair Ali 30-Aug-2024');</v>
      </c>
    </row>
    <row r="57" spans="1:8" ht="105" x14ac:dyDescent="0.25">
      <c r="A57" t="s">
        <v>195</v>
      </c>
      <c r="B57" s="80" t="str">
        <f>VLOOKUP(A57,policy!B:C,2,0)</f>
        <v>040000183333</v>
      </c>
      <c r="C57" s="46">
        <v>14960</v>
      </c>
      <c r="D57" s="81">
        <f t="shared" si="1"/>
        <v>14960</v>
      </c>
      <c r="E57" s="79" t="s">
        <v>3563</v>
      </c>
      <c r="F57" s="82" t="str">
        <f t="shared" si="0"/>
        <v>insert into ins_premium_det (premium_rcv_code,assorted_code, rec_amount,premium_rcv_detail_code,remaining_amt, payrec, mode_code,coinsurance_code,class_cd,it_remarks) values</v>
      </c>
      <c r="G57" s="83" t="str">
        <f t="shared" si="2"/>
        <v>('29Oct240071','040000183333','14960',(select max(to_number(i.premium_rcv_detail_code))+1
from ins_premium_det i),'14960','14960','02', '11000003','00','Request by Mr. Omair Ali 30-Aug-2024');</v>
      </c>
      <c r="H57" s="84" t="str">
        <f t="shared" si="3"/>
        <v>insert into ins_premium_det (premium_rcv_code,assorted_code, rec_amount,premium_rcv_detail_code,remaining_amt, payrec, mode_code,coinsurance_code,class_cd,it_remarks) values('29Oct240071','040000183333','14960',(select max(to_number(i.premium_rcv_detail_code))+1
from ins_premium_det i),'14960','14960','02', '11000003','00','Request by Mr. Omair Ali 30-Aug-2024');</v>
      </c>
    </row>
    <row r="58" spans="1:8" ht="105" x14ac:dyDescent="0.25">
      <c r="A58" t="s">
        <v>196</v>
      </c>
      <c r="B58" s="80" t="str">
        <f>VLOOKUP(A58,policy!B:C,2,0)</f>
        <v>040000183337</v>
      </c>
      <c r="C58" s="46">
        <v>14960</v>
      </c>
      <c r="D58" s="81">
        <f t="shared" si="1"/>
        <v>14960</v>
      </c>
      <c r="E58" s="79" t="s">
        <v>3563</v>
      </c>
      <c r="F58" s="82" t="str">
        <f t="shared" si="0"/>
        <v>insert into ins_premium_det (premium_rcv_code,assorted_code, rec_amount,premium_rcv_detail_code,remaining_amt, payrec, mode_code,coinsurance_code,class_cd,it_remarks) values</v>
      </c>
      <c r="G58" s="83" t="str">
        <f t="shared" si="2"/>
        <v>('29Oct240071','040000183337','14960',(select max(to_number(i.premium_rcv_detail_code))+1
from ins_premium_det i),'14960','14960','02', '11000003','00','Request by Mr. Omair Ali 30-Aug-2024');</v>
      </c>
      <c r="H58" s="84" t="str">
        <f t="shared" si="3"/>
        <v>insert into ins_premium_det (premium_rcv_code,assorted_code, rec_amount,premium_rcv_detail_code,remaining_amt, payrec, mode_code,coinsurance_code,class_cd,it_remarks) values('29Oct240071','040000183337','14960',(select max(to_number(i.premium_rcv_detail_code))+1
from ins_premium_det i),'14960','14960','02', '11000003','00','Request by Mr. Omair Ali 30-Aug-2024');</v>
      </c>
    </row>
    <row r="59" spans="1:8" ht="105" x14ac:dyDescent="0.25">
      <c r="A59" t="s">
        <v>197</v>
      </c>
      <c r="B59" s="80" t="str">
        <f>VLOOKUP(A59,policy!B:C,2,0)</f>
        <v>040000183340</v>
      </c>
      <c r="C59" s="46">
        <v>9550</v>
      </c>
      <c r="D59" s="81">
        <f t="shared" si="1"/>
        <v>9550</v>
      </c>
      <c r="E59" s="79" t="s">
        <v>3563</v>
      </c>
      <c r="F59" s="82" t="str">
        <f t="shared" si="0"/>
        <v>insert into ins_premium_det (premium_rcv_code,assorted_code, rec_amount,premium_rcv_detail_code,remaining_amt, payrec, mode_code,coinsurance_code,class_cd,it_remarks) values</v>
      </c>
      <c r="G59" s="83" t="str">
        <f t="shared" si="2"/>
        <v>('29Oct240071','040000183340','9550',(select max(to_number(i.premium_rcv_detail_code))+1
from ins_premium_det i),'9550','9550','02', '11000003','00','Request by Mr. Omair Ali 30-Aug-2024');</v>
      </c>
      <c r="H59" s="84" t="str">
        <f t="shared" si="3"/>
        <v>insert into ins_premium_det (premium_rcv_code,assorted_code, rec_amount,premium_rcv_detail_code,remaining_amt, payrec, mode_code,coinsurance_code,class_cd,it_remarks) values('29Oct240071','040000183340','9550',(select max(to_number(i.premium_rcv_detail_code))+1
from ins_premium_det i),'9550','9550','02', '11000003','00','Request by Mr. Omair Ali 30-Aug-2024');</v>
      </c>
    </row>
    <row r="60" spans="1:8" ht="105" x14ac:dyDescent="0.25">
      <c r="A60" t="s">
        <v>198</v>
      </c>
      <c r="B60" s="80" t="str">
        <f>VLOOKUP(A60,policy!B:C,2,0)</f>
        <v>040000183341</v>
      </c>
      <c r="C60" s="46">
        <v>16235</v>
      </c>
      <c r="D60" s="81">
        <f t="shared" si="1"/>
        <v>16235</v>
      </c>
      <c r="E60" s="79" t="s">
        <v>3563</v>
      </c>
      <c r="F60" s="82" t="str">
        <f t="shared" si="0"/>
        <v>insert into ins_premium_det (premium_rcv_code,assorted_code, rec_amount,premium_rcv_detail_code,remaining_amt, payrec, mode_code,coinsurance_code,class_cd,it_remarks) values</v>
      </c>
      <c r="G60" s="83" t="str">
        <f t="shared" si="2"/>
        <v>('29Oct240071','040000183341','16235',(select max(to_number(i.premium_rcv_detail_code))+1
from ins_premium_det i),'16235','16235','02', '11000003','00','Request by Mr. Omair Ali 30-Aug-2024');</v>
      </c>
      <c r="H60" s="84" t="str">
        <f t="shared" si="3"/>
        <v>insert into ins_premium_det (premium_rcv_code,assorted_code, rec_amount,premium_rcv_detail_code,remaining_amt, payrec, mode_code,coinsurance_code,class_cd,it_remarks) values('29Oct240071','040000183341','16235',(select max(to_number(i.premium_rcv_detail_code))+1
from ins_premium_det i),'16235','16235','02', '11000003','00','Request by Mr. Omair Ali 30-Aug-2024');</v>
      </c>
    </row>
    <row r="61" spans="1:8" ht="105" x14ac:dyDescent="0.25">
      <c r="A61" t="s">
        <v>199</v>
      </c>
      <c r="B61" s="80" t="str">
        <f>VLOOKUP(A61,policy!B:C,2,0)</f>
        <v>040000183342</v>
      </c>
      <c r="C61" s="46">
        <v>16235</v>
      </c>
      <c r="D61" s="81">
        <f t="shared" si="1"/>
        <v>16235</v>
      </c>
      <c r="E61" s="79" t="s">
        <v>3563</v>
      </c>
      <c r="F61" s="82" t="str">
        <f t="shared" si="0"/>
        <v>insert into ins_premium_det (premium_rcv_code,assorted_code, rec_amount,premium_rcv_detail_code,remaining_amt, payrec, mode_code,coinsurance_code,class_cd,it_remarks) values</v>
      </c>
      <c r="G61" s="83" t="str">
        <f t="shared" si="2"/>
        <v>('29Oct240071','040000183342','16235',(select max(to_number(i.premium_rcv_detail_code))+1
from ins_premium_det i),'16235','16235','02', '11000003','00','Request by Mr. Omair Ali 30-Aug-2024');</v>
      </c>
      <c r="H61" s="84" t="str">
        <f t="shared" si="3"/>
        <v>insert into ins_premium_det (premium_rcv_code,assorted_code, rec_amount,premium_rcv_detail_code,remaining_amt, payrec, mode_code,coinsurance_code,class_cd,it_remarks) values('29Oct240071','040000183342','16235',(select max(to_number(i.premium_rcv_detail_code))+1
from ins_premium_det i),'16235','16235','02', '11000003','00','Request by Mr. Omair Ali 30-Aug-2024');</v>
      </c>
    </row>
    <row r="62" spans="1:8" ht="105" x14ac:dyDescent="0.25">
      <c r="A62" t="s">
        <v>200</v>
      </c>
      <c r="B62" s="80" t="str">
        <f>VLOOKUP(A62,policy!B:C,2,0)</f>
        <v>040000183343</v>
      </c>
      <c r="C62" s="46">
        <v>9550</v>
      </c>
      <c r="D62" s="81">
        <f t="shared" si="1"/>
        <v>9550</v>
      </c>
      <c r="E62" s="79" t="s">
        <v>3563</v>
      </c>
      <c r="F62" s="82" t="str">
        <f t="shared" si="0"/>
        <v>insert into ins_premium_det (premium_rcv_code,assorted_code, rec_amount,premium_rcv_detail_code,remaining_amt, payrec, mode_code,coinsurance_code,class_cd,it_remarks) values</v>
      </c>
      <c r="G62" s="83" t="str">
        <f t="shared" si="2"/>
        <v>('29Oct240071','040000183343','9550',(select max(to_number(i.premium_rcv_detail_code))+1
from ins_premium_det i),'9550','9550','02', '11000003','00','Request by Mr. Omair Ali 30-Aug-2024');</v>
      </c>
      <c r="H62" s="84" t="str">
        <f t="shared" si="3"/>
        <v>insert into ins_premium_det (premium_rcv_code,assorted_code, rec_amount,premium_rcv_detail_code,remaining_amt, payrec, mode_code,coinsurance_code,class_cd,it_remarks) values('29Oct240071','040000183343','9550',(select max(to_number(i.premium_rcv_detail_code))+1
from ins_premium_det i),'9550','9550','02', '11000003','00','Request by Mr. Omair Ali 30-Aug-2024');</v>
      </c>
    </row>
    <row r="63" spans="1:8" ht="105" x14ac:dyDescent="0.25">
      <c r="A63" t="s">
        <v>201</v>
      </c>
      <c r="B63" s="80" t="str">
        <f>VLOOKUP(A63,policy!B:C,2,0)</f>
        <v>040000183344</v>
      </c>
      <c r="C63" s="46">
        <v>8800</v>
      </c>
      <c r="D63" s="81">
        <f t="shared" si="1"/>
        <v>8800</v>
      </c>
      <c r="E63" s="79" t="s">
        <v>3563</v>
      </c>
      <c r="F63" s="82" t="str">
        <f t="shared" si="0"/>
        <v>insert into ins_premium_det (premium_rcv_code,assorted_code, rec_amount,premium_rcv_detail_code,remaining_amt, payrec, mode_code,coinsurance_code,class_cd,it_remarks) values</v>
      </c>
      <c r="G63" s="83" t="str">
        <f t="shared" si="2"/>
        <v>('29Oct240071','040000183344','8800',(select max(to_number(i.premium_rcv_detail_code))+1
from ins_premium_det i),'8800','8800','02', '11000003','00','Request by Mr. Omair Ali 30-Aug-2024');</v>
      </c>
      <c r="H63" s="84" t="str">
        <f t="shared" si="3"/>
        <v>insert into ins_premium_det (premium_rcv_code,assorted_code, rec_amount,premium_rcv_detail_code,remaining_amt, payrec, mode_code,coinsurance_code,class_cd,it_remarks) values('29Oct240071','040000183344','8800',(select max(to_number(i.premium_rcv_detail_code))+1
from ins_premium_det i),'8800','8800','02', '11000003','00','Request by Mr. Omair Ali 30-Aug-2024');</v>
      </c>
    </row>
    <row r="64" spans="1:8" ht="105" x14ac:dyDescent="0.25">
      <c r="A64" t="s">
        <v>202</v>
      </c>
      <c r="B64" s="80" t="str">
        <f>VLOOKUP(A64,policy!B:C,2,0)</f>
        <v>040000183345</v>
      </c>
      <c r="C64" s="46">
        <v>8800</v>
      </c>
      <c r="D64" s="81">
        <f t="shared" si="1"/>
        <v>8800</v>
      </c>
      <c r="E64" s="79" t="s">
        <v>3563</v>
      </c>
      <c r="F64" s="82" t="str">
        <f t="shared" si="0"/>
        <v>insert into ins_premium_det (premium_rcv_code,assorted_code, rec_amount,premium_rcv_detail_code,remaining_amt, payrec, mode_code,coinsurance_code,class_cd,it_remarks) values</v>
      </c>
      <c r="G64" s="83" t="str">
        <f t="shared" si="2"/>
        <v>('29Oct240071','040000183345','8800',(select max(to_number(i.premium_rcv_detail_code))+1
from ins_premium_det i),'8800','8800','02', '11000003','00','Request by Mr. Omair Ali 30-Aug-2024');</v>
      </c>
      <c r="H64" s="84" t="str">
        <f t="shared" si="3"/>
        <v>insert into ins_premium_det (premium_rcv_code,assorted_code, rec_amount,premium_rcv_detail_code,remaining_amt, payrec, mode_code,coinsurance_code,class_cd,it_remarks) values('29Oct240071','040000183345','8800',(select max(to_number(i.premium_rcv_detail_code))+1
from ins_premium_det i),'8800','8800','02', '11000003','00','Request by Mr. Omair Ali 30-Aug-2024');</v>
      </c>
    </row>
    <row r="65" spans="1:8" ht="105" x14ac:dyDescent="0.25">
      <c r="A65" t="s">
        <v>203</v>
      </c>
      <c r="B65" s="80" t="str">
        <f>VLOOKUP(A65,policy!B:C,2,0)</f>
        <v>040000183360</v>
      </c>
      <c r="C65" s="46">
        <v>13675</v>
      </c>
      <c r="D65" s="81">
        <f t="shared" si="1"/>
        <v>13675</v>
      </c>
      <c r="E65" s="79" t="s">
        <v>3563</v>
      </c>
      <c r="F65" s="82" t="str">
        <f t="shared" si="0"/>
        <v>insert into ins_premium_det (premium_rcv_code,assorted_code, rec_amount,premium_rcv_detail_code,remaining_amt, payrec, mode_code,coinsurance_code,class_cd,it_remarks) values</v>
      </c>
      <c r="G65" s="83" t="str">
        <f t="shared" si="2"/>
        <v>('29Oct240071','040000183360','13675',(select max(to_number(i.premium_rcv_detail_code))+1
from ins_premium_det i),'13675','13675','02', '11000003','00','Request by Mr. Omair Ali 30-Aug-2024');</v>
      </c>
      <c r="H65" s="84" t="str">
        <f t="shared" si="3"/>
        <v>insert into ins_premium_det (premium_rcv_code,assorted_code, rec_amount,premium_rcv_detail_code,remaining_amt, payrec, mode_code,coinsurance_code,class_cd,it_remarks) values('29Oct240071','040000183360','13675',(select max(to_number(i.premium_rcv_detail_code))+1
from ins_premium_det i),'13675','13675','02', '11000003','00','Request by Mr. Omair Ali 30-Aug-2024');</v>
      </c>
    </row>
    <row r="66" spans="1:8" ht="105" x14ac:dyDescent="0.25">
      <c r="A66" t="s">
        <v>204</v>
      </c>
      <c r="B66" s="80" t="str">
        <f>VLOOKUP(A66,policy!B:C,2,0)</f>
        <v>040000183380</v>
      </c>
      <c r="C66" s="46">
        <v>14960</v>
      </c>
      <c r="D66" s="81">
        <f t="shared" si="1"/>
        <v>14960</v>
      </c>
      <c r="E66" s="79" t="s">
        <v>3563</v>
      </c>
      <c r="F66" s="82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83" t="str">
        <f t="shared" si="2"/>
        <v>('29Oct240071','040000183380','14960',(select max(to_number(i.premium_rcv_detail_code))+1
from ins_premium_det i),'14960','14960','02', '11000003','00','Request by Mr. Omair Ali 30-Aug-2024');</v>
      </c>
      <c r="H66" s="84" t="str">
        <f t="shared" si="3"/>
        <v>insert into ins_premium_det (premium_rcv_code,assorted_code, rec_amount,premium_rcv_detail_code,remaining_amt, payrec, mode_code,coinsurance_code,class_cd,it_remarks) values('29Oct240071','040000183380','14960',(select max(to_number(i.premium_rcv_detail_code))+1
from ins_premium_det i),'14960','14960','02', '11000003','00','Request by Mr. Omair Ali 30-Aug-2024');</v>
      </c>
    </row>
    <row r="67" spans="1:8" ht="105" x14ac:dyDescent="0.25">
      <c r="A67" t="s">
        <v>205</v>
      </c>
      <c r="B67" s="80" t="str">
        <f>VLOOKUP(A67,policy!B:C,2,0)</f>
        <v>040000183381</v>
      </c>
      <c r="C67" s="46">
        <v>14960</v>
      </c>
      <c r="D67" s="81">
        <f t="shared" ref="D67:D130" si="5">ROUND(C67,0)</f>
        <v>14960</v>
      </c>
      <c r="E67" s="79" t="s">
        <v>3563</v>
      </c>
      <c r="F67" s="82" t="str">
        <f t="shared" si="4"/>
        <v>insert into ins_premium_det (premium_rcv_code,assorted_code, rec_amount,premium_rcv_detail_code,remaining_amt, payrec, mode_code,coinsurance_code,class_cd,it_remarks) values</v>
      </c>
      <c r="G67" s="83" t="str">
        <f t="shared" ref="G67:G130" si="6">"('"&amp;E67&amp;"','"&amp;B67&amp;"','"&amp;D67&amp;"',(select max(to_number(i.premium_rcv_detail_code))+1
from ins_premium_det i),'"&amp;D67&amp;"','"&amp;D67&amp;"','02', '11000003','00','Request by Mr. Omair Ali 30-Aug-2024');"</f>
        <v>('29Oct240071','040000183381','14960',(select max(to_number(i.premium_rcv_detail_code))+1
from ins_premium_det i),'14960','14960','02', '11000003','00','Request by Mr. Omair Ali 30-Aug-2024');</v>
      </c>
      <c r="H67" s="84" t="str">
        <f t="shared" ref="H67:H130" si="7">F67&amp;G67</f>
        <v>insert into ins_premium_det (premium_rcv_code,assorted_code, rec_amount,premium_rcv_detail_code,remaining_amt, payrec, mode_code,coinsurance_code,class_cd,it_remarks) values('29Oct240071','040000183381','14960',(select max(to_number(i.premium_rcv_detail_code))+1
from ins_premium_det i),'14960','14960','02', '11000003','00','Request by Mr. Omair Ali 30-Aug-2024');</v>
      </c>
    </row>
    <row r="68" spans="1:8" ht="105" x14ac:dyDescent="0.25">
      <c r="A68" t="s">
        <v>206</v>
      </c>
      <c r="B68" s="80" t="str">
        <f>VLOOKUP(A68,policy!B:C,2,0)</f>
        <v>040000183384</v>
      </c>
      <c r="C68" s="46">
        <v>14960</v>
      </c>
      <c r="D68" s="81">
        <f t="shared" si="5"/>
        <v>14960</v>
      </c>
      <c r="E68" s="79" t="s">
        <v>3563</v>
      </c>
      <c r="F68" s="82" t="str">
        <f t="shared" si="4"/>
        <v>insert into ins_premium_det (premium_rcv_code,assorted_code, rec_amount,premium_rcv_detail_code,remaining_amt, payrec, mode_code,coinsurance_code,class_cd,it_remarks) values</v>
      </c>
      <c r="G68" s="83" t="str">
        <f t="shared" si="6"/>
        <v>('29Oct240071','040000183384','14960',(select max(to_number(i.premium_rcv_detail_code))+1
from ins_premium_det i),'14960','14960','02', '11000003','00','Request by Mr. Omair Ali 30-Aug-2024');</v>
      </c>
      <c r="H68" s="84" t="str">
        <f t="shared" si="7"/>
        <v>insert into ins_premium_det (premium_rcv_code,assorted_code, rec_amount,premium_rcv_detail_code,remaining_amt, payrec, mode_code,coinsurance_code,class_cd,it_remarks) values('29Oct240071','040000183384','14960',(select max(to_number(i.premium_rcv_detail_code))+1
from ins_premium_det i),'14960','14960','02', '11000003','00','Request by Mr. Omair Ali 30-Aug-2024');</v>
      </c>
    </row>
    <row r="69" spans="1:8" ht="105" x14ac:dyDescent="0.25">
      <c r="A69" t="s">
        <v>207</v>
      </c>
      <c r="B69" s="80" t="str">
        <f>VLOOKUP(A69,policy!B:C,2,0)</f>
        <v>040000183398</v>
      </c>
      <c r="C69" s="46">
        <v>9550</v>
      </c>
      <c r="D69" s="81">
        <f t="shared" si="5"/>
        <v>9550</v>
      </c>
      <c r="E69" s="79" t="s">
        <v>3563</v>
      </c>
      <c r="F69" s="82" t="str">
        <f t="shared" si="4"/>
        <v>insert into ins_premium_det (premium_rcv_code,assorted_code, rec_amount,premium_rcv_detail_code,remaining_amt, payrec, mode_code,coinsurance_code,class_cd,it_remarks) values</v>
      </c>
      <c r="G69" s="83" t="str">
        <f t="shared" si="6"/>
        <v>('29Oct240071','040000183398','9550',(select max(to_number(i.premium_rcv_detail_code))+1
from ins_premium_det i),'9550','9550','02', '11000003','00','Request by Mr. Omair Ali 30-Aug-2024');</v>
      </c>
      <c r="H69" s="84" t="str">
        <f t="shared" si="7"/>
        <v>insert into ins_premium_det (premium_rcv_code,assorted_code, rec_amount,premium_rcv_detail_code,remaining_amt, payrec, mode_code,coinsurance_code,class_cd,it_remarks) values('29Oct240071','040000183398','9550',(select max(to_number(i.premium_rcv_detail_code))+1
from ins_premium_det i),'9550','9550','02', '11000003','00','Request by Mr. Omair Ali 30-Aug-2024');</v>
      </c>
    </row>
    <row r="70" spans="1:8" ht="105" x14ac:dyDescent="0.25">
      <c r="A70" t="s">
        <v>208</v>
      </c>
      <c r="B70" s="80" t="str">
        <f>VLOOKUP(A70,policy!B:C,2,0)</f>
        <v>040000183400</v>
      </c>
      <c r="C70" s="46">
        <v>9550</v>
      </c>
      <c r="D70" s="81">
        <f t="shared" si="5"/>
        <v>9550</v>
      </c>
      <c r="E70" s="79" t="s">
        <v>3563</v>
      </c>
      <c r="F70" s="82" t="str">
        <f t="shared" si="4"/>
        <v>insert into ins_premium_det (premium_rcv_code,assorted_code, rec_amount,premium_rcv_detail_code,remaining_amt, payrec, mode_code,coinsurance_code,class_cd,it_remarks) values</v>
      </c>
      <c r="G70" s="83" t="str">
        <f t="shared" si="6"/>
        <v>('29Oct240071','040000183400','9550',(select max(to_number(i.premium_rcv_detail_code))+1
from ins_premium_det i),'9550','9550','02', '11000003','00','Request by Mr. Omair Ali 30-Aug-2024');</v>
      </c>
      <c r="H70" s="84" t="str">
        <f t="shared" si="7"/>
        <v>insert into ins_premium_det (premium_rcv_code,assorted_code, rec_amount,premium_rcv_detail_code,remaining_amt, payrec, mode_code,coinsurance_code,class_cd,it_remarks) values('29Oct240071','040000183400','9550',(select max(to_number(i.premium_rcv_detail_code))+1
from ins_premium_det i),'9550','9550','02', '11000003','00','Request by Mr. Omair Ali 30-Aug-2024');</v>
      </c>
    </row>
    <row r="71" spans="1:8" ht="105" x14ac:dyDescent="0.25">
      <c r="A71" t="s">
        <v>209</v>
      </c>
      <c r="B71" s="80" t="str">
        <f>VLOOKUP(A71,policy!B:C,2,0)</f>
        <v>040000183401</v>
      </c>
      <c r="C71" s="46">
        <v>12475</v>
      </c>
      <c r="D71" s="81">
        <f t="shared" si="5"/>
        <v>12475</v>
      </c>
      <c r="E71" s="79" t="s">
        <v>3563</v>
      </c>
      <c r="F71" s="82" t="str">
        <f t="shared" si="4"/>
        <v>insert into ins_premium_det (premium_rcv_code,assorted_code, rec_amount,premium_rcv_detail_code,remaining_amt, payrec, mode_code,coinsurance_code,class_cd,it_remarks) values</v>
      </c>
      <c r="G71" s="83" t="str">
        <f t="shared" si="6"/>
        <v>('29Oct240071','040000183401','12475',(select max(to_number(i.premium_rcv_detail_code))+1
from ins_premium_det i),'12475','12475','02', '11000003','00','Request by Mr. Omair Ali 30-Aug-2024');</v>
      </c>
      <c r="H71" s="84" t="str">
        <f t="shared" si="7"/>
        <v>insert into ins_premium_det (premium_rcv_code,assorted_code, rec_amount,premium_rcv_detail_code,remaining_amt, payrec, mode_code,coinsurance_code,class_cd,it_remarks) values('29Oct240071','040000183401','12475',(select max(to_number(i.premium_rcv_detail_code))+1
from ins_premium_det i),'12475','12475','02', '11000003','00','Request by Mr. Omair Ali 30-Aug-2024');</v>
      </c>
    </row>
    <row r="72" spans="1:8" ht="105" x14ac:dyDescent="0.25">
      <c r="A72" t="s">
        <v>210</v>
      </c>
      <c r="B72" s="80" t="str">
        <f>VLOOKUP(A72,policy!B:C,2,0)</f>
        <v>040000183402</v>
      </c>
      <c r="C72" s="46">
        <v>13615</v>
      </c>
      <c r="D72" s="81">
        <f t="shared" si="5"/>
        <v>13615</v>
      </c>
      <c r="E72" s="79" t="s">
        <v>3563</v>
      </c>
      <c r="F72" s="82" t="str">
        <f t="shared" si="4"/>
        <v>insert into ins_premium_det (premium_rcv_code,assorted_code, rec_amount,premium_rcv_detail_code,remaining_amt, payrec, mode_code,coinsurance_code,class_cd,it_remarks) values</v>
      </c>
      <c r="G72" s="83" t="str">
        <f t="shared" si="6"/>
        <v>('29Oct240071','040000183402','13615',(select max(to_number(i.premium_rcv_detail_code))+1
from ins_premium_det i),'13615','13615','02', '11000003','00','Request by Mr. Omair Ali 30-Aug-2024');</v>
      </c>
      <c r="H72" s="84" t="str">
        <f t="shared" si="7"/>
        <v>insert into ins_premium_det (premium_rcv_code,assorted_code, rec_amount,premium_rcv_detail_code,remaining_amt, payrec, mode_code,coinsurance_code,class_cd,it_remarks) values('29Oct240071','040000183402','13615',(select max(to_number(i.premium_rcv_detail_code))+1
from ins_premium_det i),'13615','13615','02', '11000003','00','Request by Mr. Omair Ali 30-Aug-2024');</v>
      </c>
    </row>
    <row r="73" spans="1:8" ht="105" x14ac:dyDescent="0.25">
      <c r="A73" t="s">
        <v>211</v>
      </c>
      <c r="B73" s="80" t="str">
        <f>VLOOKUP(A73,policy!B:C,2,0)</f>
        <v>040000183403</v>
      </c>
      <c r="C73" s="46">
        <v>14960</v>
      </c>
      <c r="D73" s="81">
        <f t="shared" si="5"/>
        <v>14960</v>
      </c>
      <c r="E73" s="79" t="s">
        <v>3563</v>
      </c>
      <c r="F73" s="82" t="str">
        <f t="shared" si="4"/>
        <v>insert into ins_premium_det (premium_rcv_code,assorted_code, rec_amount,premium_rcv_detail_code,remaining_amt, payrec, mode_code,coinsurance_code,class_cd,it_remarks) values</v>
      </c>
      <c r="G73" s="83" t="str">
        <f t="shared" si="6"/>
        <v>('29Oct240071','040000183403','14960',(select max(to_number(i.premium_rcv_detail_code))+1
from ins_premium_det i),'14960','14960','02', '11000003','00','Request by Mr. Omair Ali 30-Aug-2024');</v>
      </c>
      <c r="H73" s="84" t="str">
        <f t="shared" si="7"/>
        <v>insert into ins_premium_det (premium_rcv_code,assorted_code, rec_amount,premium_rcv_detail_code,remaining_amt, payrec, mode_code,coinsurance_code,class_cd,it_remarks) values('29Oct240071','040000183403','14960',(select max(to_number(i.premium_rcv_detail_code))+1
from ins_premium_det i),'14960','14960','02', '11000003','00','Request by Mr. Omair Ali 30-Aug-2024');</v>
      </c>
    </row>
    <row r="74" spans="1:8" ht="105" x14ac:dyDescent="0.25">
      <c r="A74" t="s">
        <v>212</v>
      </c>
      <c r="B74" s="80" t="str">
        <f>VLOOKUP(A74,policy!B:C,2,0)</f>
        <v>040000183404</v>
      </c>
      <c r="C74" s="46">
        <v>14960</v>
      </c>
      <c r="D74" s="81">
        <f t="shared" si="5"/>
        <v>14960</v>
      </c>
      <c r="E74" s="79" t="s">
        <v>3563</v>
      </c>
      <c r="F74" s="82" t="str">
        <f t="shared" si="4"/>
        <v>insert into ins_premium_det (premium_rcv_code,assorted_code, rec_amount,premium_rcv_detail_code,remaining_amt, payrec, mode_code,coinsurance_code,class_cd,it_remarks) values</v>
      </c>
      <c r="G74" s="83" t="str">
        <f t="shared" si="6"/>
        <v>('29Oct240071','040000183404','14960',(select max(to_number(i.premium_rcv_detail_code))+1
from ins_premium_det i),'14960','14960','02', '11000003','00','Request by Mr. Omair Ali 30-Aug-2024');</v>
      </c>
      <c r="H74" s="84" t="str">
        <f t="shared" si="7"/>
        <v>insert into ins_premium_det (premium_rcv_code,assorted_code, rec_amount,premium_rcv_detail_code,remaining_amt, payrec, mode_code,coinsurance_code,class_cd,it_remarks) values('29Oct240071','040000183404','14960',(select max(to_number(i.premium_rcv_detail_code))+1
from ins_premium_det i),'14960','14960','02', '11000003','00','Request by Mr. Omair Ali 30-Aug-2024');</v>
      </c>
    </row>
    <row r="75" spans="1:8" ht="105" x14ac:dyDescent="0.25">
      <c r="A75" t="s">
        <v>213</v>
      </c>
      <c r="B75" s="80" t="str">
        <f>VLOOKUP(A75,policy!B:C,2,0)</f>
        <v>040000183406</v>
      </c>
      <c r="C75" s="46">
        <v>8800</v>
      </c>
      <c r="D75" s="81">
        <f t="shared" si="5"/>
        <v>8800</v>
      </c>
      <c r="E75" s="79" t="s">
        <v>3563</v>
      </c>
      <c r="F75" s="82" t="str">
        <f t="shared" si="4"/>
        <v>insert into ins_premium_det (premium_rcv_code,assorted_code, rec_amount,premium_rcv_detail_code,remaining_amt, payrec, mode_code,coinsurance_code,class_cd,it_remarks) values</v>
      </c>
      <c r="G75" s="83" t="str">
        <f t="shared" si="6"/>
        <v>('29Oct240071','040000183406','8800',(select max(to_number(i.premium_rcv_detail_code))+1
from ins_premium_det i),'8800','8800','02', '11000003','00','Request by Mr. Omair Ali 30-Aug-2024');</v>
      </c>
      <c r="H75" s="84" t="str">
        <f t="shared" si="7"/>
        <v>insert into ins_premium_det (premium_rcv_code,assorted_code, rec_amount,premium_rcv_detail_code,remaining_amt, payrec, mode_code,coinsurance_code,class_cd,it_remarks) values('29Oct240071','040000183406','8800',(select max(to_number(i.premium_rcv_detail_code))+1
from ins_premium_det i),'8800','8800','02', '11000003','00','Request by Mr. Omair Ali 30-Aug-2024');</v>
      </c>
    </row>
    <row r="76" spans="1:8" ht="105" x14ac:dyDescent="0.25">
      <c r="A76" t="s">
        <v>214</v>
      </c>
      <c r="B76" s="80" t="str">
        <f>VLOOKUP(A76,policy!B:C,2,0)</f>
        <v>040000183409</v>
      </c>
      <c r="C76" s="46">
        <v>8800</v>
      </c>
      <c r="D76" s="81">
        <f t="shared" si="5"/>
        <v>8800</v>
      </c>
      <c r="E76" s="79" t="s">
        <v>3563</v>
      </c>
      <c r="F76" s="82" t="str">
        <f t="shared" si="4"/>
        <v>insert into ins_premium_det (premium_rcv_code,assorted_code, rec_amount,premium_rcv_detail_code,remaining_amt, payrec, mode_code,coinsurance_code,class_cd,it_remarks) values</v>
      </c>
      <c r="G76" s="83" t="str">
        <f t="shared" si="6"/>
        <v>('29Oct240071','040000183409','8800',(select max(to_number(i.premium_rcv_detail_code))+1
from ins_premium_det i),'8800','8800','02', '11000003','00','Request by Mr. Omair Ali 30-Aug-2024');</v>
      </c>
      <c r="H76" s="84" t="str">
        <f t="shared" si="7"/>
        <v>insert into ins_premium_det (premium_rcv_code,assorted_code, rec_amount,premium_rcv_detail_code,remaining_amt, payrec, mode_code,coinsurance_code,class_cd,it_remarks) values('29Oct240071','040000183409','8800',(select max(to_number(i.premium_rcv_detail_code))+1
from ins_premium_det i),'8800','8800','02', '11000003','00','Request by Mr. Omair Ali 30-Aug-2024');</v>
      </c>
    </row>
    <row r="77" spans="1:8" ht="105" x14ac:dyDescent="0.25">
      <c r="A77" t="s">
        <v>215</v>
      </c>
      <c r="B77" s="80" t="str">
        <f>VLOOKUP(A77,policy!B:C,2,0)</f>
        <v>040000183410</v>
      </c>
      <c r="C77" s="46">
        <v>8800</v>
      </c>
      <c r="D77" s="81">
        <f t="shared" si="5"/>
        <v>8800</v>
      </c>
      <c r="E77" s="79" t="s">
        <v>3563</v>
      </c>
      <c r="F77" s="82" t="str">
        <f t="shared" si="4"/>
        <v>insert into ins_premium_det (premium_rcv_code,assorted_code, rec_amount,premium_rcv_detail_code,remaining_amt, payrec, mode_code,coinsurance_code,class_cd,it_remarks) values</v>
      </c>
      <c r="G77" s="83" t="str">
        <f t="shared" si="6"/>
        <v>('29Oct240071','040000183410','8800',(select max(to_number(i.premium_rcv_detail_code))+1
from ins_premium_det i),'8800','8800','02', '11000003','00','Request by Mr. Omair Ali 30-Aug-2024');</v>
      </c>
      <c r="H77" s="84" t="str">
        <f t="shared" si="7"/>
        <v>insert into ins_premium_det (premium_rcv_code,assorted_code, rec_amount,premium_rcv_detail_code,remaining_amt, payrec, mode_code,coinsurance_code,class_cd,it_remarks) values('29Oct240071','040000183410','8800',(select max(to_number(i.premium_rcv_detail_code))+1
from ins_premium_det i),'8800','8800','02', '11000003','00','Request by Mr. Omair Ali 30-Aug-2024');</v>
      </c>
    </row>
    <row r="78" spans="1:8" ht="105" x14ac:dyDescent="0.25">
      <c r="A78" t="s">
        <v>216</v>
      </c>
      <c r="B78" s="80" t="str">
        <f>VLOOKUP(A78,policy!B:C,2,0)</f>
        <v>040000183411</v>
      </c>
      <c r="C78" s="46">
        <v>8800</v>
      </c>
      <c r="D78" s="81">
        <f t="shared" si="5"/>
        <v>8800</v>
      </c>
      <c r="E78" s="79" t="s">
        <v>3563</v>
      </c>
      <c r="F78" s="82" t="str">
        <f t="shared" si="4"/>
        <v>insert into ins_premium_det (premium_rcv_code,assorted_code, rec_amount,premium_rcv_detail_code,remaining_amt, payrec, mode_code,coinsurance_code,class_cd,it_remarks) values</v>
      </c>
      <c r="G78" s="83" t="str">
        <f t="shared" si="6"/>
        <v>('29Oct240071','040000183411','8800',(select max(to_number(i.premium_rcv_detail_code))+1
from ins_premium_det i),'8800','8800','02', '11000003','00','Request by Mr. Omair Ali 30-Aug-2024');</v>
      </c>
      <c r="H78" s="84" t="str">
        <f t="shared" si="7"/>
        <v>insert into ins_premium_det (premium_rcv_code,assorted_code, rec_amount,premium_rcv_detail_code,remaining_amt, payrec, mode_code,coinsurance_code,class_cd,it_remarks) values('29Oct240071','040000183411','8800',(select max(to_number(i.premium_rcv_detail_code))+1
from ins_premium_det i),'8800','8800','02', '11000003','00','Request by Mr. Omair Ali 30-Aug-2024');</v>
      </c>
    </row>
    <row r="79" spans="1:8" ht="105" x14ac:dyDescent="0.25">
      <c r="A79" t="s">
        <v>217</v>
      </c>
      <c r="B79" s="80" t="str">
        <f>VLOOKUP(A79,policy!B:C,2,0)</f>
        <v>040000183412</v>
      </c>
      <c r="C79" s="46">
        <v>8800</v>
      </c>
      <c r="D79" s="81">
        <f t="shared" si="5"/>
        <v>8800</v>
      </c>
      <c r="E79" s="79" t="s">
        <v>3563</v>
      </c>
      <c r="F79" s="82" t="str">
        <f t="shared" si="4"/>
        <v>insert into ins_premium_det (premium_rcv_code,assorted_code, rec_amount,premium_rcv_detail_code,remaining_amt, payrec, mode_code,coinsurance_code,class_cd,it_remarks) values</v>
      </c>
      <c r="G79" s="83" t="str">
        <f t="shared" si="6"/>
        <v>('29Oct240071','040000183412','8800',(select max(to_number(i.premium_rcv_detail_code))+1
from ins_premium_det i),'8800','8800','02', '11000003','00','Request by Mr. Omair Ali 30-Aug-2024');</v>
      </c>
      <c r="H79" s="84" t="str">
        <f t="shared" si="7"/>
        <v>insert into ins_premium_det (premium_rcv_code,assorted_code, rec_amount,premium_rcv_detail_code,remaining_amt, payrec, mode_code,coinsurance_code,class_cd,it_remarks) values('29Oct240071','040000183412','8800',(select max(to_number(i.premium_rcv_detail_code))+1
from ins_premium_det i),'8800','8800','02', '11000003','00','Request by Mr. Omair Ali 30-Aug-2024');</v>
      </c>
    </row>
    <row r="80" spans="1:8" ht="105" x14ac:dyDescent="0.25">
      <c r="A80" t="s">
        <v>218</v>
      </c>
      <c r="B80" s="80" t="str">
        <f>VLOOKUP(A80,policy!B:C,2,0)</f>
        <v>040000183415</v>
      </c>
      <c r="C80" s="46">
        <v>8800</v>
      </c>
      <c r="D80" s="81">
        <f t="shared" si="5"/>
        <v>8800</v>
      </c>
      <c r="E80" s="79" t="s">
        <v>3563</v>
      </c>
      <c r="F80" s="82" t="str">
        <f t="shared" si="4"/>
        <v>insert into ins_premium_det (premium_rcv_code,assorted_code, rec_amount,premium_rcv_detail_code,remaining_amt, payrec, mode_code,coinsurance_code,class_cd,it_remarks) values</v>
      </c>
      <c r="G80" s="83" t="str">
        <f t="shared" si="6"/>
        <v>('29Oct240071','040000183415','8800',(select max(to_number(i.premium_rcv_detail_code))+1
from ins_premium_det i),'8800','8800','02', '11000003','00','Request by Mr. Omair Ali 30-Aug-2024');</v>
      </c>
      <c r="H80" s="84" t="str">
        <f t="shared" si="7"/>
        <v>insert into ins_premium_det (premium_rcv_code,assorted_code, rec_amount,premium_rcv_detail_code,remaining_amt, payrec, mode_code,coinsurance_code,class_cd,it_remarks) values('29Oct240071','040000183415','8800',(select max(to_number(i.premium_rcv_detail_code))+1
from ins_premium_det i),'8800','8800','02', '11000003','00','Request by Mr. Omair Ali 30-Aug-2024');</v>
      </c>
    </row>
    <row r="81" spans="1:8" ht="105" x14ac:dyDescent="0.25">
      <c r="A81" t="s">
        <v>219</v>
      </c>
      <c r="B81" s="80" t="str">
        <f>VLOOKUP(A81,policy!B:C,2,0)</f>
        <v>040000183416</v>
      </c>
      <c r="C81" s="46">
        <v>8800</v>
      </c>
      <c r="D81" s="81">
        <f t="shared" si="5"/>
        <v>8800</v>
      </c>
      <c r="E81" s="79" t="s">
        <v>3563</v>
      </c>
      <c r="F81" s="82" t="str">
        <f t="shared" si="4"/>
        <v>insert into ins_premium_det (premium_rcv_code,assorted_code, rec_amount,premium_rcv_detail_code,remaining_amt, payrec, mode_code,coinsurance_code,class_cd,it_remarks) values</v>
      </c>
      <c r="G81" s="83" t="str">
        <f t="shared" si="6"/>
        <v>('29Oct240071','040000183416','8800',(select max(to_number(i.premium_rcv_detail_code))+1
from ins_premium_det i),'8800','8800','02', '11000003','00','Request by Mr. Omair Ali 30-Aug-2024');</v>
      </c>
      <c r="H81" s="84" t="str">
        <f t="shared" si="7"/>
        <v>insert into ins_premium_det (premium_rcv_code,assorted_code, rec_amount,premium_rcv_detail_code,remaining_amt, payrec, mode_code,coinsurance_code,class_cd,it_remarks) values('29Oct240071','040000183416','8800',(select max(to_number(i.premium_rcv_detail_code))+1
from ins_premium_det i),'8800','8800','02', '11000003','00','Request by Mr. Omair Ali 30-Aug-2024');</v>
      </c>
    </row>
    <row r="82" spans="1:8" ht="105" x14ac:dyDescent="0.25">
      <c r="A82" t="s">
        <v>220</v>
      </c>
      <c r="B82" s="80" t="str">
        <f>VLOOKUP(A82,policy!B:C,2,0)</f>
        <v>040000183417</v>
      </c>
      <c r="C82" s="46">
        <v>8800</v>
      </c>
      <c r="D82" s="81">
        <f t="shared" si="5"/>
        <v>8800</v>
      </c>
      <c r="E82" s="79" t="s">
        <v>3563</v>
      </c>
      <c r="F82" s="82" t="str">
        <f t="shared" si="4"/>
        <v>insert into ins_premium_det (premium_rcv_code,assorted_code, rec_amount,premium_rcv_detail_code,remaining_amt, payrec, mode_code,coinsurance_code,class_cd,it_remarks) values</v>
      </c>
      <c r="G82" s="83" t="str">
        <f t="shared" si="6"/>
        <v>('29Oct240071','040000183417','8800',(select max(to_number(i.premium_rcv_detail_code))+1
from ins_premium_det i),'8800','8800','02', '11000003','00','Request by Mr. Omair Ali 30-Aug-2024');</v>
      </c>
      <c r="H82" s="84" t="str">
        <f t="shared" si="7"/>
        <v>insert into ins_premium_det (premium_rcv_code,assorted_code, rec_amount,premium_rcv_detail_code,remaining_amt, payrec, mode_code,coinsurance_code,class_cd,it_remarks) values('29Oct240071','040000183417','8800',(select max(to_number(i.premium_rcv_detail_code))+1
from ins_premium_det i),'8800','8800','02', '11000003','00','Request by Mr. Omair Ali 30-Aug-2024');</v>
      </c>
    </row>
    <row r="83" spans="1:8" ht="105" x14ac:dyDescent="0.25">
      <c r="A83" t="s">
        <v>221</v>
      </c>
      <c r="B83" s="80" t="str">
        <f>VLOOKUP(A83,policy!B:C,2,0)</f>
        <v>040000183418</v>
      </c>
      <c r="C83" s="46">
        <v>8800</v>
      </c>
      <c r="D83" s="81">
        <f t="shared" si="5"/>
        <v>8800</v>
      </c>
      <c r="E83" s="79" t="s">
        <v>3563</v>
      </c>
      <c r="F83" s="82" t="str">
        <f t="shared" si="4"/>
        <v>insert into ins_premium_det (premium_rcv_code,assorted_code, rec_amount,premium_rcv_detail_code,remaining_amt, payrec, mode_code,coinsurance_code,class_cd,it_remarks) values</v>
      </c>
      <c r="G83" s="83" t="str">
        <f t="shared" si="6"/>
        <v>('29Oct240071','040000183418','8800',(select max(to_number(i.premium_rcv_detail_code))+1
from ins_premium_det i),'8800','8800','02', '11000003','00','Request by Mr. Omair Ali 30-Aug-2024');</v>
      </c>
      <c r="H83" s="84" t="str">
        <f t="shared" si="7"/>
        <v>insert into ins_premium_det (premium_rcv_code,assorted_code, rec_amount,premium_rcv_detail_code,remaining_amt, payrec, mode_code,coinsurance_code,class_cd,it_remarks) values('29Oct240071','040000183418','8800',(select max(to_number(i.premium_rcv_detail_code))+1
from ins_premium_det i),'8800','8800','02', '11000003','00','Request by Mr. Omair Ali 30-Aug-2024');</v>
      </c>
    </row>
    <row r="84" spans="1:8" ht="105" x14ac:dyDescent="0.25">
      <c r="A84" t="s">
        <v>222</v>
      </c>
      <c r="B84" s="80" t="str">
        <f>VLOOKUP(A84,policy!B:C,2,0)</f>
        <v>040000183420</v>
      </c>
      <c r="C84" s="46">
        <v>14960</v>
      </c>
      <c r="D84" s="81">
        <f t="shared" si="5"/>
        <v>14960</v>
      </c>
      <c r="E84" s="79" t="s">
        <v>3563</v>
      </c>
      <c r="F84" s="82" t="str">
        <f t="shared" si="4"/>
        <v>insert into ins_premium_det (premium_rcv_code,assorted_code, rec_amount,premium_rcv_detail_code,remaining_amt, payrec, mode_code,coinsurance_code,class_cd,it_remarks) values</v>
      </c>
      <c r="G84" s="83" t="str">
        <f t="shared" si="6"/>
        <v>('29Oct240071','040000183420','14960',(select max(to_number(i.premium_rcv_detail_code))+1
from ins_premium_det i),'14960','14960','02', '11000003','00','Request by Mr. Omair Ali 30-Aug-2024');</v>
      </c>
      <c r="H84" s="84" t="str">
        <f t="shared" si="7"/>
        <v>insert into ins_premium_det (premium_rcv_code,assorted_code, rec_amount,premium_rcv_detail_code,remaining_amt, payrec, mode_code,coinsurance_code,class_cd,it_remarks) values('29Oct240071','040000183420','14960',(select max(to_number(i.premium_rcv_detail_code))+1
from ins_premium_det i),'14960','14960','02', '11000003','00','Request by Mr. Omair Ali 30-Aug-2024');</v>
      </c>
    </row>
    <row r="85" spans="1:8" ht="105" x14ac:dyDescent="0.25">
      <c r="A85" t="s">
        <v>223</v>
      </c>
      <c r="B85" s="80" t="str">
        <f>VLOOKUP(A85,policy!B:C,2,0)</f>
        <v>040000183421</v>
      </c>
      <c r="C85" s="46">
        <v>14960</v>
      </c>
      <c r="D85" s="81">
        <f t="shared" si="5"/>
        <v>14960</v>
      </c>
      <c r="E85" s="79" t="s">
        <v>3563</v>
      </c>
      <c r="F85" s="82" t="str">
        <f t="shared" si="4"/>
        <v>insert into ins_premium_det (premium_rcv_code,assorted_code, rec_amount,premium_rcv_detail_code,remaining_amt, payrec, mode_code,coinsurance_code,class_cd,it_remarks) values</v>
      </c>
      <c r="G85" s="83" t="str">
        <f t="shared" si="6"/>
        <v>('29Oct240071','040000183421','14960',(select max(to_number(i.premium_rcv_detail_code))+1
from ins_premium_det i),'14960','14960','02', '11000003','00','Request by Mr. Omair Ali 30-Aug-2024');</v>
      </c>
      <c r="H85" s="84" t="str">
        <f t="shared" si="7"/>
        <v>insert into ins_premium_det (premium_rcv_code,assorted_code, rec_amount,premium_rcv_detail_code,remaining_amt, payrec, mode_code,coinsurance_code,class_cd,it_remarks) values('29Oct240071','040000183421','14960',(select max(to_number(i.premium_rcv_detail_code))+1
from ins_premium_det i),'14960','14960','02', '11000003','00','Request by Mr. Omair Ali 30-Aug-2024');</v>
      </c>
    </row>
    <row r="86" spans="1:8" ht="105" x14ac:dyDescent="0.25">
      <c r="A86" t="s">
        <v>224</v>
      </c>
      <c r="B86" s="80" t="str">
        <f>VLOOKUP(A86,policy!B:C,2,0)</f>
        <v>040000183435</v>
      </c>
      <c r="C86" s="46">
        <v>8800</v>
      </c>
      <c r="D86" s="81">
        <f t="shared" si="5"/>
        <v>8800</v>
      </c>
      <c r="E86" s="79" t="s">
        <v>3563</v>
      </c>
      <c r="F86" s="82" t="str">
        <f t="shared" si="4"/>
        <v>insert into ins_premium_det (premium_rcv_code,assorted_code, rec_amount,premium_rcv_detail_code,remaining_amt, payrec, mode_code,coinsurance_code,class_cd,it_remarks) values</v>
      </c>
      <c r="G86" s="83" t="str">
        <f t="shared" si="6"/>
        <v>('29Oct240071','040000183435','8800',(select max(to_number(i.premium_rcv_detail_code))+1
from ins_premium_det i),'8800','8800','02', '11000003','00','Request by Mr. Omair Ali 30-Aug-2024');</v>
      </c>
      <c r="H86" s="84" t="str">
        <f t="shared" si="7"/>
        <v>insert into ins_premium_det (premium_rcv_code,assorted_code, rec_amount,premium_rcv_detail_code,remaining_amt, payrec, mode_code,coinsurance_code,class_cd,it_remarks) values('29Oct240071','040000183435','8800',(select max(to_number(i.premium_rcv_detail_code))+1
from ins_premium_det i),'8800','8800','02', '11000003','00','Request by Mr. Omair Ali 30-Aug-2024');</v>
      </c>
    </row>
    <row r="87" spans="1:8" ht="105" x14ac:dyDescent="0.25">
      <c r="A87" t="s">
        <v>225</v>
      </c>
      <c r="B87" s="80" t="str">
        <f>VLOOKUP(A87,policy!B:C,2,0)</f>
        <v>040000183436</v>
      </c>
      <c r="C87" s="46">
        <v>9550</v>
      </c>
      <c r="D87" s="81">
        <f t="shared" si="5"/>
        <v>9550</v>
      </c>
      <c r="E87" s="79" t="s">
        <v>3563</v>
      </c>
      <c r="F87" s="82" t="str">
        <f t="shared" si="4"/>
        <v>insert into ins_premium_det (premium_rcv_code,assorted_code, rec_amount,premium_rcv_detail_code,remaining_amt, payrec, mode_code,coinsurance_code,class_cd,it_remarks) values</v>
      </c>
      <c r="G87" s="83" t="str">
        <f t="shared" si="6"/>
        <v>('29Oct240071','040000183436','9550',(select max(to_number(i.premium_rcv_detail_code))+1
from ins_premium_det i),'9550','9550','02', '11000003','00','Request by Mr. Omair Ali 30-Aug-2024');</v>
      </c>
      <c r="H87" s="84" t="str">
        <f t="shared" si="7"/>
        <v>insert into ins_premium_det (premium_rcv_code,assorted_code, rec_amount,premium_rcv_detail_code,remaining_amt, payrec, mode_code,coinsurance_code,class_cd,it_remarks) values('29Oct240071','040000183436','9550',(select max(to_number(i.premium_rcv_detail_code))+1
from ins_premium_det i),'9550','9550','02', '11000003','00','Request by Mr. Omair Ali 30-Aug-2024');</v>
      </c>
    </row>
    <row r="88" spans="1:8" ht="105" x14ac:dyDescent="0.25">
      <c r="A88" t="s">
        <v>226</v>
      </c>
      <c r="B88" s="80" t="str">
        <f>VLOOKUP(A88,policy!B:C,2,0)</f>
        <v>040000183441</v>
      </c>
      <c r="C88" s="46">
        <v>14960</v>
      </c>
      <c r="D88" s="81">
        <f t="shared" si="5"/>
        <v>14960</v>
      </c>
      <c r="E88" s="79" t="s">
        <v>3563</v>
      </c>
      <c r="F88" s="82" t="str">
        <f t="shared" si="4"/>
        <v>insert into ins_premium_det (premium_rcv_code,assorted_code, rec_amount,premium_rcv_detail_code,remaining_amt, payrec, mode_code,coinsurance_code,class_cd,it_remarks) values</v>
      </c>
      <c r="G88" s="83" t="str">
        <f t="shared" si="6"/>
        <v>('29Oct240071','040000183441','14960',(select max(to_number(i.premium_rcv_detail_code))+1
from ins_premium_det i),'14960','14960','02', '11000003','00','Request by Mr. Omair Ali 30-Aug-2024');</v>
      </c>
      <c r="H88" s="84" t="str">
        <f t="shared" si="7"/>
        <v>insert into ins_premium_det (premium_rcv_code,assorted_code, rec_amount,premium_rcv_detail_code,remaining_amt, payrec, mode_code,coinsurance_code,class_cd,it_remarks) values('29Oct240071','040000183441','14960',(select max(to_number(i.premium_rcv_detail_code))+1
from ins_premium_det i),'14960','14960','02', '11000003','00','Request by Mr. Omair Ali 30-Aug-2024');</v>
      </c>
    </row>
    <row r="89" spans="1:8" ht="105" x14ac:dyDescent="0.25">
      <c r="A89" t="s">
        <v>227</v>
      </c>
      <c r="B89" s="80" t="str">
        <f>VLOOKUP(A89,policy!B:C,2,0)</f>
        <v>040000183442</v>
      </c>
      <c r="C89" s="46">
        <v>14960</v>
      </c>
      <c r="D89" s="81">
        <f t="shared" si="5"/>
        <v>14960</v>
      </c>
      <c r="E89" s="79" t="s">
        <v>3563</v>
      </c>
      <c r="F89" s="82" t="str">
        <f t="shared" si="4"/>
        <v>insert into ins_premium_det (premium_rcv_code,assorted_code, rec_amount,premium_rcv_detail_code,remaining_amt, payrec, mode_code,coinsurance_code,class_cd,it_remarks) values</v>
      </c>
      <c r="G89" s="83" t="str">
        <f t="shared" si="6"/>
        <v>('29Oct240071','040000183442','14960',(select max(to_number(i.premium_rcv_detail_code))+1
from ins_premium_det i),'14960','14960','02', '11000003','00','Request by Mr. Omair Ali 30-Aug-2024');</v>
      </c>
      <c r="H89" s="84" t="str">
        <f t="shared" si="7"/>
        <v>insert into ins_premium_det (premium_rcv_code,assorted_code, rec_amount,premium_rcv_detail_code,remaining_amt, payrec, mode_code,coinsurance_code,class_cd,it_remarks) values('29Oct240071','040000183442','14960',(select max(to_number(i.premium_rcv_detail_code))+1
from ins_premium_det i),'14960','14960','02', '11000003','00','Request by Mr. Omair Ali 30-Aug-2024');</v>
      </c>
    </row>
    <row r="90" spans="1:8" ht="105" x14ac:dyDescent="0.25">
      <c r="A90" t="s">
        <v>228</v>
      </c>
      <c r="B90" s="80" t="str">
        <f>VLOOKUP(A90,policy!B:C,2,0)</f>
        <v>040000183476</v>
      </c>
      <c r="C90" s="46">
        <v>16235</v>
      </c>
      <c r="D90" s="81">
        <f t="shared" si="5"/>
        <v>16235</v>
      </c>
      <c r="E90" s="79" t="s">
        <v>3563</v>
      </c>
      <c r="F90" s="82" t="str">
        <f t="shared" si="4"/>
        <v>insert into ins_premium_det (premium_rcv_code,assorted_code, rec_amount,premium_rcv_detail_code,remaining_amt, payrec, mode_code,coinsurance_code,class_cd,it_remarks) values</v>
      </c>
      <c r="G90" s="83" t="str">
        <f t="shared" si="6"/>
        <v>('29Oct240071','040000183476','16235',(select max(to_number(i.premium_rcv_detail_code))+1
from ins_premium_det i),'16235','16235','02', '11000003','00','Request by Mr. Omair Ali 30-Aug-2024');</v>
      </c>
      <c r="H90" s="84" t="str">
        <f t="shared" si="7"/>
        <v>insert into ins_premium_det (premium_rcv_code,assorted_code, rec_amount,premium_rcv_detail_code,remaining_amt, payrec, mode_code,coinsurance_code,class_cd,it_remarks) values('29Oct240071','040000183476','16235',(select max(to_number(i.premium_rcv_detail_code))+1
from ins_premium_det i),'16235','16235','02', '11000003','00','Request by Mr. Omair Ali 30-Aug-2024');</v>
      </c>
    </row>
    <row r="91" spans="1:8" ht="105" x14ac:dyDescent="0.25">
      <c r="A91" t="s">
        <v>229</v>
      </c>
      <c r="B91" s="80" t="str">
        <f>VLOOKUP(A91,policy!B:C,2,0)</f>
        <v>040000183477</v>
      </c>
      <c r="C91" s="46">
        <v>16235</v>
      </c>
      <c r="D91" s="81">
        <f t="shared" si="5"/>
        <v>16235</v>
      </c>
      <c r="E91" s="79" t="s">
        <v>3563</v>
      </c>
      <c r="F91" s="82" t="str">
        <f t="shared" si="4"/>
        <v>insert into ins_premium_det (premium_rcv_code,assorted_code, rec_amount,premium_rcv_detail_code,remaining_amt, payrec, mode_code,coinsurance_code,class_cd,it_remarks) values</v>
      </c>
      <c r="G91" s="83" t="str">
        <f t="shared" si="6"/>
        <v>('29Oct240071','040000183477','16235',(select max(to_number(i.premium_rcv_detail_code))+1
from ins_premium_det i),'16235','16235','02', '11000003','00','Request by Mr. Omair Ali 30-Aug-2024');</v>
      </c>
      <c r="H91" s="84" t="str">
        <f t="shared" si="7"/>
        <v>insert into ins_premium_det (premium_rcv_code,assorted_code, rec_amount,premium_rcv_detail_code,remaining_amt, payrec, mode_code,coinsurance_code,class_cd,it_remarks) values('29Oct240071','040000183477','16235',(select max(to_number(i.premium_rcv_detail_code))+1
from ins_premium_det i),'16235','16235','02', '11000003','00','Request by Mr. Omair Ali 30-Aug-2024');</v>
      </c>
    </row>
    <row r="92" spans="1:8" ht="105" x14ac:dyDescent="0.25">
      <c r="A92" t="s">
        <v>230</v>
      </c>
      <c r="B92" s="80" t="str">
        <f>VLOOKUP(A92,policy!B:C,2,0)</f>
        <v>040000183481</v>
      </c>
      <c r="C92" s="46">
        <v>8800</v>
      </c>
      <c r="D92" s="81">
        <f t="shared" si="5"/>
        <v>8800</v>
      </c>
      <c r="E92" s="79" t="s">
        <v>3563</v>
      </c>
      <c r="F92" s="82" t="str">
        <f t="shared" si="4"/>
        <v>insert into ins_premium_det (premium_rcv_code,assorted_code, rec_amount,premium_rcv_detail_code,remaining_amt, payrec, mode_code,coinsurance_code,class_cd,it_remarks) values</v>
      </c>
      <c r="G92" s="83" t="str">
        <f t="shared" si="6"/>
        <v>('29Oct240071','040000183481','8800',(select max(to_number(i.premium_rcv_detail_code))+1
from ins_premium_det i),'8800','8800','02', '11000003','00','Request by Mr. Omair Ali 30-Aug-2024');</v>
      </c>
      <c r="H92" s="84" t="str">
        <f t="shared" si="7"/>
        <v>insert into ins_premium_det (premium_rcv_code,assorted_code, rec_amount,premium_rcv_detail_code,remaining_amt, payrec, mode_code,coinsurance_code,class_cd,it_remarks) values('29Oct240071','040000183481','8800',(select max(to_number(i.premium_rcv_detail_code))+1
from ins_premium_det i),'8800','8800','02', '11000003','00','Request by Mr. Omair Ali 30-Aug-2024');</v>
      </c>
    </row>
    <row r="93" spans="1:8" ht="105" x14ac:dyDescent="0.25">
      <c r="A93" t="s">
        <v>231</v>
      </c>
      <c r="B93" s="80" t="str">
        <f>VLOOKUP(A93,policy!B:C,2,0)</f>
        <v>040000183488</v>
      </c>
      <c r="C93" s="46">
        <v>8800</v>
      </c>
      <c r="D93" s="81">
        <f t="shared" si="5"/>
        <v>8800</v>
      </c>
      <c r="E93" s="79" t="s">
        <v>3563</v>
      </c>
      <c r="F93" s="82" t="str">
        <f t="shared" si="4"/>
        <v>insert into ins_premium_det (premium_rcv_code,assorted_code, rec_amount,premium_rcv_detail_code,remaining_amt, payrec, mode_code,coinsurance_code,class_cd,it_remarks) values</v>
      </c>
      <c r="G93" s="83" t="str">
        <f t="shared" si="6"/>
        <v>('29Oct240071','040000183488','8800',(select max(to_number(i.premium_rcv_detail_code))+1
from ins_premium_det i),'8800','8800','02', '11000003','00','Request by Mr. Omair Ali 30-Aug-2024');</v>
      </c>
      <c r="H93" s="84" t="str">
        <f t="shared" si="7"/>
        <v>insert into ins_premium_det (premium_rcv_code,assorted_code, rec_amount,premium_rcv_detail_code,remaining_amt, payrec, mode_code,coinsurance_code,class_cd,it_remarks) values('29Oct240071','040000183488','8800',(select max(to_number(i.premium_rcv_detail_code))+1
from ins_premium_det i),'8800','8800','02', '11000003','00','Request by Mr. Omair Ali 30-Aug-2024');</v>
      </c>
    </row>
    <row r="94" spans="1:8" ht="105" x14ac:dyDescent="0.25">
      <c r="A94" t="s">
        <v>232</v>
      </c>
      <c r="B94" s="80" t="str">
        <f>VLOOKUP(A94,policy!B:C,2,0)</f>
        <v>040000183489</v>
      </c>
      <c r="C94" s="46">
        <v>9550</v>
      </c>
      <c r="D94" s="81">
        <f t="shared" si="5"/>
        <v>9550</v>
      </c>
      <c r="E94" s="79" t="s">
        <v>3563</v>
      </c>
      <c r="F94" s="82" t="str">
        <f t="shared" si="4"/>
        <v>insert into ins_premium_det (premium_rcv_code,assorted_code, rec_amount,premium_rcv_detail_code,remaining_amt, payrec, mode_code,coinsurance_code,class_cd,it_remarks) values</v>
      </c>
      <c r="G94" s="83" t="str">
        <f t="shared" si="6"/>
        <v>('29Oct240071','040000183489','9550',(select max(to_number(i.premium_rcv_detail_code))+1
from ins_premium_det i),'9550','9550','02', '11000003','00','Request by Mr. Omair Ali 30-Aug-2024');</v>
      </c>
      <c r="H94" s="84" t="str">
        <f t="shared" si="7"/>
        <v>insert into ins_premium_det (premium_rcv_code,assorted_code, rec_amount,premium_rcv_detail_code,remaining_amt, payrec, mode_code,coinsurance_code,class_cd,it_remarks) values('29Oct240071','040000183489','9550',(select max(to_number(i.premium_rcv_detail_code))+1
from ins_premium_det i),'9550','9550','02', '11000003','00','Request by Mr. Omair Ali 30-Aug-2024');</v>
      </c>
    </row>
    <row r="95" spans="1:8" ht="105" x14ac:dyDescent="0.25">
      <c r="A95" t="s">
        <v>233</v>
      </c>
      <c r="B95" s="80" t="str">
        <f>VLOOKUP(A95,policy!B:C,2,0)</f>
        <v>040000183491</v>
      </c>
      <c r="C95" s="46">
        <v>8800</v>
      </c>
      <c r="D95" s="81">
        <f t="shared" si="5"/>
        <v>8800</v>
      </c>
      <c r="E95" s="79" t="s">
        <v>3563</v>
      </c>
      <c r="F95" s="82" t="str">
        <f t="shared" si="4"/>
        <v>insert into ins_premium_det (premium_rcv_code,assorted_code, rec_amount,premium_rcv_detail_code,remaining_amt, payrec, mode_code,coinsurance_code,class_cd,it_remarks) values</v>
      </c>
      <c r="G95" s="83" t="str">
        <f t="shared" si="6"/>
        <v>('29Oct240071','040000183491','8800',(select max(to_number(i.premium_rcv_detail_code))+1
from ins_premium_det i),'8800','8800','02', '11000003','00','Request by Mr. Omair Ali 30-Aug-2024');</v>
      </c>
      <c r="H95" s="84" t="str">
        <f t="shared" si="7"/>
        <v>insert into ins_premium_det (premium_rcv_code,assorted_code, rec_amount,premium_rcv_detail_code,remaining_amt, payrec, mode_code,coinsurance_code,class_cd,it_remarks) values('29Oct240071','040000183491','8800',(select max(to_number(i.premium_rcv_detail_code))+1
from ins_premium_det i),'8800','8800','02', '11000003','00','Request by Mr. Omair Ali 30-Aug-2024');</v>
      </c>
    </row>
    <row r="96" spans="1:8" ht="105" x14ac:dyDescent="0.25">
      <c r="A96" t="s">
        <v>234</v>
      </c>
      <c r="B96" s="80" t="str">
        <f>VLOOKUP(A96,policy!B:C,2,0)</f>
        <v>040000183493</v>
      </c>
      <c r="C96" s="46">
        <v>14960</v>
      </c>
      <c r="D96" s="81">
        <f t="shared" si="5"/>
        <v>14960</v>
      </c>
      <c r="E96" s="79" t="s">
        <v>3563</v>
      </c>
      <c r="F96" s="82" t="str">
        <f t="shared" si="4"/>
        <v>insert into ins_premium_det (premium_rcv_code,assorted_code, rec_amount,premium_rcv_detail_code,remaining_amt, payrec, mode_code,coinsurance_code,class_cd,it_remarks) values</v>
      </c>
      <c r="G96" s="83" t="str">
        <f t="shared" si="6"/>
        <v>('29Oct240071','040000183493','14960',(select max(to_number(i.premium_rcv_detail_code))+1
from ins_premium_det i),'14960','14960','02', '11000003','00','Request by Mr. Omair Ali 30-Aug-2024');</v>
      </c>
      <c r="H96" s="84" t="str">
        <f t="shared" si="7"/>
        <v>insert into ins_premium_det (premium_rcv_code,assorted_code, rec_amount,premium_rcv_detail_code,remaining_amt, payrec, mode_code,coinsurance_code,class_cd,it_remarks) values('29Oct240071','040000183493','14960',(select max(to_number(i.premium_rcv_detail_code))+1
from ins_premium_det i),'14960','14960','02', '11000003','00','Request by Mr. Omair Ali 30-Aug-2024');</v>
      </c>
    </row>
    <row r="97" spans="1:8" ht="105" x14ac:dyDescent="0.25">
      <c r="A97" t="s">
        <v>235</v>
      </c>
      <c r="B97" s="80" t="str">
        <f>VLOOKUP(A97,policy!B:C,2,0)</f>
        <v>040000183494</v>
      </c>
      <c r="C97" s="46">
        <v>16235</v>
      </c>
      <c r="D97" s="81">
        <f t="shared" si="5"/>
        <v>16235</v>
      </c>
      <c r="E97" s="79" t="s">
        <v>3563</v>
      </c>
      <c r="F97" s="82" t="str">
        <f t="shared" si="4"/>
        <v>insert into ins_premium_det (premium_rcv_code,assorted_code, rec_amount,premium_rcv_detail_code,remaining_amt, payrec, mode_code,coinsurance_code,class_cd,it_remarks) values</v>
      </c>
      <c r="G97" s="83" t="str">
        <f t="shared" si="6"/>
        <v>('29Oct240071','040000183494','16235',(select max(to_number(i.premium_rcv_detail_code))+1
from ins_premium_det i),'16235','16235','02', '11000003','00','Request by Mr. Omair Ali 30-Aug-2024');</v>
      </c>
      <c r="H97" s="84" t="str">
        <f t="shared" si="7"/>
        <v>insert into ins_premium_det (premium_rcv_code,assorted_code, rec_amount,premium_rcv_detail_code,remaining_amt, payrec, mode_code,coinsurance_code,class_cd,it_remarks) values('29Oct240071','040000183494','16235',(select max(to_number(i.premium_rcv_detail_code))+1
from ins_premium_det i),'16235','16235','02', '11000003','00','Request by Mr. Omair Ali 30-Aug-2024');</v>
      </c>
    </row>
    <row r="98" spans="1:8" ht="105" x14ac:dyDescent="0.25">
      <c r="A98" t="s">
        <v>236</v>
      </c>
      <c r="B98" s="80" t="str">
        <f>VLOOKUP(A98,policy!B:C,2,0)</f>
        <v>040000183495</v>
      </c>
      <c r="C98" s="46">
        <v>16235</v>
      </c>
      <c r="D98" s="81">
        <f t="shared" si="5"/>
        <v>16235</v>
      </c>
      <c r="E98" s="79" t="s">
        <v>3563</v>
      </c>
      <c r="F98" s="82" t="str">
        <f t="shared" si="4"/>
        <v>insert into ins_premium_det (premium_rcv_code,assorted_code, rec_amount,premium_rcv_detail_code,remaining_amt, payrec, mode_code,coinsurance_code,class_cd,it_remarks) values</v>
      </c>
      <c r="G98" s="83" t="str">
        <f t="shared" si="6"/>
        <v>('29Oct240071','040000183495','16235',(select max(to_number(i.premium_rcv_detail_code))+1
from ins_premium_det i),'16235','16235','02', '11000003','00','Request by Mr. Omair Ali 30-Aug-2024');</v>
      </c>
      <c r="H98" s="84" t="str">
        <f t="shared" si="7"/>
        <v>insert into ins_premium_det (premium_rcv_code,assorted_code, rec_amount,premium_rcv_detail_code,remaining_amt, payrec, mode_code,coinsurance_code,class_cd,it_remarks) values('29Oct240071','040000183495','16235',(select max(to_number(i.premium_rcv_detail_code))+1
from ins_premium_det i),'16235','16235','02', '11000003','00','Request by Mr. Omair Ali 30-Aug-2024');</v>
      </c>
    </row>
    <row r="99" spans="1:8" ht="105" x14ac:dyDescent="0.25">
      <c r="A99" t="s">
        <v>237</v>
      </c>
      <c r="B99" s="80" t="str">
        <f>VLOOKUP(A99,policy!B:C,2,0)</f>
        <v>040000183496</v>
      </c>
      <c r="C99" s="46">
        <v>16235</v>
      </c>
      <c r="D99" s="81">
        <f t="shared" si="5"/>
        <v>16235</v>
      </c>
      <c r="E99" s="79" t="s">
        <v>3563</v>
      </c>
      <c r="F99" s="82" t="str">
        <f t="shared" si="4"/>
        <v>insert into ins_premium_det (premium_rcv_code,assorted_code, rec_amount,premium_rcv_detail_code,remaining_amt, payrec, mode_code,coinsurance_code,class_cd,it_remarks) values</v>
      </c>
      <c r="G99" s="83" t="str">
        <f t="shared" si="6"/>
        <v>('29Oct240071','040000183496','16235',(select max(to_number(i.premium_rcv_detail_code))+1
from ins_premium_det i),'16235','16235','02', '11000003','00','Request by Mr. Omair Ali 30-Aug-2024');</v>
      </c>
      <c r="H99" s="84" t="str">
        <f t="shared" si="7"/>
        <v>insert into ins_premium_det (premium_rcv_code,assorted_code, rec_amount,premium_rcv_detail_code,remaining_amt, payrec, mode_code,coinsurance_code,class_cd,it_remarks) values('29Oct240071','040000183496','16235',(select max(to_number(i.premium_rcv_detail_code))+1
from ins_premium_det i),'16235','16235','02', '11000003','00','Request by Mr. Omair Ali 30-Aug-2024');</v>
      </c>
    </row>
    <row r="100" spans="1:8" ht="105" x14ac:dyDescent="0.25">
      <c r="A100" t="s">
        <v>238</v>
      </c>
      <c r="B100" s="80" t="str">
        <f>VLOOKUP(A100,policy!B:C,2,0)</f>
        <v>040000183499</v>
      </c>
      <c r="C100" s="46">
        <v>8800</v>
      </c>
      <c r="D100" s="81">
        <f t="shared" si="5"/>
        <v>8800</v>
      </c>
      <c r="E100" s="79" t="s">
        <v>3563</v>
      </c>
      <c r="F100" s="82" t="str">
        <f t="shared" si="4"/>
        <v>insert into ins_premium_det (premium_rcv_code,assorted_code, rec_amount,premium_rcv_detail_code,remaining_amt, payrec, mode_code,coinsurance_code,class_cd,it_remarks) values</v>
      </c>
      <c r="G100" s="83" t="str">
        <f t="shared" si="6"/>
        <v>('29Oct240071','040000183499','8800',(select max(to_number(i.premium_rcv_detail_code))+1
from ins_premium_det i),'8800','8800','02', '11000003','00','Request by Mr. Omair Ali 30-Aug-2024');</v>
      </c>
      <c r="H100" s="84" t="str">
        <f t="shared" si="7"/>
        <v>insert into ins_premium_det (premium_rcv_code,assorted_code, rec_amount,premium_rcv_detail_code,remaining_amt, payrec, mode_code,coinsurance_code,class_cd,it_remarks) values('29Oct240071','040000183499','8800',(select max(to_number(i.premium_rcv_detail_code))+1
from ins_premium_det i),'8800','8800','02', '11000003','00','Request by Mr. Omair Ali 30-Aug-2024');</v>
      </c>
    </row>
    <row r="101" spans="1:8" ht="105" x14ac:dyDescent="0.25">
      <c r="A101" t="s">
        <v>239</v>
      </c>
      <c r="B101" s="80" t="str">
        <f>VLOOKUP(A101,policy!B:C,2,0)</f>
        <v>040000183500</v>
      </c>
      <c r="C101" s="46">
        <v>16235</v>
      </c>
      <c r="D101" s="81">
        <f t="shared" si="5"/>
        <v>16235</v>
      </c>
      <c r="E101" s="79" t="s">
        <v>3563</v>
      </c>
      <c r="F101" s="82" t="str">
        <f t="shared" si="4"/>
        <v>insert into ins_premium_det (premium_rcv_code,assorted_code, rec_amount,premium_rcv_detail_code,remaining_amt, payrec, mode_code,coinsurance_code,class_cd,it_remarks) values</v>
      </c>
      <c r="G101" s="83" t="str">
        <f t="shared" si="6"/>
        <v>('29Oct240071','040000183500','16235',(select max(to_number(i.premium_rcv_detail_code))+1
from ins_premium_det i),'16235','16235','02', '11000003','00','Request by Mr. Omair Ali 30-Aug-2024');</v>
      </c>
      <c r="H101" s="84" t="str">
        <f t="shared" si="7"/>
        <v>insert into ins_premium_det (premium_rcv_code,assorted_code, rec_amount,premium_rcv_detail_code,remaining_amt, payrec, mode_code,coinsurance_code,class_cd,it_remarks) values('29Oct240071','040000183500','16235',(select max(to_number(i.premium_rcv_detail_code))+1
from ins_premium_det i),'16235','16235','02', '11000003','00','Request by Mr. Omair Ali 30-Aug-2024');</v>
      </c>
    </row>
    <row r="102" spans="1:8" ht="105" x14ac:dyDescent="0.25">
      <c r="A102" t="s">
        <v>240</v>
      </c>
      <c r="B102" s="80" t="str">
        <f>VLOOKUP(A102,policy!B:C,2,0)</f>
        <v>040000183501</v>
      </c>
      <c r="C102" s="46">
        <v>14960</v>
      </c>
      <c r="D102" s="81">
        <f t="shared" si="5"/>
        <v>14960</v>
      </c>
      <c r="E102" s="79" t="s">
        <v>3563</v>
      </c>
      <c r="F102" s="82" t="str">
        <f t="shared" si="4"/>
        <v>insert into ins_premium_det (premium_rcv_code,assorted_code, rec_amount,premium_rcv_detail_code,remaining_amt, payrec, mode_code,coinsurance_code,class_cd,it_remarks) values</v>
      </c>
      <c r="G102" s="83" t="str">
        <f t="shared" si="6"/>
        <v>('29Oct240071','040000183501','14960',(select max(to_number(i.premium_rcv_detail_code))+1
from ins_premium_det i),'14960','14960','02', '11000003','00','Request by Mr. Omair Ali 30-Aug-2024');</v>
      </c>
      <c r="H102" s="84" t="str">
        <f t="shared" si="7"/>
        <v>insert into ins_premium_det (premium_rcv_code,assorted_code, rec_amount,premium_rcv_detail_code,remaining_amt, payrec, mode_code,coinsurance_code,class_cd,it_remarks) values('29Oct240071','040000183501','14960',(select max(to_number(i.premium_rcv_detail_code))+1
from ins_premium_det i),'14960','14960','02', '11000003','00','Request by Mr. Omair Ali 30-Aug-2024');</v>
      </c>
    </row>
    <row r="103" spans="1:8" ht="105" x14ac:dyDescent="0.25">
      <c r="A103" t="s">
        <v>241</v>
      </c>
      <c r="B103" s="80" t="str">
        <f>VLOOKUP(A103,policy!B:C,2,0)</f>
        <v>040000183502</v>
      </c>
      <c r="C103" s="46">
        <v>12475</v>
      </c>
      <c r="D103" s="81">
        <f t="shared" si="5"/>
        <v>12475</v>
      </c>
      <c r="E103" s="79" t="s">
        <v>3563</v>
      </c>
      <c r="F103" s="82" t="str">
        <f t="shared" si="4"/>
        <v>insert into ins_premium_det (premium_rcv_code,assorted_code, rec_amount,premium_rcv_detail_code,remaining_amt, payrec, mode_code,coinsurance_code,class_cd,it_remarks) values</v>
      </c>
      <c r="G103" s="83" t="str">
        <f t="shared" si="6"/>
        <v>('29Oct240071','040000183502','12475',(select max(to_number(i.premium_rcv_detail_code))+1
from ins_premium_det i),'12475','12475','02', '11000003','00','Request by Mr. Omair Ali 30-Aug-2024');</v>
      </c>
      <c r="H103" s="84" t="str">
        <f t="shared" si="7"/>
        <v>insert into ins_premium_det (premium_rcv_code,assorted_code, rec_amount,premium_rcv_detail_code,remaining_amt, payrec, mode_code,coinsurance_code,class_cd,it_remarks) values('29Oct240071','040000183502','12475',(select max(to_number(i.premium_rcv_detail_code))+1
from ins_premium_det i),'12475','12475','02', '11000003','00','Request by Mr. Omair Ali 30-Aug-2024');</v>
      </c>
    </row>
    <row r="104" spans="1:8" ht="105" x14ac:dyDescent="0.25">
      <c r="A104" t="s">
        <v>242</v>
      </c>
      <c r="B104" s="80" t="str">
        <f>VLOOKUP(A104,policy!B:C,2,0)</f>
        <v>040000183503</v>
      </c>
      <c r="C104" s="46">
        <v>8800</v>
      </c>
      <c r="D104" s="81">
        <f t="shared" si="5"/>
        <v>8800</v>
      </c>
      <c r="E104" s="79" t="s">
        <v>3563</v>
      </c>
      <c r="F104" s="82" t="str">
        <f t="shared" si="4"/>
        <v>insert into ins_premium_det (premium_rcv_code,assorted_code, rec_amount,premium_rcv_detail_code,remaining_amt, payrec, mode_code,coinsurance_code,class_cd,it_remarks) values</v>
      </c>
      <c r="G104" s="83" t="str">
        <f t="shared" si="6"/>
        <v>('29Oct240071','040000183503','8800',(select max(to_number(i.premium_rcv_detail_code))+1
from ins_premium_det i),'8800','8800','02', '11000003','00','Request by Mr. Omair Ali 30-Aug-2024');</v>
      </c>
      <c r="H104" s="84" t="str">
        <f t="shared" si="7"/>
        <v>insert into ins_premium_det (premium_rcv_code,assorted_code, rec_amount,premium_rcv_detail_code,remaining_amt, payrec, mode_code,coinsurance_code,class_cd,it_remarks) values('29Oct240071','040000183503','8800',(select max(to_number(i.premium_rcv_detail_code))+1
from ins_premium_det i),'8800','8800','02', '11000003','00','Request by Mr. Omair Ali 30-Aug-2024');</v>
      </c>
    </row>
    <row r="105" spans="1:8" ht="105" x14ac:dyDescent="0.25">
      <c r="A105" t="s">
        <v>243</v>
      </c>
      <c r="B105" s="80" t="str">
        <f>VLOOKUP(A105,policy!B:C,2,0)</f>
        <v>040000183504</v>
      </c>
      <c r="C105" s="46">
        <v>9550</v>
      </c>
      <c r="D105" s="81">
        <f t="shared" si="5"/>
        <v>9550</v>
      </c>
      <c r="E105" s="79" t="s">
        <v>3563</v>
      </c>
      <c r="F105" s="82" t="str">
        <f t="shared" si="4"/>
        <v>insert into ins_premium_det (premium_rcv_code,assorted_code, rec_amount,premium_rcv_detail_code,remaining_amt, payrec, mode_code,coinsurance_code,class_cd,it_remarks) values</v>
      </c>
      <c r="G105" s="83" t="str">
        <f t="shared" si="6"/>
        <v>('29Oct240071','040000183504','9550',(select max(to_number(i.premium_rcv_detail_code))+1
from ins_premium_det i),'9550','9550','02', '11000003','00','Request by Mr. Omair Ali 30-Aug-2024');</v>
      </c>
      <c r="H105" s="84" t="str">
        <f t="shared" si="7"/>
        <v>insert into ins_premium_det (premium_rcv_code,assorted_code, rec_amount,premium_rcv_detail_code,remaining_amt, payrec, mode_code,coinsurance_code,class_cd,it_remarks) values('29Oct240071','040000183504','9550',(select max(to_number(i.premium_rcv_detail_code))+1
from ins_premium_det i),'9550','9550','02', '11000003','00','Request by Mr. Omair Ali 30-Aug-2024');</v>
      </c>
    </row>
    <row r="106" spans="1:8" ht="105" x14ac:dyDescent="0.25">
      <c r="A106" t="s">
        <v>244</v>
      </c>
      <c r="B106" s="80" t="str">
        <f>VLOOKUP(A106,policy!B:C,2,0)</f>
        <v>040000183505</v>
      </c>
      <c r="C106" s="46">
        <v>8800</v>
      </c>
      <c r="D106" s="81">
        <f t="shared" si="5"/>
        <v>8800</v>
      </c>
      <c r="E106" s="79" t="s">
        <v>3563</v>
      </c>
      <c r="F106" s="82" t="str">
        <f t="shared" si="4"/>
        <v>insert into ins_premium_det (premium_rcv_code,assorted_code, rec_amount,premium_rcv_detail_code,remaining_amt, payrec, mode_code,coinsurance_code,class_cd,it_remarks) values</v>
      </c>
      <c r="G106" s="83" t="str">
        <f t="shared" si="6"/>
        <v>('29Oct240071','040000183505','8800',(select max(to_number(i.premium_rcv_detail_code))+1
from ins_premium_det i),'8800','8800','02', '11000003','00','Request by Mr. Omair Ali 30-Aug-2024');</v>
      </c>
      <c r="H106" s="84" t="str">
        <f t="shared" si="7"/>
        <v>insert into ins_premium_det (premium_rcv_code,assorted_code, rec_amount,premium_rcv_detail_code,remaining_amt, payrec, mode_code,coinsurance_code,class_cd,it_remarks) values('29Oct240071','040000183505','8800',(select max(to_number(i.premium_rcv_detail_code))+1
from ins_premium_det i),'8800','8800','02', '11000003','00','Request by Mr. Omair Ali 30-Aug-2024');</v>
      </c>
    </row>
    <row r="107" spans="1:8" ht="105" x14ac:dyDescent="0.25">
      <c r="A107" t="s">
        <v>245</v>
      </c>
      <c r="B107" s="80" t="str">
        <f>VLOOKUP(A107,policy!B:C,2,0)</f>
        <v>040000183506</v>
      </c>
      <c r="C107" s="46">
        <v>8800</v>
      </c>
      <c r="D107" s="81">
        <f t="shared" si="5"/>
        <v>8800</v>
      </c>
      <c r="E107" s="79" t="s">
        <v>3563</v>
      </c>
      <c r="F107" s="82" t="str">
        <f t="shared" si="4"/>
        <v>insert into ins_premium_det (premium_rcv_code,assorted_code, rec_amount,premium_rcv_detail_code,remaining_amt, payrec, mode_code,coinsurance_code,class_cd,it_remarks) values</v>
      </c>
      <c r="G107" s="83" t="str">
        <f t="shared" si="6"/>
        <v>('29Oct240071','040000183506','8800',(select max(to_number(i.premium_rcv_detail_code))+1
from ins_premium_det i),'8800','8800','02', '11000003','00','Request by Mr. Omair Ali 30-Aug-2024');</v>
      </c>
      <c r="H107" s="84" t="str">
        <f t="shared" si="7"/>
        <v>insert into ins_premium_det (premium_rcv_code,assorted_code, rec_amount,premium_rcv_detail_code,remaining_amt, payrec, mode_code,coinsurance_code,class_cd,it_remarks) values('29Oct240071','040000183506','8800',(select max(to_number(i.premium_rcv_detail_code))+1
from ins_premium_det i),'8800','8800','02', '11000003','00','Request by Mr. Omair Ali 30-Aug-2024');</v>
      </c>
    </row>
    <row r="108" spans="1:8" ht="105" x14ac:dyDescent="0.25">
      <c r="A108" t="s">
        <v>246</v>
      </c>
      <c r="B108" s="80" t="str">
        <f>VLOOKUP(A108,policy!B:C,2,0)</f>
        <v>040000183518</v>
      </c>
      <c r="C108" s="46">
        <v>13675</v>
      </c>
      <c r="D108" s="81">
        <f t="shared" si="5"/>
        <v>13675</v>
      </c>
      <c r="E108" s="79" t="s">
        <v>3563</v>
      </c>
      <c r="F108" s="82" t="str">
        <f t="shared" si="4"/>
        <v>insert into ins_premium_det (premium_rcv_code,assorted_code, rec_amount,premium_rcv_detail_code,remaining_amt, payrec, mode_code,coinsurance_code,class_cd,it_remarks) values</v>
      </c>
      <c r="G108" s="83" t="str">
        <f t="shared" si="6"/>
        <v>('29Oct240071','040000183518','13675',(select max(to_number(i.premium_rcv_detail_code))+1
from ins_premium_det i),'13675','13675','02', '11000003','00','Request by Mr. Omair Ali 30-Aug-2024');</v>
      </c>
      <c r="H108" s="84" t="str">
        <f t="shared" si="7"/>
        <v>insert into ins_premium_det (premium_rcv_code,assorted_code, rec_amount,premium_rcv_detail_code,remaining_amt, payrec, mode_code,coinsurance_code,class_cd,it_remarks) values('29Oct240071','040000183518','13675',(select max(to_number(i.premium_rcv_detail_code))+1
from ins_premium_det i),'13675','13675','02', '11000003','00','Request by Mr. Omair Ali 30-Aug-2024');</v>
      </c>
    </row>
    <row r="109" spans="1:8" ht="105" x14ac:dyDescent="0.25">
      <c r="A109" t="s">
        <v>247</v>
      </c>
      <c r="B109" s="80" t="str">
        <f>VLOOKUP(A109,policy!B:C,2,0)</f>
        <v>040000183521</v>
      </c>
      <c r="C109" s="46">
        <v>12475</v>
      </c>
      <c r="D109" s="81">
        <f t="shared" si="5"/>
        <v>12475</v>
      </c>
      <c r="E109" s="79" t="s">
        <v>3563</v>
      </c>
      <c r="F109" s="82" t="str">
        <f t="shared" si="4"/>
        <v>insert into ins_premium_det (premium_rcv_code,assorted_code, rec_amount,premium_rcv_detail_code,remaining_amt, payrec, mode_code,coinsurance_code,class_cd,it_remarks) values</v>
      </c>
      <c r="G109" s="83" t="str">
        <f t="shared" si="6"/>
        <v>('29Oct240071','040000183521','12475',(select max(to_number(i.premium_rcv_detail_code))+1
from ins_premium_det i),'12475','12475','02', '11000003','00','Request by Mr. Omair Ali 30-Aug-2024');</v>
      </c>
      <c r="H109" s="84" t="str">
        <f t="shared" si="7"/>
        <v>insert into ins_premium_det (premium_rcv_code,assorted_code, rec_amount,premium_rcv_detail_code,remaining_amt, payrec, mode_code,coinsurance_code,class_cd,it_remarks) values('29Oct240071','040000183521','12475',(select max(to_number(i.premium_rcv_detail_code))+1
from ins_premium_det i),'12475','12475','02', '11000003','00','Request by Mr. Omair Ali 30-Aug-2024');</v>
      </c>
    </row>
    <row r="110" spans="1:8" ht="105" x14ac:dyDescent="0.25">
      <c r="A110" t="s">
        <v>248</v>
      </c>
      <c r="B110" s="80" t="str">
        <f>VLOOKUP(A110,policy!B:C,2,0)</f>
        <v>040000183522</v>
      </c>
      <c r="C110" s="46">
        <v>12475</v>
      </c>
      <c r="D110" s="81">
        <f t="shared" si="5"/>
        <v>12475</v>
      </c>
      <c r="E110" s="79" t="s">
        <v>3563</v>
      </c>
      <c r="F110" s="82" t="str">
        <f t="shared" si="4"/>
        <v>insert into ins_premium_det (premium_rcv_code,assorted_code, rec_amount,premium_rcv_detail_code,remaining_amt, payrec, mode_code,coinsurance_code,class_cd,it_remarks) values</v>
      </c>
      <c r="G110" s="83" t="str">
        <f t="shared" si="6"/>
        <v>('29Oct240071','040000183522','12475',(select max(to_number(i.premium_rcv_detail_code))+1
from ins_premium_det i),'12475','12475','02', '11000003','00','Request by Mr. Omair Ali 30-Aug-2024');</v>
      </c>
      <c r="H110" s="84" t="str">
        <f t="shared" si="7"/>
        <v>insert into ins_premium_det (premium_rcv_code,assorted_code, rec_amount,premium_rcv_detail_code,remaining_amt, payrec, mode_code,coinsurance_code,class_cd,it_remarks) values('29Oct240071','040000183522','12475',(select max(to_number(i.premium_rcv_detail_code))+1
from ins_premium_det i),'12475','12475','02', '11000003','00','Request by Mr. Omair Ali 30-Aug-2024');</v>
      </c>
    </row>
    <row r="111" spans="1:8" ht="105" x14ac:dyDescent="0.25">
      <c r="A111" t="s">
        <v>249</v>
      </c>
      <c r="B111" s="80" t="str">
        <f>VLOOKUP(A111,policy!B:C,2,0)</f>
        <v>040000183523</v>
      </c>
      <c r="C111" s="46">
        <v>23248</v>
      </c>
      <c r="D111" s="81">
        <f t="shared" si="5"/>
        <v>23248</v>
      </c>
      <c r="E111" s="79" t="s">
        <v>3563</v>
      </c>
      <c r="F111" s="82" t="str">
        <f t="shared" si="4"/>
        <v>insert into ins_premium_det (premium_rcv_code,assorted_code, rec_amount,premium_rcv_detail_code,remaining_amt, payrec, mode_code,coinsurance_code,class_cd,it_remarks) values</v>
      </c>
      <c r="G111" s="83" t="str">
        <f t="shared" si="6"/>
        <v>('29Oct240071','040000183523','23248',(select max(to_number(i.premium_rcv_detail_code))+1
from ins_premium_det i),'23248','23248','02', '11000003','00','Request by Mr. Omair Ali 30-Aug-2024');</v>
      </c>
      <c r="H111" s="84" t="str">
        <f t="shared" si="7"/>
        <v>insert into ins_premium_det (premium_rcv_code,assorted_code, rec_amount,premium_rcv_detail_code,remaining_amt, payrec, mode_code,coinsurance_code,class_cd,it_remarks) values('29Oct240071','040000183523','23248',(select max(to_number(i.premium_rcv_detail_code))+1
from ins_premium_det i),'23248','23248','02', '11000003','00','Request by Mr. Omair Ali 30-Aug-2024');</v>
      </c>
    </row>
    <row r="112" spans="1:8" ht="105" x14ac:dyDescent="0.25">
      <c r="A112" t="s">
        <v>250</v>
      </c>
      <c r="B112" s="80" t="str">
        <f>VLOOKUP(A112,policy!B:C,2,0)</f>
        <v>040000183531</v>
      </c>
      <c r="C112" s="46">
        <v>14960</v>
      </c>
      <c r="D112" s="81">
        <f t="shared" si="5"/>
        <v>14960</v>
      </c>
      <c r="E112" s="79" t="s">
        <v>3563</v>
      </c>
      <c r="F112" s="82" t="str">
        <f t="shared" si="4"/>
        <v>insert into ins_premium_det (premium_rcv_code,assorted_code, rec_amount,premium_rcv_detail_code,remaining_amt, payrec, mode_code,coinsurance_code,class_cd,it_remarks) values</v>
      </c>
      <c r="G112" s="83" t="str">
        <f t="shared" si="6"/>
        <v>('29Oct240071','040000183531','14960',(select max(to_number(i.premium_rcv_detail_code))+1
from ins_premium_det i),'14960','14960','02', '11000003','00','Request by Mr. Omair Ali 30-Aug-2024');</v>
      </c>
      <c r="H112" s="84" t="str">
        <f t="shared" si="7"/>
        <v>insert into ins_premium_det (premium_rcv_code,assorted_code, rec_amount,premium_rcv_detail_code,remaining_amt, payrec, mode_code,coinsurance_code,class_cd,it_remarks) values('29Oct240071','040000183531','14960',(select max(to_number(i.premium_rcv_detail_code))+1
from ins_premium_det i),'14960','14960','02', '11000003','00','Request by Mr. Omair Ali 30-Aug-2024');</v>
      </c>
    </row>
    <row r="113" spans="1:8" ht="105" x14ac:dyDescent="0.25">
      <c r="A113" t="s">
        <v>251</v>
      </c>
      <c r="B113" s="80" t="str">
        <f>VLOOKUP(A113,policy!B:C,2,0)</f>
        <v>040000183533</v>
      </c>
      <c r="C113" s="46">
        <v>16235</v>
      </c>
      <c r="D113" s="81">
        <f t="shared" si="5"/>
        <v>16235</v>
      </c>
      <c r="E113" s="79" t="s">
        <v>3563</v>
      </c>
      <c r="F113" s="82" t="str">
        <f t="shared" si="4"/>
        <v>insert into ins_premium_det (premium_rcv_code,assorted_code, rec_amount,premium_rcv_detail_code,remaining_amt, payrec, mode_code,coinsurance_code,class_cd,it_remarks) values</v>
      </c>
      <c r="G113" s="83" t="str">
        <f t="shared" si="6"/>
        <v>('29Oct240071','040000183533','16235',(select max(to_number(i.premium_rcv_detail_code))+1
from ins_premium_det i),'16235','16235','02', '11000003','00','Request by Mr. Omair Ali 30-Aug-2024');</v>
      </c>
      <c r="H113" s="84" t="str">
        <f t="shared" si="7"/>
        <v>insert into ins_premium_det (premium_rcv_code,assorted_code, rec_amount,premium_rcv_detail_code,remaining_amt, payrec, mode_code,coinsurance_code,class_cd,it_remarks) values('29Oct240071','040000183533','16235',(select max(to_number(i.premium_rcv_detail_code))+1
from ins_premium_det i),'16235','16235','02', '11000003','00','Request by Mr. Omair Ali 30-Aug-2024');</v>
      </c>
    </row>
    <row r="114" spans="1:8" ht="105" x14ac:dyDescent="0.25">
      <c r="A114" t="s">
        <v>252</v>
      </c>
      <c r="B114" s="80" t="str">
        <f>VLOOKUP(A114,policy!B:C,2,0)</f>
        <v>040000183538</v>
      </c>
      <c r="C114" s="46">
        <v>8800</v>
      </c>
      <c r="D114" s="81">
        <f t="shared" si="5"/>
        <v>8800</v>
      </c>
      <c r="E114" s="79" t="s">
        <v>3563</v>
      </c>
      <c r="F114" s="82" t="str">
        <f t="shared" si="4"/>
        <v>insert into ins_premium_det (premium_rcv_code,assorted_code, rec_amount,premium_rcv_detail_code,remaining_amt, payrec, mode_code,coinsurance_code,class_cd,it_remarks) values</v>
      </c>
      <c r="G114" s="83" t="str">
        <f t="shared" si="6"/>
        <v>('29Oct240071','040000183538','8800',(select max(to_number(i.premium_rcv_detail_code))+1
from ins_premium_det i),'8800','8800','02', '11000003','00','Request by Mr. Omair Ali 30-Aug-2024');</v>
      </c>
      <c r="H114" s="84" t="str">
        <f t="shared" si="7"/>
        <v>insert into ins_premium_det (premium_rcv_code,assorted_code, rec_amount,premium_rcv_detail_code,remaining_amt, payrec, mode_code,coinsurance_code,class_cd,it_remarks) values('29Oct240071','040000183538','8800',(select max(to_number(i.premium_rcv_detail_code))+1
from ins_premium_det i),'8800','8800','02', '11000003','00','Request by Mr. Omair Ali 30-Aug-2024');</v>
      </c>
    </row>
    <row r="115" spans="1:8" ht="105" x14ac:dyDescent="0.25">
      <c r="A115" t="s">
        <v>253</v>
      </c>
      <c r="B115" s="80" t="str">
        <f>VLOOKUP(A115,policy!B:C,2,0)</f>
        <v>040000183540</v>
      </c>
      <c r="C115" s="46">
        <v>8800</v>
      </c>
      <c r="D115" s="81">
        <f t="shared" si="5"/>
        <v>8800</v>
      </c>
      <c r="E115" s="79" t="s">
        <v>3563</v>
      </c>
      <c r="F115" s="82" t="str">
        <f t="shared" si="4"/>
        <v>insert into ins_premium_det (premium_rcv_code,assorted_code, rec_amount,premium_rcv_detail_code,remaining_amt, payrec, mode_code,coinsurance_code,class_cd,it_remarks) values</v>
      </c>
      <c r="G115" s="83" t="str">
        <f t="shared" si="6"/>
        <v>('29Oct240071','040000183540','8800',(select max(to_number(i.premium_rcv_detail_code))+1
from ins_premium_det i),'8800','8800','02', '11000003','00','Request by Mr. Omair Ali 30-Aug-2024');</v>
      </c>
      <c r="H115" s="84" t="str">
        <f t="shared" si="7"/>
        <v>insert into ins_premium_det (premium_rcv_code,assorted_code, rec_amount,premium_rcv_detail_code,remaining_amt, payrec, mode_code,coinsurance_code,class_cd,it_remarks) values('29Oct240071','040000183540','8800',(select max(to_number(i.premium_rcv_detail_code))+1
from ins_premium_det i),'8800','8800','02', '11000003','00','Request by Mr. Omair Ali 30-Aug-2024');</v>
      </c>
    </row>
    <row r="116" spans="1:8" ht="105" x14ac:dyDescent="0.25">
      <c r="A116" t="s">
        <v>254</v>
      </c>
      <c r="B116" s="80" t="str">
        <f>VLOOKUP(A116,policy!B:C,2,0)</f>
        <v>040000183541</v>
      </c>
      <c r="C116" s="46">
        <v>13675</v>
      </c>
      <c r="D116" s="81">
        <f t="shared" si="5"/>
        <v>13675</v>
      </c>
      <c r="E116" s="79" t="s">
        <v>3563</v>
      </c>
      <c r="F116" s="82" t="str">
        <f t="shared" si="4"/>
        <v>insert into ins_premium_det (premium_rcv_code,assorted_code, rec_amount,premium_rcv_detail_code,remaining_amt, payrec, mode_code,coinsurance_code,class_cd,it_remarks) values</v>
      </c>
      <c r="G116" s="83" t="str">
        <f t="shared" si="6"/>
        <v>('29Oct240071','040000183541','13675',(select max(to_number(i.premium_rcv_detail_code))+1
from ins_premium_det i),'13675','13675','02', '11000003','00','Request by Mr. Omair Ali 30-Aug-2024');</v>
      </c>
      <c r="H116" s="84" t="str">
        <f t="shared" si="7"/>
        <v>insert into ins_premium_det (premium_rcv_code,assorted_code, rec_amount,premium_rcv_detail_code,remaining_amt, payrec, mode_code,coinsurance_code,class_cd,it_remarks) values('29Oct240071','040000183541','13675',(select max(to_number(i.premium_rcv_detail_code))+1
from ins_premium_det i),'13675','13675','02', '11000003','00','Request by Mr. Omair Ali 30-Aug-2024');</v>
      </c>
    </row>
    <row r="117" spans="1:8" ht="105" x14ac:dyDescent="0.25">
      <c r="A117" t="s">
        <v>255</v>
      </c>
      <c r="B117" s="80" t="str">
        <f>VLOOKUP(A117,policy!B:C,2,0)</f>
        <v>040000183542</v>
      </c>
      <c r="C117" s="46">
        <v>8800</v>
      </c>
      <c r="D117" s="81">
        <f t="shared" si="5"/>
        <v>8800</v>
      </c>
      <c r="E117" s="79" t="s">
        <v>3563</v>
      </c>
      <c r="F117" s="82" t="str">
        <f t="shared" si="4"/>
        <v>insert into ins_premium_det (premium_rcv_code,assorted_code, rec_amount,premium_rcv_detail_code,remaining_amt, payrec, mode_code,coinsurance_code,class_cd,it_remarks) values</v>
      </c>
      <c r="G117" s="83" t="str">
        <f t="shared" si="6"/>
        <v>('29Oct240071','040000183542','8800',(select max(to_number(i.premium_rcv_detail_code))+1
from ins_premium_det i),'8800','8800','02', '11000003','00','Request by Mr. Omair Ali 30-Aug-2024');</v>
      </c>
      <c r="H117" s="84" t="str">
        <f t="shared" si="7"/>
        <v>insert into ins_premium_det (premium_rcv_code,assorted_code, rec_amount,premium_rcv_detail_code,remaining_amt, payrec, mode_code,coinsurance_code,class_cd,it_remarks) values('29Oct240071','040000183542','8800',(select max(to_number(i.premium_rcv_detail_code))+1
from ins_premium_det i),'8800','8800','02', '11000003','00','Request by Mr. Omair Ali 30-Aug-2024');</v>
      </c>
    </row>
    <row r="118" spans="1:8" ht="105" x14ac:dyDescent="0.25">
      <c r="A118" t="s">
        <v>256</v>
      </c>
      <c r="B118" s="80" t="str">
        <f>VLOOKUP(A118,policy!B:C,2,0)</f>
        <v>040000183543</v>
      </c>
      <c r="C118" s="46">
        <v>12475</v>
      </c>
      <c r="D118" s="81">
        <f t="shared" si="5"/>
        <v>12475</v>
      </c>
      <c r="E118" s="79" t="s">
        <v>3563</v>
      </c>
      <c r="F118" s="82" t="str">
        <f t="shared" si="4"/>
        <v>insert into ins_premium_det (premium_rcv_code,assorted_code, rec_amount,premium_rcv_detail_code,remaining_amt, payrec, mode_code,coinsurance_code,class_cd,it_remarks) values</v>
      </c>
      <c r="G118" s="83" t="str">
        <f t="shared" si="6"/>
        <v>('29Oct240071','040000183543','12475',(select max(to_number(i.premium_rcv_detail_code))+1
from ins_premium_det i),'12475','12475','02', '11000003','00','Request by Mr. Omair Ali 30-Aug-2024');</v>
      </c>
      <c r="H118" s="84" t="str">
        <f t="shared" si="7"/>
        <v>insert into ins_premium_det (premium_rcv_code,assorted_code, rec_amount,premium_rcv_detail_code,remaining_amt, payrec, mode_code,coinsurance_code,class_cd,it_remarks) values('29Oct240071','040000183543','12475',(select max(to_number(i.premium_rcv_detail_code))+1
from ins_premium_det i),'12475','12475','02', '11000003','00','Request by Mr. Omair Ali 30-Aug-2024');</v>
      </c>
    </row>
    <row r="119" spans="1:8" ht="105" x14ac:dyDescent="0.25">
      <c r="A119" t="s">
        <v>257</v>
      </c>
      <c r="B119" s="80" t="str">
        <f>VLOOKUP(A119,policy!B:C,2,0)</f>
        <v>040000183544</v>
      </c>
      <c r="C119" s="46">
        <v>8800</v>
      </c>
      <c r="D119" s="81">
        <f t="shared" si="5"/>
        <v>8800</v>
      </c>
      <c r="E119" s="79" t="s">
        <v>3563</v>
      </c>
      <c r="F119" s="82" t="str">
        <f t="shared" si="4"/>
        <v>insert into ins_premium_det (premium_rcv_code,assorted_code, rec_amount,premium_rcv_detail_code,remaining_amt, payrec, mode_code,coinsurance_code,class_cd,it_remarks) values</v>
      </c>
      <c r="G119" s="83" t="str">
        <f t="shared" si="6"/>
        <v>('29Oct240071','040000183544','8800',(select max(to_number(i.premium_rcv_detail_code))+1
from ins_premium_det i),'8800','8800','02', '11000003','00','Request by Mr. Omair Ali 30-Aug-2024');</v>
      </c>
      <c r="H119" s="84" t="str">
        <f t="shared" si="7"/>
        <v>insert into ins_premium_det (premium_rcv_code,assorted_code, rec_amount,premium_rcv_detail_code,remaining_amt, payrec, mode_code,coinsurance_code,class_cd,it_remarks) values('29Oct240071','040000183544','8800',(select max(to_number(i.premium_rcv_detail_code))+1
from ins_premium_det i),'8800','8800','02', '11000003','00','Request by Mr. Omair Ali 30-Aug-2024');</v>
      </c>
    </row>
    <row r="120" spans="1:8" ht="105" x14ac:dyDescent="0.25">
      <c r="A120" t="s">
        <v>258</v>
      </c>
      <c r="B120" s="80" t="str">
        <f>VLOOKUP(A120,policy!B:C,2,0)</f>
        <v>040000183545</v>
      </c>
      <c r="C120" s="46">
        <v>8800</v>
      </c>
      <c r="D120" s="81">
        <f t="shared" si="5"/>
        <v>8800</v>
      </c>
      <c r="E120" s="79" t="s">
        <v>3563</v>
      </c>
      <c r="F120" s="82" t="str">
        <f t="shared" si="4"/>
        <v>insert into ins_premium_det (premium_rcv_code,assorted_code, rec_amount,premium_rcv_detail_code,remaining_amt, payrec, mode_code,coinsurance_code,class_cd,it_remarks) values</v>
      </c>
      <c r="G120" s="83" t="str">
        <f t="shared" si="6"/>
        <v>('29Oct240071','040000183545','8800',(select max(to_number(i.premium_rcv_detail_code))+1
from ins_premium_det i),'8800','8800','02', '11000003','00','Request by Mr. Omair Ali 30-Aug-2024');</v>
      </c>
      <c r="H120" s="84" t="str">
        <f t="shared" si="7"/>
        <v>insert into ins_premium_det (premium_rcv_code,assorted_code, rec_amount,premium_rcv_detail_code,remaining_amt, payrec, mode_code,coinsurance_code,class_cd,it_remarks) values('29Oct240071','040000183545','8800',(select max(to_number(i.premium_rcv_detail_code))+1
from ins_premium_det i),'8800','8800','02', '11000003','00','Request by Mr. Omair Ali 30-Aug-2024');</v>
      </c>
    </row>
    <row r="121" spans="1:8" ht="105" x14ac:dyDescent="0.25">
      <c r="A121" t="s">
        <v>259</v>
      </c>
      <c r="B121" s="80" t="str">
        <f>VLOOKUP(A121,policy!B:C,2,0)</f>
        <v>040000183546</v>
      </c>
      <c r="C121" s="46">
        <v>12475</v>
      </c>
      <c r="D121" s="81">
        <f t="shared" si="5"/>
        <v>12475</v>
      </c>
      <c r="E121" s="79" t="s">
        <v>3563</v>
      </c>
      <c r="F121" s="82" t="str">
        <f t="shared" si="4"/>
        <v>insert into ins_premium_det (premium_rcv_code,assorted_code, rec_amount,premium_rcv_detail_code,remaining_amt, payrec, mode_code,coinsurance_code,class_cd,it_remarks) values</v>
      </c>
      <c r="G121" s="83" t="str">
        <f t="shared" si="6"/>
        <v>('29Oct240071','040000183546','12475',(select max(to_number(i.premium_rcv_detail_code))+1
from ins_premium_det i),'12475','12475','02', '11000003','00','Request by Mr. Omair Ali 30-Aug-2024');</v>
      </c>
      <c r="H121" s="84" t="str">
        <f t="shared" si="7"/>
        <v>insert into ins_premium_det (premium_rcv_code,assorted_code, rec_amount,premium_rcv_detail_code,remaining_amt, payrec, mode_code,coinsurance_code,class_cd,it_remarks) values('29Oct240071','040000183546','12475',(select max(to_number(i.premium_rcv_detail_code))+1
from ins_premium_det i),'12475','12475','02', '11000003','00','Request by Mr. Omair Ali 30-Aug-2024');</v>
      </c>
    </row>
    <row r="122" spans="1:8" ht="105" x14ac:dyDescent="0.25">
      <c r="A122" t="s">
        <v>260</v>
      </c>
      <c r="B122" s="80" t="str">
        <f>VLOOKUP(A122,policy!B:C,2,0)</f>
        <v>040000183549</v>
      </c>
      <c r="C122" s="46">
        <v>9550</v>
      </c>
      <c r="D122" s="81">
        <f t="shared" si="5"/>
        <v>9550</v>
      </c>
      <c r="E122" s="79" t="s">
        <v>3563</v>
      </c>
      <c r="F122" s="82" t="str">
        <f t="shared" si="4"/>
        <v>insert into ins_premium_det (premium_rcv_code,assorted_code, rec_amount,premium_rcv_detail_code,remaining_amt, payrec, mode_code,coinsurance_code,class_cd,it_remarks) values</v>
      </c>
      <c r="G122" s="83" t="str">
        <f t="shared" si="6"/>
        <v>('29Oct240071','040000183549','9550',(select max(to_number(i.premium_rcv_detail_code))+1
from ins_premium_det i),'9550','9550','02', '11000003','00','Request by Mr. Omair Ali 30-Aug-2024');</v>
      </c>
      <c r="H122" s="84" t="str">
        <f t="shared" si="7"/>
        <v>insert into ins_premium_det (premium_rcv_code,assorted_code, rec_amount,premium_rcv_detail_code,remaining_amt, payrec, mode_code,coinsurance_code,class_cd,it_remarks) values('29Oct240071','040000183549','9550',(select max(to_number(i.premium_rcv_detail_code))+1
from ins_premium_det i),'9550','9550','02', '11000003','00','Request by Mr. Omair Ali 30-Aug-2024');</v>
      </c>
    </row>
    <row r="123" spans="1:8" ht="105" x14ac:dyDescent="0.25">
      <c r="A123" t="s">
        <v>261</v>
      </c>
      <c r="B123" s="80" t="str">
        <f>VLOOKUP(A123,policy!B:C,2,0)</f>
        <v>040000183552</v>
      </c>
      <c r="C123" s="46">
        <v>9550</v>
      </c>
      <c r="D123" s="81">
        <f t="shared" si="5"/>
        <v>9550</v>
      </c>
      <c r="E123" s="79" t="s">
        <v>3563</v>
      </c>
      <c r="F123" s="82" t="str">
        <f t="shared" si="4"/>
        <v>insert into ins_premium_det (premium_rcv_code,assorted_code, rec_amount,premium_rcv_detail_code,remaining_amt, payrec, mode_code,coinsurance_code,class_cd,it_remarks) values</v>
      </c>
      <c r="G123" s="83" t="str">
        <f t="shared" si="6"/>
        <v>('29Oct240071','040000183552','9550',(select max(to_number(i.premium_rcv_detail_code))+1
from ins_premium_det i),'9550','9550','02', '11000003','00','Request by Mr. Omair Ali 30-Aug-2024');</v>
      </c>
      <c r="H123" s="84" t="str">
        <f t="shared" si="7"/>
        <v>insert into ins_premium_det (premium_rcv_code,assorted_code, rec_amount,premium_rcv_detail_code,remaining_amt, payrec, mode_code,coinsurance_code,class_cd,it_remarks) values('29Oct240071','040000183552','9550',(select max(to_number(i.premium_rcv_detail_code))+1
from ins_premium_det i),'9550','9550','02', '11000003','00','Request by Mr. Omair Ali 30-Aug-2024');</v>
      </c>
    </row>
    <row r="124" spans="1:8" ht="105" x14ac:dyDescent="0.25">
      <c r="A124" t="s">
        <v>262</v>
      </c>
      <c r="B124" s="80" t="str">
        <f>VLOOKUP(A124,policy!B:C,2,0)</f>
        <v>040000183553</v>
      </c>
      <c r="C124" s="46">
        <v>9550</v>
      </c>
      <c r="D124" s="81">
        <f t="shared" si="5"/>
        <v>9550</v>
      </c>
      <c r="E124" s="79" t="s">
        <v>3563</v>
      </c>
      <c r="F124" s="82" t="str">
        <f t="shared" si="4"/>
        <v>insert into ins_premium_det (premium_rcv_code,assorted_code, rec_amount,premium_rcv_detail_code,remaining_amt, payrec, mode_code,coinsurance_code,class_cd,it_remarks) values</v>
      </c>
      <c r="G124" s="83" t="str">
        <f t="shared" si="6"/>
        <v>('29Oct240071','040000183553','9550',(select max(to_number(i.premium_rcv_detail_code))+1
from ins_premium_det i),'9550','9550','02', '11000003','00','Request by Mr. Omair Ali 30-Aug-2024');</v>
      </c>
      <c r="H124" s="84" t="str">
        <f t="shared" si="7"/>
        <v>insert into ins_premium_det (premium_rcv_code,assorted_code, rec_amount,premium_rcv_detail_code,remaining_amt, payrec, mode_code,coinsurance_code,class_cd,it_remarks) values('29Oct240071','040000183553','9550',(select max(to_number(i.premium_rcv_detail_code))+1
from ins_premium_det i),'9550','9550','02', '11000003','00','Request by Mr. Omair Ali 30-Aug-2024');</v>
      </c>
    </row>
    <row r="125" spans="1:8" ht="105" x14ac:dyDescent="0.25">
      <c r="A125" t="s">
        <v>263</v>
      </c>
      <c r="B125" s="80" t="str">
        <f>VLOOKUP(A125,policy!B:C,2,0)</f>
        <v>040000183556</v>
      </c>
      <c r="C125" s="46">
        <v>13675</v>
      </c>
      <c r="D125" s="81">
        <f t="shared" si="5"/>
        <v>13675</v>
      </c>
      <c r="E125" s="79" t="s">
        <v>3563</v>
      </c>
      <c r="F125" s="82" t="str">
        <f t="shared" si="4"/>
        <v>insert into ins_premium_det (premium_rcv_code,assorted_code, rec_amount,premium_rcv_detail_code,remaining_amt, payrec, mode_code,coinsurance_code,class_cd,it_remarks) values</v>
      </c>
      <c r="G125" s="83" t="str">
        <f t="shared" si="6"/>
        <v>('29Oct240071','040000183556','13675',(select max(to_number(i.premium_rcv_detail_code))+1
from ins_premium_det i),'13675','13675','02', '11000003','00','Request by Mr. Omair Ali 30-Aug-2024');</v>
      </c>
      <c r="H125" s="84" t="str">
        <f t="shared" si="7"/>
        <v>insert into ins_premium_det (premium_rcv_code,assorted_code, rec_amount,premium_rcv_detail_code,remaining_amt, payrec, mode_code,coinsurance_code,class_cd,it_remarks) values('29Oct240071','040000183556','13675',(select max(to_number(i.premium_rcv_detail_code))+1
from ins_premium_det i),'13675','13675','02', '11000003','00','Request by Mr. Omair Ali 30-Aug-2024');</v>
      </c>
    </row>
    <row r="126" spans="1:8" ht="105" x14ac:dyDescent="0.25">
      <c r="A126" t="s">
        <v>264</v>
      </c>
      <c r="B126" s="80" t="str">
        <f>VLOOKUP(A126,policy!B:C,2,0)</f>
        <v>040000183559</v>
      </c>
      <c r="C126" s="46">
        <v>8800</v>
      </c>
      <c r="D126" s="81">
        <f t="shared" si="5"/>
        <v>8800</v>
      </c>
      <c r="E126" s="79" t="s">
        <v>3563</v>
      </c>
      <c r="F126" s="82" t="str">
        <f t="shared" si="4"/>
        <v>insert into ins_premium_det (premium_rcv_code,assorted_code, rec_amount,premium_rcv_detail_code,remaining_amt, payrec, mode_code,coinsurance_code,class_cd,it_remarks) values</v>
      </c>
      <c r="G126" s="83" t="str">
        <f t="shared" si="6"/>
        <v>('29Oct240071','040000183559','8800',(select max(to_number(i.premium_rcv_detail_code))+1
from ins_premium_det i),'8800','8800','02', '11000003','00','Request by Mr. Omair Ali 30-Aug-2024');</v>
      </c>
      <c r="H126" s="84" t="str">
        <f t="shared" si="7"/>
        <v>insert into ins_premium_det (premium_rcv_code,assorted_code, rec_amount,premium_rcv_detail_code,remaining_amt, payrec, mode_code,coinsurance_code,class_cd,it_remarks) values('29Oct240071','040000183559','8800',(select max(to_number(i.premium_rcv_detail_code))+1
from ins_premium_det i),'8800','8800','02', '11000003','00','Request by Mr. Omair Ali 30-Aug-2024');</v>
      </c>
    </row>
    <row r="127" spans="1:8" ht="105" x14ac:dyDescent="0.25">
      <c r="A127" t="s">
        <v>265</v>
      </c>
      <c r="B127" s="80" t="str">
        <f>VLOOKUP(A127,policy!B:C,2,0)</f>
        <v>040000183576</v>
      </c>
      <c r="C127" s="46">
        <v>16235</v>
      </c>
      <c r="D127" s="81">
        <f t="shared" si="5"/>
        <v>16235</v>
      </c>
      <c r="E127" s="79" t="s">
        <v>3563</v>
      </c>
      <c r="F127" s="82" t="str">
        <f t="shared" si="4"/>
        <v>insert into ins_premium_det (premium_rcv_code,assorted_code, rec_amount,premium_rcv_detail_code,remaining_amt, payrec, mode_code,coinsurance_code,class_cd,it_remarks) values</v>
      </c>
      <c r="G127" s="83" t="str">
        <f t="shared" si="6"/>
        <v>('29Oct240071','040000183576','16235',(select max(to_number(i.premium_rcv_detail_code))+1
from ins_premium_det i),'16235','16235','02', '11000003','00','Request by Mr. Omair Ali 30-Aug-2024');</v>
      </c>
      <c r="H127" s="84" t="str">
        <f t="shared" si="7"/>
        <v>insert into ins_premium_det (premium_rcv_code,assorted_code, rec_amount,premium_rcv_detail_code,remaining_amt, payrec, mode_code,coinsurance_code,class_cd,it_remarks) values('29Oct240071','040000183576','16235',(select max(to_number(i.premium_rcv_detail_code))+1
from ins_premium_det i),'16235','16235','02', '11000003','00','Request by Mr. Omair Ali 30-Aug-2024');</v>
      </c>
    </row>
    <row r="128" spans="1:8" ht="105" x14ac:dyDescent="0.25">
      <c r="A128" t="s">
        <v>266</v>
      </c>
      <c r="B128" s="80" t="str">
        <f>VLOOKUP(A128,policy!B:C,2,0)</f>
        <v>040000183577</v>
      </c>
      <c r="C128" s="46">
        <v>16235</v>
      </c>
      <c r="D128" s="81">
        <f t="shared" si="5"/>
        <v>16235</v>
      </c>
      <c r="E128" s="79" t="s">
        <v>3563</v>
      </c>
      <c r="F128" s="82" t="str">
        <f t="shared" si="4"/>
        <v>insert into ins_premium_det (premium_rcv_code,assorted_code, rec_amount,premium_rcv_detail_code,remaining_amt, payrec, mode_code,coinsurance_code,class_cd,it_remarks) values</v>
      </c>
      <c r="G128" s="83" t="str">
        <f t="shared" si="6"/>
        <v>('29Oct240071','040000183577','16235',(select max(to_number(i.premium_rcv_detail_code))+1
from ins_premium_det i),'16235','16235','02', '11000003','00','Request by Mr. Omair Ali 30-Aug-2024');</v>
      </c>
      <c r="H128" s="84" t="str">
        <f t="shared" si="7"/>
        <v>insert into ins_premium_det (premium_rcv_code,assorted_code, rec_amount,premium_rcv_detail_code,remaining_amt, payrec, mode_code,coinsurance_code,class_cd,it_remarks) values('29Oct240071','040000183577','16235',(select max(to_number(i.premium_rcv_detail_code))+1
from ins_premium_det i),'16235','16235','02', '11000003','00','Request by Mr. Omair Ali 30-Aug-2024');</v>
      </c>
    </row>
    <row r="129" spans="1:8" ht="105" x14ac:dyDescent="0.25">
      <c r="A129" t="s">
        <v>267</v>
      </c>
      <c r="B129" s="80" t="str">
        <f>VLOOKUP(A129,policy!B:C,2,0)</f>
        <v>040000183579</v>
      </c>
      <c r="C129" s="46">
        <v>14960</v>
      </c>
      <c r="D129" s="81">
        <f t="shared" si="5"/>
        <v>14960</v>
      </c>
      <c r="E129" s="79" t="s">
        <v>3563</v>
      </c>
      <c r="F129" s="82" t="str">
        <f t="shared" si="4"/>
        <v>insert into ins_premium_det (premium_rcv_code,assorted_code, rec_amount,premium_rcv_detail_code,remaining_amt, payrec, mode_code,coinsurance_code,class_cd,it_remarks) values</v>
      </c>
      <c r="G129" s="83" t="str">
        <f t="shared" si="6"/>
        <v>('29Oct240071','040000183579','14960',(select max(to_number(i.premium_rcv_detail_code))+1
from ins_premium_det i),'14960','14960','02', '11000003','00','Request by Mr. Omair Ali 30-Aug-2024');</v>
      </c>
      <c r="H129" s="84" t="str">
        <f t="shared" si="7"/>
        <v>insert into ins_premium_det (premium_rcv_code,assorted_code, rec_amount,premium_rcv_detail_code,remaining_amt, payrec, mode_code,coinsurance_code,class_cd,it_remarks) values('29Oct240071','040000183579','14960',(select max(to_number(i.premium_rcv_detail_code))+1
from ins_premium_det i),'14960','14960','02', '11000003','00','Request by Mr. Omair Ali 30-Aug-2024');</v>
      </c>
    </row>
    <row r="130" spans="1:8" ht="105" x14ac:dyDescent="0.25">
      <c r="A130" t="s">
        <v>268</v>
      </c>
      <c r="B130" s="80" t="str">
        <f>VLOOKUP(A130,policy!B:C,2,0)</f>
        <v>040000183580</v>
      </c>
      <c r="C130" s="46">
        <v>14960</v>
      </c>
      <c r="D130" s="81">
        <f t="shared" si="5"/>
        <v>14960</v>
      </c>
      <c r="E130" s="79" t="s">
        <v>3563</v>
      </c>
      <c r="F130" s="82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83" t="str">
        <f t="shared" si="6"/>
        <v>('29Oct240071','040000183580','14960',(select max(to_number(i.premium_rcv_detail_code))+1
from ins_premium_det i),'14960','14960','02', '11000003','00','Request by Mr. Omair Ali 30-Aug-2024');</v>
      </c>
      <c r="H130" s="84" t="str">
        <f t="shared" si="7"/>
        <v>insert into ins_premium_det (premium_rcv_code,assorted_code, rec_amount,premium_rcv_detail_code,remaining_amt, payrec, mode_code,coinsurance_code,class_cd,it_remarks) values('29Oct240071','040000183580','14960',(select max(to_number(i.premium_rcv_detail_code))+1
from ins_premium_det i),'14960','14960','02', '11000003','00','Request by Mr. Omair Ali 30-Aug-2024');</v>
      </c>
    </row>
    <row r="131" spans="1:8" ht="105" x14ac:dyDescent="0.25">
      <c r="A131" t="s">
        <v>269</v>
      </c>
      <c r="B131" s="80" t="str">
        <f>VLOOKUP(A131,policy!B:C,2,0)</f>
        <v>040000183583</v>
      </c>
      <c r="C131" s="46">
        <v>14960</v>
      </c>
      <c r="D131" s="81">
        <f t="shared" ref="D131:D194" si="9">ROUND(C131,0)</f>
        <v>14960</v>
      </c>
      <c r="E131" s="79" t="s">
        <v>3563</v>
      </c>
      <c r="F131" s="82" t="str">
        <f t="shared" si="8"/>
        <v>insert into ins_premium_det (premium_rcv_code,assorted_code, rec_amount,premium_rcv_detail_code,remaining_amt, payrec, mode_code,coinsurance_code,class_cd,it_remarks) values</v>
      </c>
      <c r="G131" s="83" t="str">
        <f t="shared" ref="G131:G194" si="10">"('"&amp;E131&amp;"','"&amp;B131&amp;"','"&amp;D131&amp;"',(select max(to_number(i.premium_rcv_detail_code))+1
from ins_premium_det i),'"&amp;D131&amp;"','"&amp;D131&amp;"','02', '11000003','00','Request by Mr. Omair Ali 30-Aug-2024');"</f>
        <v>('29Oct240071','040000183583','14960',(select max(to_number(i.premium_rcv_detail_code))+1
from ins_premium_det i),'14960','14960','02', '11000003','00','Request by Mr. Omair Ali 30-Aug-2024');</v>
      </c>
      <c r="H131" s="84" t="str">
        <f t="shared" ref="H131:H194" si="11">F131&amp;G131</f>
        <v>insert into ins_premium_det (premium_rcv_code,assorted_code, rec_amount,premium_rcv_detail_code,remaining_amt, payrec, mode_code,coinsurance_code,class_cd,it_remarks) values('29Oct240071','040000183583','14960',(select max(to_number(i.premium_rcv_detail_code))+1
from ins_premium_det i),'14960','14960','02', '11000003','00','Request by Mr. Omair Ali 30-Aug-2024');</v>
      </c>
    </row>
    <row r="132" spans="1:8" ht="105" x14ac:dyDescent="0.25">
      <c r="A132" t="s">
        <v>270</v>
      </c>
      <c r="B132" s="80" t="str">
        <f>VLOOKUP(A132,policy!B:C,2,0)</f>
        <v>040000183595</v>
      </c>
      <c r="C132" s="46">
        <v>23248</v>
      </c>
      <c r="D132" s="81">
        <f t="shared" si="9"/>
        <v>23248</v>
      </c>
      <c r="E132" s="79" t="s">
        <v>3563</v>
      </c>
      <c r="F132" s="82" t="str">
        <f t="shared" si="8"/>
        <v>insert into ins_premium_det (premium_rcv_code,assorted_code, rec_amount,premium_rcv_detail_code,remaining_amt, payrec, mode_code,coinsurance_code,class_cd,it_remarks) values</v>
      </c>
      <c r="G132" s="83" t="str">
        <f t="shared" si="10"/>
        <v>('29Oct240071','040000183595','23248',(select max(to_number(i.premium_rcv_detail_code))+1
from ins_premium_det i),'23248','23248','02', '11000003','00','Request by Mr. Omair Ali 30-Aug-2024');</v>
      </c>
      <c r="H132" s="84" t="str">
        <f t="shared" si="11"/>
        <v>insert into ins_premium_det (premium_rcv_code,assorted_code, rec_amount,premium_rcv_detail_code,remaining_amt, payrec, mode_code,coinsurance_code,class_cd,it_remarks) values('29Oct240071','040000183595','23248',(select max(to_number(i.premium_rcv_detail_code))+1
from ins_premium_det i),'23248','23248','02', '11000003','00','Request by Mr. Omair Ali 30-Aug-2024');</v>
      </c>
    </row>
    <row r="133" spans="1:8" ht="105" x14ac:dyDescent="0.25">
      <c r="A133" t="s">
        <v>271</v>
      </c>
      <c r="B133" s="80" t="str">
        <f>VLOOKUP(A133,policy!B:C,2,0)</f>
        <v>040000183600</v>
      </c>
      <c r="C133" s="46">
        <v>14960</v>
      </c>
      <c r="D133" s="81">
        <f t="shared" si="9"/>
        <v>14960</v>
      </c>
      <c r="E133" s="79" t="s">
        <v>3563</v>
      </c>
      <c r="F133" s="82" t="str">
        <f t="shared" si="8"/>
        <v>insert into ins_premium_det (premium_rcv_code,assorted_code, rec_amount,premium_rcv_detail_code,remaining_amt, payrec, mode_code,coinsurance_code,class_cd,it_remarks) values</v>
      </c>
      <c r="G133" s="83" t="str">
        <f t="shared" si="10"/>
        <v>('29Oct240071','040000183600','14960',(select max(to_number(i.premium_rcv_detail_code))+1
from ins_premium_det i),'14960','14960','02', '11000003','00','Request by Mr. Omair Ali 30-Aug-2024');</v>
      </c>
      <c r="H133" s="84" t="str">
        <f t="shared" si="11"/>
        <v>insert into ins_premium_det (premium_rcv_code,assorted_code, rec_amount,premium_rcv_detail_code,remaining_amt, payrec, mode_code,coinsurance_code,class_cd,it_remarks) values('29Oct240071','040000183600','14960',(select max(to_number(i.premium_rcv_detail_code))+1
from ins_premium_det i),'14960','14960','02', '11000003','00','Request by Mr. Omair Ali 30-Aug-2024');</v>
      </c>
    </row>
    <row r="134" spans="1:8" ht="105" x14ac:dyDescent="0.25">
      <c r="A134" t="s">
        <v>272</v>
      </c>
      <c r="B134" s="80" t="str">
        <f>VLOOKUP(A134,policy!B:C,2,0)</f>
        <v>040000183601</v>
      </c>
      <c r="C134" s="46">
        <v>14960</v>
      </c>
      <c r="D134" s="81">
        <f t="shared" si="9"/>
        <v>14960</v>
      </c>
      <c r="E134" s="79" t="s">
        <v>3563</v>
      </c>
      <c r="F134" s="82" t="str">
        <f t="shared" si="8"/>
        <v>insert into ins_premium_det (premium_rcv_code,assorted_code, rec_amount,premium_rcv_detail_code,remaining_amt, payrec, mode_code,coinsurance_code,class_cd,it_remarks) values</v>
      </c>
      <c r="G134" s="83" t="str">
        <f t="shared" si="10"/>
        <v>('29Oct240071','040000183601','14960',(select max(to_number(i.premium_rcv_detail_code))+1
from ins_premium_det i),'14960','14960','02', '11000003','00','Request by Mr. Omair Ali 30-Aug-2024');</v>
      </c>
      <c r="H134" s="84" t="str">
        <f t="shared" si="11"/>
        <v>insert into ins_premium_det (premium_rcv_code,assorted_code, rec_amount,premium_rcv_detail_code,remaining_amt, payrec, mode_code,coinsurance_code,class_cd,it_remarks) values('29Oct240071','040000183601','14960',(select max(to_number(i.premium_rcv_detail_code))+1
from ins_premium_det i),'14960','14960','02', '11000003','00','Request by Mr. Omair Ali 30-Aug-2024');</v>
      </c>
    </row>
    <row r="135" spans="1:8" ht="105" x14ac:dyDescent="0.25">
      <c r="A135" t="s">
        <v>273</v>
      </c>
      <c r="B135" s="80" t="str">
        <f>VLOOKUP(A135,policy!B:C,2,0)</f>
        <v>040000183629</v>
      </c>
      <c r="C135" s="46">
        <v>8800</v>
      </c>
      <c r="D135" s="81">
        <f t="shared" si="9"/>
        <v>8800</v>
      </c>
      <c r="E135" s="79" t="s">
        <v>3563</v>
      </c>
      <c r="F135" s="82" t="str">
        <f t="shared" si="8"/>
        <v>insert into ins_premium_det (premium_rcv_code,assorted_code, rec_amount,premium_rcv_detail_code,remaining_amt, payrec, mode_code,coinsurance_code,class_cd,it_remarks) values</v>
      </c>
      <c r="G135" s="83" t="str">
        <f t="shared" si="10"/>
        <v>('29Oct240071','040000183629','8800',(select max(to_number(i.premium_rcv_detail_code))+1
from ins_premium_det i),'8800','8800','02', '11000003','00','Request by Mr. Omair Ali 30-Aug-2024');</v>
      </c>
      <c r="H135" s="84" t="str">
        <f t="shared" si="11"/>
        <v>insert into ins_premium_det (premium_rcv_code,assorted_code, rec_amount,premium_rcv_detail_code,remaining_amt, payrec, mode_code,coinsurance_code,class_cd,it_remarks) values('29Oct240071','040000183629','8800',(select max(to_number(i.premium_rcv_detail_code))+1
from ins_premium_det i),'8800','8800','02', '11000003','00','Request by Mr. Omair Ali 30-Aug-2024');</v>
      </c>
    </row>
    <row r="136" spans="1:8" ht="105" x14ac:dyDescent="0.25">
      <c r="A136" t="s">
        <v>274</v>
      </c>
      <c r="B136" s="80" t="str">
        <f>VLOOKUP(A136,policy!B:C,2,0)</f>
        <v>040000183632</v>
      </c>
      <c r="C136" s="46">
        <v>23248</v>
      </c>
      <c r="D136" s="81">
        <f t="shared" si="9"/>
        <v>23248</v>
      </c>
      <c r="E136" s="79" t="s">
        <v>3563</v>
      </c>
      <c r="F136" s="82" t="str">
        <f t="shared" si="8"/>
        <v>insert into ins_premium_det (premium_rcv_code,assorted_code, rec_amount,premium_rcv_detail_code,remaining_amt, payrec, mode_code,coinsurance_code,class_cd,it_remarks) values</v>
      </c>
      <c r="G136" s="83" t="str">
        <f t="shared" si="10"/>
        <v>('29Oct240071','040000183632','23248',(select max(to_number(i.premium_rcv_detail_code))+1
from ins_premium_det i),'23248','23248','02', '11000003','00','Request by Mr. Omair Ali 30-Aug-2024');</v>
      </c>
      <c r="H136" s="84" t="str">
        <f t="shared" si="11"/>
        <v>insert into ins_premium_det (premium_rcv_code,assorted_code, rec_amount,premium_rcv_detail_code,remaining_amt, payrec, mode_code,coinsurance_code,class_cd,it_remarks) values('29Oct240071','040000183632','23248',(select max(to_number(i.premium_rcv_detail_code))+1
from ins_premium_det i),'23248','23248','02', '11000003','00','Request by Mr. Omair Ali 30-Aug-2024');</v>
      </c>
    </row>
    <row r="137" spans="1:8" ht="105" x14ac:dyDescent="0.25">
      <c r="A137" t="s">
        <v>275</v>
      </c>
      <c r="B137" s="80" t="str">
        <f>VLOOKUP(A137,policy!B:C,2,0)</f>
        <v>040000183633</v>
      </c>
      <c r="C137" s="46">
        <v>23248</v>
      </c>
      <c r="D137" s="81">
        <f t="shared" si="9"/>
        <v>23248</v>
      </c>
      <c r="E137" s="79" t="s">
        <v>3563</v>
      </c>
      <c r="F137" s="82" t="str">
        <f t="shared" si="8"/>
        <v>insert into ins_premium_det (premium_rcv_code,assorted_code, rec_amount,premium_rcv_detail_code,remaining_amt, payrec, mode_code,coinsurance_code,class_cd,it_remarks) values</v>
      </c>
      <c r="G137" s="83" t="str">
        <f t="shared" si="10"/>
        <v>('29Oct240071','040000183633','23248',(select max(to_number(i.premium_rcv_detail_code))+1
from ins_premium_det i),'23248','23248','02', '11000003','00','Request by Mr. Omair Ali 30-Aug-2024');</v>
      </c>
      <c r="H137" s="84" t="str">
        <f t="shared" si="11"/>
        <v>insert into ins_premium_det (premium_rcv_code,assorted_code, rec_amount,premium_rcv_detail_code,remaining_amt, payrec, mode_code,coinsurance_code,class_cd,it_remarks) values('29Oct240071','040000183633','23248',(select max(to_number(i.premium_rcv_detail_code))+1
from ins_premium_det i),'23248','23248','02', '11000003','00','Request by Mr. Omair Ali 30-Aug-2024');</v>
      </c>
    </row>
    <row r="138" spans="1:8" ht="105" x14ac:dyDescent="0.25">
      <c r="A138" t="s">
        <v>276</v>
      </c>
      <c r="B138" s="80" t="str">
        <f>VLOOKUP(A138,policy!B:C,2,0)</f>
        <v>040000183634</v>
      </c>
      <c r="C138" s="46">
        <v>8800</v>
      </c>
      <c r="D138" s="81">
        <f t="shared" si="9"/>
        <v>8800</v>
      </c>
      <c r="E138" s="79" t="s">
        <v>3563</v>
      </c>
      <c r="F138" s="82" t="str">
        <f t="shared" si="8"/>
        <v>insert into ins_premium_det (premium_rcv_code,assorted_code, rec_amount,premium_rcv_detail_code,remaining_amt, payrec, mode_code,coinsurance_code,class_cd,it_remarks) values</v>
      </c>
      <c r="G138" s="83" t="str">
        <f t="shared" si="10"/>
        <v>('29Oct240071','040000183634','8800',(select max(to_number(i.premium_rcv_detail_code))+1
from ins_premium_det i),'8800','8800','02', '11000003','00','Request by Mr. Omair Ali 30-Aug-2024');</v>
      </c>
      <c r="H138" s="84" t="str">
        <f t="shared" si="11"/>
        <v>insert into ins_premium_det (premium_rcv_code,assorted_code, rec_amount,premium_rcv_detail_code,remaining_amt, payrec, mode_code,coinsurance_code,class_cd,it_remarks) values('29Oct240071','040000183634','8800',(select max(to_number(i.premium_rcv_detail_code))+1
from ins_premium_det i),'8800','8800','02', '11000003','00','Request by Mr. Omair Ali 30-Aug-2024');</v>
      </c>
    </row>
    <row r="139" spans="1:8" ht="105" x14ac:dyDescent="0.25">
      <c r="A139" t="s">
        <v>277</v>
      </c>
      <c r="B139" s="80" t="str">
        <f>VLOOKUP(A139,policy!B:C,2,0)</f>
        <v>040000183640</v>
      </c>
      <c r="C139" s="46">
        <v>23248</v>
      </c>
      <c r="D139" s="81">
        <f t="shared" si="9"/>
        <v>23248</v>
      </c>
      <c r="E139" s="79" t="s">
        <v>3563</v>
      </c>
      <c r="F139" s="82" t="str">
        <f t="shared" si="8"/>
        <v>insert into ins_premium_det (premium_rcv_code,assorted_code, rec_amount,premium_rcv_detail_code,remaining_amt, payrec, mode_code,coinsurance_code,class_cd,it_remarks) values</v>
      </c>
      <c r="G139" s="83" t="str">
        <f t="shared" si="10"/>
        <v>('29Oct240071','040000183640','23248',(select max(to_number(i.premium_rcv_detail_code))+1
from ins_premium_det i),'23248','23248','02', '11000003','00','Request by Mr. Omair Ali 30-Aug-2024');</v>
      </c>
      <c r="H139" s="84" t="str">
        <f t="shared" si="11"/>
        <v>insert into ins_premium_det (premium_rcv_code,assorted_code, rec_amount,premium_rcv_detail_code,remaining_amt, payrec, mode_code,coinsurance_code,class_cd,it_remarks) values('29Oct240071','040000183640','23248',(select max(to_number(i.premium_rcv_detail_code))+1
from ins_premium_det i),'23248','23248','02', '11000003','00','Request by Mr. Omair Ali 30-Aug-2024');</v>
      </c>
    </row>
    <row r="140" spans="1:8" ht="105" x14ac:dyDescent="0.25">
      <c r="A140" t="s">
        <v>278</v>
      </c>
      <c r="B140" s="80" t="str">
        <f>VLOOKUP(A140,policy!B:C,2,0)</f>
        <v>040000183647</v>
      </c>
      <c r="C140" s="46">
        <v>14960</v>
      </c>
      <c r="D140" s="81">
        <f t="shared" si="9"/>
        <v>14960</v>
      </c>
      <c r="E140" s="79" t="s">
        <v>3563</v>
      </c>
      <c r="F140" s="82" t="str">
        <f t="shared" si="8"/>
        <v>insert into ins_premium_det (premium_rcv_code,assorted_code, rec_amount,premium_rcv_detail_code,remaining_amt, payrec, mode_code,coinsurance_code,class_cd,it_remarks) values</v>
      </c>
      <c r="G140" s="83" t="str">
        <f t="shared" si="10"/>
        <v>('29Oct240071','040000183647','14960',(select max(to_number(i.premium_rcv_detail_code))+1
from ins_premium_det i),'14960','14960','02', '11000003','00','Request by Mr. Omair Ali 30-Aug-2024');</v>
      </c>
      <c r="H140" s="84" t="str">
        <f t="shared" si="11"/>
        <v>insert into ins_premium_det (premium_rcv_code,assorted_code, rec_amount,premium_rcv_detail_code,remaining_amt, payrec, mode_code,coinsurance_code,class_cd,it_remarks) values('29Oct240071','040000183647','14960',(select max(to_number(i.premium_rcv_detail_code))+1
from ins_premium_det i),'14960','14960','02', '11000003','00','Request by Mr. Omair Ali 30-Aug-2024');</v>
      </c>
    </row>
    <row r="141" spans="1:8" ht="105" x14ac:dyDescent="0.25">
      <c r="A141" t="s">
        <v>279</v>
      </c>
      <c r="B141" s="80" t="str">
        <f>VLOOKUP(A141,policy!B:C,2,0)</f>
        <v>040000183648</v>
      </c>
      <c r="C141" s="46">
        <v>14960</v>
      </c>
      <c r="D141" s="81">
        <f t="shared" si="9"/>
        <v>14960</v>
      </c>
      <c r="E141" s="79" t="s">
        <v>3563</v>
      </c>
      <c r="F141" s="82" t="str">
        <f t="shared" si="8"/>
        <v>insert into ins_premium_det (premium_rcv_code,assorted_code, rec_amount,premium_rcv_detail_code,remaining_amt, payrec, mode_code,coinsurance_code,class_cd,it_remarks) values</v>
      </c>
      <c r="G141" s="83" t="str">
        <f t="shared" si="10"/>
        <v>('29Oct240071','040000183648','14960',(select max(to_number(i.premium_rcv_detail_code))+1
from ins_premium_det i),'14960','14960','02', '11000003','00','Request by Mr. Omair Ali 30-Aug-2024');</v>
      </c>
      <c r="H141" s="84" t="str">
        <f t="shared" si="11"/>
        <v>insert into ins_premium_det (premium_rcv_code,assorted_code, rec_amount,premium_rcv_detail_code,remaining_amt, payrec, mode_code,coinsurance_code,class_cd,it_remarks) values('29Oct240071','040000183648','14960',(select max(to_number(i.premium_rcv_detail_code))+1
from ins_premium_det i),'14960','14960','02', '11000003','00','Request by Mr. Omair Ali 30-Aug-2024');</v>
      </c>
    </row>
    <row r="142" spans="1:8" ht="105" x14ac:dyDescent="0.25">
      <c r="A142" t="s">
        <v>280</v>
      </c>
      <c r="B142" s="80" t="str">
        <f>VLOOKUP(A142,policy!B:C,2,0)</f>
        <v>040000183649</v>
      </c>
      <c r="C142" s="46">
        <v>16235</v>
      </c>
      <c r="D142" s="81">
        <f t="shared" si="9"/>
        <v>16235</v>
      </c>
      <c r="E142" s="79" t="s">
        <v>3563</v>
      </c>
      <c r="F142" s="82" t="str">
        <f t="shared" si="8"/>
        <v>insert into ins_premium_det (premium_rcv_code,assorted_code, rec_amount,premium_rcv_detail_code,remaining_amt, payrec, mode_code,coinsurance_code,class_cd,it_remarks) values</v>
      </c>
      <c r="G142" s="83" t="str">
        <f t="shared" si="10"/>
        <v>('29Oct240071','040000183649','16235',(select max(to_number(i.premium_rcv_detail_code))+1
from ins_premium_det i),'16235','16235','02', '11000003','00','Request by Mr. Omair Ali 30-Aug-2024');</v>
      </c>
      <c r="H142" s="84" t="str">
        <f t="shared" si="11"/>
        <v>insert into ins_premium_det (premium_rcv_code,assorted_code, rec_amount,premium_rcv_detail_code,remaining_amt, payrec, mode_code,coinsurance_code,class_cd,it_remarks) values('29Oct240071','040000183649','16235',(select max(to_number(i.premium_rcv_detail_code))+1
from ins_premium_det i),'16235','16235','02', '11000003','00','Request by Mr. Omair Ali 30-Aug-2024');</v>
      </c>
    </row>
    <row r="143" spans="1:8" ht="105" x14ac:dyDescent="0.25">
      <c r="A143" t="s">
        <v>281</v>
      </c>
      <c r="B143" s="80" t="str">
        <f>VLOOKUP(A143,policy!B:C,2,0)</f>
        <v>040000183650</v>
      </c>
      <c r="C143" s="46">
        <v>16235</v>
      </c>
      <c r="D143" s="81">
        <f t="shared" si="9"/>
        <v>16235</v>
      </c>
      <c r="E143" s="79" t="s">
        <v>3563</v>
      </c>
      <c r="F143" s="82" t="str">
        <f t="shared" si="8"/>
        <v>insert into ins_premium_det (premium_rcv_code,assorted_code, rec_amount,premium_rcv_detail_code,remaining_amt, payrec, mode_code,coinsurance_code,class_cd,it_remarks) values</v>
      </c>
      <c r="G143" s="83" t="str">
        <f t="shared" si="10"/>
        <v>('29Oct240071','040000183650','16235',(select max(to_number(i.premium_rcv_detail_code))+1
from ins_premium_det i),'16235','16235','02', '11000003','00','Request by Mr. Omair Ali 30-Aug-2024');</v>
      </c>
      <c r="H143" s="84" t="str">
        <f t="shared" si="11"/>
        <v>insert into ins_premium_det (premium_rcv_code,assorted_code, rec_amount,premium_rcv_detail_code,remaining_amt, payrec, mode_code,coinsurance_code,class_cd,it_remarks) values('29Oct240071','040000183650','16235',(select max(to_number(i.premium_rcv_detail_code))+1
from ins_premium_det i),'16235','16235','02', '11000003','00','Request by Mr. Omair Ali 30-Aug-2024');</v>
      </c>
    </row>
    <row r="144" spans="1:8" ht="105" x14ac:dyDescent="0.25">
      <c r="A144" t="s">
        <v>282</v>
      </c>
      <c r="B144" s="80" t="str">
        <f>VLOOKUP(A144,policy!B:C,2,0)</f>
        <v>040000183651</v>
      </c>
      <c r="C144" s="46">
        <v>16235</v>
      </c>
      <c r="D144" s="81">
        <f t="shared" si="9"/>
        <v>16235</v>
      </c>
      <c r="E144" s="79" t="s">
        <v>3563</v>
      </c>
      <c r="F144" s="82" t="str">
        <f t="shared" si="8"/>
        <v>insert into ins_premium_det (premium_rcv_code,assorted_code, rec_amount,premium_rcv_detail_code,remaining_amt, payrec, mode_code,coinsurance_code,class_cd,it_remarks) values</v>
      </c>
      <c r="G144" s="83" t="str">
        <f t="shared" si="10"/>
        <v>('29Oct240071','040000183651','16235',(select max(to_number(i.premium_rcv_detail_code))+1
from ins_premium_det i),'16235','16235','02', '11000003','00','Request by Mr. Omair Ali 30-Aug-2024');</v>
      </c>
      <c r="H144" s="84" t="str">
        <f t="shared" si="11"/>
        <v>insert into ins_premium_det (premium_rcv_code,assorted_code, rec_amount,premium_rcv_detail_code,remaining_amt, payrec, mode_code,coinsurance_code,class_cd,it_remarks) values('29Oct240071','040000183651','16235',(select max(to_number(i.premium_rcv_detail_code))+1
from ins_premium_det i),'16235','16235','02', '11000003','00','Request by Mr. Omair Ali 30-Aug-2024');</v>
      </c>
    </row>
    <row r="145" spans="1:8" ht="105" x14ac:dyDescent="0.25">
      <c r="A145" t="s">
        <v>283</v>
      </c>
      <c r="B145" s="80" t="str">
        <f>VLOOKUP(A145,policy!B:C,2,0)</f>
        <v>040000183652</v>
      </c>
      <c r="C145" s="46">
        <v>16235</v>
      </c>
      <c r="D145" s="81">
        <f t="shared" si="9"/>
        <v>16235</v>
      </c>
      <c r="E145" s="79" t="s">
        <v>3563</v>
      </c>
      <c r="F145" s="82" t="str">
        <f t="shared" si="8"/>
        <v>insert into ins_premium_det (premium_rcv_code,assorted_code, rec_amount,premium_rcv_detail_code,remaining_amt, payrec, mode_code,coinsurance_code,class_cd,it_remarks) values</v>
      </c>
      <c r="G145" s="83" t="str">
        <f t="shared" si="10"/>
        <v>('29Oct240071','040000183652','16235',(select max(to_number(i.premium_rcv_detail_code))+1
from ins_premium_det i),'16235','16235','02', '11000003','00','Request by Mr. Omair Ali 30-Aug-2024');</v>
      </c>
      <c r="H145" s="84" t="str">
        <f t="shared" si="11"/>
        <v>insert into ins_premium_det (premium_rcv_code,assorted_code, rec_amount,premium_rcv_detail_code,remaining_amt, payrec, mode_code,coinsurance_code,class_cd,it_remarks) values('29Oct240071','040000183652','16235',(select max(to_number(i.premium_rcv_detail_code))+1
from ins_premium_det i),'16235','16235','02', '11000003','00','Request by Mr. Omair Ali 30-Aug-2024');</v>
      </c>
    </row>
    <row r="146" spans="1:8" ht="105" x14ac:dyDescent="0.25">
      <c r="A146" t="s">
        <v>284</v>
      </c>
      <c r="B146" s="80" t="str">
        <f>VLOOKUP(A146,policy!B:C,2,0)</f>
        <v>040000183653</v>
      </c>
      <c r="C146" s="46">
        <v>23248</v>
      </c>
      <c r="D146" s="81">
        <f t="shared" si="9"/>
        <v>23248</v>
      </c>
      <c r="E146" s="79" t="s">
        <v>3563</v>
      </c>
      <c r="F146" s="82" t="str">
        <f t="shared" si="8"/>
        <v>insert into ins_premium_det (premium_rcv_code,assorted_code, rec_amount,premium_rcv_detail_code,remaining_amt, payrec, mode_code,coinsurance_code,class_cd,it_remarks) values</v>
      </c>
      <c r="G146" s="83" t="str">
        <f t="shared" si="10"/>
        <v>('29Oct240071','040000183653','23248',(select max(to_number(i.premium_rcv_detail_code))+1
from ins_premium_det i),'23248','23248','02', '11000003','00','Request by Mr. Omair Ali 30-Aug-2024');</v>
      </c>
      <c r="H146" s="84" t="str">
        <f t="shared" si="11"/>
        <v>insert into ins_premium_det (premium_rcv_code,assorted_code, rec_amount,premium_rcv_detail_code,remaining_amt, payrec, mode_code,coinsurance_code,class_cd,it_remarks) values('29Oct240071','040000183653','23248',(select max(to_number(i.premium_rcv_detail_code))+1
from ins_premium_det i),'23248','23248','02', '11000003','00','Request by Mr. Omair Ali 30-Aug-2024');</v>
      </c>
    </row>
    <row r="147" spans="1:8" ht="105" x14ac:dyDescent="0.25">
      <c r="A147" t="s">
        <v>285</v>
      </c>
      <c r="B147" s="80" t="str">
        <f>VLOOKUP(A147,policy!B:C,2,0)</f>
        <v>040000183654</v>
      </c>
      <c r="C147" s="46">
        <v>16235</v>
      </c>
      <c r="D147" s="81">
        <f t="shared" si="9"/>
        <v>16235</v>
      </c>
      <c r="E147" s="79" t="s">
        <v>3563</v>
      </c>
      <c r="F147" s="82" t="str">
        <f t="shared" si="8"/>
        <v>insert into ins_premium_det (premium_rcv_code,assorted_code, rec_amount,premium_rcv_detail_code,remaining_amt, payrec, mode_code,coinsurance_code,class_cd,it_remarks) values</v>
      </c>
      <c r="G147" s="83" t="str">
        <f t="shared" si="10"/>
        <v>('29Oct240071','040000183654','16235',(select max(to_number(i.premium_rcv_detail_code))+1
from ins_premium_det i),'16235','16235','02', '11000003','00','Request by Mr. Omair Ali 30-Aug-2024');</v>
      </c>
      <c r="H147" s="84" t="str">
        <f t="shared" si="11"/>
        <v>insert into ins_premium_det (premium_rcv_code,assorted_code, rec_amount,premium_rcv_detail_code,remaining_amt, payrec, mode_code,coinsurance_code,class_cd,it_remarks) values('29Oct240071','040000183654','16235',(select max(to_number(i.premium_rcv_detail_code))+1
from ins_premium_det i),'16235','16235','02', '11000003','00','Request by Mr. Omair Ali 30-Aug-2024');</v>
      </c>
    </row>
    <row r="148" spans="1:8" ht="105" x14ac:dyDescent="0.25">
      <c r="A148" t="s">
        <v>286</v>
      </c>
      <c r="B148" s="80" t="str">
        <f>VLOOKUP(A148,policy!B:C,2,0)</f>
        <v>040000183655</v>
      </c>
      <c r="C148" s="46">
        <v>14960</v>
      </c>
      <c r="D148" s="81">
        <f t="shared" si="9"/>
        <v>14960</v>
      </c>
      <c r="E148" s="79" t="s">
        <v>3563</v>
      </c>
      <c r="F148" s="82" t="str">
        <f t="shared" si="8"/>
        <v>insert into ins_premium_det (premium_rcv_code,assorted_code, rec_amount,premium_rcv_detail_code,remaining_amt, payrec, mode_code,coinsurance_code,class_cd,it_remarks) values</v>
      </c>
      <c r="G148" s="83" t="str">
        <f t="shared" si="10"/>
        <v>('29Oct240071','040000183655','14960',(select max(to_number(i.premium_rcv_detail_code))+1
from ins_premium_det i),'14960','14960','02', '11000003','00','Request by Mr. Omair Ali 30-Aug-2024');</v>
      </c>
      <c r="H148" s="84" t="str">
        <f t="shared" si="11"/>
        <v>insert into ins_premium_det (premium_rcv_code,assorted_code, rec_amount,premium_rcv_detail_code,remaining_amt, payrec, mode_code,coinsurance_code,class_cd,it_remarks) values('29Oct240071','040000183655','14960',(select max(to_number(i.premium_rcv_detail_code))+1
from ins_premium_det i),'14960','14960','02', '11000003','00','Request by Mr. Omair Ali 30-Aug-2024');</v>
      </c>
    </row>
    <row r="149" spans="1:8" ht="105" x14ac:dyDescent="0.25">
      <c r="A149" t="s">
        <v>287</v>
      </c>
      <c r="B149" s="80" t="str">
        <f>VLOOKUP(A149,policy!B:C,2,0)</f>
        <v>040000183658</v>
      </c>
      <c r="C149" s="46">
        <v>21208</v>
      </c>
      <c r="D149" s="81">
        <f t="shared" si="9"/>
        <v>21208</v>
      </c>
      <c r="E149" s="79" t="s">
        <v>3563</v>
      </c>
      <c r="F149" s="82" t="str">
        <f t="shared" si="8"/>
        <v>insert into ins_premium_det (premium_rcv_code,assorted_code, rec_amount,premium_rcv_detail_code,remaining_amt, payrec, mode_code,coinsurance_code,class_cd,it_remarks) values</v>
      </c>
      <c r="G149" s="83" t="str">
        <f t="shared" si="10"/>
        <v>('29Oct240071','040000183658','21208',(select max(to_number(i.premium_rcv_detail_code))+1
from ins_premium_det i),'21208','21208','02', '11000003','00','Request by Mr. Omair Ali 30-Aug-2024');</v>
      </c>
      <c r="H149" s="84" t="str">
        <f t="shared" si="11"/>
        <v>insert into ins_premium_det (premium_rcv_code,assorted_code, rec_amount,premium_rcv_detail_code,remaining_amt, payrec, mode_code,coinsurance_code,class_cd,it_remarks) values('29Oct240071','040000183658','21208',(select max(to_number(i.premium_rcv_detail_code))+1
from ins_premium_det i),'21208','21208','02', '11000003','00','Request by Mr. Omair Ali 30-Aug-2024');</v>
      </c>
    </row>
    <row r="150" spans="1:8" ht="105" x14ac:dyDescent="0.25">
      <c r="A150" t="s">
        <v>288</v>
      </c>
      <c r="B150" s="80" t="str">
        <f>VLOOKUP(A150,policy!B:C,2,0)</f>
        <v>040000183659</v>
      </c>
      <c r="C150" s="46">
        <v>21208</v>
      </c>
      <c r="D150" s="81">
        <f t="shared" si="9"/>
        <v>21208</v>
      </c>
      <c r="E150" s="79" t="s">
        <v>3563</v>
      </c>
      <c r="F150" s="82" t="str">
        <f t="shared" si="8"/>
        <v>insert into ins_premium_det (premium_rcv_code,assorted_code, rec_amount,premium_rcv_detail_code,remaining_amt, payrec, mode_code,coinsurance_code,class_cd,it_remarks) values</v>
      </c>
      <c r="G150" s="83" t="str">
        <f t="shared" si="10"/>
        <v>('29Oct240071','040000183659','21208',(select max(to_number(i.premium_rcv_detail_code))+1
from ins_premium_det i),'21208','21208','02', '11000003','00','Request by Mr. Omair Ali 30-Aug-2024');</v>
      </c>
      <c r="H150" s="84" t="str">
        <f t="shared" si="11"/>
        <v>insert into ins_premium_det (premium_rcv_code,assorted_code, rec_amount,premium_rcv_detail_code,remaining_amt, payrec, mode_code,coinsurance_code,class_cd,it_remarks) values('29Oct240071','040000183659','21208',(select max(to_number(i.premium_rcv_detail_code))+1
from ins_premium_det i),'21208','21208','02', '11000003','00','Request by Mr. Omair Ali 30-Aug-2024');</v>
      </c>
    </row>
    <row r="151" spans="1:8" ht="105" x14ac:dyDescent="0.25">
      <c r="A151" t="s">
        <v>289</v>
      </c>
      <c r="B151" s="80" t="str">
        <f>VLOOKUP(A151,policy!B:C,2,0)</f>
        <v>040000183663</v>
      </c>
      <c r="C151" s="46">
        <v>16235</v>
      </c>
      <c r="D151" s="81">
        <f t="shared" si="9"/>
        <v>16235</v>
      </c>
      <c r="E151" s="79" t="s">
        <v>3563</v>
      </c>
      <c r="F151" s="82" t="str">
        <f t="shared" si="8"/>
        <v>insert into ins_premium_det (premium_rcv_code,assorted_code, rec_amount,premium_rcv_detail_code,remaining_amt, payrec, mode_code,coinsurance_code,class_cd,it_remarks) values</v>
      </c>
      <c r="G151" s="83" t="str">
        <f t="shared" si="10"/>
        <v>('29Oct240071','040000183663','16235',(select max(to_number(i.premium_rcv_detail_code))+1
from ins_premium_det i),'16235','16235','02', '11000003','00','Request by Mr. Omair Ali 30-Aug-2024');</v>
      </c>
      <c r="H151" s="84" t="str">
        <f t="shared" si="11"/>
        <v>insert into ins_premium_det (premium_rcv_code,assorted_code, rec_amount,premium_rcv_detail_code,remaining_amt, payrec, mode_code,coinsurance_code,class_cd,it_remarks) values('29Oct240071','040000183663','16235',(select max(to_number(i.premium_rcv_detail_code))+1
from ins_premium_det i),'16235','16235','02', '11000003','00','Request by Mr. Omair Ali 30-Aug-2024');</v>
      </c>
    </row>
    <row r="152" spans="1:8" ht="105" x14ac:dyDescent="0.25">
      <c r="A152" t="s">
        <v>290</v>
      </c>
      <c r="B152" s="80" t="str">
        <f>VLOOKUP(A152,policy!B:C,2,0)</f>
        <v>040000183670</v>
      </c>
      <c r="C152" s="46">
        <v>14960</v>
      </c>
      <c r="D152" s="81">
        <f t="shared" si="9"/>
        <v>14960</v>
      </c>
      <c r="E152" s="79" t="s">
        <v>3563</v>
      </c>
      <c r="F152" s="82" t="str">
        <f t="shared" si="8"/>
        <v>insert into ins_premium_det (premium_rcv_code,assorted_code, rec_amount,premium_rcv_detail_code,remaining_amt, payrec, mode_code,coinsurance_code,class_cd,it_remarks) values</v>
      </c>
      <c r="G152" s="83" t="str">
        <f t="shared" si="10"/>
        <v>('29Oct240071','040000183670','14960',(select max(to_number(i.premium_rcv_detail_code))+1
from ins_premium_det i),'14960','14960','02', '11000003','00','Request by Mr. Omair Ali 30-Aug-2024');</v>
      </c>
      <c r="H152" s="84" t="str">
        <f t="shared" si="11"/>
        <v>insert into ins_premium_det (premium_rcv_code,assorted_code, rec_amount,premium_rcv_detail_code,remaining_amt, payrec, mode_code,coinsurance_code,class_cd,it_remarks) values('29Oct240071','040000183670','14960',(select max(to_number(i.premium_rcv_detail_code))+1
from ins_premium_det i),'14960','14960','02', '11000003','00','Request by Mr. Omair Ali 30-Aug-2024');</v>
      </c>
    </row>
    <row r="153" spans="1:8" ht="105" x14ac:dyDescent="0.25">
      <c r="A153" t="s">
        <v>291</v>
      </c>
      <c r="B153" s="80" t="str">
        <f>VLOOKUP(A153,policy!B:C,2,0)</f>
        <v>040000183671</v>
      </c>
      <c r="C153" s="46">
        <v>14960</v>
      </c>
      <c r="D153" s="81">
        <f t="shared" si="9"/>
        <v>14960</v>
      </c>
      <c r="E153" s="79" t="s">
        <v>3563</v>
      </c>
      <c r="F153" s="82" t="str">
        <f t="shared" si="8"/>
        <v>insert into ins_premium_det (premium_rcv_code,assorted_code, rec_amount,premium_rcv_detail_code,remaining_amt, payrec, mode_code,coinsurance_code,class_cd,it_remarks) values</v>
      </c>
      <c r="G153" s="83" t="str">
        <f t="shared" si="10"/>
        <v>('29Oct240071','040000183671','14960',(select max(to_number(i.premium_rcv_detail_code))+1
from ins_premium_det i),'14960','14960','02', '11000003','00','Request by Mr. Omair Ali 30-Aug-2024');</v>
      </c>
      <c r="H153" s="84" t="str">
        <f t="shared" si="11"/>
        <v>insert into ins_premium_det (premium_rcv_code,assorted_code, rec_amount,premium_rcv_detail_code,remaining_amt, payrec, mode_code,coinsurance_code,class_cd,it_remarks) values('29Oct240071','040000183671','14960',(select max(to_number(i.premium_rcv_detail_code))+1
from ins_premium_det i),'14960','14960','02', '11000003','00','Request by Mr. Omair Ali 30-Aug-2024');</v>
      </c>
    </row>
    <row r="154" spans="1:8" ht="105" x14ac:dyDescent="0.25">
      <c r="A154" t="s">
        <v>292</v>
      </c>
      <c r="B154" s="80" t="str">
        <f>VLOOKUP(A154,policy!B:C,2,0)</f>
        <v>040000183677</v>
      </c>
      <c r="C154" s="46">
        <v>8800</v>
      </c>
      <c r="D154" s="81">
        <f t="shared" si="9"/>
        <v>8800</v>
      </c>
      <c r="E154" s="79" t="s">
        <v>3563</v>
      </c>
      <c r="F154" s="82" t="str">
        <f t="shared" si="8"/>
        <v>insert into ins_premium_det (premium_rcv_code,assorted_code, rec_amount,premium_rcv_detail_code,remaining_amt, payrec, mode_code,coinsurance_code,class_cd,it_remarks) values</v>
      </c>
      <c r="G154" s="83" t="str">
        <f t="shared" si="10"/>
        <v>('29Oct240071','040000183677','8800',(select max(to_number(i.premium_rcv_detail_code))+1
from ins_premium_det i),'8800','8800','02', '11000003','00','Request by Mr. Omair Ali 30-Aug-2024');</v>
      </c>
      <c r="H154" s="84" t="str">
        <f t="shared" si="11"/>
        <v>insert into ins_premium_det (premium_rcv_code,assorted_code, rec_amount,premium_rcv_detail_code,remaining_amt, payrec, mode_code,coinsurance_code,class_cd,it_remarks) values('29Oct240071','040000183677','8800',(select max(to_number(i.premium_rcv_detail_code))+1
from ins_premium_det i),'8800','8800','02', '11000003','00','Request by Mr. Omair Ali 30-Aug-2024');</v>
      </c>
    </row>
    <row r="155" spans="1:8" ht="105" x14ac:dyDescent="0.25">
      <c r="A155" t="s">
        <v>293</v>
      </c>
      <c r="B155" s="80" t="str">
        <f>VLOOKUP(A155,policy!B:C,2,0)</f>
        <v>040000183679</v>
      </c>
      <c r="C155" s="46">
        <v>8800</v>
      </c>
      <c r="D155" s="81">
        <f t="shared" si="9"/>
        <v>8800</v>
      </c>
      <c r="E155" s="79" t="s">
        <v>3563</v>
      </c>
      <c r="F155" s="82" t="str">
        <f t="shared" si="8"/>
        <v>insert into ins_premium_det (premium_rcv_code,assorted_code, rec_amount,premium_rcv_detail_code,remaining_amt, payrec, mode_code,coinsurance_code,class_cd,it_remarks) values</v>
      </c>
      <c r="G155" s="83" t="str">
        <f t="shared" si="10"/>
        <v>('29Oct240071','040000183679','8800',(select max(to_number(i.premium_rcv_detail_code))+1
from ins_premium_det i),'8800','8800','02', '11000003','00','Request by Mr. Omair Ali 30-Aug-2024');</v>
      </c>
      <c r="H155" s="84" t="str">
        <f t="shared" si="11"/>
        <v>insert into ins_premium_det (premium_rcv_code,assorted_code, rec_amount,premium_rcv_detail_code,remaining_amt, payrec, mode_code,coinsurance_code,class_cd,it_remarks) values('29Oct240071','040000183679','8800',(select max(to_number(i.premium_rcv_detail_code))+1
from ins_premium_det i),'8800','8800','02', '11000003','00','Request by Mr. Omair Ali 30-Aug-2024');</v>
      </c>
    </row>
    <row r="156" spans="1:8" ht="105" x14ac:dyDescent="0.25">
      <c r="A156" t="s">
        <v>294</v>
      </c>
      <c r="B156" s="80" t="str">
        <f>VLOOKUP(A156,policy!B:C,2,0)</f>
        <v>040000183681</v>
      </c>
      <c r="C156" s="46">
        <v>16235</v>
      </c>
      <c r="D156" s="81">
        <f t="shared" si="9"/>
        <v>16235</v>
      </c>
      <c r="E156" s="79" t="s">
        <v>3563</v>
      </c>
      <c r="F156" s="82" t="str">
        <f t="shared" si="8"/>
        <v>insert into ins_premium_det (premium_rcv_code,assorted_code, rec_amount,premium_rcv_detail_code,remaining_amt, payrec, mode_code,coinsurance_code,class_cd,it_remarks) values</v>
      </c>
      <c r="G156" s="83" t="str">
        <f t="shared" si="10"/>
        <v>('29Oct240071','040000183681','16235',(select max(to_number(i.premium_rcv_detail_code))+1
from ins_premium_det i),'16235','16235','02', '11000003','00','Request by Mr. Omair Ali 30-Aug-2024');</v>
      </c>
      <c r="H156" s="84" t="str">
        <f t="shared" si="11"/>
        <v>insert into ins_premium_det (premium_rcv_code,assorted_code, rec_amount,premium_rcv_detail_code,remaining_amt, payrec, mode_code,coinsurance_code,class_cd,it_remarks) values('29Oct240071','040000183681','16235',(select max(to_number(i.premium_rcv_detail_code))+1
from ins_premium_det i),'16235','16235','02', '11000003','00','Request by Mr. Omair Ali 30-Aug-2024');</v>
      </c>
    </row>
    <row r="157" spans="1:8" ht="105" x14ac:dyDescent="0.25">
      <c r="A157" t="s">
        <v>295</v>
      </c>
      <c r="B157" s="80" t="str">
        <f>VLOOKUP(A157,policy!B:C,2,0)</f>
        <v>040000183682</v>
      </c>
      <c r="C157" s="46">
        <v>16235</v>
      </c>
      <c r="D157" s="81">
        <f t="shared" si="9"/>
        <v>16235</v>
      </c>
      <c r="E157" s="79" t="s">
        <v>3563</v>
      </c>
      <c r="F157" s="82" t="str">
        <f t="shared" si="8"/>
        <v>insert into ins_premium_det (premium_rcv_code,assorted_code, rec_amount,premium_rcv_detail_code,remaining_amt, payrec, mode_code,coinsurance_code,class_cd,it_remarks) values</v>
      </c>
      <c r="G157" s="83" t="str">
        <f t="shared" si="10"/>
        <v>('29Oct240071','040000183682','16235',(select max(to_number(i.premium_rcv_detail_code))+1
from ins_premium_det i),'16235','16235','02', '11000003','00','Request by Mr. Omair Ali 30-Aug-2024');</v>
      </c>
      <c r="H157" s="84" t="str">
        <f t="shared" si="11"/>
        <v>insert into ins_premium_det (premium_rcv_code,assorted_code, rec_amount,premium_rcv_detail_code,remaining_amt, payrec, mode_code,coinsurance_code,class_cd,it_remarks) values('29Oct240071','040000183682','16235',(select max(to_number(i.premium_rcv_detail_code))+1
from ins_premium_det i),'16235','16235','02', '11000003','00','Request by Mr. Omair Ali 30-Aug-2024');</v>
      </c>
    </row>
    <row r="158" spans="1:8" ht="105" x14ac:dyDescent="0.25">
      <c r="A158" t="s">
        <v>296</v>
      </c>
      <c r="B158" s="80" t="str">
        <f>VLOOKUP(A158,policy!B:C,2,0)</f>
        <v>040000183686</v>
      </c>
      <c r="C158" s="46">
        <v>23248</v>
      </c>
      <c r="D158" s="81">
        <f t="shared" si="9"/>
        <v>23248</v>
      </c>
      <c r="E158" s="79" t="s">
        <v>3563</v>
      </c>
      <c r="F158" s="82" t="str">
        <f t="shared" si="8"/>
        <v>insert into ins_premium_det (premium_rcv_code,assorted_code, rec_amount,premium_rcv_detail_code,remaining_amt, payrec, mode_code,coinsurance_code,class_cd,it_remarks) values</v>
      </c>
      <c r="G158" s="83" t="str">
        <f t="shared" si="10"/>
        <v>('29Oct240071','040000183686','23248',(select max(to_number(i.premium_rcv_detail_code))+1
from ins_premium_det i),'23248','23248','02', '11000003','00','Request by Mr. Omair Ali 30-Aug-2024');</v>
      </c>
      <c r="H158" s="84" t="str">
        <f t="shared" si="11"/>
        <v>insert into ins_premium_det (premium_rcv_code,assorted_code, rec_amount,premium_rcv_detail_code,remaining_amt, payrec, mode_code,coinsurance_code,class_cd,it_remarks) values('29Oct240071','040000183686','23248',(select max(to_number(i.premium_rcv_detail_code))+1
from ins_premium_det i),'23248','23248','02', '11000003','00','Request by Mr. Omair Ali 30-Aug-2024');</v>
      </c>
    </row>
    <row r="159" spans="1:8" ht="105" x14ac:dyDescent="0.25">
      <c r="A159" t="s">
        <v>297</v>
      </c>
      <c r="B159" s="80" t="str">
        <f>VLOOKUP(A159,policy!B:C,2,0)</f>
        <v>040000183687</v>
      </c>
      <c r="C159" s="46">
        <v>23248</v>
      </c>
      <c r="D159" s="81">
        <f t="shared" si="9"/>
        <v>23248</v>
      </c>
      <c r="E159" s="79" t="s">
        <v>3563</v>
      </c>
      <c r="F159" s="82" t="str">
        <f t="shared" si="8"/>
        <v>insert into ins_premium_det (premium_rcv_code,assorted_code, rec_amount,premium_rcv_detail_code,remaining_amt, payrec, mode_code,coinsurance_code,class_cd,it_remarks) values</v>
      </c>
      <c r="G159" s="83" t="str">
        <f t="shared" si="10"/>
        <v>('29Oct240071','040000183687','23248',(select max(to_number(i.premium_rcv_detail_code))+1
from ins_premium_det i),'23248','23248','02', '11000003','00','Request by Mr. Omair Ali 30-Aug-2024');</v>
      </c>
      <c r="H159" s="84" t="str">
        <f t="shared" si="11"/>
        <v>insert into ins_premium_det (premium_rcv_code,assorted_code, rec_amount,premium_rcv_detail_code,remaining_amt, payrec, mode_code,coinsurance_code,class_cd,it_remarks) values('29Oct240071','040000183687','23248',(select max(to_number(i.premium_rcv_detail_code))+1
from ins_premium_det i),'23248','23248','02', '11000003','00','Request by Mr. Omair Ali 30-Aug-2024');</v>
      </c>
    </row>
    <row r="160" spans="1:8" ht="105" x14ac:dyDescent="0.25">
      <c r="A160" t="s">
        <v>298</v>
      </c>
      <c r="B160" s="80" t="str">
        <f>VLOOKUP(A160,policy!B:C,2,0)</f>
        <v>040000183694</v>
      </c>
      <c r="C160" s="46">
        <v>14960</v>
      </c>
      <c r="D160" s="81">
        <f t="shared" si="9"/>
        <v>14960</v>
      </c>
      <c r="E160" s="79" t="s">
        <v>3563</v>
      </c>
      <c r="F160" s="82" t="str">
        <f t="shared" si="8"/>
        <v>insert into ins_premium_det (premium_rcv_code,assorted_code, rec_amount,premium_rcv_detail_code,remaining_amt, payrec, mode_code,coinsurance_code,class_cd,it_remarks) values</v>
      </c>
      <c r="G160" s="83" t="str">
        <f t="shared" si="10"/>
        <v>('29Oct240071','040000183694','14960',(select max(to_number(i.premium_rcv_detail_code))+1
from ins_premium_det i),'14960','14960','02', '11000003','00','Request by Mr. Omair Ali 30-Aug-2024');</v>
      </c>
      <c r="H160" s="84" t="str">
        <f t="shared" si="11"/>
        <v>insert into ins_premium_det (premium_rcv_code,assorted_code, rec_amount,premium_rcv_detail_code,remaining_amt, payrec, mode_code,coinsurance_code,class_cd,it_remarks) values('29Oct240071','040000183694','14960',(select max(to_number(i.premium_rcv_detail_code))+1
from ins_premium_det i),'14960','14960','02', '11000003','00','Request by Mr. Omair Ali 30-Aug-2024');</v>
      </c>
    </row>
    <row r="161" spans="1:8" ht="105" x14ac:dyDescent="0.25">
      <c r="A161" t="s">
        <v>299</v>
      </c>
      <c r="B161" s="80" t="str">
        <f>VLOOKUP(A161,policy!B:C,2,0)</f>
        <v>040000183695</v>
      </c>
      <c r="C161" s="46">
        <v>14960</v>
      </c>
      <c r="D161" s="81">
        <f t="shared" si="9"/>
        <v>14960</v>
      </c>
      <c r="E161" s="79" t="s">
        <v>3563</v>
      </c>
      <c r="F161" s="82" t="str">
        <f t="shared" si="8"/>
        <v>insert into ins_premium_det (premium_rcv_code,assorted_code, rec_amount,premium_rcv_detail_code,remaining_amt, payrec, mode_code,coinsurance_code,class_cd,it_remarks) values</v>
      </c>
      <c r="G161" s="83" t="str">
        <f t="shared" si="10"/>
        <v>('29Oct240071','040000183695','14960',(select max(to_number(i.premium_rcv_detail_code))+1
from ins_premium_det i),'14960','14960','02', '11000003','00','Request by Mr. Omair Ali 30-Aug-2024');</v>
      </c>
      <c r="H161" s="84" t="str">
        <f t="shared" si="11"/>
        <v>insert into ins_premium_det (premium_rcv_code,assorted_code, rec_amount,premium_rcv_detail_code,remaining_amt, payrec, mode_code,coinsurance_code,class_cd,it_remarks) values('29Oct240071','040000183695','14960',(select max(to_number(i.premium_rcv_detail_code))+1
from ins_premium_det i),'14960','14960','02', '11000003','00','Request by Mr. Omair Ali 30-Aug-2024');</v>
      </c>
    </row>
    <row r="162" spans="1:8" ht="105" x14ac:dyDescent="0.25">
      <c r="A162" t="s">
        <v>300</v>
      </c>
      <c r="B162" s="80" t="str">
        <f>VLOOKUP(A162,policy!B:C,2,0)</f>
        <v>040000183696</v>
      </c>
      <c r="C162" s="46">
        <v>8800</v>
      </c>
      <c r="D162" s="81">
        <f t="shared" si="9"/>
        <v>8800</v>
      </c>
      <c r="E162" s="79" t="s">
        <v>3563</v>
      </c>
      <c r="F162" s="82" t="str">
        <f t="shared" si="8"/>
        <v>insert into ins_premium_det (premium_rcv_code,assorted_code, rec_amount,premium_rcv_detail_code,remaining_amt, payrec, mode_code,coinsurance_code,class_cd,it_remarks) values</v>
      </c>
      <c r="G162" s="83" t="str">
        <f t="shared" si="10"/>
        <v>('29Oct240071','040000183696','8800',(select max(to_number(i.premium_rcv_detail_code))+1
from ins_premium_det i),'8800','8800','02', '11000003','00','Request by Mr. Omair Ali 30-Aug-2024');</v>
      </c>
      <c r="H162" s="84" t="str">
        <f t="shared" si="11"/>
        <v>insert into ins_premium_det (premium_rcv_code,assorted_code, rec_amount,premium_rcv_detail_code,remaining_amt, payrec, mode_code,coinsurance_code,class_cd,it_remarks) values('29Oct240071','040000183696','8800',(select max(to_number(i.premium_rcv_detail_code))+1
from ins_premium_det i),'8800','8800','02', '11000003','00','Request by Mr. Omair Ali 30-Aug-2024');</v>
      </c>
    </row>
    <row r="163" spans="1:8" ht="105" x14ac:dyDescent="0.25">
      <c r="A163" t="s">
        <v>301</v>
      </c>
      <c r="B163" s="80" t="str">
        <f>VLOOKUP(A163,policy!B:C,2,0)</f>
        <v>040000183700</v>
      </c>
      <c r="C163" s="46">
        <v>9550</v>
      </c>
      <c r="D163" s="81">
        <f t="shared" si="9"/>
        <v>9550</v>
      </c>
      <c r="E163" s="79" t="s">
        <v>3563</v>
      </c>
      <c r="F163" s="82" t="str">
        <f t="shared" si="8"/>
        <v>insert into ins_premium_det (premium_rcv_code,assorted_code, rec_amount,premium_rcv_detail_code,remaining_amt, payrec, mode_code,coinsurance_code,class_cd,it_remarks) values</v>
      </c>
      <c r="G163" s="83" t="str">
        <f t="shared" si="10"/>
        <v>('29Oct240071','040000183700','9550',(select max(to_number(i.premium_rcv_detail_code))+1
from ins_premium_det i),'9550','9550','02', '11000003','00','Request by Mr. Omair Ali 30-Aug-2024');</v>
      </c>
      <c r="H163" s="84" t="str">
        <f t="shared" si="11"/>
        <v>insert into ins_premium_det (premium_rcv_code,assorted_code, rec_amount,premium_rcv_detail_code,remaining_amt, payrec, mode_code,coinsurance_code,class_cd,it_remarks) values('29Oct240071','040000183700','9550',(select max(to_number(i.premium_rcv_detail_code))+1
from ins_premium_det i),'9550','9550','02', '11000003','00','Request by Mr. Omair Ali 30-Aug-2024');</v>
      </c>
    </row>
    <row r="164" spans="1:8" ht="105" x14ac:dyDescent="0.25">
      <c r="A164" t="s">
        <v>302</v>
      </c>
      <c r="B164" s="80" t="str">
        <f>VLOOKUP(A164,policy!B:C,2,0)</f>
        <v>040000183704</v>
      </c>
      <c r="C164" s="46">
        <v>8800</v>
      </c>
      <c r="D164" s="81">
        <f t="shared" si="9"/>
        <v>8800</v>
      </c>
      <c r="E164" s="79" t="s">
        <v>3563</v>
      </c>
      <c r="F164" s="82" t="str">
        <f t="shared" si="8"/>
        <v>insert into ins_premium_det (premium_rcv_code,assorted_code, rec_amount,premium_rcv_detail_code,remaining_amt, payrec, mode_code,coinsurance_code,class_cd,it_remarks) values</v>
      </c>
      <c r="G164" s="83" t="str">
        <f t="shared" si="10"/>
        <v>('29Oct240071','040000183704','8800',(select max(to_number(i.premium_rcv_detail_code))+1
from ins_premium_det i),'8800','8800','02', '11000003','00','Request by Mr. Omair Ali 30-Aug-2024');</v>
      </c>
      <c r="H164" s="84" t="str">
        <f t="shared" si="11"/>
        <v>insert into ins_premium_det (premium_rcv_code,assorted_code, rec_amount,premium_rcv_detail_code,remaining_amt, payrec, mode_code,coinsurance_code,class_cd,it_remarks) values('29Oct240071','040000183704','8800',(select max(to_number(i.premium_rcv_detail_code))+1
from ins_premium_det i),'8800','8800','02', '11000003','00','Request by Mr. Omair Ali 30-Aug-2024');</v>
      </c>
    </row>
    <row r="165" spans="1:8" ht="105" x14ac:dyDescent="0.25">
      <c r="A165" t="s">
        <v>303</v>
      </c>
      <c r="B165" s="80" t="str">
        <f>VLOOKUP(A165,policy!B:C,2,0)</f>
        <v>040000183708</v>
      </c>
      <c r="C165" s="46">
        <v>8800</v>
      </c>
      <c r="D165" s="81">
        <f t="shared" si="9"/>
        <v>8800</v>
      </c>
      <c r="E165" s="79" t="s">
        <v>3563</v>
      </c>
      <c r="F165" s="82" t="str">
        <f t="shared" si="8"/>
        <v>insert into ins_premium_det (premium_rcv_code,assorted_code, rec_amount,premium_rcv_detail_code,remaining_amt, payrec, mode_code,coinsurance_code,class_cd,it_remarks) values</v>
      </c>
      <c r="G165" s="83" t="str">
        <f t="shared" si="10"/>
        <v>('29Oct240071','040000183708','8800',(select max(to_number(i.premium_rcv_detail_code))+1
from ins_premium_det i),'8800','8800','02', '11000003','00','Request by Mr. Omair Ali 30-Aug-2024');</v>
      </c>
      <c r="H165" s="84" t="str">
        <f t="shared" si="11"/>
        <v>insert into ins_premium_det (premium_rcv_code,assorted_code, rec_amount,premium_rcv_detail_code,remaining_amt, payrec, mode_code,coinsurance_code,class_cd,it_remarks) values('29Oct240071','040000183708','8800',(select max(to_number(i.premium_rcv_detail_code))+1
from ins_premium_det i),'8800','8800','02', '11000003','00','Request by Mr. Omair Ali 30-Aug-2024');</v>
      </c>
    </row>
    <row r="166" spans="1:8" ht="105" x14ac:dyDescent="0.25">
      <c r="A166" t="s">
        <v>304</v>
      </c>
      <c r="B166" s="80" t="str">
        <f>VLOOKUP(A166,policy!B:C,2,0)</f>
        <v>040000183709</v>
      </c>
      <c r="C166" s="46">
        <v>14960</v>
      </c>
      <c r="D166" s="81">
        <f t="shared" si="9"/>
        <v>14960</v>
      </c>
      <c r="E166" s="79" t="s">
        <v>3563</v>
      </c>
      <c r="F166" s="82" t="str">
        <f t="shared" si="8"/>
        <v>insert into ins_premium_det (premium_rcv_code,assorted_code, rec_amount,premium_rcv_detail_code,remaining_amt, payrec, mode_code,coinsurance_code,class_cd,it_remarks) values</v>
      </c>
      <c r="G166" s="83" t="str">
        <f t="shared" si="10"/>
        <v>('29Oct240071','040000183709','14960',(select max(to_number(i.premium_rcv_detail_code))+1
from ins_premium_det i),'14960','14960','02', '11000003','00','Request by Mr. Omair Ali 30-Aug-2024');</v>
      </c>
      <c r="H166" s="84" t="str">
        <f t="shared" si="11"/>
        <v>insert into ins_premium_det (premium_rcv_code,assorted_code, rec_amount,premium_rcv_detail_code,remaining_amt, payrec, mode_code,coinsurance_code,class_cd,it_remarks) values('29Oct240071','040000183709','14960',(select max(to_number(i.premium_rcv_detail_code))+1
from ins_premium_det i),'14960','14960','02', '11000003','00','Request by Mr. Omair Ali 30-Aug-2024');</v>
      </c>
    </row>
    <row r="167" spans="1:8" ht="105" x14ac:dyDescent="0.25">
      <c r="A167" t="s">
        <v>305</v>
      </c>
      <c r="B167" s="80" t="str">
        <f>VLOOKUP(A167,policy!B:C,2,0)</f>
        <v>040000183710</v>
      </c>
      <c r="C167" s="46">
        <v>14960</v>
      </c>
      <c r="D167" s="81">
        <f t="shared" si="9"/>
        <v>14960</v>
      </c>
      <c r="E167" s="79" t="s">
        <v>3563</v>
      </c>
      <c r="F167" s="82" t="str">
        <f t="shared" si="8"/>
        <v>insert into ins_premium_det (premium_rcv_code,assorted_code, rec_amount,premium_rcv_detail_code,remaining_amt, payrec, mode_code,coinsurance_code,class_cd,it_remarks) values</v>
      </c>
      <c r="G167" s="83" t="str">
        <f t="shared" si="10"/>
        <v>('29Oct240071','040000183710','14960',(select max(to_number(i.premium_rcv_detail_code))+1
from ins_premium_det i),'14960','14960','02', '11000003','00','Request by Mr. Omair Ali 30-Aug-2024');</v>
      </c>
      <c r="H167" s="84" t="str">
        <f t="shared" si="11"/>
        <v>insert into ins_premium_det (premium_rcv_code,assorted_code, rec_amount,premium_rcv_detail_code,remaining_amt, payrec, mode_code,coinsurance_code,class_cd,it_remarks) values('29Oct240071','040000183710','14960',(select max(to_number(i.premium_rcv_detail_code))+1
from ins_premium_det i),'14960','14960','02', '11000003','00','Request by Mr. Omair Ali 30-Aug-2024');</v>
      </c>
    </row>
    <row r="168" spans="1:8" ht="105" x14ac:dyDescent="0.25">
      <c r="A168" t="s">
        <v>306</v>
      </c>
      <c r="B168" s="80" t="str">
        <f>VLOOKUP(A168,policy!B:C,2,0)</f>
        <v>040000183713</v>
      </c>
      <c r="C168" s="46">
        <v>14960</v>
      </c>
      <c r="D168" s="81">
        <f t="shared" si="9"/>
        <v>14960</v>
      </c>
      <c r="E168" s="79" t="s">
        <v>3563</v>
      </c>
      <c r="F168" s="82" t="str">
        <f t="shared" si="8"/>
        <v>insert into ins_premium_det (premium_rcv_code,assorted_code, rec_amount,premium_rcv_detail_code,remaining_amt, payrec, mode_code,coinsurance_code,class_cd,it_remarks) values</v>
      </c>
      <c r="G168" s="83" t="str">
        <f t="shared" si="10"/>
        <v>('29Oct240071','040000183713','14960',(select max(to_number(i.premium_rcv_detail_code))+1
from ins_premium_det i),'14960','14960','02', '11000003','00','Request by Mr. Omair Ali 30-Aug-2024');</v>
      </c>
      <c r="H168" s="84" t="str">
        <f t="shared" si="11"/>
        <v>insert into ins_premium_det (premium_rcv_code,assorted_code, rec_amount,premium_rcv_detail_code,remaining_amt, payrec, mode_code,coinsurance_code,class_cd,it_remarks) values('29Oct240071','040000183713','14960',(select max(to_number(i.premium_rcv_detail_code))+1
from ins_premium_det i),'14960','14960','02', '11000003','00','Request by Mr. Omair Ali 30-Aug-2024');</v>
      </c>
    </row>
    <row r="169" spans="1:8" ht="105" x14ac:dyDescent="0.25">
      <c r="A169" t="s">
        <v>307</v>
      </c>
      <c r="B169" s="80" t="str">
        <f>VLOOKUP(A169,policy!B:C,2,0)</f>
        <v>040000183715</v>
      </c>
      <c r="C169" s="46">
        <v>23248</v>
      </c>
      <c r="D169" s="81">
        <f t="shared" si="9"/>
        <v>23248</v>
      </c>
      <c r="E169" s="79" t="s">
        <v>3563</v>
      </c>
      <c r="F169" s="82" t="str">
        <f t="shared" si="8"/>
        <v>insert into ins_premium_det (premium_rcv_code,assorted_code, rec_amount,premium_rcv_detail_code,remaining_amt, payrec, mode_code,coinsurance_code,class_cd,it_remarks) values</v>
      </c>
      <c r="G169" s="83" t="str">
        <f t="shared" si="10"/>
        <v>('29Oct240071','040000183715','23248',(select max(to_number(i.premium_rcv_detail_code))+1
from ins_premium_det i),'23248','23248','02', '11000003','00','Request by Mr. Omair Ali 30-Aug-2024');</v>
      </c>
      <c r="H169" s="84" t="str">
        <f t="shared" si="11"/>
        <v>insert into ins_premium_det (premium_rcv_code,assorted_code, rec_amount,premium_rcv_detail_code,remaining_amt, payrec, mode_code,coinsurance_code,class_cd,it_remarks) values('29Oct240071','040000183715','23248',(select max(to_number(i.premium_rcv_detail_code))+1
from ins_premium_det i),'23248','23248','02', '11000003','00','Request by Mr. Omair Ali 30-Aug-2024');</v>
      </c>
    </row>
    <row r="170" spans="1:8" ht="105" x14ac:dyDescent="0.25">
      <c r="A170" t="s">
        <v>308</v>
      </c>
      <c r="B170" s="80" t="str">
        <f>VLOOKUP(A170,policy!B:C,2,0)</f>
        <v>040000183716</v>
      </c>
      <c r="C170" s="46">
        <v>23248</v>
      </c>
      <c r="D170" s="81">
        <f t="shared" si="9"/>
        <v>23248</v>
      </c>
      <c r="E170" s="79" t="s">
        <v>3563</v>
      </c>
      <c r="F170" s="82" t="str">
        <f t="shared" si="8"/>
        <v>insert into ins_premium_det (premium_rcv_code,assorted_code, rec_amount,premium_rcv_detail_code,remaining_amt, payrec, mode_code,coinsurance_code,class_cd,it_remarks) values</v>
      </c>
      <c r="G170" s="83" t="str">
        <f t="shared" si="10"/>
        <v>('29Oct240071','040000183716','23248',(select max(to_number(i.premium_rcv_detail_code))+1
from ins_premium_det i),'23248','23248','02', '11000003','00','Request by Mr. Omair Ali 30-Aug-2024');</v>
      </c>
      <c r="H170" s="84" t="str">
        <f t="shared" si="11"/>
        <v>insert into ins_premium_det (premium_rcv_code,assorted_code, rec_amount,premium_rcv_detail_code,remaining_amt, payrec, mode_code,coinsurance_code,class_cd,it_remarks) values('29Oct240071','040000183716','23248',(select max(to_number(i.premium_rcv_detail_code))+1
from ins_premium_det i),'23248','23248','02', '11000003','00','Request by Mr. Omair Ali 30-Aug-2024');</v>
      </c>
    </row>
    <row r="171" spans="1:8" ht="105" x14ac:dyDescent="0.25">
      <c r="A171" t="s">
        <v>309</v>
      </c>
      <c r="B171" s="80" t="str">
        <f>VLOOKUP(A171,policy!B:C,2,0)</f>
        <v>040000183717</v>
      </c>
      <c r="C171" s="46">
        <v>16235</v>
      </c>
      <c r="D171" s="81">
        <f t="shared" si="9"/>
        <v>16235</v>
      </c>
      <c r="E171" s="79" t="s">
        <v>3563</v>
      </c>
      <c r="F171" s="82" t="str">
        <f t="shared" si="8"/>
        <v>insert into ins_premium_det (premium_rcv_code,assorted_code, rec_amount,premium_rcv_detail_code,remaining_amt, payrec, mode_code,coinsurance_code,class_cd,it_remarks) values</v>
      </c>
      <c r="G171" s="83" t="str">
        <f t="shared" si="10"/>
        <v>('29Oct240071','040000183717','16235',(select max(to_number(i.premium_rcv_detail_code))+1
from ins_premium_det i),'16235','16235','02', '11000003','00','Request by Mr. Omair Ali 30-Aug-2024');</v>
      </c>
      <c r="H171" s="84" t="str">
        <f t="shared" si="11"/>
        <v>insert into ins_premium_det (premium_rcv_code,assorted_code, rec_amount,premium_rcv_detail_code,remaining_amt, payrec, mode_code,coinsurance_code,class_cd,it_remarks) values('29Oct240071','040000183717','16235',(select max(to_number(i.premium_rcv_detail_code))+1
from ins_premium_det i),'16235','16235','02', '11000003','00','Request by Mr. Omair Ali 30-Aug-2024');</v>
      </c>
    </row>
    <row r="172" spans="1:8" ht="105" x14ac:dyDescent="0.25">
      <c r="A172" t="s">
        <v>310</v>
      </c>
      <c r="B172" s="80" t="str">
        <f>VLOOKUP(A172,policy!B:C,2,0)</f>
        <v>040000183718</v>
      </c>
      <c r="C172" s="46">
        <v>16235</v>
      </c>
      <c r="D172" s="81">
        <f t="shared" si="9"/>
        <v>16235</v>
      </c>
      <c r="E172" s="79" t="s">
        <v>3563</v>
      </c>
      <c r="F172" s="82" t="str">
        <f t="shared" si="8"/>
        <v>insert into ins_premium_det (premium_rcv_code,assorted_code, rec_amount,premium_rcv_detail_code,remaining_amt, payrec, mode_code,coinsurance_code,class_cd,it_remarks) values</v>
      </c>
      <c r="G172" s="83" t="str">
        <f t="shared" si="10"/>
        <v>('29Oct240071','040000183718','16235',(select max(to_number(i.premium_rcv_detail_code))+1
from ins_premium_det i),'16235','16235','02', '11000003','00','Request by Mr. Omair Ali 30-Aug-2024');</v>
      </c>
      <c r="H172" s="84" t="str">
        <f t="shared" si="11"/>
        <v>insert into ins_premium_det (premium_rcv_code,assorted_code, rec_amount,premium_rcv_detail_code,remaining_amt, payrec, mode_code,coinsurance_code,class_cd,it_remarks) values('29Oct240071','040000183718','16235',(select max(to_number(i.premium_rcv_detail_code))+1
from ins_premium_det i),'16235','16235','02', '11000003','00','Request by Mr. Omair Ali 30-Aug-2024');</v>
      </c>
    </row>
    <row r="173" spans="1:8" ht="105" x14ac:dyDescent="0.25">
      <c r="A173" t="s">
        <v>311</v>
      </c>
      <c r="B173" s="80" t="str">
        <f>VLOOKUP(A173,policy!B:C,2,0)</f>
        <v>040000183719</v>
      </c>
      <c r="C173" s="46">
        <v>14960</v>
      </c>
      <c r="D173" s="81">
        <f t="shared" si="9"/>
        <v>14960</v>
      </c>
      <c r="E173" s="79" t="s">
        <v>3563</v>
      </c>
      <c r="F173" s="82" t="str">
        <f t="shared" si="8"/>
        <v>insert into ins_premium_det (premium_rcv_code,assorted_code, rec_amount,premium_rcv_detail_code,remaining_amt, payrec, mode_code,coinsurance_code,class_cd,it_remarks) values</v>
      </c>
      <c r="G173" s="83" t="str">
        <f t="shared" si="10"/>
        <v>('29Oct240071','040000183719','14960',(select max(to_number(i.premium_rcv_detail_code))+1
from ins_premium_det i),'14960','14960','02', '11000003','00','Request by Mr. Omair Ali 30-Aug-2024');</v>
      </c>
      <c r="H173" s="84" t="str">
        <f t="shared" si="11"/>
        <v>insert into ins_premium_det (premium_rcv_code,assorted_code, rec_amount,premium_rcv_detail_code,remaining_amt, payrec, mode_code,coinsurance_code,class_cd,it_remarks) values('29Oct240071','040000183719','14960',(select max(to_number(i.premium_rcv_detail_code))+1
from ins_premium_det i),'14960','14960','02', '11000003','00','Request by Mr. Omair Ali 30-Aug-2024');</v>
      </c>
    </row>
    <row r="174" spans="1:8" ht="105" x14ac:dyDescent="0.25">
      <c r="A174" t="s">
        <v>312</v>
      </c>
      <c r="B174" s="80" t="str">
        <f>VLOOKUP(A174,policy!B:C,2,0)</f>
        <v>040000183723</v>
      </c>
      <c r="C174" s="46">
        <v>8800</v>
      </c>
      <c r="D174" s="81">
        <f t="shared" si="9"/>
        <v>8800</v>
      </c>
      <c r="E174" s="79" t="s">
        <v>3563</v>
      </c>
      <c r="F174" s="82" t="str">
        <f t="shared" si="8"/>
        <v>insert into ins_premium_det (premium_rcv_code,assorted_code, rec_amount,premium_rcv_detail_code,remaining_amt, payrec, mode_code,coinsurance_code,class_cd,it_remarks) values</v>
      </c>
      <c r="G174" s="83" t="str">
        <f t="shared" si="10"/>
        <v>('29Oct240071','040000183723','8800',(select max(to_number(i.premium_rcv_detail_code))+1
from ins_premium_det i),'8800','8800','02', '11000003','00','Request by Mr. Omair Ali 30-Aug-2024');</v>
      </c>
      <c r="H174" s="84" t="str">
        <f t="shared" si="11"/>
        <v>insert into ins_premium_det (premium_rcv_code,assorted_code, rec_amount,premium_rcv_detail_code,remaining_amt, payrec, mode_code,coinsurance_code,class_cd,it_remarks) values('29Oct240071','040000183723','8800',(select max(to_number(i.premium_rcv_detail_code))+1
from ins_premium_det i),'8800','8800','02', '11000003','00','Request by Mr. Omair Ali 30-Aug-2024');</v>
      </c>
    </row>
    <row r="175" spans="1:8" ht="105" x14ac:dyDescent="0.25">
      <c r="A175" t="s">
        <v>313</v>
      </c>
      <c r="B175" s="80" t="str">
        <f>VLOOKUP(A175,policy!B:C,2,0)</f>
        <v>040000183724</v>
      </c>
      <c r="C175" s="46">
        <v>8800</v>
      </c>
      <c r="D175" s="81">
        <f t="shared" si="9"/>
        <v>8800</v>
      </c>
      <c r="E175" s="79" t="s">
        <v>3563</v>
      </c>
      <c r="F175" s="82" t="str">
        <f t="shared" si="8"/>
        <v>insert into ins_premium_det (premium_rcv_code,assorted_code, rec_amount,premium_rcv_detail_code,remaining_amt, payrec, mode_code,coinsurance_code,class_cd,it_remarks) values</v>
      </c>
      <c r="G175" s="83" t="str">
        <f t="shared" si="10"/>
        <v>('29Oct240071','040000183724','8800',(select max(to_number(i.premium_rcv_detail_code))+1
from ins_premium_det i),'8800','8800','02', '11000003','00','Request by Mr. Omair Ali 30-Aug-2024');</v>
      </c>
      <c r="H175" s="84" t="str">
        <f t="shared" si="11"/>
        <v>insert into ins_premium_det (premium_rcv_code,assorted_code, rec_amount,premium_rcv_detail_code,remaining_amt, payrec, mode_code,coinsurance_code,class_cd,it_remarks) values('29Oct240071','040000183724','8800',(select max(to_number(i.premium_rcv_detail_code))+1
from ins_premium_det i),'8800','8800','02', '11000003','00','Request by Mr. Omair Ali 30-Aug-2024');</v>
      </c>
    </row>
    <row r="176" spans="1:8" ht="105" x14ac:dyDescent="0.25">
      <c r="A176" t="s">
        <v>314</v>
      </c>
      <c r="B176" s="80" t="str">
        <f>VLOOKUP(A176,policy!B:C,2,0)</f>
        <v>040000183725</v>
      </c>
      <c r="C176" s="46">
        <v>13675</v>
      </c>
      <c r="D176" s="81">
        <f t="shared" si="9"/>
        <v>13675</v>
      </c>
      <c r="E176" s="79" t="s">
        <v>3563</v>
      </c>
      <c r="F176" s="82" t="str">
        <f t="shared" si="8"/>
        <v>insert into ins_premium_det (premium_rcv_code,assorted_code, rec_amount,premium_rcv_detail_code,remaining_amt, payrec, mode_code,coinsurance_code,class_cd,it_remarks) values</v>
      </c>
      <c r="G176" s="83" t="str">
        <f t="shared" si="10"/>
        <v>('29Oct240071','040000183725','13675',(select max(to_number(i.premium_rcv_detail_code))+1
from ins_premium_det i),'13675','13675','02', '11000003','00','Request by Mr. Omair Ali 30-Aug-2024');</v>
      </c>
      <c r="H176" s="84" t="str">
        <f t="shared" si="11"/>
        <v>insert into ins_premium_det (premium_rcv_code,assorted_code, rec_amount,premium_rcv_detail_code,remaining_amt, payrec, mode_code,coinsurance_code,class_cd,it_remarks) values('29Oct240071','040000183725','13675',(select max(to_number(i.premium_rcv_detail_code))+1
from ins_premium_det i),'13675','13675','02', '11000003','00','Request by Mr. Omair Ali 30-Aug-2024');</v>
      </c>
    </row>
    <row r="177" spans="1:8" ht="105" x14ac:dyDescent="0.25">
      <c r="A177" t="s">
        <v>315</v>
      </c>
      <c r="B177" s="80" t="str">
        <f>VLOOKUP(A177,policy!B:C,2,0)</f>
        <v>040000183727</v>
      </c>
      <c r="C177" s="46">
        <v>9550</v>
      </c>
      <c r="D177" s="81">
        <f t="shared" si="9"/>
        <v>9550</v>
      </c>
      <c r="E177" s="79" t="s">
        <v>3563</v>
      </c>
      <c r="F177" s="82" t="str">
        <f t="shared" si="8"/>
        <v>insert into ins_premium_det (premium_rcv_code,assorted_code, rec_amount,premium_rcv_detail_code,remaining_amt, payrec, mode_code,coinsurance_code,class_cd,it_remarks) values</v>
      </c>
      <c r="G177" s="83" t="str">
        <f t="shared" si="10"/>
        <v>('29Oct240071','040000183727','9550',(select max(to_number(i.premium_rcv_detail_code))+1
from ins_premium_det i),'9550','9550','02', '11000003','00','Request by Mr. Omair Ali 30-Aug-2024');</v>
      </c>
      <c r="H177" s="84" t="str">
        <f t="shared" si="11"/>
        <v>insert into ins_premium_det (premium_rcv_code,assorted_code, rec_amount,premium_rcv_detail_code,remaining_amt, payrec, mode_code,coinsurance_code,class_cd,it_remarks) values('29Oct240071','040000183727','9550',(select max(to_number(i.premium_rcv_detail_code))+1
from ins_premium_det i),'9550','9550','02', '11000003','00','Request by Mr. Omair Ali 30-Aug-2024');</v>
      </c>
    </row>
    <row r="178" spans="1:8" ht="105" x14ac:dyDescent="0.25">
      <c r="A178" t="s">
        <v>316</v>
      </c>
      <c r="B178" s="80" t="str">
        <f>VLOOKUP(A178,policy!B:C,2,0)</f>
        <v>040000183728</v>
      </c>
      <c r="C178" s="46">
        <v>8800</v>
      </c>
      <c r="D178" s="81">
        <f t="shared" si="9"/>
        <v>8800</v>
      </c>
      <c r="E178" s="79" t="s">
        <v>3563</v>
      </c>
      <c r="F178" s="82" t="str">
        <f t="shared" si="8"/>
        <v>insert into ins_premium_det (premium_rcv_code,assorted_code, rec_amount,premium_rcv_detail_code,remaining_amt, payrec, mode_code,coinsurance_code,class_cd,it_remarks) values</v>
      </c>
      <c r="G178" s="83" t="str">
        <f t="shared" si="10"/>
        <v>('29Oct240071','040000183728','8800',(select max(to_number(i.premium_rcv_detail_code))+1
from ins_premium_det i),'8800','8800','02', '11000003','00','Request by Mr. Omair Ali 30-Aug-2024');</v>
      </c>
      <c r="H178" s="84" t="str">
        <f t="shared" si="11"/>
        <v>insert into ins_premium_det (premium_rcv_code,assorted_code, rec_amount,premium_rcv_detail_code,remaining_amt, payrec, mode_code,coinsurance_code,class_cd,it_remarks) values('29Oct240071','040000183728','8800',(select max(to_number(i.premium_rcv_detail_code))+1
from ins_premium_det i),'8800','8800','02', '11000003','00','Request by Mr. Omair Ali 30-Aug-2024');</v>
      </c>
    </row>
    <row r="179" spans="1:8" ht="105" x14ac:dyDescent="0.25">
      <c r="A179" t="s">
        <v>317</v>
      </c>
      <c r="B179" s="80" t="str">
        <f>VLOOKUP(A179,policy!B:C,2,0)</f>
        <v>040000183729</v>
      </c>
      <c r="C179" s="46">
        <v>12475</v>
      </c>
      <c r="D179" s="81">
        <f t="shared" si="9"/>
        <v>12475</v>
      </c>
      <c r="E179" s="79" t="s">
        <v>3563</v>
      </c>
      <c r="F179" s="82" t="str">
        <f t="shared" si="8"/>
        <v>insert into ins_premium_det (premium_rcv_code,assorted_code, rec_amount,premium_rcv_detail_code,remaining_amt, payrec, mode_code,coinsurance_code,class_cd,it_remarks) values</v>
      </c>
      <c r="G179" s="83" t="str">
        <f t="shared" si="10"/>
        <v>('29Oct240071','040000183729','12475',(select max(to_number(i.premium_rcv_detail_code))+1
from ins_premium_det i),'12475','12475','02', '11000003','00','Request by Mr. Omair Ali 30-Aug-2024');</v>
      </c>
      <c r="H179" s="84" t="str">
        <f t="shared" si="11"/>
        <v>insert into ins_premium_det (premium_rcv_code,assorted_code, rec_amount,premium_rcv_detail_code,remaining_amt, payrec, mode_code,coinsurance_code,class_cd,it_remarks) values('29Oct240071','040000183729','12475',(select max(to_number(i.premium_rcv_detail_code))+1
from ins_premium_det i),'12475','12475','02', '11000003','00','Request by Mr. Omair Ali 30-Aug-2024');</v>
      </c>
    </row>
    <row r="180" spans="1:8" ht="105" x14ac:dyDescent="0.25">
      <c r="A180" t="s">
        <v>318</v>
      </c>
      <c r="B180" s="80" t="str">
        <f>VLOOKUP(A180,policy!B:C,2,0)</f>
        <v>040000183730</v>
      </c>
      <c r="C180" s="46">
        <v>8800</v>
      </c>
      <c r="D180" s="81">
        <f t="shared" si="9"/>
        <v>8800</v>
      </c>
      <c r="E180" s="79" t="s">
        <v>3563</v>
      </c>
      <c r="F180" s="82" t="str">
        <f t="shared" si="8"/>
        <v>insert into ins_premium_det (premium_rcv_code,assorted_code, rec_amount,premium_rcv_detail_code,remaining_amt, payrec, mode_code,coinsurance_code,class_cd,it_remarks) values</v>
      </c>
      <c r="G180" s="83" t="str">
        <f t="shared" si="10"/>
        <v>('29Oct240071','040000183730','8800',(select max(to_number(i.premium_rcv_detail_code))+1
from ins_premium_det i),'8800','8800','02', '11000003','00','Request by Mr. Omair Ali 30-Aug-2024');</v>
      </c>
      <c r="H180" s="84" t="str">
        <f t="shared" si="11"/>
        <v>insert into ins_premium_det (premium_rcv_code,assorted_code, rec_amount,premium_rcv_detail_code,remaining_amt, payrec, mode_code,coinsurance_code,class_cd,it_remarks) values('29Oct240071','040000183730','8800',(select max(to_number(i.premium_rcv_detail_code))+1
from ins_premium_det i),'8800','8800','02', '11000003','00','Request by Mr. Omair Ali 30-Aug-2024');</v>
      </c>
    </row>
    <row r="181" spans="1:8" ht="105" x14ac:dyDescent="0.25">
      <c r="A181" t="s">
        <v>319</v>
      </c>
      <c r="B181" s="80" t="str">
        <f>VLOOKUP(A181,policy!B:C,2,0)</f>
        <v>040000183731</v>
      </c>
      <c r="C181" s="46">
        <v>8800</v>
      </c>
      <c r="D181" s="81">
        <f t="shared" si="9"/>
        <v>8800</v>
      </c>
      <c r="E181" s="79" t="s">
        <v>3563</v>
      </c>
      <c r="F181" s="82" t="str">
        <f t="shared" si="8"/>
        <v>insert into ins_premium_det (premium_rcv_code,assorted_code, rec_amount,premium_rcv_detail_code,remaining_amt, payrec, mode_code,coinsurance_code,class_cd,it_remarks) values</v>
      </c>
      <c r="G181" s="83" t="str">
        <f t="shared" si="10"/>
        <v>('29Oct240071','040000183731','8800',(select max(to_number(i.premium_rcv_detail_code))+1
from ins_premium_det i),'8800','8800','02', '11000003','00','Request by Mr. Omair Ali 30-Aug-2024');</v>
      </c>
      <c r="H181" s="84" t="str">
        <f t="shared" si="11"/>
        <v>insert into ins_premium_det (premium_rcv_code,assorted_code, rec_amount,premium_rcv_detail_code,remaining_amt, payrec, mode_code,coinsurance_code,class_cd,it_remarks) values('29Oct240071','040000183731','8800',(select max(to_number(i.premium_rcv_detail_code))+1
from ins_premium_det i),'8800','8800','02', '11000003','00','Request by Mr. Omair Ali 30-Aug-2024');</v>
      </c>
    </row>
    <row r="182" spans="1:8" ht="105" x14ac:dyDescent="0.25">
      <c r="A182" t="s">
        <v>320</v>
      </c>
      <c r="B182" s="80" t="str">
        <f>VLOOKUP(A182,policy!B:C,2,0)</f>
        <v>040000183732</v>
      </c>
      <c r="C182" s="46">
        <v>8800</v>
      </c>
      <c r="D182" s="81">
        <f t="shared" si="9"/>
        <v>8800</v>
      </c>
      <c r="E182" s="79" t="s">
        <v>3563</v>
      </c>
      <c r="F182" s="82" t="str">
        <f t="shared" si="8"/>
        <v>insert into ins_premium_det (premium_rcv_code,assorted_code, rec_amount,premium_rcv_detail_code,remaining_amt, payrec, mode_code,coinsurance_code,class_cd,it_remarks) values</v>
      </c>
      <c r="G182" s="83" t="str">
        <f t="shared" si="10"/>
        <v>('29Oct240071','040000183732','8800',(select max(to_number(i.premium_rcv_detail_code))+1
from ins_premium_det i),'8800','8800','02', '11000003','00','Request by Mr. Omair Ali 30-Aug-2024');</v>
      </c>
      <c r="H182" s="84" t="str">
        <f t="shared" si="11"/>
        <v>insert into ins_premium_det (premium_rcv_code,assorted_code, rec_amount,premium_rcv_detail_code,remaining_amt, payrec, mode_code,coinsurance_code,class_cd,it_remarks) values('29Oct240071','040000183732','8800',(select max(to_number(i.premium_rcv_detail_code))+1
from ins_premium_det i),'8800','8800','02', '11000003','00','Request by Mr. Omair Ali 30-Aug-2024');</v>
      </c>
    </row>
    <row r="183" spans="1:8" ht="105" x14ac:dyDescent="0.25">
      <c r="A183" t="s">
        <v>321</v>
      </c>
      <c r="B183" s="80" t="str">
        <f>VLOOKUP(A183,policy!B:C,2,0)</f>
        <v>040000183733</v>
      </c>
      <c r="C183" s="46">
        <v>8800</v>
      </c>
      <c r="D183" s="81">
        <f t="shared" si="9"/>
        <v>8800</v>
      </c>
      <c r="E183" s="79" t="s">
        <v>3563</v>
      </c>
      <c r="F183" s="82" t="str">
        <f t="shared" si="8"/>
        <v>insert into ins_premium_det (premium_rcv_code,assorted_code, rec_amount,premium_rcv_detail_code,remaining_amt, payrec, mode_code,coinsurance_code,class_cd,it_remarks) values</v>
      </c>
      <c r="G183" s="83" t="str">
        <f t="shared" si="10"/>
        <v>('29Oct240071','040000183733','8800',(select max(to_number(i.premium_rcv_detail_code))+1
from ins_premium_det i),'8800','8800','02', '11000003','00','Request by Mr. Omair Ali 30-Aug-2024');</v>
      </c>
      <c r="H183" s="84" t="str">
        <f t="shared" si="11"/>
        <v>insert into ins_premium_det (premium_rcv_code,assorted_code, rec_amount,premium_rcv_detail_code,remaining_amt, payrec, mode_code,coinsurance_code,class_cd,it_remarks) values('29Oct240071','040000183733','8800',(select max(to_number(i.premium_rcv_detail_code))+1
from ins_premium_det i),'8800','8800','02', '11000003','00','Request by Mr. Omair Ali 30-Aug-2024');</v>
      </c>
    </row>
    <row r="184" spans="1:8" ht="105" x14ac:dyDescent="0.25">
      <c r="A184" t="s">
        <v>322</v>
      </c>
      <c r="B184" s="80" t="str">
        <f>VLOOKUP(A184,policy!B:C,2,0)</f>
        <v>040000183735</v>
      </c>
      <c r="C184" s="46">
        <v>8800</v>
      </c>
      <c r="D184" s="81">
        <f t="shared" si="9"/>
        <v>8800</v>
      </c>
      <c r="E184" s="79" t="s">
        <v>3563</v>
      </c>
      <c r="F184" s="82" t="str">
        <f t="shared" si="8"/>
        <v>insert into ins_premium_det (premium_rcv_code,assorted_code, rec_amount,premium_rcv_detail_code,remaining_amt, payrec, mode_code,coinsurance_code,class_cd,it_remarks) values</v>
      </c>
      <c r="G184" s="83" t="str">
        <f t="shared" si="10"/>
        <v>('29Oct240071','040000183735','8800',(select max(to_number(i.premium_rcv_detail_code))+1
from ins_premium_det i),'8800','8800','02', '11000003','00','Request by Mr. Omair Ali 30-Aug-2024');</v>
      </c>
      <c r="H184" s="84" t="str">
        <f t="shared" si="11"/>
        <v>insert into ins_premium_det (premium_rcv_code,assorted_code, rec_amount,premium_rcv_detail_code,remaining_amt, payrec, mode_code,coinsurance_code,class_cd,it_remarks) values('29Oct240071','040000183735','8800',(select max(to_number(i.premium_rcv_detail_code))+1
from ins_premium_det i),'8800','8800','02', '11000003','00','Request by Mr. Omair Ali 30-Aug-2024');</v>
      </c>
    </row>
    <row r="185" spans="1:8" ht="105" x14ac:dyDescent="0.25">
      <c r="A185" t="s">
        <v>323</v>
      </c>
      <c r="B185" s="80" t="str">
        <f>VLOOKUP(A185,policy!B:C,2,0)</f>
        <v>040000183736</v>
      </c>
      <c r="C185" s="46">
        <v>8800</v>
      </c>
      <c r="D185" s="81">
        <f t="shared" si="9"/>
        <v>8800</v>
      </c>
      <c r="E185" s="79" t="s">
        <v>3563</v>
      </c>
      <c r="F185" s="82" t="str">
        <f t="shared" si="8"/>
        <v>insert into ins_premium_det (premium_rcv_code,assorted_code, rec_amount,premium_rcv_detail_code,remaining_amt, payrec, mode_code,coinsurance_code,class_cd,it_remarks) values</v>
      </c>
      <c r="G185" s="83" t="str">
        <f t="shared" si="10"/>
        <v>('29Oct240071','040000183736','8800',(select max(to_number(i.premium_rcv_detail_code))+1
from ins_premium_det i),'8800','8800','02', '11000003','00','Request by Mr. Omair Ali 30-Aug-2024');</v>
      </c>
      <c r="H185" s="84" t="str">
        <f t="shared" si="11"/>
        <v>insert into ins_premium_det (premium_rcv_code,assorted_code, rec_amount,premium_rcv_detail_code,remaining_amt, payrec, mode_code,coinsurance_code,class_cd,it_remarks) values('29Oct240071','040000183736','8800',(select max(to_number(i.premium_rcv_detail_code))+1
from ins_premium_det i),'8800','8800','02', '11000003','00','Request by Mr. Omair Ali 30-Aug-2024');</v>
      </c>
    </row>
    <row r="186" spans="1:8" ht="105" x14ac:dyDescent="0.25">
      <c r="A186" t="s">
        <v>324</v>
      </c>
      <c r="B186" s="80" t="str">
        <f>VLOOKUP(A186,policy!B:C,2,0)</f>
        <v>040000183737</v>
      </c>
      <c r="C186" s="46">
        <v>8800</v>
      </c>
      <c r="D186" s="81">
        <f t="shared" si="9"/>
        <v>8800</v>
      </c>
      <c r="E186" s="79" t="s">
        <v>3563</v>
      </c>
      <c r="F186" s="82" t="str">
        <f t="shared" si="8"/>
        <v>insert into ins_premium_det (premium_rcv_code,assorted_code, rec_amount,premium_rcv_detail_code,remaining_amt, payrec, mode_code,coinsurance_code,class_cd,it_remarks) values</v>
      </c>
      <c r="G186" s="83" t="str">
        <f t="shared" si="10"/>
        <v>('29Oct240071','040000183737','8800',(select max(to_number(i.premium_rcv_detail_code))+1
from ins_premium_det i),'8800','8800','02', '11000003','00','Request by Mr. Omair Ali 30-Aug-2024');</v>
      </c>
      <c r="H186" s="84" t="str">
        <f t="shared" si="11"/>
        <v>insert into ins_premium_det (premium_rcv_code,assorted_code, rec_amount,premium_rcv_detail_code,remaining_amt, payrec, mode_code,coinsurance_code,class_cd,it_remarks) values('29Oct240071','040000183737','8800',(select max(to_number(i.premium_rcv_detail_code))+1
from ins_premium_det i),'8800','8800','02', '11000003','00','Request by Mr. Omair Ali 30-Aug-2024');</v>
      </c>
    </row>
    <row r="187" spans="1:8" ht="105" x14ac:dyDescent="0.25">
      <c r="A187" t="s">
        <v>325</v>
      </c>
      <c r="B187" s="80" t="str">
        <f>VLOOKUP(A187,policy!B:C,2,0)</f>
        <v>040000183748</v>
      </c>
      <c r="C187" s="46">
        <v>8800</v>
      </c>
      <c r="D187" s="81">
        <f t="shared" si="9"/>
        <v>8800</v>
      </c>
      <c r="E187" s="79" t="s">
        <v>3563</v>
      </c>
      <c r="F187" s="82" t="str">
        <f t="shared" si="8"/>
        <v>insert into ins_premium_det (premium_rcv_code,assorted_code, rec_amount,premium_rcv_detail_code,remaining_amt, payrec, mode_code,coinsurance_code,class_cd,it_remarks) values</v>
      </c>
      <c r="G187" s="83" t="str">
        <f t="shared" si="10"/>
        <v>('29Oct240071','040000183748','8800',(select max(to_number(i.premium_rcv_detail_code))+1
from ins_premium_det i),'8800','8800','02', '11000003','00','Request by Mr. Omair Ali 30-Aug-2024');</v>
      </c>
      <c r="H187" s="84" t="str">
        <f t="shared" si="11"/>
        <v>insert into ins_premium_det (premium_rcv_code,assorted_code, rec_amount,premium_rcv_detail_code,remaining_amt, payrec, mode_code,coinsurance_code,class_cd,it_remarks) values('29Oct240071','040000183748','8800',(select max(to_number(i.premium_rcv_detail_code))+1
from ins_premium_det i),'8800','8800','02', '11000003','00','Request by Mr. Omair Ali 30-Aug-2024');</v>
      </c>
    </row>
    <row r="188" spans="1:8" ht="105" x14ac:dyDescent="0.25">
      <c r="A188" t="s">
        <v>326</v>
      </c>
      <c r="B188" s="80" t="str">
        <f>VLOOKUP(A188,policy!B:C,2,0)</f>
        <v>040000183758</v>
      </c>
      <c r="C188" s="46">
        <v>14960</v>
      </c>
      <c r="D188" s="81">
        <f t="shared" si="9"/>
        <v>14960</v>
      </c>
      <c r="E188" s="79" t="s">
        <v>3563</v>
      </c>
      <c r="F188" s="82" t="str">
        <f t="shared" si="8"/>
        <v>insert into ins_premium_det (premium_rcv_code,assorted_code, rec_amount,premium_rcv_detail_code,remaining_amt, payrec, mode_code,coinsurance_code,class_cd,it_remarks) values</v>
      </c>
      <c r="G188" s="83" t="str">
        <f t="shared" si="10"/>
        <v>('29Oct240071','040000183758','14960',(select max(to_number(i.premium_rcv_detail_code))+1
from ins_premium_det i),'14960','14960','02', '11000003','00','Request by Mr. Omair Ali 30-Aug-2024');</v>
      </c>
      <c r="H188" s="84" t="str">
        <f t="shared" si="11"/>
        <v>insert into ins_premium_det (premium_rcv_code,assorted_code, rec_amount,premium_rcv_detail_code,remaining_amt, payrec, mode_code,coinsurance_code,class_cd,it_remarks) values('29Oct240071','040000183758','14960',(select max(to_number(i.premium_rcv_detail_code))+1
from ins_premium_det i),'14960','14960','02', '11000003','00','Request by Mr. Omair Ali 30-Aug-2024');</v>
      </c>
    </row>
    <row r="189" spans="1:8" ht="105" x14ac:dyDescent="0.25">
      <c r="A189" t="s">
        <v>327</v>
      </c>
      <c r="B189" s="80" t="str">
        <f>VLOOKUP(A189,policy!B:C,2,0)</f>
        <v>040000183759</v>
      </c>
      <c r="C189" s="46">
        <v>13675</v>
      </c>
      <c r="D189" s="81">
        <f t="shared" si="9"/>
        <v>13675</v>
      </c>
      <c r="E189" s="79" t="s">
        <v>3563</v>
      </c>
      <c r="F189" s="82" t="str">
        <f t="shared" si="8"/>
        <v>insert into ins_premium_det (premium_rcv_code,assorted_code, rec_amount,premium_rcv_detail_code,remaining_amt, payrec, mode_code,coinsurance_code,class_cd,it_remarks) values</v>
      </c>
      <c r="G189" s="83" t="str">
        <f t="shared" si="10"/>
        <v>('29Oct240071','040000183759','13675',(select max(to_number(i.premium_rcv_detail_code))+1
from ins_premium_det i),'13675','13675','02', '11000003','00','Request by Mr. Omair Ali 30-Aug-2024');</v>
      </c>
      <c r="H189" s="84" t="str">
        <f t="shared" si="11"/>
        <v>insert into ins_premium_det (premium_rcv_code,assorted_code, rec_amount,premium_rcv_detail_code,remaining_amt, payrec, mode_code,coinsurance_code,class_cd,it_remarks) values('29Oct240071','040000183759','13675',(select max(to_number(i.premium_rcv_detail_code))+1
from ins_premium_det i),'13675','13675','02', '11000003','00','Request by Mr. Omair Ali 30-Aug-2024');</v>
      </c>
    </row>
    <row r="190" spans="1:8" ht="105" x14ac:dyDescent="0.25">
      <c r="A190" t="s">
        <v>328</v>
      </c>
      <c r="B190" s="80" t="str">
        <f>VLOOKUP(A190,policy!B:C,2,0)</f>
        <v>040000183763</v>
      </c>
      <c r="C190" s="46">
        <v>14960</v>
      </c>
      <c r="D190" s="81">
        <f t="shared" si="9"/>
        <v>14960</v>
      </c>
      <c r="E190" s="79" t="s">
        <v>3563</v>
      </c>
      <c r="F190" s="82" t="str">
        <f t="shared" si="8"/>
        <v>insert into ins_premium_det (premium_rcv_code,assorted_code, rec_amount,premium_rcv_detail_code,remaining_amt, payrec, mode_code,coinsurance_code,class_cd,it_remarks) values</v>
      </c>
      <c r="G190" s="83" t="str">
        <f t="shared" si="10"/>
        <v>('29Oct240071','040000183763','14960',(select max(to_number(i.premium_rcv_detail_code))+1
from ins_premium_det i),'14960','14960','02', '11000003','00','Request by Mr. Omair Ali 30-Aug-2024');</v>
      </c>
      <c r="H190" s="84" t="str">
        <f t="shared" si="11"/>
        <v>insert into ins_premium_det (premium_rcv_code,assorted_code, rec_amount,premium_rcv_detail_code,remaining_amt, payrec, mode_code,coinsurance_code,class_cd,it_remarks) values('29Oct240071','040000183763','14960',(select max(to_number(i.premium_rcv_detail_code))+1
from ins_premium_det i),'14960','14960','02', '11000003','00','Request by Mr. Omair Ali 30-Aug-2024');</v>
      </c>
    </row>
    <row r="191" spans="1:8" ht="105" x14ac:dyDescent="0.25">
      <c r="A191" t="s">
        <v>329</v>
      </c>
      <c r="B191" s="80" t="str">
        <f>VLOOKUP(A191,policy!B:C,2,0)</f>
        <v>040000183780</v>
      </c>
      <c r="C191" s="46">
        <v>14960</v>
      </c>
      <c r="D191" s="81">
        <f t="shared" si="9"/>
        <v>14960</v>
      </c>
      <c r="E191" s="79" t="s">
        <v>3563</v>
      </c>
      <c r="F191" s="82" t="str">
        <f t="shared" si="8"/>
        <v>insert into ins_premium_det (premium_rcv_code,assorted_code, rec_amount,premium_rcv_detail_code,remaining_amt, payrec, mode_code,coinsurance_code,class_cd,it_remarks) values</v>
      </c>
      <c r="G191" s="83" t="str">
        <f t="shared" si="10"/>
        <v>('29Oct240071','040000183780','14960',(select max(to_number(i.premium_rcv_detail_code))+1
from ins_premium_det i),'14960','14960','02', '11000003','00','Request by Mr. Omair Ali 30-Aug-2024');</v>
      </c>
      <c r="H191" s="84" t="str">
        <f t="shared" si="11"/>
        <v>insert into ins_premium_det (premium_rcv_code,assorted_code, rec_amount,premium_rcv_detail_code,remaining_amt, payrec, mode_code,coinsurance_code,class_cd,it_remarks) values('29Oct240071','040000183780','14960',(select max(to_number(i.premium_rcv_detail_code))+1
from ins_premium_det i),'14960','14960','02', '11000003','00','Request by Mr. Omair Ali 30-Aug-2024');</v>
      </c>
    </row>
    <row r="192" spans="1:8" ht="105" x14ac:dyDescent="0.25">
      <c r="A192" t="s">
        <v>330</v>
      </c>
      <c r="B192" s="80" t="str">
        <f>VLOOKUP(A192,policy!B:C,2,0)</f>
        <v>040000183785</v>
      </c>
      <c r="C192" s="46">
        <v>16235</v>
      </c>
      <c r="D192" s="81">
        <f t="shared" si="9"/>
        <v>16235</v>
      </c>
      <c r="E192" s="79" t="s">
        <v>3563</v>
      </c>
      <c r="F192" s="82" t="str">
        <f t="shared" si="8"/>
        <v>insert into ins_premium_det (premium_rcv_code,assorted_code, rec_amount,premium_rcv_detail_code,remaining_amt, payrec, mode_code,coinsurance_code,class_cd,it_remarks) values</v>
      </c>
      <c r="G192" s="83" t="str">
        <f t="shared" si="10"/>
        <v>('29Oct240071','040000183785','16235',(select max(to_number(i.premium_rcv_detail_code))+1
from ins_premium_det i),'16235','16235','02', '11000003','00','Request by Mr. Omair Ali 30-Aug-2024');</v>
      </c>
      <c r="H192" s="84" t="str">
        <f t="shared" si="11"/>
        <v>insert into ins_premium_det (premium_rcv_code,assorted_code, rec_amount,premium_rcv_detail_code,remaining_amt, payrec, mode_code,coinsurance_code,class_cd,it_remarks) values('29Oct240071','040000183785','16235',(select max(to_number(i.premium_rcv_detail_code))+1
from ins_premium_det i),'16235','16235','02', '11000003','00','Request by Mr. Omair Ali 30-Aug-2024');</v>
      </c>
    </row>
    <row r="193" spans="1:8" ht="105" x14ac:dyDescent="0.25">
      <c r="A193" t="s">
        <v>331</v>
      </c>
      <c r="B193" s="80" t="str">
        <f>VLOOKUP(A193,policy!B:C,2,0)</f>
        <v>040000183786</v>
      </c>
      <c r="C193" s="46">
        <v>16235</v>
      </c>
      <c r="D193" s="81">
        <f t="shared" si="9"/>
        <v>16235</v>
      </c>
      <c r="E193" s="79" t="s">
        <v>3563</v>
      </c>
      <c r="F193" s="82" t="str">
        <f t="shared" si="8"/>
        <v>insert into ins_premium_det (premium_rcv_code,assorted_code, rec_amount,premium_rcv_detail_code,remaining_amt, payrec, mode_code,coinsurance_code,class_cd,it_remarks) values</v>
      </c>
      <c r="G193" s="83" t="str">
        <f t="shared" si="10"/>
        <v>('29Oct240071','040000183786','16235',(select max(to_number(i.premium_rcv_detail_code))+1
from ins_premium_det i),'16235','16235','02', '11000003','00','Request by Mr. Omair Ali 30-Aug-2024');</v>
      </c>
      <c r="H193" s="84" t="str">
        <f t="shared" si="11"/>
        <v>insert into ins_premium_det (premium_rcv_code,assorted_code, rec_amount,premium_rcv_detail_code,remaining_amt, payrec, mode_code,coinsurance_code,class_cd,it_remarks) values('29Oct240071','040000183786','16235',(select max(to_number(i.premium_rcv_detail_code))+1
from ins_premium_det i),'16235','16235','02', '11000003','00','Request by Mr. Omair Ali 30-Aug-2024');</v>
      </c>
    </row>
    <row r="194" spans="1:8" ht="105" x14ac:dyDescent="0.25">
      <c r="A194" t="s">
        <v>332</v>
      </c>
      <c r="B194" s="80" t="str">
        <f>VLOOKUP(A194,policy!B:C,2,0)</f>
        <v>040000183787</v>
      </c>
      <c r="C194" s="46">
        <v>8800</v>
      </c>
      <c r="D194" s="81">
        <f t="shared" si="9"/>
        <v>8800</v>
      </c>
      <c r="E194" s="79" t="s">
        <v>3563</v>
      </c>
      <c r="F194" s="82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83" t="str">
        <f t="shared" si="10"/>
        <v>('29Oct240071','040000183787','8800',(select max(to_number(i.premium_rcv_detail_code))+1
from ins_premium_det i),'8800','8800','02', '11000003','00','Request by Mr. Omair Ali 30-Aug-2024');</v>
      </c>
      <c r="H194" s="84" t="str">
        <f t="shared" si="11"/>
        <v>insert into ins_premium_det (premium_rcv_code,assorted_code, rec_amount,premium_rcv_detail_code,remaining_amt, payrec, mode_code,coinsurance_code,class_cd,it_remarks) values('29Oct240071','040000183787','8800',(select max(to_number(i.premium_rcv_detail_code))+1
from ins_premium_det i),'8800','8800','02', '11000003','00','Request by Mr. Omair Ali 30-Aug-2024');</v>
      </c>
    </row>
    <row r="195" spans="1:8" ht="105" x14ac:dyDescent="0.25">
      <c r="A195" t="s">
        <v>333</v>
      </c>
      <c r="B195" s="80" t="str">
        <f>VLOOKUP(A195,policy!B:C,2,0)</f>
        <v>040000183797</v>
      </c>
      <c r="C195" s="46">
        <v>8800</v>
      </c>
      <c r="D195" s="81">
        <f t="shared" ref="D195:D258" si="13">ROUND(C195,0)</f>
        <v>8800</v>
      </c>
      <c r="E195" s="79" t="s">
        <v>3563</v>
      </c>
      <c r="F195" s="82" t="str">
        <f t="shared" si="12"/>
        <v>insert into ins_premium_det (premium_rcv_code,assorted_code, rec_amount,premium_rcv_detail_code,remaining_amt, payrec, mode_code,coinsurance_code,class_cd,it_remarks) values</v>
      </c>
      <c r="G195" s="83" t="str">
        <f t="shared" ref="G195:G258" si="14">"('"&amp;E195&amp;"','"&amp;B195&amp;"','"&amp;D195&amp;"',(select max(to_number(i.premium_rcv_detail_code))+1
from ins_premium_det i),'"&amp;D195&amp;"','"&amp;D195&amp;"','02', '11000003','00','Request by Mr. Omair Ali 30-Aug-2024');"</f>
        <v>('29Oct240071','040000183797','8800',(select max(to_number(i.premium_rcv_detail_code))+1
from ins_premium_det i),'8800','8800','02', '11000003','00','Request by Mr. Omair Ali 30-Aug-2024');</v>
      </c>
      <c r="H195" s="84" t="str">
        <f t="shared" ref="H195:H258" si="15">F195&amp;G195</f>
        <v>insert into ins_premium_det (premium_rcv_code,assorted_code, rec_amount,premium_rcv_detail_code,remaining_amt, payrec, mode_code,coinsurance_code,class_cd,it_remarks) values('29Oct240071','040000183797','8800',(select max(to_number(i.premium_rcv_detail_code))+1
from ins_premium_det i),'8800','8800','02', '11000003','00','Request by Mr. Omair Ali 30-Aug-2024');</v>
      </c>
    </row>
    <row r="196" spans="1:8" ht="105" x14ac:dyDescent="0.25">
      <c r="A196" t="s">
        <v>334</v>
      </c>
      <c r="B196" s="80" t="str">
        <f>VLOOKUP(A196,policy!B:C,2,0)</f>
        <v>040000183798</v>
      </c>
      <c r="C196" s="46">
        <v>8800</v>
      </c>
      <c r="D196" s="81">
        <f t="shared" si="13"/>
        <v>8800</v>
      </c>
      <c r="E196" s="79" t="s">
        <v>3563</v>
      </c>
      <c r="F196" s="82" t="str">
        <f t="shared" si="12"/>
        <v>insert into ins_premium_det (premium_rcv_code,assorted_code, rec_amount,premium_rcv_detail_code,remaining_amt, payrec, mode_code,coinsurance_code,class_cd,it_remarks) values</v>
      </c>
      <c r="G196" s="83" t="str">
        <f t="shared" si="14"/>
        <v>('29Oct240071','040000183798','8800',(select max(to_number(i.premium_rcv_detail_code))+1
from ins_premium_det i),'8800','8800','02', '11000003','00','Request by Mr. Omair Ali 30-Aug-2024');</v>
      </c>
      <c r="H196" s="84" t="str">
        <f t="shared" si="15"/>
        <v>insert into ins_premium_det (premium_rcv_code,assorted_code, rec_amount,premium_rcv_detail_code,remaining_amt, payrec, mode_code,coinsurance_code,class_cd,it_remarks) values('29Oct240071','040000183798','8800',(select max(to_number(i.premium_rcv_detail_code))+1
from ins_premium_det i),'8800','8800','02', '11000003','00','Request by Mr. Omair Ali 30-Aug-2024');</v>
      </c>
    </row>
    <row r="197" spans="1:8" ht="105" x14ac:dyDescent="0.25">
      <c r="A197" t="s">
        <v>335</v>
      </c>
      <c r="B197" s="80" t="str">
        <f>VLOOKUP(A197,policy!B:C,2,0)</f>
        <v>040000183802</v>
      </c>
      <c r="C197" s="46">
        <v>14960</v>
      </c>
      <c r="D197" s="81">
        <f t="shared" si="13"/>
        <v>14960</v>
      </c>
      <c r="E197" s="79" t="s">
        <v>3563</v>
      </c>
      <c r="F197" s="82" t="str">
        <f t="shared" si="12"/>
        <v>insert into ins_premium_det (premium_rcv_code,assorted_code, rec_amount,premium_rcv_detail_code,remaining_amt, payrec, mode_code,coinsurance_code,class_cd,it_remarks) values</v>
      </c>
      <c r="G197" s="83" t="str">
        <f t="shared" si="14"/>
        <v>('29Oct240071','040000183802','14960',(select max(to_number(i.premium_rcv_detail_code))+1
from ins_premium_det i),'14960','14960','02', '11000003','00','Request by Mr. Omair Ali 30-Aug-2024');</v>
      </c>
      <c r="H197" s="84" t="str">
        <f t="shared" si="15"/>
        <v>insert into ins_premium_det (premium_rcv_code,assorted_code, rec_amount,premium_rcv_detail_code,remaining_amt, payrec, mode_code,coinsurance_code,class_cd,it_remarks) values('29Oct240071','040000183802','14960',(select max(to_number(i.premium_rcv_detail_code))+1
from ins_premium_det i),'14960','14960','02', '11000003','00','Request by Mr. Omair Ali 30-Aug-2024');</v>
      </c>
    </row>
    <row r="198" spans="1:8" ht="105" x14ac:dyDescent="0.25">
      <c r="A198" t="s">
        <v>336</v>
      </c>
      <c r="B198" s="80" t="str">
        <f>VLOOKUP(A198,policy!B:C,2,0)</f>
        <v>040000183804</v>
      </c>
      <c r="C198" s="46">
        <v>8800</v>
      </c>
      <c r="D198" s="81">
        <f t="shared" si="13"/>
        <v>8800</v>
      </c>
      <c r="E198" s="79" t="s">
        <v>3563</v>
      </c>
      <c r="F198" s="82" t="str">
        <f t="shared" si="12"/>
        <v>insert into ins_premium_det (premium_rcv_code,assorted_code, rec_amount,premium_rcv_detail_code,remaining_amt, payrec, mode_code,coinsurance_code,class_cd,it_remarks) values</v>
      </c>
      <c r="G198" s="83" t="str">
        <f t="shared" si="14"/>
        <v>('29Oct240071','040000183804','8800',(select max(to_number(i.premium_rcv_detail_code))+1
from ins_premium_det i),'8800','8800','02', '11000003','00','Request by Mr. Omair Ali 30-Aug-2024');</v>
      </c>
      <c r="H198" s="84" t="str">
        <f t="shared" si="15"/>
        <v>insert into ins_premium_det (premium_rcv_code,assorted_code, rec_amount,premium_rcv_detail_code,remaining_amt, payrec, mode_code,coinsurance_code,class_cd,it_remarks) values('29Oct240071','040000183804','8800',(select max(to_number(i.premium_rcv_detail_code))+1
from ins_premium_det i),'8800','8800','02', '11000003','00','Request by Mr. Omair Ali 30-Aug-2024');</v>
      </c>
    </row>
    <row r="199" spans="1:8" ht="105" x14ac:dyDescent="0.25">
      <c r="A199" t="s">
        <v>337</v>
      </c>
      <c r="B199" s="80" t="str">
        <f>VLOOKUP(A199,policy!B:C,2,0)</f>
        <v>040000183805</v>
      </c>
      <c r="C199" s="46">
        <v>8800</v>
      </c>
      <c r="D199" s="81">
        <f t="shared" si="13"/>
        <v>8800</v>
      </c>
      <c r="E199" s="79" t="s">
        <v>3563</v>
      </c>
      <c r="F199" s="82" t="str">
        <f t="shared" si="12"/>
        <v>insert into ins_premium_det (premium_rcv_code,assorted_code, rec_amount,premium_rcv_detail_code,remaining_amt, payrec, mode_code,coinsurance_code,class_cd,it_remarks) values</v>
      </c>
      <c r="G199" s="83" t="str">
        <f t="shared" si="14"/>
        <v>('29Oct240071','040000183805','8800',(select max(to_number(i.premium_rcv_detail_code))+1
from ins_premium_det i),'8800','8800','02', '11000003','00','Request by Mr. Omair Ali 30-Aug-2024');</v>
      </c>
      <c r="H199" s="84" t="str">
        <f t="shared" si="15"/>
        <v>insert into ins_premium_det (premium_rcv_code,assorted_code, rec_amount,premium_rcv_detail_code,remaining_amt, payrec, mode_code,coinsurance_code,class_cd,it_remarks) values('29Oct240071','040000183805','8800',(select max(to_number(i.premium_rcv_detail_code))+1
from ins_premium_det i),'8800','8800','02', '11000003','00','Request by Mr. Omair Ali 30-Aug-2024');</v>
      </c>
    </row>
    <row r="200" spans="1:8" ht="105" x14ac:dyDescent="0.25">
      <c r="A200" t="s">
        <v>338</v>
      </c>
      <c r="B200" s="80" t="str">
        <f>VLOOKUP(A200,policy!B:C,2,0)</f>
        <v>040000183806</v>
      </c>
      <c r="C200" s="46">
        <v>8800</v>
      </c>
      <c r="D200" s="81">
        <f t="shared" si="13"/>
        <v>8800</v>
      </c>
      <c r="E200" s="79" t="s">
        <v>3563</v>
      </c>
      <c r="F200" s="82" t="str">
        <f t="shared" si="12"/>
        <v>insert into ins_premium_det (premium_rcv_code,assorted_code, rec_amount,premium_rcv_detail_code,remaining_amt, payrec, mode_code,coinsurance_code,class_cd,it_remarks) values</v>
      </c>
      <c r="G200" s="83" t="str">
        <f t="shared" si="14"/>
        <v>('29Oct240071','040000183806','8800',(select max(to_number(i.premium_rcv_detail_code))+1
from ins_premium_det i),'8800','8800','02', '11000003','00','Request by Mr. Omair Ali 30-Aug-2024');</v>
      </c>
      <c r="H200" s="84" t="str">
        <f t="shared" si="15"/>
        <v>insert into ins_premium_det (premium_rcv_code,assorted_code, rec_amount,premium_rcv_detail_code,remaining_amt, payrec, mode_code,coinsurance_code,class_cd,it_remarks) values('29Oct240071','040000183806','8800',(select max(to_number(i.premium_rcv_detail_code))+1
from ins_premium_det i),'8800','8800','02', '11000003','00','Request by Mr. Omair Ali 30-Aug-2024');</v>
      </c>
    </row>
    <row r="201" spans="1:8" ht="105" x14ac:dyDescent="0.25">
      <c r="A201" t="s">
        <v>339</v>
      </c>
      <c r="B201" s="80" t="str">
        <f>VLOOKUP(A201,policy!B:C,2,0)</f>
        <v>040000183807</v>
      </c>
      <c r="C201" s="46">
        <v>8800</v>
      </c>
      <c r="D201" s="81">
        <f t="shared" si="13"/>
        <v>8800</v>
      </c>
      <c r="E201" s="79" t="s">
        <v>3563</v>
      </c>
      <c r="F201" s="82" t="str">
        <f t="shared" si="12"/>
        <v>insert into ins_premium_det (premium_rcv_code,assorted_code, rec_amount,premium_rcv_detail_code,remaining_amt, payrec, mode_code,coinsurance_code,class_cd,it_remarks) values</v>
      </c>
      <c r="G201" s="83" t="str">
        <f t="shared" si="14"/>
        <v>('29Oct240071','040000183807','8800',(select max(to_number(i.premium_rcv_detail_code))+1
from ins_premium_det i),'8800','8800','02', '11000003','00','Request by Mr. Omair Ali 30-Aug-2024');</v>
      </c>
      <c r="H201" s="84" t="str">
        <f t="shared" si="15"/>
        <v>insert into ins_premium_det (premium_rcv_code,assorted_code, rec_amount,premium_rcv_detail_code,remaining_amt, payrec, mode_code,coinsurance_code,class_cd,it_remarks) values('29Oct240071','040000183807','8800',(select max(to_number(i.premium_rcv_detail_code))+1
from ins_premium_det i),'8800','8800','02', '11000003','00','Request by Mr. Omair Ali 30-Aug-2024');</v>
      </c>
    </row>
    <row r="202" spans="1:8" ht="105" x14ac:dyDescent="0.25">
      <c r="A202" t="s">
        <v>340</v>
      </c>
      <c r="B202" s="80" t="str">
        <f>VLOOKUP(A202,policy!B:C,2,0)</f>
        <v>040000183815</v>
      </c>
      <c r="C202" s="46">
        <v>8800</v>
      </c>
      <c r="D202" s="81">
        <f t="shared" si="13"/>
        <v>8800</v>
      </c>
      <c r="E202" s="79" t="s">
        <v>3563</v>
      </c>
      <c r="F202" s="82" t="str">
        <f t="shared" si="12"/>
        <v>insert into ins_premium_det (premium_rcv_code,assorted_code, rec_amount,premium_rcv_detail_code,remaining_amt, payrec, mode_code,coinsurance_code,class_cd,it_remarks) values</v>
      </c>
      <c r="G202" s="83" t="str">
        <f t="shared" si="14"/>
        <v>('29Oct240071','040000183815','8800',(select max(to_number(i.premium_rcv_detail_code))+1
from ins_premium_det i),'8800','8800','02', '11000003','00','Request by Mr. Omair Ali 30-Aug-2024');</v>
      </c>
      <c r="H202" s="84" t="str">
        <f t="shared" si="15"/>
        <v>insert into ins_premium_det (premium_rcv_code,assorted_code, rec_amount,premium_rcv_detail_code,remaining_amt, payrec, mode_code,coinsurance_code,class_cd,it_remarks) values('29Oct240071','040000183815','8800',(select max(to_number(i.premium_rcv_detail_code))+1
from ins_premium_det i),'8800','8800','02', '11000003','00','Request by Mr. Omair Ali 30-Aug-2024');</v>
      </c>
    </row>
    <row r="203" spans="1:8" ht="105" x14ac:dyDescent="0.25">
      <c r="A203" t="s">
        <v>341</v>
      </c>
      <c r="B203" s="80" t="str">
        <f>VLOOKUP(A203,policy!B:C,2,0)</f>
        <v>040000183825</v>
      </c>
      <c r="C203" s="46">
        <v>8800</v>
      </c>
      <c r="D203" s="81">
        <f t="shared" si="13"/>
        <v>8800</v>
      </c>
      <c r="E203" s="79" t="s">
        <v>3563</v>
      </c>
      <c r="F203" s="82" t="str">
        <f t="shared" si="12"/>
        <v>insert into ins_premium_det (premium_rcv_code,assorted_code, rec_amount,premium_rcv_detail_code,remaining_amt, payrec, mode_code,coinsurance_code,class_cd,it_remarks) values</v>
      </c>
      <c r="G203" s="83" t="str">
        <f t="shared" si="14"/>
        <v>('29Oct240071','040000183825','8800',(select max(to_number(i.premium_rcv_detail_code))+1
from ins_premium_det i),'8800','8800','02', '11000003','00','Request by Mr. Omair Ali 30-Aug-2024');</v>
      </c>
      <c r="H203" s="84" t="str">
        <f t="shared" si="15"/>
        <v>insert into ins_premium_det (premium_rcv_code,assorted_code, rec_amount,premium_rcv_detail_code,remaining_amt, payrec, mode_code,coinsurance_code,class_cd,it_remarks) values('29Oct240071','040000183825','8800',(select max(to_number(i.premium_rcv_detail_code))+1
from ins_premium_det i),'8800','8800','02', '11000003','00','Request by Mr. Omair Ali 30-Aug-2024');</v>
      </c>
    </row>
    <row r="204" spans="1:8" ht="105" x14ac:dyDescent="0.25">
      <c r="A204" t="s">
        <v>342</v>
      </c>
      <c r="B204" s="80" t="str">
        <f>VLOOKUP(A204,policy!B:C,2,0)</f>
        <v>040000183829</v>
      </c>
      <c r="C204" s="46">
        <v>8800</v>
      </c>
      <c r="D204" s="81">
        <f t="shared" si="13"/>
        <v>8800</v>
      </c>
      <c r="E204" s="79" t="s">
        <v>3563</v>
      </c>
      <c r="F204" s="82" t="str">
        <f t="shared" si="12"/>
        <v>insert into ins_premium_det (premium_rcv_code,assorted_code, rec_amount,premium_rcv_detail_code,remaining_amt, payrec, mode_code,coinsurance_code,class_cd,it_remarks) values</v>
      </c>
      <c r="G204" s="83" t="str">
        <f t="shared" si="14"/>
        <v>('29Oct240071','040000183829','8800',(select max(to_number(i.premium_rcv_detail_code))+1
from ins_premium_det i),'8800','8800','02', '11000003','00','Request by Mr. Omair Ali 30-Aug-2024');</v>
      </c>
      <c r="H204" s="84" t="str">
        <f t="shared" si="15"/>
        <v>insert into ins_premium_det (premium_rcv_code,assorted_code, rec_amount,premium_rcv_detail_code,remaining_amt, payrec, mode_code,coinsurance_code,class_cd,it_remarks) values('29Oct240071','040000183829','8800',(select max(to_number(i.premium_rcv_detail_code))+1
from ins_premium_det i),'8800','8800','02', '11000003','00','Request by Mr. Omair Ali 30-Aug-2024');</v>
      </c>
    </row>
    <row r="205" spans="1:8" ht="105" x14ac:dyDescent="0.25">
      <c r="A205" t="s">
        <v>343</v>
      </c>
      <c r="B205" s="80" t="str">
        <f>VLOOKUP(A205,policy!B:C,2,0)</f>
        <v>040000183831</v>
      </c>
      <c r="C205" s="46">
        <v>8800</v>
      </c>
      <c r="D205" s="81">
        <f t="shared" si="13"/>
        <v>8800</v>
      </c>
      <c r="E205" s="79" t="s">
        <v>3563</v>
      </c>
      <c r="F205" s="82" t="str">
        <f t="shared" si="12"/>
        <v>insert into ins_premium_det (premium_rcv_code,assorted_code, rec_amount,premium_rcv_detail_code,remaining_amt, payrec, mode_code,coinsurance_code,class_cd,it_remarks) values</v>
      </c>
      <c r="G205" s="83" t="str">
        <f t="shared" si="14"/>
        <v>('29Oct240071','040000183831','8800',(select max(to_number(i.premium_rcv_detail_code))+1
from ins_premium_det i),'8800','8800','02', '11000003','00','Request by Mr. Omair Ali 30-Aug-2024');</v>
      </c>
      <c r="H205" s="84" t="str">
        <f t="shared" si="15"/>
        <v>insert into ins_premium_det (premium_rcv_code,assorted_code, rec_amount,premium_rcv_detail_code,remaining_amt, payrec, mode_code,coinsurance_code,class_cd,it_remarks) values('29Oct240071','040000183831','8800',(select max(to_number(i.premium_rcv_detail_code))+1
from ins_premium_det i),'8800','8800','02', '11000003','00','Request by Mr. Omair Ali 30-Aug-2024');</v>
      </c>
    </row>
    <row r="206" spans="1:8" ht="105" x14ac:dyDescent="0.25">
      <c r="A206" t="s">
        <v>344</v>
      </c>
      <c r="B206" s="80" t="str">
        <f>VLOOKUP(A206,policy!B:C,2,0)</f>
        <v>040000183833</v>
      </c>
      <c r="C206" s="46">
        <v>14960</v>
      </c>
      <c r="D206" s="81">
        <f t="shared" si="13"/>
        <v>14960</v>
      </c>
      <c r="E206" s="79" t="s">
        <v>3563</v>
      </c>
      <c r="F206" s="82" t="str">
        <f t="shared" si="12"/>
        <v>insert into ins_premium_det (premium_rcv_code,assorted_code, rec_amount,premium_rcv_detail_code,remaining_amt, payrec, mode_code,coinsurance_code,class_cd,it_remarks) values</v>
      </c>
      <c r="G206" s="83" t="str">
        <f t="shared" si="14"/>
        <v>('29Oct240071','040000183833','14960',(select max(to_number(i.premium_rcv_detail_code))+1
from ins_premium_det i),'14960','14960','02', '11000003','00','Request by Mr. Omair Ali 30-Aug-2024');</v>
      </c>
      <c r="H206" s="84" t="str">
        <f t="shared" si="15"/>
        <v>insert into ins_premium_det (premium_rcv_code,assorted_code, rec_amount,premium_rcv_detail_code,remaining_amt, payrec, mode_code,coinsurance_code,class_cd,it_remarks) values('29Oct240071','040000183833','14960',(select max(to_number(i.premium_rcv_detail_code))+1
from ins_premium_det i),'14960','14960','02', '11000003','00','Request by Mr. Omair Ali 30-Aug-2024');</v>
      </c>
    </row>
    <row r="207" spans="1:8" ht="105" x14ac:dyDescent="0.25">
      <c r="A207" t="s">
        <v>345</v>
      </c>
      <c r="B207" s="80" t="str">
        <f>VLOOKUP(A207,policy!B:C,2,0)</f>
        <v>040000183835</v>
      </c>
      <c r="C207" s="46">
        <v>14960</v>
      </c>
      <c r="D207" s="81">
        <f t="shared" si="13"/>
        <v>14960</v>
      </c>
      <c r="E207" s="79" t="s">
        <v>3563</v>
      </c>
      <c r="F207" s="82" t="str">
        <f t="shared" si="12"/>
        <v>insert into ins_premium_det (premium_rcv_code,assorted_code, rec_amount,premium_rcv_detail_code,remaining_amt, payrec, mode_code,coinsurance_code,class_cd,it_remarks) values</v>
      </c>
      <c r="G207" s="83" t="str">
        <f t="shared" si="14"/>
        <v>('29Oct240071','040000183835','14960',(select max(to_number(i.premium_rcv_detail_code))+1
from ins_premium_det i),'14960','14960','02', '11000003','00','Request by Mr. Omair Ali 30-Aug-2024');</v>
      </c>
      <c r="H207" s="84" t="str">
        <f t="shared" si="15"/>
        <v>insert into ins_premium_det (premium_rcv_code,assorted_code, rec_amount,premium_rcv_detail_code,remaining_amt, payrec, mode_code,coinsurance_code,class_cd,it_remarks) values('29Oct240071','040000183835','14960',(select max(to_number(i.premium_rcv_detail_code))+1
from ins_premium_det i),'14960','14960','02', '11000003','00','Request by Mr. Omair Ali 30-Aug-2024');</v>
      </c>
    </row>
    <row r="208" spans="1:8" ht="105" x14ac:dyDescent="0.25">
      <c r="A208" t="s">
        <v>346</v>
      </c>
      <c r="B208" s="80" t="str">
        <f>VLOOKUP(A208,policy!B:C,2,0)</f>
        <v>040000183837</v>
      </c>
      <c r="C208" s="46">
        <v>14960</v>
      </c>
      <c r="D208" s="81">
        <f t="shared" si="13"/>
        <v>14960</v>
      </c>
      <c r="E208" s="79" t="s">
        <v>3563</v>
      </c>
      <c r="F208" s="82" t="str">
        <f t="shared" si="12"/>
        <v>insert into ins_premium_det (premium_rcv_code,assorted_code, rec_amount,premium_rcv_detail_code,remaining_amt, payrec, mode_code,coinsurance_code,class_cd,it_remarks) values</v>
      </c>
      <c r="G208" s="83" t="str">
        <f t="shared" si="14"/>
        <v>('29Oct240071','040000183837','14960',(select max(to_number(i.premium_rcv_detail_code))+1
from ins_premium_det i),'14960','14960','02', '11000003','00','Request by Mr. Omair Ali 30-Aug-2024');</v>
      </c>
      <c r="H208" s="84" t="str">
        <f t="shared" si="15"/>
        <v>insert into ins_premium_det (premium_rcv_code,assorted_code, rec_amount,premium_rcv_detail_code,remaining_amt, payrec, mode_code,coinsurance_code,class_cd,it_remarks) values('29Oct240071','040000183837','14960',(select max(to_number(i.premium_rcv_detail_code))+1
from ins_premium_det i),'14960','14960','02', '11000003','00','Request by Mr. Omair Ali 30-Aug-2024');</v>
      </c>
    </row>
    <row r="209" spans="1:8" ht="105" x14ac:dyDescent="0.25">
      <c r="A209" t="s">
        <v>347</v>
      </c>
      <c r="B209" s="80" t="str">
        <f>VLOOKUP(A209,policy!B:C,2,0)</f>
        <v>040000183841</v>
      </c>
      <c r="C209" s="46">
        <v>16235</v>
      </c>
      <c r="D209" s="81">
        <f t="shared" si="13"/>
        <v>16235</v>
      </c>
      <c r="E209" s="79" t="s">
        <v>3563</v>
      </c>
      <c r="F209" s="82" t="str">
        <f t="shared" si="12"/>
        <v>insert into ins_premium_det (premium_rcv_code,assorted_code, rec_amount,premium_rcv_detail_code,remaining_amt, payrec, mode_code,coinsurance_code,class_cd,it_remarks) values</v>
      </c>
      <c r="G209" s="83" t="str">
        <f t="shared" si="14"/>
        <v>('29Oct240071','040000183841','16235',(select max(to_number(i.premium_rcv_detail_code))+1
from ins_premium_det i),'16235','16235','02', '11000003','00','Request by Mr. Omair Ali 30-Aug-2024');</v>
      </c>
      <c r="H209" s="84" t="str">
        <f t="shared" si="15"/>
        <v>insert into ins_premium_det (premium_rcv_code,assorted_code, rec_amount,premium_rcv_detail_code,remaining_amt, payrec, mode_code,coinsurance_code,class_cd,it_remarks) values('29Oct240071','040000183841','16235',(select max(to_number(i.premium_rcv_detail_code))+1
from ins_premium_det i),'16235','16235','02', '11000003','00','Request by Mr. Omair Ali 30-Aug-2024');</v>
      </c>
    </row>
    <row r="210" spans="1:8" ht="105" x14ac:dyDescent="0.25">
      <c r="A210" t="s">
        <v>348</v>
      </c>
      <c r="B210" s="80" t="str">
        <f>VLOOKUP(A210,policy!B:C,2,0)</f>
        <v>040000183850</v>
      </c>
      <c r="C210" s="46">
        <v>23248</v>
      </c>
      <c r="D210" s="81">
        <f t="shared" si="13"/>
        <v>23248</v>
      </c>
      <c r="E210" s="79" t="s">
        <v>3563</v>
      </c>
      <c r="F210" s="82" t="str">
        <f t="shared" si="12"/>
        <v>insert into ins_premium_det (premium_rcv_code,assorted_code, rec_amount,premium_rcv_detail_code,remaining_amt, payrec, mode_code,coinsurance_code,class_cd,it_remarks) values</v>
      </c>
      <c r="G210" s="83" t="str">
        <f t="shared" si="14"/>
        <v>('29Oct240071','040000183850','23248',(select max(to_number(i.premium_rcv_detail_code))+1
from ins_premium_det i),'23248','23248','02', '11000003','00','Request by Mr. Omair Ali 30-Aug-2024');</v>
      </c>
      <c r="H210" s="84" t="str">
        <f t="shared" si="15"/>
        <v>insert into ins_premium_det (premium_rcv_code,assorted_code, rec_amount,premium_rcv_detail_code,remaining_amt, payrec, mode_code,coinsurance_code,class_cd,it_remarks) values('29Oct240071','040000183850','23248',(select max(to_number(i.premium_rcv_detail_code))+1
from ins_premium_det i),'23248','23248','02', '11000003','00','Request by Mr. Omair Ali 30-Aug-2024');</v>
      </c>
    </row>
    <row r="211" spans="1:8" ht="105" x14ac:dyDescent="0.25">
      <c r="A211" t="s">
        <v>349</v>
      </c>
      <c r="B211" s="80" t="str">
        <f>VLOOKUP(A211,policy!B:C,2,0)</f>
        <v>040000183851</v>
      </c>
      <c r="C211" s="46">
        <v>23248</v>
      </c>
      <c r="D211" s="81">
        <f t="shared" si="13"/>
        <v>23248</v>
      </c>
      <c r="E211" s="79" t="s">
        <v>3563</v>
      </c>
      <c r="F211" s="82" t="str">
        <f t="shared" si="12"/>
        <v>insert into ins_premium_det (premium_rcv_code,assorted_code, rec_amount,premium_rcv_detail_code,remaining_amt, payrec, mode_code,coinsurance_code,class_cd,it_remarks) values</v>
      </c>
      <c r="G211" s="83" t="str">
        <f t="shared" si="14"/>
        <v>('29Oct240071','040000183851','23248',(select max(to_number(i.premium_rcv_detail_code))+1
from ins_premium_det i),'23248','23248','02', '11000003','00','Request by Mr. Omair Ali 30-Aug-2024');</v>
      </c>
      <c r="H211" s="84" t="str">
        <f t="shared" si="15"/>
        <v>insert into ins_premium_det (premium_rcv_code,assorted_code, rec_amount,premium_rcv_detail_code,remaining_amt, payrec, mode_code,coinsurance_code,class_cd,it_remarks) values('29Oct240071','040000183851','23248',(select max(to_number(i.premium_rcv_detail_code))+1
from ins_premium_det i),'23248','23248','02', '11000003','00','Request by Mr. Omair Ali 30-Aug-2024');</v>
      </c>
    </row>
    <row r="212" spans="1:8" ht="105" x14ac:dyDescent="0.25">
      <c r="A212" t="s">
        <v>350</v>
      </c>
      <c r="B212" s="80" t="str">
        <f>VLOOKUP(A212,policy!B:C,2,0)</f>
        <v>040000183852</v>
      </c>
      <c r="C212" s="46">
        <v>14960</v>
      </c>
      <c r="D212" s="81">
        <f t="shared" si="13"/>
        <v>14960</v>
      </c>
      <c r="E212" s="79" t="s">
        <v>3563</v>
      </c>
      <c r="F212" s="82" t="str">
        <f t="shared" si="12"/>
        <v>insert into ins_premium_det (premium_rcv_code,assorted_code, rec_amount,premium_rcv_detail_code,remaining_amt, payrec, mode_code,coinsurance_code,class_cd,it_remarks) values</v>
      </c>
      <c r="G212" s="83" t="str">
        <f t="shared" si="14"/>
        <v>('29Oct240071','040000183852','14960',(select max(to_number(i.premium_rcv_detail_code))+1
from ins_premium_det i),'14960','14960','02', '11000003','00','Request by Mr. Omair Ali 30-Aug-2024');</v>
      </c>
      <c r="H212" s="84" t="str">
        <f t="shared" si="15"/>
        <v>insert into ins_premium_det (premium_rcv_code,assorted_code, rec_amount,premium_rcv_detail_code,remaining_amt, payrec, mode_code,coinsurance_code,class_cd,it_remarks) values('29Oct240071','040000183852','14960',(select max(to_number(i.premium_rcv_detail_code))+1
from ins_premium_det i),'14960','14960','02', '11000003','00','Request by Mr. Omair Ali 30-Aug-2024');</v>
      </c>
    </row>
    <row r="213" spans="1:8" ht="105" x14ac:dyDescent="0.25">
      <c r="A213" t="s">
        <v>351</v>
      </c>
      <c r="B213" s="80" t="str">
        <f>VLOOKUP(A213,policy!B:C,2,0)</f>
        <v>040000183872</v>
      </c>
      <c r="C213" s="46">
        <v>14960</v>
      </c>
      <c r="D213" s="81">
        <f t="shared" si="13"/>
        <v>14960</v>
      </c>
      <c r="E213" s="79" t="s">
        <v>3563</v>
      </c>
      <c r="F213" s="82" t="str">
        <f t="shared" si="12"/>
        <v>insert into ins_premium_det (premium_rcv_code,assorted_code, rec_amount,premium_rcv_detail_code,remaining_amt, payrec, mode_code,coinsurance_code,class_cd,it_remarks) values</v>
      </c>
      <c r="G213" s="83" t="str">
        <f t="shared" si="14"/>
        <v>('29Oct240071','040000183872','14960',(select max(to_number(i.premium_rcv_detail_code))+1
from ins_premium_det i),'14960','14960','02', '11000003','00','Request by Mr. Omair Ali 30-Aug-2024');</v>
      </c>
      <c r="H213" s="84" t="str">
        <f t="shared" si="15"/>
        <v>insert into ins_premium_det (premium_rcv_code,assorted_code, rec_amount,premium_rcv_detail_code,remaining_amt, payrec, mode_code,coinsurance_code,class_cd,it_remarks) values('29Oct240071','040000183872','14960',(select max(to_number(i.premium_rcv_detail_code))+1
from ins_premium_det i),'14960','14960','02', '11000003','00','Request by Mr. Omair Ali 30-Aug-2024');</v>
      </c>
    </row>
    <row r="214" spans="1:8" ht="105" x14ac:dyDescent="0.25">
      <c r="A214" t="s">
        <v>352</v>
      </c>
      <c r="B214" s="80" t="str">
        <f>VLOOKUP(A214,policy!B:C,2,0)</f>
        <v>040000183873</v>
      </c>
      <c r="C214" s="46">
        <v>14960</v>
      </c>
      <c r="D214" s="81">
        <f t="shared" si="13"/>
        <v>14960</v>
      </c>
      <c r="E214" s="79" t="s">
        <v>3563</v>
      </c>
      <c r="F214" s="82" t="str">
        <f t="shared" si="12"/>
        <v>insert into ins_premium_det (premium_rcv_code,assorted_code, rec_amount,premium_rcv_detail_code,remaining_amt, payrec, mode_code,coinsurance_code,class_cd,it_remarks) values</v>
      </c>
      <c r="G214" s="83" t="str">
        <f t="shared" si="14"/>
        <v>('29Oct240071','040000183873','14960',(select max(to_number(i.premium_rcv_detail_code))+1
from ins_premium_det i),'14960','14960','02', '11000003','00','Request by Mr. Omair Ali 30-Aug-2024');</v>
      </c>
      <c r="H214" s="84" t="str">
        <f t="shared" si="15"/>
        <v>insert into ins_premium_det (premium_rcv_code,assorted_code, rec_amount,premium_rcv_detail_code,remaining_amt, payrec, mode_code,coinsurance_code,class_cd,it_remarks) values('29Oct240071','040000183873','14960',(select max(to_number(i.premium_rcv_detail_code))+1
from ins_premium_det i),'14960','14960','02', '11000003','00','Request by Mr. Omair Ali 30-Aug-2024');</v>
      </c>
    </row>
    <row r="215" spans="1:8" ht="105" x14ac:dyDescent="0.25">
      <c r="A215" t="s">
        <v>353</v>
      </c>
      <c r="B215" s="80" t="str">
        <f>VLOOKUP(A215,policy!B:C,2,0)</f>
        <v>040000183877</v>
      </c>
      <c r="C215" s="46">
        <v>14960</v>
      </c>
      <c r="D215" s="81">
        <f t="shared" si="13"/>
        <v>14960</v>
      </c>
      <c r="E215" s="79" t="s">
        <v>3563</v>
      </c>
      <c r="F215" s="82" t="str">
        <f t="shared" si="12"/>
        <v>insert into ins_premium_det (premium_rcv_code,assorted_code, rec_amount,premium_rcv_detail_code,remaining_amt, payrec, mode_code,coinsurance_code,class_cd,it_remarks) values</v>
      </c>
      <c r="G215" s="83" t="str">
        <f t="shared" si="14"/>
        <v>('29Oct240071','040000183877','14960',(select max(to_number(i.premium_rcv_detail_code))+1
from ins_premium_det i),'14960','14960','02', '11000003','00','Request by Mr. Omair Ali 30-Aug-2024');</v>
      </c>
      <c r="H215" s="84" t="str">
        <f t="shared" si="15"/>
        <v>insert into ins_premium_det (premium_rcv_code,assorted_code, rec_amount,premium_rcv_detail_code,remaining_amt, payrec, mode_code,coinsurance_code,class_cd,it_remarks) values('29Oct240071','040000183877','14960',(select max(to_number(i.premium_rcv_detail_code))+1
from ins_premium_det i),'14960','14960','02', '11000003','00','Request by Mr. Omair Ali 30-Aug-2024');</v>
      </c>
    </row>
    <row r="216" spans="1:8" ht="105" x14ac:dyDescent="0.25">
      <c r="A216" t="s">
        <v>354</v>
      </c>
      <c r="B216" s="80" t="str">
        <f>VLOOKUP(A216,policy!B:C,2,0)</f>
        <v>040000183878</v>
      </c>
      <c r="C216" s="46">
        <v>14960</v>
      </c>
      <c r="D216" s="81">
        <f t="shared" si="13"/>
        <v>14960</v>
      </c>
      <c r="E216" s="79" t="s">
        <v>3563</v>
      </c>
      <c r="F216" s="82" t="str">
        <f t="shared" si="12"/>
        <v>insert into ins_premium_det (premium_rcv_code,assorted_code, rec_amount,premium_rcv_detail_code,remaining_amt, payrec, mode_code,coinsurance_code,class_cd,it_remarks) values</v>
      </c>
      <c r="G216" s="83" t="str">
        <f t="shared" si="14"/>
        <v>('29Oct240071','040000183878','14960',(select max(to_number(i.premium_rcv_detail_code))+1
from ins_premium_det i),'14960','14960','02', '11000003','00','Request by Mr. Omair Ali 30-Aug-2024');</v>
      </c>
      <c r="H216" s="84" t="str">
        <f t="shared" si="15"/>
        <v>insert into ins_premium_det (premium_rcv_code,assorted_code, rec_amount,premium_rcv_detail_code,remaining_amt, payrec, mode_code,coinsurance_code,class_cd,it_remarks) values('29Oct240071','040000183878','14960',(select max(to_number(i.premium_rcv_detail_code))+1
from ins_premium_det i),'14960','14960','02', '11000003','00','Request by Mr. Omair Ali 30-Aug-2024');</v>
      </c>
    </row>
    <row r="217" spans="1:8" ht="105" x14ac:dyDescent="0.25">
      <c r="A217" t="s">
        <v>355</v>
      </c>
      <c r="B217" s="80" t="str">
        <f>VLOOKUP(A217,policy!B:C,2,0)</f>
        <v>040000183889</v>
      </c>
      <c r="C217" s="46">
        <v>21208</v>
      </c>
      <c r="D217" s="81">
        <f t="shared" si="13"/>
        <v>21208</v>
      </c>
      <c r="E217" s="79" t="s">
        <v>3563</v>
      </c>
      <c r="F217" s="82" t="str">
        <f t="shared" si="12"/>
        <v>insert into ins_premium_det (premium_rcv_code,assorted_code, rec_amount,premium_rcv_detail_code,remaining_amt, payrec, mode_code,coinsurance_code,class_cd,it_remarks) values</v>
      </c>
      <c r="G217" s="83" t="str">
        <f t="shared" si="14"/>
        <v>('29Oct240071','040000183889','21208',(select max(to_number(i.premium_rcv_detail_code))+1
from ins_premium_det i),'21208','21208','02', '11000003','00','Request by Mr. Omair Ali 30-Aug-2024');</v>
      </c>
      <c r="H217" s="84" t="str">
        <f t="shared" si="15"/>
        <v>insert into ins_premium_det (premium_rcv_code,assorted_code, rec_amount,premium_rcv_detail_code,remaining_amt, payrec, mode_code,coinsurance_code,class_cd,it_remarks) values('29Oct240071','040000183889','21208',(select max(to_number(i.premium_rcv_detail_code))+1
from ins_premium_det i),'21208','21208','02', '11000003','00','Request by Mr. Omair Ali 30-Aug-2024');</v>
      </c>
    </row>
    <row r="218" spans="1:8" ht="105" x14ac:dyDescent="0.25">
      <c r="A218" t="s">
        <v>356</v>
      </c>
      <c r="B218" s="80" t="str">
        <f>VLOOKUP(A218,policy!B:C,2,0)</f>
        <v>040000183890</v>
      </c>
      <c r="C218" s="46">
        <v>21208</v>
      </c>
      <c r="D218" s="81">
        <f t="shared" si="13"/>
        <v>21208</v>
      </c>
      <c r="E218" s="79" t="s">
        <v>3563</v>
      </c>
      <c r="F218" s="82" t="str">
        <f t="shared" si="12"/>
        <v>insert into ins_premium_det (premium_rcv_code,assorted_code, rec_amount,premium_rcv_detail_code,remaining_amt, payrec, mode_code,coinsurance_code,class_cd,it_remarks) values</v>
      </c>
      <c r="G218" s="83" t="str">
        <f t="shared" si="14"/>
        <v>('29Oct240071','040000183890','21208',(select max(to_number(i.premium_rcv_detail_code))+1
from ins_premium_det i),'21208','21208','02', '11000003','00','Request by Mr. Omair Ali 30-Aug-2024');</v>
      </c>
      <c r="H218" s="84" t="str">
        <f t="shared" si="15"/>
        <v>insert into ins_premium_det (premium_rcv_code,assorted_code, rec_amount,premium_rcv_detail_code,remaining_amt, payrec, mode_code,coinsurance_code,class_cd,it_remarks) values('29Oct240071','040000183890','21208',(select max(to_number(i.premium_rcv_detail_code))+1
from ins_premium_det i),'21208','21208','02', '11000003','00','Request by Mr. Omair Ali 30-Aug-2024');</v>
      </c>
    </row>
    <row r="219" spans="1:8" ht="105" x14ac:dyDescent="0.25">
      <c r="A219" t="s">
        <v>357</v>
      </c>
      <c r="B219" s="80" t="str">
        <f>VLOOKUP(A219,policy!B:C,2,0)</f>
        <v>040000183891</v>
      </c>
      <c r="C219" s="46">
        <v>23248</v>
      </c>
      <c r="D219" s="81">
        <f t="shared" si="13"/>
        <v>23248</v>
      </c>
      <c r="E219" s="79" t="s">
        <v>3563</v>
      </c>
      <c r="F219" s="82" t="str">
        <f t="shared" si="12"/>
        <v>insert into ins_premium_det (premium_rcv_code,assorted_code, rec_amount,premium_rcv_detail_code,remaining_amt, payrec, mode_code,coinsurance_code,class_cd,it_remarks) values</v>
      </c>
      <c r="G219" s="83" t="str">
        <f t="shared" si="14"/>
        <v>('29Oct240071','040000183891','23248',(select max(to_number(i.premium_rcv_detail_code))+1
from ins_premium_det i),'23248','23248','02', '11000003','00','Request by Mr. Omair Ali 30-Aug-2024');</v>
      </c>
      <c r="H219" s="84" t="str">
        <f t="shared" si="15"/>
        <v>insert into ins_premium_det (premium_rcv_code,assorted_code, rec_amount,premium_rcv_detail_code,remaining_amt, payrec, mode_code,coinsurance_code,class_cd,it_remarks) values('29Oct240071','040000183891','23248',(select max(to_number(i.premium_rcv_detail_code))+1
from ins_premium_det i),'23248','23248','02', '11000003','00','Request by Mr. Omair Ali 30-Aug-2024');</v>
      </c>
    </row>
    <row r="220" spans="1:8" ht="105" x14ac:dyDescent="0.25">
      <c r="A220" t="s">
        <v>358</v>
      </c>
      <c r="B220" s="80" t="str">
        <f>VLOOKUP(A220,policy!B:C,2,0)</f>
        <v>040000183892</v>
      </c>
      <c r="C220" s="46">
        <v>14960</v>
      </c>
      <c r="D220" s="81">
        <f t="shared" si="13"/>
        <v>14960</v>
      </c>
      <c r="E220" s="79" t="s">
        <v>3563</v>
      </c>
      <c r="F220" s="82" t="str">
        <f t="shared" si="12"/>
        <v>insert into ins_premium_det (premium_rcv_code,assorted_code, rec_amount,premium_rcv_detail_code,remaining_amt, payrec, mode_code,coinsurance_code,class_cd,it_remarks) values</v>
      </c>
      <c r="G220" s="83" t="str">
        <f t="shared" si="14"/>
        <v>('29Oct240071','040000183892','14960',(select max(to_number(i.premium_rcv_detail_code))+1
from ins_premium_det i),'14960','14960','02', '11000003','00','Request by Mr. Omair Ali 30-Aug-2024');</v>
      </c>
      <c r="H220" s="84" t="str">
        <f t="shared" si="15"/>
        <v>insert into ins_premium_det (premium_rcv_code,assorted_code, rec_amount,premium_rcv_detail_code,remaining_amt, payrec, mode_code,coinsurance_code,class_cd,it_remarks) values('29Oct240071','040000183892','14960',(select max(to_number(i.premium_rcv_detail_code))+1
from ins_premium_det i),'14960','14960','02', '11000003','00','Request by Mr. Omair Ali 30-Aug-2024');</v>
      </c>
    </row>
    <row r="221" spans="1:8" ht="105" x14ac:dyDescent="0.25">
      <c r="A221" t="s">
        <v>359</v>
      </c>
      <c r="B221" s="80" t="str">
        <f>VLOOKUP(A221,policy!B:C,2,0)</f>
        <v>040000183893</v>
      </c>
      <c r="C221" s="46">
        <v>14960</v>
      </c>
      <c r="D221" s="81">
        <f t="shared" si="13"/>
        <v>14960</v>
      </c>
      <c r="E221" s="79" t="s">
        <v>3563</v>
      </c>
      <c r="F221" s="82" t="str">
        <f t="shared" si="12"/>
        <v>insert into ins_premium_det (premium_rcv_code,assorted_code, rec_amount,premium_rcv_detail_code,remaining_amt, payrec, mode_code,coinsurance_code,class_cd,it_remarks) values</v>
      </c>
      <c r="G221" s="83" t="str">
        <f t="shared" si="14"/>
        <v>('29Oct240071','040000183893','14960',(select max(to_number(i.premium_rcv_detail_code))+1
from ins_premium_det i),'14960','14960','02', '11000003','00','Request by Mr. Omair Ali 30-Aug-2024');</v>
      </c>
      <c r="H221" s="84" t="str">
        <f t="shared" si="15"/>
        <v>insert into ins_premium_det (premium_rcv_code,assorted_code, rec_amount,premium_rcv_detail_code,remaining_amt, payrec, mode_code,coinsurance_code,class_cd,it_remarks) values('29Oct240071','040000183893','14960',(select max(to_number(i.premium_rcv_detail_code))+1
from ins_premium_det i),'14960','14960','02', '11000003','00','Request by Mr. Omair Ali 30-Aug-2024');</v>
      </c>
    </row>
    <row r="222" spans="1:8" ht="105" x14ac:dyDescent="0.25">
      <c r="A222" t="s">
        <v>360</v>
      </c>
      <c r="B222" s="80" t="str">
        <f>VLOOKUP(A222,policy!B:C,2,0)</f>
        <v>040000183894</v>
      </c>
      <c r="C222" s="46">
        <v>14960</v>
      </c>
      <c r="D222" s="81">
        <f t="shared" si="13"/>
        <v>14960</v>
      </c>
      <c r="E222" s="79" t="s">
        <v>3563</v>
      </c>
      <c r="F222" s="82" t="str">
        <f t="shared" si="12"/>
        <v>insert into ins_premium_det (premium_rcv_code,assorted_code, rec_amount,premium_rcv_detail_code,remaining_amt, payrec, mode_code,coinsurance_code,class_cd,it_remarks) values</v>
      </c>
      <c r="G222" s="83" t="str">
        <f t="shared" si="14"/>
        <v>('29Oct240071','040000183894','14960',(select max(to_number(i.premium_rcv_detail_code))+1
from ins_premium_det i),'14960','14960','02', '11000003','00','Request by Mr. Omair Ali 30-Aug-2024');</v>
      </c>
      <c r="H222" s="84" t="str">
        <f t="shared" si="15"/>
        <v>insert into ins_premium_det (premium_rcv_code,assorted_code, rec_amount,premium_rcv_detail_code,remaining_amt, payrec, mode_code,coinsurance_code,class_cd,it_remarks) values('29Oct240071','040000183894','14960',(select max(to_number(i.premium_rcv_detail_code))+1
from ins_premium_det i),'14960','14960','02', '11000003','00','Request by Mr. Omair Ali 30-Aug-2024');</v>
      </c>
    </row>
    <row r="223" spans="1:8" ht="105" x14ac:dyDescent="0.25">
      <c r="A223" t="s">
        <v>361</v>
      </c>
      <c r="B223" s="80" t="str">
        <f>VLOOKUP(A223,policy!B:C,2,0)</f>
        <v>040000183895</v>
      </c>
      <c r="C223" s="46">
        <v>8800</v>
      </c>
      <c r="D223" s="81">
        <f t="shared" si="13"/>
        <v>8800</v>
      </c>
      <c r="E223" s="79" t="s">
        <v>3563</v>
      </c>
      <c r="F223" s="82" t="str">
        <f t="shared" si="12"/>
        <v>insert into ins_premium_det (premium_rcv_code,assorted_code, rec_amount,premium_rcv_detail_code,remaining_amt, payrec, mode_code,coinsurance_code,class_cd,it_remarks) values</v>
      </c>
      <c r="G223" s="83" t="str">
        <f t="shared" si="14"/>
        <v>('29Oct240071','040000183895','8800',(select max(to_number(i.premium_rcv_detail_code))+1
from ins_premium_det i),'8800','8800','02', '11000003','00','Request by Mr. Omair Ali 30-Aug-2024');</v>
      </c>
      <c r="H223" s="84" t="str">
        <f t="shared" si="15"/>
        <v>insert into ins_premium_det (premium_rcv_code,assorted_code, rec_amount,premium_rcv_detail_code,remaining_amt, payrec, mode_code,coinsurance_code,class_cd,it_remarks) values('29Oct240071','040000183895','8800',(select max(to_number(i.premium_rcv_detail_code))+1
from ins_premium_det i),'8800','8800','02', '11000003','00','Request by Mr. Omair Ali 30-Aug-2024');</v>
      </c>
    </row>
    <row r="224" spans="1:8" ht="105" x14ac:dyDescent="0.25">
      <c r="A224" t="s">
        <v>362</v>
      </c>
      <c r="B224" s="80" t="str">
        <f>VLOOKUP(A224,policy!B:C,2,0)</f>
        <v>040000183896</v>
      </c>
      <c r="C224" s="46">
        <v>16235</v>
      </c>
      <c r="D224" s="81">
        <f t="shared" si="13"/>
        <v>16235</v>
      </c>
      <c r="E224" s="79" t="s">
        <v>3563</v>
      </c>
      <c r="F224" s="82" t="str">
        <f t="shared" si="12"/>
        <v>insert into ins_premium_det (premium_rcv_code,assorted_code, rec_amount,premium_rcv_detail_code,remaining_amt, payrec, mode_code,coinsurance_code,class_cd,it_remarks) values</v>
      </c>
      <c r="G224" s="83" t="str">
        <f t="shared" si="14"/>
        <v>('29Oct240071','040000183896','16235',(select max(to_number(i.premium_rcv_detail_code))+1
from ins_premium_det i),'16235','16235','02', '11000003','00','Request by Mr. Omair Ali 30-Aug-2024');</v>
      </c>
      <c r="H224" s="84" t="str">
        <f t="shared" si="15"/>
        <v>insert into ins_premium_det (premium_rcv_code,assorted_code, rec_amount,premium_rcv_detail_code,remaining_amt, payrec, mode_code,coinsurance_code,class_cd,it_remarks) values('29Oct240071','040000183896','16235',(select max(to_number(i.premium_rcv_detail_code))+1
from ins_premium_det i),'16235','16235','02', '11000003','00','Request by Mr. Omair Ali 30-Aug-2024');</v>
      </c>
    </row>
    <row r="225" spans="1:8" ht="105" x14ac:dyDescent="0.25">
      <c r="A225" t="s">
        <v>363</v>
      </c>
      <c r="B225" s="80" t="str">
        <f>VLOOKUP(A225,policy!B:C,2,0)</f>
        <v>040000183898</v>
      </c>
      <c r="C225" s="46">
        <v>14960</v>
      </c>
      <c r="D225" s="81">
        <f t="shared" si="13"/>
        <v>14960</v>
      </c>
      <c r="E225" s="79" t="s">
        <v>3563</v>
      </c>
      <c r="F225" s="82" t="str">
        <f t="shared" si="12"/>
        <v>insert into ins_premium_det (premium_rcv_code,assorted_code, rec_amount,premium_rcv_detail_code,remaining_amt, payrec, mode_code,coinsurance_code,class_cd,it_remarks) values</v>
      </c>
      <c r="G225" s="83" t="str">
        <f t="shared" si="14"/>
        <v>('29Oct240071','040000183898','14960',(select max(to_number(i.premium_rcv_detail_code))+1
from ins_premium_det i),'14960','14960','02', '11000003','00','Request by Mr. Omair Ali 30-Aug-2024');</v>
      </c>
      <c r="H225" s="84" t="str">
        <f t="shared" si="15"/>
        <v>insert into ins_premium_det (premium_rcv_code,assorted_code, rec_amount,premium_rcv_detail_code,remaining_amt, payrec, mode_code,coinsurance_code,class_cd,it_remarks) values('29Oct240071','040000183898','14960',(select max(to_number(i.premium_rcv_detail_code))+1
from ins_premium_det i),'14960','14960','02', '11000003','00','Request by Mr. Omair Ali 30-Aug-2024');</v>
      </c>
    </row>
    <row r="226" spans="1:8" ht="105" x14ac:dyDescent="0.25">
      <c r="A226" t="s">
        <v>364</v>
      </c>
      <c r="B226" s="80" t="str">
        <f>VLOOKUP(A226,policy!B:C,2,0)</f>
        <v>040000183900</v>
      </c>
      <c r="C226" s="46">
        <v>14960</v>
      </c>
      <c r="D226" s="81">
        <f t="shared" si="13"/>
        <v>14960</v>
      </c>
      <c r="E226" s="79" t="s">
        <v>3563</v>
      </c>
      <c r="F226" s="82" t="str">
        <f t="shared" si="12"/>
        <v>insert into ins_premium_det (premium_rcv_code,assorted_code, rec_amount,premium_rcv_detail_code,remaining_amt, payrec, mode_code,coinsurance_code,class_cd,it_remarks) values</v>
      </c>
      <c r="G226" s="83" t="str">
        <f t="shared" si="14"/>
        <v>('29Oct240071','040000183900','14960',(select max(to_number(i.premium_rcv_detail_code))+1
from ins_premium_det i),'14960','14960','02', '11000003','00','Request by Mr. Omair Ali 30-Aug-2024');</v>
      </c>
      <c r="H226" s="84" t="str">
        <f t="shared" si="15"/>
        <v>insert into ins_premium_det (premium_rcv_code,assorted_code, rec_amount,premium_rcv_detail_code,remaining_amt, payrec, mode_code,coinsurance_code,class_cd,it_remarks) values('29Oct240071','040000183900','14960',(select max(to_number(i.premium_rcv_detail_code))+1
from ins_premium_det i),'14960','14960','02', '11000003','00','Request by Mr. Omair Ali 30-Aug-2024');</v>
      </c>
    </row>
    <row r="227" spans="1:8" ht="105" x14ac:dyDescent="0.25">
      <c r="A227" t="s">
        <v>365</v>
      </c>
      <c r="B227" s="80" t="str">
        <f>VLOOKUP(A227,policy!B:C,2,0)</f>
        <v>040000183902</v>
      </c>
      <c r="C227" s="46">
        <v>16235</v>
      </c>
      <c r="D227" s="81">
        <f t="shared" si="13"/>
        <v>16235</v>
      </c>
      <c r="E227" s="79" t="s">
        <v>3563</v>
      </c>
      <c r="F227" s="82" t="str">
        <f t="shared" si="12"/>
        <v>insert into ins_premium_det (premium_rcv_code,assorted_code, rec_amount,premium_rcv_detail_code,remaining_amt, payrec, mode_code,coinsurance_code,class_cd,it_remarks) values</v>
      </c>
      <c r="G227" s="83" t="str">
        <f t="shared" si="14"/>
        <v>('29Oct240071','040000183902','16235',(select max(to_number(i.premium_rcv_detail_code))+1
from ins_premium_det i),'16235','16235','02', '11000003','00','Request by Mr. Omair Ali 30-Aug-2024');</v>
      </c>
      <c r="H227" s="84" t="str">
        <f t="shared" si="15"/>
        <v>insert into ins_premium_det (premium_rcv_code,assorted_code, rec_amount,premium_rcv_detail_code,remaining_amt, payrec, mode_code,coinsurance_code,class_cd,it_remarks) values('29Oct240071','040000183902','16235',(select max(to_number(i.premium_rcv_detail_code))+1
from ins_premium_det i),'16235','16235','02', '11000003','00','Request by Mr. Omair Ali 30-Aug-2024');</v>
      </c>
    </row>
    <row r="228" spans="1:8" ht="105" x14ac:dyDescent="0.25">
      <c r="A228" t="s">
        <v>366</v>
      </c>
      <c r="B228" s="80" t="str">
        <f>VLOOKUP(A228,policy!B:C,2,0)</f>
        <v>040000183906</v>
      </c>
      <c r="C228" s="46">
        <v>23248</v>
      </c>
      <c r="D228" s="81">
        <f t="shared" si="13"/>
        <v>23248</v>
      </c>
      <c r="E228" s="79" t="s">
        <v>3563</v>
      </c>
      <c r="F228" s="82" t="str">
        <f t="shared" si="12"/>
        <v>insert into ins_premium_det (premium_rcv_code,assorted_code, rec_amount,premium_rcv_detail_code,remaining_amt, payrec, mode_code,coinsurance_code,class_cd,it_remarks) values</v>
      </c>
      <c r="G228" s="83" t="str">
        <f t="shared" si="14"/>
        <v>('29Oct240071','040000183906','23248',(select max(to_number(i.premium_rcv_detail_code))+1
from ins_premium_det i),'23248','23248','02', '11000003','00','Request by Mr. Omair Ali 30-Aug-2024');</v>
      </c>
      <c r="H228" s="84" t="str">
        <f t="shared" si="15"/>
        <v>insert into ins_premium_det (premium_rcv_code,assorted_code, rec_amount,premium_rcv_detail_code,remaining_amt, payrec, mode_code,coinsurance_code,class_cd,it_remarks) values('29Oct240071','040000183906','23248',(select max(to_number(i.premium_rcv_detail_code))+1
from ins_premium_det i),'23248','23248','02', '11000003','00','Request by Mr. Omair Ali 30-Aug-2024');</v>
      </c>
    </row>
    <row r="229" spans="1:8" ht="105" x14ac:dyDescent="0.25">
      <c r="A229" t="s">
        <v>367</v>
      </c>
      <c r="B229" s="80" t="str">
        <f>VLOOKUP(A229,policy!B:C,2,0)</f>
        <v>040000183907</v>
      </c>
      <c r="C229" s="46">
        <v>14960</v>
      </c>
      <c r="D229" s="81">
        <f t="shared" si="13"/>
        <v>14960</v>
      </c>
      <c r="E229" s="79" t="s">
        <v>3563</v>
      </c>
      <c r="F229" s="82" t="str">
        <f t="shared" si="12"/>
        <v>insert into ins_premium_det (premium_rcv_code,assorted_code, rec_amount,premium_rcv_detail_code,remaining_amt, payrec, mode_code,coinsurance_code,class_cd,it_remarks) values</v>
      </c>
      <c r="G229" s="83" t="str">
        <f t="shared" si="14"/>
        <v>('29Oct240071','040000183907','14960',(select max(to_number(i.premium_rcv_detail_code))+1
from ins_premium_det i),'14960','14960','02', '11000003','00','Request by Mr. Omair Ali 30-Aug-2024');</v>
      </c>
      <c r="H229" s="84" t="str">
        <f t="shared" si="15"/>
        <v>insert into ins_premium_det (premium_rcv_code,assorted_code, rec_amount,premium_rcv_detail_code,remaining_amt, payrec, mode_code,coinsurance_code,class_cd,it_remarks) values('29Oct240071','040000183907','14960',(select max(to_number(i.premium_rcv_detail_code))+1
from ins_premium_det i),'14960','14960','02', '11000003','00','Request by Mr. Omair Ali 30-Aug-2024');</v>
      </c>
    </row>
    <row r="230" spans="1:8" ht="105" x14ac:dyDescent="0.25">
      <c r="A230" t="s">
        <v>368</v>
      </c>
      <c r="B230" s="80" t="str">
        <f>VLOOKUP(A230,policy!B:C,2,0)</f>
        <v>040000183910</v>
      </c>
      <c r="C230" s="46">
        <v>9550</v>
      </c>
      <c r="D230" s="81">
        <f t="shared" si="13"/>
        <v>9550</v>
      </c>
      <c r="E230" s="79" t="s">
        <v>3563</v>
      </c>
      <c r="F230" s="82" t="str">
        <f t="shared" si="12"/>
        <v>insert into ins_premium_det (premium_rcv_code,assorted_code, rec_amount,premium_rcv_detail_code,remaining_amt, payrec, mode_code,coinsurance_code,class_cd,it_remarks) values</v>
      </c>
      <c r="G230" s="83" t="str">
        <f t="shared" si="14"/>
        <v>('29Oct240071','040000183910','9550',(select max(to_number(i.premium_rcv_detail_code))+1
from ins_premium_det i),'9550','9550','02', '11000003','00','Request by Mr. Omair Ali 30-Aug-2024');</v>
      </c>
      <c r="H230" s="84" t="str">
        <f t="shared" si="15"/>
        <v>insert into ins_premium_det (premium_rcv_code,assorted_code, rec_amount,premium_rcv_detail_code,remaining_amt, payrec, mode_code,coinsurance_code,class_cd,it_remarks) values('29Oct240071','040000183910','9550',(select max(to_number(i.premium_rcv_detail_code))+1
from ins_premium_det i),'9550','9550','02', '11000003','00','Request by Mr. Omair Ali 30-Aug-2024');</v>
      </c>
    </row>
    <row r="231" spans="1:8" ht="105" x14ac:dyDescent="0.25">
      <c r="A231" t="s">
        <v>369</v>
      </c>
      <c r="B231" s="80" t="str">
        <f>VLOOKUP(A231,policy!B:C,2,0)</f>
        <v>040000183913</v>
      </c>
      <c r="C231" s="46">
        <v>14960</v>
      </c>
      <c r="D231" s="81">
        <f t="shared" si="13"/>
        <v>14960</v>
      </c>
      <c r="E231" s="79" t="s">
        <v>3563</v>
      </c>
      <c r="F231" s="82" t="str">
        <f t="shared" si="12"/>
        <v>insert into ins_premium_det (premium_rcv_code,assorted_code, rec_amount,premium_rcv_detail_code,remaining_amt, payrec, mode_code,coinsurance_code,class_cd,it_remarks) values</v>
      </c>
      <c r="G231" s="83" t="str">
        <f t="shared" si="14"/>
        <v>('29Oct240071','040000183913','14960',(select max(to_number(i.premium_rcv_detail_code))+1
from ins_premium_det i),'14960','14960','02', '11000003','00','Request by Mr. Omair Ali 30-Aug-2024');</v>
      </c>
      <c r="H231" s="84" t="str">
        <f t="shared" si="15"/>
        <v>insert into ins_premium_det (premium_rcv_code,assorted_code, rec_amount,premium_rcv_detail_code,remaining_amt, payrec, mode_code,coinsurance_code,class_cd,it_remarks) values('29Oct240071','040000183913','14960',(select max(to_number(i.premium_rcv_detail_code))+1
from ins_premium_det i),'14960','14960','02', '11000003','00','Request by Mr. Omair Ali 30-Aug-2024');</v>
      </c>
    </row>
    <row r="232" spans="1:8" ht="105" x14ac:dyDescent="0.25">
      <c r="A232" t="s">
        <v>370</v>
      </c>
      <c r="B232" s="80" t="str">
        <f>VLOOKUP(A232,policy!B:C,2,0)</f>
        <v>040000183915</v>
      </c>
      <c r="C232" s="46">
        <v>8800</v>
      </c>
      <c r="D232" s="81">
        <f t="shared" si="13"/>
        <v>8800</v>
      </c>
      <c r="E232" s="79" t="s">
        <v>3563</v>
      </c>
      <c r="F232" s="82" t="str">
        <f t="shared" si="12"/>
        <v>insert into ins_premium_det (premium_rcv_code,assorted_code, rec_amount,premium_rcv_detail_code,remaining_amt, payrec, mode_code,coinsurance_code,class_cd,it_remarks) values</v>
      </c>
      <c r="G232" s="83" t="str">
        <f t="shared" si="14"/>
        <v>('29Oct240071','040000183915','8800',(select max(to_number(i.premium_rcv_detail_code))+1
from ins_premium_det i),'8800','8800','02', '11000003','00','Request by Mr. Omair Ali 30-Aug-2024');</v>
      </c>
      <c r="H232" s="84" t="str">
        <f t="shared" si="15"/>
        <v>insert into ins_premium_det (premium_rcv_code,assorted_code, rec_amount,premium_rcv_detail_code,remaining_amt, payrec, mode_code,coinsurance_code,class_cd,it_remarks) values('29Oct240071','040000183915','8800',(select max(to_number(i.premium_rcv_detail_code))+1
from ins_premium_det i),'8800','8800','02', '11000003','00','Request by Mr. Omair Ali 30-Aug-2024');</v>
      </c>
    </row>
    <row r="233" spans="1:8" ht="105" x14ac:dyDescent="0.25">
      <c r="A233" t="s">
        <v>371</v>
      </c>
      <c r="B233" s="80" t="str">
        <f>VLOOKUP(A233,policy!B:C,2,0)</f>
        <v>040000183921</v>
      </c>
      <c r="C233" s="46">
        <v>14960</v>
      </c>
      <c r="D233" s="81">
        <f t="shared" si="13"/>
        <v>14960</v>
      </c>
      <c r="E233" s="79" t="s">
        <v>3563</v>
      </c>
      <c r="F233" s="82" t="str">
        <f t="shared" si="12"/>
        <v>insert into ins_premium_det (premium_rcv_code,assorted_code, rec_amount,premium_rcv_detail_code,remaining_amt, payrec, mode_code,coinsurance_code,class_cd,it_remarks) values</v>
      </c>
      <c r="G233" s="83" t="str">
        <f t="shared" si="14"/>
        <v>('29Oct240071','040000183921','14960',(select max(to_number(i.premium_rcv_detail_code))+1
from ins_premium_det i),'14960','14960','02', '11000003','00','Request by Mr. Omair Ali 30-Aug-2024');</v>
      </c>
      <c r="H233" s="84" t="str">
        <f t="shared" si="15"/>
        <v>insert into ins_premium_det (premium_rcv_code,assorted_code, rec_amount,premium_rcv_detail_code,remaining_amt, payrec, mode_code,coinsurance_code,class_cd,it_remarks) values('29Oct240071','040000183921','14960',(select max(to_number(i.premium_rcv_detail_code))+1
from ins_premium_det i),'14960','14960','02', '11000003','00','Request by Mr. Omair Ali 30-Aug-2024');</v>
      </c>
    </row>
    <row r="234" spans="1:8" ht="105" x14ac:dyDescent="0.25">
      <c r="A234" t="s">
        <v>372</v>
      </c>
      <c r="B234" s="80" t="str">
        <f>VLOOKUP(A234,policy!B:C,2,0)</f>
        <v>040000183922</v>
      </c>
      <c r="C234" s="46">
        <v>14960</v>
      </c>
      <c r="D234" s="81">
        <f t="shared" si="13"/>
        <v>14960</v>
      </c>
      <c r="E234" s="79" t="s">
        <v>3563</v>
      </c>
      <c r="F234" s="82" t="str">
        <f t="shared" si="12"/>
        <v>insert into ins_premium_det (premium_rcv_code,assorted_code, rec_amount,premium_rcv_detail_code,remaining_amt, payrec, mode_code,coinsurance_code,class_cd,it_remarks) values</v>
      </c>
      <c r="G234" s="83" t="str">
        <f t="shared" si="14"/>
        <v>('29Oct240071','040000183922','14960',(select max(to_number(i.premium_rcv_detail_code))+1
from ins_premium_det i),'14960','14960','02', '11000003','00','Request by Mr. Omair Ali 30-Aug-2024');</v>
      </c>
      <c r="H234" s="84" t="str">
        <f t="shared" si="15"/>
        <v>insert into ins_premium_det (premium_rcv_code,assorted_code, rec_amount,premium_rcv_detail_code,remaining_amt, payrec, mode_code,coinsurance_code,class_cd,it_remarks) values('29Oct240071','040000183922','14960',(select max(to_number(i.premium_rcv_detail_code))+1
from ins_premium_det i),'14960','14960','02', '11000003','00','Request by Mr. Omair Ali 30-Aug-2024');</v>
      </c>
    </row>
    <row r="235" spans="1:8" ht="105" x14ac:dyDescent="0.25">
      <c r="A235" t="s">
        <v>373</v>
      </c>
      <c r="B235" s="80" t="str">
        <f>VLOOKUP(A235,policy!B:C,2,0)</f>
        <v>040000183923</v>
      </c>
      <c r="C235" s="46">
        <v>8800</v>
      </c>
      <c r="D235" s="81">
        <f t="shared" si="13"/>
        <v>8800</v>
      </c>
      <c r="E235" s="79" t="s">
        <v>3563</v>
      </c>
      <c r="F235" s="82" t="str">
        <f t="shared" si="12"/>
        <v>insert into ins_premium_det (premium_rcv_code,assorted_code, rec_amount,premium_rcv_detail_code,remaining_amt, payrec, mode_code,coinsurance_code,class_cd,it_remarks) values</v>
      </c>
      <c r="G235" s="83" t="str">
        <f t="shared" si="14"/>
        <v>('29Oct240071','040000183923','8800',(select max(to_number(i.premium_rcv_detail_code))+1
from ins_premium_det i),'8800','8800','02', '11000003','00','Request by Mr. Omair Ali 30-Aug-2024');</v>
      </c>
      <c r="H235" s="84" t="str">
        <f t="shared" si="15"/>
        <v>insert into ins_premium_det (premium_rcv_code,assorted_code, rec_amount,premium_rcv_detail_code,remaining_amt, payrec, mode_code,coinsurance_code,class_cd,it_remarks) values('29Oct240071','040000183923','8800',(select max(to_number(i.premium_rcv_detail_code))+1
from ins_premium_det i),'8800','8800','02', '11000003','00','Request by Mr. Omair Ali 30-Aug-2024');</v>
      </c>
    </row>
    <row r="236" spans="1:8" ht="105" x14ac:dyDescent="0.25">
      <c r="A236" t="s">
        <v>374</v>
      </c>
      <c r="B236" s="80" t="str">
        <f>VLOOKUP(A236,policy!B:C,2,0)</f>
        <v>040000183927</v>
      </c>
      <c r="C236" s="46">
        <v>16235</v>
      </c>
      <c r="D236" s="81">
        <f t="shared" si="13"/>
        <v>16235</v>
      </c>
      <c r="E236" s="79" t="s">
        <v>3563</v>
      </c>
      <c r="F236" s="82" t="str">
        <f t="shared" si="12"/>
        <v>insert into ins_premium_det (premium_rcv_code,assorted_code, rec_amount,premium_rcv_detail_code,remaining_amt, payrec, mode_code,coinsurance_code,class_cd,it_remarks) values</v>
      </c>
      <c r="G236" s="83" t="str">
        <f t="shared" si="14"/>
        <v>('29Oct240071','040000183927','16235',(select max(to_number(i.premium_rcv_detail_code))+1
from ins_premium_det i),'16235','16235','02', '11000003','00','Request by Mr. Omair Ali 30-Aug-2024');</v>
      </c>
      <c r="H236" s="84" t="str">
        <f t="shared" si="15"/>
        <v>insert into ins_premium_det (premium_rcv_code,assorted_code, rec_amount,premium_rcv_detail_code,remaining_amt, payrec, mode_code,coinsurance_code,class_cd,it_remarks) values('29Oct240071','040000183927','16235',(select max(to_number(i.premium_rcv_detail_code))+1
from ins_premium_det i),'16235','16235','02', '11000003','00','Request by Mr. Omair Ali 30-Aug-2024');</v>
      </c>
    </row>
    <row r="237" spans="1:8" ht="105" x14ac:dyDescent="0.25">
      <c r="A237" t="s">
        <v>375</v>
      </c>
      <c r="B237" s="80" t="str">
        <f>VLOOKUP(A237,policy!B:C,2,0)</f>
        <v>040000183929</v>
      </c>
      <c r="C237" s="46">
        <v>8800</v>
      </c>
      <c r="D237" s="81">
        <f t="shared" si="13"/>
        <v>8800</v>
      </c>
      <c r="E237" s="79" t="s">
        <v>3563</v>
      </c>
      <c r="F237" s="82" t="str">
        <f t="shared" si="12"/>
        <v>insert into ins_premium_det (premium_rcv_code,assorted_code, rec_amount,premium_rcv_detail_code,remaining_amt, payrec, mode_code,coinsurance_code,class_cd,it_remarks) values</v>
      </c>
      <c r="G237" s="83" t="str">
        <f t="shared" si="14"/>
        <v>('29Oct240071','040000183929','8800',(select max(to_number(i.premium_rcv_detail_code))+1
from ins_premium_det i),'8800','8800','02', '11000003','00','Request by Mr. Omair Ali 30-Aug-2024');</v>
      </c>
      <c r="H237" s="84" t="str">
        <f t="shared" si="15"/>
        <v>insert into ins_premium_det (premium_rcv_code,assorted_code, rec_amount,premium_rcv_detail_code,remaining_amt, payrec, mode_code,coinsurance_code,class_cd,it_remarks) values('29Oct240071','040000183929','8800',(select max(to_number(i.premium_rcv_detail_code))+1
from ins_premium_det i),'8800','8800','02', '11000003','00','Request by Mr. Omair Ali 30-Aug-2024');</v>
      </c>
    </row>
    <row r="238" spans="1:8" ht="105" x14ac:dyDescent="0.25">
      <c r="A238" t="s">
        <v>376</v>
      </c>
      <c r="B238" s="80" t="str">
        <f>VLOOKUP(A238,policy!B:C,2,0)</f>
        <v>040000183931</v>
      </c>
      <c r="C238" s="46">
        <v>9550</v>
      </c>
      <c r="D238" s="81">
        <f t="shared" si="13"/>
        <v>9550</v>
      </c>
      <c r="E238" s="79" t="s">
        <v>3563</v>
      </c>
      <c r="F238" s="82" t="str">
        <f t="shared" si="12"/>
        <v>insert into ins_premium_det (premium_rcv_code,assorted_code, rec_amount,premium_rcv_detail_code,remaining_amt, payrec, mode_code,coinsurance_code,class_cd,it_remarks) values</v>
      </c>
      <c r="G238" s="83" t="str">
        <f t="shared" si="14"/>
        <v>('29Oct240071','040000183931','9550',(select max(to_number(i.premium_rcv_detail_code))+1
from ins_premium_det i),'9550','9550','02', '11000003','00','Request by Mr. Omair Ali 30-Aug-2024');</v>
      </c>
      <c r="H238" s="84" t="str">
        <f t="shared" si="15"/>
        <v>insert into ins_premium_det (premium_rcv_code,assorted_code, rec_amount,premium_rcv_detail_code,remaining_amt, payrec, mode_code,coinsurance_code,class_cd,it_remarks) values('29Oct240071','040000183931','9550',(select max(to_number(i.premium_rcv_detail_code))+1
from ins_premium_det i),'9550','9550','02', '11000003','00','Request by Mr. Omair Ali 30-Aug-2024');</v>
      </c>
    </row>
    <row r="239" spans="1:8" ht="105" x14ac:dyDescent="0.25">
      <c r="A239" t="s">
        <v>377</v>
      </c>
      <c r="B239" s="80" t="str">
        <f>VLOOKUP(A239,policy!B:C,2,0)</f>
        <v>040000183932</v>
      </c>
      <c r="C239" s="46">
        <v>9550</v>
      </c>
      <c r="D239" s="81">
        <f t="shared" si="13"/>
        <v>9550</v>
      </c>
      <c r="E239" s="79" t="s">
        <v>3563</v>
      </c>
      <c r="F239" s="82" t="str">
        <f t="shared" si="12"/>
        <v>insert into ins_premium_det (premium_rcv_code,assorted_code, rec_amount,premium_rcv_detail_code,remaining_amt, payrec, mode_code,coinsurance_code,class_cd,it_remarks) values</v>
      </c>
      <c r="G239" s="83" t="str">
        <f t="shared" si="14"/>
        <v>('29Oct240071','040000183932','9550',(select max(to_number(i.premium_rcv_detail_code))+1
from ins_premium_det i),'9550','9550','02', '11000003','00','Request by Mr. Omair Ali 30-Aug-2024');</v>
      </c>
      <c r="H239" s="84" t="str">
        <f t="shared" si="15"/>
        <v>insert into ins_premium_det (premium_rcv_code,assorted_code, rec_amount,premium_rcv_detail_code,remaining_amt, payrec, mode_code,coinsurance_code,class_cd,it_remarks) values('29Oct240071','040000183932','9550',(select max(to_number(i.premium_rcv_detail_code))+1
from ins_premium_det i),'9550','9550','02', '11000003','00','Request by Mr. Omair Ali 30-Aug-2024');</v>
      </c>
    </row>
    <row r="240" spans="1:8" ht="105" x14ac:dyDescent="0.25">
      <c r="A240" t="s">
        <v>378</v>
      </c>
      <c r="B240" s="80" t="str">
        <f>VLOOKUP(A240,policy!B:C,2,0)</f>
        <v>040000183935</v>
      </c>
      <c r="C240" s="46">
        <v>9550</v>
      </c>
      <c r="D240" s="81">
        <f t="shared" si="13"/>
        <v>9550</v>
      </c>
      <c r="E240" s="79" t="s">
        <v>3563</v>
      </c>
      <c r="F240" s="82" t="str">
        <f t="shared" si="12"/>
        <v>insert into ins_premium_det (premium_rcv_code,assorted_code, rec_amount,premium_rcv_detail_code,remaining_amt, payrec, mode_code,coinsurance_code,class_cd,it_remarks) values</v>
      </c>
      <c r="G240" s="83" t="str">
        <f t="shared" si="14"/>
        <v>('29Oct240071','040000183935','9550',(select max(to_number(i.premium_rcv_detail_code))+1
from ins_premium_det i),'9550','9550','02', '11000003','00','Request by Mr. Omair Ali 30-Aug-2024');</v>
      </c>
      <c r="H240" s="84" t="str">
        <f t="shared" si="15"/>
        <v>insert into ins_premium_det (premium_rcv_code,assorted_code, rec_amount,premium_rcv_detail_code,remaining_amt, payrec, mode_code,coinsurance_code,class_cd,it_remarks) values('29Oct240071','040000183935','9550',(select max(to_number(i.premium_rcv_detail_code))+1
from ins_premium_det i),'9550','9550','02', '11000003','00','Request by Mr. Omair Ali 30-Aug-2024');</v>
      </c>
    </row>
    <row r="241" spans="1:8" ht="105" x14ac:dyDescent="0.25">
      <c r="A241" t="s">
        <v>379</v>
      </c>
      <c r="B241" s="80" t="str">
        <f>VLOOKUP(A241,policy!B:C,2,0)</f>
        <v>040000183936</v>
      </c>
      <c r="C241" s="46">
        <v>8800</v>
      </c>
      <c r="D241" s="81">
        <f t="shared" si="13"/>
        <v>8800</v>
      </c>
      <c r="E241" s="79" t="s">
        <v>3563</v>
      </c>
      <c r="F241" s="82" t="str">
        <f t="shared" si="12"/>
        <v>insert into ins_premium_det (premium_rcv_code,assorted_code, rec_amount,premium_rcv_detail_code,remaining_amt, payrec, mode_code,coinsurance_code,class_cd,it_remarks) values</v>
      </c>
      <c r="G241" s="83" t="str">
        <f t="shared" si="14"/>
        <v>('29Oct240071','040000183936','8800',(select max(to_number(i.premium_rcv_detail_code))+1
from ins_premium_det i),'8800','8800','02', '11000003','00','Request by Mr. Omair Ali 30-Aug-2024');</v>
      </c>
      <c r="H241" s="84" t="str">
        <f t="shared" si="15"/>
        <v>insert into ins_premium_det (premium_rcv_code,assorted_code, rec_amount,premium_rcv_detail_code,remaining_amt, payrec, mode_code,coinsurance_code,class_cd,it_remarks) values('29Oct240071','040000183936','8800',(select max(to_number(i.premium_rcv_detail_code))+1
from ins_premium_det i),'8800','8800','02', '11000003','00','Request by Mr. Omair Ali 30-Aug-2024');</v>
      </c>
    </row>
    <row r="242" spans="1:8" ht="105" x14ac:dyDescent="0.25">
      <c r="A242" t="s">
        <v>380</v>
      </c>
      <c r="B242" s="80" t="str">
        <f>VLOOKUP(A242,policy!B:C,2,0)</f>
        <v>040000183942</v>
      </c>
      <c r="C242" s="46">
        <v>14960</v>
      </c>
      <c r="D242" s="81">
        <f t="shared" si="13"/>
        <v>14960</v>
      </c>
      <c r="E242" s="79" t="s">
        <v>3563</v>
      </c>
      <c r="F242" s="82" t="str">
        <f t="shared" si="12"/>
        <v>insert into ins_premium_det (premium_rcv_code,assorted_code, rec_amount,premium_rcv_detail_code,remaining_amt, payrec, mode_code,coinsurance_code,class_cd,it_remarks) values</v>
      </c>
      <c r="G242" s="83" t="str">
        <f t="shared" si="14"/>
        <v>('29Oct240071','040000183942','14960',(select max(to_number(i.premium_rcv_detail_code))+1
from ins_premium_det i),'14960','14960','02', '11000003','00','Request by Mr. Omair Ali 30-Aug-2024');</v>
      </c>
      <c r="H242" s="84" t="str">
        <f t="shared" si="15"/>
        <v>insert into ins_premium_det (premium_rcv_code,assorted_code, rec_amount,premium_rcv_detail_code,remaining_amt, payrec, mode_code,coinsurance_code,class_cd,it_remarks) values('29Oct240071','040000183942','14960',(select max(to_number(i.premium_rcv_detail_code))+1
from ins_premium_det i),'14960','14960','02', '11000003','00','Request by Mr. Omair Ali 30-Aug-2024');</v>
      </c>
    </row>
    <row r="243" spans="1:8" ht="105" x14ac:dyDescent="0.25">
      <c r="A243" t="s">
        <v>381</v>
      </c>
      <c r="B243" s="80" t="str">
        <f>VLOOKUP(A243,policy!B:C,2,0)</f>
        <v>040000183944</v>
      </c>
      <c r="C243" s="46">
        <v>14960</v>
      </c>
      <c r="D243" s="81">
        <f t="shared" si="13"/>
        <v>14960</v>
      </c>
      <c r="E243" s="79" t="s">
        <v>3563</v>
      </c>
      <c r="F243" s="82" t="str">
        <f t="shared" si="12"/>
        <v>insert into ins_premium_det (premium_rcv_code,assorted_code, rec_amount,premium_rcv_detail_code,remaining_amt, payrec, mode_code,coinsurance_code,class_cd,it_remarks) values</v>
      </c>
      <c r="G243" s="83" t="str">
        <f t="shared" si="14"/>
        <v>('29Oct240071','040000183944','14960',(select max(to_number(i.premium_rcv_detail_code))+1
from ins_premium_det i),'14960','14960','02', '11000003','00','Request by Mr. Omair Ali 30-Aug-2024');</v>
      </c>
      <c r="H243" s="84" t="str">
        <f t="shared" si="15"/>
        <v>insert into ins_premium_det (premium_rcv_code,assorted_code, rec_amount,premium_rcv_detail_code,remaining_amt, payrec, mode_code,coinsurance_code,class_cd,it_remarks) values('29Oct240071','040000183944','14960',(select max(to_number(i.premium_rcv_detail_code))+1
from ins_premium_det i),'14960','14960','02', '11000003','00','Request by Mr. Omair Ali 30-Aug-2024');</v>
      </c>
    </row>
    <row r="244" spans="1:8" ht="105" x14ac:dyDescent="0.25">
      <c r="A244" t="s">
        <v>382</v>
      </c>
      <c r="B244" s="80" t="str">
        <f>VLOOKUP(A244,policy!B:C,2,0)</f>
        <v>040000183945</v>
      </c>
      <c r="C244" s="46">
        <v>23248</v>
      </c>
      <c r="D244" s="81">
        <f t="shared" si="13"/>
        <v>23248</v>
      </c>
      <c r="E244" s="79" t="s">
        <v>3563</v>
      </c>
      <c r="F244" s="82" t="str">
        <f t="shared" si="12"/>
        <v>insert into ins_premium_det (premium_rcv_code,assorted_code, rec_amount,premium_rcv_detail_code,remaining_amt, payrec, mode_code,coinsurance_code,class_cd,it_remarks) values</v>
      </c>
      <c r="G244" s="83" t="str">
        <f t="shared" si="14"/>
        <v>('29Oct240071','040000183945','23248',(select max(to_number(i.premium_rcv_detail_code))+1
from ins_premium_det i),'23248','23248','02', '11000003','00','Request by Mr. Omair Ali 30-Aug-2024');</v>
      </c>
      <c r="H244" s="84" t="str">
        <f t="shared" si="15"/>
        <v>insert into ins_premium_det (premium_rcv_code,assorted_code, rec_amount,premium_rcv_detail_code,remaining_amt, payrec, mode_code,coinsurance_code,class_cd,it_remarks) values('29Oct240071','040000183945','23248',(select max(to_number(i.premium_rcv_detail_code))+1
from ins_premium_det i),'23248','23248','02', '11000003','00','Request by Mr. Omair Ali 30-Aug-2024');</v>
      </c>
    </row>
    <row r="245" spans="1:8" ht="105" x14ac:dyDescent="0.25">
      <c r="A245" t="s">
        <v>383</v>
      </c>
      <c r="B245" s="80" t="str">
        <f>VLOOKUP(A245,policy!B:C,2,0)</f>
        <v>040000183946</v>
      </c>
      <c r="C245" s="46">
        <v>14960</v>
      </c>
      <c r="D245" s="81">
        <f t="shared" si="13"/>
        <v>14960</v>
      </c>
      <c r="E245" s="79" t="s">
        <v>3563</v>
      </c>
      <c r="F245" s="82" t="str">
        <f t="shared" si="12"/>
        <v>insert into ins_premium_det (premium_rcv_code,assorted_code, rec_amount,premium_rcv_detail_code,remaining_amt, payrec, mode_code,coinsurance_code,class_cd,it_remarks) values</v>
      </c>
      <c r="G245" s="83" t="str">
        <f t="shared" si="14"/>
        <v>('29Oct240071','040000183946','14960',(select max(to_number(i.premium_rcv_detail_code))+1
from ins_premium_det i),'14960','14960','02', '11000003','00','Request by Mr. Omair Ali 30-Aug-2024');</v>
      </c>
      <c r="H245" s="84" t="str">
        <f t="shared" si="15"/>
        <v>insert into ins_premium_det (premium_rcv_code,assorted_code, rec_amount,premium_rcv_detail_code,remaining_amt, payrec, mode_code,coinsurance_code,class_cd,it_remarks) values('29Oct240071','040000183946','14960',(select max(to_number(i.premium_rcv_detail_code))+1
from ins_premium_det i),'14960','14960','02', '11000003','00','Request by Mr. Omair Ali 30-Aug-2024');</v>
      </c>
    </row>
    <row r="246" spans="1:8" ht="105" x14ac:dyDescent="0.25">
      <c r="A246" t="s">
        <v>384</v>
      </c>
      <c r="B246" s="80" t="str">
        <f>VLOOKUP(A246,policy!B:C,2,0)</f>
        <v>040000183947</v>
      </c>
      <c r="C246" s="46">
        <v>14960</v>
      </c>
      <c r="D246" s="81">
        <f t="shared" si="13"/>
        <v>14960</v>
      </c>
      <c r="E246" s="79" t="s">
        <v>3563</v>
      </c>
      <c r="F246" s="82" t="str">
        <f t="shared" si="12"/>
        <v>insert into ins_premium_det (premium_rcv_code,assorted_code, rec_amount,premium_rcv_detail_code,remaining_amt, payrec, mode_code,coinsurance_code,class_cd,it_remarks) values</v>
      </c>
      <c r="G246" s="83" t="str">
        <f t="shared" si="14"/>
        <v>('29Oct240071','040000183947','14960',(select max(to_number(i.premium_rcv_detail_code))+1
from ins_premium_det i),'14960','14960','02', '11000003','00','Request by Mr. Omair Ali 30-Aug-2024');</v>
      </c>
      <c r="H246" s="84" t="str">
        <f t="shared" si="15"/>
        <v>insert into ins_premium_det (premium_rcv_code,assorted_code, rec_amount,premium_rcv_detail_code,remaining_amt, payrec, mode_code,coinsurance_code,class_cd,it_remarks) values('29Oct240071','040000183947','14960',(select max(to_number(i.premium_rcv_detail_code))+1
from ins_premium_det i),'14960','14960','02', '11000003','00','Request by Mr. Omair Ali 30-Aug-2024');</v>
      </c>
    </row>
    <row r="247" spans="1:8" ht="105" x14ac:dyDescent="0.25">
      <c r="A247" t="s">
        <v>385</v>
      </c>
      <c r="B247" s="80" t="str">
        <f>VLOOKUP(A247,policy!B:C,2,0)</f>
        <v>040000183948</v>
      </c>
      <c r="C247" s="46">
        <v>14960</v>
      </c>
      <c r="D247" s="81">
        <f t="shared" si="13"/>
        <v>14960</v>
      </c>
      <c r="E247" s="79" t="s">
        <v>3563</v>
      </c>
      <c r="F247" s="82" t="str">
        <f t="shared" si="12"/>
        <v>insert into ins_premium_det (premium_rcv_code,assorted_code, rec_amount,premium_rcv_detail_code,remaining_amt, payrec, mode_code,coinsurance_code,class_cd,it_remarks) values</v>
      </c>
      <c r="G247" s="83" t="str">
        <f t="shared" si="14"/>
        <v>('29Oct240071','040000183948','14960',(select max(to_number(i.premium_rcv_detail_code))+1
from ins_premium_det i),'14960','14960','02', '11000003','00','Request by Mr. Omair Ali 30-Aug-2024');</v>
      </c>
      <c r="H247" s="84" t="str">
        <f t="shared" si="15"/>
        <v>insert into ins_premium_det (premium_rcv_code,assorted_code, rec_amount,premium_rcv_detail_code,remaining_amt, payrec, mode_code,coinsurance_code,class_cd,it_remarks) values('29Oct240071','040000183948','14960',(select max(to_number(i.premium_rcv_detail_code))+1
from ins_premium_det i),'14960','14960','02', '11000003','00','Request by Mr. Omair Ali 30-Aug-2024');</v>
      </c>
    </row>
    <row r="248" spans="1:8" ht="105" x14ac:dyDescent="0.25">
      <c r="A248" t="s">
        <v>386</v>
      </c>
      <c r="B248" s="80" t="str">
        <f>VLOOKUP(A248,policy!B:C,2,0)</f>
        <v>040000183949</v>
      </c>
      <c r="C248" s="46">
        <v>14960</v>
      </c>
      <c r="D248" s="81">
        <f t="shared" si="13"/>
        <v>14960</v>
      </c>
      <c r="E248" s="79" t="s">
        <v>3563</v>
      </c>
      <c r="F248" s="82" t="str">
        <f t="shared" si="12"/>
        <v>insert into ins_premium_det (premium_rcv_code,assorted_code, rec_amount,premium_rcv_detail_code,remaining_amt, payrec, mode_code,coinsurance_code,class_cd,it_remarks) values</v>
      </c>
      <c r="G248" s="83" t="str">
        <f t="shared" si="14"/>
        <v>('29Oct240071','040000183949','14960',(select max(to_number(i.premium_rcv_detail_code))+1
from ins_premium_det i),'14960','14960','02', '11000003','00','Request by Mr. Omair Ali 30-Aug-2024');</v>
      </c>
      <c r="H248" s="84" t="str">
        <f t="shared" si="15"/>
        <v>insert into ins_premium_det (premium_rcv_code,assorted_code, rec_amount,premium_rcv_detail_code,remaining_amt, payrec, mode_code,coinsurance_code,class_cd,it_remarks) values('29Oct240071','040000183949','14960',(select max(to_number(i.premium_rcv_detail_code))+1
from ins_premium_det i),'14960','14960','02', '11000003','00','Request by Mr. Omair Ali 30-Aug-2024');</v>
      </c>
    </row>
    <row r="249" spans="1:8" ht="105" x14ac:dyDescent="0.25">
      <c r="A249" t="s">
        <v>387</v>
      </c>
      <c r="B249" s="80" t="str">
        <f>VLOOKUP(A249,policy!B:C,2,0)</f>
        <v>040000183950</v>
      </c>
      <c r="C249" s="46">
        <v>14960</v>
      </c>
      <c r="D249" s="81">
        <f t="shared" si="13"/>
        <v>14960</v>
      </c>
      <c r="E249" s="79" t="s">
        <v>3563</v>
      </c>
      <c r="F249" s="82" t="str">
        <f t="shared" si="12"/>
        <v>insert into ins_premium_det (premium_rcv_code,assorted_code, rec_amount,premium_rcv_detail_code,remaining_amt, payrec, mode_code,coinsurance_code,class_cd,it_remarks) values</v>
      </c>
      <c r="G249" s="83" t="str">
        <f t="shared" si="14"/>
        <v>('29Oct240071','040000183950','14960',(select max(to_number(i.premium_rcv_detail_code))+1
from ins_premium_det i),'14960','14960','02', '11000003','00','Request by Mr. Omair Ali 30-Aug-2024');</v>
      </c>
      <c r="H249" s="84" t="str">
        <f t="shared" si="15"/>
        <v>insert into ins_premium_det (premium_rcv_code,assorted_code, rec_amount,premium_rcv_detail_code,remaining_amt, payrec, mode_code,coinsurance_code,class_cd,it_remarks) values('29Oct240071','040000183950','14960',(select max(to_number(i.premium_rcv_detail_code))+1
from ins_premium_det i),'14960','14960','02', '11000003','00','Request by Mr. Omair Ali 30-Aug-2024');</v>
      </c>
    </row>
    <row r="250" spans="1:8" ht="105" x14ac:dyDescent="0.25">
      <c r="A250" t="s">
        <v>388</v>
      </c>
      <c r="B250" s="80" t="str">
        <f>VLOOKUP(A250,policy!B:C,2,0)</f>
        <v>040000183951</v>
      </c>
      <c r="C250" s="46">
        <v>14960</v>
      </c>
      <c r="D250" s="81">
        <f t="shared" si="13"/>
        <v>14960</v>
      </c>
      <c r="E250" s="79" t="s">
        <v>3563</v>
      </c>
      <c r="F250" s="82" t="str">
        <f t="shared" si="12"/>
        <v>insert into ins_premium_det (premium_rcv_code,assorted_code, rec_amount,premium_rcv_detail_code,remaining_amt, payrec, mode_code,coinsurance_code,class_cd,it_remarks) values</v>
      </c>
      <c r="G250" s="83" t="str">
        <f t="shared" si="14"/>
        <v>('29Oct240071','040000183951','14960',(select max(to_number(i.premium_rcv_detail_code))+1
from ins_premium_det i),'14960','14960','02', '11000003','00','Request by Mr. Omair Ali 30-Aug-2024');</v>
      </c>
      <c r="H250" s="84" t="str">
        <f t="shared" si="15"/>
        <v>insert into ins_premium_det (premium_rcv_code,assorted_code, rec_amount,premium_rcv_detail_code,remaining_amt, payrec, mode_code,coinsurance_code,class_cd,it_remarks) values('29Oct240071','040000183951','14960',(select max(to_number(i.premium_rcv_detail_code))+1
from ins_premium_det i),'14960','14960','02', '11000003','00','Request by Mr. Omair Ali 30-Aug-2024');</v>
      </c>
    </row>
    <row r="251" spans="1:8" ht="105" x14ac:dyDescent="0.25">
      <c r="A251" t="s">
        <v>389</v>
      </c>
      <c r="B251" s="80" t="str">
        <f>VLOOKUP(A251,policy!B:C,2,0)</f>
        <v>040000183952</v>
      </c>
      <c r="C251" s="46">
        <v>14960</v>
      </c>
      <c r="D251" s="81">
        <f t="shared" si="13"/>
        <v>14960</v>
      </c>
      <c r="E251" s="79" t="s">
        <v>3563</v>
      </c>
      <c r="F251" s="82" t="str">
        <f t="shared" si="12"/>
        <v>insert into ins_premium_det (premium_rcv_code,assorted_code, rec_amount,premium_rcv_detail_code,remaining_amt, payrec, mode_code,coinsurance_code,class_cd,it_remarks) values</v>
      </c>
      <c r="G251" s="83" t="str">
        <f t="shared" si="14"/>
        <v>('29Oct240071','040000183952','14960',(select max(to_number(i.premium_rcv_detail_code))+1
from ins_premium_det i),'14960','14960','02', '11000003','00','Request by Mr. Omair Ali 30-Aug-2024');</v>
      </c>
      <c r="H251" s="84" t="str">
        <f t="shared" si="15"/>
        <v>insert into ins_premium_det (premium_rcv_code,assorted_code, rec_amount,premium_rcv_detail_code,remaining_amt, payrec, mode_code,coinsurance_code,class_cd,it_remarks) values('29Oct240071','040000183952','14960',(select max(to_number(i.premium_rcv_detail_code))+1
from ins_premium_det i),'14960','14960','02', '11000003','00','Request by Mr. Omair Ali 30-Aug-2024');</v>
      </c>
    </row>
    <row r="252" spans="1:8" ht="105" x14ac:dyDescent="0.25">
      <c r="A252" t="s">
        <v>390</v>
      </c>
      <c r="B252" s="80" t="str">
        <f>VLOOKUP(A252,policy!B:C,2,0)</f>
        <v>040000183953</v>
      </c>
      <c r="C252" s="46">
        <v>16235</v>
      </c>
      <c r="D252" s="81">
        <f t="shared" si="13"/>
        <v>16235</v>
      </c>
      <c r="E252" s="79" t="s">
        <v>3563</v>
      </c>
      <c r="F252" s="82" t="str">
        <f t="shared" si="12"/>
        <v>insert into ins_premium_det (premium_rcv_code,assorted_code, rec_amount,premium_rcv_detail_code,remaining_amt, payrec, mode_code,coinsurance_code,class_cd,it_remarks) values</v>
      </c>
      <c r="G252" s="83" t="str">
        <f t="shared" si="14"/>
        <v>('29Oct240071','040000183953','16235',(select max(to_number(i.premium_rcv_detail_code))+1
from ins_premium_det i),'16235','16235','02', '11000003','00','Request by Mr. Omair Ali 30-Aug-2024');</v>
      </c>
      <c r="H252" s="84" t="str">
        <f t="shared" si="15"/>
        <v>insert into ins_premium_det (premium_rcv_code,assorted_code, rec_amount,premium_rcv_detail_code,remaining_amt, payrec, mode_code,coinsurance_code,class_cd,it_remarks) values('29Oct240071','040000183953','16235',(select max(to_number(i.premium_rcv_detail_code))+1
from ins_premium_det i),'16235','16235','02', '11000003','00','Request by Mr. Omair Ali 30-Aug-2024');</v>
      </c>
    </row>
    <row r="253" spans="1:8" ht="105" x14ac:dyDescent="0.25">
      <c r="A253" t="s">
        <v>391</v>
      </c>
      <c r="B253" s="80" t="str">
        <f>VLOOKUP(A253,policy!B:C,2,0)</f>
        <v>040000183954</v>
      </c>
      <c r="C253" s="46">
        <v>16235</v>
      </c>
      <c r="D253" s="81">
        <f t="shared" si="13"/>
        <v>16235</v>
      </c>
      <c r="E253" s="79" t="s">
        <v>3563</v>
      </c>
      <c r="F253" s="82" t="str">
        <f t="shared" si="12"/>
        <v>insert into ins_premium_det (premium_rcv_code,assorted_code, rec_amount,premium_rcv_detail_code,remaining_amt, payrec, mode_code,coinsurance_code,class_cd,it_remarks) values</v>
      </c>
      <c r="G253" s="83" t="str">
        <f t="shared" si="14"/>
        <v>('29Oct240071','040000183954','16235',(select max(to_number(i.premium_rcv_detail_code))+1
from ins_premium_det i),'16235','16235','02', '11000003','00','Request by Mr. Omair Ali 30-Aug-2024');</v>
      </c>
      <c r="H253" s="84" t="str">
        <f t="shared" si="15"/>
        <v>insert into ins_premium_det (premium_rcv_code,assorted_code, rec_amount,premium_rcv_detail_code,remaining_amt, payrec, mode_code,coinsurance_code,class_cd,it_remarks) values('29Oct240071','040000183954','16235',(select max(to_number(i.premium_rcv_detail_code))+1
from ins_premium_det i),'16235','16235','02', '11000003','00','Request by Mr. Omair Ali 30-Aug-2024');</v>
      </c>
    </row>
    <row r="254" spans="1:8" ht="105" x14ac:dyDescent="0.25">
      <c r="A254" t="s">
        <v>392</v>
      </c>
      <c r="B254" s="80" t="str">
        <f>VLOOKUP(A254,policy!B:C,2,0)</f>
        <v>040000183955</v>
      </c>
      <c r="C254" s="46">
        <v>14960</v>
      </c>
      <c r="D254" s="81">
        <f t="shared" si="13"/>
        <v>14960</v>
      </c>
      <c r="E254" s="79" t="s">
        <v>3563</v>
      </c>
      <c r="F254" s="82" t="str">
        <f t="shared" si="12"/>
        <v>insert into ins_premium_det (premium_rcv_code,assorted_code, rec_amount,premium_rcv_detail_code,remaining_amt, payrec, mode_code,coinsurance_code,class_cd,it_remarks) values</v>
      </c>
      <c r="G254" s="83" t="str">
        <f t="shared" si="14"/>
        <v>('29Oct240071','040000183955','14960',(select max(to_number(i.premium_rcv_detail_code))+1
from ins_premium_det i),'14960','14960','02', '11000003','00','Request by Mr. Omair Ali 30-Aug-2024');</v>
      </c>
      <c r="H254" s="84" t="str">
        <f t="shared" si="15"/>
        <v>insert into ins_premium_det (premium_rcv_code,assorted_code, rec_amount,premium_rcv_detail_code,remaining_amt, payrec, mode_code,coinsurance_code,class_cd,it_remarks) values('29Oct240071','040000183955','14960',(select max(to_number(i.premium_rcv_detail_code))+1
from ins_premium_det i),'14960','14960','02', '11000003','00','Request by Mr. Omair Ali 30-Aug-2024');</v>
      </c>
    </row>
    <row r="255" spans="1:8" ht="105" x14ac:dyDescent="0.25">
      <c r="A255" t="s">
        <v>393</v>
      </c>
      <c r="B255" s="80" t="str">
        <f>VLOOKUP(A255,policy!B:C,2,0)</f>
        <v>040000183956</v>
      </c>
      <c r="C255" s="46">
        <v>16235</v>
      </c>
      <c r="D255" s="81">
        <f t="shared" si="13"/>
        <v>16235</v>
      </c>
      <c r="E255" s="79" t="s">
        <v>3563</v>
      </c>
      <c r="F255" s="82" t="str">
        <f t="shared" si="12"/>
        <v>insert into ins_premium_det (premium_rcv_code,assorted_code, rec_amount,premium_rcv_detail_code,remaining_amt, payrec, mode_code,coinsurance_code,class_cd,it_remarks) values</v>
      </c>
      <c r="G255" s="83" t="str">
        <f t="shared" si="14"/>
        <v>('29Oct240071','040000183956','16235',(select max(to_number(i.premium_rcv_detail_code))+1
from ins_premium_det i),'16235','16235','02', '11000003','00','Request by Mr. Omair Ali 30-Aug-2024');</v>
      </c>
      <c r="H255" s="84" t="str">
        <f t="shared" si="15"/>
        <v>insert into ins_premium_det (premium_rcv_code,assorted_code, rec_amount,premium_rcv_detail_code,remaining_amt, payrec, mode_code,coinsurance_code,class_cd,it_remarks) values('29Oct240071','040000183956','16235',(select max(to_number(i.premium_rcv_detail_code))+1
from ins_premium_det i),'16235','16235','02', '11000003','00','Request by Mr. Omair Ali 30-Aug-2024');</v>
      </c>
    </row>
    <row r="256" spans="1:8" ht="105" x14ac:dyDescent="0.25">
      <c r="A256" t="s">
        <v>394</v>
      </c>
      <c r="B256" s="80" t="str">
        <f>VLOOKUP(A256,policy!B:C,2,0)</f>
        <v>040000183957</v>
      </c>
      <c r="C256" s="46">
        <v>16235</v>
      </c>
      <c r="D256" s="81">
        <f t="shared" si="13"/>
        <v>16235</v>
      </c>
      <c r="E256" s="79" t="s">
        <v>3563</v>
      </c>
      <c r="F256" s="82" t="str">
        <f t="shared" si="12"/>
        <v>insert into ins_premium_det (premium_rcv_code,assorted_code, rec_amount,premium_rcv_detail_code,remaining_amt, payrec, mode_code,coinsurance_code,class_cd,it_remarks) values</v>
      </c>
      <c r="G256" s="83" t="str">
        <f t="shared" si="14"/>
        <v>('29Oct240071','040000183957','16235',(select max(to_number(i.premium_rcv_detail_code))+1
from ins_premium_det i),'16235','16235','02', '11000003','00','Request by Mr. Omair Ali 30-Aug-2024');</v>
      </c>
      <c r="H256" s="84" t="str">
        <f t="shared" si="15"/>
        <v>insert into ins_premium_det (premium_rcv_code,assorted_code, rec_amount,premium_rcv_detail_code,remaining_amt, payrec, mode_code,coinsurance_code,class_cd,it_remarks) values('29Oct240071','040000183957','16235',(select max(to_number(i.premium_rcv_detail_code))+1
from ins_premium_det i),'16235','16235','02', '11000003','00','Request by Mr. Omair Ali 30-Aug-2024');</v>
      </c>
    </row>
    <row r="257" spans="1:8" ht="105" x14ac:dyDescent="0.25">
      <c r="A257" t="s">
        <v>395</v>
      </c>
      <c r="B257" s="80" t="str">
        <f>VLOOKUP(A257,policy!B:C,2,0)</f>
        <v>040000183958</v>
      </c>
      <c r="C257" s="46">
        <v>14960</v>
      </c>
      <c r="D257" s="81">
        <f t="shared" si="13"/>
        <v>14960</v>
      </c>
      <c r="E257" s="79" t="s">
        <v>3563</v>
      </c>
      <c r="F257" s="82" t="str">
        <f t="shared" si="12"/>
        <v>insert into ins_premium_det (premium_rcv_code,assorted_code, rec_amount,premium_rcv_detail_code,remaining_amt, payrec, mode_code,coinsurance_code,class_cd,it_remarks) values</v>
      </c>
      <c r="G257" s="83" t="str">
        <f t="shared" si="14"/>
        <v>('29Oct240071','040000183958','14960',(select max(to_number(i.premium_rcv_detail_code))+1
from ins_premium_det i),'14960','14960','02', '11000003','00','Request by Mr. Omair Ali 30-Aug-2024');</v>
      </c>
      <c r="H257" s="84" t="str">
        <f t="shared" si="15"/>
        <v>insert into ins_premium_det (premium_rcv_code,assorted_code, rec_amount,premium_rcv_detail_code,remaining_amt, payrec, mode_code,coinsurance_code,class_cd,it_remarks) values('29Oct240071','040000183958','14960',(select max(to_number(i.premium_rcv_detail_code))+1
from ins_premium_det i),'14960','14960','02', '11000003','00','Request by Mr. Omair Ali 30-Aug-2024');</v>
      </c>
    </row>
    <row r="258" spans="1:8" ht="105" x14ac:dyDescent="0.25">
      <c r="A258" t="s">
        <v>396</v>
      </c>
      <c r="B258" s="80" t="str">
        <f>VLOOKUP(A258,policy!B:C,2,0)</f>
        <v>040000183959</v>
      </c>
      <c r="C258" s="46">
        <v>14960</v>
      </c>
      <c r="D258" s="81">
        <f t="shared" si="13"/>
        <v>14960</v>
      </c>
      <c r="E258" s="79" t="s">
        <v>3563</v>
      </c>
      <c r="F258" s="82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83" t="str">
        <f t="shared" si="14"/>
        <v>('29Oct240071','040000183959','14960',(select max(to_number(i.premium_rcv_detail_code))+1
from ins_premium_det i),'14960','14960','02', '11000003','00','Request by Mr. Omair Ali 30-Aug-2024');</v>
      </c>
      <c r="H258" s="84" t="str">
        <f t="shared" si="15"/>
        <v>insert into ins_premium_det (premium_rcv_code,assorted_code, rec_amount,premium_rcv_detail_code,remaining_amt, payrec, mode_code,coinsurance_code,class_cd,it_remarks) values('29Oct240071','040000183959','14960',(select max(to_number(i.premium_rcv_detail_code))+1
from ins_premium_det i),'14960','14960','02', '11000003','00','Request by Mr. Omair Ali 30-Aug-2024');</v>
      </c>
    </row>
    <row r="259" spans="1:8" ht="105" x14ac:dyDescent="0.25">
      <c r="A259" t="s">
        <v>397</v>
      </c>
      <c r="B259" s="80" t="str">
        <f>VLOOKUP(A259,policy!B:C,2,0)</f>
        <v>040000183960</v>
      </c>
      <c r="C259" s="46">
        <v>14960</v>
      </c>
      <c r="D259" s="81">
        <f t="shared" ref="D259:D322" si="17">ROUND(C259,0)</f>
        <v>14960</v>
      </c>
      <c r="E259" s="79" t="s">
        <v>3563</v>
      </c>
      <c r="F259" s="82" t="str">
        <f t="shared" si="16"/>
        <v>insert into ins_premium_det (premium_rcv_code,assorted_code, rec_amount,premium_rcv_detail_code,remaining_amt, payrec, mode_code,coinsurance_code,class_cd,it_remarks) values</v>
      </c>
      <c r="G259" s="83" t="str">
        <f t="shared" ref="G259:G322" si="18">"('"&amp;E259&amp;"','"&amp;B259&amp;"','"&amp;D259&amp;"',(select max(to_number(i.premium_rcv_detail_code))+1
from ins_premium_det i),'"&amp;D259&amp;"','"&amp;D259&amp;"','02', '11000003','00','Request by Mr. Omair Ali 30-Aug-2024');"</f>
        <v>('29Oct240071','040000183960','14960',(select max(to_number(i.premium_rcv_detail_code))+1
from ins_premium_det i),'14960','14960','02', '11000003','00','Request by Mr. Omair Ali 30-Aug-2024');</v>
      </c>
      <c r="H259" s="84" t="str">
        <f t="shared" ref="H259:H322" si="19">F259&amp;G259</f>
        <v>insert into ins_premium_det (premium_rcv_code,assorted_code, rec_amount,premium_rcv_detail_code,remaining_amt, payrec, mode_code,coinsurance_code,class_cd,it_remarks) values('29Oct240071','040000183960','14960',(select max(to_number(i.premium_rcv_detail_code))+1
from ins_premium_det i),'14960','14960','02', '11000003','00','Request by Mr. Omair Ali 30-Aug-2024');</v>
      </c>
    </row>
    <row r="260" spans="1:8" ht="105" x14ac:dyDescent="0.25">
      <c r="A260" t="s">
        <v>398</v>
      </c>
      <c r="B260" s="80" t="str">
        <f>VLOOKUP(A260,policy!B:C,2,0)</f>
        <v>040000183961</v>
      </c>
      <c r="C260" s="46">
        <v>14960</v>
      </c>
      <c r="D260" s="81">
        <f t="shared" si="17"/>
        <v>14960</v>
      </c>
      <c r="E260" s="79" t="s">
        <v>3563</v>
      </c>
      <c r="F260" s="82" t="str">
        <f t="shared" si="16"/>
        <v>insert into ins_premium_det (premium_rcv_code,assorted_code, rec_amount,premium_rcv_detail_code,remaining_amt, payrec, mode_code,coinsurance_code,class_cd,it_remarks) values</v>
      </c>
      <c r="G260" s="83" t="str">
        <f t="shared" si="18"/>
        <v>('29Oct240071','040000183961','14960',(select max(to_number(i.premium_rcv_detail_code))+1
from ins_premium_det i),'14960','14960','02', '11000003','00','Request by Mr. Omair Ali 30-Aug-2024');</v>
      </c>
      <c r="H260" s="84" t="str">
        <f t="shared" si="19"/>
        <v>insert into ins_premium_det (premium_rcv_code,assorted_code, rec_amount,premium_rcv_detail_code,remaining_amt, payrec, mode_code,coinsurance_code,class_cd,it_remarks) values('29Oct240071','040000183961','14960',(select max(to_number(i.premium_rcv_detail_code))+1
from ins_premium_det i),'14960','14960','02', '11000003','00','Request by Mr. Omair Ali 30-Aug-2024');</v>
      </c>
    </row>
    <row r="261" spans="1:8" ht="105" x14ac:dyDescent="0.25">
      <c r="A261" t="s">
        <v>399</v>
      </c>
      <c r="B261" s="80" t="str">
        <f>VLOOKUP(A261,policy!B:C,2,0)</f>
        <v>040000183962</v>
      </c>
      <c r="C261" s="46">
        <v>14960</v>
      </c>
      <c r="D261" s="81">
        <f t="shared" si="17"/>
        <v>14960</v>
      </c>
      <c r="E261" s="79" t="s">
        <v>3563</v>
      </c>
      <c r="F261" s="82" t="str">
        <f t="shared" si="16"/>
        <v>insert into ins_premium_det (premium_rcv_code,assorted_code, rec_amount,premium_rcv_detail_code,remaining_amt, payrec, mode_code,coinsurance_code,class_cd,it_remarks) values</v>
      </c>
      <c r="G261" s="83" t="str">
        <f t="shared" si="18"/>
        <v>('29Oct240071','040000183962','14960',(select max(to_number(i.premium_rcv_detail_code))+1
from ins_premium_det i),'14960','14960','02', '11000003','00','Request by Mr. Omair Ali 30-Aug-2024');</v>
      </c>
      <c r="H261" s="84" t="str">
        <f t="shared" si="19"/>
        <v>insert into ins_premium_det (premium_rcv_code,assorted_code, rec_amount,premium_rcv_detail_code,remaining_amt, payrec, mode_code,coinsurance_code,class_cd,it_remarks) values('29Oct240071','040000183962','14960',(select max(to_number(i.premium_rcv_detail_code))+1
from ins_premium_det i),'14960','14960','02', '11000003','00','Request by Mr. Omair Ali 30-Aug-2024');</v>
      </c>
    </row>
    <row r="262" spans="1:8" ht="105" x14ac:dyDescent="0.25">
      <c r="A262" t="s">
        <v>400</v>
      </c>
      <c r="B262" s="80" t="str">
        <f>VLOOKUP(A262,policy!B:C,2,0)</f>
        <v>040000183974</v>
      </c>
      <c r="C262" s="46">
        <v>23248</v>
      </c>
      <c r="D262" s="81">
        <f t="shared" si="17"/>
        <v>23248</v>
      </c>
      <c r="E262" s="79" t="s">
        <v>3563</v>
      </c>
      <c r="F262" s="82" t="str">
        <f t="shared" si="16"/>
        <v>insert into ins_premium_det (premium_rcv_code,assorted_code, rec_amount,premium_rcv_detail_code,remaining_amt, payrec, mode_code,coinsurance_code,class_cd,it_remarks) values</v>
      </c>
      <c r="G262" s="83" t="str">
        <f t="shared" si="18"/>
        <v>('29Oct240071','040000183974','23248',(select max(to_number(i.premium_rcv_detail_code))+1
from ins_premium_det i),'23248','23248','02', '11000003','00','Request by Mr. Omair Ali 30-Aug-2024');</v>
      </c>
      <c r="H262" s="84" t="str">
        <f t="shared" si="19"/>
        <v>insert into ins_premium_det (premium_rcv_code,assorted_code, rec_amount,premium_rcv_detail_code,remaining_amt, payrec, mode_code,coinsurance_code,class_cd,it_remarks) values('29Oct240071','040000183974','23248',(select max(to_number(i.premium_rcv_detail_code))+1
from ins_premium_det i),'23248','23248','02', '11000003','00','Request by Mr. Omair Ali 30-Aug-2024');</v>
      </c>
    </row>
    <row r="263" spans="1:8" ht="105" x14ac:dyDescent="0.25">
      <c r="A263" t="s">
        <v>401</v>
      </c>
      <c r="B263" s="80" t="str">
        <f>VLOOKUP(A263,policy!B:C,2,0)</f>
        <v>040000183975</v>
      </c>
      <c r="C263" s="46">
        <v>23248</v>
      </c>
      <c r="D263" s="81">
        <f t="shared" si="17"/>
        <v>23248</v>
      </c>
      <c r="E263" s="79" t="s">
        <v>3563</v>
      </c>
      <c r="F263" s="82" t="str">
        <f t="shared" si="16"/>
        <v>insert into ins_premium_det (premium_rcv_code,assorted_code, rec_amount,premium_rcv_detail_code,remaining_amt, payrec, mode_code,coinsurance_code,class_cd,it_remarks) values</v>
      </c>
      <c r="G263" s="83" t="str">
        <f t="shared" si="18"/>
        <v>('29Oct240071','040000183975','23248',(select max(to_number(i.premium_rcv_detail_code))+1
from ins_premium_det i),'23248','23248','02', '11000003','00','Request by Mr. Omair Ali 30-Aug-2024');</v>
      </c>
      <c r="H263" s="84" t="str">
        <f t="shared" si="19"/>
        <v>insert into ins_premium_det (premium_rcv_code,assorted_code, rec_amount,premium_rcv_detail_code,remaining_amt, payrec, mode_code,coinsurance_code,class_cd,it_remarks) values('29Oct240071','040000183975','23248',(select max(to_number(i.premium_rcv_detail_code))+1
from ins_premium_det i),'23248','23248','02', '11000003','00','Request by Mr. Omair Ali 30-Aug-2024');</v>
      </c>
    </row>
    <row r="264" spans="1:8" ht="105" x14ac:dyDescent="0.25">
      <c r="A264" t="s">
        <v>402</v>
      </c>
      <c r="B264" s="80" t="str">
        <f>VLOOKUP(A264,policy!B:C,2,0)</f>
        <v>040000183985</v>
      </c>
      <c r="C264" s="46">
        <v>14960</v>
      </c>
      <c r="D264" s="81">
        <f t="shared" si="17"/>
        <v>14960</v>
      </c>
      <c r="E264" s="79" t="s">
        <v>3563</v>
      </c>
      <c r="F264" s="82" t="str">
        <f t="shared" si="16"/>
        <v>insert into ins_premium_det (premium_rcv_code,assorted_code, rec_amount,premium_rcv_detail_code,remaining_amt, payrec, mode_code,coinsurance_code,class_cd,it_remarks) values</v>
      </c>
      <c r="G264" s="83" t="str">
        <f t="shared" si="18"/>
        <v>('29Oct240071','040000183985','14960',(select max(to_number(i.premium_rcv_detail_code))+1
from ins_premium_det i),'14960','14960','02', '11000003','00','Request by Mr. Omair Ali 30-Aug-2024');</v>
      </c>
      <c r="H264" s="84" t="str">
        <f t="shared" si="19"/>
        <v>insert into ins_premium_det (premium_rcv_code,assorted_code, rec_amount,premium_rcv_detail_code,remaining_amt, payrec, mode_code,coinsurance_code,class_cd,it_remarks) values('29Oct240071','040000183985','14960',(select max(to_number(i.premium_rcv_detail_code))+1
from ins_premium_det i),'14960','14960','02', '11000003','00','Request by Mr. Omair Ali 30-Aug-2024');</v>
      </c>
    </row>
    <row r="265" spans="1:8" ht="105" x14ac:dyDescent="0.25">
      <c r="A265" t="s">
        <v>403</v>
      </c>
      <c r="B265" s="80" t="str">
        <f>VLOOKUP(A265,policy!B:C,2,0)</f>
        <v>040000183996</v>
      </c>
      <c r="C265" s="46">
        <v>14960</v>
      </c>
      <c r="D265" s="81">
        <f t="shared" si="17"/>
        <v>14960</v>
      </c>
      <c r="E265" s="79" t="s">
        <v>3563</v>
      </c>
      <c r="F265" s="82" t="str">
        <f t="shared" si="16"/>
        <v>insert into ins_premium_det (premium_rcv_code,assorted_code, rec_amount,premium_rcv_detail_code,remaining_amt, payrec, mode_code,coinsurance_code,class_cd,it_remarks) values</v>
      </c>
      <c r="G265" s="83" t="str">
        <f t="shared" si="18"/>
        <v>('29Oct240071','040000183996','14960',(select max(to_number(i.premium_rcv_detail_code))+1
from ins_premium_det i),'14960','14960','02', '11000003','00','Request by Mr. Omair Ali 30-Aug-2024');</v>
      </c>
      <c r="H265" s="84" t="str">
        <f t="shared" si="19"/>
        <v>insert into ins_premium_det (premium_rcv_code,assorted_code, rec_amount,premium_rcv_detail_code,remaining_amt, payrec, mode_code,coinsurance_code,class_cd,it_remarks) values('29Oct240071','040000183996','14960',(select max(to_number(i.premium_rcv_detail_code))+1
from ins_premium_det i),'14960','14960','02', '11000003','00','Request by Mr. Omair Ali 30-Aug-2024');</v>
      </c>
    </row>
    <row r="266" spans="1:8" ht="105" x14ac:dyDescent="0.25">
      <c r="A266" t="s">
        <v>404</v>
      </c>
      <c r="B266" s="80" t="str">
        <f>VLOOKUP(A266,policy!B:C,2,0)</f>
        <v>040000183997</v>
      </c>
      <c r="C266" s="46">
        <v>14960</v>
      </c>
      <c r="D266" s="81">
        <f t="shared" si="17"/>
        <v>14960</v>
      </c>
      <c r="E266" s="79" t="s">
        <v>3563</v>
      </c>
      <c r="F266" s="82" t="str">
        <f t="shared" si="16"/>
        <v>insert into ins_premium_det (premium_rcv_code,assorted_code, rec_amount,premium_rcv_detail_code,remaining_amt, payrec, mode_code,coinsurance_code,class_cd,it_remarks) values</v>
      </c>
      <c r="G266" s="83" t="str">
        <f t="shared" si="18"/>
        <v>('29Oct240071','040000183997','14960',(select max(to_number(i.premium_rcv_detail_code))+1
from ins_premium_det i),'14960','14960','02', '11000003','00','Request by Mr. Omair Ali 30-Aug-2024');</v>
      </c>
      <c r="H266" s="84" t="str">
        <f t="shared" si="19"/>
        <v>insert into ins_premium_det (premium_rcv_code,assorted_code, rec_amount,premium_rcv_detail_code,remaining_amt, payrec, mode_code,coinsurance_code,class_cd,it_remarks) values('29Oct240071','040000183997','14960',(select max(to_number(i.premium_rcv_detail_code))+1
from ins_premium_det i),'14960','14960','02', '11000003','00','Request by Mr. Omair Ali 30-Aug-2024');</v>
      </c>
    </row>
    <row r="267" spans="1:8" ht="105" x14ac:dyDescent="0.25">
      <c r="A267" t="s">
        <v>405</v>
      </c>
      <c r="B267" s="80" t="str">
        <f>VLOOKUP(A267,policy!B:C,2,0)</f>
        <v>040000183998</v>
      </c>
      <c r="C267" s="46">
        <v>14960</v>
      </c>
      <c r="D267" s="81">
        <f t="shared" si="17"/>
        <v>14960</v>
      </c>
      <c r="E267" s="79" t="s">
        <v>3563</v>
      </c>
      <c r="F267" s="82" t="str">
        <f t="shared" si="16"/>
        <v>insert into ins_premium_det (premium_rcv_code,assorted_code, rec_amount,premium_rcv_detail_code,remaining_amt, payrec, mode_code,coinsurance_code,class_cd,it_remarks) values</v>
      </c>
      <c r="G267" s="83" t="str">
        <f t="shared" si="18"/>
        <v>('29Oct240071','040000183998','14960',(select max(to_number(i.premium_rcv_detail_code))+1
from ins_premium_det i),'14960','14960','02', '11000003','00','Request by Mr. Omair Ali 30-Aug-2024');</v>
      </c>
      <c r="H267" s="84" t="str">
        <f t="shared" si="19"/>
        <v>insert into ins_premium_det (premium_rcv_code,assorted_code, rec_amount,premium_rcv_detail_code,remaining_amt, payrec, mode_code,coinsurance_code,class_cd,it_remarks) values('29Oct240071','040000183998','14960',(select max(to_number(i.premium_rcv_detail_code))+1
from ins_premium_det i),'14960','14960','02', '11000003','00','Request by Mr. Omair Ali 30-Aug-2024');</v>
      </c>
    </row>
    <row r="268" spans="1:8" ht="105" x14ac:dyDescent="0.25">
      <c r="A268" t="s">
        <v>406</v>
      </c>
      <c r="B268" s="80" t="str">
        <f>VLOOKUP(A268,policy!B:C,2,0)</f>
        <v>040000183999</v>
      </c>
      <c r="C268" s="46">
        <v>14960</v>
      </c>
      <c r="D268" s="81">
        <f t="shared" si="17"/>
        <v>14960</v>
      </c>
      <c r="E268" s="79" t="s">
        <v>3563</v>
      </c>
      <c r="F268" s="82" t="str">
        <f t="shared" si="16"/>
        <v>insert into ins_premium_det (premium_rcv_code,assorted_code, rec_amount,premium_rcv_detail_code,remaining_amt, payrec, mode_code,coinsurance_code,class_cd,it_remarks) values</v>
      </c>
      <c r="G268" s="83" t="str">
        <f t="shared" si="18"/>
        <v>('29Oct240071','040000183999','14960',(select max(to_number(i.premium_rcv_detail_code))+1
from ins_premium_det i),'14960','14960','02', '11000003','00','Request by Mr. Omair Ali 30-Aug-2024');</v>
      </c>
      <c r="H268" s="84" t="str">
        <f t="shared" si="19"/>
        <v>insert into ins_premium_det (premium_rcv_code,assorted_code, rec_amount,premium_rcv_detail_code,remaining_amt, payrec, mode_code,coinsurance_code,class_cd,it_remarks) values('29Oct240071','040000183999','14960',(select max(to_number(i.premium_rcv_detail_code))+1
from ins_premium_det i),'14960','14960','02', '11000003','00','Request by Mr. Omair Ali 30-Aug-2024');</v>
      </c>
    </row>
    <row r="269" spans="1:8" ht="105" x14ac:dyDescent="0.25">
      <c r="A269" t="s">
        <v>407</v>
      </c>
      <c r="B269" s="80" t="str">
        <f>VLOOKUP(A269,policy!B:C,2,0)</f>
        <v>040000184009</v>
      </c>
      <c r="C269" s="46">
        <v>14960</v>
      </c>
      <c r="D269" s="81">
        <f t="shared" si="17"/>
        <v>14960</v>
      </c>
      <c r="E269" s="79" t="s">
        <v>3563</v>
      </c>
      <c r="F269" s="82" t="str">
        <f t="shared" si="16"/>
        <v>insert into ins_premium_det (premium_rcv_code,assorted_code, rec_amount,premium_rcv_detail_code,remaining_amt, payrec, mode_code,coinsurance_code,class_cd,it_remarks) values</v>
      </c>
      <c r="G269" s="83" t="str">
        <f t="shared" si="18"/>
        <v>('29Oct240071','040000184009','14960',(select max(to_number(i.premium_rcv_detail_code))+1
from ins_premium_det i),'14960','14960','02', '11000003','00','Request by Mr. Omair Ali 30-Aug-2024');</v>
      </c>
      <c r="H269" s="84" t="str">
        <f t="shared" si="19"/>
        <v>insert into ins_premium_det (premium_rcv_code,assorted_code, rec_amount,premium_rcv_detail_code,remaining_amt, payrec, mode_code,coinsurance_code,class_cd,it_remarks) values('29Oct240071','040000184009','14960',(select max(to_number(i.premium_rcv_detail_code))+1
from ins_premium_det i),'14960','14960','02', '11000003','00','Request by Mr. Omair Ali 30-Aug-2024');</v>
      </c>
    </row>
    <row r="270" spans="1:8" ht="105" x14ac:dyDescent="0.25">
      <c r="A270" t="s">
        <v>408</v>
      </c>
      <c r="B270" s="80" t="str">
        <f>VLOOKUP(A270,policy!B:C,2,0)</f>
        <v>040000184010</v>
      </c>
      <c r="C270" s="46">
        <v>14960</v>
      </c>
      <c r="D270" s="81">
        <f t="shared" si="17"/>
        <v>14960</v>
      </c>
      <c r="E270" s="79" t="s">
        <v>3563</v>
      </c>
      <c r="F270" s="82" t="str">
        <f t="shared" si="16"/>
        <v>insert into ins_premium_det (premium_rcv_code,assorted_code, rec_amount,premium_rcv_detail_code,remaining_amt, payrec, mode_code,coinsurance_code,class_cd,it_remarks) values</v>
      </c>
      <c r="G270" s="83" t="str">
        <f t="shared" si="18"/>
        <v>('29Oct240071','040000184010','14960',(select max(to_number(i.premium_rcv_detail_code))+1
from ins_premium_det i),'14960','14960','02', '11000003','00','Request by Mr. Omair Ali 30-Aug-2024');</v>
      </c>
      <c r="H270" s="84" t="str">
        <f t="shared" si="19"/>
        <v>insert into ins_premium_det (premium_rcv_code,assorted_code, rec_amount,premium_rcv_detail_code,remaining_amt, payrec, mode_code,coinsurance_code,class_cd,it_remarks) values('29Oct240071','040000184010','14960',(select max(to_number(i.premium_rcv_detail_code))+1
from ins_premium_det i),'14960','14960','02', '11000003','00','Request by Mr. Omair Ali 30-Aug-2024');</v>
      </c>
    </row>
    <row r="271" spans="1:8" ht="105" x14ac:dyDescent="0.25">
      <c r="A271" t="s">
        <v>409</v>
      </c>
      <c r="B271" s="80" t="str">
        <f>VLOOKUP(A271,policy!B:C,2,0)</f>
        <v>040000184017</v>
      </c>
      <c r="C271" s="46">
        <v>8800</v>
      </c>
      <c r="D271" s="81">
        <f t="shared" si="17"/>
        <v>8800</v>
      </c>
      <c r="E271" s="79" t="s">
        <v>3563</v>
      </c>
      <c r="F271" s="82" t="str">
        <f t="shared" si="16"/>
        <v>insert into ins_premium_det (premium_rcv_code,assorted_code, rec_amount,premium_rcv_detail_code,remaining_amt, payrec, mode_code,coinsurance_code,class_cd,it_remarks) values</v>
      </c>
      <c r="G271" s="83" t="str">
        <f t="shared" si="18"/>
        <v>('29Oct240071','040000184017','8800',(select max(to_number(i.premium_rcv_detail_code))+1
from ins_premium_det i),'8800','8800','02', '11000003','00','Request by Mr. Omair Ali 30-Aug-2024');</v>
      </c>
      <c r="H271" s="84" t="str">
        <f t="shared" si="19"/>
        <v>insert into ins_premium_det (premium_rcv_code,assorted_code, rec_amount,premium_rcv_detail_code,remaining_amt, payrec, mode_code,coinsurance_code,class_cd,it_remarks) values('29Oct240071','040000184017','8800',(select max(to_number(i.premium_rcv_detail_code))+1
from ins_premium_det i),'8800','8800','02', '11000003','00','Request by Mr. Omair Ali 30-Aug-2024');</v>
      </c>
    </row>
    <row r="272" spans="1:8" ht="105" x14ac:dyDescent="0.25">
      <c r="A272" t="s">
        <v>410</v>
      </c>
      <c r="B272" s="80" t="str">
        <f>VLOOKUP(A272,policy!B:C,2,0)</f>
        <v>040000184018</v>
      </c>
      <c r="C272" s="46">
        <v>23248</v>
      </c>
      <c r="D272" s="81">
        <f t="shared" si="17"/>
        <v>23248</v>
      </c>
      <c r="E272" s="79" t="s">
        <v>3563</v>
      </c>
      <c r="F272" s="82" t="str">
        <f t="shared" si="16"/>
        <v>insert into ins_premium_det (premium_rcv_code,assorted_code, rec_amount,premium_rcv_detail_code,remaining_amt, payrec, mode_code,coinsurance_code,class_cd,it_remarks) values</v>
      </c>
      <c r="G272" s="83" t="str">
        <f t="shared" si="18"/>
        <v>('29Oct240071','040000184018','23248',(select max(to_number(i.premium_rcv_detail_code))+1
from ins_premium_det i),'23248','23248','02', '11000003','00','Request by Mr. Omair Ali 30-Aug-2024');</v>
      </c>
      <c r="H272" s="84" t="str">
        <f t="shared" si="19"/>
        <v>insert into ins_premium_det (premium_rcv_code,assorted_code, rec_amount,premium_rcv_detail_code,remaining_amt, payrec, mode_code,coinsurance_code,class_cd,it_remarks) values('29Oct240071','040000184018','23248',(select max(to_number(i.premium_rcv_detail_code))+1
from ins_premium_det i),'23248','23248','02', '11000003','00','Request by Mr. Omair Ali 30-Aug-2024');</v>
      </c>
    </row>
    <row r="273" spans="1:8" ht="105" x14ac:dyDescent="0.25">
      <c r="A273" t="s">
        <v>411</v>
      </c>
      <c r="B273" s="80" t="str">
        <f>VLOOKUP(A273,policy!B:C,2,0)</f>
        <v>040000184019</v>
      </c>
      <c r="C273" s="46">
        <v>16235</v>
      </c>
      <c r="D273" s="81">
        <f t="shared" si="17"/>
        <v>16235</v>
      </c>
      <c r="E273" s="79" t="s">
        <v>3563</v>
      </c>
      <c r="F273" s="82" t="str">
        <f t="shared" si="16"/>
        <v>insert into ins_premium_det (premium_rcv_code,assorted_code, rec_amount,premium_rcv_detail_code,remaining_amt, payrec, mode_code,coinsurance_code,class_cd,it_remarks) values</v>
      </c>
      <c r="G273" s="83" t="str">
        <f t="shared" si="18"/>
        <v>('29Oct240071','040000184019','16235',(select max(to_number(i.premium_rcv_detail_code))+1
from ins_premium_det i),'16235','16235','02', '11000003','00','Request by Mr. Omair Ali 30-Aug-2024');</v>
      </c>
      <c r="H273" s="84" t="str">
        <f t="shared" si="19"/>
        <v>insert into ins_premium_det (premium_rcv_code,assorted_code, rec_amount,premium_rcv_detail_code,remaining_amt, payrec, mode_code,coinsurance_code,class_cd,it_remarks) values('29Oct240071','040000184019','16235',(select max(to_number(i.premium_rcv_detail_code))+1
from ins_premium_det i),'16235','16235','02', '11000003','00','Request by Mr. Omair Ali 30-Aug-2024');</v>
      </c>
    </row>
    <row r="274" spans="1:8" ht="105" x14ac:dyDescent="0.25">
      <c r="A274" t="s">
        <v>412</v>
      </c>
      <c r="B274" s="80" t="str">
        <f>VLOOKUP(A274,policy!B:C,2,0)</f>
        <v>040000184020</v>
      </c>
      <c r="C274" s="46">
        <v>16235</v>
      </c>
      <c r="D274" s="81">
        <f t="shared" si="17"/>
        <v>16235</v>
      </c>
      <c r="E274" s="79" t="s">
        <v>3563</v>
      </c>
      <c r="F274" s="82" t="str">
        <f t="shared" si="16"/>
        <v>insert into ins_premium_det (premium_rcv_code,assorted_code, rec_amount,premium_rcv_detail_code,remaining_amt, payrec, mode_code,coinsurance_code,class_cd,it_remarks) values</v>
      </c>
      <c r="G274" s="83" t="str">
        <f t="shared" si="18"/>
        <v>('29Oct240071','040000184020','16235',(select max(to_number(i.premium_rcv_detail_code))+1
from ins_premium_det i),'16235','16235','02', '11000003','00','Request by Mr. Omair Ali 30-Aug-2024');</v>
      </c>
      <c r="H274" s="84" t="str">
        <f t="shared" si="19"/>
        <v>insert into ins_premium_det (premium_rcv_code,assorted_code, rec_amount,premium_rcv_detail_code,remaining_amt, payrec, mode_code,coinsurance_code,class_cd,it_remarks) values('29Oct240071','040000184020','16235',(select max(to_number(i.premium_rcv_detail_code))+1
from ins_premium_det i),'16235','16235','02', '11000003','00','Request by Mr. Omair Ali 30-Aug-2024');</v>
      </c>
    </row>
    <row r="275" spans="1:8" ht="105" x14ac:dyDescent="0.25">
      <c r="A275" t="s">
        <v>413</v>
      </c>
      <c r="B275" s="80" t="str">
        <f>VLOOKUP(A275,policy!B:C,2,0)</f>
        <v>040000184021</v>
      </c>
      <c r="C275" s="46">
        <v>14960</v>
      </c>
      <c r="D275" s="81">
        <f t="shared" si="17"/>
        <v>14960</v>
      </c>
      <c r="E275" s="79" t="s">
        <v>3563</v>
      </c>
      <c r="F275" s="82" t="str">
        <f t="shared" si="16"/>
        <v>insert into ins_premium_det (premium_rcv_code,assorted_code, rec_amount,premium_rcv_detail_code,remaining_amt, payrec, mode_code,coinsurance_code,class_cd,it_remarks) values</v>
      </c>
      <c r="G275" s="83" t="str">
        <f t="shared" si="18"/>
        <v>('29Oct240071','040000184021','14960',(select max(to_number(i.premium_rcv_detail_code))+1
from ins_premium_det i),'14960','14960','02', '11000003','00','Request by Mr. Omair Ali 30-Aug-2024');</v>
      </c>
      <c r="H275" s="84" t="str">
        <f t="shared" si="19"/>
        <v>insert into ins_premium_det (premium_rcv_code,assorted_code, rec_amount,premium_rcv_detail_code,remaining_amt, payrec, mode_code,coinsurance_code,class_cd,it_remarks) values('29Oct240071','040000184021','14960',(select max(to_number(i.premium_rcv_detail_code))+1
from ins_premium_det i),'14960','14960','02', '11000003','00','Request by Mr. Omair Ali 30-Aug-2024');</v>
      </c>
    </row>
    <row r="276" spans="1:8" ht="105" x14ac:dyDescent="0.25">
      <c r="A276" t="s">
        <v>414</v>
      </c>
      <c r="B276" s="80" t="str">
        <f>VLOOKUP(A276,policy!B:C,2,0)</f>
        <v>040000184023</v>
      </c>
      <c r="C276" s="46">
        <v>12475</v>
      </c>
      <c r="D276" s="81">
        <f t="shared" si="17"/>
        <v>12475</v>
      </c>
      <c r="E276" s="79" t="s">
        <v>3563</v>
      </c>
      <c r="F276" s="82" t="str">
        <f t="shared" si="16"/>
        <v>insert into ins_premium_det (premium_rcv_code,assorted_code, rec_amount,premium_rcv_detail_code,remaining_amt, payrec, mode_code,coinsurance_code,class_cd,it_remarks) values</v>
      </c>
      <c r="G276" s="83" t="str">
        <f t="shared" si="18"/>
        <v>('29Oct240071','040000184023','12475',(select max(to_number(i.premium_rcv_detail_code))+1
from ins_premium_det i),'12475','12475','02', '11000003','00','Request by Mr. Omair Ali 30-Aug-2024');</v>
      </c>
      <c r="H276" s="84" t="str">
        <f t="shared" si="19"/>
        <v>insert into ins_premium_det (premium_rcv_code,assorted_code, rec_amount,premium_rcv_detail_code,remaining_amt, payrec, mode_code,coinsurance_code,class_cd,it_remarks) values('29Oct240071','040000184023','12475',(select max(to_number(i.premium_rcv_detail_code))+1
from ins_premium_det i),'12475','12475','02', '11000003','00','Request by Mr. Omair Ali 30-Aug-2024');</v>
      </c>
    </row>
    <row r="277" spans="1:8" ht="105" x14ac:dyDescent="0.25">
      <c r="A277" t="s">
        <v>415</v>
      </c>
      <c r="B277" s="80" t="str">
        <f>VLOOKUP(A277,policy!B:C,2,0)</f>
        <v>040000184024</v>
      </c>
      <c r="C277" s="46">
        <v>8800</v>
      </c>
      <c r="D277" s="81">
        <f t="shared" si="17"/>
        <v>8800</v>
      </c>
      <c r="E277" s="79" t="s">
        <v>3563</v>
      </c>
      <c r="F277" s="82" t="str">
        <f t="shared" si="16"/>
        <v>insert into ins_premium_det (premium_rcv_code,assorted_code, rec_amount,premium_rcv_detail_code,remaining_amt, payrec, mode_code,coinsurance_code,class_cd,it_remarks) values</v>
      </c>
      <c r="G277" s="83" t="str">
        <f t="shared" si="18"/>
        <v>('29Oct240071','040000184024','8800',(select max(to_number(i.premium_rcv_detail_code))+1
from ins_premium_det i),'8800','8800','02', '11000003','00','Request by Mr. Omair Ali 30-Aug-2024');</v>
      </c>
      <c r="H277" s="84" t="str">
        <f t="shared" si="19"/>
        <v>insert into ins_premium_det (premium_rcv_code,assorted_code, rec_amount,premium_rcv_detail_code,remaining_amt, payrec, mode_code,coinsurance_code,class_cd,it_remarks) values('29Oct240071','040000184024','8800',(select max(to_number(i.premium_rcv_detail_code))+1
from ins_premium_det i),'8800','8800','02', '11000003','00','Request by Mr. Omair Ali 30-Aug-2024');</v>
      </c>
    </row>
    <row r="278" spans="1:8" ht="105" x14ac:dyDescent="0.25">
      <c r="A278" t="s">
        <v>416</v>
      </c>
      <c r="B278" s="80" t="str">
        <f>VLOOKUP(A278,policy!B:C,2,0)</f>
        <v>040000184025</v>
      </c>
      <c r="C278" s="46">
        <v>14960</v>
      </c>
      <c r="D278" s="81">
        <f t="shared" si="17"/>
        <v>14960</v>
      </c>
      <c r="E278" s="79" t="s">
        <v>3563</v>
      </c>
      <c r="F278" s="82" t="str">
        <f t="shared" si="16"/>
        <v>insert into ins_premium_det (premium_rcv_code,assorted_code, rec_amount,premium_rcv_detail_code,remaining_amt, payrec, mode_code,coinsurance_code,class_cd,it_remarks) values</v>
      </c>
      <c r="G278" s="83" t="str">
        <f t="shared" si="18"/>
        <v>('29Oct240071','040000184025','14960',(select max(to_number(i.premium_rcv_detail_code))+1
from ins_premium_det i),'14960','14960','02', '11000003','00','Request by Mr. Omair Ali 30-Aug-2024');</v>
      </c>
      <c r="H278" s="84" t="str">
        <f t="shared" si="19"/>
        <v>insert into ins_premium_det (premium_rcv_code,assorted_code, rec_amount,premium_rcv_detail_code,remaining_amt, payrec, mode_code,coinsurance_code,class_cd,it_remarks) values('29Oct240071','040000184025','14960',(select max(to_number(i.premium_rcv_detail_code))+1
from ins_premium_det i),'14960','14960','02', '11000003','00','Request by Mr. Omair Ali 30-Aug-2024');</v>
      </c>
    </row>
    <row r="279" spans="1:8" ht="105" x14ac:dyDescent="0.25">
      <c r="A279" t="s">
        <v>417</v>
      </c>
      <c r="B279" s="80" t="str">
        <f>VLOOKUP(A279,policy!B:C,2,0)</f>
        <v>040000184027</v>
      </c>
      <c r="C279" s="46">
        <v>14960</v>
      </c>
      <c r="D279" s="81">
        <f t="shared" si="17"/>
        <v>14960</v>
      </c>
      <c r="E279" s="79" t="s">
        <v>3563</v>
      </c>
      <c r="F279" s="82" t="str">
        <f t="shared" si="16"/>
        <v>insert into ins_premium_det (premium_rcv_code,assorted_code, rec_amount,premium_rcv_detail_code,remaining_amt, payrec, mode_code,coinsurance_code,class_cd,it_remarks) values</v>
      </c>
      <c r="G279" s="83" t="str">
        <f t="shared" si="18"/>
        <v>('29Oct240071','040000184027','14960',(select max(to_number(i.premium_rcv_detail_code))+1
from ins_premium_det i),'14960','14960','02', '11000003','00','Request by Mr. Omair Ali 30-Aug-2024');</v>
      </c>
      <c r="H279" s="84" t="str">
        <f t="shared" si="19"/>
        <v>insert into ins_premium_det (premium_rcv_code,assorted_code, rec_amount,premium_rcv_detail_code,remaining_amt, payrec, mode_code,coinsurance_code,class_cd,it_remarks) values('29Oct240071','040000184027','14960',(select max(to_number(i.premium_rcv_detail_code))+1
from ins_premium_det i),'14960','14960','02', '11000003','00','Request by Mr. Omair Ali 30-Aug-2024');</v>
      </c>
    </row>
    <row r="280" spans="1:8" ht="105" x14ac:dyDescent="0.25">
      <c r="A280" t="s">
        <v>418</v>
      </c>
      <c r="B280" s="80" t="str">
        <f>VLOOKUP(A280,policy!B:C,2,0)</f>
        <v>040000184028</v>
      </c>
      <c r="C280" s="46">
        <v>9550</v>
      </c>
      <c r="D280" s="81">
        <f t="shared" si="17"/>
        <v>9550</v>
      </c>
      <c r="E280" s="79" t="s">
        <v>3563</v>
      </c>
      <c r="F280" s="82" t="str">
        <f t="shared" si="16"/>
        <v>insert into ins_premium_det (premium_rcv_code,assorted_code, rec_amount,premium_rcv_detail_code,remaining_amt, payrec, mode_code,coinsurance_code,class_cd,it_remarks) values</v>
      </c>
      <c r="G280" s="83" t="str">
        <f t="shared" si="18"/>
        <v>('29Oct240071','040000184028','9550',(select max(to_number(i.premium_rcv_detail_code))+1
from ins_premium_det i),'9550','9550','02', '11000003','00','Request by Mr. Omair Ali 30-Aug-2024');</v>
      </c>
      <c r="H280" s="84" t="str">
        <f t="shared" si="19"/>
        <v>insert into ins_premium_det (premium_rcv_code,assorted_code, rec_amount,premium_rcv_detail_code,remaining_amt, payrec, mode_code,coinsurance_code,class_cd,it_remarks) values('29Oct240071','040000184028','9550',(select max(to_number(i.premium_rcv_detail_code))+1
from ins_premium_det i),'9550','9550','02', '11000003','00','Request by Mr. Omair Ali 30-Aug-2024');</v>
      </c>
    </row>
    <row r="281" spans="1:8" ht="105" x14ac:dyDescent="0.25">
      <c r="A281" t="s">
        <v>419</v>
      </c>
      <c r="B281" s="80" t="str">
        <f>VLOOKUP(A281,policy!B:C,2,0)</f>
        <v>040000184029</v>
      </c>
      <c r="C281" s="46">
        <v>21208</v>
      </c>
      <c r="D281" s="81">
        <f t="shared" si="17"/>
        <v>21208</v>
      </c>
      <c r="E281" s="79" t="s">
        <v>3563</v>
      </c>
      <c r="F281" s="82" t="str">
        <f t="shared" si="16"/>
        <v>insert into ins_premium_det (premium_rcv_code,assorted_code, rec_amount,premium_rcv_detail_code,remaining_amt, payrec, mode_code,coinsurance_code,class_cd,it_remarks) values</v>
      </c>
      <c r="G281" s="83" t="str">
        <f t="shared" si="18"/>
        <v>('29Oct240071','040000184029','21208',(select max(to_number(i.premium_rcv_detail_code))+1
from ins_premium_det i),'21208','21208','02', '11000003','00','Request by Mr. Omair Ali 30-Aug-2024');</v>
      </c>
      <c r="H281" s="84" t="str">
        <f t="shared" si="19"/>
        <v>insert into ins_premium_det (premium_rcv_code,assorted_code, rec_amount,premium_rcv_detail_code,remaining_amt, payrec, mode_code,coinsurance_code,class_cd,it_remarks) values('29Oct240071','040000184029','21208',(select max(to_number(i.premium_rcv_detail_code))+1
from ins_premium_det i),'21208','21208','02', '11000003','00','Request by Mr. Omair Ali 30-Aug-2024');</v>
      </c>
    </row>
    <row r="282" spans="1:8" ht="105" x14ac:dyDescent="0.25">
      <c r="A282" t="s">
        <v>420</v>
      </c>
      <c r="B282" s="80" t="str">
        <f>VLOOKUP(A282,policy!B:C,2,0)</f>
        <v>040000184030</v>
      </c>
      <c r="C282" s="46">
        <v>8800</v>
      </c>
      <c r="D282" s="81">
        <f t="shared" si="17"/>
        <v>8800</v>
      </c>
      <c r="E282" s="79" t="s">
        <v>3563</v>
      </c>
      <c r="F282" s="82" t="str">
        <f t="shared" si="16"/>
        <v>insert into ins_premium_det (premium_rcv_code,assorted_code, rec_amount,premium_rcv_detail_code,remaining_amt, payrec, mode_code,coinsurance_code,class_cd,it_remarks) values</v>
      </c>
      <c r="G282" s="83" t="str">
        <f t="shared" si="18"/>
        <v>('29Oct240071','040000184030','8800',(select max(to_number(i.premium_rcv_detail_code))+1
from ins_premium_det i),'8800','8800','02', '11000003','00','Request by Mr. Omair Ali 30-Aug-2024');</v>
      </c>
      <c r="H282" s="84" t="str">
        <f t="shared" si="19"/>
        <v>insert into ins_premium_det (premium_rcv_code,assorted_code, rec_amount,premium_rcv_detail_code,remaining_amt, payrec, mode_code,coinsurance_code,class_cd,it_remarks) values('29Oct240071','040000184030','8800',(select max(to_number(i.premium_rcv_detail_code))+1
from ins_premium_det i),'8800','8800','02', '11000003','00','Request by Mr. Omair Ali 30-Aug-2024');</v>
      </c>
    </row>
    <row r="283" spans="1:8" ht="105" x14ac:dyDescent="0.25">
      <c r="A283" t="s">
        <v>421</v>
      </c>
      <c r="B283" s="80" t="str">
        <f>VLOOKUP(A283,policy!B:C,2,0)</f>
        <v>040000184032</v>
      </c>
      <c r="C283" s="46">
        <v>12475</v>
      </c>
      <c r="D283" s="81">
        <f t="shared" si="17"/>
        <v>12475</v>
      </c>
      <c r="E283" s="79" t="s">
        <v>3563</v>
      </c>
      <c r="F283" s="82" t="str">
        <f t="shared" si="16"/>
        <v>insert into ins_premium_det (premium_rcv_code,assorted_code, rec_amount,premium_rcv_detail_code,remaining_amt, payrec, mode_code,coinsurance_code,class_cd,it_remarks) values</v>
      </c>
      <c r="G283" s="83" t="str">
        <f t="shared" si="18"/>
        <v>('29Oct240071','040000184032','12475',(select max(to_number(i.premium_rcv_detail_code))+1
from ins_premium_det i),'12475','12475','02', '11000003','00','Request by Mr. Omair Ali 30-Aug-2024');</v>
      </c>
      <c r="H283" s="84" t="str">
        <f t="shared" si="19"/>
        <v>insert into ins_premium_det (premium_rcv_code,assorted_code, rec_amount,premium_rcv_detail_code,remaining_amt, payrec, mode_code,coinsurance_code,class_cd,it_remarks) values('29Oct240071','040000184032','12475',(select max(to_number(i.premium_rcv_detail_code))+1
from ins_premium_det i),'12475','12475','02', '11000003','00','Request by Mr. Omair Ali 30-Aug-2024');</v>
      </c>
    </row>
    <row r="284" spans="1:8" ht="105" x14ac:dyDescent="0.25">
      <c r="A284" t="s">
        <v>422</v>
      </c>
      <c r="B284" s="80" t="str">
        <f>VLOOKUP(A284,policy!B:C,2,0)</f>
        <v>040000184033</v>
      </c>
      <c r="C284" s="46">
        <v>16235</v>
      </c>
      <c r="D284" s="81">
        <f t="shared" si="17"/>
        <v>16235</v>
      </c>
      <c r="E284" s="79" t="s">
        <v>3563</v>
      </c>
      <c r="F284" s="82" t="str">
        <f t="shared" si="16"/>
        <v>insert into ins_premium_det (premium_rcv_code,assorted_code, rec_amount,premium_rcv_detail_code,remaining_amt, payrec, mode_code,coinsurance_code,class_cd,it_remarks) values</v>
      </c>
      <c r="G284" s="83" t="str">
        <f t="shared" si="18"/>
        <v>('29Oct240071','040000184033','16235',(select max(to_number(i.premium_rcv_detail_code))+1
from ins_premium_det i),'16235','16235','02', '11000003','00','Request by Mr. Omair Ali 30-Aug-2024');</v>
      </c>
      <c r="H284" s="84" t="str">
        <f t="shared" si="19"/>
        <v>insert into ins_premium_det (premium_rcv_code,assorted_code, rec_amount,premium_rcv_detail_code,remaining_amt, payrec, mode_code,coinsurance_code,class_cd,it_remarks) values('29Oct240071','040000184033','16235',(select max(to_number(i.premium_rcv_detail_code))+1
from ins_premium_det i),'16235','16235','02', '11000003','00','Request by Mr. Omair Ali 30-Aug-2024');</v>
      </c>
    </row>
    <row r="285" spans="1:8" ht="105" x14ac:dyDescent="0.25">
      <c r="A285" t="s">
        <v>423</v>
      </c>
      <c r="B285" s="80" t="str">
        <f>VLOOKUP(A285,policy!B:C,2,0)</f>
        <v>040000184036</v>
      </c>
      <c r="C285" s="46">
        <v>8800</v>
      </c>
      <c r="D285" s="81">
        <f t="shared" si="17"/>
        <v>8800</v>
      </c>
      <c r="E285" s="79" t="s">
        <v>3563</v>
      </c>
      <c r="F285" s="82" t="str">
        <f t="shared" si="16"/>
        <v>insert into ins_premium_det (premium_rcv_code,assorted_code, rec_amount,premium_rcv_detail_code,remaining_amt, payrec, mode_code,coinsurance_code,class_cd,it_remarks) values</v>
      </c>
      <c r="G285" s="83" t="str">
        <f t="shared" si="18"/>
        <v>('29Oct240071','040000184036','8800',(select max(to_number(i.premium_rcv_detail_code))+1
from ins_premium_det i),'8800','8800','02', '11000003','00','Request by Mr. Omair Ali 30-Aug-2024');</v>
      </c>
      <c r="H285" s="84" t="str">
        <f t="shared" si="19"/>
        <v>insert into ins_premium_det (premium_rcv_code,assorted_code, rec_amount,premium_rcv_detail_code,remaining_amt, payrec, mode_code,coinsurance_code,class_cd,it_remarks) values('29Oct240071','040000184036','8800',(select max(to_number(i.premium_rcv_detail_code))+1
from ins_premium_det i),'8800','8800','02', '11000003','00','Request by Mr. Omair Ali 30-Aug-2024');</v>
      </c>
    </row>
    <row r="286" spans="1:8" ht="105" x14ac:dyDescent="0.25">
      <c r="A286" t="s">
        <v>424</v>
      </c>
      <c r="B286" s="80" t="str">
        <f>VLOOKUP(A286,policy!B:C,2,0)</f>
        <v>040000184038</v>
      </c>
      <c r="C286" s="46">
        <v>8800</v>
      </c>
      <c r="D286" s="81">
        <f t="shared" si="17"/>
        <v>8800</v>
      </c>
      <c r="E286" s="79" t="s">
        <v>3563</v>
      </c>
      <c r="F286" s="82" t="str">
        <f t="shared" si="16"/>
        <v>insert into ins_premium_det (premium_rcv_code,assorted_code, rec_amount,premium_rcv_detail_code,remaining_amt, payrec, mode_code,coinsurance_code,class_cd,it_remarks) values</v>
      </c>
      <c r="G286" s="83" t="str">
        <f t="shared" si="18"/>
        <v>('29Oct240071','040000184038','8800',(select max(to_number(i.premium_rcv_detail_code))+1
from ins_premium_det i),'8800','8800','02', '11000003','00','Request by Mr. Omair Ali 30-Aug-2024');</v>
      </c>
      <c r="H286" s="84" t="str">
        <f t="shared" si="19"/>
        <v>insert into ins_premium_det (premium_rcv_code,assorted_code, rec_amount,premium_rcv_detail_code,remaining_amt, payrec, mode_code,coinsurance_code,class_cd,it_remarks) values('29Oct240071','040000184038','8800',(select max(to_number(i.premium_rcv_detail_code))+1
from ins_premium_det i),'8800','8800','02', '11000003','00','Request by Mr. Omair Ali 30-Aug-2024');</v>
      </c>
    </row>
    <row r="287" spans="1:8" ht="105" x14ac:dyDescent="0.25">
      <c r="A287" t="s">
        <v>425</v>
      </c>
      <c r="B287" s="80" t="str">
        <f>VLOOKUP(A287,policy!B:C,2,0)</f>
        <v>040000184040</v>
      </c>
      <c r="C287" s="46">
        <v>8800</v>
      </c>
      <c r="D287" s="81">
        <f t="shared" si="17"/>
        <v>8800</v>
      </c>
      <c r="E287" s="79" t="s">
        <v>3563</v>
      </c>
      <c r="F287" s="82" t="str">
        <f t="shared" si="16"/>
        <v>insert into ins_premium_det (premium_rcv_code,assorted_code, rec_amount,premium_rcv_detail_code,remaining_amt, payrec, mode_code,coinsurance_code,class_cd,it_remarks) values</v>
      </c>
      <c r="G287" s="83" t="str">
        <f t="shared" si="18"/>
        <v>('29Oct240071','040000184040','8800',(select max(to_number(i.premium_rcv_detail_code))+1
from ins_premium_det i),'8800','8800','02', '11000003','00','Request by Mr. Omair Ali 30-Aug-2024');</v>
      </c>
      <c r="H287" s="84" t="str">
        <f t="shared" si="19"/>
        <v>insert into ins_premium_det (premium_rcv_code,assorted_code, rec_amount,premium_rcv_detail_code,remaining_amt, payrec, mode_code,coinsurance_code,class_cd,it_remarks) values('29Oct240071','040000184040','8800',(select max(to_number(i.premium_rcv_detail_code))+1
from ins_premium_det i),'8800','8800','02', '11000003','00','Request by Mr. Omair Ali 30-Aug-2024');</v>
      </c>
    </row>
    <row r="288" spans="1:8" ht="105" x14ac:dyDescent="0.25">
      <c r="A288" t="s">
        <v>426</v>
      </c>
      <c r="B288" s="80" t="str">
        <f>VLOOKUP(A288,policy!B:C,2,0)</f>
        <v>040000184041</v>
      </c>
      <c r="C288" s="46">
        <v>14960</v>
      </c>
      <c r="D288" s="81">
        <f t="shared" si="17"/>
        <v>14960</v>
      </c>
      <c r="E288" s="79" t="s">
        <v>3563</v>
      </c>
      <c r="F288" s="82" t="str">
        <f t="shared" si="16"/>
        <v>insert into ins_premium_det (premium_rcv_code,assorted_code, rec_amount,premium_rcv_detail_code,remaining_amt, payrec, mode_code,coinsurance_code,class_cd,it_remarks) values</v>
      </c>
      <c r="G288" s="83" t="str">
        <f t="shared" si="18"/>
        <v>('29Oct240071','040000184041','14960',(select max(to_number(i.premium_rcv_detail_code))+1
from ins_premium_det i),'14960','14960','02', '11000003','00','Request by Mr. Omair Ali 30-Aug-2024');</v>
      </c>
      <c r="H288" s="84" t="str">
        <f t="shared" si="19"/>
        <v>insert into ins_premium_det (premium_rcv_code,assorted_code, rec_amount,premium_rcv_detail_code,remaining_amt, payrec, mode_code,coinsurance_code,class_cd,it_remarks) values('29Oct240071','040000184041','14960',(select max(to_number(i.premium_rcv_detail_code))+1
from ins_premium_det i),'14960','14960','02', '11000003','00','Request by Mr. Omair Ali 30-Aug-2024');</v>
      </c>
    </row>
    <row r="289" spans="1:8" ht="105" x14ac:dyDescent="0.25">
      <c r="A289" t="s">
        <v>427</v>
      </c>
      <c r="B289" s="80" t="str">
        <f>VLOOKUP(A289,policy!B:C,2,0)</f>
        <v>040000184042</v>
      </c>
      <c r="C289" s="46">
        <v>16235</v>
      </c>
      <c r="D289" s="81">
        <f t="shared" si="17"/>
        <v>16235</v>
      </c>
      <c r="E289" s="79" t="s">
        <v>3563</v>
      </c>
      <c r="F289" s="82" t="str">
        <f t="shared" si="16"/>
        <v>insert into ins_premium_det (premium_rcv_code,assorted_code, rec_amount,premium_rcv_detail_code,remaining_amt, payrec, mode_code,coinsurance_code,class_cd,it_remarks) values</v>
      </c>
      <c r="G289" s="83" t="str">
        <f t="shared" si="18"/>
        <v>('29Oct240071','040000184042','16235',(select max(to_number(i.premium_rcv_detail_code))+1
from ins_premium_det i),'16235','16235','02', '11000003','00','Request by Mr. Omair Ali 30-Aug-2024');</v>
      </c>
      <c r="H289" s="84" t="str">
        <f t="shared" si="19"/>
        <v>insert into ins_premium_det (premium_rcv_code,assorted_code, rec_amount,premium_rcv_detail_code,remaining_amt, payrec, mode_code,coinsurance_code,class_cd,it_remarks) values('29Oct240071','040000184042','16235',(select max(to_number(i.premium_rcv_detail_code))+1
from ins_premium_det i),'16235','16235','02', '11000003','00','Request by Mr. Omair Ali 30-Aug-2024');</v>
      </c>
    </row>
    <row r="290" spans="1:8" ht="105" x14ac:dyDescent="0.25">
      <c r="A290" t="s">
        <v>428</v>
      </c>
      <c r="B290" s="80" t="str">
        <f>VLOOKUP(A290,policy!B:C,2,0)</f>
        <v>040000184043</v>
      </c>
      <c r="C290" s="46">
        <v>16235</v>
      </c>
      <c r="D290" s="81">
        <f t="shared" si="17"/>
        <v>16235</v>
      </c>
      <c r="E290" s="79" t="s">
        <v>3563</v>
      </c>
      <c r="F290" s="82" t="str">
        <f t="shared" si="16"/>
        <v>insert into ins_premium_det (premium_rcv_code,assorted_code, rec_amount,premium_rcv_detail_code,remaining_amt, payrec, mode_code,coinsurance_code,class_cd,it_remarks) values</v>
      </c>
      <c r="G290" s="83" t="str">
        <f t="shared" si="18"/>
        <v>('29Oct240071','040000184043','16235',(select max(to_number(i.premium_rcv_detail_code))+1
from ins_premium_det i),'16235','16235','02', '11000003','00','Request by Mr. Omair Ali 30-Aug-2024');</v>
      </c>
      <c r="H290" s="84" t="str">
        <f t="shared" si="19"/>
        <v>insert into ins_premium_det (premium_rcv_code,assorted_code, rec_amount,premium_rcv_detail_code,remaining_amt, payrec, mode_code,coinsurance_code,class_cd,it_remarks) values('29Oct240071','040000184043','16235',(select max(to_number(i.premium_rcv_detail_code))+1
from ins_premium_det i),'16235','16235','02', '11000003','00','Request by Mr. Omair Ali 30-Aug-2024');</v>
      </c>
    </row>
    <row r="291" spans="1:8" ht="105" x14ac:dyDescent="0.25">
      <c r="A291" t="s">
        <v>429</v>
      </c>
      <c r="B291" s="80" t="str">
        <f>VLOOKUP(A291,policy!B:C,2,0)</f>
        <v>040000184045</v>
      </c>
      <c r="C291" s="46">
        <v>8800</v>
      </c>
      <c r="D291" s="81">
        <f t="shared" si="17"/>
        <v>8800</v>
      </c>
      <c r="E291" s="79" t="s">
        <v>3563</v>
      </c>
      <c r="F291" s="82" t="str">
        <f t="shared" si="16"/>
        <v>insert into ins_premium_det (premium_rcv_code,assorted_code, rec_amount,premium_rcv_detail_code,remaining_amt, payrec, mode_code,coinsurance_code,class_cd,it_remarks) values</v>
      </c>
      <c r="G291" s="83" t="str">
        <f t="shared" si="18"/>
        <v>('29Oct240071','040000184045','8800',(select max(to_number(i.premium_rcv_detail_code))+1
from ins_premium_det i),'8800','8800','02', '11000003','00','Request by Mr. Omair Ali 30-Aug-2024');</v>
      </c>
      <c r="H291" s="84" t="str">
        <f t="shared" si="19"/>
        <v>insert into ins_premium_det (premium_rcv_code,assorted_code, rec_amount,premium_rcv_detail_code,remaining_amt, payrec, mode_code,coinsurance_code,class_cd,it_remarks) values('29Oct240071','040000184045','8800',(select max(to_number(i.premium_rcv_detail_code))+1
from ins_premium_det i),'8800','8800','02', '11000003','00','Request by Mr. Omair Ali 30-Aug-2024');</v>
      </c>
    </row>
    <row r="292" spans="1:8" ht="105" x14ac:dyDescent="0.25">
      <c r="A292" t="s">
        <v>430</v>
      </c>
      <c r="B292" s="80" t="str">
        <f>VLOOKUP(A292,policy!B:C,2,0)</f>
        <v>040000184046</v>
      </c>
      <c r="C292" s="46">
        <v>8800</v>
      </c>
      <c r="D292" s="81">
        <f t="shared" si="17"/>
        <v>8800</v>
      </c>
      <c r="E292" s="79" t="s">
        <v>3563</v>
      </c>
      <c r="F292" s="82" t="str">
        <f t="shared" si="16"/>
        <v>insert into ins_premium_det (premium_rcv_code,assorted_code, rec_amount,premium_rcv_detail_code,remaining_amt, payrec, mode_code,coinsurance_code,class_cd,it_remarks) values</v>
      </c>
      <c r="G292" s="83" t="str">
        <f t="shared" si="18"/>
        <v>('29Oct240071','040000184046','8800',(select max(to_number(i.premium_rcv_detail_code))+1
from ins_premium_det i),'8800','8800','02', '11000003','00','Request by Mr. Omair Ali 30-Aug-2024');</v>
      </c>
      <c r="H292" s="84" t="str">
        <f t="shared" si="19"/>
        <v>insert into ins_premium_det (premium_rcv_code,assorted_code, rec_amount,premium_rcv_detail_code,remaining_amt, payrec, mode_code,coinsurance_code,class_cd,it_remarks) values('29Oct240071','040000184046','8800',(select max(to_number(i.premium_rcv_detail_code))+1
from ins_premium_det i),'8800','8800','02', '11000003','00','Request by Mr. Omair Ali 30-Aug-2024');</v>
      </c>
    </row>
    <row r="293" spans="1:8" ht="105" x14ac:dyDescent="0.25">
      <c r="A293" t="s">
        <v>431</v>
      </c>
      <c r="B293" s="80" t="str">
        <f>VLOOKUP(A293,policy!B:C,2,0)</f>
        <v>040000184047</v>
      </c>
      <c r="C293" s="46">
        <v>16235</v>
      </c>
      <c r="D293" s="81">
        <f t="shared" si="17"/>
        <v>16235</v>
      </c>
      <c r="E293" s="79" t="s">
        <v>3563</v>
      </c>
      <c r="F293" s="82" t="str">
        <f t="shared" si="16"/>
        <v>insert into ins_premium_det (premium_rcv_code,assorted_code, rec_amount,premium_rcv_detail_code,remaining_amt, payrec, mode_code,coinsurance_code,class_cd,it_remarks) values</v>
      </c>
      <c r="G293" s="83" t="str">
        <f t="shared" si="18"/>
        <v>('29Oct240071','040000184047','16235',(select max(to_number(i.premium_rcv_detail_code))+1
from ins_premium_det i),'16235','16235','02', '11000003','00','Request by Mr. Omair Ali 30-Aug-2024');</v>
      </c>
      <c r="H293" s="84" t="str">
        <f t="shared" si="19"/>
        <v>insert into ins_premium_det (premium_rcv_code,assorted_code, rec_amount,premium_rcv_detail_code,remaining_amt, payrec, mode_code,coinsurance_code,class_cd,it_remarks) values('29Oct240071','040000184047','16235',(select max(to_number(i.premium_rcv_detail_code))+1
from ins_premium_det i),'16235','16235','02', '11000003','00','Request by Mr. Omair Ali 30-Aug-2024');</v>
      </c>
    </row>
    <row r="294" spans="1:8" ht="105" x14ac:dyDescent="0.25">
      <c r="A294" t="s">
        <v>432</v>
      </c>
      <c r="B294" s="80" t="str">
        <f>VLOOKUP(A294,policy!B:C,2,0)</f>
        <v>040000184048</v>
      </c>
      <c r="C294" s="46">
        <v>16235</v>
      </c>
      <c r="D294" s="81">
        <f t="shared" si="17"/>
        <v>16235</v>
      </c>
      <c r="E294" s="79" t="s">
        <v>3563</v>
      </c>
      <c r="F294" s="82" t="str">
        <f t="shared" si="16"/>
        <v>insert into ins_premium_det (premium_rcv_code,assorted_code, rec_amount,premium_rcv_detail_code,remaining_amt, payrec, mode_code,coinsurance_code,class_cd,it_remarks) values</v>
      </c>
      <c r="G294" s="83" t="str">
        <f t="shared" si="18"/>
        <v>('29Oct240071','040000184048','16235',(select max(to_number(i.premium_rcv_detail_code))+1
from ins_premium_det i),'16235','16235','02', '11000003','00','Request by Mr. Omair Ali 30-Aug-2024');</v>
      </c>
      <c r="H294" s="84" t="str">
        <f t="shared" si="19"/>
        <v>insert into ins_premium_det (premium_rcv_code,assorted_code, rec_amount,premium_rcv_detail_code,remaining_amt, payrec, mode_code,coinsurance_code,class_cd,it_remarks) values('29Oct240071','040000184048','16235',(select max(to_number(i.premium_rcv_detail_code))+1
from ins_premium_det i),'16235','16235','02', '11000003','00','Request by Mr. Omair Ali 30-Aug-2024');</v>
      </c>
    </row>
    <row r="295" spans="1:8" ht="105" x14ac:dyDescent="0.25">
      <c r="A295" t="s">
        <v>433</v>
      </c>
      <c r="B295" s="80" t="str">
        <f>VLOOKUP(A295,policy!B:C,2,0)</f>
        <v>040000184049</v>
      </c>
      <c r="C295" s="46">
        <v>14960</v>
      </c>
      <c r="D295" s="81">
        <f t="shared" si="17"/>
        <v>14960</v>
      </c>
      <c r="E295" s="79" t="s">
        <v>3563</v>
      </c>
      <c r="F295" s="82" t="str">
        <f t="shared" si="16"/>
        <v>insert into ins_premium_det (premium_rcv_code,assorted_code, rec_amount,premium_rcv_detail_code,remaining_amt, payrec, mode_code,coinsurance_code,class_cd,it_remarks) values</v>
      </c>
      <c r="G295" s="83" t="str">
        <f t="shared" si="18"/>
        <v>('29Oct240071','040000184049','14960',(select max(to_number(i.premium_rcv_detail_code))+1
from ins_premium_det i),'14960','14960','02', '11000003','00','Request by Mr. Omair Ali 30-Aug-2024');</v>
      </c>
      <c r="H295" s="84" t="str">
        <f t="shared" si="19"/>
        <v>insert into ins_premium_det (premium_rcv_code,assorted_code, rec_amount,premium_rcv_detail_code,remaining_amt, payrec, mode_code,coinsurance_code,class_cd,it_remarks) values('29Oct240071','040000184049','14960',(select max(to_number(i.premium_rcv_detail_code))+1
from ins_premium_det i),'14960','14960','02', '11000003','00','Request by Mr. Omair Ali 30-Aug-2024');</v>
      </c>
    </row>
    <row r="296" spans="1:8" ht="105" x14ac:dyDescent="0.25">
      <c r="A296" t="s">
        <v>434</v>
      </c>
      <c r="B296" s="80" t="str">
        <f>VLOOKUP(A296,policy!B:C,2,0)</f>
        <v>040000184050</v>
      </c>
      <c r="C296" s="46">
        <v>14960</v>
      </c>
      <c r="D296" s="81">
        <f t="shared" si="17"/>
        <v>14960</v>
      </c>
      <c r="E296" s="79" t="s">
        <v>3563</v>
      </c>
      <c r="F296" s="82" t="str">
        <f t="shared" si="16"/>
        <v>insert into ins_premium_det (premium_rcv_code,assorted_code, rec_amount,premium_rcv_detail_code,remaining_amt, payrec, mode_code,coinsurance_code,class_cd,it_remarks) values</v>
      </c>
      <c r="G296" s="83" t="str">
        <f t="shared" si="18"/>
        <v>('29Oct240071','040000184050','14960',(select max(to_number(i.premium_rcv_detail_code))+1
from ins_premium_det i),'14960','14960','02', '11000003','00','Request by Mr. Omair Ali 30-Aug-2024');</v>
      </c>
      <c r="H296" s="84" t="str">
        <f t="shared" si="19"/>
        <v>insert into ins_premium_det (premium_rcv_code,assorted_code, rec_amount,premium_rcv_detail_code,remaining_amt, payrec, mode_code,coinsurance_code,class_cd,it_remarks) values('29Oct240071','040000184050','14960',(select max(to_number(i.premium_rcv_detail_code))+1
from ins_premium_det i),'14960','14960','02', '11000003','00','Request by Mr. Omair Ali 30-Aug-2024');</v>
      </c>
    </row>
    <row r="297" spans="1:8" ht="105" x14ac:dyDescent="0.25">
      <c r="A297" t="s">
        <v>435</v>
      </c>
      <c r="B297" s="80" t="str">
        <f>VLOOKUP(A297,policy!B:C,2,0)</f>
        <v>040000184051</v>
      </c>
      <c r="C297" s="46">
        <v>14960</v>
      </c>
      <c r="D297" s="81">
        <f t="shared" si="17"/>
        <v>14960</v>
      </c>
      <c r="E297" s="79" t="s">
        <v>3563</v>
      </c>
      <c r="F297" s="82" t="str">
        <f t="shared" si="16"/>
        <v>insert into ins_premium_det (premium_rcv_code,assorted_code, rec_amount,premium_rcv_detail_code,remaining_amt, payrec, mode_code,coinsurance_code,class_cd,it_remarks) values</v>
      </c>
      <c r="G297" s="83" t="str">
        <f t="shared" si="18"/>
        <v>('29Oct240071','040000184051','14960',(select max(to_number(i.premium_rcv_detail_code))+1
from ins_premium_det i),'14960','14960','02', '11000003','00','Request by Mr. Omair Ali 30-Aug-2024');</v>
      </c>
      <c r="H297" s="84" t="str">
        <f t="shared" si="19"/>
        <v>insert into ins_premium_det (premium_rcv_code,assorted_code, rec_amount,premium_rcv_detail_code,remaining_amt, payrec, mode_code,coinsurance_code,class_cd,it_remarks) values('29Oct240071','040000184051','14960',(select max(to_number(i.premium_rcv_detail_code))+1
from ins_premium_det i),'14960','14960','02', '11000003','00','Request by Mr. Omair Ali 30-Aug-2024');</v>
      </c>
    </row>
    <row r="298" spans="1:8" ht="105" x14ac:dyDescent="0.25">
      <c r="A298" t="s">
        <v>436</v>
      </c>
      <c r="B298" s="80" t="str">
        <f>VLOOKUP(A298,policy!B:C,2,0)</f>
        <v>040000184052</v>
      </c>
      <c r="C298" s="46">
        <v>14960</v>
      </c>
      <c r="D298" s="81">
        <f t="shared" si="17"/>
        <v>14960</v>
      </c>
      <c r="E298" s="79" t="s">
        <v>3563</v>
      </c>
      <c r="F298" s="82" t="str">
        <f t="shared" si="16"/>
        <v>insert into ins_premium_det (premium_rcv_code,assorted_code, rec_amount,premium_rcv_detail_code,remaining_amt, payrec, mode_code,coinsurance_code,class_cd,it_remarks) values</v>
      </c>
      <c r="G298" s="83" t="str">
        <f t="shared" si="18"/>
        <v>('29Oct240071','040000184052','14960',(select max(to_number(i.premium_rcv_detail_code))+1
from ins_premium_det i),'14960','14960','02', '11000003','00','Request by Mr. Omair Ali 30-Aug-2024');</v>
      </c>
      <c r="H298" s="84" t="str">
        <f t="shared" si="19"/>
        <v>insert into ins_premium_det (premium_rcv_code,assorted_code, rec_amount,premium_rcv_detail_code,remaining_amt, payrec, mode_code,coinsurance_code,class_cd,it_remarks) values('29Oct240071','040000184052','14960',(select max(to_number(i.premium_rcv_detail_code))+1
from ins_premium_det i),'14960','14960','02', '11000003','00','Request by Mr. Omair Ali 30-Aug-2024');</v>
      </c>
    </row>
    <row r="299" spans="1:8" ht="105" x14ac:dyDescent="0.25">
      <c r="A299" t="s">
        <v>437</v>
      </c>
      <c r="B299" s="80" t="str">
        <f>VLOOKUP(A299,policy!B:C,2,0)</f>
        <v>040000184053</v>
      </c>
      <c r="C299" s="46">
        <v>14960</v>
      </c>
      <c r="D299" s="81">
        <f t="shared" si="17"/>
        <v>14960</v>
      </c>
      <c r="E299" s="79" t="s">
        <v>3563</v>
      </c>
      <c r="F299" s="82" t="str">
        <f t="shared" si="16"/>
        <v>insert into ins_premium_det (premium_rcv_code,assorted_code, rec_amount,premium_rcv_detail_code,remaining_amt, payrec, mode_code,coinsurance_code,class_cd,it_remarks) values</v>
      </c>
      <c r="G299" s="83" t="str">
        <f t="shared" si="18"/>
        <v>('29Oct240071','040000184053','14960',(select max(to_number(i.premium_rcv_detail_code))+1
from ins_premium_det i),'14960','14960','02', '11000003','00','Request by Mr. Omair Ali 30-Aug-2024');</v>
      </c>
      <c r="H299" s="84" t="str">
        <f t="shared" si="19"/>
        <v>insert into ins_premium_det (premium_rcv_code,assorted_code, rec_amount,premium_rcv_detail_code,remaining_amt, payrec, mode_code,coinsurance_code,class_cd,it_remarks) values('29Oct240071','040000184053','14960',(select max(to_number(i.premium_rcv_detail_code))+1
from ins_premium_det i),'14960','14960','02', '11000003','00','Request by Mr. Omair Ali 30-Aug-2024');</v>
      </c>
    </row>
    <row r="300" spans="1:8" ht="105" x14ac:dyDescent="0.25">
      <c r="A300" t="s">
        <v>438</v>
      </c>
      <c r="B300" s="80" t="str">
        <f>VLOOKUP(A300,policy!B:C,2,0)</f>
        <v>040000184054</v>
      </c>
      <c r="C300" s="46">
        <v>14960</v>
      </c>
      <c r="D300" s="81">
        <f t="shared" si="17"/>
        <v>14960</v>
      </c>
      <c r="E300" s="79" t="s">
        <v>3563</v>
      </c>
      <c r="F300" s="82" t="str">
        <f t="shared" si="16"/>
        <v>insert into ins_premium_det (premium_rcv_code,assorted_code, rec_amount,premium_rcv_detail_code,remaining_amt, payrec, mode_code,coinsurance_code,class_cd,it_remarks) values</v>
      </c>
      <c r="G300" s="83" t="str">
        <f t="shared" si="18"/>
        <v>('29Oct240071','040000184054','14960',(select max(to_number(i.premium_rcv_detail_code))+1
from ins_premium_det i),'14960','14960','02', '11000003','00','Request by Mr. Omair Ali 30-Aug-2024');</v>
      </c>
      <c r="H300" s="84" t="str">
        <f t="shared" si="19"/>
        <v>insert into ins_premium_det (premium_rcv_code,assorted_code, rec_amount,premium_rcv_detail_code,remaining_amt, payrec, mode_code,coinsurance_code,class_cd,it_remarks) values('29Oct240071','040000184054','14960',(select max(to_number(i.premium_rcv_detail_code))+1
from ins_premium_det i),'14960','14960','02', '11000003','00','Request by Mr. Omair Ali 30-Aug-2024');</v>
      </c>
    </row>
    <row r="301" spans="1:8" ht="105" x14ac:dyDescent="0.25">
      <c r="A301" t="s">
        <v>439</v>
      </c>
      <c r="B301" s="80" t="str">
        <f>VLOOKUP(A301,policy!B:C,2,0)</f>
        <v>040000184055</v>
      </c>
      <c r="C301" s="46">
        <v>14960</v>
      </c>
      <c r="D301" s="81">
        <f t="shared" si="17"/>
        <v>14960</v>
      </c>
      <c r="E301" s="79" t="s">
        <v>3563</v>
      </c>
      <c r="F301" s="82" t="str">
        <f t="shared" si="16"/>
        <v>insert into ins_premium_det (premium_rcv_code,assorted_code, rec_amount,premium_rcv_detail_code,remaining_amt, payrec, mode_code,coinsurance_code,class_cd,it_remarks) values</v>
      </c>
      <c r="G301" s="83" t="str">
        <f t="shared" si="18"/>
        <v>('29Oct240071','040000184055','14960',(select max(to_number(i.premium_rcv_detail_code))+1
from ins_premium_det i),'14960','14960','02', '11000003','00','Request by Mr. Omair Ali 30-Aug-2024');</v>
      </c>
      <c r="H301" s="84" t="str">
        <f t="shared" si="19"/>
        <v>insert into ins_premium_det (premium_rcv_code,assorted_code, rec_amount,premium_rcv_detail_code,remaining_amt, payrec, mode_code,coinsurance_code,class_cd,it_remarks) values('29Oct240071','040000184055','14960',(select max(to_number(i.premium_rcv_detail_code))+1
from ins_premium_det i),'14960','14960','02', '11000003','00','Request by Mr. Omair Ali 30-Aug-2024');</v>
      </c>
    </row>
    <row r="302" spans="1:8" ht="105" x14ac:dyDescent="0.25">
      <c r="A302" t="s">
        <v>440</v>
      </c>
      <c r="B302" s="80" t="str">
        <f>VLOOKUP(A302,policy!B:C,2,0)</f>
        <v>040000184056</v>
      </c>
      <c r="C302" s="46">
        <v>14960</v>
      </c>
      <c r="D302" s="81">
        <f t="shared" si="17"/>
        <v>14960</v>
      </c>
      <c r="E302" s="79" t="s">
        <v>3563</v>
      </c>
      <c r="F302" s="82" t="str">
        <f t="shared" si="16"/>
        <v>insert into ins_premium_det (premium_rcv_code,assorted_code, rec_amount,premium_rcv_detail_code,remaining_amt, payrec, mode_code,coinsurance_code,class_cd,it_remarks) values</v>
      </c>
      <c r="G302" s="83" t="str">
        <f t="shared" si="18"/>
        <v>('29Oct240071','040000184056','14960',(select max(to_number(i.premium_rcv_detail_code))+1
from ins_premium_det i),'14960','14960','02', '11000003','00','Request by Mr. Omair Ali 30-Aug-2024');</v>
      </c>
      <c r="H302" s="84" t="str">
        <f t="shared" si="19"/>
        <v>insert into ins_premium_det (premium_rcv_code,assorted_code, rec_amount,premium_rcv_detail_code,remaining_amt, payrec, mode_code,coinsurance_code,class_cd,it_remarks) values('29Oct240071','040000184056','14960',(select max(to_number(i.premium_rcv_detail_code))+1
from ins_premium_det i),'14960','14960','02', '11000003','00','Request by Mr. Omair Ali 30-Aug-2024');</v>
      </c>
    </row>
    <row r="303" spans="1:8" ht="105" x14ac:dyDescent="0.25">
      <c r="A303" t="s">
        <v>441</v>
      </c>
      <c r="B303" s="80" t="str">
        <f>VLOOKUP(A303,policy!B:C,2,0)</f>
        <v>040000184057</v>
      </c>
      <c r="C303" s="46">
        <v>14960</v>
      </c>
      <c r="D303" s="81">
        <f t="shared" si="17"/>
        <v>14960</v>
      </c>
      <c r="E303" s="79" t="s">
        <v>3563</v>
      </c>
      <c r="F303" s="82" t="str">
        <f t="shared" si="16"/>
        <v>insert into ins_premium_det (premium_rcv_code,assorted_code, rec_amount,premium_rcv_detail_code,remaining_amt, payrec, mode_code,coinsurance_code,class_cd,it_remarks) values</v>
      </c>
      <c r="G303" s="83" t="str">
        <f t="shared" si="18"/>
        <v>('29Oct240071','040000184057','14960',(select max(to_number(i.premium_rcv_detail_code))+1
from ins_premium_det i),'14960','14960','02', '11000003','00','Request by Mr. Omair Ali 30-Aug-2024');</v>
      </c>
      <c r="H303" s="84" t="str">
        <f t="shared" si="19"/>
        <v>insert into ins_premium_det (premium_rcv_code,assorted_code, rec_amount,premium_rcv_detail_code,remaining_amt, payrec, mode_code,coinsurance_code,class_cd,it_remarks) values('29Oct240071','040000184057','14960',(select max(to_number(i.premium_rcv_detail_code))+1
from ins_premium_det i),'14960','14960','02', '11000003','00','Request by Mr. Omair Ali 30-Aug-2024');</v>
      </c>
    </row>
    <row r="304" spans="1:8" ht="105" x14ac:dyDescent="0.25">
      <c r="A304" t="s">
        <v>442</v>
      </c>
      <c r="B304" s="80" t="str">
        <f>VLOOKUP(A304,policy!B:C,2,0)</f>
        <v>040000184058</v>
      </c>
      <c r="C304" s="46">
        <v>13675</v>
      </c>
      <c r="D304" s="81">
        <f t="shared" si="17"/>
        <v>13675</v>
      </c>
      <c r="E304" s="79" t="s">
        <v>3563</v>
      </c>
      <c r="F304" s="82" t="str">
        <f t="shared" si="16"/>
        <v>insert into ins_premium_det (premium_rcv_code,assorted_code, rec_amount,premium_rcv_detail_code,remaining_amt, payrec, mode_code,coinsurance_code,class_cd,it_remarks) values</v>
      </c>
      <c r="G304" s="83" t="str">
        <f t="shared" si="18"/>
        <v>('29Oct240071','040000184058','13675',(select max(to_number(i.premium_rcv_detail_code))+1
from ins_premium_det i),'13675','13675','02', '11000003','00','Request by Mr. Omair Ali 30-Aug-2024');</v>
      </c>
      <c r="H304" s="84" t="str">
        <f t="shared" si="19"/>
        <v>insert into ins_premium_det (premium_rcv_code,assorted_code, rec_amount,premium_rcv_detail_code,remaining_amt, payrec, mode_code,coinsurance_code,class_cd,it_remarks) values('29Oct240071','040000184058','13675',(select max(to_number(i.premium_rcv_detail_code))+1
from ins_premium_det i),'13675','13675','02', '11000003','00','Request by Mr. Omair Ali 30-Aug-2024');</v>
      </c>
    </row>
    <row r="305" spans="1:8" ht="105" x14ac:dyDescent="0.25">
      <c r="A305" t="s">
        <v>443</v>
      </c>
      <c r="B305" s="80" t="str">
        <f>VLOOKUP(A305,policy!B:C,2,0)</f>
        <v>040000184059</v>
      </c>
      <c r="C305" s="46">
        <v>14960</v>
      </c>
      <c r="D305" s="81">
        <f t="shared" si="17"/>
        <v>14960</v>
      </c>
      <c r="E305" s="79" t="s">
        <v>3563</v>
      </c>
      <c r="F305" s="82" t="str">
        <f t="shared" si="16"/>
        <v>insert into ins_premium_det (premium_rcv_code,assorted_code, rec_amount,premium_rcv_detail_code,remaining_amt, payrec, mode_code,coinsurance_code,class_cd,it_remarks) values</v>
      </c>
      <c r="G305" s="83" t="str">
        <f t="shared" si="18"/>
        <v>('29Oct240071','040000184059','14960',(select max(to_number(i.premium_rcv_detail_code))+1
from ins_premium_det i),'14960','14960','02', '11000003','00','Request by Mr. Omair Ali 30-Aug-2024');</v>
      </c>
      <c r="H305" s="84" t="str">
        <f t="shared" si="19"/>
        <v>insert into ins_premium_det (premium_rcv_code,assorted_code, rec_amount,premium_rcv_detail_code,remaining_amt, payrec, mode_code,coinsurance_code,class_cd,it_remarks) values('29Oct240071','040000184059','14960',(select max(to_number(i.premium_rcv_detail_code))+1
from ins_premium_det i),'14960','14960','02', '11000003','00','Request by Mr. Omair Ali 30-Aug-2024');</v>
      </c>
    </row>
    <row r="306" spans="1:8" ht="105" x14ac:dyDescent="0.25">
      <c r="A306" t="s">
        <v>444</v>
      </c>
      <c r="B306" s="80" t="str">
        <f>VLOOKUP(A306,policy!B:C,2,0)</f>
        <v>040000184060</v>
      </c>
      <c r="C306" s="46">
        <v>8800</v>
      </c>
      <c r="D306" s="81">
        <f t="shared" si="17"/>
        <v>8800</v>
      </c>
      <c r="E306" s="79" t="s">
        <v>3563</v>
      </c>
      <c r="F306" s="82" t="str">
        <f t="shared" si="16"/>
        <v>insert into ins_premium_det (premium_rcv_code,assorted_code, rec_amount,premium_rcv_detail_code,remaining_amt, payrec, mode_code,coinsurance_code,class_cd,it_remarks) values</v>
      </c>
      <c r="G306" s="83" t="str">
        <f t="shared" si="18"/>
        <v>('29Oct240071','040000184060','8800',(select max(to_number(i.premium_rcv_detail_code))+1
from ins_premium_det i),'8800','8800','02', '11000003','00','Request by Mr. Omair Ali 30-Aug-2024');</v>
      </c>
      <c r="H306" s="84" t="str">
        <f t="shared" si="19"/>
        <v>insert into ins_premium_det (premium_rcv_code,assorted_code, rec_amount,premium_rcv_detail_code,remaining_amt, payrec, mode_code,coinsurance_code,class_cd,it_remarks) values('29Oct240071','040000184060','8800',(select max(to_number(i.premium_rcv_detail_code))+1
from ins_premium_det i),'8800','8800','02', '11000003','00','Request by Mr. Omair Ali 30-Aug-2024');</v>
      </c>
    </row>
    <row r="307" spans="1:8" ht="105" x14ac:dyDescent="0.25">
      <c r="A307" t="s">
        <v>445</v>
      </c>
      <c r="B307" s="80" t="str">
        <f>VLOOKUP(A307,policy!B:C,2,0)</f>
        <v>040000184061</v>
      </c>
      <c r="C307" s="46">
        <v>16235</v>
      </c>
      <c r="D307" s="81">
        <f t="shared" si="17"/>
        <v>16235</v>
      </c>
      <c r="E307" s="79" t="s">
        <v>3563</v>
      </c>
      <c r="F307" s="82" t="str">
        <f t="shared" si="16"/>
        <v>insert into ins_premium_det (premium_rcv_code,assorted_code, rec_amount,premium_rcv_detail_code,remaining_amt, payrec, mode_code,coinsurance_code,class_cd,it_remarks) values</v>
      </c>
      <c r="G307" s="83" t="str">
        <f t="shared" si="18"/>
        <v>('29Oct240071','040000184061','16235',(select max(to_number(i.premium_rcv_detail_code))+1
from ins_premium_det i),'16235','16235','02', '11000003','00','Request by Mr. Omair Ali 30-Aug-2024');</v>
      </c>
      <c r="H307" s="84" t="str">
        <f t="shared" si="19"/>
        <v>insert into ins_premium_det (premium_rcv_code,assorted_code, rec_amount,premium_rcv_detail_code,remaining_amt, payrec, mode_code,coinsurance_code,class_cd,it_remarks) values('29Oct240071','040000184061','16235',(select max(to_number(i.premium_rcv_detail_code))+1
from ins_premium_det i),'16235','16235','02', '11000003','00','Request by Mr. Omair Ali 30-Aug-2024');</v>
      </c>
    </row>
    <row r="308" spans="1:8" ht="105" x14ac:dyDescent="0.25">
      <c r="A308" t="s">
        <v>446</v>
      </c>
      <c r="B308" s="80" t="str">
        <f>VLOOKUP(A308,policy!B:C,2,0)</f>
        <v>040000184062</v>
      </c>
      <c r="C308" s="46">
        <v>16235</v>
      </c>
      <c r="D308" s="81">
        <f t="shared" si="17"/>
        <v>16235</v>
      </c>
      <c r="E308" s="79" t="s">
        <v>3563</v>
      </c>
      <c r="F308" s="82" t="str">
        <f t="shared" si="16"/>
        <v>insert into ins_premium_det (premium_rcv_code,assorted_code, rec_amount,premium_rcv_detail_code,remaining_amt, payrec, mode_code,coinsurance_code,class_cd,it_remarks) values</v>
      </c>
      <c r="G308" s="83" t="str">
        <f t="shared" si="18"/>
        <v>('29Oct240071','040000184062','16235',(select max(to_number(i.premium_rcv_detail_code))+1
from ins_premium_det i),'16235','16235','02', '11000003','00','Request by Mr. Omair Ali 30-Aug-2024');</v>
      </c>
      <c r="H308" s="84" t="str">
        <f t="shared" si="19"/>
        <v>insert into ins_premium_det (premium_rcv_code,assorted_code, rec_amount,premium_rcv_detail_code,remaining_amt, payrec, mode_code,coinsurance_code,class_cd,it_remarks) values('29Oct240071','040000184062','16235',(select max(to_number(i.premium_rcv_detail_code))+1
from ins_premium_det i),'16235','16235','02', '11000003','00','Request by Mr. Omair Ali 30-Aug-2024');</v>
      </c>
    </row>
    <row r="309" spans="1:8" ht="105" x14ac:dyDescent="0.25">
      <c r="A309" t="s">
        <v>447</v>
      </c>
      <c r="B309" s="80" t="str">
        <f>VLOOKUP(A309,policy!B:C,2,0)</f>
        <v>040000184064</v>
      </c>
      <c r="C309" s="46">
        <v>14960</v>
      </c>
      <c r="D309" s="81">
        <f t="shared" si="17"/>
        <v>14960</v>
      </c>
      <c r="E309" s="79" t="s">
        <v>3563</v>
      </c>
      <c r="F309" s="82" t="str">
        <f t="shared" si="16"/>
        <v>insert into ins_premium_det (premium_rcv_code,assorted_code, rec_amount,premium_rcv_detail_code,remaining_amt, payrec, mode_code,coinsurance_code,class_cd,it_remarks) values</v>
      </c>
      <c r="G309" s="83" t="str">
        <f t="shared" si="18"/>
        <v>('29Oct240071','040000184064','14960',(select max(to_number(i.premium_rcv_detail_code))+1
from ins_premium_det i),'14960','14960','02', '11000003','00','Request by Mr. Omair Ali 30-Aug-2024');</v>
      </c>
      <c r="H309" s="84" t="str">
        <f t="shared" si="19"/>
        <v>insert into ins_premium_det (premium_rcv_code,assorted_code, rec_amount,premium_rcv_detail_code,remaining_amt, payrec, mode_code,coinsurance_code,class_cd,it_remarks) values('29Oct240071','040000184064','14960',(select max(to_number(i.premium_rcv_detail_code))+1
from ins_premium_det i),'14960','14960','02', '11000003','00','Request by Mr. Omair Ali 30-Aug-2024');</v>
      </c>
    </row>
    <row r="310" spans="1:8" ht="105" x14ac:dyDescent="0.25">
      <c r="A310" t="s">
        <v>448</v>
      </c>
      <c r="B310" s="80" t="str">
        <f>VLOOKUP(A310,policy!B:C,2,0)</f>
        <v>040000184065</v>
      </c>
      <c r="C310" s="46">
        <v>14960</v>
      </c>
      <c r="D310" s="81">
        <f t="shared" si="17"/>
        <v>14960</v>
      </c>
      <c r="E310" s="79" t="s">
        <v>3563</v>
      </c>
      <c r="F310" s="82" t="str">
        <f t="shared" si="16"/>
        <v>insert into ins_premium_det (premium_rcv_code,assorted_code, rec_amount,premium_rcv_detail_code,remaining_amt, payrec, mode_code,coinsurance_code,class_cd,it_remarks) values</v>
      </c>
      <c r="G310" s="83" t="str">
        <f t="shared" si="18"/>
        <v>('29Oct240071','040000184065','14960',(select max(to_number(i.premium_rcv_detail_code))+1
from ins_premium_det i),'14960','14960','02', '11000003','00','Request by Mr. Omair Ali 30-Aug-2024');</v>
      </c>
      <c r="H310" s="84" t="str">
        <f t="shared" si="19"/>
        <v>insert into ins_premium_det (premium_rcv_code,assorted_code, rec_amount,premium_rcv_detail_code,remaining_amt, payrec, mode_code,coinsurance_code,class_cd,it_remarks) values('29Oct240071','040000184065','14960',(select max(to_number(i.premium_rcv_detail_code))+1
from ins_premium_det i),'14960','14960','02', '11000003','00','Request by Mr. Omair Ali 30-Aug-2024');</v>
      </c>
    </row>
    <row r="311" spans="1:8" ht="105" x14ac:dyDescent="0.25">
      <c r="A311" t="s">
        <v>449</v>
      </c>
      <c r="B311" s="80" t="str">
        <f>VLOOKUP(A311,policy!B:C,2,0)</f>
        <v>040000184068</v>
      </c>
      <c r="C311" s="46">
        <v>8800</v>
      </c>
      <c r="D311" s="81">
        <f t="shared" si="17"/>
        <v>8800</v>
      </c>
      <c r="E311" s="79" t="s">
        <v>3563</v>
      </c>
      <c r="F311" s="82" t="str">
        <f t="shared" si="16"/>
        <v>insert into ins_premium_det (premium_rcv_code,assorted_code, rec_amount,premium_rcv_detail_code,remaining_amt, payrec, mode_code,coinsurance_code,class_cd,it_remarks) values</v>
      </c>
      <c r="G311" s="83" t="str">
        <f t="shared" si="18"/>
        <v>('29Oct240071','040000184068','8800',(select max(to_number(i.premium_rcv_detail_code))+1
from ins_premium_det i),'8800','8800','02', '11000003','00','Request by Mr. Omair Ali 30-Aug-2024');</v>
      </c>
      <c r="H311" s="84" t="str">
        <f t="shared" si="19"/>
        <v>insert into ins_premium_det (premium_rcv_code,assorted_code, rec_amount,premium_rcv_detail_code,remaining_amt, payrec, mode_code,coinsurance_code,class_cd,it_remarks) values('29Oct240071','040000184068','8800',(select max(to_number(i.premium_rcv_detail_code))+1
from ins_premium_det i),'8800','8800','02', '11000003','00','Request by Mr. Omair Ali 30-Aug-2024');</v>
      </c>
    </row>
    <row r="312" spans="1:8" ht="105" x14ac:dyDescent="0.25">
      <c r="A312" t="s">
        <v>450</v>
      </c>
      <c r="B312" s="80" t="str">
        <f>VLOOKUP(A312,policy!B:C,2,0)</f>
        <v>040000184069</v>
      </c>
      <c r="C312" s="46">
        <v>13675</v>
      </c>
      <c r="D312" s="81">
        <f t="shared" si="17"/>
        <v>13675</v>
      </c>
      <c r="E312" s="79" t="s">
        <v>3563</v>
      </c>
      <c r="F312" s="82" t="str">
        <f t="shared" si="16"/>
        <v>insert into ins_premium_det (premium_rcv_code,assorted_code, rec_amount,premium_rcv_detail_code,remaining_amt, payrec, mode_code,coinsurance_code,class_cd,it_remarks) values</v>
      </c>
      <c r="G312" s="83" t="str">
        <f t="shared" si="18"/>
        <v>('29Oct240071','040000184069','13675',(select max(to_number(i.premium_rcv_detail_code))+1
from ins_premium_det i),'13675','13675','02', '11000003','00','Request by Mr. Omair Ali 30-Aug-2024');</v>
      </c>
      <c r="H312" s="84" t="str">
        <f t="shared" si="19"/>
        <v>insert into ins_premium_det (premium_rcv_code,assorted_code, rec_amount,premium_rcv_detail_code,remaining_amt, payrec, mode_code,coinsurance_code,class_cd,it_remarks) values('29Oct240071','040000184069','13675',(select max(to_number(i.premium_rcv_detail_code))+1
from ins_premium_det i),'13675','13675','02', '11000003','00','Request by Mr. Omair Ali 30-Aug-2024');</v>
      </c>
    </row>
    <row r="313" spans="1:8" ht="105" x14ac:dyDescent="0.25">
      <c r="A313" t="s">
        <v>451</v>
      </c>
      <c r="B313" s="80" t="str">
        <f>VLOOKUP(A313,policy!B:C,2,0)</f>
        <v>040000184070</v>
      </c>
      <c r="C313" s="46">
        <v>8800</v>
      </c>
      <c r="D313" s="81">
        <f t="shared" si="17"/>
        <v>8800</v>
      </c>
      <c r="E313" s="79" t="s">
        <v>3563</v>
      </c>
      <c r="F313" s="82" t="str">
        <f t="shared" si="16"/>
        <v>insert into ins_premium_det (premium_rcv_code,assorted_code, rec_amount,premium_rcv_detail_code,remaining_amt, payrec, mode_code,coinsurance_code,class_cd,it_remarks) values</v>
      </c>
      <c r="G313" s="83" t="str">
        <f t="shared" si="18"/>
        <v>('29Oct240071','040000184070','8800',(select max(to_number(i.premium_rcv_detail_code))+1
from ins_premium_det i),'8800','8800','02', '11000003','00','Request by Mr. Omair Ali 30-Aug-2024');</v>
      </c>
      <c r="H313" s="84" t="str">
        <f t="shared" si="19"/>
        <v>insert into ins_premium_det (premium_rcv_code,assorted_code, rec_amount,premium_rcv_detail_code,remaining_amt, payrec, mode_code,coinsurance_code,class_cd,it_remarks) values('29Oct240071','040000184070','8800',(select max(to_number(i.premium_rcv_detail_code))+1
from ins_premium_det i),'8800','8800','02', '11000003','00','Request by Mr. Omair Ali 30-Aug-2024');</v>
      </c>
    </row>
    <row r="314" spans="1:8" ht="105" x14ac:dyDescent="0.25">
      <c r="A314" t="s">
        <v>452</v>
      </c>
      <c r="B314" s="80" t="str">
        <f>VLOOKUP(A314,policy!B:C,2,0)</f>
        <v>040000184071</v>
      </c>
      <c r="C314" s="46">
        <v>8800</v>
      </c>
      <c r="D314" s="81">
        <f t="shared" si="17"/>
        <v>8800</v>
      </c>
      <c r="E314" s="79" t="s">
        <v>3563</v>
      </c>
      <c r="F314" s="82" t="str">
        <f t="shared" si="16"/>
        <v>insert into ins_premium_det (premium_rcv_code,assorted_code, rec_amount,premium_rcv_detail_code,remaining_amt, payrec, mode_code,coinsurance_code,class_cd,it_remarks) values</v>
      </c>
      <c r="G314" s="83" t="str">
        <f t="shared" si="18"/>
        <v>('29Oct240071','040000184071','8800',(select max(to_number(i.premium_rcv_detail_code))+1
from ins_premium_det i),'8800','8800','02', '11000003','00','Request by Mr. Omair Ali 30-Aug-2024');</v>
      </c>
      <c r="H314" s="84" t="str">
        <f t="shared" si="19"/>
        <v>insert into ins_premium_det (premium_rcv_code,assorted_code, rec_amount,premium_rcv_detail_code,remaining_amt, payrec, mode_code,coinsurance_code,class_cd,it_remarks) values('29Oct240071','040000184071','8800',(select max(to_number(i.premium_rcv_detail_code))+1
from ins_premium_det i),'8800','8800','02', '11000003','00','Request by Mr. Omair Ali 30-Aug-2024');</v>
      </c>
    </row>
    <row r="315" spans="1:8" ht="105" x14ac:dyDescent="0.25">
      <c r="A315" t="s">
        <v>453</v>
      </c>
      <c r="B315" s="80" t="str">
        <f>VLOOKUP(A315,policy!B:C,2,0)</f>
        <v>040000184072</v>
      </c>
      <c r="C315" s="46">
        <v>14960</v>
      </c>
      <c r="D315" s="81">
        <f t="shared" si="17"/>
        <v>14960</v>
      </c>
      <c r="E315" s="79" t="s">
        <v>3563</v>
      </c>
      <c r="F315" s="82" t="str">
        <f t="shared" si="16"/>
        <v>insert into ins_premium_det (premium_rcv_code,assorted_code, rec_amount,premium_rcv_detail_code,remaining_amt, payrec, mode_code,coinsurance_code,class_cd,it_remarks) values</v>
      </c>
      <c r="G315" s="83" t="str">
        <f t="shared" si="18"/>
        <v>('29Oct240071','040000184072','14960',(select max(to_number(i.premium_rcv_detail_code))+1
from ins_premium_det i),'14960','14960','02', '11000003','00','Request by Mr. Omair Ali 30-Aug-2024');</v>
      </c>
      <c r="H315" s="84" t="str">
        <f t="shared" si="19"/>
        <v>insert into ins_premium_det (premium_rcv_code,assorted_code, rec_amount,premium_rcv_detail_code,remaining_amt, payrec, mode_code,coinsurance_code,class_cd,it_remarks) values('29Oct240071','040000184072','14960',(select max(to_number(i.premium_rcv_detail_code))+1
from ins_premium_det i),'14960','14960','02', '11000003','00','Request by Mr. Omair Ali 30-Aug-2024');</v>
      </c>
    </row>
    <row r="316" spans="1:8" ht="105" x14ac:dyDescent="0.25">
      <c r="A316" t="s">
        <v>454</v>
      </c>
      <c r="B316" s="80" t="str">
        <f>VLOOKUP(A316,policy!B:C,2,0)</f>
        <v>040000184073</v>
      </c>
      <c r="C316" s="46">
        <v>14960</v>
      </c>
      <c r="D316" s="81">
        <f t="shared" si="17"/>
        <v>14960</v>
      </c>
      <c r="E316" s="79" t="s">
        <v>3563</v>
      </c>
      <c r="F316" s="82" t="str">
        <f t="shared" si="16"/>
        <v>insert into ins_premium_det (premium_rcv_code,assorted_code, rec_amount,premium_rcv_detail_code,remaining_amt, payrec, mode_code,coinsurance_code,class_cd,it_remarks) values</v>
      </c>
      <c r="G316" s="83" t="str">
        <f t="shared" si="18"/>
        <v>('29Oct240071','040000184073','14960',(select max(to_number(i.premium_rcv_detail_code))+1
from ins_premium_det i),'14960','14960','02', '11000003','00','Request by Mr. Omair Ali 30-Aug-2024');</v>
      </c>
      <c r="H316" s="84" t="str">
        <f t="shared" si="19"/>
        <v>insert into ins_premium_det (premium_rcv_code,assorted_code, rec_amount,premium_rcv_detail_code,remaining_amt, payrec, mode_code,coinsurance_code,class_cd,it_remarks) values('29Oct240071','040000184073','14960',(select max(to_number(i.premium_rcv_detail_code))+1
from ins_premium_det i),'14960','14960','02', '11000003','00','Request by Mr. Omair Ali 30-Aug-2024');</v>
      </c>
    </row>
    <row r="317" spans="1:8" ht="105" x14ac:dyDescent="0.25">
      <c r="A317" t="s">
        <v>455</v>
      </c>
      <c r="B317" s="80" t="str">
        <f>VLOOKUP(A317,policy!B:C,2,0)</f>
        <v>040000184075</v>
      </c>
      <c r="C317" s="46">
        <v>14960</v>
      </c>
      <c r="D317" s="81">
        <f t="shared" si="17"/>
        <v>14960</v>
      </c>
      <c r="E317" s="79" t="s">
        <v>3563</v>
      </c>
      <c r="F317" s="82" t="str">
        <f t="shared" si="16"/>
        <v>insert into ins_premium_det (premium_rcv_code,assorted_code, rec_amount,premium_rcv_detail_code,remaining_amt, payrec, mode_code,coinsurance_code,class_cd,it_remarks) values</v>
      </c>
      <c r="G317" s="83" t="str">
        <f t="shared" si="18"/>
        <v>('29Oct240071','040000184075','14960',(select max(to_number(i.premium_rcv_detail_code))+1
from ins_premium_det i),'14960','14960','02', '11000003','00','Request by Mr. Omair Ali 30-Aug-2024');</v>
      </c>
      <c r="H317" s="84" t="str">
        <f t="shared" si="19"/>
        <v>insert into ins_premium_det (premium_rcv_code,assorted_code, rec_amount,premium_rcv_detail_code,remaining_amt, payrec, mode_code,coinsurance_code,class_cd,it_remarks) values('29Oct240071','040000184075','14960',(select max(to_number(i.premium_rcv_detail_code))+1
from ins_premium_det i),'14960','14960','02', '11000003','00','Request by Mr. Omair Ali 30-Aug-2024');</v>
      </c>
    </row>
    <row r="318" spans="1:8" ht="105" x14ac:dyDescent="0.25">
      <c r="A318" t="s">
        <v>456</v>
      </c>
      <c r="B318" s="80" t="str">
        <f>VLOOKUP(A318,policy!B:C,2,0)</f>
        <v>040000184076</v>
      </c>
      <c r="C318" s="46">
        <v>16235</v>
      </c>
      <c r="D318" s="81">
        <f t="shared" si="17"/>
        <v>16235</v>
      </c>
      <c r="E318" s="79" t="s">
        <v>3563</v>
      </c>
      <c r="F318" s="82" t="str">
        <f t="shared" si="16"/>
        <v>insert into ins_premium_det (premium_rcv_code,assorted_code, rec_amount,premium_rcv_detail_code,remaining_amt, payrec, mode_code,coinsurance_code,class_cd,it_remarks) values</v>
      </c>
      <c r="G318" s="83" t="str">
        <f t="shared" si="18"/>
        <v>('29Oct240071','040000184076','16235',(select max(to_number(i.premium_rcv_detail_code))+1
from ins_premium_det i),'16235','16235','02', '11000003','00','Request by Mr. Omair Ali 30-Aug-2024');</v>
      </c>
      <c r="H318" s="84" t="str">
        <f t="shared" si="19"/>
        <v>insert into ins_premium_det (premium_rcv_code,assorted_code, rec_amount,premium_rcv_detail_code,remaining_amt, payrec, mode_code,coinsurance_code,class_cd,it_remarks) values('29Oct240071','040000184076','16235',(select max(to_number(i.premium_rcv_detail_code))+1
from ins_premium_det i),'16235','16235','02', '11000003','00','Request by Mr. Omair Ali 30-Aug-2024');</v>
      </c>
    </row>
    <row r="319" spans="1:8" ht="105" x14ac:dyDescent="0.25">
      <c r="A319" t="s">
        <v>457</v>
      </c>
      <c r="B319" s="80" t="str">
        <f>VLOOKUP(A319,policy!B:C,2,0)</f>
        <v>040000184077</v>
      </c>
      <c r="C319" s="46">
        <v>14960</v>
      </c>
      <c r="D319" s="81">
        <f t="shared" si="17"/>
        <v>14960</v>
      </c>
      <c r="E319" s="79" t="s">
        <v>3563</v>
      </c>
      <c r="F319" s="82" t="str">
        <f t="shared" si="16"/>
        <v>insert into ins_premium_det (premium_rcv_code,assorted_code, rec_amount,premium_rcv_detail_code,remaining_amt, payrec, mode_code,coinsurance_code,class_cd,it_remarks) values</v>
      </c>
      <c r="G319" s="83" t="str">
        <f t="shared" si="18"/>
        <v>('29Oct240071','040000184077','14960',(select max(to_number(i.premium_rcv_detail_code))+1
from ins_premium_det i),'14960','14960','02', '11000003','00','Request by Mr. Omair Ali 30-Aug-2024');</v>
      </c>
      <c r="H319" s="84" t="str">
        <f t="shared" si="19"/>
        <v>insert into ins_premium_det (premium_rcv_code,assorted_code, rec_amount,premium_rcv_detail_code,remaining_amt, payrec, mode_code,coinsurance_code,class_cd,it_remarks) values('29Oct240071','040000184077','14960',(select max(to_number(i.premium_rcv_detail_code))+1
from ins_premium_det i),'14960','14960','02', '11000003','00','Request by Mr. Omair Ali 30-Aug-2024');</v>
      </c>
    </row>
    <row r="320" spans="1:8" ht="105" x14ac:dyDescent="0.25">
      <c r="A320" t="s">
        <v>458</v>
      </c>
      <c r="B320" s="80" t="str">
        <f>VLOOKUP(A320,policy!B:C,2,0)</f>
        <v>040000184078</v>
      </c>
      <c r="C320" s="46">
        <v>23248</v>
      </c>
      <c r="D320" s="81">
        <f t="shared" si="17"/>
        <v>23248</v>
      </c>
      <c r="E320" s="79" t="s">
        <v>3563</v>
      </c>
      <c r="F320" s="82" t="str">
        <f t="shared" si="16"/>
        <v>insert into ins_premium_det (premium_rcv_code,assorted_code, rec_amount,premium_rcv_detail_code,remaining_amt, payrec, mode_code,coinsurance_code,class_cd,it_remarks) values</v>
      </c>
      <c r="G320" s="83" t="str">
        <f t="shared" si="18"/>
        <v>('29Oct240071','040000184078','23248',(select max(to_number(i.premium_rcv_detail_code))+1
from ins_premium_det i),'23248','23248','02', '11000003','00','Request by Mr. Omair Ali 30-Aug-2024');</v>
      </c>
      <c r="H320" s="84" t="str">
        <f t="shared" si="19"/>
        <v>insert into ins_premium_det (premium_rcv_code,assorted_code, rec_amount,premium_rcv_detail_code,remaining_amt, payrec, mode_code,coinsurance_code,class_cd,it_remarks) values('29Oct240071','040000184078','23248',(select max(to_number(i.premium_rcv_detail_code))+1
from ins_premium_det i),'23248','23248','02', '11000003','00','Request by Mr. Omair Ali 30-Aug-2024');</v>
      </c>
    </row>
    <row r="321" spans="1:8" ht="105" x14ac:dyDescent="0.25">
      <c r="A321" t="s">
        <v>459</v>
      </c>
      <c r="B321" s="80" t="str">
        <f>VLOOKUP(A321,policy!B:C,2,0)</f>
        <v>040000184079</v>
      </c>
      <c r="C321" s="46">
        <v>14960</v>
      </c>
      <c r="D321" s="81">
        <f t="shared" si="17"/>
        <v>14960</v>
      </c>
      <c r="E321" s="79" t="s">
        <v>3563</v>
      </c>
      <c r="F321" s="82" t="str">
        <f t="shared" si="16"/>
        <v>insert into ins_premium_det (premium_rcv_code,assorted_code, rec_amount,premium_rcv_detail_code,remaining_amt, payrec, mode_code,coinsurance_code,class_cd,it_remarks) values</v>
      </c>
      <c r="G321" s="83" t="str">
        <f t="shared" si="18"/>
        <v>('29Oct240071','040000184079','14960',(select max(to_number(i.premium_rcv_detail_code))+1
from ins_premium_det i),'14960','14960','02', '11000003','00','Request by Mr. Omair Ali 30-Aug-2024');</v>
      </c>
      <c r="H321" s="84" t="str">
        <f t="shared" si="19"/>
        <v>insert into ins_premium_det (premium_rcv_code,assorted_code, rec_amount,premium_rcv_detail_code,remaining_amt, payrec, mode_code,coinsurance_code,class_cd,it_remarks) values('29Oct240071','040000184079','14960',(select max(to_number(i.premium_rcv_detail_code))+1
from ins_premium_det i),'14960','14960','02', '11000003','00','Request by Mr. Omair Ali 30-Aug-2024');</v>
      </c>
    </row>
    <row r="322" spans="1:8" ht="105" x14ac:dyDescent="0.25">
      <c r="A322" t="s">
        <v>460</v>
      </c>
      <c r="B322" s="80" t="str">
        <f>VLOOKUP(A322,policy!B:C,2,0)</f>
        <v>040000184080</v>
      </c>
      <c r="C322" s="46">
        <v>14960</v>
      </c>
      <c r="D322" s="81">
        <f t="shared" si="17"/>
        <v>14960</v>
      </c>
      <c r="E322" s="79" t="s">
        <v>3563</v>
      </c>
      <c r="F322" s="82" t="str">
        <f t="shared" ref="F322:F38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83" t="str">
        <f t="shared" si="18"/>
        <v>('29Oct240071','040000184080','14960',(select max(to_number(i.premium_rcv_detail_code))+1
from ins_premium_det i),'14960','14960','02', '11000003','00','Request by Mr. Omair Ali 30-Aug-2024');</v>
      </c>
      <c r="H322" s="84" t="str">
        <f t="shared" si="19"/>
        <v>insert into ins_premium_det (premium_rcv_code,assorted_code, rec_amount,premium_rcv_detail_code,remaining_amt, payrec, mode_code,coinsurance_code,class_cd,it_remarks) values('29Oct240071','040000184080','14960',(select max(to_number(i.premium_rcv_detail_code))+1
from ins_premium_det i),'14960','14960','02', '11000003','00','Request by Mr. Omair Ali 30-Aug-2024');</v>
      </c>
    </row>
    <row r="323" spans="1:8" ht="105" x14ac:dyDescent="0.25">
      <c r="A323" t="s">
        <v>461</v>
      </c>
      <c r="B323" s="80" t="str">
        <f>VLOOKUP(A323,policy!B:C,2,0)</f>
        <v>040000184081</v>
      </c>
      <c r="C323" s="46">
        <v>8800</v>
      </c>
      <c r="D323" s="81">
        <f t="shared" ref="D323:D386" si="21">ROUND(C323,0)</f>
        <v>8800</v>
      </c>
      <c r="E323" s="79" t="s">
        <v>3563</v>
      </c>
      <c r="F323" s="82" t="str">
        <f t="shared" si="20"/>
        <v>insert into ins_premium_det (premium_rcv_code,assorted_code, rec_amount,premium_rcv_detail_code,remaining_amt, payrec, mode_code,coinsurance_code,class_cd,it_remarks) values</v>
      </c>
      <c r="G323" s="83" t="str">
        <f t="shared" ref="G323:G386" si="22">"('"&amp;E323&amp;"','"&amp;B323&amp;"','"&amp;D323&amp;"',(select max(to_number(i.premium_rcv_detail_code))+1
from ins_premium_det i),'"&amp;D323&amp;"','"&amp;D323&amp;"','02', '11000003','00','Request by Mr. Omair Ali 30-Aug-2024');"</f>
        <v>('29Oct240071','040000184081','8800',(select max(to_number(i.premium_rcv_detail_code))+1
from ins_premium_det i),'8800','8800','02', '11000003','00','Request by Mr. Omair Ali 30-Aug-2024');</v>
      </c>
      <c r="H323" s="84" t="str">
        <f t="shared" ref="H323:H386" si="23">F323&amp;G323</f>
        <v>insert into ins_premium_det (premium_rcv_code,assorted_code, rec_amount,premium_rcv_detail_code,remaining_amt, payrec, mode_code,coinsurance_code,class_cd,it_remarks) values('29Oct240071','040000184081','8800',(select max(to_number(i.premium_rcv_detail_code))+1
from ins_premium_det i),'8800','8800','02', '11000003','00','Request by Mr. Omair Ali 30-Aug-2024');</v>
      </c>
    </row>
    <row r="324" spans="1:8" ht="105" x14ac:dyDescent="0.25">
      <c r="A324" t="s">
        <v>462</v>
      </c>
      <c r="B324" s="80" t="str">
        <f>VLOOKUP(A324,policy!B:C,2,0)</f>
        <v>040000184083</v>
      </c>
      <c r="C324" s="46">
        <v>8800</v>
      </c>
      <c r="D324" s="81">
        <f t="shared" si="21"/>
        <v>8800</v>
      </c>
      <c r="E324" s="79" t="s">
        <v>3563</v>
      </c>
      <c r="F324" s="82" t="str">
        <f t="shared" si="20"/>
        <v>insert into ins_premium_det (premium_rcv_code,assorted_code, rec_amount,premium_rcv_detail_code,remaining_amt, payrec, mode_code,coinsurance_code,class_cd,it_remarks) values</v>
      </c>
      <c r="G324" s="83" t="str">
        <f t="shared" si="22"/>
        <v>('29Oct240071','040000184083','8800',(select max(to_number(i.premium_rcv_detail_code))+1
from ins_premium_det i),'8800','8800','02', '11000003','00','Request by Mr. Omair Ali 30-Aug-2024');</v>
      </c>
      <c r="H324" s="84" t="str">
        <f t="shared" si="23"/>
        <v>insert into ins_premium_det (premium_rcv_code,assorted_code, rec_amount,premium_rcv_detail_code,remaining_amt, payrec, mode_code,coinsurance_code,class_cd,it_remarks) values('29Oct240071','040000184083','8800',(select max(to_number(i.premium_rcv_detail_code))+1
from ins_premium_det i),'8800','8800','02', '11000003','00','Request by Mr. Omair Ali 30-Aug-2024');</v>
      </c>
    </row>
    <row r="325" spans="1:8" ht="105" x14ac:dyDescent="0.25">
      <c r="A325" t="s">
        <v>463</v>
      </c>
      <c r="B325" s="80" t="str">
        <f>VLOOKUP(A325,policy!B:C,2,0)</f>
        <v>040000184084</v>
      </c>
      <c r="C325" s="46">
        <v>16235</v>
      </c>
      <c r="D325" s="81">
        <f t="shared" si="21"/>
        <v>16235</v>
      </c>
      <c r="E325" s="79" t="s">
        <v>3563</v>
      </c>
      <c r="F325" s="82" t="str">
        <f t="shared" si="20"/>
        <v>insert into ins_premium_det (premium_rcv_code,assorted_code, rec_amount,premium_rcv_detail_code,remaining_amt, payrec, mode_code,coinsurance_code,class_cd,it_remarks) values</v>
      </c>
      <c r="G325" s="83" t="str">
        <f t="shared" si="22"/>
        <v>('29Oct240071','040000184084','16235',(select max(to_number(i.premium_rcv_detail_code))+1
from ins_premium_det i),'16235','16235','02', '11000003','00','Request by Mr. Omair Ali 30-Aug-2024');</v>
      </c>
      <c r="H325" s="84" t="str">
        <f t="shared" si="23"/>
        <v>insert into ins_premium_det (premium_rcv_code,assorted_code, rec_amount,premium_rcv_detail_code,remaining_amt, payrec, mode_code,coinsurance_code,class_cd,it_remarks) values('29Oct240071','040000184084','16235',(select max(to_number(i.premium_rcv_detail_code))+1
from ins_premium_det i),'16235','16235','02', '11000003','00','Request by Mr. Omair Ali 30-Aug-2024');</v>
      </c>
    </row>
    <row r="326" spans="1:8" ht="105" x14ac:dyDescent="0.25">
      <c r="A326" t="s">
        <v>464</v>
      </c>
      <c r="B326" s="80" t="str">
        <f>VLOOKUP(A326,policy!B:C,2,0)</f>
        <v>040000184085</v>
      </c>
      <c r="C326" s="46">
        <v>14960</v>
      </c>
      <c r="D326" s="81">
        <f t="shared" si="21"/>
        <v>14960</v>
      </c>
      <c r="E326" s="79" t="s">
        <v>3563</v>
      </c>
      <c r="F326" s="82" t="str">
        <f t="shared" si="20"/>
        <v>insert into ins_premium_det (premium_rcv_code,assorted_code, rec_amount,premium_rcv_detail_code,remaining_amt, payrec, mode_code,coinsurance_code,class_cd,it_remarks) values</v>
      </c>
      <c r="G326" s="83" t="str">
        <f t="shared" si="22"/>
        <v>('29Oct240071','040000184085','14960',(select max(to_number(i.premium_rcv_detail_code))+1
from ins_premium_det i),'14960','14960','02', '11000003','00','Request by Mr. Omair Ali 30-Aug-2024');</v>
      </c>
      <c r="H326" s="84" t="str">
        <f t="shared" si="23"/>
        <v>insert into ins_premium_det (premium_rcv_code,assorted_code, rec_amount,premium_rcv_detail_code,remaining_amt, payrec, mode_code,coinsurance_code,class_cd,it_remarks) values('29Oct240071','040000184085','14960',(select max(to_number(i.premium_rcv_detail_code))+1
from ins_premium_det i),'14960','14960','02', '11000003','00','Request by Mr. Omair Ali 30-Aug-2024');</v>
      </c>
    </row>
    <row r="327" spans="1:8" ht="105" x14ac:dyDescent="0.25">
      <c r="A327" t="s">
        <v>465</v>
      </c>
      <c r="B327" s="80" t="str">
        <f>VLOOKUP(A327,policy!B:C,2,0)</f>
        <v>040000184087</v>
      </c>
      <c r="C327" s="46">
        <v>16235</v>
      </c>
      <c r="D327" s="81">
        <f t="shared" si="21"/>
        <v>16235</v>
      </c>
      <c r="E327" s="79" t="s">
        <v>3563</v>
      </c>
      <c r="F327" s="82" t="str">
        <f t="shared" si="20"/>
        <v>insert into ins_premium_det (premium_rcv_code,assorted_code, rec_amount,premium_rcv_detail_code,remaining_amt, payrec, mode_code,coinsurance_code,class_cd,it_remarks) values</v>
      </c>
      <c r="G327" s="83" t="str">
        <f t="shared" si="22"/>
        <v>('29Oct240071','040000184087','16235',(select max(to_number(i.premium_rcv_detail_code))+1
from ins_premium_det i),'16235','16235','02', '11000003','00','Request by Mr. Omair Ali 30-Aug-2024');</v>
      </c>
      <c r="H327" s="84" t="str">
        <f t="shared" si="23"/>
        <v>insert into ins_premium_det (premium_rcv_code,assorted_code, rec_amount,premium_rcv_detail_code,remaining_amt, payrec, mode_code,coinsurance_code,class_cd,it_remarks) values('29Oct240071','040000184087','16235',(select max(to_number(i.premium_rcv_detail_code))+1
from ins_premium_det i),'16235','16235','02', '11000003','00','Request by Mr. Omair Ali 30-Aug-2024');</v>
      </c>
    </row>
    <row r="328" spans="1:8" ht="105" x14ac:dyDescent="0.25">
      <c r="A328" t="s">
        <v>466</v>
      </c>
      <c r="B328" s="80" t="str">
        <f>VLOOKUP(A328,policy!B:C,2,0)</f>
        <v>040000184088</v>
      </c>
      <c r="C328" s="46">
        <v>14960</v>
      </c>
      <c r="D328" s="81">
        <f t="shared" si="21"/>
        <v>14960</v>
      </c>
      <c r="E328" s="79" t="s">
        <v>3563</v>
      </c>
      <c r="F328" s="82" t="str">
        <f t="shared" si="20"/>
        <v>insert into ins_premium_det (premium_rcv_code,assorted_code, rec_amount,premium_rcv_detail_code,remaining_amt, payrec, mode_code,coinsurance_code,class_cd,it_remarks) values</v>
      </c>
      <c r="G328" s="83" t="str">
        <f t="shared" si="22"/>
        <v>('29Oct240071','040000184088','14960',(select max(to_number(i.premium_rcv_detail_code))+1
from ins_premium_det i),'14960','14960','02', '11000003','00','Request by Mr. Omair Ali 30-Aug-2024');</v>
      </c>
      <c r="H328" s="84" t="str">
        <f t="shared" si="23"/>
        <v>insert into ins_premium_det (premium_rcv_code,assorted_code, rec_amount,premium_rcv_detail_code,remaining_amt, payrec, mode_code,coinsurance_code,class_cd,it_remarks) values('29Oct240071','040000184088','14960',(select max(to_number(i.premium_rcv_detail_code))+1
from ins_premium_det i),'14960','14960','02', '11000003','00','Request by Mr. Omair Ali 30-Aug-2024');</v>
      </c>
    </row>
    <row r="329" spans="1:8" ht="105" x14ac:dyDescent="0.25">
      <c r="A329" t="s">
        <v>467</v>
      </c>
      <c r="B329" s="80" t="str">
        <f>VLOOKUP(A329,policy!B:C,2,0)</f>
        <v>040000184089</v>
      </c>
      <c r="C329" s="46">
        <v>21208</v>
      </c>
      <c r="D329" s="81">
        <f t="shared" si="21"/>
        <v>21208</v>
      </c>
      <c r="E329" s="79" t="s">
        <v>3563</v>
      </c>
      <c r="F329" s="82" t="str">
        <f t="shared" si="20"/>
        <v>insert into ins_premium_det (premium_rcv_code,assorted_code, rec_amount,premium_rcv_detail_code,remaining_amt, payrec, mode_code,coinsurance_code,class_cd,it_remarks) values</v>
      </c>
      <c r="G329" s="83" t="str">
        <f t="shared" si="22"/>
        <v>('29Oct240071','040000184089','21208',(select max(to_number(i.premium_rcv_detail_code))+1
from ins_premium_det i),'21208','21208','02', '11000003','00','Request by Mr. Omair Ali 30-Aug-2024');</v>
      </c>
      <c r="H329" s="84" t="str">
        <f t="shared" si="23"/>
        <v>insert into ins_premium_det (premium_rcv_code,assorted_code, rec_amount,premium_rcv_detail_code,remaining_amt, payrec, mode_code,coinsurance_code,class_cd,it_remarks) values('29Oct240071','040000184089','21208',(select max(to_number(i.premium_rcv_detail_code))+1
from ins_premium_det i),'21208','21208','02', '11000003','00','Request by Mr. Omair Ali 30-Aug-2024');</v>
      </c>
    </row>
    <row r="330" spans="1:8" ht="105" x14ac:dyDescent="0.25">
      <c r="A330" t="s">
        <v>468</v>
      </c>
      <c r="B330" s="80" t="str">
        <f>VLOOKUP(A330,policy!B:C,2,0)</f>
        <v>040000184090</v>
      </c>
      <c r="C330" s="46">
        <v>21208</v>
      </c>
      <c r="D330" s="81">
        <f t="shared" si="21"/>
        <v>21208</v>
      </c>
      <c r="E330" s="79" t="s">
        <v>3563</v>
      </c>
      <c r="F330" s="82" t="str">
        <f t="shared" si="20"/>
        <v>insert into ins_premium_det (premium_rcv_code,assorted_code, rec_amount,premium_rcv_detail_code,remaining_amt, payrec, mode_code,coinsurance_code,class_cd,it_remarks) values</v>
      </c>
      <c r="G330" s="83" t="str">
        <f t="shared" si="22"/>
        <v>('29Oct240071','040000184090','21208',(select max(to_number(i.premium_rcv_detail_code))+1
from ins_premium_det i),'21208','21208','02', '11000003','00','Request by Mr. Omair Ali 30-Aug-2024');</v>
      </c>
      <c r="H330" s="84" t="str">
        <f t="shared" si="23"/>
        <v>insert into ins_premium_det (premium_rcv_code,assorted_code, rec_amount,premium_rcv_detail_code,remaining_amt, payrec, mode_code,coinsurance_code,class_cd,it_remarks) values('29Oct240071','040000184090','21208',(select max(to_number(i.premium_rcv_detail_code))+1
from ins_premium_det i),'21208','21208','02', '11000003','00','Request by Mr. Omair Ali 30-Aug-2024');</v>
      </c>
    </row>
    <row r="331" spans="1:8" ht="105" x14ac:dyDescent="0.25">
      <c r="A331" t="s">
        <v>469</v>
      </c>
      <c r="B331" s="80" t="str">
        <f>VLOOKUP(A331,policy!B:C,2,0)</f>
        <v>040000184091</v>
      </c>
      <c r="C331" s="46">
        <v>23248</v>
      </c>
      <c r="D331" s="81">
        <f t="shared" si="21"/>
        <v>23248</v>
      </c>
      <c r="E331" s="79" t="s">
        <v>3563</v>
      </c>
      <c r="F331" s="82" t="str">
        <f t="shared" si="20"/>
        <v>insert into ins_premium_det (premium_rcv_code,assorted_code, rec_amount,premium_rcv_detail_code,remaining_amt, payrec, mode_code,coinsurance_code,class_cd,it_remarks) values</v>
      </c>
      <c r="G331" s="83" t="str">
        <f t="shared" si="22"/>
        <v>('29Oct240071','040000184091','23248',(select max(to_number(i.premium_rcv_detail_code))+1
from ins_premium_det i),'23248','23248','02', '11000003','00','Request by Mr. Omair Ali 30-Aug-2024');</v>
      </c>
      <c r="H331" s="84" t="str">
        <f t="shared" si="23"/>
        <v>insert into ins_premium_det (premium_rcv_code,assorted_code, rec_amount,premium_rcv_detail_code,remaining_amt, payrec, mode_code,coinsurance_code,class_cd,it_remarks) values('29Oct240071','040000184091','23248',(select max(to_number(i.premium_rcv_detail_code))+1
from ins_premium_det i),'23248','23248','02', '11000003','00','Request by Mr. Omair Ali 30-Aug-2024');</v>
      </c>
    </row>
    <row r="332" spans="1:8" ht="105" x14ac:dyDescent="0.25">
      <c r="A332" t="s">
        <v>470</v>
      </c>
      <c r="B332" s="80" t="str">
        <f>VLOOKUP(A332,policy!B:C,2,0)</f>
        <v>040000184092</v>
      </c>
      <c r="C332" s="46">
        <v>8800</v>
      </c>
      <c r="D332" s="81">
        <f t="shared" si="21"/>
        <v>8800</v>
      </c>
      <c r="E332" s="79" t="s">
        <v>3563</v>
      </c>
      <c r="F332" s="82" t="str">
        <f t="shared" si="20"/>
        <v>insert into ins_premium_det (premium_rcv_code,assorted_code, rec_amount,premium_rcv_detail_code,remaining_amt, payrec, mode_code,coinsurance_code,class_cd,it_remarks) values</v>
      </c>
      <c r="G332" s="83" t="str">
        <f t="shared" si="22"/>
        <v>('29Oct240071','040000184092','8800',(select max(to_number(i.premium_rcv_detail_code))+1
from ins_premium_det i),'8800','8800','02', '11000003','00','Request by Mr. Omair Ali 30-Aug-2024');</v>
      </c>
      <c r="H332" s="84" t="str">
        <f t="shared" si="23"/>
        <v>insert into ins_premium_det (premium_rcv_code,assorted_code, rec_amount,premium_rcv_detail_code,remaining_amt, payrec, mode_code,coinsurance_code,class_cd,it_remarks) values('29Oct240071','040000184092','8800',(select max(to_number(i.premium_rcv_detail_code))+1
from ins_premium_det i),'8800','8800','02', '11000003','00','Request by Mr. Omair Ali 30-Aug-2024');</v>
      </c>
    </row>
    <row r="333" spans="1:8" ht="105" x14ac:dyDescent="0.25">
      <c r="A333" t="s">
        <v>471</v>
      </c>
      <c r="B333" s="80" t="str">
        <f>VLOOKUP(A333,policy!B:C,2,0)</f>
        <v>040000184093</v>
      </c>
      <c r="C333" s="46">
        <v>8800</v>
      </c>
      <c r="D333" s="81">
        <f t="shared" si="21"/>
        <v>8800</v>
      </c>
      <c r="E333" s="79" t="s">
        <v>3563</v>
      </c>
      <c r="F333" s="82" t="str">
        <f t="shared" si="20"/>
        <v>insert into ins_premium_det (premium_rcv_code,assorted_code, rec_amount,premium_rcv_detail_code,remaining_amt, payrec, mode_code,coinsurance_code,class_cd,it_remarks) values</v>
      </c>
      <c r="G333" s="83" t="str">
        <f t="shared" si="22"/>
        <v>('29Oct240071','040000184093','8800',(select max(to_number(i.premium_rcv_detail_code))+1
from ins_premium_det i),'8800','8800','02', '11000003','00','Request by Mr. Omair Ali 30-Aug-2024');</v>
      </c>
      <c r="H333" s="84" t="str">
        <f t="shared" si="23"/>
        <v>insert into ins_premium_det (premium_rcv_code,assorted_code, rec_amount,premium_rcv_detail_code,remaining_amt, payrec, mode_code,coinsurance_code,class_cd,it_remarks) values('29Oct240071','040000184093','8800',(select max(to_number(i.premium_rcv_detail_code))+1
from ins_premium_det i),'8800','8800','02', '11000003','00','Request by Mr. Omair Ali 30-Aug-2024');</v>
      </c>
    </row>
    <row r="334" spans="1:8" ht="105" x14ac:dyDescent="0.25">
      <c r="A334" t="s">
        <v>472</v>
      </c>
      <c r="B334" s="80" t="str">
        <f>VLOOKUP(A334,policy!B:C,2,0)</f>
        <v>040000184094</v>
      </c>
      <c r="C334" s="46">
        <v>8800</v>
      </c>
      <c r="D334" s="81">
        <f t="shared" si="21"/>
        <v>8800</v>
      </c>
      <c r="E334" s="79" t="s">
        <v>3563</v>
      </c>
      <c r="F334" s="82" t="str">
        <f t="shared" si="20"/>
        <v>insert into ins_premium_det (premium_rcv_code,assorted_code, rec_amount,premium_rcv_detail_code,remaining_amt, payrec, mode_code,coinsurance_code,class_cd,it_remarks) values</v>
      </c>
      <c r="G334" s="83" t="str">
        <f t="shared" si="22"/>
        <v>('29Oct240071','040000184094','8800',(select max(to_number(i.premium_rcv_detail_code))+1
from ins_premium_det i),'8800','8800','02', '11000003','00','Request by Mr. Omair Ali 30-Aug-2024');</v>
      </c>
      <c r="H334" s="84" t="str">
        <f t="shared" si="23"/>
        <v>insert into ins_premium_det (premium_rcv_code,assorted_code, rec_amount,premium_rcv_detail_code,remaining_amt, payrec, mode_code,coinsurance_code,class_cd,it_remarks) values('29Oct240071','040000184094','8800',(select max(to_number(i.premium_rcv_detail_code))+1
from ins_premium_det i),'8800','8800','02', '11000003','00','Request by Mr. Omair Ali 30-Aug-2024');</v>
      </c>
    </row>
    <row r="335" spans="1:8" ht="105" x14ac:dyDescent="0.25">
      <c r="A335" t="s">
        <v>473</v>
      </c>
      <c r="B335" s="80" t="str">
        <f>VLOOKUP(A335,policy!B:C,2,0)</f>
        <v>040000184095</v>
      </c>
      <c r="C335" s="46">
        <v>8800</v>
      </c>
      <c r="D335" s="81">
        <f t="shared" si="21"/>
        <v>8800</v>
      </c>
      <c r="E335" s="79" t="s">
        <v>3563</v>
      </c>
      <c r="F335" s="82" t="str">
        <f t="shared" si="20"/>
        <v>insert into ins_premium_det (premium_rcv_code,assorted_code, rec_amount,premium_rcv_detail_code,remaining_amt, payrec, mode_code,coinsurance_code,class_cd,it_remarks) values</v>
      </c>
      <c r="G335" s="83" t="str">
        <f t="shared" si="22"/>
        <v>('29Oct240071','040000184095','8800',(select max(to_number(i.premium_rcv_detail_code))+1
from ins_premium_det i),'8800','8800','02', '11000003','00','Request by Mr. Omair Ali 30-Aug-2024');</v>
      </c>
      <c r="H335" s="84" t="str">
        <f t="shared" si="23"/>
        <v>insert into ins_premium_det (premium_rcv_code,assorted_code, rec_amount,premium_rcv_detail_code,remaining_amt, payrec, mode_code,coinsurance_code,class_cd,it_remarks) values('29Oct240071','040000184095','8800',(select max(to_number(i.premium_rcv_detail_code))+1
from ins_premium_det i),'8800','8800','02', '11000003','00','Request by Mr. Omair Ali 30-Aug-2024');</v>
      </c>
    </row>
    <row r="336" spans="1:8" ht="105" x14ac:dyDescent="0.25">
      <c r="A336" t="s">
        <v>474</v>
      </c>
      <c r="B336" s="80" t="str">
        <f>VLOOKUP(A336,policy!B:C,2,0)</f>
        <v>040000184096</v>
      </c>
      <c r="C336" s="46">
        <v>16235</v>
      </c>
      <c r="D336" s="81">
        <f t="shared" si="21"/>
        <v>16235</v>
      </c>
      <c r="E336" s="79" t="s">
        <v>3563</v>
      </c>
      <c r="F336" s="82" t="str">
        <f t="shared" si="20"/>
        <v>insert into ins_premium_det (premium_rcv_code,assorted_code, rec_amount,premium_rcv_detail_code,remaining_amt, payrec, mode_code,coinsurance_code,class_cd,it_remarks) values</v>
      </c>
      <c r="G336" s="83" t="str">
        <f t="shared" si="22"/>
        <v>('29Oct240071','040000184096','16235',(select max(to_number(i.premium_rcv_detail_code))+1
from ins_premium_det i),'16235','16235','02', '11000003','00','Request by Mr. Omair Ali 30-Aug-2024');</v>
      </c>
      <c r="H336" s="84" t="str">
        <f t="shared" si="23"/>
        <v>insert into ins_premium_det (premium_rcv_code,assorted_code, rec_amount,premium_rcv_detail_code,remaining_amt, payrec, mode_code,coinsurance_code,class_cd,it_remarks) values('29Oct240071','040000184096','16235',(select max(to_number(i.premium_rcv_detail_code))+1
from ins_premium_det i),'16235','16235','02', '11000003','00','Request by Mr. Omair Ali 30-Aug-2024');</v>
      </c>
    </row>
    <row r="337" spans="1:8" ht="105" x14ac:dyDescent="0.25">
      <c r="A337" t="s">
        <v>475</v>
      </c>
      <c r="B337" s="80" t="str">
        <f>VLOOKUP(A337,policy!B:C,2,0)</f>
        <v>040000184097</v>
      </c>
      <c r="C337" s="46">
        <v>16235</v>
      </c>
      <c r="D337" s="81">
        <f t="shared" si="21"/>
        <v>16235</v>
      </c>
      <c r="E337" s="79" t="s">
        <v>3563</v>
      </c>
      <c r="F337" s="82" t="str">
        <f t="shared" si="20"/>
        <v>insert into ins_premium_det (premium_rcv_code,assorted_code, rec_amount,premium_rcv_detail_code,remaining_amt, payrec, mode_code,coinsurance_code,class_cd,it_remarks) values</v>
      </c>
      <c r="G337" s="83" t="str">
        <f t="shared" si="22"/>
        <v>('29Oct240071','040000184097','16235',(select max(to_number(i.premium_rcv_detail_code))+1
from ins_premium_det i),'16235','16235','02', '11000003','00','Request by Mr. Omair Ali 30-Aug-2024');</v>
      </c>
      <c r="H337" s="84" t="str">
        <f t="shared" si="23"/>
        <v>insert into ins_premium_det (premium_rcv_code,assorted_code, rec_amount,premium_rcv_detail_code,remaining_amt, payrec, mode_code,coinsurance_code,class_cd,it_remarks) values('29Oct240071','040000184097','16235',(select max(to_number(i.premium_rcv_detail_code))+1
from ins_premium_det i),'16235','16235','02', '11000003','00','Request by Mr. Omair Ali 30-Aug-2024');</v>
      </c>
    </row>
    <row r="338" spans="1:8" ht="105" x14ac:dyDescent="0.25">
      <c r="A338" t="s">
        <v>476</v>
      </c>
      <c r="B338" s="80" t="str">
        <f>VLOOKUP(A338,policy!B:C,2,0)</f>
        <v>040000184098</v>
      </c>
      <c r="C338" s="46">
        <v>14960</v>
      </c>
      <c r="D338" s="81">
        <f t="shared" si="21"/>
        <v>14960</v>
      </c>
      <c r="E338" s="79" t="s">
        <v>3563</v>
      </c>
      <c r="F338" s="82" t="str">
        <f t="shared" si="20"/>
        <v>insert into ins_premium_det (premium_rcv_code,assorted_code, rec_amount,premium_rcv_detail_code,remaining_amt, payrec, mode_code,coinsurance_code,class_cd,it_remarks) values</v>
      </c>
      <c r="G338" s="83" t="str">
        <f t="shared" si="22"/>
        <v>('29Oct240071','040000184098','14960',(select max(to_number(i.premium_rcv_detail_code))+1
from ins_premium_det i),'14960','14960','02', '11000003','00','Request by Mr. Omair Ali 30-Aug-2024');</v>
      </c>
      <c r="H338" s="84" t="str">
        <f t="shared" si="23"/>
        <v>insert into ins_premium_det (premium_rcv_code,assorted_code, rec_amount,premium_rcv_detail_code,remaining_amt, payrec, mode_code,coinsurance_code,class_cd,it_remarks) values('29Oct240071','040000184098','14960',(select max(to_number(i.premium_rcv_detail_code))+1
from ins_premium_det i),'14960','14960','02', '11000003','00','Request by Mr. Omair Ali 30-Aug-2024');</v>
      </c>
    </row>
    <row r="339" spans="1:8" ht="105" x14ac:dyDescent="0.25">
      <c r="A339" t="s">
        <v>477</v>
      </c>
      <c r="B339" s="80" t="str">
        <f>VLOOKUP(A339,policy!B:C,2,0)</f>
        <v>040000184099</v>
      </c>
      <c r="C339" s="46">
        <v>14960</v>
      </c>
      <c r="D339" s="81">
        <f t="shared" si="21"/>
        <v>14960</v>
      </c>
      <c r="E339" s="79" t="s">
        <v>3563</v>
      </c>
      <c r="F339" s="82" t="str">
        <f t="shared" si="20"/>
        <v>insert into ins_premium_det (premium_rcv_code,assorted_code, rec_amount,premium_rcv_detail_code,remaining_amt, payrec, mode_code,coinsurance_code,class_cd,it_remarks) values</v>
      </c>
      <c r="G339" s="83" t="str">
        <f t="shared" si="22"/>
        <v>('29Oct240071','040000184099','14960',(select max(to_number(i.premium_rcv_detail_code))+1
from ins_premium_det i),'14960','14960','02', '11000003','00','Request by Mr. Omair Ali 30-Aug-2024');</v>
      </c>
      <c r="H339" s="84" t="str">
        <f t="shared" si="23"/>
        <v>insert into ins_premium_det (premium_rcv_code,assorted_code, rec_amount,premium_rcv_detail_code,remaining_amt, payrec, mode_code,coinsurance_code,class_cd,it_remarks) values('29Oct240071','040000184099','14960',(select max(to_number(i.premium_rcv_detail_code))+1
from ins_premium_det i),'14960','14960','02', '11000003','00','Request by Mr. Omair Ali 30-Aug-2024');</v>
      </c>
    </row>
    <row r="340" spans="1:8" ht="105" x14ac:dyDescent="0.25">
      <c r="A340" t="s">
        <v>478</v>
      </c>
      <c r="B340" s="80" t="str">
        <f>VLOOKUP(A340,policy!B:C,2,0)</f>
        <v>040000184100</v>
      </c>
      <c r="C340" s="46">
        <v>14960</v>
      </c>
      <c r="D340" s="81">
        <f t="shared" si="21"/>
        <v>14960</v>
      </c>
      <c r="E340" s="79" t="s">
        <v>3563</v>
      </c>
      <c r="F340" s="82" t="str">
        <f t="shared" si="20"/>
        <v>insert into ins_premium_det (premium_rcv_code,assorted_code, rec_amount,premium_rcv_detail_code,remaining_amt, payrec, mode_code,coinsurance_code,class_cd,it_remarks) values</v>
      </c>
      <c r="G340" s="83" t="str">
        <f t="shared" si="22"/>
        <v>('29Oct240071','040000184100','14960',(select max(to_number(i.premium_rcv_detail_code))+1
from ins_premium_det i),'14960','14960','02', '11000003','00','Request by Mr. Omair Ali 30-Aug-2024');</v>
      </c>
      <c r="H340" s="84" t="str">
        <f t="shared" si="23"/>
        <v>insert into ins_premium_det (premium_rcv_code,assorted_code, rec_amount,premium_rcv_detail_code,remaining_amt, payrec, mode_code,coinsurance_code,class_cd,it_remarks) values('29Oct240071','040000184100','14960',(select max(to_number(i.premium_rcv_detail_code))+1
from ins_premium_det i),'14960','14960','02', '11000003','00','Request by Mr. Omair Ali 30-Aug-2024');</v>
      </c>
    </row>
    <row r="341" spans="1:8" ht="105" x14ac:dyDescent="0.25">
      <c r="A341" t="s">
        <v>479</v>
      </c>
      <c r="B341" s="80" t="str">
        <f>VLOOKUP(A341,policy!B:C,2,0)</f>
        <v>040000184101</v>
      </c>
      <c r="C341" s="46">
        <v>14960</v>
      </c>
      <c r="D341" s="81">
        <f t="shared" si="21"/>
        <v>14960</v>
      </c>
      <c r="E341" s="79" t="s">
        <v>3563</v>
      </c>
      <c r="F341" s="82" t="str">
        <f t="shared" si="20"/>
        <v>insert into ins_premium_det (premium_rcv_code,assorted_code, rec_amount,premium_rcv_detail_code,remaining_amt, payrec, mode_code,coinsurance_code,class_cd,it_remarks) values</v>
      </c>
      <c r="G341" s="83" t="str">
        <f t="shared" si="22"/>
        <v>('29Oct240071','040000184101','14960',(select max(to_number(i.premium_rcv_detail_code))+1
from ins_premium_det i),'14960','14960','02', '11000003','00','Request by Mr. Omair Ali 30-Aug-2024');</v>
      </c>
      <c r="H341" s="84" t="str">
        <f t="shared" si="23"/>
        <v>insert into ins_premium_det (premium_rcv_code,assorted_code, rec_amount,premium_rcv_detail_code,remaining_amt, payrec, mode_code,coinsurance_code,class_cd,it_remarks) values('29Oct240071','040000184101','14960',(select max(to_number(i.premium_rcv_detail_code))+1
from ins_premium_det i),'14960','14960','02', '11000003','00','Request by Mr. Omair Ali 30-Aug-2024');</v>
      </c>
    </row>
    <row r="342" spans="1:8" ht="105" x14ac:dyDescent="0.25">
      <c r="A342" t="s">
        <v>480</v>
      </c>
      <c r="B342" s="80" t="str">
        <f>VLOOKUP(A342,policy!B:C,2,0)</f>
        <v>040000184102</v>
      </c>
      <c r="C342" s="46">
        <v>14960</v>
      </c>
      <c r="D342" s="81">
        <f t="shared" si="21"/>
        <v>14960</v>
      </c>
      <c r="E342" s="79" t="s">
        <v>3563</v>
      </c>
      <c r="F342" s="82" t="str">
        <f t="shared" si="20"/>
        <v>insert into ins_premium_det (premium_rcv_code,assorted_code, rec_amount,premium_rcv_detail_code,remaining_amt, payrec, mode_code,coinsurance_code,class_cd,it_remarks) values</v>
      </c>
      <c r="G342" s="83" t="str">
        <f t="shared" si="22"/>
        <v>('29Oct240071','040000184102','14960',(select max(to_number(i.premium_rcv_detail_code))+1
from ins_premium_det i),'14960','14960','02', '11000003','00','Request by Mr. Omair Ali 30-Aug-2024');</v>
      </c>
      <c r="H342" s="84" t="str">
        <f t="shared" si="23"/>
        <v>insert into ins_premium_det (premium_rcv_code,assorted_code, rec_amount,premium_rcv_detail_code,remaining_amt, payrec, mode_code,coinsurance_code,class_cd,it_remarks) values('29Oct240071','040000184102','14960',(select max(to_number(i.premium_rcv_detail_code))+1
from ins_premium_det i),'14960','14960','02', '11000003','00','Request by Mr. Omair Ali 30-Aug-2024');</v>
      </c>
    </row>
    <row r="343" spans="1:8" ht="105" x14ac:dyDescent="0.25">
      <c r="A343" t="s">
        <v>481</v>
      </c>
      <c r="B343" s="80" t="str">
        <f>VLOOKUP(A343,policy!B:C,2,0)</f>
        <v>040000184103</v>
      </c>
      <c r="C343" s="46">
        <v>14960</v>
      </c>
      <c r="D343" s="81">
        <f t="shared" si="21"/>
        <v>14960</v>
      </c>
      <c r="E343" s="79" t="s">
        <v>3563</v>
      </c>
      <c r="F343" s="82" t="str">
        <f t="shared" si="20"/>
        <v>insert into ins_premium_det (premium_rcv_code,assorted_code, rec_amount,premium_rcv_detail_code,remaining_amt, payrec, mode_code,coinsurance_code,class_cd,it_remarks) values</v>
      </c>
      <c r="G343" s="83" t="str">
        <f t="shared" si="22"/>
        <v>('29Oct240071','040000184103','14960',(select max(to_number(i.premium_rcv_detail_code))+1
from ins_premium_det i),'14960','14960','02', '11000003','00','Request by Mr. Omair Ali 30-Aug-2024');</v>
      </c>
      <c r="H343" s="84" t="str">
        <f t="shared" si="23"/>
        <v>insert into ins_premium_det (premium_rcv_code,assorted_code, rec_amount,premium_rcv_detail_code,remaining_amt, payrec, mode_code,coinsurance_code,class_cd,it_remarks) values('29Oct240071','040000184103','14960',(select max(to_number(i.premium_rcv_detail_code))+1
from ins_premium_det i),'14960','14960','02', '11000003','00','Request by Mr. Omair Ali 30-Aug-2024');</v>
      </c>
    </row>
    <row r="344" spans="1:8" ht="105" x14ac:dyDescent="0.25">
      <c r="A344" t="s">
        <v>482</v>
      </c>
      <c r="B344" s="80" t="str">
        <f>VLOOKUP(A344,policy!B:C,2,0)</f>
        <v>040000184159</v>
      </c>
      <c r="C344" s="46">
        <v>14960</v>
      </c>
      <c r="D344" s="81">
        <f t="shared" si="21"/>
        <v>14960</v>
      </c>
      <c r="E344" s="79" t="s">
        <v>3563</v>
      </c>
      <c r="F344" s="82" t="str">
        <f t="shared" si="20"/>
        <v>insert into ins_premium_det (premium_rcv_code,assorted_code, rec_amount,premium_rcv_detail_code,remaining_amt, payrec, mode_code,coinsurance_code,class_cd,it_remarks) values</v>
      </c>
      <c r="G344" s="83" t="str">
        <f t="shared" si="22"/>
        <v>('29Oct240071','040000184159','14960',(select max(to_number(i.premium_rcv_detail_code))+1
from ins_premium_det i),'14960','14960','02', '11000003','00','Request by Mr. Omair Ali 30-Aug-2024');</v>
      </c>
      <c r="H344" s="84" t="str">
        <f t="shared" si="23"/>
        <v>insert into ins_premium_det (premium_rcv_code,assorted_code, rec_amount,premium_rcv_detail_code,remaining_amt, payrec, mode_code,coinsurance_code,class_cd,it_remarks) values('29Oct240071','040000184159','14960',(select max(to_number(i.premium_rcv_detail_code))+1
from ins_premium_det i),'14960','14960','02', '11000003','00','Request by Mr. Omair Ali 30-Aug-2024');</v>
      </c>
    </row>
    <row r="345" spans="1:8" ht="105" x14ac:dyDescent="0.25">
      <c r="A345" t="s">
        <v>483</v>
      </c>
      <c r="B345" s="80" t="str">
        <f>VLOOKUP(A345,policy!B:C,2,0)</f>
        <v>040000184165</v>
      </c>
      <c r="C345" s="46">
        <v>8800</v>
      </c>
      <c r="D345" s="81">
        <f t="shared" si="21"/>
        <v>8800</v>
      </c>
      <c r="E345" s="79" t="s">
        <v>3563</v>
      </c>
      <c r="F345" s="82" t="str">
        <f t="shared" si="20"/>
        <v>insert into ins_premium_det (premium_rcv_code,assorted_code, rec_amount,premium_rcv_detail_code,remaining_amt, payrec, mode_code,coinsurance_code,class_cd,it_remarks) values</v>
      </c>
      <c r="G345" s="83" t="str">
        <f t="shared" si="22"/>
        <v>('29Oct240071','040000184165','8800',(select max(to_number(i.premium_rcv_detail_code))+1
from ins_premium_det i),'8800','8800','02', '11000003','00','Request by Mr. Omair Ali 30-Aug-2024');</v>
      </c>
      <c r="H345" s="84" t="str">
        <f t="shared" si="23"/>
        <v>insert into ins_premium_det (premium_rcv_code,assorted_code, rec_amount,premium_rcv_detail_code,remaining_amt, payrec, mode_code,coinsurance_code,class_cd,it_remarks) values('29Oct240071','040000184165','8800',(select max(to_number(i.premium_rcv_detail_code))+1
from ins_premium_det i),'8800','8800','02', '11000003','00','Request by Mr. Omair Ali 30-Aug-2024');</v>
      </c>
    </row>
    <row r="346" spans="1:8" ht="105" x14ac:dyDescent="0.25">
      <c r="A346" t="s">
        <v>484</v>
      </c>
      <c r="B346" s="80" t="str">
        <f>VLOOKUP(A346,policy!B:C,2,0)</f>
        <v>040000184168</v>
      </c>
      <c r="C346" s="46">
        <v>8800</v>
      </c>
      <c r="D346" s="81">
        <f t="shared" si="21"/>
        <v>8800</v>
      </c>
      <c r="E346" s="79" t="s">
        <v>3563</v>
      </c>
      <c r="F346" s="82" t="str">
        <f t="shared" si="20"/>
        <v>insert into ins_premium_det (premium_rcv_code,assorted_code, rec_amount,premium_rcv_detail_code,remaining_amt, payrec, mode_code,coinsurance_code,class_cd,it_remarks) values</v>
      </c>
      <c r="G346" s="83" t="str">
        <f t="shared" si="22"/>
        <v>('29Oct240071','040000184168','8800',(select max(to_number(i.premium_rcv_detail_code))+1
from ins_premium_det i),'8800','8800','02', '11000003','00','Request by Mr. Omair Ali 30-Aug-2024');</v>
      </c>
      <c r="H346" s="84" t="str">
        <f t="shared" si="23"/>
        <v>insert into ins_premium_det (premium_rcv_code,assorted_code, rec_amount,premium_rcv_detail_code,remaining_amt, payrec, mode_code,coinsurance_code,class_cd,it_remarks) values('29Oct240071','040000184168','8800',(select max(to_number(i.premium_rcv_detail_code))+1
from ins_premium_det i),'8800','8800','02', '11000003','00','Request by Mr. Omair Ali 30-Aug-2024');</v>
      </c>
    </row>
    <row r="347" spans="1:8" ht="105" x14ac:dyDescent="0.25">
      <c r="A347" t="s">
        <v>485</v>
      </c>
      <c r="B347" s="80" t="str">
        <f>VLOOKUP(A347,policy!B:C,2,0)</f>
        <v>040000184171</v>
      </c>
      <c r="C347" s="46">
        <v>8800</v>
      </c>
      <c r="D347" s="81">
        <f t="shared" si="21"/>
        <v>8800</v>
      </c>
      <c r="E347" s="79" t="s">
        <v>3563</v>
      </c>
      <c r="F347" s="82" t="str">
        <f t="shared" si="20"/>
        <v>insert into ins_premium_det (premium_rcv_code,assorted_code, rec_amount,premium_rcv_detail_code,remaining_amt, payrec, mode_code,coinsurance_code,class_cd,it_remarks) values</v>
      </c>
      <c r="G347" s="83" t="str">
        <f t="shared" si="22"/>
        <v>('29Oct240071','040000184171','8800',(select max(to_number(i.premium_rcv_detail_code))+1
from ins_premium_det i),'8800','8800','02', '11000003','00','Request by Mr. Omair Ali 30-Aug-2024');</v>
      </c>
      <c r="H347" s="84" t="str">
        <f t="shared" si="23"/>
        <v>insert into ins_premium_det (premium_rcv_code,assorted_code, rec_amount,premium_rcv_detail_code,remaining_amt, payrec, mode_code,coinsurance_code,class_cd,it_remarks) values('29Oct240071','040000184171','8800',(select max(to_number(i.premium_rcv_detail_code))+1
from ins_premium_det i),'8800','8800','02', '11000003','00','Request by Mr. Omair Ali 30-Aug-2024');</v>
      </c>
    </row>
    <row r="348" spans="1:8" ht="105" x14ac:dyDescent="0.25">
      <c r="A348" t="s">
        <v>486</v>
      </c>
      <c r="B348" s="80" t="str">
        <f>VLOOKUP(A348,policy!B:C,2,0)</f>
        <v>040000184173</v>
      </c>
      <c r="C348" s="46">
        <v>8800</v>
      </c>
      <c r="D348" s="81">
        <f t="shared" si="21"/>
        <v>8800</v>
      </c>
      <c r="E348" s="79" t="s">
        <v>3563</v>
      </c>
      <c r="F348" s="82" t="str">
        <f t="shared" si="20"/>
        <v>insert into ins_premium_det (premium_rcv_code,assorted_code, rec_amount,premium_rcv_detail_code,remaining_amt, payrec, mode_code,coinsurance_code,class_cd,it_remarks) values</v>
      </c>
      <c r="G348" s="83" t="str">
        <f t="shared" si="22"/>
        <v>('29Oct240071','040000184173','8800',(select max(to_number(i.premium_rcv_detail_code))+1
from ins_premium_det i),'8800','8800','02', '11000003','00','Request by Mr. Omair Ali 30-Aug-2024');</v>
      </c>
      <c r="H348" s="84" t="str">
        <f t="shared" si="23"/>
        <v>insert into ins_premium_det (premium_rcv_code,assorted_code, rec_amount,premium_rcv_detail_code,remaining_amt, payrec, mode_code,coinsurance_code,class_cd,it_remarks) values('29Oct240071','040000184173','8800',(select max(to_number(i.premium_rcv_detail_code))+1
from ins_premium_det i),'8800','8800','02', '11000003','00','Request by Mr. Omair Ali 30-Aug-2024');</v>
      </c>
    </row>
    <row r="349" spans="1:8" ht="105" x14ac:dyDescent="0.25">
      <c r="A349" t="s">
        <v>487</v>
      </c>
      <c r="B349" s="80" t="str">
        <f>VLOOKUP(A349,policy!B:C,2,0)</f>
        <v>040000184174</v>
      </c>
      <c r="C349" s="46">
        <v>8800</v>
      </c>
      <c r="D349" s="81">
        <f t="shared" si="21"/>
        <v>8800</v>
      </c>
      <c r="E349" s="79" t="s">
        <v>3563</v>
      </c>
      <c r="F349" s="82" t="str">
        <f t="shared" si="20"/>
        <v>insert into ins_premium_det (premium_rcv_code,assorted_code, rec_amount,premium_rcv_detail_code,remaining_amt, payrec, mode_code,coinsurance_code,class_cd,it_remarks) values</v>
      </c>
      <c r="G349" s="83" t="str">
        <f t="shared" si="22"/>
        <v>('29Oct240071','040000184174','8800',(select max(to_number(i.premium_rcv_detail_code))+1
from ins_premium_det i),'8800','8800','02', '11000003','00','Request by Mr. Omair Ali 30-Aug-2024');</v>
      </c>
      <c r="H349" s="84" t="str">
        <f t="shared" si="23"/>
        <v>insert into ins_premium_det (premium_rcv_code,assorted_code, rec_amount,premium_rcv_detail_code,remaining_amt, payrec, mode_code,coinsurance_code,class_cd,it_remarks) values('29Oct240071','040000184174','8800',(select max(to_number(i.premium_rcv_detail_code))+1
from ins_premium_det i),'8800','8800','02', '11000003','00','Request by Mr. Omair Ali 30-Aug-2024');</v>
      </c>
    </row>
    <row r="350" spans="1:8" ht="105" x14ac:dyDescent="0.25">
      <c r="A350" t="s">
        <v>488</v>
      </c>
      <c r="B350" s="80" t="str">
        <f>VLOOKUP(A350,policy!B:C,2,0)</f>
        <v>040000184180</v>
      </c>
      <c r="C350" s="46">
        <v>13675</v>
      </c>
      <c r="D350" s="81">
        <f t="shared" si="21"/>
        <v>13675</v>
      </c>
      <c r="E350" s="79" t="s">
        <v>3563</v>
      </c>
      <c r="F350" s="82" t="str">
        <f t="shared" si="20"/>
        <v>insert into ins_premium_det (premium_rcv_code,assorted_code, rec_amount,premium_rcv_detail_code,remaining_amt, payrec, mode_code,coinsurance_code,class_cd,it_remarks) values</v>
      </c>
      <c r="G350" s="83" t="str">
        <f t="shared" si="22"/>
        <v>('29Oct240071','040000184180','13675',(select max(to_number(i.premium_rcv_detail_code))+1
from ins_premium_det i),'13675','13675','02', '11000003','00','Request by Mr. Omair Ali 30-Aug-2024');</v>
      </c>
      <c r="H350" s="84" t="str">
        <f t="shared" si="23"/>
        <v>insert into ins_premium_det (premium_rcv_code,assorted_code, rec_amount,premium_rcv_detail_code,remaining_amt, payrec, mode_code,coinsurance_code,class_cd,it_remarks) values('29Oct240071','040000184180','13675',(select max(to_number(i.premium_rcv_detail_code))+1
from ins_premium_det i),'13675','13675','02', '11000003','00','Request by Mr. Omair Ali 30-Aug-2024');</v>
      </c>
    </row>
    <row r="351" spans="1:8" ht="105" x14ac:dyDescent="0.25">
      <c r="A351" t="s">
        <v>489</v>
      </c>
      <c r="B351" s="80" t="str">
        <f>VLOOKUP(A351,policy!B:C,2,0)</f>
        <v>040000184183</v>
      </c>
      <c r="C351" s="46">
        <v>8800</v>
      </c>
      <c r="D351" s="81">
        <f t="shared" si="21"/>
        <v>8800</v>
      </c>
      <c r="E351" s="79" t="s">
        <v>3563</v>
      </c>
      <c r="F351" s="82" t="str">
        <f t="shared" si="20"/>
        <v>insert into ins_premium_det (premium_rcv_code,assorted_code, rec_amount,premium_rcv_detail_code,remaining_amt, payrec, mode_code,coinsurance_code,class_cd,it_remarks) values</v>
      </c>
      <c r="G351" s="83" t="str">
        <f t="shared" si="22"/>
        <v>('29Oct240071','040000184183','8800',(select max(to_number(i.premium_rcv_detail_code))+1
from ins_premium_det i),'8800','8800','02', '11000003','00','Request by Mr. Omair Ali 30-Aug-2024');</v>
      </c>
      <c r="H351" s="84" t="str">
        <f t="shared" si="23"/>
        <v>insert into ins_premium_det (premium_rcv_code,assorted_code, rec_amount,premium_rcv_detail_code,remaining_amt, payrec, mode_code,coinsurance_code,class_cd,it_remarks) values('29Oct240071','040000184183','8800',(select max(to_number(i.premium_rcv_detail_code))+1
from ins_premium_det i),'8800','8800','02', '11000003','00','Request by Mr. Omair Ali 30-Aug-2024');</v>
      </c>
    </row>
    <row r="352" spans="1:8" ht="105" x14ac:dyDescent="0.25">
      <c r="A352" t="s">
        <v>490</v>
      </c>
      <c r="B352" s="80" t="str">
        <f>VLOOKUP(A352,policy!B:C,2,0)</f>
        <v>040000184185</v>
      </c>
      <c r="C352" s="46">
        <v>12475</v>
      </c>
      <c r="D352" s="81">
        <f t="shared" si="21"/>
        <v>12475</v>
      </c>
      <c r="E352" s="79" t="s">
        <v>3563</v>
      </c>
      <c r="F352" s="82" t="str">
        <f t="shared" si="20"/>
        <v>insert into ins_premium_det (premium_rcv_code,assorted_code, rec_amount,premium_rcv_detail_code,remaining_amt, payrec, mode_code,coinsurance_code,class_cd,it_remarks) values</v>
      </c>
      <c r="G352" s="83" t="str">
        <f t="shared" si="22"/>
        <v>('29Oct240071','040000184185','12475',(select max(to_number(i.premium_rcv_detail_code))+1
from ins_premium_det i),'12475','12475','02', '11000003','00','Request by Mr. Omair Ali 30-Aug-2024');</v>
      </c>
      <c r="H352" s="84" t="str">
        <f t="shared" si="23"/>
        <v>insert into ins_premium_det (premium_rcv_code,assorted_code, rec_amount,premium_rcv_detail_code,remaining_amt, payrec, mode_code,coinsurance_code,class_cd,it_remarks) values('29Oct240071','040000184185','12475',(select max(to_number(i.premium_rcv_detail_code))+1
from ins_premium_det i),'12475','12475','02', '11000003','00','Request by Mr. Omair Ali 30-Aug-2024');</v>
      </c>
    </row>
    <row r="353" spans="1:8" ht="105" x14ac:dyDescent="0.25">
      <c r="A353" t="s">
        <v>491</v>
      </c>
      <c r="B353" s="80" t="str">
        <f>VLOOKUP(A353,policy!B:C,2,0)</f>
        <v>040000184186</v>
      </c>
      <c r="C353" s="46">
        <v>8800</v>
      </c>
      <c r="D353" s="81">
        <f t="shared" si="21"/>
        <v>8800</v>
      </c>
      <c r="E353" s="79" t="s">
        <v>3563</v>
      </c>
      <c r="F353" s="82" t="str">
        <f t="shared" si="20"/>
        <v>insert into ins_premium_det (premium_rcv_code,assorted_code, rec_amount,premium_rcv_detail_code,remaining_amt, payrec, mode_code,coinsurance_code,class_cd,it_remarks) values</v>
      </c>
      <c r="G353" s="83" t="str">
        <f t="shared" si="22"/>
        <v>('29Oct240071','040000184186','8800',(select max(to_number(i.premium_rcv_detail_code))+1
from ins_premium_det i),'8800','8800','02', '11000003','00','Request by Mr. Omair Ali 30-Aug-2024');</v>
      </c>
      <c r="H353" s="84" t="str">
        <f t="shared" si="23"/>
        <v>insert into ins_premium_det (premium_rcv_code,assorted_code, rec_amount,premium_rcv_detail_code,remaining_amt, payrec, mode_code,coinsurance_code,class_cd,it_remarks) values('29Oct240071','040000184186','8800',(select max(to_number(i.premium_rcv_detail_code))+1
from ins_premium_det i),'8800','8800','02', '11000003','00','Request by Mr. Omair Ali 30-Aug-2024');</v>
      </c>
    </row>
    <row r="354" spans="1:8" ht="105" x14ac:dyDescent="0.25">
      <c r="A354" t="s">
        <v>492</v>
      </c>
      <c r="B354" s="80" t="str">
        <f>VLOOKUP(A354,policy!B:C,2,0)</f>
        <v>040000184187</v>
      </c>
      <c r="C354" s="46">
        <v>13675</v>
      </c>
      <c r="D354" s="81">
        <f t="shared" si="21"/>
        <v>13675</v>
      </c>
      <c r="E354" s="79" t="s">
        <v>3563</v>
      </c>
      <c r="F354" s="82" t="str">
        <f t="shared" si="20"/>
        <v>insert into ins_premium_det (premium_rcv_code,assorted_code, rec_amount,premium_rcv_detail_code,remaining_amt, payrec, mode_code,coinsurance_code,class_cd,it_remarks) values</v>
      </c>
      <c r="G354" s="83" t="str">
        <f t="shared" si="22"/>
        <v>('29Oct240071','040000184187','13675',(select max(to_number(i.premium_rcv_detail_code))+1
from ins_premium_det i),'13675','13675','02', '11000003','00','Request by Mr. Omair Ali 30-Aug-2024');</v>
      </c>
      <c r="H354" s="84" t="str">
        <f t="shared" si="23"/>
        <v>insert into ins_premium_det (premium_rcv_code,assorted_code, rec_amount,premium_rcv_detail_code,remaining_amt, payrec, mode_code,coinsurance_code,class_cd,it_remarks) values('29Oct240071','040000184187','13675',(select max(to_number(i.premium_rcv_detail_code))+1
from ins_premium_det i),'13675','13675','02', '11000003','00','Request by Mr. Omair Ali 30-Aug-2024');</v>
      </c>
    </row>
    <row r="355" spans="1:8" ht="105" x14ac:dyDescent="0.25">
      <c r="A355" t="s">
        <v>493</v>
      </c>
      <c r="B355" s="80" t="str">
        <f>VLOOKUP(A355,policy!B:C,2,0)</f>
        <v>040000184194</v>
      </c>
      <c r="C355" s="46">
        <v>14960</v>
      </c>
      <c r="D355" s="81">
        <f t="shared" si="21"/>
        <v>14960</v>
      </c>
      <c r="E355" s="79" t="s">
        <v>3563</v>
      </c>
      <c r="F355" s="82" t="str">
        <f t="shared" si="20"/>
        <v>insert into ins_premium_det (premium_rcv_code,assorted_code, rec_amount,premium_rcv_detail_code,remaining_amt, payrec, mode_code,coinsurance_code,class_cd,it_remarks) values</v>
      </c>
      <c r="G355" s="83" t="str">
        <f t="shared" si="22"/>
        <v>('29Oct240071','040000184194','14960',(select max(to_number(i.premium_rcv_detail_code))+1
from ins_premium_det i),'14960','14960','02', '11000003','00','Request by Mr. Omair Ali 30-Aug-2024');</v>
      </c>
      <c r="H355" s="84" t="str">
        <f t="shared" si="23"/>
        <v>insert into ins_premium_det (premium_rcv_code,assorted_code, rec_amount,premium_rcv_detail_code,remaining_amt, payrec, mode_code,coinsurance_code,class_cd,it_remarks) values('29Oct240071','040000184194','14960',(select max(to_number(i.premium_rcv_detail_code))+1
from ins_premium_det i),'14960','14960','02', '11000003','00','Request by Mr. Omair Ali 30-Aug-2024');</v>
      </c>
    </row>
    <row r="356" spans="1:8" ht="105" x14ac:dyDescent="0.25">
      <c r="A356" t="s">
        <v>494</v>
      </c>
      <c r="B356" s="80" t="str">
        <f>VLOOKUP(A356,policy!B:C,2,0)</f>
        <v>040000184195</v>
      </c>
      <c r="C356" s="46">
        <v>14960</v>
      </c>
      <c r="D356" s="81">
        <f t="shared" si="21"/>
        <v>14960</v>
      </c>
      <c r="E356" s="79" t="s">
        <v>3563</v>
      </c>
      <c r="F356" s="82" t="str">
        <f t="shared" si="20"/>
        <v>insert into ins_premium_det (premium_rcv_code,assorted_code, rec_amount,premium_rcv_detail_code,remaining_amt, payrec, mode_code,coinsurance_code,class_cd,it_remarks) values</v>
      </c>
      <c r="G356" s="83" t="str">
        <f t="shared" si="22"/>
        <v>('29Oct240071','040000184195','14960',(select max(to_number(i.premium_rcv_detail_code))+1
from ins_premium_det i),'14960','14960','02', '11000003','00','Request by Mr. Omair Ali 30-Aug-2024');</v>
      </c>
      <c r="H356" s="84" t="str">
        <f t="shared" si="23"/>
        <v>insert into ins_premium_det (premium_rcv_code,assorted_code, rec_amount,premium_rcv_detail_code,remaining_amt, payrec, mode_code,coinsurance_code,class_cd,it_remarks) values('29Oct240071','040000184195','14960',(select max(to_number(i.premium_rcv_detail_code))+1
from ins_premium_det i),'14960','14960','02', '11000003','00','Request by Mr. Omair Ali 30-Aug-2024');</v>
      </c>
    </row>
    <row r="357" spans="1:8" ht="105" x14ac:dyDescent="0.25">
      <c r="A357" t="s">
        <v>495</v>
      </c>
      <c r="B357" s="80" t="str">
        <f>VLOOKUP(A357,policy!B:C,2,0)</f>
        <v>040000184196</v>
      </c>
      <c r="C357" s="46">
        <v>14960</v>
      </c>
      <c r="D357" s="81">
        <f t="shared" si="21"/>
        <v>14960</v>
      </c>
      <c r="E357" s="79" t="s">
        <v>3563</v>
      </c>
      <c r="F357" s="82" t="str">
        <f t="shared" si="20"/>
        <v>insert into ins_premium_det (premium_rcv_code,assorted_code, rec_amount,premium_rcv_detail_code,remaining_amt, payrec, mode_code,coinsurance_code,class_cd,it_remarks) values</v>
      </c>
      <c r="G357" s="83" t="str">
        <f t="shared" si="22"/>
        <v>('29Oct240071','040000184196','14960',(select max(to_number(i.premium_rcv_detail_code))+1
from ins_premium_det i),'14960','14960','02', '11000003','00','Request by Mr. Omair Ali 30-Aug-2024');</v>
      </c>
      <c r="H357" s="84" t="str">
        <f t="shared" si="23"/>
        <v>insert into ins_premium_det (premium_rcv_code,assorted_code, rec_amount,premium_rcv_detail_code,remaining_amt, payrec, mode_code,coinsurance_code,class_cd,it_remarks) values('29Oct240071','040000184196','14960',(select max(to_number(i.premium_rcv_detail_code))+1
from ins_premium_det i),'14960','14960','02', '11000003','00','Request by Mr. Omair Ali 30-Aug-2024');</v>
      </c>
    </row>
    <row r="358" spans="1:8" ht="105" x14ac:dyDescent="0.25">
      <c r="A358" t="s">
        <v>496</v>
      </c>
      <c r="B358" s="80" t="str">
        <f>VLOOKUP(A358,policy!B:C,2,0)</f>
        <v>040000184197</v>
      </c>
      <c r="C358" s="46">
        <v>14960</v>
      </c>
      <c r="D358" s="81">
        <f t="shared" si="21"/>
        <v>14960</v>
      </c>
      <c r="E358" s="79" t="s">
        <v>3563</v>
      </c>
      <c r="F358" s="82" t="str">
        <f t="shared" si="20"/>
        <v>insert into ins_premium_det (premium_rcv_code,assorted_code, rec_amount,premium_rcv_detail_code,remaining_amt, payrec, mode_code,coinsurance_code,class_cd,it_remarks) values</v>
      </c>
      <c r="G358" s="83" t="str">
        <f t="shared" si="22"/>
        <v>('29Oct240071','040000184197','14960',(select max(to_number(i.premium_rcv_detail_code))+1
from ins_premium_det i),'14960','14960','02', '11000003','00','Request by Mr. Omair Ali 30-Aug-2024');</v>
      </c>
      <c r="H358" s="84" t="str">
        <f t="shared" si="23"/>
        <v>insert into ins_premium_det (premium_rcv_code,assorted_code, rec_amount,premium_rcv_detail_code,remaining_amt, payrec, mode_code,coinsurance_code,class_cd,it_remarks) values('29Oct240071','040000184197','14960',(select max(to_number(i.premium_rcv_detail_code))+1
from ins_premium_det i),'14960','14960','02', '11000003','00','Request by Mr. Omair Ali 30-Aug-2024');</v>
      </c>
    </row>
    <row r="359" spans="1:8" ht="105" x14ac:dyDescent="0.25">
      <c r="A359" t="s">
        <v>497</v>
      </c>
      <c r="B359" s="80" t="str">
        <f>VLOOKUP(A359,policy!B:C,2,0)</f>
        <v>040000184200</v>
      </c>
      <c r="C359" s="46">
        <v>14365</v>
      </c>
      <c r="D359" s="81">
        <f t="shared" si="21"/>
        <v>14365</v>
      </c>
      <c r="E359" s="79" t="s">
        <v>3563</v>
      </c>
      <c r="F359" s="82" t="str">
        <f t="shared" si="20"/>
        <v>insert into ins_premium_det (premium_rcv_code,assorted_code, rec_amount,premium_rcv_detail_code,remaining_amt, payrec, mode_code,coinsurance_code,class_cd,it_remarks) values</v>
      </c>
      <c r="G359" s="83" t="str">
        <f t="shared" si="22"/>
        <v>('29Oct240071','040000184200','14365',(select max(to_number(i.premium_rcv_detail_code))+1
from ins_premium_det i),'14365','14365','02', '11000003','00','Request by Mr. Omair Ali 30-Aug-2024');</v>
      </c>
      <c r="H359" s="84" t="str">
        <f t="shared" si="23"/>
        <v>insert into ins_premium_det (premium_rcv_code,assorted_code, rec_amount,premium_rcv_detail_code,remaining_amt, payrec, mode_code,coinsurance_code,class_cd,it_remarks) values('29Oct240071','040000184200','14365',(select max(to_number(i.premium_rcv_detail_code))+1
from ins_premium_det i),'14365','14365','02', '11000003','00','Request by Mr. Omair Ali 30-Aug-2024');</v>
      </c>
    </row>
    <row r="360" spans="1:8" ht="105" x14ac:dyDescent="0.25">
      <c r="A360" t="s">
        <v>498</v>
      </c>
      <c r="B360" s="80" t="str">
        <f>VLOOKUP(A360,policy!B:C,2,0)</f>
        <v>040000184204</v>
      </c>
      <c r="C360" s="46">
        <v>14960</v>
      </c>
      <c r="D360" s="81">
        <f t="shared" si="21"/>
        <v>14960</v>
      </c>
      <c r="E360" s="79" t="s">
        <v>3563</v>
      </c>
      <c r="F360" s="82" t="str">
        <f t="shared" si="20"/>
        <v>insert into ins_premium_det (premium_rcv_code,assorted_code, rec_amount,premium_rcv_detail_code,remaining_amt, payrec, mode_code,coinsurance_code,class_cd,it_remarks) values</v>
      </c>
      <c r="G360" s="83" t="str">
        <f t="shared" si="22"/>
        <v>('29Oct240071','040000184204','14960',(select max(to_number(i.premium_rcv_detail_code))+1
from ins_premium_det i),'14960','14960','02', '11000003','00','Request by Mr. Omair Ali 30-Aug-2024');</v>
      </c>
      <c r="H360" s="84" t="str">
        <f t="shared" si="23"/>
        <v>insert into ins_premium_det (premium_rcv_code,assorted_code, rec_amount,premium_rcv_detail_code,remaining_amt, payrec, mode_code,coinsurance_code,class_cd,it_remarks) values('29Oct240071','040000184204','14960',(select max(to_number(i.premium_rcv_detail_code))+1
from ins_premium_det i),'14960','14960','02', '11000003','00','Request by Mr. Omair Ali 30-Aug-2024');</v>
      </c>
    </row>
    <row r="361" spans="1:8" ht="105" x14ac:dyDescent="0.25">
      <c r="A361" t="s">
        <v>499</v>
      </c>
      <c r="B361" s="80" t="str">
        <f>VLOOKUP(A361,policy!B:C,2,0)</f>
        <v>040000184221</v>
      </c>
      <c r="C361" s="46">
        <v>14960</v>
      </c>
      <c r="D361" s="81">
        <f t="shared" si="21"/>
        <v>14960</v>
      </c>
      <c r="E361" s="79" t="s">
        <v>3563</v>
      </c>
      <c r="F361" s="82" t="str">
        <f t="shared" si="20"/>
        <v>insert into ins_premium_det (premium_rcv_code,assorted_code, rec_amount,premium_rcv_detail_code,remaining_amt, payrec, mode_code,coinsurance_code,class_cd,it_remarks) values</v>
      </c>
      <c r="G361" s="83" t="str">
        <f t="shared" si="22"/>
        <v>('29Oct240071','040000184221','14960',(select max(to_number(i.premium_rcv_detail_code))+1
from ins_premium_det i),'14960','14960','02', '11000003','00','Request by Mr. Omair Ali 30-Aug-2024');</v>
      </c>
      <c r="H361" s="84" t="str">
        <f t="shared" si="23"/>
        <v>insert into ins_premium_det (premium_rcv_code,assorted_code, rec_amount,premium_rcv_detail_code,remaining_amt, payrec, mode_code,coinsurance_code,class_cd,it_remarks) values('29Oct240071','040000184221','14960',(select max(to_number(i.premium_rcv_detail_code))+1
from ins_premium_det i),'14960','14960','02', '11000003','00','Request by Mr. Omair Ali 30-Aug-2024');</v>
      </c>
    </row>
    <row r="362" spans="1:8" ht="105" x14ac:dyDescent="0.25">
      <c r="A362" t="s">
        <v>500</v>
      </c>
      <c r="B362" s="80" t="str">
        <f>VLOOKUP(A362,policy!B:C,2,0)</f>
        <v>040000184222</v>
      </c>
      <c r="C362" s="46">
        <v>14960</v>
      </c>
      <c r="D362" s="81">
        <f t="shared" si="21"/>
        <v>14960</v>
      </c>
      <c r="E362" s="79" t="s">
        <v>3563</v>
      </c>
      <c r="F362" s="82" t="str">
        <f t="shared" si="20"/>
        <v>insert into ins_premium_det (premium_rcv_code,assorted_code, rec_amount,premium_rcv_detail_code,remaining_amt, payrec, mode_code,coinsurance_code,class_cd,it_remarks) values</v>
      </c>
      <c r="G362" s="83" t="str">
        <f t="shared" si="22"/>
        <v>('29Oct240071','040000184222','14960',(select max(to_number(i.premium_rcv_detail_code))+1
from ins_premium_det i),'14960','14960','02', '11000003','00','Request by Mr. Omair Ali 30-Aug-2024');</v>
      </c>
      <c r="H362" s="84" t="str">
        <f t="shared" si="23"/>
        <v>insert into ins_premium_det (premium_rcv_code,assorted_code, rec_amount,premium_rcv_detail_code,remaining_amt, payrec, mode_code,coinsurance_code,class_cd,it_remarks) values('29Oct240071','040000184222','14960',(select max(to_number(i.premium_rcv_detail_code))+1
from ins_premium_det i),'14960','14960','02', '11000003','00','Request by Mr. Omair Ali 30-Aug-2024');</v>
      </c>
    </row>
    <row r="363" spans="1:8" ht="105" x14ac:dyDescent="0.25">
      <c r="A363" t="s">
        <v>501</v>
      </c>
      <c r="B363" s="80" t="str">
        <f>VLOOKUP(A363,policy!B:C,2,0)</f>
        <v>040000184223</v>
      </c>
      <c r="C363" s="46">
        <v>14960</v>
      </c>
      <c r="D363" s="81">
        <f t="shared" si="21"/>
        <v>14960</v>
      </c>
      <c r="E363" s="79" t="s">
        <v>3563</v>
      </c>
      <c r="F363" s="82" t="str">
        <f t="shared" si="20"/>
        <v>insert into ins_premium_det (premium_rcv_code,assorted_code, rec_amount,premium_rcv_detail_code,remaining_amt, payrec, mode_code,coinsurance_code,class_cd,it_remarks) values</v>
      </c>
      <c r="G363" s="83" t="str">
        <f t="shared" si="22"/>
        <v>('29Oct240071','040000184223','14960',(select max(to_number(i.premium_rcv_detail_code))+1
from ins_premium_det i),'14960','14960','02', '11000003','00','Request by Mr. Omair Ali 30-Aug-2024');</v>
      </c>
      <c r="H363" s="84" t="str">
        <f t="shared" si="23"/>
        <v>insert into ins_premium_det (premium_rcv_code,assorted_code, rec_amount,premium_rcv_detail_code,remaining_amt, payrec, mode_code,coinsurance_code,class_cd,it_remarks) values('29Oct240071','040000184223','14960',(select max(to_number(i.premium_rcv_detail_code))+1
from ins_premium_det i),'14960','14960','02', '11000003','00','Request by Mr. Omair Ali 30-Aug-2024');</v>
      </c>
    </row>
    <row r="364" spans="1:8" ht="105" x14ac:dyDescent="0.25">
      <c r="A364" t="s">
        <v>502</v>
      </c>
      <c r="B364" s="80" t="str">
        <f>VLOOKUP(A364,policy!B:C,2,0)</f>
        <v>040000184231</v>
      </c>
      <c r="C364" s="46">
        <v>14960</v>
      </c>
      <c r="D364" s="81">
        <f t="shared" si="21"/>
        <v>14960</v>
      </c>
      <c r="E364" s="79" t="s">
        <v>3563</v>
      </c>
      <c r="F364" s="82" t="str">
        <f t="shared" si="20"/>
        <v>insert into ins_premium_det (premium_rcv_code,assorted_code, rec_amount,premium_rcv_detail_code,remaining_amt, payrec, mode_code,coinsurance_code,class_cd,it_remarks) values</v>
      </c>
      <c r="G364" s="83" t="str">
        <f t="shared" si="22"/>
        <v>('29Oct240071','040000184231','14960',(select max(to_number(i.premium_rcv_detail_code))+1
from ins_premium_det i),'14960','14960','02', '11000003','00','Request by Mr. Omair Ali 30-Aug-2024');</v>
      </c>
      <c r="H364" s="84" t="str">
        <f t="shared" si="23"/>
        <v>insert into ins_premium_det (premium_rcv_code,assorted_code, rec_amount,premium_rcv_detail_code,remaining_amt, payrec, mode_code,coinsurance_code,class_cd,it_remarks) values('29Oct240071','040000184231','14960',(select max(to_number(i.premium_rcv_detail_code))+1
from ins_premium_det i),'14960','14960','02', '11000003','00','Request by Mr. Omair Ali 30-Aug-2024');</v>
      </c>
    </row>
    <row r="365" spans="1:8" ht="105" x14ac:dyDescent="0.25">
      <c r="A365" t="s">
        <v>503</v>
      </c>
      <c r="B365" s="80" t="str">
        <f>VLOOKUP(A365,policy!B:C,2,0)</f>
        <v>040000184232</v>
      </c>
      <c r="C365" s="46">
        <v>14960</v>
      </c>
      <c r="D365" s="81">
        <f t="shared" si="21"/>
        <v>14960</v>
      </c>
      <c r="E365" s="79" t="s">
        <v>3563</v>
      </c>
      <c r="F365" s="82" t="str">
        <f t="shared" si="20"/>
        <v>insert into ins_premium_det (premium_rcv_code,assorted_code, rec_amount,premium_rcv_detail_code,remaining_amt, payrec, mode_code,coinsurance_code,class_cd,it_remarks) values</v>
      </c>
      <c r="G365" s="83" t="str">
        <f t="shared" si="22"/>
        <v>('29Oct240071','040000184232','14960',(select max(to_number(i.premium_rcv_detail_code))+1
from ins_premium_det i),'14960','14960','02', '11000003','00','Request by Mr. Omair Ali 30-Aug-2024');</v>
      </c>
      <c r="H365" s="84" t="str">
        <f t="shared" si="23"/>
        <v>insert into ins_premium_det (premium_rcv_code,assorted_code, rec_amount,premium_rcv_detail_code,remaining_amt, payrec, mode_code,coinsurance_code,class_cd,it_remarks) values('29Oct240071','040000184232','14960',(select max(to_number(i.premium_rcv_detail_code))+1
from ins_premium_det i),'14960','14960','02', '11000003','00','Request by Mr. Omair Ali 30-Aug-2024');</v>
      </c>
    </row>
    <row r="366" spans="1:8" ht="105" x14ac:dyDescent="0.25">
      <c r="A366" t="s">
        <v>504</v>
      </c>
      <c r="B366" s="80" t="str">
        <f>VLOOKUP(A366,policy!B:C,2,0)</f>
        <v>040000184234</v>
      </c>
      <c r="C366" s="46">
        <v>14960</v>
      </c>
      <c r="D366" s="81">
        <f t="shared" si="21"/>
        <v>14960</v>
      </c>
      <c r="E366" s="79" t="s">
        <v>3563</v>
      </c>
      <c r="F366" s="82" t="str">
        <f t="shared" si="20"/>
        <v>insert into ins_premium_det (premium_rcv_code,assorted_code, rec_amount,premium_rcv_detail_code,remaining_amt, payrec, mode_code,coinsurance_code,class_cd,it_remarks) values</v>
      </c>
      <c r="G366" s="83" t="str">
        <f t="shared" si="22"/>
        <v>('29Oct240071','040000184234','14960',(select max(to_number(i.premium_rcv_detail_code))+1
from ins_premium_det i),'14960','14960','02', '11000003','00','Request by Mr. Omair Ali 30-Aug-2024');</v>
      </c>
      <c r="H366" s="84" t="str">
        <f t="shared" si="23"/>
        <v>insert into ins_premium_det (premium_rcv_code,assorted_code, rec_amount,premium_rcv_detail_code,remaining_amt, payrec, mode_code,coinsurance_code,class_cd,it_remarks) values('29Oct240071','040000184234','14960',(select max(to_number(i.premium_rcv_detail_code))+1
from ins_premium_det i),'14960','14960','02', '11000003','00','Request by Mr. Omair Ali 30-Aug-2024');</v>
      </c>
    </row>
    <row r="367" spans="1:8" ht="105" x14ac:dyDescent="0.25">
      <c r="A367" t="s">
        <v>505</v>
      </c>
      <c r="B367" s="80" t="str">
        <f>VLOOKUP(A367,policy!B:C,2,0)</f>
        <v>040000184245</v>
      </c>
      <c r="C367" s="46">
        <v>14960</v>
      </c>
      <c r="D367" s="81">
        <f t="shared" si="21"/>
        <v>14960</v>
      </c>
      <c r="E367" s="79" t="s">
        <v>3563</v>
      </c>
      <c r="F367" s="82" t="str">
        <f t="shared" si="20"/>
        <v>insert into ins_premium_det (premium_rcv_code,assorted_code, rec_amount,premium_rcv_detail_code,remaining_amt, payrec, mode_code,coinsurance_code,class_cd,it_remarks) values</v>
      </c>
      <c r="G367" s="83" t="str">
        <f t="shared" si="22"/>
        <v>('29Oct240071','040000184245','14960',(select max(to_number(i.premium_rcv_detail_code))+1
from ins_premium_det i),'14960','14960','02', '11000003','00','Request by Mr. Omair Ali 30-Aug-2024');</v>
      </c>
      <c r="H367" s="84" t="str">
        <f t="shared" si="23"/>
        <v>insert into ins_premium_det (premium_rcv_code,assorted_code, rec_amount,premium_rcv_detail_code,remaining_amt, payrec, mode_code,coinsurance_code,class_cd,it_remarks) values('29Oct240071','040000184245','14960',(select max(to_number(i.premium_rcv_detail_code))+1
from ins_premium_det i),'14960','14960','02', '11000003','00','Request by Mr. Omair Ali 30-Aug-2024');</v>
      </c>
    </row>
    <row r="368" spans="1:8" ht="105" x14ac:dyDescent="0.25">
      <c r="A368" t="s">
        <v>506</v>
      </c>
      <c r="B368" s="80" t="str">
        <f>VLOOKUP(A368,policy!B:C,2,0)</f>
        <v>040000184247</v>
      </c>
      <c r="C368" s="46">
        <v>23248</v>
      </c>
      <c r="D368" s="81">
        <f t="shared" si="21"/>
        <v>23248</v>
      </c>
      <c r="E368" s="79" t="s">
        <v>3563</v>
      </c>
      <c r="F368" s="82" t="str">
        <f t="shared" si="20"/>
        <v>insert into ins_premium_det (premium_rcv_code,assorted_code, rec_amount,premium_rcv_detail_code,remaining_amt, payrec, mode_code,coinsurance_code,class_cd,it_remarks) values</v>
      </c>
      <c r="G368" s="83" t="str">
        <f t="shared" si="22"/>
        <v>('29Oct240071','040000184247','23248',(select max(to_number(i.premium_rcv_detail_code))+1
from ins_premium_det i),'23248','23248','02', '11000003','00','Request by Mr. Omair Ali 30-Aug-2024');</v>
      </c>
      <c r="H368" s="84" t="str">
        <f t="shared" si="23"/>
        <v>insert into ins_premium_det (premium_rcv_code,assorted_code, rec_amount,premium_rcv_detail_code,remaining_amt, payrec, mode_code,coinsurance_code,class_cd,it_remarks) values('29Oct240071','040000184247','23248',(select max(to_number(i.premium_rcv_detail_code))+1
from ins_premium_det i),'23248','23248','02', '11000003','00','Request by Mr. Omair Ali 30-Aug-2024');</v>
      </c>
    </row>
    <row r="369" spans="1:8" ht="105" x14ac:dyDescent="0.25">
      <c r="A369" t="s">
        <v>507</v>
      </c>
      <c r="B369" s="80" t="str">
        <f>VLOOKUP(A369,policy!B:C,2,0)</f>
        <v>040000184248</v>
      </c>
      <c r="C369" s="46">
        <v>23248</v>
      </c>
      <c r="D369" s="81">
        <f t="shared" si="21"/>
        <v>23248</v>
      </c>
      <c r="E369" s="79" t="s">
        <v>3563</v>
      </c>
      <c r="F369" s="82" t="str">
        <f t="shared" si="20"/>
        <v>insert into ins_premium_det (premium_rcv_code,assorted_code, rec_amount,premium_rcv_detail_code,remaining_amt, payrec, mode_code,coinsurance_code,class_cd,it_remarks) values</v>
      </c>
      <c r="G369" s="83" t="str">
        <f t="shared" si="22"/>
        <v>('29Oct240071','040000184248','23248',(select max(to_number(i.premium_rcv_detail_code))+1
from ins_premium_det i),'23248','23248','02', '11000003','00','Request by Mr. Omair Ali 30-Aug-2024');</v>
      </c>
      <c r="H369" s="84" t="str">
        <f t="shared" si="23"/>
        <v>insert into ins_premium_det (premium_rcv_code,assorted_code, rec_amount,premium_rcv_detail_code,remaining_amt, payrec, mode_code,coinsurance_code,class_cd,it_remarks) values('29Oct240071','040000184248','23248',(select max(to_number(i.premium_rcv_detail_code))+1
from ins_premium_det i),'23248','23248','02', '11000003','00','Request by Mr. Omair Ali 30-Aug-2024');</v>
      </c>
    </row>
    <row r="370" spans="1:8" ht="105" x14ac:dyDescent="0.25">
      <c r="A370" t="s">
        <v>508</v>
      </c>
      <c r="B370" s="80" t="str">
        <f>VLOOKUP(A370,policy!B:C,2,0)</f>
        <v>040000184251</v>
      </c>
      <c r="C370" s="46">
        <v>14960</v>
      </c>
      <c r="D370" s="81">
        <f t="shared" si="21"/>
        <v>14960</v>
      </c>
      <c r="E370" s="79" t="s">
        <v>3563</v>
      </c>
      <c r="F370" s="82" t="str">
        <f t="shared" si="20"/>
        <v>insert into ins_premium_det (premium_rcv_code,assorted_code, rec_amount,premium_rcv_detail_code,remaining_amt, payrec, mode_code,coinsurance_code,class_cd,it_remarks) values</v>
      </c>
      <c r="G370" s="83" t="str">
        <f t="shared" si="22"/>
        <v>('29Oct240071','040000184251','14960',(select max(to_number(i.premium_rcv_detail_code))+1
from ins_premium_det i),'14960','14960','02', '11000003','00','Request by Mr. Omair Ali 30-Aug-2024');</v>
      </c>
      <c r="H370" s="84" t="str">
        <f t="shared" si="23"/>
        <v>insert into ins_premium_det (premium_rcv_code,assorted_code, rec_amount,premium_rcv_detail_code,remaining_amt, payrec, mode_code,coinsurance_code,class_cd,it_remarks) values('29Oct240071','040000184251','14960',(select max(to_number(i.premium_rcv_detail_code))+1
from ins_premium_det i),'14960','14960','02', '11000003','00','Request by Mr. Omair Ali 30-Aug-2024');</v>
      </c>
    </row>
    <row r="371" spans="1:8" ht="105" x14ac:dyDescent="0.25">
      <c r="A371" t="s">
        <v>509</v>
      </c>
      <c r="B371" s="80" t="str">
        <f>VLOOKUP(A371,policy!B:C,2,0)</f>
        <v>040000184264</v>
      </c>
      <c r="C371" s="46">
        <v>14960</v>
      </c>
      <c r="D371" s="81">
        <f t="shared" si="21"/>
        <v>14960</v>
      </c>
      <c r="E371" s="79" t="s">
        <v>3563</v>
      </c>
      <c r="F371" s="82" t="str">
        <f t="shared" si="20"/>
        <v>insert into ins_premium_det (premium_rcv_code,assorted_code, rec_amount,premium_rcv_detail_code,remaining_amt, payrec, mode_code,coinsurance_code,class_cd,it_remarks) values</v>
      </c>
      <c r="G371" s="83" t="str">
        <f t="shared" si="22"/>
        <v>('29Oct240071','040000184264','14960',(select max(to_number(i.premium_rcv_detail_code))+1
from ins_premium_det i),'14960','14960','02', '11000003','00','Request by Mr. Omair Ali 30-Aug-2024');</v>
      </c>
      <c r="H371" s="84" t="str">
        <f t="shared" si="23"/>
        <v>insert into ins_premium_det (premium_rcv_code,assorted_code, rec_amount,premium_rcv_detail_code,remaining_amt, payrec, mode_code,coinsurance_code,class_cd,it_remarks) values('29Oct240071','040000184264','14960',(select max(to_number(i.premium_rcv_detail_code))+1
from ins_premium_det i),'14960','14960','02', '11000003','00','Request by Mr. Omair Ali 30-Aug-2024');</v>
      </c>
    </row>
    <row r="372" spans="1:8" ht="105" x14ac:dyDescent="0.25">
      <c r="A372" t="s">
        <v>510</v>
      </c>
      <c r="B372" s="80" t="str">
        <f>VLOOKUP(A372,policy!B:C,2,0)</f>
        <v>040000184265</v>
      </c>
      <c r="C372" s="46">
        <v>14960</v>
      </c>
      <c r="D372" s="81">
        <f t="shared" si="21"/>
        <v>14960</v>
      </c>
      <c r="E372" s="79" t="s">
        <v>3563</v>
      </c>
      <c r="F372" s="82" t="str">
        <f t="shared" si="20"/>
        <v>insert into ins_premium_det (premium_rcv_code,assorted_code, rec_amount,premium_rcv_detail_code,remaining_amt, payrec, mode_code,coinsurance_code,class_cd,it_remarks) values</v>
      </c>
      <c r="G372" s="83" t="str">
        <f t="shared" si="22"/>
        <v>('29Oct240071','040000184265','14960',(select max(to_number(i.premium_rcv_detail_code))+1
from ins_premium_det i),'14960','14960','02', '11000003','00','Request by Mr. Omair Ali 30-Aug-2024');</v>
      </c>
      <c r="H372" s="84" t="str">
        <f t="shared" si="23"/>
        <v>insert into ins_premium_det (premium_rcv_code,assorted_code, rec_amount,premium_rcv_detail_code,remaining_amt, payrec, mode_code,coinsurance_code,class_cd,it_remarks) values('29Oct240071','040000184265','14960',(select max(to_number(i.premium_rcv_detail_code))+1
from ins_premium_det i),'14960','14960','02', '11000003','00','Request by Mr. Omair Ali 30-Aug-2024');</v>
      </c>
    </row>
    <row r="373" spans="1:8" ht="105" x14ac:dyDescent="0.25">
      <c r="A373" t="s">
        <v>511</v>
      </c>
      <c r="B373" s="80" t="str">
        <f>VLOOKUP(A373,policy!B:C,2,0)</f>
        <v>040000184267</v>
      </c>
      <c r="C373" s="46">
        <v>16235</v>
      </c>
      <c r="D373" s="81">
        <f t="shared" si="21"/>
        <v>16235</v>
      </c>
      <c r="E373" s="79" t="s">
        <v>3563</v>
      </c>
      <c r="F373" s="82" t="str">
        <f t="shared" si="20"/>
        <v>insert into ins_premium_det (premium_rcv_code,assorted_code, rec_amount,premium_rcv_detail_code,remaining_amt, payrec, mode_code,coinsurance_code,class_cd,it_remarks) values</v>
      </c>
      <c r="G373" s="83" t="str">
        <f t="shared" si="22"/>
        <v>('29Oct240071','040000184267','16235',(select max(to_number(i.premium_rcv_detail_code))+1
from ins_premium_det i),'16235','16235','02', '11000003','00','Request by Mr. Omair Ali 30-Aug-2024');</v>
      </c>
      <c r="H373" s="84" t="str">
        <f t="shared" si="23"/>
        <v>insert into ins_premium_det (premium_rcv_code,assorted_code, rec_amount,premium_rcv_detail_code,remaining_amt, payrec, mode_code,coinsurance_code,class_cd,it_remarks) values('29Oct240071','040000184267','16235',(select max(to_number(i.premium_rcv_detail_code))+1
from ins_premium_det i),'16235','16235','02', '11000003','00','Request by Mr. Omair Ali 30-Aug-2024');</v>
      </c>
    </row>
    <row r="374" spans="1:8" ht="105" x14ac:dyDescent="0.25">
      <c r="A374" t="s">
        <v>512</v>
      </c>
      <c r="B374" s="80" t="str">
        <f>VLOOKUP(A374,policy!B:C,2,0)</f>
        <v>040000184271</v>
      </c>
      <c r="C374" s="46">
        <v>14960</v>
      </c>
      <c r="D374" s="81">
        <f t="shared" si="21"/>
        <v>14960</v>
      </c>
      <c r="E374" s="79" t="s">
        <v>3563</v>
      </c>
      <c r="F374" s="82" t="str">
        <f t="shared" si="20"/>
        <v>insert into ins_premium_det (premium_rcv_code,assorted_code, rec_amount,premium_rcv_detail_code,remaining_amt, payrec, mode_code,coinsurance_code,class_cd,it_remarks) values</v>
      </c>
      <c r="G374" s="83" t="str">
        <f t="shared" si="22"/>
        <v>('29Oct240071','040000184271','14960',(select max(to_number(i.premium_rcv_detail_code))+1
from ins_premium_det i),'14960','14960','02', '11000003','00','Request by Mr. Omair Ali 30-Aug-2024');</v>
      </c>
      <c r="H374" s="84" t="str">
        <f t="shared" si="23"/>
        <v>insert into ins_premium_det (premium_rcv_code,assorted_code, rec_amount,premium_rcv_detail_code,remaining_amt, payrec, mode_code,coinsurance_code,class_cd,it_remarks) values('29Oct240071','040000184271','14960',(select max(to_number(i.premium_rcv_detail_code))+1
from ins_premium_det i),'14960','14960','02', '11000003','00','Request by Mr. Omair Ali 30-Aug-2024');</v>
      </c>
    </row>
    <row r="375" spans="1:8" ht="105" x14ac:dyDescent="0.25">
      <c r="A375" t="s">
        <v>513</v>
      </c>
      <c r="B375" s="80" t="str">
        <f>VLOOKUP(A375,policy!B:C,2,0)</f>
        <v>040000184272</v>
      </c>
      <c r="C375" s="46">
        <v>23248</v>
      </c>
      <c r="D375" s="81">
        <f t="shared" si="21"/>
        <v>23248</v>
      </c>
      <c r="E375" s="79" t="s">
        <v>3563</v>
      </c>
      <c r="F375" s="82" t="str">
        <f t="shared" si="20"/>
        <v>insert into ins_premium_det (premium_rcv_code,assorted_code, rec_amount,premium_rcv_detail_code,remaining_amt, payrec, mode_code,coinsurance_code,class_cd,it_remarks) values</v>
      </c>
      <c r="G375" s="83" t="str">
        <f t="shared" si="22"/>
        <v>('29Oct240071','040000184272','23248',(select max(to_number(i.premium_rcv_detail_code))+1
from ins_premium_det i),'23248','23248','02', '11000003','00','Request by Mr. Omair Ali 30-Aug-2024');</v>
      </c>
      <c r="H375" s="84" t="str">
        <f t="shared" si="23"/>
        <v>insert into ins_premium_det (premium_rcv_code,assorted_code, rec_amount,premium_rcv_detail_code,remaining_amt, payrec, mode_code,coinsurance_code,class_cd,it_remarks) values('29Oct240071','040000184272','23248',(select max(to_number(i.premium_rcv_detail_code))+1
from ins_premium_det i),'23248','23248','02', '11000003','00','Request by Mr. Omair Ali 30-Aug-2024');</v>
      </c>
    </row>
    <row r="376" spans="1:8" ht="105" x14ac:dyDescent="0.25">
      <c r="A376" t="s">
        <v>514</v>
      </c>
      <c r="B376" s="80" t="str">
        <f>VLOOKUP(A376,policy!B:C,2,0)</f>
        <v>040000184273</v>
      </c>
      <c r="C376" s="46">
        <v>23248</v>
      </c>
      <c r="D376" s="81">
        <f t="shared" si="21"/>
        <v>23248</v>
      </c>
      <c r="E376" s="79" t="s">
        <v>3563</v>
      </c>
      <c r="F376" s="82" t="str">
        <f t="shared" si="20"/>
        <v>insert into ins_premium_det (premium_rcv_code,assorted_code, rec_amount,premium_rcv_detail_code,remaining_amt, payrec, mode_code,coinsurance_code,class_cd,it_remarks) values</v>
      </c>
      <c r="G376" s="83" t="str">
        <f t="shared" si="22"/>
        <v>('29Oct240071','040000184273','23248',(select max(to_number(i.premium_rcv_detail_code))+1
from ins_premium_det i),'23248','23248','02', '11000003','00','Request by Mr. Omair Ali 30-Aug-2024');</v>
      </c>
      <c r="H376" s="84" t="str">
        <f t="shared" si="23"/>
        <v>insert into ins_premium_det (premium_rcv_code,assorted_code, rec_amount,premium_rcv_detail_code,remaining_amt, payrec, mode_code,coinsurance_code,class_cd,it_remarks) values('29Oct240071','040000184273','23248',(select max(to_number(i.premium_rcv_detail_code))+1
from ins_premium_det i),'23248','23248','02', '11000003','00','Request by Mr. Omair Ali 30-Aug-2024');</v>
      </c>
    </row>
    <row r="377" spans="1:8" ht="105" x14ac:dyDescent="0.25">
      <c r="A377" t="s">
        <v>515</v>
      </c>
      <c r="B377" s="80" t="str">
        <f>VLOOKUP(A377,policy!B:C,2,0)</f>
        <v>040000184274</v>
      </c>
      <c r="C377" s="46">
        <v>14960</v>
      </c>
      <c r="D377" s="81">
        <f t="shared" si="21"/>
        <v>14960</v>
      </c>
      <c r="E377" s="79" t="s">
        <v>3563</v>
      </c>
      <c r="F377" s="82" t="str">
        <f t="shared" si="20"/>
        <v>insert into ins_premium_det (premium_rcv_code,assorted_code, rec_amount,premium_rcv_detail_code,remaining_amt, payrec, mode_code,coinsurance_code,class_cd,it_remarks) values</v>
      </c>
      <c r="G377" s="83" t="str">
        <f t="shared" si="22"/>
        <v>('29Oct240071','040000184274','14960',(select max(to_number(i.premium_rcv_detail_code))+1
from ins_premium_det i),'14960','14960','02', '11000003','00','Request by Mr. Omair Ali 30-Aug-2024');</v>
      </c>
      <c r="H377" s="84" t="str">
        <f t="shared" si="23"/>
        <v>insert into ins_premium_det (premium_rcv_code,assorted_code, rec_amount,premium_rcv_detail_code,remaining_amt, payrec, mode_code,coinsurance_code,class_cd,it_remarks) values('29Oct240071','040000184274','14960',(select max(to_number(i.premium_rcv_detail_code))+1
from ins_premium_det i),'14960','14960','02', '11000003','00','Request by Mr. Omair Ali 30-Aug-2024');</v>
      </c>
    </row>
    <row r="378" spans="1:8" ht="105" x14ac:dyDescent="0.25">
      <c r="A378" t="s">
        <v>516</v>
      </c>
      <c r="B378" s="80" t="str">
        <f>VLOOKUP(A378,policy!B:C,2,0)</f>
        <v>040000184275</v>
      </c>
      <c r="C378" s="46">
        <v>14960</v>
      </c>
      <c r="D378" s="81">
        <f t="shared" si="21"/>
        <v>14960</v>
      </c>
      <c r="E378" s="79" t="s">
        <v>3563</v>
      </c>
      <c r="F378" s="82" t="str">
        <f t="shared" si="20"/>
        <v>insert into ins_premium_det (premium_rcv_code,assorted_code, rec_amount,premium_rcv_detail_code,remaining_amt, payrec, mode_code,coinsurance_code,class_cd,it_remarks) values</v>
      </c>
      <c r="G378" s="83" t="str">
        <f t="shared" si="22"/>
        <v>('29Oct240071','040000184275','14960',(select max(to_number(i.premium_rcv_detail_code))+1
from ins_premium_det i),'14960','14960','02', '11000003','00','Request by Mr. Omair Ali 30-Aug-2024');</v>
      </c>
      <c r="H378" s="84" t="str">
        <f t="shared" si="23"/>
        <v>insert into ins_premium_det (premium_rcv_code,assorted_code, rec_amount,premium_rcv_detail_code,remaining_amt, payrec, mode_code,coinsurance_code,class_cd,it_remarks) values('29Oct240071','040000184275','14960',(select max(to_number(i.premium_rcv_detail_code))+1
from ins_premium_det i),'14960','14960','02', '11000003','00','Request by Mr. Omair Ali 30-Aug-2024');</v>
      </c>
    </row>
    <row r="379" spans="1:8" ht="105" x14ac:dyDescent="0.25">
      <c r="A379" t="s">
        <v>517</v>
      </c>
      <c r="B379" s="80" t="str">
        <f>VLOOKUP(A379,policy!B:C,2,0)</f>
        <v>040000184297</v>
      </c>
      <c r="C379" s="46">
        <v>8800</v>
      </c>
      <c r="D379" s="81">
        <f t="shared" si="21"/>
        <v>8800</v>
      </c>
      <c r="E379" s="79" t="s">
        <v>3563</v>
      </c>
      <c r="F379" s="82" t="str">
        <f t="shared" si="20"/>
        <v>insert into ins_premium_det (premium_rcv_code,assorted_code, rec_amount,premium_rcv_detail_code,remaining_amt, payrec, mode_code,coinsurance_code,class_cd,it_remarks) values</v>
      </c>
      <c r="G379" s="83" t="str">
        <f t="shared" si="22"/>
        <v>('29Oct240071','040000184297','8800',(select max(to_number(i.premium_rcv_detail_code))+1
from ins_premium_det i),'8800','8800','02', '11000003','00','Request by Mr. Omair Ali 30-Aug-2024');</v>
      </c>
      <c r="H379" s="84" t="str">
        <f t="shared" si="23"/>
        <v>insert into ins_premium_det (premium_rcv_code,assorted_code, rec_amount,premium_rcv_detail_code,remaining_amt, payrec, mode_code,coinsurance_code,class_cd,it_remarks) values('29Oct240071','040000184297','8800',(select max(to_number(i.premium_rcv_detail_code))+1
from ins_premium_det i),'8800','8800','02', '11000003','00','Request by Mr. Omair Ali 30-Aug-2024');</v>
      </c>
    </row>
    <row r="380" spans="1:8" ht="105" x14ac:dyDescent="0.25">
      <c r="A380" t="s">
        <v>518</v>
      </c>
      <c r="B380" s="80" t="str">
        <f>VLOOKUP(A380,policy!B:C,2,0)</f>
        <v>040000184300</v>
      </c>
      <c r="C380" s="46">
        <v>8800</v>
      </c>
      <c r="D380" s="81">
        <f t="shared" si="21"/>
        <v>8800</v>
      </c>
      <c r="E380" s="79" t="s">
        <v>3563</v>
      </c>
      <c r="F380" s="82" t="str">
        <f t="shared" si="20"/>
        <v>insert into ins_premium_det (premium_rcv_code,assorted_code, rec_amount,premium_rcv_detail_code,remaining_amt, payrec, mode_code,coinsurance_code,class_cd,it_remarks) values</v>
      </c>
      <c r="G380" s="83" t="str">
        <f t="shared" si="22"/>
        <v>('29Oct240071','040000184300','8800',(select max(to_number(i.premium_rcv_detail_code))+1
from ins_premium_det i),'8800','8800','02', '11000003','00','Request by Mr. Omair Ali 30-Aug-2024');</v>
      </c>
      <c r="H380" s="84" t="str">
        <f t="shared" si="23"/>
        <v>insert into ins_premium_det (premium_rcv_code,assorted_code, rec_amount,premium_rcv_detail_code,remaining_amt, payrec, mode_code,coinsurance_code,class_cd,it_remarks) values('29Oct240071','040000184300','8800',(select max(to_number(i.premium_rcv_detail_code))+1
from ins_premium_det i),'8800','8800','02', '11000003','00','Request by Mr. Omair Ali 30-Aug-2024');</v>
      </c>
    </row>
    <row r="381" spans="1:8" ht="105" x14ac:dyDescent="0.25">
      <c r="A381" t="s">
        <v>519</v>
      </c>
      <c r="B381" s="80" t="str">
        <f>VLOOKUP(A381,policy!B:C,2,0)</f>
        <v>040000184309</v>
      </c>
      <c r="C381" s="46">
        <v>9550</v>
      </c>
      <c r="D381" s="81">
        <f t="shared" si="21"/>
        <v>9550</v>
      </c>
      <c r="E381" s="79" t="s">
        <v>3563</v>
      </c>
      <c r="F381" s="82" t="str">
        <f t="shared" si="20"/>
        <v>insert into ins_premium_det (premium_rcv_code,assorted_code, rec_amount,premium_rcv_detail_code,remaining_amt, payrec, mode_code,coinsurance_code,class_cd,it_remarks) values</v>
      </c>
      <c r="G381" s="83" t="str">
        <f t="shared" si="22"/>
        <v>('29Oct240071','040000184309','9550',(select max(to_number(i.premium_rcv_detail_code))+1
from ins_premium_det i),'9550','9550','02', '11000003','00','Request by Mr. Omair Ali 30-Aug-2024');</v>
      </c>
      <c r="H381" s="84" t="str">
        <f t="shared" si="23"/>
        <v>insert into ins_premium_det (premium_rcv_code,assorted_code, rec_amount,premium_rcv_detail_code,remaining_amt, payrec, mode_code,coinsurance_code,class_cd,it_remarks) values('29Oct240071','040000184309','9550',(select max(to_number(i.premium_rcv_detail_code))+1
from ins_premium_det i),'9550','9550','02', '11000003','00','Request by Mr. Omair Ali 30-Aug-2024');</v>
      </c>
    </row>
    <row r="382" spans="1:8" ht="105" x14ac:dyDescent="0.25">
      <c r="A382" t="s">
        <v>520</v>
      </c>
      <c r="B382" s="80" t="str">
        <f>VLOOKUP(A382,policy!B:C,2,0)</f>
        <v>040000184316</v>
      </c>
      <c r="C382" s="46">
        <v>8800</v>
      </c>
      <c r="D382" s="81">
        <f t="shared" si="21"/>
        <v>8800</v>
      </c>
      <c r="E382" s="79" t="s">
        <v>3563</v>
      </c>
      <c r="F382" s="82" t="str">
        <f t="shared" si="20"/>
        <v>insert into ins_premium_det (premium_rcv_code,assorted_code, rec_amount,premium_rcv_detail_code,remaining_amt, payrec, mode_code,coinsurance_code,class_cd,it_remarks) values</v>
      </c>
      <c r="G382" s="83" t="str">
        <f t="shared" si="22"/>
        <v>('29Oct240071','040000184316','8800',(select max(to_number(i.premium_rcv_detail_code))+1
from ins_premium_det i),'8800','8800','02', '11000003','00','Request by Mr. Omair Ali 30-Aug-2024');</v>
      </c>
      <c r="H382" s="84" t="str">
        <f t="shared" si="23"/>
        <v>insert into ins_premium_det (premium_rcv_code,assorted_code, rec_amount,premium_rcv_detail_code,remaining_amt, payrec, mode_code,coinsurance_code,class_cd,it_remarks) values('29Oct240071','040000184316','8800',(select max(to_number(i.premium_rcv_detail_code))+1
from ins_premium_det i),'8800','8800','02', '11000003','00','Request by Mr. Omair Ali 30-Aug-2024');</v>
      </c>
    </row>
    <row r="383" spans="1:8" ht="105" x14ac:dyDescent="0.25">
      <c r="A383" t="s">
        <v>521</v>
      </c>
      <c r="B383" s="80" t="str">
        <f>VLOOKUP(A383,policy!B:C,2,0)</f>
        <v>040000184320</v>
      </c>
      <c r="C383" s="46">
        <v>9550</v>
      </c>
      <c r="D383" s="81">
        <f t="shared" si="21"/>
        <v>9550</v>
      </c>
      <c r="E383" s="79" t="s">
        <v>3563</v>
      </c>
      <c r="F383" s="82" t="str">
        <f t="shared" si="20"/>
        <v>insert into ins_premium_det (premium_rcv_code,assorted_code, rec_amount,premium_rcv_detail_code,remaining_amt, payrec, mode_code,coinsurance_code,class_cd,it_remarks) values</v>
      </c>
      <c r="G383" s="83" t="str">
        <f t="shared" si="22"/>
        <v>('29Oct240071','040000184320','9550',(select max(to_number(i.premium_rcv_detail_code))+1
from ins_premium_det i),'9550','9550','02', '11000003','00','Request by Mr. Omair Ali 30-Aug-2024');</v>
      </c>
      <c r="H383" s="84" t="str">
        <f t="shared" si="23"/>
        <v>insert into ins_premium_det (premium_rcv_code,assorted_code, rec_amount,premium_rcv_detail_code,remaining_amt, payrec, mode_code,coinsurance_code,class_cd,it_remarks) values('29Oct240071','040000184320','9550',(select max(to_number(i.premium_rcv_detail_code))+1
from ins_premium_det i),'9550','9550','02', '11000003','00','Request by Mr. Omair Ali 30-Aug-2024');</v>
      </c>
    </row>
    <row r="384" spans="1:8" ht="105" x14ac:dyDescent="0.25">
      <c r="A384" t="s">
        <v>522</v>
      </c>
      <c r="B384" s="80" t="str">
        <f>VLOOKUP(A384,policy!B:C,2,0)</f>
        <v>040000184326</v>
      </c>
      <c r="C384" s="46">
        <v>13675</v>
      </c>
      <c r="D384" s="81">
        <f t="shared" si="21"/>
        <v>13675</v>
      </c>
      <c r="E384" s="79" t="s">
        <v>3563</v>
      </c>
      <c r="F384" s="82" t="str">
        <f t="shared" si="20"/>
        <v>insert into ins_premium_det (premium_rcv_code,assorted_code, rec_amount,premium_rcv_detail_code,remaining_amt, payrec, mode_code,coinsurance_code,class_cd,it_remarks) values</v>
      </c>
      <c r="G384" s="83" t="str">
        <f t="shared" si="22"/>
        <v>('29Oct240071','040000184326','13675',(select max(to_number(i.premium_rcv_detail_code))+1
from ins_premium_det i),'13675','13675','02', '11000003','00','Request by Mr. Omair Ali 30-Aug-2024');</v>
      </c>
      <c r="H384" s="84" t="str">
        <f t="shared" si="23"/>
        <v>insert into ins_premium_det (premium_rcv_code,assorted_code, rec_amount,premium_rcv_detail_code,remaining_amt, payrec, mode_code,coinsurance_code,class_cd,it_remarks) values('29Oct240071','040000184326','13675',(select max(to_number(i.premium_rcv_detail_code))+1
from ins_premium_det i),'13675','13675','02', '11000003','00','Request by Mr. Omair Ali 30-Aug-2024');</v>
      </c>
    </row>
    <row r="385" spans="1:8" ht="105" x14ac:dyDescent="0.25">
      <c r="A385" t="s">
        <v>523</v>
      </c>
      <c r="B385" s="80" t="str">
        <f>VLOOKUP(A385,policy!B:C,2,0)</f>
        <v>040000184328</v>
      </c>
      <c r="C385" s="46">
        <v>9550</v>
      </c>
      <c r="D385" s="81">
        <f t="shared" si="21"/>
        <v>9550</v>
      </c>
      <c r="E385" s="79" t="s">
        <v>3563</v>
      </c>
      <c r="F385" s="82" t="str">
        <f t="shared" si="20"/>
        <v>insert into ins_premium_det (premium_rcv_code,assorted_code, rec_amount,premium_rcv_detail_code,remaining_amt, payrec, mode_code,coinsurance_code,class_cd,it_remarks) values</v>
      </c>
      <c r="G385" s="83" t="str">
        <f t="shared" si="22"/>
        <v>('29Oct240071','040000184328','9550',(select max(to_number(i.premium_rcv_detail_code))+1
from ins_premium_det i),'9550','9550','02', '11000003','00','Request by Mr. Omair Ali 30-Aug-2024');</v>
      </c>
      <c r="H385" s="84" t="str">
        <f t="shared" si="23"/>
        <v>insert into ins_premium_det (premium_rcv_code,assorted_code, rec_amount,premium_rcv_detail_code,remaining_amt, payrec, mode_code,coinsurance_code,class_cd,it_remarks) values('29Oct240071','040000184328','9550',(select max(to_number(i.premium_rcv_detail_code))+1
from ins_premium_det i),'9550','9550','02', '11000003','00','Request by Mr. Omair Ali 30-Aug-2024');</v>
      </c>
    </row>
    <row r="386" spans="1:8" ht="105" x14ac:dyDescent="0.25">
      <c r="A386" t="s">
        <v>524</v>
      </c>
      <c r="B386" s="80" t="str">
        <f>VLOOKUP(A386,policy!B:C,2,0)</f>
        <v>040000184330</v>
      </c>
      <c r="C386" s="46">
        <v>13675</v>
      </c>
      <c r="D386" s="81">
        <f t="shared" si="21"/>
        <v>13675</v>
      </c>
      <c r="E386" s="79" t="s">
        <v>3563</v>
      </c>
      <c r="F386" s="82" t="str">
        <f t="shared" ref="F386:F449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83" t="str">
        <f t="shared" si="22"/>
        <v>('29Oct240071','040000184330','13675',(select max(to_number(i.premium_rcv_detail_code))+1
from ins_premium_det i),'13675','13675','02', '11000003','00','Request by Mr. Omair Ali 30-Aug-2024');</v>
      </c>
      <c r="H386" s="84" t="str">
        <f t="shared" si="23"/>
        <v>insert into ins_premium_det (premium_rcv_code,assorted_code, rec_amount,premium_rcv_detail_code,remaining_amt, payrec, mode_code,coinsurance_code,class_cd,it_remarks) values('29Oct240071','040000184330','13675',(select max(to_number(i.premium_rcv_detail_code))+1
from ins_premium_det i),'13675','13675','02', '11000003','00','Request by Mr. Omair Ali 30-Aug-2024');</v>
      </c>
    </row>
    <row r="387" spans="1:8" ht="105" x14ac:dyDescent="0.25">
      <c r="A387" t="s">
        <v>525</v>
      </c>
      <c r="B387" s="80" t="str">
        <f>VLOOKUP(A387,policy!B:C,2,0)</f>
        <v>040000184332</v>
      </c>
      <c r="C387" s="46">
        <v>8800</v>
      </c>
      <c r="D387" s="81">
        <f t="shared" ref="D387:D450" si="25">ROUND(C387,0)</f>
        <v>8800</v>
      </c>
      <c r="E387" s="79" t="s">
        <v>3563</v>
      </c>
      <c r="F387" s="82" t="str">
        <f t="shared" si="24"/>
        <v>insert into ins_premium_det (premium_rcv_code,assorted_code, rec_amount,premium_rcv_detail_code,remaining_amt, payrec, mode_code,coinsurance_code,class_cd,it_remarks) values</v>
      </c>
      <c r="G387" s="83" t="str">
        <f t="shared" ref="G387:G450" si="26">"('"&amp;E387&amp;"','"&amp;B387&amp;"','"&amp;D387&amp;"',(select max(to_number(i.premium_rcv_detail_code))+1
from ins_premium_det i),'"&amp;D387&amp;"','"&amp;D387&amp;"','02', '11000003','00','Request by Mr. Omair Ali 30-Aug-2024');"</f>
        <v>('29Oct240071','040000184332','8800',(select max(to_number(i.premium_rcv_detail_code))+1
from ins_premium_det i),'8800','8800','02', '11000003','00','Request by Mr. Omair Ali 30-Aug-2024');</v>
      </c>
      <c r="H387" s="84" t="str">
        <f t="shared" ref="H387:H450" si="27">F387&amp;G387</f>
        <v>insert into ins_premium_det (premium_rcv_code,assorted_code, rec_amount,premium_rcv_detail_code,remaining_amt, payrec, mode_code,coinsurance_code,class_cd,it_remarks) values('29Oct240071','040000184332','8800',(select max(to_number(i.premium_rcv_detail_code))+1
from ins_premium_det i),'8800','8800','02', '11000003','00','Request by Mr. Omair Ali 30-Aug-2024');</v>
      </c>
    </row>
    <row r="388" spans="1:8" ht="105" x14ac:dyDescent="0.25">
      <c r="A388" t="s">
        <v>526</v>
      </c>
      <c r="B388" s="80" t="str">
        <f>VLOOKUP(A388,policy!B:C,2,0)</f>
        <v>040000184336</v>
      </c>
      <c r="C388" s="46">
        <v>13675</v>
      </c>
      <c r="D388" s="81">
        <f t="shared" si="25"/>
        <v>13675</v>
      </c>
      <c r="E388" s="79" t="s">
        <v>3563</v>
      </c>
      <c r="F388" s="82" t="str">
        <f t="shared" si="24"/>
        <v>insert into ins_premium_det (premium_rcv_code,assorted_code, rec_amount,premium_rcv_detail_code,remaining_amt, payrec, mode_code,coinsurance_code,class_cd,it_remarks) values</v>
      </c>
      <c r="G388" s="83" t="str">
        <f t="shared" si="26"/>
        <v>('29Oct240071','040000184336','13675',(select max(to_number(i.premium_rcv_detail_code))+1
from ins_premium_det i),'13675','13675','02', '11000003','00','Request by Mr. Omair Ali 30-Aug-2024');</v>
      </c>
      <c r="H388" s="84" t="str">
        <f t="shared" si="27"/>
        <v>insert into ins_premium_det (premium_rcv_code,assorted_code, rec_amount,premium_rcv_detail_code,remaining_amt, payrec, mode_code,coinsurance_code,class_cd,it_remarks) values('29Oct240071','040000184336','13675',(select max(to_number(i.premium_rcv_detail_code))+1
from ins_premium_det i),'13675','13675','02', '11000003','00','Request by Mr. Omair Ali 30-Aug-2024');</v>
      </c>
    </row>
    <row r="389" spans="1:8" ht="105" x14ac:dyDescent="0.25">
      <c r="A389" t="s">
        <v>527</v>
      </c>
      <c r="B389" s="80" t="str">
        <f>VLOOKUP(A389,policy!B:C,2,0)</f>
        <v>040000184345</v>
      </c>
      <c r="C389" s="46">
        <v>13675</v>
      </c>
      <c r="D389" s="81">
        <f t="shared" si="25"/>
        <v>13675</v>
      </c>
      <c r="E389" s="79" t="s">
        <v>3563</v>
      </c>
      <c r="F389" s="82" t="str">
        <f t="shared" si="24"/>
        <v>insert into ins_premium_det (premium_rcv_code,assorted_code, rec_amount,premium_rcv_detail_code,remaining_amt, payrec, mode_code,coinsurance_code,class_cd,it_remarks) values</v>
      </c>
      <c r="G389" s="83" t="str">
        <f t="shared" si="26"/>
        <v>('29Oct240071','040000184345','13675',(select max(to_number(i.premium_rcv_detail_code))+1
from ins_premium_det i),'13675','13675','02', '11000003','00','Request by Mr. Omair Ali 30-Aug-2024');</v>
      </c>
      <c r="H389" s="84" t="str">
        <f t="shared" si="27"/>
        <v>insert into ins_premium_det (premium_rcv_code,assorted_code, rec_amount,premium_rcv_detail_code,remaining_amt, payrec, mode_code,coinsurance_code,class_cd,it_remarks) values('29Oct240071','040000184345','13675',(select max(to_number(i.premium_rcv_detail_code))+1
from ins_premium_det i),'13675','13675','02', '11000003','00','Request by Mr. Omair Ali 30-Aug-2024');</v>
      </c>
    </row>
    <row r="390" spans="1:8" ht="105" x14ac:dyDescent="0.25">
      <c r="A390" t="s">
        <v>528</v>
      </c>
      <c r="B390" s="80" t="str">
        <f>VLOOKUP(A390,policy!B:C,2,0)</f>
        <v>040000184346</v>
      </c>
      <c r="C390" s="46">
        <v>9550</v>
      </c>
      <c r="D390" s="81">
        <f t="shared" si="25"/>
        <v>9550</v>
      </c>
      <c r="E390" s="79" t="s">
        <v>3563</v>
      </c>
      <c r="F390" s="82" t="str">
        <f t="shared" si="24"/>
        <v>insert into ins_premium_det (premium_rcv_code,assorted_code, rec_amount,premium_rcv_detail_code,remaining_amt, payrec, mode_code,coinsurance_code,class_cd,it_remarks) values</v>
      </c>
      <c r="G390" s="83" t="str">
        <f t="shared" si="26"/>
        <v>('29Oct240071','040000184346','9550',(select max(to_number(i.premium_rcv_detail_code))+1
from ins_premium_det i),'9550','9550','02', '11000003','00','Request by Mr. Omair Ali 30-Aug-2024');</v>
      </c>
      <c r="H390" s="84" t="str">
        <f t="shared" si="27"/>
        <v>insert into ins_premium_det (premium_rcv_code,assorted_code, rec_amount,premium_rcv_detail_code,remaining_amt, payrec, mode_code,coinsurance_code,class_cd,it_remarks) values('29Oct240071','040000184346','9550',(select max(to_number(i.premium_rcv_detail_code))+1
from ins_premium_det i),'9550','9550','02', '11000003','00','Request by Mr. Omair Ali 30-Aug-2024');</v>
      </c>
    </row>
    <row r="391" spans="1:8" ht="105" x14ac:dyDescent="0.25">
      <c r="A391" t="s">
        <v>529</v>
      </c>
      <c r="B391" s="80" t="str">
        <f>VLOOKUP(A391,policy!B:C,2,0)</f>
        <v>040000184352</v>
      </c>
      <c r="C391" s="46">
        <v>8800</v>
      </c>
      <c r="D391" s="81">
        <f t="shared" si="25"/>
        <v>8800</v>
      </c>
      <c r="E391" s="79" t="s">
        <v>3563</v>
      </c>
      <c r="F391" s="82" t="str">
        <f t="shared" si="24"/>
        <v>insert into ins_premium_det (premium_rcv_code,assorted_code, rec_amount,premium_rcv_detail_code,remaining_amt, payrec, mode_code,coinsurance_code,class_cd,it_remarks) values</v>
      </c>
      <c r="G391" s="83" t="str">
        <f t="shared" si="26"/>
        <v>('29Oct240071','040000184352','8800',(select max(to_number(i.premium_rcv_detail_code))+1
from ins_premium_det i),'8800','8800','02', '11000003','00','Request by Mr. Omair Ali 30-Aug-2024');</v>
      </c>
      <c r="H391" s="84" t="str">
        <f t="shared" si="27"/>
        <v>insert into ins_premium_det (premium_rcv_code,assorted_code, rec_amount,premium_rcv_detail_code,remaining_amt, payrec, mode_code,coinsurance_code,class_cd,it_remarks) values('29Oct240071','040000184352','8800',(select max(to_number(i.premium_rcv_detail_code))+1
from ins_premium_det i),'8800','8800','02', '11000003','00','Request by Mr. Omair Ali 30-Aug-2024');</v>
      </c>
    </row>
    <row r="392" spans="1:8" ht="105" x14ac:dyDescent="0.25">
      <c r="A392" t="s">
        <v>530</v>
      </c>
      <c r="B392" s="80" t="str">
        <f>VLOOKUP(A392,policy!B:C,2,0)</f>
        <v>040000184354</v>
      </c>
      <c r="C392" s="46">
        <v>23248</v>
      </c>
      <c r="D392" s="81">
        <f t="shared" si="25"/>
        <v>23248</v>
      </c>
      <c r="E392" s="79" t="s">
        <v>3563</v>
      </c>
      <c r="F392" s="82" t="str">
        <f t="shared" si="24"/>
        <v>insert into ins_premium_det (premium_rcv_code,assorted_code, rec_amount,premium_rcv_detail_code,remaining_amt, payrec, mode_code,coinsurance_code,class_cd,it_remarks) values</v>
      </c>
      <c r="G392" s="83" t="str">
        <f t="shared" si="26"/>
        <v>('29Oct240071','040000184354','23248',(select max(to_number(i.premium_rcv_detail_code))+1
from ins_premium_det i),'23248','23248','02', '11000003','00','Request by Mr. Omair Ali 30-Aug-2024');</v>
      </c>
      <c r="H392" s="84" t="str">
        <f t="shared" si="27"/>
        <v>insert into ins_premium_det (premium_rcv_code,assorted_code, rec_amount,premium_rcv_detail_code,remaining_amt, payrec, mode_code,coinsurance_code,class_cd,it_remarks) values('29Oct240071','040000184354','23248',(select max(to_number(i.premium_rcv_detail_code))+1
from ins_premium_det i),'23248','23248','02', '11000003','00','Request by Mr. Omair Ali 30-Aug-2024');</v>
      </c>
    </row>
    <row r="393" spans="1:8" ht="105" x14ac:dyDescent="0.25">
      <c r="A393" t="s">
        <v>531</v>
      </c>
      <c r="B393" s="80" t="str">
        <f>VLOOKUP(A393,policy!B:C,2,0)</f>
        <v>040000184355</v>
      </c>
      <c r="C393" s="46">
        <v>9550</v>
      </c>
      <c r="D393" s="81">
        <f t="shared" si="25"/>
        <v>9550</v>
      </c>
      <c r="E393" s="79" t="s">
        <v>3563</v>
      </c>
      <c r="F393" s="82" t="str">
        <f t="shared" si="24"/>
        <v>insert into ins_premium_det (premium_rcv_code,assorted_code, rec_amount,premium_rcv_detail_code,remaining_amt, payrec, mode_code,coinsurance_code,class_cd,it_remarks) values</v>
      </c>
      <c r="G393" s="83" t="str">
        <f t="shared" si="26"/>
        <v>('29Oct240071','040000184355','9550',(select max(to_number(i.premium_rcv_detail_code))+1
from ins_premium_det i),'9550','9550','02', '11000003','00','Request by Mr. Omair Ali 30-Aug-2024');</v>
      </c>
      <c r="H393" s="84" t="str">
        <f t="shared" si="27"/>
        <v>insert into ins_premium_det (premium_rcv_code,assorted_code, rec_amount,premium_rcv_detail_code,remaining_amt, payrec, mode_code,coinsurance_code,class_cd,it_remarks) values('29Oct240071','040000184355','9550',(select max(to_number(i.premium_rcv_detail_code))+1
from ins_premium_det i),'9550','9550','02', '11000003','00','Request by Mr. Omair Ali 30-Aug-2024');</v>
      </c>
    </row>
    <row r="394" spans="1:8" ht="105" x14ac:dyDescent="0.25">
      <c r="A394" t="s">
        <v>532</v>
      </c>
      <c r="B394" s="80" t="str">
        <f>VLOOKUP(A394,policy!B:C,2,0)</f>
        <v>040000184357</v>
      </c>
      <c r="C394" s="46">
        <v>13675</v>
      </c>
      <c r="D394" s="81">
        <f t="shared" si="25"/>
        <v>13675</v>
      </c>
      <c r="E394" s="79" t="s">
        <v>3563</v>
      </c>
      <c r="F394" s="82" t="str">
        <f t="shared" si="24"/>
        <v>insert into ins_premium_det (premium_rcv_code,assorted_code, rec_amount,premium_rcv_detail_code,remaining_amt, payrec, mode_code,coinsurance_code,class_cd,it_remarks) values</v>
      </c>
      <c r="G394" s="83" t="str">
        <f t="shared" si="26"/>
        <v>('29Oct240071','040000184357','13675',(select max(to_number(i.premium_rcv_detail_code))+1
from ins_premium_det i),'13675','13675','02', '11000003','00','Request by Mr. Omair Ali 30-Aug-2024');</v>
      </c>
      <c r="H394" s="84" t="str">
        <f t="shared" si="27"/>
        <v>insert into ins_premium_det (premium_rcv_code,assorted_code, rec_amount,premium_rcv_detail_code,remaining_amt, payrec, mode_code,coinsurance_code,class_cd,it_remarks) values('29Oct240071','040000184357','13675',(select max(to_number(i.premium_rcv_detail_code))+1
from ins_premium_det i),'13675','13675','02', '11000003','00','Request by Mr. Omair Ali 30-Aug-2024');</v>
      </c>
    </row>
    <row r="395" spans="1:8" ht="105" x14ac:dyDescent="0.25">
      <c r="A395" t="s">
        <v>533</v>
      </c>
      <c r="B395" s="80" t="str">
        <f>VLOOKUP(A395,policy!B:C,2,0)</f>
        <v>040000184358</v>
      </c>
      <c r="C395" s="46">
        <v>8800</v>
      </c>
      <c r="D395" s="81">
        <f t="shared" si="25"/>
        <v>8800</v>
      </c>
      <c r="E395" s="79" t="s">
        <v>3563</v>
      </c>
      <c r="F395" s="82" t="str">
        <f t="shared" si="24"/>
        <v>insert into ins_premium_det (premium_rcv_code,assorted_code, rec_amount,premium_rcv_detail_code,remaining_amt, payrec, mode_code,coinsurance_code,class_cd,it_remarks) values</v>
      </c>
      <c r="G395" s="83" t="str">
        <f t="shared" si="26"/>
        <v>('29Oct240071','040000184358','8800',(select max(to_number(i.premium_rcv_detail_code))+1
from ins_premium_det i),'8800','8800','02', '11000003','00','Request by Mr. Omair Ali 30-Aug-2024');</v>
      </c>
      <c r="H395" s="84" t="str">
        <f t="shared" si="27"/>
        <v>insert into ins_premium_det (premium_rcv_code,assorted_code, rec_amount,premium_rcv_detail_code,remaining_amt, payrec, mode_code,coinsurance_code,class_cd,it_remarks) values('29Oct240071','040000184358','8800',(select max(to_number(i.premium_rcv_detail_code))+1
from ins_premium_det i),'8800','8800','02', '11000003','00','Request by Mr. Omair Ali 30-Aug-2024');</v>
      </c>
    </row>
    <row r="396" spans="1:8" ht="105" x14ac:dyDescent="0.25">
      <c r="A396" t="s">
        <v>534</v>
      </c>
      <c r="B396" s="80" t="str">
        <f>VLOOKUP(A396,policy!B:C,2,0)</f>
        <v>040000184359</v>
      </c>
      <c r="C396" s="46">
        <v>8800</v>
      </c>
      <c r="D396" s="81">
        <f t="shared" si="25"/>
        <v>8800</v>
      </c>
      <c r="E396" s="79" t="s">
        <v>3563</v>
      </c>
      <c r="F396" s="82" t="str">
        <f t="shared" si="24"/>
        <v>insert into ins_premium_det (premium_rcv_code,assorted_code, rec_amount,premium_rcv_detail_code,remaining_amt, payrec, mode_code,coinsurance_code,class_cd,it_remarks) values</v>
      </c>
      <c r="G396" s="83" t="str">
        <f t="shared" si="26"/>
        <v>('29Oct240071','040000184359','8800',(select max(to_number(i.premium_rcv_detail_code))+1
from ins_premium_det i),'8800','8800','02', '11000003','00','Request by Mr. Omair Ali 30-Aug-2024');</v>
      </c>
      <c r="H396" s="84" t="str">
        <f t="shared" si="27"/>
        <v>insert into ins_premium_det (premium_rcv_code,assorted_code, rec_amount,premium_rcv_detail_code,remaining_amt, payrec, mode_code,coinsurance_code,class_cd,it_remarks) values('29Oct240071','040000184359','8800',(select max(to_number(i.premium_rcv_detail_code))+1
from ins_premium_det i),'8800','8800','02', '11000003','00','Request by Mr. Omair Ali 30-Aug-2024');</v>
      </c>
    </row>
    <row r="397" spans="1:8" ht="105" x14ac:dyDescent="0.25">
      <c r="A397" t="s">
        <v>535</v>
      </c>
      <c r="B397" s="80" t="str">
        <f>VLOOKUP(A397,policy!B:C,2,0)</f>
        <v>040000184361</v>
      </c>
      <c r="C397" s="46">
        <v>8800</v>
      </c>
      <c r="D397" s="81">
        <f t="shared" si="25"/>
        <v>8800</v>
      </c>
      <c r="E397" s="79" t="s">
        <v>3563</v>
      </c>
      <c r="F397" s="82" t="str">
        <f t="shared" si="24"/>
        <v>insert into ins_premium_det (premium_rcv_code,assorted_code, rec_amount,premium_rcv_detail_code,remaining_amt, payrec, mode_code,coinsurance_code,class_cd,it_remarks) values</v>
      </c>
      <c r="G397" s="83" t="str">
        <f t="shared" si="26"/>
        <v>('29Oct240071','040000184361','8800',(select max(to_number(i.premium_rcv_detail_code))+1
from ins_premium_det i),'8800','8800','02', '11000003','00','Request by Mr. Omair Ali 30-Aug-2024');</v>
      </c>
      <c r="H397" s="84" t="str">
        <f t="shared" si="27"/>
        <v>insert into ins_premium_det (premium_rcv_code,assorted_code, rec_amount,premium_rcv_detail_code,remaining_amt, payrec, mode_code,coinsurance_code,class_cd,it_remarks) values('29Oct240071','040000184361','8800',(select max(to_number(i.premium_rcv_detail_code))+1
from ins_premium_det i),'8800','8800','02', '11000003','00','Request by Mr. Omair Ali 30-Aug-2024');</v>
      </c>
    </row>
    <row r="398" spans="1:8" ht="105" x14ac:dyDescent="0.25">
      <c r="A398" t="s">
        <v>536</v>
      </c>
      <c r="B398" s="80" t="str">
        <f>VLOOKUP(A398,policy!B:C,2,0)</f>
        <v>040000184362</v>
      </c>
      <c r="C398" s="46">
        <v>8800</v>
      </c>
      <c r="D398" s="81">
        <f t="shared" si="25"/>
        <v>8800</v>
      </c>
      <c r="E398" s="79" t="s">
        <v>3563</v>
      </c>
      <c r="F398" s="82" t="str">
        <f t="shared" si="24"/>
        <v>insert into ins_premium_det (premium_rcv_code,assorted_code, rec_amount,premium_rcv_detail_code,remaining_amt, payrec, mode_code,coinsurance_code,class_cd,it_remarks) values</v>
      </c>
      <c r="G398" s="83" t="str">
        <f t="shared" si="26"/>
        <v>('29Oct240071','040000184362','8800',(select max(to_number(i.premium_rcv_detail_code))+1
from ins_premium_det i),'8800','8800','02', '11000003','00','Request by Mr. Omair Ali 30-Aug-2024');</v>
      </c>
      <c r="H398" s="84" t="str">
        <f t="shared" si="27"/>
        <v>insert into ins_premium_det (premium_rcv_code,assorted_code, rec_amount,premium_rcv_detail_code,remaining_amt, payrec, mode_code,coinsurance_code,class_cd,it_remarks) values('29Oct240071','040000184362','8800',(select max(to_number(i.premium_rcv_detail_code))+1
from ins_premium_det i),'8800','8800','02', '11000003','00','Request by Mr. Omair Ali 30-Aug-2024');</v>
      </c>
    </row>
    <row r="399" spans="1:8" ht="105" x14ac:dyDescent="0.25">
      <c r="A399" t="s">
        <v>537</v>
      </c>
      <c r="B399" s="80" t="str">
        <f>VLOOKUP(A399,policy!B:C,2,0)</f>
        <v>040000184363</v>
      </c>
      <c r="C399" s="46">
        <v>12475</v>
      </c>
      <c r="D399" s="81">
        <f t="shared" si="25"/>
        <v>12475</v>
      </c>
      <c r="E399" s="79" t="s">
        <v>3563</v>
      </c>
      <c r="F399" s="82" t="str">
        <f t="shared" si="24"/>
        <v>insert into ins_premium_det (premium_rcv_code,assorted_code, rec_amount,premium_rcv_detail_code,remaining_amt, payrec, mode_code,coinsurance_code,class_cd,it_remarks) values</v>
      </c>
      <c r="G399" s="83" t="str">
        <f t="shared" si="26"/>
        <v>('29Oct240071','040000184363','12475',(select max(to_number(i.premium_rcv_detail_code))+1
from ins_premium_det i),'12475','12475','02', '11000003','00','Request by Mr. Omair Ali 30-Aug-2024');</v>
      </c>
      <c r="H399" s="84" t="str">
        <f t="shared" si="27"/>
        <v>insert into ins_premium_det (premium_rcv_code,assorted_code, rec_amount,premium_rcv_detail_code,remaining_amt, payrec, mode_code,coinsurance_code,class_cd,it_remarks) values('29Oct240071','040000184363','12475',(select max(to_number(i.premium_rcv_detail_code))+1
from ins_premium_det i),'12475','12475','02', '11000003','00','Request by Mr. Omair Ali 30-Aug-2024');</v>
      </c>
    </row>
    <row r="400" spans="1:8" ht="105" x14ac:dyDescent="0.25">
      <c r="A400" t="s">
        <v>538</v>
      </c>
      <c r="B400" s="80" t="str">
        <f>VLOOKUP(A400,policy!B:C,2,0)</f>
        <v>040000184365</v>
      </c>
      <c r="C400" s="46">
        <v>8800</v>
      </c>
      <c r="D400" s="81">
        <f t="shared" si="25"/>
        <v>8800</v>
      </c>
      <c r="E400" s="79" t="s">
        <v>3563</v>
      </c>
      <c r="F400" s="82" t="str">
        <f t="shared" si="24"/>
        <v>insert into ins_premium_det (premium_rcv_code,assorted_code, rec_amount,premium_rcv_detail_code,remaining_amt, payrec, mode_code,coinsurance_code,class_cd,it_remarks) values</v>
      </c>
      <c r="G400" s="83" t="str">
        <f t="shared" si="26"/>
        <v>('29Oct240071','040000184365','8800',(select max(to_number(i.premium_rcv_detail_code))+1
from ins_premium_det i),'8800','8800','02', '11000003','00','Request by Mr. Omair Ali 30-Aug-2024');</v>
      </c>
      <c r="H400" s="84" t="str">
        <f t="shared" si="27"/>
        <v>insert into ins_premium_det (premium_rcv_code,assorted_code, rec_amount,premium_rcv_detail_code,remaining_amt, payrec, mode_code,coinsurance_code,class_cd,it_remarks) values('29Oct240071','040000184365','8800',(select max(to_number(i.premium_rcv_detail_code))+1
from ins_premium_det i),'8800','8800','02', '11000003','00','Request by Mr. Omair Ali 30-Aug-2024');</v>
      </c>
    </row>
    <row r="401" spans="1:8" ht="105" x14ac:dyDescent="0.25">
      <c r="A401" t="s">
        <v>539</v>
      </c>
      <c r="B401" s="80" t="str">
        <f>VLOOKUP(A401,policy!B:C,2,0)</f>
        <v>040000184366</v>
      </c>
      <c r="C401" s="46">
        <v>14960</v>
      </c>
      <c r="D401" s="81">
        <f t="shared" si="25"/>
        <v>14960</v>
      </c>
      <c r="E401" s="79" t="s">
        <v>3563</v>
      </c>
      <c r="F401" s="82" t="str">
        <f t="shared" si="24"/>
        <v>insert into ins_premium_det (premium_rcv_code,assorted_code, rec_amount,premium_rcv_detail_code,remaining_amt, payrec, mode_code,coinsurance_code,class_cd,it_remarks) values</v>
      </c>
      <c r="G401" s="83" t="str">
        <f t="shared" si="26"/>
        <v>('29Oct240071','040000184366','14960',(select max(to_number(i.premium_rcv_detail_code))+1
from ins_premium_det i),'14960','14960','02', '11000003','00','Request by Mr. Omair Ali 30-Aug-2024');</v>
      </c>
      <c r="H401" s="84" t="str">
        <f t="shared" si="27"/>
        <v>insert into ins_premium_det (premium_rcv_code,assorted_code, rec_amount,premium_rcv_detail_code,remaining_amt, payrec, mode_code,coinsurance_code,class_cd,it_remarks) values('29Oct240071','040000184366','14960',(select max(to_number(i.premium_rcv_detail_code))+1
from ins_premium_det i),'14960','14960','02', '11000003','00','Request by Mr. Omair Ali 30-Aug-2024');</v>
      </c>
    </row>
    <row r="402" spans="1:8" ht="105" x14ac:dyDescent="0.25">
      <c r="A402" t="s">
        <v>540</v>
      </c>
      <c r="B402" s="80" t="str">
        <f>VLOOKUP(A402,policy!B:C,2,0)</f>
        <v>040000184367</v>
      </c>
      <c r="C402" s="46">
        <v>8800</v>
      </c>
      <c r="D402" s="81">
        <f t="shared" si="25"/>
        <v>8800</v>
      </c>
      <c r="E402" s="79" t="s">
        <v>3563</v>
      </c>
      <c r="F402" s="82" t="str">
        <f t="shared" si="24"/>
        <v>insert into ins_premium_det (premium_rcv_code,assorted_code, rec_amount,premium_rcv_detail_code,remaining_amt, payrec, mode_code,coinsurance_code,class_cd,it_remarks) values</v>
      </c>
      <c r="G402" s="83" t="str">
        <f t="shared" si="26"/>
        <v>('29Oct240071','040000184367','8800',(select max(to_number(i.premium_rcv_detail_code))+1
from ins_premium_det i),'8800','8800','02', '11000003','00','Request by Mr. Omair Ali 30-Aug-2024');</v>
      </c>
      <c r="H402" s="84" t="str">
        <f t="shared" si="27"/>
        <v>insert into ins_premium_det (premium_rcv_code,assorted_code, rec_amount,premium_rcv_detail_code,remaining_amt, payrec, mode_code,coinsurance_code,class_cd,it_remarks) values('29Oct240071','040000184367','8800',(select max(to_number(i.premium_rcv_detail_code))+1
from ins_premium_det i),'8800','8800','02', '11000003','00','Request by Mr. Omair Ali 30-Aug-2024');</v>
      </c>
    </row>
    <row r="403" spans="1:8" ht="105" x14ac:dyDescent="0.25">
      <c r="A403" t="s">
        <v>541</v>
      </c>
      <c r="B403" s="80" t="str">
        <f>VLOOKUP(A403,policy!B:C,2,0)</f>
        <v>040000184368</v>
      </c>
      <c r="C403" s="46">
        <v>14960</v>
      </c>
      <c r="D403" s="81">
        <f t="shared" si="25"/>
        <v>14960</v>
      </c>
      <c r="E403" s="79" t="s">
        <v>3563</v>
      </c>
      <c r="F403" s="82" t="str">
        <f t="shared" si="24"/>
        <v>insert into ins_premium_det (premium_rcv_code,assorted_code, rec_amount,premium_rcv_detail_code,remaining_amt, payrec, mode_code,coinsurance_code,class_cd,it_remarks) values</v>
      </c>
      <c r="G403" s="83" t="str">
        <f t="shared" si="26"/>
        <v>('29Oct240071','040000184368','14960',(select max(to_number(i.premium_rcv_detail_code))+1
from ins_premium_det i),'14960','14960','02', '11000003','00','Request by Mr. Omair Ali 30-Aug-2024');</v>
      </c>
      <c r="H403" s="84" t="str">
        <f t="shared" si="27"/>
        <v>insert into ins_premium_det (premium_rcv_code,assorted_code, rec_amount,premium_rcv_detail_code,remaining_amt, payrec, mode_code,coinsurance_code,class_cd,it_remarks) values('29Oct240071','040000184368','14960',(select max(to_number(i.premium_rcv_detail_code))+1
from ins_premium_det i),'14960','14960','02', '11000003','00','Request by Mr. Omair Ali 30-Aug-2024');</v>
      </c>
    </row>
    <row r="404" spans="1:8" ht="105" x14ac:dyDescent="0.25">
      <c r="A404" t="s">
        <v>542</v>
      </c>
      <c r="B404" s="80" t="str">
        <f>VLOOKUP(A404,policy!B:C,2,0)</f>
        <v>040000184375</v>
      </c>
      <c r="C404" s="46">
        <v>9550</v>
      </c>
      <c r="D404" s="81">
        <f t="shared" si="25"/>
        <v>9550</v>
      </c>
      <c r="E404" s="79" t="s">
        <v>3563</v>
      </c>
      <c r="F404" s="82" t="str">
        <f t="shared" si="24"/>
        <v>insert into ins_premium_det (premium_rcv_code,assorted_code, rec_amount,premium_rcv_detail_code,remaining_amt, payrec, mode_code,coinsurance_code,class_cd,it_remarks) values</v>
      </c>
      <c r="G404" s="83" t="str">
        <f t="shared" si="26"/>
        <v>('29Oct240071','040000184375','9550',(select max(to_number(i.premium_rcv_detail_code))+1
from ins_premium_det i),'9550','9550','02', '11000003','00','Request by Mr. Omair Ali 30-Aug-2024');</v>
      </c>
      <c r="H404" s="84" t="str">
        <f t="shared" si="27"/>
        <v>insert into ins_premium_det (premium_rcv_code,assorted_code, rec_amount,premium_rcv_detail_code,remaining_amt, payrec, mode_code,coinsurance_code,class_cd,it_remarks) values('29Oct240071','040000184375','9550',(select max(to_number(i.premium_rcv_detail_code))+1
from ins_premium_det i),'9550','9550','02', '11000003','00','Request by Mr. Omair Ali 30-Aug-2024');</v>
      </c>
    </row>
    <row r="405" spans="1:8" ht="105" x14ac:dyDescent="0.25">
      <c r="A405" t="s">
        <v>543</v>
      </c>
      <c r="B405" s="80" t="str">
        <f>VLOOKUP(A405,policy!B:C,2,0)</f>
        <v>040000184378</v>
      </c>
      <c r="C405" s="46">
        <v>9550</v>
      </c>
      <c r="D405" s="81">
        <f t="shared" si="25"/>
        <v>9550</v>
      </c>
      <c r="E405" s="79" t="s">
        <v>3563</v>
      </c>
      <c r="F405" s="82" t="str">
        <f t="shared" si="24"/>
        <v>insert into ins_premium_det (premium_rcv_code,assorted_code, rec_amount,premium_rcv_detail_code,remaining_amt, payrec, mode_code,coinsurance_code,class_cd,it_remarks) values</v>
      </c>
      <c r="G405" s="83" t="str">
        <f t="shared" si="26"/>
        <v>('29Oct240071','040000184378','9550',(select max(to_number(i.premium_rcv_detail_code))+1
from ins_premium_det i),'9550','9550','02', '11000003','00','Request by Mr. Omair Ali 30-Aug-2024');</v>
      </c>
      <c r="H405" s="84" t="str">
        <f t="shared" si="27"/>
        <v>insert into ins_premium_det (premium_rcv_code,assorted_code, rec_amount,premium_rcv_detail_code,remaining_amt, payrec, mode_code,coinsurance_code,class_cd,it_remarks) values('29Oct240071','040000184378','9550',(select max(to_number(i.premium_rcv_detail_code))+1
from ins_premium_det i),'9550','9550','02', '11000003','00','Request by Mr. Omair Ali 30-Aug-2024');</v>
      </c>
    </row>
    <row r="406" spans="1:8" ht="105" x14ac:dyDescent="0.25">
      <c r="A406" t="s">
        <v>544</v>
      </c>
      <c r="B406" s="80" t="str">
        <f>VLOOKUP(A406,policy!B:C,2,0)</f>
        <v>040000184380</v>
      </c>
      <c r="C406" s="46">
        <v>8800</v>
      </c>
      <c r="D406" s="81">
        <f t="shared" si="25"/>
        <v>8800</v>
      </c>
      <c r="E406" s="79" t="s">
        <v>3563</v>
      </c>
      <c r="F406" s="82" t="str">
        <f t="shared" si="24"/>
        <v>insert into ins_premium_det (premium_rcv_code,assorted_code, rec_amount,premium_rcv_detail_code,remaining_amt, payrec, mode_code,coinsurance_code,class_cd,it_remarks) values</v>
      </c>
      <c r="G406" s="83" t="str">
        <f t="shared" si="26"/>
        <v>('29Oct240071','040000184380','8800',(select max(to_number(i.premium_rcv_detail_code))+1
from ins_premium_det i),'8800','8800','02', '11000003','00','Request by Mr. Omair Ali 30-Aug-2024');</v>
      </c>
      <c r="H406" s="84" t="str">
        <f t="shared" si="27"/>
        <v>insert into ins_premium_det (premium_rcv_code,assorted_code, rec_amount,premium_rcv_detail_code,remaining_amt, payrec, mode_code,coinsurance_code,class_cd,it_remarks) values('29Oct240071','040000184380','8800',(select max(to_number(i.premium_rcv_detail_code))+1
from ins_premium_det i),'8800','8800','02', '11000003','00','Request by Mr. Omair Ali 30-Aug-2024');</v>
      </c>
    </row>
    <row r="407" spans="1:8" ht="105" x14ac:dyDescent="0.25">
      <c r="A407" t="s">
        <v>545</v>
      </c>
      <c r="B407" s="80" t="str">
        <f>VLOOKUP(A407,policy!B:C,2,0)</f>
        <v>040000184384</v>
      </c>
      <c r="C407" s="46">
        <v>8800</v>
      </c>
      <c r="D407" s="81">
        <f t="shared" si="25"/>
        <v>8800</v>
      </c>
      <c r="E407" s="79" t="s">
        <v>3563</v>
      </c>
      <c r="F407" s="82" t="str">
        <f t="shared" si="24"/>
        <v>insert into ins_premium_det (premium_rcv_code,assorted_code, rec_amount,premium_rcv_detail_code,remaining_amt, payrec, mode_code,coinsurance_code,class_cd,it_remarks) values</v>
      </c>
      <c r="G407" s="83" t="str">
        <f t="shared" si="26"/>
        <v>('29Oct240071','040000184384','8800',(select max(to_number(i.premium_rcv_detail_code))+1
from ins_premium_det i),'8800','8800','02', '11000003','00','Request by Mr. Omair Ali 30-Aug-2024');</v>
      </c>
      <c r="H407" s="84" t="str">
        <f t="shared" si="27"/>
        <v>insert into ins_premium_det (premium_rcv_code,assorted_code, rec_amount,premium_rcv_detail_code,remaining_amt, payrec, mode_code,coinsurance_code,class_cd,it_remarks) values('29Oct240071','040000184384','8800',(select max(to_number(i.premium_rcv_detail_code))+1
from ins_premium_det i),'8800','8800','02', '11000003','00','Request by Mr. Omair Ali 30-Aug-2024');</v>
      </c>
    </row>
    <row r="408" spans="1:8" ht="105" x14ac:dyDescent="0.25">
      <c r="A408" t="s">
        <v>546</v>
      </c>
      <c r="B408" s="80" t="str">
        <f>VLOOKUP(A408,policy!B:C,2,0)</f>
        <v>040000184386</v>
      </c>
      <c r="C408" s="46">
        <v>8800</v>
      </c>
      <c r="D408" s="81">
        <f t="shared" si="25"/>
        <v>8800</v>
      </c>
      <c r="E408" s="79" t="s">
        <v>3563</v>
      </c>
      <c r="F408" s="82" t="str">
        <f t="shared" si="24"/>
        <v>insert into ins_premium_det (premium_rcv_code,assorted_code, rec_amount,premium_rcv_detail_code,remaining_amt, payrec, mode_code,coinsurance_code,class_cd,it_remarks) values</v>
      </c>
      <c r="G408" s="83" t="str">
        <f t="shared" si="26"/>
        <v>('29Oct240071','040000184386','8800',(select max(to_number(i.premium_rcv_detail_code))+1
from ins_premium_det i),'8800','8800','02', '11000003','00','Request by Mr. Omair Ali 30-Aug-2024');</v>
      </c>
      <c r="H408" s="84" t="str">
        <f t="shared" si="27"/>
        <v>insert into ins_premium_det (premium_rcv_code,assorted_code, rec_amount,premium_rcv_detail_code,remaining_amt, payrec, mode_code,coinsurance_code,class_cd,it_remarks) values('29Oct240071','040000184386','8800',(select max(to_number(i.premium_rcv_detail_code))+1
from ins_premium_det i),'8800','8800','02', '11000003','00','Request by Mr. Omair Ali 30-Aug-2024');</v>
      </c>
    </row>
    <row r="409" spans="1:8" ht="105" x14ac:dyDescent="0.25">
      <c r="A409" t="s">
        <v>547</v>
      </c>
      <c r="B409" s="80" t="str">
        <f>VLOOKUP(A409,policy!B:C,2,0)</f>
        <v>040000184387</v>
      </c>
      <c r="C409" s="46">
        <v>8800</v>
      </c>
      <c r="D409" s="81">
        <f t="shared" si="25"/>
        <v>8800</v>
      </c>
      <c r="E409" s="79" t="s">
        <v>3563</v>
      </c>
      <c r="F409" s="82" t="str">
        <f t="shared" si="24"/>
        <v>insert into ins_premium_det (premium_rcv_code,assorted_code, rec_amount,premium_rcv_detail_code,remaining_amt, payrec, mode_code,coinsurance_code,class_cd,it_remarks) values</v>
      </c>
      <c r="G409" s="83" t="str">
        <f t="shared" si="26"/>
        <v>('29Oct240071','040000184387','8800',(select max(to_number(i.premium_rcv_detail_code))+1
from ins_premium_det i),'8800','8800','02', '11000003','00','Request by Mr. Omair Ali 30-Aug-2024');</v>
      </c>
      <c r="H409" s="84" t="str">
        <f t="shared" si="27"/>
        <v>insert into ins_premium_det (premium_rcv_code,assorted_code, rec_amount,premium_rcv_detail_code,remaining_amt, payrec, mode_code,coinsurance_code,class_cd,it_remarks) values('29Oct240071','040000184387','8800',(select max(to_number(i.premium_rcv_detail_code))+1
from ins_premium_det i),'8800','8800','02', '11000003','00','Request by Mr. Omair Ali 30-Aug-2024');</v>
      </c>
    </row>
    <row r="410" spans="1:8" ht="105" x14ac:dyDescent="0.25">
      <c r="A410" t="s">
        <v>548</v>
      </c>
      <c r="B410" s="80" t="str">
        <f>VLOOKUP(A410,policy!B:C,2,0)</f>
        <v>040000184389</v>
      </c>
      <c r="C410" s="46">
        <v>21208</v>
      </c>
      <c r="D410" s="81">
        <f t="shared" si="25"/>
        <v>21208</v>
      </c>
      <c r="E410" s="79" t="s">
        <v>3563</v>
      </c>
      <c r="F410" s="82" t="str">
        <f t="shared" si="24"/>
        <v>insert into ins_premium_det (premium_rcv_code,assorted_code, rec_amount,premium_rcv_detail_code,remaining_amt, payrec, mode_code,coinsurance_code,class_cd,it_remarks) values</v>
      </c>
      <c r="G410" s="83" t="str">
        <f t="shared" si="26"/>
        <v>('29Oct240071','040000184389','21208',(select max(to_number(i.premium_rcv_detail_code))+1
from ins_premium_det i),'21208','21208','02', '11000003','00','Request by Mr. Omair Ali 30-Aug-2024');</v>
      </c>
      <c r="H410" s="84" t="str">
        <f t="shared" si="27"/>
        <v>insert into ins_premium_det (premium_rcv_code,assorted_code, rec_amount,premium_rcv_detail_code,remaining_amt, payrec, mode_code,coinsurance_code,class_cd,it_remarks) values('29Oct240071','040000184389','21208',(select max(to_number(i.premium_rcv_detail_code))+1
from ins_premium_det i),'21208','21208','02', '11000003','00','Request by Mr. Omair Ali 30-Aug-2024');</v>
      </c>
    </row>
    <row r="411" spans="1:8" ht="105" x14ac:dyDescent="0.25">
      <c r="A411" t="s">
        <v>549</v>
      </c>
      <c r="B411" s="80" t="str">
        <f>VLOOKUP(A411,policy!B:C,2,0)</f>
        <v>040000184390</v>
      </c>
      <c r="C411" s="46">
        <v>21208</v>
      </c>
      <c r="D411" s="81">
        <f t="shared" si="25"/>
        <v>21208</v>
      </c>
      <c r="E411" s="79" t="s">
        <v>3563</v>
      </c>
      <c r="F411" s="82" t="str">
        <f t="shared" si="24"/>
        <v>insert into ins_premium_det (premium_rcv_code,assorted_code, rec_amount,premium_rcv_detail_code,remaining_amt, payrec, mode_code,coinsurance_code,class_cd,it_remarks) values</v>
      </c>
      <c r="G411" s="83" t="str">
        <f t="shared" si="26"/>
        <v>('29Oct240071','040000184390','21208',(select max(to_number(i.premium_rcv_detail_code))+1
from ins_premium_det i),'21208','21208','02', '11000003','00','Request by Mr. Omair Ali 30-Aug-2024');</v>
      </c>
      <c r="H411" s="84" t="str">
        <f t="shared" si="27"/>
        <v>insert into ins_premium_det (premium_rcv_code,assorted_code, rec_amount,premium_rcv_detail_code,remaining_amt, payrec, mode_code,coinsurance_code,class_cd,it_remarks) values('29Oct240071','040000184390','21208',(select max(to_number(i.premium_rcv_detail_code))+1
from ins_premium_det i),'21208','21208','02', '11000003','00','Request by Mr. Omair Ali 30-Aug-2024');</v>
      </c>
    </row>
    <row r="412" spans="1:8" ht="105" x14ac:dyDescent="0.25">
      <c r="A412" t="s">
        <v>550</v>
      </c>
      <c r="B412" s="80" t="str">
        <f>VLOOKUP(A412,policy!B:C,2,0)</f>
        <v>040000184392</v>
      </c>
      <c r="C412" s="46">
        <v>8800</v>
      </c>
      <c r="D412" s="81">
        <f t="shared" si="25"/>
        <v>8800</v>
      </c>
      <c r="E412" s="79" t="s">
        <v>3563</v>
      </c>
      <c r="F412" s="82" t="str">
        <f t="shared" si="24"/>
        <v>insert into ins_premium_det (premium_rcv_code,assorted_code, rec_amount,premium_rcv_detail_code,remaining_amt, payrec, mode_code,coinsurance_code,class_cd,it_remarks) values</v>
      </c>
      <c r="G412" s="83" t="str">
        <f t="shared" si="26"/>
        <v>('29Oct240071','040000184392','8800',(select max(to_number(i.premium_rcv_detail_code))+1
from ins_premium_det i),'8800','8800','02', '11000003','00','Request by Mr. Omair Ali 30-Aug-2024');</v>
      </c>
      <c r="H412" s="84" t="str">
        <f t="shared" si="27"/>
        <v>insert into ins_premium_det (premium_rcv_code,assorted_code, rec_amount,premium_rcv_detail_code,remaining_amt, payrec, mode_code,coinsurance_code,class_cd,it_remarks) values('29Oct240071','040000184392','8800',(select max(to_number(i.premium_rcv_detail_code))+1
from ins_premium_det i),'8800','8800','02', '11000003','00','Request by Mr. Omair Ali 30-Aug-2024');</v>
      </c>
    </row>
    <row r="413" spans="1:8" ht="105" x14ac:dyDescent="0.25">
      <c r="A413" t="s">
        <v>551</v>
      </c>
      <c r="B413" s="80" t="str">
        <f>VLOOKUP(A413,policy!B:C,2,0)</f>
        <v>040000184394</v>
      </c>
      <c r="C413" s="46">
        <v>9550</v>
      </c>
      <c r="D413" s="81">
        <f t="shared" si="25"/>
        <v>9550</v>
      </c>
      <c r="E413" s="79" t="s">
        <v>3563</v>
      </c>
      <c r="F413" s="82" t="str">
        <f t="shared" si="24"/>
        <v>insert into ins_premium_det (premium_rcv_code,assorted_code, rec_amount,premium_rcv_detail_code,remaining_amt, payrec, mode_code,coinsurance_code,class_cd,it_remarks) values</v>
      </c>
      <c r="G413" s="83" t="str">
        <f t="shared" si="26"/>
        <v>('29Oct240071','040000184394','9550',(select max(to_number(i.premium_rcv_detail_code))+1
from ins_premium_det i),'9550','9550','02', '11000003','00','Request by Mr. Omair Ali 30-Aug-2024');</v>
      </c>
      <c r="H413" s="84" t="str">
        <f t="shared" si="27"/>
        <v>insert into ins_premium_det (premium_rcv_code,assorted_code, rec_amount,premium_rcv_detail_code,remaining_amt, payrec, mode_code,coinsurance_code,class_cd,it_remarks) values('29Oct240071','040000184394','9550',(select max(to_number(i.premium_rcv_detail_code))+1
from ins_premium_det i),'9550','9550','02', '11000003','00','Request by Mr. Omair Ali 30-Aug-2024');</v>
      </c>
    </row>
    <row r="414" spans="1:8" ht="105" x14ac:dyDescent="0.25">
      <c r="A414" t="s">
        <v>552</v>
      </c>
      <c r="B414" s="80" t="str">
        <f>VLOOKUP(A414,policy!B:C,2,0)</f>
        <v>040000184396</v>
      </c>
      <c r="C414" s="46">
        <v>8800</v>
      </c>
      <c r="D414" s="81">
        <f t="shared" si="25"/>
        <v>8800</v>
      </c>
      <c r="E414" s="79" t="s">
        <v>3563</v>
      </c>
      <c r="F414" s="82" t="str">
        <f t="shared" si="24"/>
        <v>insert into ins_premium_det (premium_rcv_code,assorted_code, rec_amount,premium_rcv_detail_code,remaining_amt, payrec, mode_code,coinsurance_code,class_cd,it_remarks) values</v>
      </c>
      <c r="G414" s="83" t="str">
        <f t="shared" si="26"/>
        <v>('29Oct240071','040000184396','8800',(select max(to_number(i.premium_rcv_detail_code))+1
from ins_premium_det i),'8800','8800','02', '11000003','00','Request by Mr. Omair Ali 30-Aug-2024');</v>
      </c>
      <c r="H414" s="84" t="str">
        <f t="shared" si="27"/>
        <v>insert into ins_premium_det (premium_rcv_code,assorted_code, rec_amount,premium_rcv_detail_code,remaining_amt, payrec, mode_code,coinsurance_code,class_cd,it_remarks) values('29Oct240071','040000184396','8800',(select max(to_number(i.premium_rcv_detail_code))+1
from ins_premium_det i),'8800','8800','02', '11000003','00','Request by Mr. Omair Ali 30-Aug-2024');</v>
      </c>
    </row>
    <row r="415" spans="1:8" ht="105" x14ac:dyDescent="0.25">
      <c r="A415" t="s">
        <v>553</v>
      </c>
      <c r="B415" s="80" t="str">
        <f>VLOOKUP(A415,policy!B:C,2,0)</f>
        <v>040000184397</v>
      </c>
      <c r="C415" s="46">
        <v>8800</v>
      </c>
      <c r="D415" s="81">
        <f t="shared" si="25"/>
        <v>8800</v>
      </c>
      <c r="E415" s="79" t="s">
        <v>3563</v>
      </c>
      <c r="F415" s="82" t="str">
        <f t="shared" si="24"/>
        <v>insert into ins_premium_det (premium_rcv_code,assorted_code, rec_amount,premium_rcv_detail_code,remaining_amt, payrec, mode_code,coinsurance_code,class_cd,it_remarks) values</v>
      </c>
      <c r="G415" s="83" t="str">
        <f t="shared" si="26"/>
        <v>('29Oct240071','040000184397','8800',(select max(to_number(i.premium_rcv_detail_code))+1
from ins_premium_det i),'8800','8800','02', '11000003','00','Request by Mr. Omair Ali 30-Aug-2024');</v>
      </c>
      <c r="H415" s="84" t="str">
        <f t="shared" si="27"/>
        <v>insert into ins_premium_det (premium_rcv_code,assorted_code, rec_amount,premium_rcv_detail_code,remaining_amt, payrec, mode_code,coinsurance_code,class_cd,it_remarks) values('29Oct240071','040000184397','8800',(select max(to_number(i.premium_rcv_detail_code))+1
from ins_premium_det i),'8800','8800','02', '11000003','00','Request by Mr. Omair Ali 30-Aug-2024');</v>
      </c>
    </row>
    <row r="416" spans="1:8" ht="105" x14ac:dyDescent="0.25">
      <c r="A416" t="s">
        <v>554</v>
      </c>
      <c r="B416" s="80" t="str">
        <f>VLOOKUP(A416,policy!B:C,2,0)</f>
        <v>040000184398</v>
      </c>
      <c r="C416" s="46">
        <v>9550</v>
      </c>
      <c r="D416" s="81">
        <f t="shared" si="25"/>
        <v>9550</v>
      </c>
      <c r="E416" s="79" t="s">
        <v>3563</v>
      </c>
      <c r="F416" s="82" t="str">
        <f t="shared" si="24"/>
        <v>insert into ins_premium_det (premium_rcv_code,assorted_code, rec_amount,premium_rcv_detail_code,remaining_amt, payrec, mode_code,coinsurance_code,class_cd,it_remarks) values</v>
      </c>
      <c r="G416" s="83" t="str">
        <f t="shared" si="26"/>
        <v>('29Oct240071','040000184398','9550',(select max(to_number(i.premium_rcv_detail_code))+1
from ins_premium_det i),'9550','9550','02', '11000003','00','Request by Mr. Omair Ali 30-Aug-2024');</v>
      </c>
      <c r="H416" s="84" t="str">
        <f t="shared" si="27"/>
        <v>insert into ins_premium_det (premium_rcv_code,assorted_code, rec_amount,premium_rcv_detail_code,remaining_amt, payrec, mode_code,coinsurance_code,class_cd,it_remarks) values('29Oct240071','040000184398','9550',(select max(to_number(i.premium_rcv_detail_code))+1
from ins_premium_det i),'9550','9550','02', '11000003','00','Request by Mr. Omair Ali 30-Aug-2024');</v>
      </c>
    </row>
    <row r="417" spans="1:8" ht="105" x14ac:dyDescent="0.25">
      <c r="A417" t="s">
        <v>555</v>
      </c>
      <c r="B417" s="80" t="str">
        <f>VLOOKUP(A417,policy!B:C,2,0)</f>
        <v>040000184399</v>
      </c>
      <c r="C417" s="46">
        <v>8800</v>
      </c>
      <c r="D417" s="81">
        <f t="shared" si="25"/>
        <v>8800</v>
      </c>
      <c r="E417" s="79" t="s">
        <v>3563</v>
      </c>
      <c r="F417" s="82" t="str">
        <f t="shared" si="24"/>
        <v>insert into ins_premium_det (premium_rcv_code,assorted_code, rec_amount,premium_rcv_detail_code,remaining_amt, payrec, mode_code,coinsurance_code,class_cd,it_remarks) values</v>
      </c>
      <c r="G417" s="83" t="str">
        <f t="shared" si="26"/>
        <v>('29Oct240071','040000184399','8800',(select max(to_number(i.premium_rcv_detail_code))+1
from ins_premium_det i),'8800','8800','02', '11000003','00','Request by Mr. Omair Ali 30-Aug-2024');</v>
      </c>
      <c r="H417" s="84" t="str">
        <f t="shared" si="27"/>
        <v>insert into ins_premium_det (premium_rcv_code,assorted_code, rec_amount,premium_rcv_detail_code,remaining_amt, payrec, mode_code,coinsurance_code,class_cd,it_remarks) values('29Oct240071','040000184399','8800',(select max(to_number(i.premium_rcv_detail_code))+1
from ins_premium_det i),'8800','8800','02', '11000003','00','Request by Mr. Omair Ali 30-Aug-2024');</v>
      </c>
    </row>
    <row r="418" spans="1:8" ht="105" x14ac:dyDescent="0.25">
      <c r="A418" t="s">
        <v>556</v>
      </c>
      <c r="B418" s="80" t="str">
        <f>VLOOKUP(A418,policy!B:C,2,0)</f>
        <v>040000184400</v>
      </c>
      <c r="C418" s="46">
        <v>21208</v>
      </c>
      <c r="D418" s="81">
        <f t="shared" si="25"/>
        <v>21208</v>
      </c>
      <c r="E418" s="79" t="s">
        <v>3563</v>
      </c>
      <c r="F418" s="82" t="str">
        <f t="shared" si="24"/>
        <v>insert into ins_premium_det (premium_rcv_code,assorted_code, rec_amount,premium_rcv_detail_code,remaining_amt, payrec, mode_code,coinsurance_code,class_cd,it_remarks) values</v>
      </c>
      <c r="G418" s="83" t="str">
        <f t="shared" si="26"/>
        <v>('29Oct240071','040000184400','21208',(select max(to_number(i.premium_rcv_detail_code))+1
from ins_premium_det i),'21208','21208','02', '11000003','00','Request by Mr. Omair Ali 30-Aug-2024');</v>
      </c>
      <c r="H418" s="84" t="str">
        <f t="shared" si="27"/>
        <v>insert into ins_premium_det (premium_rcv_code,assorted_code, rec_amount,premium_rcv_detail_code,remaining_amt, payrec, mode_code,coinsurance_code,class_cd,it_remarks) values('29Oct240071','040000184400','21208',(select max(to_number(i.premium_rcv_detail_code))+1
from ins_premium_det i),'21208','21208','02', '11000003','00','Request by Mr. Omair Ali 30-Aug-2024');</v>
      </c>
    </row>
    <row r="419" spans="1:8" ht="105" x14ac:dyDescent="0.25">
      <c r="A419" t="s">
        <v>557</v>
      </c>
      <c r="B419" s="80" t="str">
        <f>VLOOKUP(A419,policy!B:C,2,0)</f>
        <v>040000184401</v>
      </c>
      <c r="C419" s="46">
        <v>8800</v>
      </c>
      <c r="D419" s="81">
        <f t="shared" si="25"/>
        <v>8800</v>
      </c>
      <c r="E419" s="79" t="s">
        <v>3563</v>
      </c>
      <c r="F419" s="82" t="str">
        <f t="shared" si="24"/>
        <v>insert into ins_premium_det (premium_rcv_code,assorted_code, rec_amount,premium_rcv_detail_code,remaining_amt, payrec, mode_code,coinsurance_code,class_cd,it_remarks) values</v>
      </c>
      <c r="G419" s="83" t="str">
        <f t="shared" si="26"/>
        <v>('29Oct240071','040000184401','8800',(select max(to_number(i.premium_rcv_detail_code))+1
from ins_premium_det i),'8800','8800','02', '11000003','00','Request by Mr. Omair Ali 30-Aug-2024');</v>
      </c>
      <c r="H419" s="84" t="str">
        <f t="shared" si="27"/>
        <v>insert into ins_premium_det (premium_rcv_code,assorted_code, rec_amount,premium_rcv_detail_code,remaining_amt, payrec, mode_code,coinsurance_code,class_cd,it_remarks) values('29Oct240071','040000184401','8800',(select max(to_number(i.premium_rcv_detail_code))+1
from ins_premium_det i),'8800','8800','02', '11000003','00','Request by Mr. Omair Ali 30-Aug-2024');</v>
      </c>
    </row>
    <row r="420" spans="1:8" ht="105" x14ac:dyDescent="0.25">
      <c r="A420" t="s">
        <v>558</v>
      </c>
      <c r="B420" s="80" t="str">
        <f>VLOOKUP(A420,policy!B:C,2,0)</f>
        <v>040000184405</v>
      </c>
      <c r="C420" s="46">
        <v>8800</v>
      </c>
      <c r="D420" s="81">
        <f t="shared" si="25"/>
        <v>8800</v>
      </c>
      <c r="E420" s="79" t="s">
        <v>3563</v>
      </c>
      <c r="F420" s="82" t="str">
        <f t="shared" si="24"/>
        <v>insert into ins_premium_det (premium_rcv_code,assorted_code, rec_amount,premium_rcv_detail_code,remaining_amt, payrec, mode_code,coinsurance_code,class_cd,it_remarks) values</v>
      </c>
      <c r="G420" s="83" t="str">
        <f t="shared" si="26"/>
        <v>('29Oct240071','040000184405','8800',(select max(to_number(i.premium_rcv_detail_code))+1
from ins_premium_det i),'8800','8800','02', '11000003','00','Request by Mr. Omair Ali 30-Aug-2024');</v>
      </c>
      <c r="H420" s="84" t="str">
        <f t="shared" si="27"/>
        <v>insert into ins_premium_det (premium_rcv_code,assorted_code, rec_amount,premium_rcv_detail_code,remaining_amt, payrec, mode_code,coinsurance_code,class_cd,it_remarks) values('29Oct240071','040000184405','8800',(select max(to_number(i.premium_rcv_detail_code))+1
from ins_premium_det i),'8800','8800','02', '11000003','00','Request by Mr. Omair Ali 30-Aug-2024');</v>
      </c>
    </row>
    <row r="421" spans="1:8" ht="105" x14ac:dyDescent="0.25">
      <c r="A421" t="s">
        <v>559</v>
      </c>
      <c r="B421" s="80" t="str">
        <f>VLOOKUP(A421,policy!B:C,2,0)</f>
        <v>040000184408</v>
      </c>
      <c r="C421" s="46">
        <v>8800</v>
      </c>
      <c r="D421" s="81">
        <f t="shared" si="25"/>
        <v>8800</v>
      </c>
      <c r="E421" s="79" t="s">
        <v>3563</v>
      </c>
      <c r="F421" s="82" t="str">
        <f t="shared" si="24"/>
        <v>insert into ins_premium_det (premium_rcv_code,assorted_code, rec_amount,premium_rcv_detail_code,remaining_amt, payrec, mode_code,coinsurance_code,class_cd,it_remarks) values</v>
      </c>
      <c r="G421" s="83" t="str">
        <f t="shared" si="26"/>
        <v>('29Oct240071','040000184408','8800',(select max(to_number(i.premium_rcv_detail_code))+1
from ins_premium_det i),'8800','8800','02', '11000003','00','Request by Mr. Omair Ali 30-Aug-2024');</v>
      </c>
      <c r="H421" s="84" t="str">
        <f t="shared" si="27"/>
        <v>insert into ins_premium_det (premium_rcv_code,assorted_code, rec_amount,premium_rcv_detail_code,remaining_amt, payrec, mode_code,coinsurance_code,class_cd,it_remarks) values('29Oct240071','040000184408','8800',(select max(to_number(i.premium_rcv_detail_code))+1
from ins_premium_det i),'8800','8800','02', '11000003','00','Request by Mr. Omair Ali 30-Aug-2024');</v>
      </c>
    </row>
    <row r="422" spans="1:8" ht="105" x14ac:dyDescent="0.25">
      <c r="A422" t="s">
        <v>560</v>
      </c>
      <c r="B422" s="80" t="str">
        <f>VLOOKUP(A422,policy!B:C,2,0)</f>
        <v>040000184409</v>
      </c>
      <c r="C422" s="46">
        <v>8800</v>
      </c>
      <c r="D422" s="81">
        <f t="shared" si="25"/>
        <v>8800</v>
      </c>
      <c r="E422" s="79" t="s">
        <v>3563</v>
      </c>
      <c r="F422" s="82" t="str">
        <f t="shared" si="24"/>
        <v>insert into ins_premium_det (premium_rcv_code,assorted_code, rec_amount,premium_rcv_detail_code,remaining_amt, payrec, mode_code,coinsurance_code,class_cd,it_remarks) values</v>
      </c>
      <c r="G422" s="83" t="str">
        <f t="shared" si="26"/>
        <v>('29Oct240071','040000184409','8800',(select max(to_number(i.premium_rcv_detail_code))+1
from ins_premium_det i),'8800','8800','02', '11000003','00','Request by Mr. Omair Ali 30-Aug-2024');</v>
      </c>
      <c r="H422" s="84" t="str">
        <f t="shared" si="27"/>
        <v>insert into ins_premium_det (premium_rcv_code,assorted_code, rec_amount,premium_rcv_detail_code,remaining_amt, payrec, mode_code,coinsurance_code,class_cd,it_remarks) values('29Oct240071','040000184409','8800',(select max(to_number(i.premium_rcv_detail_code))+1
from ins_premium_det i),'8800','8800','02', '11000003','00','Request by Mr. Omair Ali 30-Aug-2024');</v>
      </c>
    </row>
    <row r="423" spans="1:8" ht="105" x14ac:dyDescent="0.25">
      <c r="A423" t="s">
        <v>561</v>
      </c>
      <c r="B423" s="80" t="str">
        <f>VLOOKUP(A423,policy!B:C,2,0)</f>
        <v>040000184413</v>
      </c>
      <c r="C423" s="46">
        <v>14960</v>
      </c>
      <c r="D423" s="81">
        <f t="shared" si="25"/>
        <v>14960</v>
      </c>
      <c r="E423" s="79" t="s">
        <v>3563</v>
      </c>
      <c r="F423" s="82" t="str">
        <f t="shared" si="24"/>
        <v>insert into ins_premium_det (premium_rcv_code,assorted_code, rec_amount,premium_rcv_detail_code,remaining_amt, payrec, mode_code,coinsurance_code,class_cd,it_remarks) values</v>
      </c>
      <c r="G423" s="83" t="str">
        <f t="shared" si="26"/>
        <v>('29Oct240071','040000184413','14960',(select max(to_number(i.premium_rcv_detail_code))+1
from ins_premium_det i),'14960','14960','02', '11000003','00','Request by Mr. Omair Ali 30-Aug-2024');</v>
      </c>
      <c r="H423" s="84" t="str">
        <f t="shared" si="27"/>
        <v>insert into ins_premium_det (premium_rcv_code,assorted_code, rec_amount,premium_rcv_detail_code,remaining_amt, payrec, mode_code,coinsurance_code,class_cd,it_remarks) values('29Oct240071','040000184413','14960',(select max(to_number(i.premium_rcv_detail_code))+1
from ins_premium_det i),'14960','14960','02', '11000003','00','Request by Mr. Omair Ali 30-Aug-2024');</v>
      </c>
    </row>
    <row r="424" spans="1:8" ht="105" x14ac:dyDescent="0.25">
      <c r="A424" t="s">
        <v>562</v>
      </c>
      <c r="B424" s="80" t="str">
        <f>VLOOKUP(A424,policy!B:C,2,0)</f>
        <v>040000184417</v>
      </c>
      <c r="C424" s="46">
        <v>8800</v>
      </c>
      <c r="D424" s="81">
        <f t="shared" si="25"/>
        <v>8800</v>
      </c>
      <c r="E424" s="79" t="s">
        <v>3563</v>
      </c>
      <c r="F424" s="82" t="str">
        <f t="shared" si="24"/>
        <v>insert into ins_premium_det (premium_rcv_code,assorted_code, rec_amount,premium_rcv_detail_code,remaining_amt, payrec, mode_code,coinsurance_code,class_cd,it_remarks) values</v>
      </c>
      <c r="G424" s="83" t="str">
        <f t="shared" si="26"/>
        <v>('29Oct240071','040000184417','8800',(select max(to_number(i.premium_rcv_detail_code))+1
from ins_premium_det i),'8800','8800','02', '11000003','00','Request by Mr. Omair Ali 30-Aug-2024');</v>
      </c>
      <c r="H424" s="84" t="str">
        <f t="shared" si="27"/>
        <v>insert into ins_premium_det (premium_rcv_code,assorted_code, rec_amount,premium_rcv_detail_code,remaining_amt, payrec, mode_code,coinsurance_code,class_cd,it_remarks) values('29Oct240071','040000184417','8800',(select max(to_number(i.premium_rcv_detail_code))+1
from ins_premium_det i),'8800','8800','02', '11000003','00','Request by Mr. Omair Ali 30-Aug-2024');</v>
      </c>
    </row>
    <row r="425" spans="1:8" ht="105" x14ac:dyDescent="0.25">
      <c r="A425" t="s">
        <v>563</v>
      </c>
      <c r="B425" s="80" t="str">
        <f>VLOOKUP(A425,policy!B:C,2,0)</f>
        <v>040000184418</v>
      </c>
      <c r="C425" s="46">
        <v>12475</v>
      </c>
      <c r="D425" s="81">
        <f t="shared" si="25"/>
        <v>12475</v>
      </c>
      <c r="E425" s="79" t="s">
        <v>3563</v>
      </c>
      <c r="F425" s="82" t="str">
        <f t="shared" si="24"/>
        <v>insert into ins_premium_det (premium_rcv_code,assorted_code, rec_amount,premium_rcv_detail_code,remaining_amt, payrec, mode_code,coinsurance_code,class_cd,it_remarks) values</v>
      </c>
      <c r="G425" s="83" t="str">
        <f t="shared" si="26"/>
        <v>('29Oct240071','040000184418','12475',(select max(to_number(i.premium_rcv_detail_code))+1
from ins_premium_det i),'12475','12475','02', '11000003','00','Request by Mr. Omair Ali 30-Aug-2024');</v>
      </c>
      <c r="H425" s="84" t="str">
        <f t="shared" si="27"/>
        <v>insert into ins_premium_det (premium_rcv_code,assorted_code, rec_amount,premium_rcv_detail_code,remaining_amt, payrec, mode_code,coinsurance_code,class_cd,it_remarks) values('29Oct240071','040000184418','12475',(select max(to_number(i.premium_rcv_detail_code))+1
from ins_premium_det i),'12475','12475','02', '11000003','00','Request by Mr. Omair Ali 30-Aug-2024');</v>
      </c>
    </row>
    <row r="426" spans="1:8" ht="105" x14ac:dyDescent="0.25">
      <c r="A426" t="s">
        <v>564</v>
      </c>
      <c r="B426" s="80" t="str">
        <f>VLOOKUP(A426,policy!B:C,2,0)</f>
        <v>040000184419</v>
      </c>
      <c r="C426" s="46">
        <v>8800</v>
      </c>
      <c r="D426" s="81">
        <f t="shared" si="25"/>
        <v>8800</v>
      </c>
      <c r="E426" s="79" t="s">
        <v>3563</v>
      </c>
      <c r="F426" s="82" t="str">
        <f t="shared" si="24"/>
        <v>insert into ins_premium_det (premium_rcv_code,assorted_code, rec_amount,premium_rcv_detail_code,remaining_amt, payrec, mode_code,coinsurance_code,class_cd,it_remarks) values</v>
      </c>
      <c r="G426" s="83" t="str">
        <f t="shared" si="26"/>
        <v>('29Oct240071','040000184419','8800',(select max(to_number(i.premium_rcv_detail_code))+1
from ins_premium_det i),'8800','8800','02', '11000003','00','Request by Mr. Omair Ali 30-Aug-2024');</v>
      </c>
      <c r="H426" s="84" t="str">
        <f t="shared" si="27"/>
        <v>insert into ins_premium_det (premium_rcv_code,assorted_code, rec_amount,premium_rcv_detail_code,remaining_amt, payrec, mode_code,coinsurance_code,class_cd,it_remarks) values('29Oct240071','040000184419','8800',(select max(to_number(i.premium_rcv_detail_code))+1
from ins_premium_det i),'8800','8800','02', '11000003','00','Request by Mr. Omair Ali 30-Aug-2024');</v>
      </c>
    </row>
    <row r="427" spans="1:8" ht="105" x14ac:dyDescent="0.25">
      <c r="A427" t="s">
        <v>565</v>
      </c>
      <c r="B427" s="80" t="str">
        <f>VLOOKUP(A427,policy!B:C,2,0)</f>
        <v>040000184420</v>
      </c>
      <c r="C427" s="46">
        <v>8800</v>
      </c>
      <c r="D427" s="81">
        <f t="shared" si="25"/>
        <v>8800</v>
      </c>
      <c r="E427" s="79" t="s">
        <v>3563</v>
      </c>
      <c r="F427" s="82" t="str">
        <f t="shared" si="24"/>
        <v>insert into ins_premium_det (premium_rcv_code,assorted_code, rec_amount,premium_rcv_detail_code,remaining_amt, payrec, mode_code,coinsurance_code,class_cd,it_remarks) values</v>
      </c>
      <c r="G427" s="83" t="str">
        <f t="shared" si="26"/>
        <v>('29Oct240071','040000184420','8800',(select max(to_number(i.premium_rcv_detail_code))+1
from ins_premium_det i),'8800','8800','02', '11000003','00','Request by Mr. Omair Ali 30-Aug-2024');</v>
      </c>
      <c r="H427" s="84" t="str">
        <f t="shared" si="27"/>
        <v>insert into ins_premium_det (premium_rcv_code,assorted_code, rec_amount,premium_rcv_detail_code,remaining_amt, payrec, mode_code,coinsurance_code,class_cd,it_remarks) values('29Oct240071','040000184420','8800',(select max(to_number(i.premium_rcv_detail_code))+1
from ins_premium_det i),'8800','8800','02', '11000003','00','Request by Mr. Omair Ali 30-Aug-2024');</v>
      </c>
    </row>
    <row r="428" spans="1:8" ht="105" x14ac:dyDescent="0.25">
      <c r="A428" t="s">
        <v>566</v>
      </c>
      <c r="B428" s="80" t="str">
        <f>VLOOKUP(A428,policy!B:C,2,0)</f>
        <v>040000184443</v>
      </c>
      <c r="C428" s="46">
        <v>8800</v>
      </c>
      <c r="D428" s="81">
        <f t="shared" si="25"/>
        <v>8800</v>
      </c>
      <c r="E428" s="79" t="s">
        <v>3563</v>
      </c>
      <c r="F428" s="82" t="str">
        <f t="shared" si="24"/>
        <v>insert into ins_premium_det (premium_rcv_code,assorted_code, rec_amount,premium_rcv_detail_code,remaining_amt, payrec, mode_code,coinsurance_code,class_cd,it_remarks) values</v>
      </c>
      <c r="G428" s="83" t="str">
        <f t="shared" si="26"/>
        <v>('29Oct240071','040000184443','8800',(select max(to_number(i.premium_rcv_detail_code))+1
from ins_premium_det i),'8800','8800','02', '11000003','00','Request by Mr. Omair Ali 30-Aug-2024');</v>
      </c>
      <c r="H428" s="84" t="str">
        <f t="shared" si="27"/>
        <v>insert into ins_premium_det (premium_rcv_code,assorted_code, rec_amount,premium_rcv_detail_code,remaining_amt, payrec, mode_code,coinsurance_code,class_cd,it_remarks) values('29Oct240071','040000184443','8800',(select max(to_number(i.premium_rcv_detail_code))+1
from ins_premium_det i),'8800','8800','02', '11000003','00','Request by Mr. Omair Ali 30-Aug-2024');</v>
      </c>
    </row>
    <row r="429" spans="1:8" ht="105" x14ac:dyDescent="0.25">
      <c r="A429" t="s">
        <v>567</v>
      </c>
      <c r="B429" s="80" t="str">
        <f>VLOOKUP(A429,policy!B:C,2,0)</f>
        <v>040000184444</v>
      </c>
      <c r="C429" s="46">
        <v>8800</v>
      </c>
      <c r="D429" s="81">
        <f t="shared" si="25"/>
        <v>8800</v>
      </c>
      <c r="E429" s="79" t="s">
        <v>3563</v>
      </c>
      <c r="F429" s="82" t="str">
        <f t="shared" si="24"/>
        <v>insert into ins_premium_det (premium_rcv_code,assorted_code, rec_amount,premium_rcv_detail_code,remaining_amt, payrec, mode_code,coinsurance_code,class_cd,it_remarks) values</v>
      </c>
      <c r="G429" s="83" t="str">
        <f t="shared" si="26"/>
        <v>('29Oct240071','040000184444','8800',(select max(to_number(i.premium_rcv_detail_code))+1
from ins_premium_det i),'8800','8800','02', '11000003','00','Request by Mr. Omair Ali 30-Aug-2024');</v>
      </c>
      <c r="H429" s="84" t="str">
        <f t="shared" si="27"/>
        <v>insert into ins_premium_det (premium_rcv_code,assorted_code, rec_amount,premium_rcv_detail_code,remaining_amt, payrec, mode_code,coinsurance_code,class_cd,it_remarks) values('29Oct240071','040000184444','8800',(select max(to_number(i.premium_rcv_detail_code))+1
from ins_premium_det i),'8800','8800','02', '11000003','00','Request by Mr. Omair Ali 30-Aug-2024');</v>
      </c>
    </row>
    <row r="430" spans="1:8" ht="105" x14ac:dyDescent="0.25">
      <c r="A430" t="s">
        <v>568</v>
      </c>
      <c r="B430" s="80" t="str">
        <f>VLOOKUP(A430,policy!B:C,2,0)</f>
        <v>040000184448</v>
      </c>
      <c r="C430" s="46">
        <v>8800</v>
      </c>
      <c r="D430" s="81">
        <f t="shared" si="25"/>
        <v>8800</v>
      </c>
      <c r="E430" s="79" t="s">
        <v>3563</v>
      </c>
      <c r="F430" s="82" t="str">
        <f t="shared" si="24"/>
        <v>insert into ins_premium_det (premium_rcv_code,assorted_code, rec_amount,premium_rcv_detail_code,remaining_amt, payrec, mode_code,coinsurance_code,class_cd,it_remarks) values</v>
      </c>
      <c r="G430" s="83" t="str">
        <f t="shared" si="26"/>
        <v>('29Oct240071','040000184448','8800',(select max(to_number(i.premium_rcv_detail_code))+1
from ins_premium_det i),'8800','8800','02', '11000003','00','Request by Mr. Omair Ali 30-Aug-2024');</v>
      </c>
      <c r="H430" s="84" t="str">
        <f t="shared" si="27"/>
        <v>insert into ins_premium_det (premium_rcv_code,assorted_code, rec_amount,premium_rcv_detail_code,remaining_amt, payrec, mode_code,coinsurance_code,class_cd,it_remarks) values('29Oct240071','040000184448','8800',(select max(to_number(i.premium_rcv_detail_code))+1
from ins_premium_det i),'8800','8800','02', '11000003','00','Request by Mr. Omair Ali 30-Aug-2024');</v>
      </c>
    </row>
    <row r="431" spans="1:8" ht="105" x14ac:dyDescent="0.25">
      <c r="A431" t="s">
        <v>569</v>
      </c>
      <c r="B431" s="80" t="str">
        <f>VLOOKUP(A431,policy!B:C,2,0)</f>
        <v>040000184449</v>
      </c>
      <c r="C431" s="46">
        <v>9550</v>
      </c>
      <c r="D431" s="81">
        <f t="shared" si="25"/>
        <v>9550</v>
      </c>
      <c r="E431" s="79" t="s">
        <v>3563</v>
      </c>
      <c r="F431" s="82" t="str">
        <f t="shared" si="24"/>
        <v>insert into ins_premium_det (premium_rcv_code,assorted_code, rec_amount,premium_rcv_detail_code,remaining_amt, payrec, mode_code,coinsurance_code,class_cd,it_remarks) values</v>
      </c>
      <c r="G431" s="83" t="str">
        <f t="shared" si="26"/>
        <v>('29Oct240071','040000184449','9550',(select max(to_number(i.premium_rcv_detail_code))+1
from ins_premium_det i),'9550','9550','02', '11000003','00','Request by Mr. Omair Ali 30-Aug-2024');</v>
      </c>
      <c r="H431" s="84" t="str">
        <f t="shared" si="27"/>
        <v>insert into ins_premium_det (premium_rcv_code,assorted_code, rec_amount,premium_rcv_detail_code,remaining_amt, payrec, mode_code,coinsurance_code,class_cd,it_remarks) values('29Oct240071','040000184449','9550',(select max(to_number(i.premium_rcv_detail_code))+1
from ins_premium_det i),'9550','9550','02', '11000003','00','Request by Mr. Omair Ali 30-Aug-2024');</v>
      </c>
    </row>
    <row r="432" spans="1:8" ht="105" x14ac:dyDescent="0.25">
      <c r="A432" t="s">
        <v>570</v>
      </c>
      <c r="B432" s="80" t="str">
        <f>VLOOKUP(A432,policy!B:C,2,0)</f>
        <v>040000184451</v>
      </c>
      <c r="C432" s="46">
        <v>8800</v>
      </c>
      <c r="D432" s="81">
        <f t="shared" si="25"/>
        <v>8800</v>
      </c>
      <c r="E432" s="79" t="s">
        <v>3563</v>
      </c>
      <c r="F432" s="82" t="str">
        <f t="shared" si="24"/>
        <v>insert into ins_premium_det (premium_rcv_code,assorted_code, rec_amount,premium_rcv_detail_code,remaining_amt, payrec, mode_code,coinsurance_code,class_cd,it_remarks) values</v>
      </c>
      <c r="G432" s="83" t="str">
        <f t="shared" si="26"/>
        <v>('29Oct240071','040000184451','8800',(select max(to_number(i.premium_rcv_detail_code))+1
from ins_premium_det i),'8800','8800','02', '11000003','00','Request by Mr. Omair Ali 30-Aug-2024');</v>
      </c>
      <c r="H432" s="84" t="str">
        <f t="shared" si="27"/>
        <v>insert into ins_premium_det (premium_rcv_code,assorted_code, rec_amount,premium_rcv_detail_code,remaining_amt, payrec, mode_code,coinsurance_code,class_cd,it_remarks) values('29Oct240071','040000184451','8800',(select max(to_number(i.premium_rcv_detail_code))+1
from ins_premium_det i),'8800','8800','02', '11000003','00','Request by Mr. Omair Ali 30-Aug-2024');</v>
      </c>
    </row>
    <row r="433" spans="1:8" ht="105" x14ac:dyDescent="0.25">
      <c r="A433" t="s">
        <v>571</v>
      </c>
      <c r="B433" s="80" t="str">
        <f>VLOOKUP(A433,policy!B:C,2,0)</f>
        <v>040000184453</v>
      </c>
      <c r="C433" s="46">
        <v>8800</v>
      </c>
      <c r="D433" s="81">
        <f t="shared" si="25"/>
        <v>8800</v>
      </c>
      <c r="E433" s="79" t="s">
        <v>3563</v>
      </c>
      <c r="F433" s="82" t="str">
        <f t="shared" si="24"/>
        <v>insert into ins_premium_det (premium_rcv_code,assorted_code, rec_amount,premium_rcv_detail_code,remaining_amt, payrec, mode_code,coinsurance_code,class_cd,it_remarks) values</v>
      </c>
      <c r="G433" s="83" t="str">
        <f t="shared" si="26"/>
        <v>('29Oct240071','040000184453','8800',(select max(to_number(i.premium_rcv_detail_code))+1
from ins_premium_det i),'8800','8800','02', '11000003','00','Request by Mr. Omair Ali 30-Aug-2024');</v>
      </c>
      <c r="H433" s="84" t="str">
        <f t="shared" si="27"/>
        <v>insert into ins_premium_det (premium_rcv_code,assorted_code, rec_amount,premium_rcv_detail_code,remaining_amt, payrec, mode_code,coinsurance_code,class_cd,it_remarks) values('29Oct240071','040000184453','8800',(select max(to_number(i.premium_rcv_detail_code))+1
from ins_premium_det i),'8800','8800','02', '11000003','00','Request by Mr. Omair Ali 30-Aug-2024');</v>
      </c>
    </row>
    <row r="434" spans="1:8" ht="105" x14ac:dyDescent="0.25">
      <c r="A434" t="s">
        <v>572</v>
      </c>
      <c r="B434" s="80" t="str">
        <f>VLOOKUP(A434,policy!B:C,2,0)</f>
        <v>040000184454</v>
      </c>
      <c r="C434" s="46">
        <v>9550</v>
      </c>
      <c r="D434" s="81">
        <f t="shared" si="25"/>
        <v>9550</v>
      </c>
      <c r="E434" s="79" t="s">
        <v>3563</v>
      </c>
      <c r="F434" s="82" t="str">
        <f t="shared" si="24"/>
        <v>insert into ins_premium_det (premium_rcv_code,assorted_code, rec_amount,premium_rcv_detail_code,remaining_amt, payrec, mode_code,coinsurance_code,class_cd,it_remarks) values</v>
      </c>
      <c r="G434" s="83" t="str">
        <f t="shared" si="26"/>
        <v>('29Oct240071','040000184454','9550',(select max(to_number(i.premium_rcv_detail_code))+1
from ins_premium_det i),'9550','9550','02', '11000003','00','Request by Mr. Omair Ali 30-Aug-2024');</v>
      </c>
      <c r="H434" s="84" t="str">
        <f t="shared" si="27"/>
        <v>insert into ins_premium_det (premium_rcv_code,assorted_code, rec_amount,premium_rcv_detail_code,remaining_amt, payrec, mode_code,coinsurance_code,class_cd,it_remarks) values('29Oct240071','040000184454','9550',(select max(to_number(i.premium_rcv_detail_code))+1
from ins_premium_det i),'9550','9550','02', '11000003','00','Request by Mr. Omair Ali 30-Aug-2024');</v>
      </c>
    </row>
    <row r="435" spans="1:8" ht="105" x14ac:dyDescent="0.25">
      <c r="A435" t="s">
        <v>573</v>
      </c>
      <c r="B435" s="80" t="str">
        <f>VLOOKUP(A435,policy!B:C,2,0)</f>
        <v>040000184455</v>
      </c>
      <c r="C435" s="46">
        <v>8800</v>
      </c>
      <c r="D435" s="81">
        <f t="shared" si="25"/>
        <v>8800</v>
      </c>
      <c r="E435" s="79" t="s">
        <v>3563</v>
      </c>
      <c r="F435" s="82" t="str">
        <f t="shared" si="24"/>
        <v>insert into ins_premium_det (premium_rcv_code,assorted_code, rec_amount,premium_rcv_detail_code,remaining_amt, payrec, mode_code,coinsurance_code,class_cd,it_remarks) values</v>
      </c>
      <c r="G435" s="83" t="str">
        <f t="shared" si="26"/>
        <v>('29Oct240071','040000184455','8800',(select max(to_number(i.premium_rcv_detail_code))+1
from ins_premium_det i),'8800','8800','02', '11000003','00','Request by Mr. Omair Ali 30-Aug-2024');</v>
      </c>
      <c r="H435" s="84" t="str">
        <f t="shared" si="27"/>
        <v>insert into ins_premium_det (premium_rcv_code,assorted_code, rec_amount,premium_rcv_detail_code,remaining_amt, payrec, mode_code,coinsurance_code,class_cd,it_remarks) values('29Oct240071','040000184455','8800',(select max(to_number(i.premium_rcv_detail_code))+1
from ins_premium_det i),'8800','8800','02', '11000003','00','Request by Mr. Omair Ali 30-Aug-2024');</v>
      </c>
    </row>
    <row r="436" spans="1:8" ht="105" x14ac:dyDescent="0.25">
      <c r="A436" t="s">
        <v>574</v>
      </c>
      <c r="B436" s="80" t="str">
        <f>VLOOKUP(A436,policy!B:C,2,0)</f>
        <v>040000184457</v>
      </c>
      <c r="C436" s="46">
        <v>8800</v>
      </c>
      <c r="D436" s="81">
        <f t="shared" si="25"/>
        <v>8800</v>
      </c>
      <c r="E436" s="79" t="s">
        <v>3563</v>
      </c>
      <c r="F436" s="82" t="str">
        <f t="shared" si="24"/>
        <v>insert into ins_premium_det (premium_rcv_code,assorted_code, rec_amount,premium_rcv_detail_code,remaining_amt, payrec, mode_code,coinsurance_code,class_cd,it_remarks) values</v>
      </c>
      <c r="G436" s="83" t="str">
        <f t="shared" si="26"/>
        <v>('29Oct240071','040000184457','8800',(select max(to_number(i.premium_rcv_detail_code))+1
from ins_premium_det i),'8800','8800','02', '11000003','00','Request by Mr. Omair Ali 30-Aug-2024');</v>
      </c>
      <c r="H436" s="84" t="str">
        <f t="shared" si="27"/>
        <v>insert into ins_premium_det (premium_rcv_code,assorted_code, rec_amount,premium_rcv_detail_code,remaining_amt, payrec, mode_code,coinsurance_code,class_cd,it_remarks) values('29Oct240071','040000184457','8800',(select max(to_number(i.premium_rcv_detail_code))+1
from ins_premium_det i),'8800','8800','02', '11000003','00','Request by Mr. Omair Ali 30-Aug-2024');</v>
      </c>
    </row>
    <row r="437" spans="1:8" ht="105" x14ac:dyDescent="0.25">
      <c r="A437" t="s">
        <v>575</v>
      </c>
      <c r="B437" s="80" t="str">
        <f>VLOOKUP(A437,policy!B:C,2,0)</f>
        <v>040000184458</v>
      </c>
      <c r="C437" s="46">
        <v>8800</v>
      </c>
      <c r="D437" s="81">
        <f t="shared" si="25"/>
        <v>8800</v>
      </c>
      <c r="E437" s="79" t="s">
        <v>3563</v>
      </c>
      <c r="F437" s="82" t="str">
        <f t="shared" si="24"/>
        <v>insert into ins_premium_det (premium_rcv_code,assorted_code, rec_amount,premium_rcv_detail_code,remaining_amt, payrec, mode_code,coinsurance_code,class_cd,it_remarks) values</v>
      </c>
      <c r="G437" s="83" t="str">
        <f t="shared" si="26"/>
        <v>('29Oct240071','040000184458','8800',(select max(to_number(i.premium_rcv_detail_code))+1
from ins_premium_det i),'8800','8800','02', '11000003','00','Request by Mr. Omair Ali 30-Aug-2024');</v>
      </c>
      <c r="H437" s="84" t="str">
        <f t="shared" si="27"/>
        <v>insert into ins_premium_det (premium_rcv_code,assorted_code, rec_amount,premium_rcv_detail_code,remaining_amt, payrec, mode_code,coinsurance_code,class_cd,it_remarks) values('29Oct240071','040000184458','8800',(select max(to_number(i.premium_rcv_detail_code))+1
from ins_premium_det i),'8800','8800','02', '11000003','00','Request by Mr. Omair Ali 30-Aug-2024');</v>
      </c>
    </row>
    <row r="438" spans="1:8" ht="105" x14ac:dyDescent="0.25">
      <c r="A438" t="s">
        <v>576</v>
      </c>
      <c r="B438" s="80" t="str">
        <f>VLOOKUP(A438,policy!B:C,2,0)</f>
        <v>040000184459</v>
      </c>
      <c r="C438" s="46">
        <v>8800</v>
      </c>
      <c r="D438" s="81">
        <f t="shared" si="25"/>
        <v>8800</v>
      </c>
      <c r="E438" s="79" t="s">
        <v>3563</v>
      </c>
      <c r="F438" s="82" t="str">
        <f t="shared" si="24"/>
        <v>insert into ins_premium_det (premium_rcv_code,assorted_code, rec_amount,premium_rcv_detail_code,remaining_amt, payrec, mode_code,coinsurance_code,class_cd,it_remarks) values</v>
      </c>
      <c r="G438" s="83" t="str">
        <f t="shared" si="26"/>
        <v>('29Oct240071','040000184459','8800',(select max(to_number(i.premium_rcv_detail_code))+1
from ins_premium_det i),'8800','8800','02', '11000003','00','Request by Mr. Omair Ali 30-Aug-2024');</v>
      </c>
      <c r="H438" s="84" t="str">
        <f t="shared" si="27"/>
        <v>insert into ins_premium_det (premium_rcv_code,assorted_code, rec_amount,premium_rcv_detail_code,remaining_amt, payrec, mode_code,coinsurance_code,class_cd,it_remarks) values('29Oct240071','040000184459','8800',(select max(to_number(i.premium_rcv_detail_code))+1
from ins_premium_det i),'8800','8800','02', '11000003','00','Request by Mr. Omair Ali 30-Aug-2024');</v>
      </c>
    </row>
    <row r="439" spans="1:8" ht="105" x14ac:dyDescent="0.25">
      <c r="A439" t="s">
        <v>577</v>
      </c>
      <c r="B439" s="80" t="str">
        <f>VLOOKUP(A439,policy!B:C,2,0)</f>
        <v>040000184460</v>
      </c>
      <c r="C439" s="46">
        <v>9550</v>
      </c>
      <c r="D439" s="81">
        <f t="shared" si="25"/>
        <v>9550</v>
      </c>
      <c r="E439" s="79" t="s">
        <v>3563</v>
      </c>
      <c r="F439" s="82" t="str">
        <f t="shared" si="24"/>
        <v>insert into ins_premium_det (premium_rcv_code,assorted_code, rec_amount,premium_rcv_detail_code,remaining_amt, payrec, mode_code,coinsurance_code,class_cd,it_remarks) values</v>
      </c>
      <c r="G439" s="83" t="str">
        <f t="shared" si="26"/>
        <v>('29Oct240071','040000184460','9550',(select max(to_number(i.premium_rcv_detail_code))+1
from ins_premium_det i),'9550','9550','02', '11000003','00','Request by Mr. Omair Ali 30-Aug-2024');</v>
      </c>
      <c r="H439" s="84" t="str">
        <f t="shared" si="27"/>
        <v>insert into ins_premium_det (premium_rcv_code,assorted_code, rec_amount,premium_rcv_detail_code,remaining_amt, payrec, mode_code,coinsurance_code,class_cd,it_remarks) values('29Oct240071','040000184460','9550',(select max(to_number(i.premium_rcv_detail_code))+1
from ins_premium_det i),'9550','9550','02', '11000003','00','Request by Mr. Omair Ali 30-Aug-2024');</v>
      </c>
    </row>
    <row r="440" spans="1:8" ht="105" x14ac:dyDescent="0.25">
      <c r="A440" t="s">
        <v>578</v>
      </c>
      <c r="B440" s="80" t="str">
        <f>VLOOKUP(A440,policy!B:C,2,0)</f>
        <v>040000184462</v>
      </c>
      <c r="C440" s="46">
        <v>12475</v>
      </c>
      <c r="D440" s="81">
        <f t="shared" si="25"/>
        <v>12475</v>
      </c>
      <c r="E440" s="79" t="s">
        <v>3563</v>
      </c>
      <c r="F440" s="82" t="str">
        <f t="shared" si="24"/>
        <v>insert into ins_premium_det (premium_rcv_code,assorted_code, rec_amount,premium_rcv_detail_code,remaining_amt, payrec, mode_code,coinsurance_code,class_cd,it_remarks) values</v>
      </c>
      <c r="G440" s="83" t="str">
        <f t="shared" si="26"/>
        <v>('29Oct240071','040000184462','12475',(select max(to_number(i.premium_rcv_detail_code))+1
from ins_premium_det i),'12475','12475','02', '11000003','00','Request by Mr. Omair Ali 30-Aug-2024');</v>
      </c>
      <c r="H440" s="84" t="str">
        <f t="shared" si="27"/>
        <v>insert into ins_premium_det (premium_rcv_code,assorted_code, rec_amount,premium_rcv_detail_code,remaining_amt, payrec, mode_code,coinsurance_code,class_cd,it_remarks) values('29Oct240071','040000184462','12475',(select max(to_number(i.premium_rcv_detail_code))+1
from ins_premium_det i),'12475','12475','02', '11000003','00','Request by Mr. Omair Ali 30-Aug-2024');</v>
      </c>
    </row>
    <row r="441" spans="1:8" ht="105" x14ac:dyDescent="0.25">
      <c r="A441" t="s">
        <v>579</v>
      </c>
      <c r="B441" s="80" t="str">
        <f>VLOOKUP(A441,policy!B:C,2,0)</f>
        <v>040000184463</v>
      </c>
      <c r="C441" s="46">
        <v>8800</v>
      </c>
      <c r="D441" s="81">
        <f t="shared" si="25"/>
        <v>8800</v>
      </c>
      <c r="E441" s="79" t="s">
        <v>3563</v>
      </c>
      <c r="F441" s="82" t="str">
        <f t="shared" si="24"/>
        <v>insert into ins_premium_det (premium_rcv_code,assorted_code, rec_amount,premium_rcv_detail_code,remaining_amt, payrec, mode_code,coinsurance_code,class_cd,it_remarks) values</v>
      </c>
      <c r="G441" s="83" t="str">
        <f t="shared" si="26"/>
        <v>('29Oct240071','040000184463','8800',(select max(to_number(i.premium_rcv_detail_code))+1
from ins_premium_det i),'8800','8800','02', '11000003','00','Request by Mr. Omair Ali 30-Aug-2024');</v>
      </c>
      <c r="H441" s="84" t="str">
        <f t="shared" si="27"/>
        <v>insert into ins_premium_det (premium_rcv_code,assorted_code, rec_amount,premium_rcv_detail_code,remaining_amt, payrec, mode_code,coinsurance_code,class_cd,it_remarks) values('29Oct240071','040000184463','8800',(select max(to_number(i.premium_rcv_detail_code))+1
from ins_premium_det i),'8800','8800','02', '11000003','00','Request by Mr. Omair Ali 30-Aug-2024');</v>
      </c>
    </row>
    <row r="442" spans="1:8" ht="105" x14ac:dyDescent="0.25">
      <c r="A442" t="s">
        <v>580</v>
      </c>
      <c r="B442" s="80" t="str">
        <f>VLOOKUP(A442,policy!B:C,2,0)</f>
        <v>040000184464</v>
      </c>
      <c r="C442" s="46">
        <v>9550</v>
      </c>
      <c r="D442" s="81">
        <f t="shared" si="25"/>
        <v>9550</v>
      </c>
      <c r="E442" s="79" t="s">
        <v>3563</v>
      </c>
      <c r="F442" s="82" t="str">
        <f t="shared" si="24"/>
        <v>insert into ins_premium_det (premium_rcv_code,assorted_code, rec_amount,premium_rcv_detail_code,remaining_amt, payrec, mode_code,coinsurance_code,class_cd,it_remarks) values</v>
      </c>
      <c r="G442" s="83" t="str">
        <f t="shared" si="26"/>
        <v>('29Oct240071','040000184464','9550',(select max(to_number(i.premium_rcv_detail_code))+1
from ins_premium_det i),'9550','9550','02', '11000003','00','Request by Mr. Omair Ali 30-Aug-2024');</v>
      </c>
      <c r="H442" s="84" t="str">
        <f t="shared" si="27"/>
        <v>insert into ins_premium_det (premium_rcv_code,assorted_code, rec_amount,premium_rcv_detail_code,remaining_amt, payrec, mode_code,coinsurance_code,class_cd,it_remarks) values('29Oct240071','040000184464','9550',(select max(to_number(i.premium_rcv_detail_code))+1
from ins_premium_det i),'9550','9550','02', '11000003','00','Request by Mr. Omair Ali 30-Aug-2024');</v>
      </c>
    </row>
    <row r="443" spans="1:8" ht="105" x14ac:dyDescent="0.25">
      <c r="A443" t="s">
        <v>581</v>
      </c>
      <c r="B443" s="80" t="str">
        <f>VLOOKUP(A443,policy!B:C,2,0)</f>
        <v>040000184465</v>
      </c>
      <c r="C443" s="46">
        <v>8800</v>
      </c>
      <c r="D443" s="81">
        <f t="shared" si="25"/>
        <v>8800</v>
      </c>
      <c r="E443" s="79" t="s">
        <v>3563</v>
      </c>
      <c r="F443" s="82" t="str">
        <f t="shared" si="24"/>
        <v>insert into ins_premium_det (premium_rcv_code,assorted_code, rec_amount,premium_rcv_detail_code,remaining_amt, payrec, mode_code,coinsurance_code,class_cd,it_remarks) values</v>
      </c>
      <c r="G443" s="83" t="str">
        <f t="shared" si="26"/>
        <v>('29Oct240071','040000184465','8800',(select max(to_number(i.premium_rcv_detail_code))+1
from ins_premium_det i),'8800','8800','02', '11000003','00','Request by Mr. Omair Ali 30-Aug-2024');</v>
      </c>
      <c r="H443" s="84" t="str">
        <f t="shared" si="27"/>
        <v>insert into ins_premium_det (premium_rcv_code,assorted_code, rec_amount,premium_rcv_detail_code,remaining_amt, payrec, mode_code,coinsurance_code,class_cd,it_remarks) values('29Oct240071','040000184465','8800',(select max(to_number(i.premium_rcv_detail_code))+1
from ins_premium_det i),'8800','8800','02', '11000003','00','Request by Mr. Omair Ali 30-Aug-2024');</v>
      </c>
    </row>
    <row r="444" spans="1:8" ht="105" x14ac:dyDescent="0.25">
      <c r="A444" t="s">
        <v>582</v>
      </c>
      <c r="B444" s="80" t="str">
        <f>VLOOKUP(A444,policy!B:C,2,0)</f>
        <v>040000184467</v>
      </c>
      <c r="C444" s="46">
        <v>8800</v>
      </c>
      <c r="D444" s="81">
        <f t="shared" si="25"/>
        <v>8800</v>
      </c>
      <c r="E444" s="79" t="s">
        <v>3563</v>
      </c>
      <c r="F444" s="82" t="str">
        <f t="shared" si="24"/>
        <v>insert into ins_premium_det (premium_rcv_code,assorted_code, rec_amount,premium_rcv_detail_code,remaining_amt, payrec, mode_code,coinsurance_code,class_cd,it_remarks) values</v>
      </c>
      <c r="G444" s="83" t="str">
        <f t="shared" si="26"/>
        <v>('29Oct240071','040000184467','8800',(select max(to_number(i.premium_rcv_detail_code))+1
from ins_premium_det i),'8800','8800','02', '11000003','00','Request by Mr. Omair Ali 30-Aug-2024');</v>
      </c>
      <c r="H444" s="84" t="str">
        <f t="shared" si="27"/>
        <v>insert into ins_premium_det (premium_rcv_code,assorted_code, rec_amount,premium_rcv_detail_code,remaining_amt, payrec, mode_code,coinsurance_code,class_cd,it_remarks) values('29Oct240071','040000184467','8800',(select max(to_number(i.premium_rcv_detail_code))+1
from ins_premium_det i),'8800','8800','02', '11000003','00','Request by Mr. Omair Ali 30-Aug-2024');</v>
      </c>
    </row>
    <row r="445" spans="1:8" ht="105" x14ac:dyDescent="0.25">
      <c r="A445" t="s">
        <v>583</v>
      </c>
      <c r="B445" s="80" t="str">
        <f>VLOOKUP(A445,policy!B:C,2,0)</f>
        <v>040000184468</v>
      </c>
      <c r="C445" s="46">
        <v>16235</v>
      </c>
      <c r="D445" s="81">
        <f t="shared" si="25"/>
        <v>16235</v>
      </c>
      <c r="E445" s="79" t="s">
        <v>3563</v>
      </c>
      <c r="F445" s="82" t="str">
        <f t="shared" si="24"/>
        <v>insert into ins_premium_det (premium_rcv_code,assorted_code, rec_amount,premium_rcv_detail_code,remaining_amt, payrec, mode_code,coinsurance_code,class_cd,it_remarks) values</v>
      </c>
      <c r="G445" s="83" t="str">
        <f t="shared" si="26"/>
        <v>('29Oct240071','040000184468','16235',(select max(to_number(i.premium_rcv_detail_code))+1
from ins_premium_det i),'16235','16235','02', '11000003','00','Request by Mr. Omair Ali 30-Aug-2024');</v>
      </c>
      <c r="H445" s="84" t="str">
        <f t="shared" si="27"/>
        <v>insert into ins_premium_det (premium_rcv_code,assorted_code, rec_amount,premium_rcv_detail_code,remaining_amt, payrec, mode_code,coinsurance_code,class_cd,it_remarks) values('29Oct240071','040000184468','16235',(select max(to_number(i.premium_rcv_detail_code))+1
from ins_premium_det i),'16235','16235','02', '11000003','00','Request by Mr. Omair Ali 30-Aug-2024');</v>
      </c>
    </row>
    <row r="446" spans="1:8" ht="105" x14ac:dyDescent="0.25">
      <c r="A446" t="s">
        <v>584</v>
      </c>
      <c r="B446" s="80" t="str">
        <f>VLOOKUP(A446,policy!B:C,2,0)</f>
        <v>040000184469</v>
      </c>
      <c r="C446" s="46">
        <v>16235</v>
      </c>
      <c r="D446" s="81">
        <f t="shared" si="25"/>
        <v>16235</v>
      </c>
      <c r="E446" s="79" t="s">
        <v>3563</v>
      </c>
      <c r="F446" s="82" t="str">
        <f t="shared" si="24"/>
        <v>insert into ins_premium_det (premium_rcv_code,assorted_code, rec_amount,premium_rcv_detail_code,remaining_amt, payrec, mode_code,coinsurance_code,class_cd,it_remarks) values</v>
      </c>
      <c r="G446" s="83" t="str">
        <f t="shared" si="26"/>
        <v>('29Oct240071','040000184469','16235',(select max(to_number(i.premium_rcv_detail_code))+1
from ins_premium_det i),'16235','16235','02', '11000003','00','Request by Mr. Omair Ali 30-Aug-2024');</v>
      </c>
      <c r="H446" s="84" t="str">
        <f t="shared" si="27"/>
        <v>insert into ins_premium_det (premium_rcv_code,assorted_code, rec_amount,premium_rcv_detail_code,remaining_amt, payrec, mode_code,coinsurance_code,class_cd,it_remarks) values('29Oct240071','040000184469','16235',(select max(to_number(i.premium_rcv_detail_code))+1
from ins_premium_det i),'16235','16235','02', '11000003','00','Request by Mr. Omair Ali 30-Aug-2024');</v>
      </c>
    </row>
    <row r="447" spans="1:8" ht="105" x14ac:dyDescent="0.25">
      <c r="A447" t="s">
        <v>585</v>
      </c>
      <c r="B447" s="80" t="str">
        <f>VLOOKUP(A447,policy!B:C,2,0)</f>
        <v>040000184470</v>
      </c>
      <c r="C447" s="46">
        <v>8800</v>
      </c>
      <c r="D447" s="81">
        <f t="shared" si="25"/>
        <v>8800</v>
      </c>
      <c r="E447" s="79" t="s">
        <v>3563</v>
      </c>
      <c r="F447" s="82" t="str">
        <f t="shared" si="24"/>
        <v>insert into ins_premium_det (premium_rcv_code,assorted_code, rec_amount,premium_rcv_detail_code,remaining_amt, payrec, mode_code,coinsurance_code,class_cd,it_remarks) values</v>
      </c>
      <c r="G447" s="83" t="str">
        <f t="shared" si="26"/>
        <v>('29Oct240071','040000184470','8800',(select max(to_number(i.premium_rcv_detail_code))+1
from ins_premium_det i),'8800','8800','02', '11000003','00','Request by Mr. Omair Ali 30-Aug-2024');</v>
      </c>
      <c r="H447" s="84" t="str">
        <f t="shared" si="27"/>
        <v>insert into ins_premium_det (premium_rcv_code,assorted_code, rec_amount,premium_rcv_detail_code,remaining_amt, payrec, mode_code,coinsurance_code,class_cd,it_remarks) values('29Oct240071','040000184470','8800',(select max(to_number(i.premium_rcv_detail_code))+1
from ins_premium_det i),'8800','8800','02', '11000003','00','Request by Mr. Omair Ali 30-Aug-2024');</v>
      </c>
    </row>
    <row r="448" spans="1:8" ht="105" x14ac:dyDescent="0.25">
      <c r="A448" t="s">
        <v>586</v>
      </c>
      <c r="B448" s="80" t="str">
        <f>VLOOKUP(A448,policy!B:C,2,0)</f>
        <v>040000184471</v>
      </c>
      <c r="C448" s="46">
        <v>8800</v>
      </c>
      <c r="D448" s="81">
        <f t="shared" si="25"/>
        <v>8800</v>
      </c>
      <c r="E448" s="79" t="s">
        <v>3563</v>
      </c>
      <c r="F448" s="82" t="str">
        <f t="shared" si="24"/>
        <v>insert into ins_premium_det (premium_rcv_code,assorted_code, rec_amount,premium_rcv_detail_code,remaining_amt, payrec, mode_code,coinsurance_code,class_cd,it_remarks) values</v>
      </c>
      <c r="G448" s="83" t="str">
        <f t="shared" si="26"/>
        <v>('29Oct240071','040000184471','8800',(select max(to_number(i.premium_rcv_detail_code))+1
from ins_premium_det i),'8800','8800','02', '11000003','00','Request by Mr. Omair Ali 30-Aug-2024');</v>
      </c>
      <c r="H448" s="84" t="str">
        <f t="shared" si="27"/>
        <v>insert into ins_premium_det (premium_rcv_code,assorted_code, rec_amount,premium_rcv_detail_code,remaining_amt, payrec, mode_code,coinsurance_code,class_cd,it_remarks) values('29Oct240071','040000184471','8800',(select max(to_number(i.premium_rcv_detail_code))+1
from ins_premium_det i),'8800','8800','02', '11000003','00','Request by Mr. Omair Ali 30-Aug-2024');</v>
      </c>
    </row>
    <row r="449" spans="1:8" ht="105" x14ac:dyDescent="0.25">
      <c r="A449" t="s">
        <v>587</v>
      </c>
      <c r="B449" s="80" t="str">
        <f>VLOOKUP(A449,policy!B:C,2,0)</f>
        <v>040000184473</v>
      </c>
      <c r="C449" s="46">
        <v>12475</v>
      </c>
      <c r="D449" s="81">
        <f t="shared" si="25"/>
        <v>12475</v>
      </c>
      <c r="E449" s="79" t="s">
        <v>3563</v>
      </c>
      <c r="F449" s="82" t="str">
        <f t="shared" si="24"/>
        <v>insert into ins_premium_det (premium_rcv_code,assorted_code, rec_amount,premium_rcv_detail_code,remaining_amt, payrec, mode_code,coinsurance_code,class_cd,it_remarks) values</v>
      </c>
      <c r="G449" s="83" t="str">
        <f t="shared" si="26"/>
        <v>('29Oct240071','040000184473','12475',(select max(to_number(i.premium_rcv_detail_code))+1
from ins_premium_det i),'12475','12475','02', '11000003','00','Request by Mr. Omair Ali 30-Aug-2024');</v>
      </c>
      <c r="H449" s="84" t="str">
        <f t="shared" si="27"/>
        <v>insert into ins_premium_det (premium_rcv_code,assorted_code, rec_amount,premium_rcv_detail_code,remaining_amt, payrec, mode_code,coinsurance_code,class_cd,it_remarks) values('29Oct240071','040000184473','12475',(select max(to_number(i.premium_rcv_detail_code))+1
from ins_premium_det i),'12475','12475','02', '11000003','00','Request by Mr. Omair Ali 30-Aug-2024');</v>
      </c>
    </row>
    <row r="450" spans="1:8" ht="105" x14ac:dyDescent="0.25">
      <c r="A450" t="s">
        <v>588</v>
      </c>
      <c r="B450" s="80" t="str">
        <f>VLOOKUP(A450,policy!B:C,2,0)</f>
        <v>040000184474</v>
      </c>
      <c r="C450" s="46">
        <v>8800</v>
      </c>
      <c r="D450" s="81">
        <f t="shared" si="25"/>
        <v>8800</v>
      </c>
      <c r="E450" s="79" t="s">
        <v>3563</v>
      </c>
      <c r="F450" s="82" t="str">
        <f t="shared" ref="F450:F513" si="2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450" s="83" t="str">
        <f t="shared" si="26"/>
        <v>('29Oct240071','040000184474','8800',(select max(to_number(i.premium_rcv_detail_code))+1
from ins_premium_det i),'8800','8800','02', '11000003','00','Request by Mr. Omair Ali 30-Aug-2024');</v>
      </c>
      <c r="H450" s="84" t="str">
        <f t="shared" si="27"/>
        <v>insert into ins_premium_det (premium_rcv_code,assorted_code, rec_amount,premium_rcv_detail_code,remaining_amt, payrec, mode_code,coinsurance_code,class_cd,it_remarks) values('29Oct240071','040000184474','8800',(select max(to_number(i.premium_rcv_detail_code))+1
from ins_premium_det i),'8800','8800','02', '11000003','00','Request by Mr. Omair Ali 30-Aug-2024');</v>
      </c>
    </row>
    <row r="451" spans="1:8" ht="105" x14ac:dyDescent="0.25">
      <c r="A451" t="s">
        <v>589</v>
      </c>
      <c r="B451" s="80" t="str">
        <f>VLOOKUP(A451,policy!B:C,2,0)</f>
        <v>040000184477</v>
      </c>
      <c r="C451" s="46">
        <v>8800</v>
      </c>
      <c r="D451" s="81">
        <f t="shared" ref="D451:D514" si="29">ROUND(C451,0)</f>
        <v>8800</v>
      </c>
      <c r="E451" s="79" t="s">
        <v>3563</v>
      </c>
      <c r="F451" s="82" t="str">
        <f t="shared" si="28"/>
        <v>insert into ins_premium_det (premium_rcv_code,assorted_code, rec_amount,premium_rcv_detail_code,remaining_amt, payrec, mode_code,coinsurance_code,class_cd,it_remarks) values</v>
      </c>
      <c r="G451" s="83" t="str">
        <f t="shared" ref="G451:G514" si="30">"('"&amp;E451&amp;"','"&amp;B451&amp;"','"&amp;D451&amp;"',(select max(to_number(i.premium_rcv_detail_code))+1
from ins_premium_det i),'"&amp;D451&amp;"','"&amp;D451&amp;"','02', '11000003','00','Request by Mr. Omair Ali 30-Aug-2024');"</f>
        <v>('29Oct240071','040000184477','8800',(select max(to_number(i.premium_rcv_detail_code))+1
from ins_premium_det i),'8800','8800','02', '11000003','00','Request by Mr. Omair Ali 30-Aug-2024');</v>
      </c>
      <c r="H451" s="84" t="str">
        <f t="shared" ref="H451:H514" si="31">F451&amp;G451</f>
        <v>insert into ins_premium_det (premium_rcv_code,assorted_code, rec_amount,premium_rcv_detail_code,remaining_amt, payrec, mode_code,coinsurance_code,class_cd,it_remarks) values('29Oct240071','040000184477','8800',(select max(to_number(i.premium_rcv_detail_code))+1
from ins_premium_det i),'8800','8800','02', '11000003','00','Request by Mr. Omair Ali 30-Aug-2024');</v>
      </c>
    </row>
    <row r="452" spans="1:8" ht="105" x14ac:dyDescent="0.25">
      <c r="A452" t="s">
        <v>590</v>
      </c>
      <c r="B452" s="80" t="str">
        <f>VLOOKUP(A452,policy!B:C,2,0)</f>
        <v>040000184478</v>
      </c>
      <c r="C452" s="46">
        <v>8800</v>
      </c>
      <c r="D452" s="81">
        <f t="shared" si="29"/>
        <v>8800</v>
      </c>
      <c r="E452" s="79" t="s">
        <v>3563</v>
      </c>
      <c r="F452" s="82" t="str">
        <f t="shared" si="28"/>
        <v>insert into ins_premium_det (premium_rcv_code,assorted_code, rec_amount,premium_rcv_detail_code,remaining_amt, payrec, mode_code,coinsurance_code,class_cd,it_remarks) values</v>
      </c>
      <c r="G452" s="83" t="str">
        <f t="shared" si="30"/>
        <v>('29Oct240071','040000184478','8800',(select max(to_number(i.premium_rcv_detail_code))+1
from ins_premium_det i),'8800','8800','02', '11000003','00','Request by Mr. Omair Ali 30-Aug-2024');</v>
      </c>
      <c r="H452" s="84" t="str">
        <f t="shared" si="31"/>
        <v>insert into ins_premium_det (premium_rcv_code,assorted_code, rec_amount,premium_rcv_detail_code,remaining_amt, payrec, mode_code,coinsurance_code,class_cd,it_remarks) values('29Oct240071','040000184478','8800',(select max(to_number(i.premium_rcv_detail_code))+1
from ins_premium_det i),'8800','8800','02', '11000003','00','Request by Mr. Omair Ali 30-Aug-2024');</v>
      </c>
    </row>
    <row r="453" spans="1:8" ht="105" x14ac:dyDescent="0.25">
      <c r="A453" t="s">
        <v>591</v>
      </c>
      <c r="B453" s="80" t="str">
        <f>VLOOKUP(A453,policy!B:C,2,0)</f>
        <v>040000184479</v>
      </c>
      <c r="C453" s="46">
        <v>8800</v>
      </c>
      <c r="D453" s="81">
        <f t="shared" si="29"/>
        <v>8800</v>
      </c>
      <c r="E453" s="79" t="s">
        <v>3563</v>
      </c>
      <c r="F453" s="82" t="str">
        <f t="shared" si="28"/>
        <v>insert into ins_premium_det (premium_rcv_code,assorted_code, rec_amount,premium_rcv_detail_code,remaining_amt, payrec, mode_code,coinsurance_code,class_cd,it_remarks) values</v>
      </c>
      <c r="G453" s="83" t="str">
        <f t="shared" si="30"/>
        <v>('29Oct240071','040000184479','8800',(select max(to_number(i.premium_rcv_detail_code))+1
from ins_premium_det i),'8800','8800','02', '11000003','00','Request by Mr. Omair Ali 30-Aug-2024');</v>
      </c>
      <c r="H453" s="84" t="str">
        <f t="shared" si="31"/>
        <v>insert into ins_premium_det (premium_rcv_code,assorted_code, rec_amount,premium_rcv_detail_code,remaining_amt, payrec, mode_code,coinsurance_code,class_cd,it_remarks) values('29Oct240071','040000184479','8800',(select max(to_number(i.premium_rcv_detail_code))+1
from ins_premium_det i),'8800','8800','02', '11000003','00','Request by Mr. Omair Ali 30-Aug-2024');</v>
      </c>
    </row>
    <row r="454" spans="1:8" ht="105" x14ac:dyDescent="0.25">
      <c r="A454" t="s">
        <v>592</v>
      </c>
      <c r="B454" s="80" t="str">
        <f>VLOOKUP(A454,policy!B:C,2,0)</f>
        <v>040000184480</v>
      </c>
      <c r="C454" s="46">
        <v>8800</v>
      </c>
      <c r="D454" s="81">
        <f t="shared" si="29"/>
        <v>8800</v>
      </c>
      <c r="E454" s="79" t="s">
        <v>3563</v>
      </c>
      <c r="F454" s="82" t="str">
        <f t="shared" si="28"/>
        <v>insert into ins_premium_det (premium_rcv_code,assorted_code, rec_amount,premium_rcv_detail_code,remaining_amt, payrec, mode_code,coinsurance_code,class_cd,it_remarks) values</v>
      </c>
      <c r="G454" s="83" t="str">
        <f t="shared" si="30"/>
        <v>('29Oct240071','040000184480','8800',(select max(to_number(i.premium_rcv_detail_code))+1
from ins_premium_det i),'8800','8800','02', '11000003','00','Request by Mr. Omair Ali 30-Aug-2024');</v>
      </c>
      <c r="H454" s="84" t="str">
        <f t="shared" si="31"/>
        <v>insert into ins_premium_det (premium_rcv_code,assorted_code, rec_amount,premium_rcv_detail_code,remaining_amt, payrec, mode_code,coinsurance_code,class_cd,it_remarks) values('29Oct240071','040000184480','8800',(select max(to_number(i.premium_rcv_detail_code))+1
from ins_premium_det i),'8800','8800','02', '11000003','00','Request by Mr. Omair Ali 30-Aug-2024');</v>
      </c>
    </row>
    <row r="455" spans="1:8" ht="105" x14ac:dyDescent="0.25">
      <c r="A455" t="s">
        <v>593</v>
      </c>
      <c r="B455" s="80" t="str">
        <f>VLOOKUP(A455,policy!B:C,2,0)</f>
        <v>040000184481</v>
      </c>
      <c r="C455" s="46">
        <v>12475</v>
      </c>
      <c r="D455" s="81">
        <f t="shared" si="29"/>
        <v>12475</v>
      </c>
      <c r="E455" s="79" t="s">
        <v>3563</v>
      </c>
      <c r="F455" s="82" t="str">
        <f t="shared" si="28"/>
        <v>insert into ins_premium_det (premium_rcv_code,assorted_code, rec_amount,premium_rcv_detail_code,remaining_amt, payrec, mode_code,coinsurance_code,class_cd,it_remarks) values</v>
      </c>
      <c r="G455" s="83" t="str">
        <f t="shared" si="30"/>
        <v>('29Oct240071','040000184481','12475',(select max(to_number(i.premium_rcv_detail_code))+1
from ins_premium_det i),'12475','12475','02', '11000003','00','Request by Mr. Omair Ali 30-Aug-2024');</v>
      </c>
      <c r="H455" s="84" t="str">
        <f t="shared" si="31"/>
        <v>insert into ins_premium_det (premium_rcv_code,assorted_code, rec_amount,premium_rcv_detail_code,remaining_amt, payrec, mode_code,coinsurance_code,class_cd,it_remarks) values('29Oct240071','040000184481','12475',(select max(to_number(i.premium_rcv_detail_code))+1
from ins_premium_det i),'12475','12475','02', '11000003','00','Request by Mr. Omair Ali 30-Aug-2024');</v>
      </c>
    </row>
    <row r="456" spans="1:8" ht="105" x14ac:dyDescent="0.25">
      <c r="A456" t="s">
        <v>594</v>
      </c>
      <c r="B456" s="80" t="str">
        <f>VLOOKUP(A456,policy!B:C,2,0)</f>
        <v>040000184482</v>
      </c>
      <c r="C456" s="46">
        <v>12475</v>
      </c>
      <c r="D456" s="81">
        <f t="shared" si="29"/>
        <v>12475</v>
      </c>
      <c r="E456" s="79" t="s">
        <v>3563</v>
      </c>
      <c r="F456" s="82" t="str">
        <f t="shared" si="28"/>
        <v>insert into ins_premium_det (premium_rcv_code,assorted_code, rec_amount,premium_rcv_detail_code,remaining_amt, payrec, mode_code,coinsurance_code,class_cd,it_remarks) values</v>
      </c>
      <c r="G456" s="83" t="str">
        <f t="shared" si="30"/>
        <v>('29Oct240071','040000184482','12475',(select max(to_number(i.premium_rcv_detail_code))+1
from ins_premium_det i),'12475','12475','02', '11000003','00','Request by Mr. Omair Ali 30-Aug-2024');</v>
      </c>
      <c r="H456" s="84" t="str">
        <f t="shared" si="31"/>
        <v>insert into ins_premium_det (premium_rcv_code,assorted_code, rec_amount,premium_rcv_detail_code,remaining_amt, payrec, mode_code,coinsurance_code,class_cd,it_remarks) values('29Oct240071','040000184482','12475',(select max(to_number(i.premium_rcv_detail_code))+1
from ins_premium_det i),'12475','12475','02', '11000003','00','Request by Mr. Omair Ali 30-Aug-2024');</v>
      </c>
    </row>
    <row r="457" spans="1:8" ht="105" x14ac:dyDescent="0.25">
      <c r="A457" t="s">
        <v>595</v>
      </c>
      <c r="B457" s="80" t="str">
        <f>VLOOKUP(A457,policy!B:C,2,0)</f>
        <v>040000184485</v>
      </c>
      <c r="C457" s="46">
        <v>13675</v>
      </c>
      <c r="D457" s="81">
        <f t="shared" si="29"/>
        <v>13675</v>
      </c>
      <c r="E457" s="79" t="s">
        <v>3563</v>
      </c>
      <c r="F457" s="82" t="str">
        <f t="shared" si="28"/>
        <v>insert into ins_premium_det (premium_rcv_code,assorted_code, rec_amount,premium_rcv_detail_code,remaining_amt, payrec, mode_code,coinsurance_code,class_cd,it_remarks) values</v>
      </c>
      <c r="G457" s="83" t="str">
        <f t="shared" si="30"/>
        <v>('29Oct240071','040000184485','13675',(select max(to_number(i.premium_rcv_detail_code))+1
from ins_premium_det i),'13675','13675','02', '11000003','00','Request by Mr. Omair Ali 30-Aug-2024');</v>
      </c>
      <c r="H457" s="84" t="str">
        <f t="shared" si="31"/>
        <v>insert into ins_premium_det (premium_rcv_code,assorted_code, rec_amount,premium_rcv_detail_code,remaining_amt, payrec, mode_code,coinsurance_code,class_cd,it_remarks) values('29Oct240071','040000184485','13675',(select max(to_number(i.premium_rcv_detail_code))+1
from ins_premium_det i),'13675','13675','02', '11000003','00','Request by Mr. Omair Ali 30-Aug-2024');</v>
      </c>
    </row>
    <row r="458" spans="1:8" ht="105" x14ac:dyDescent="0.25">
      <c r="A458" t="s">
        <v>596</v>
      </c>
      <c r="B458" s="80" t="str">
        <f>VLOOKUP(A458,policy!B:C,2,0)</f>
        <v>040000184486</v>
      </c>
      <c r="C458" s="46">
        <v>14960</v>
      </c>
      <c r="D458" s="81">
        <f t="shared" si="29"/>
        <v>14960</v>
      </c>
      <c r="E458" s="79" t="s">
        <v>3563</v>
      </c>
      <c r="F458" s="82" t="str">
        <f t="shared" si="28"/>
        <v>insert into ins_premium_det (premium_rcv_code,assorted_code, rec_amount,premium_rcv_detail_code,remaining_amt, payrec, mode_code,coinsurance_code,class_cd,it_remarks) values</v>
      </c>
      <c r="G458" s="83" t="str">
        <f t="shared" si="30"/>
        <v>('29Oct240071','040000184486','14960',(select max(to_number(i.premium_rcv_detail_code))+1
from ins_premium_det i),'14960','14960','02', '11000003','00','Request by Mr. Omair Ali 30-Aug-2024');</v>
      </c>
      <c r="H458" s="84" t="str">
        <f t="shared" si="31"/>
        <v>insert into ins_premium_det (premium_rcv_code,assorted_code, rec_amount,premium_rcv_detail_code,remaining_amt, payrec, mode_code,coinsurance_code,class_cd,it_remarks) values('29Oct240071','040000184486','14960',(select max(to_number(i.premium_rcv_detail_code))+1
from ins_premium_det i),'14960','14960','02', '11000003','00','Request by Mr. Omair Ali 30-Aug-2024');</v>
      </c>
    </row>
    <row r="459" spans="1:8" ht="105" x14ac:dyDescent="0.25">
      <c r="A459" t="s">
        <v>597</v>
      </c>
      <c r="B459" s="80" t="str">
        <f>VLOOKUP(A459,policy!B:C,2,0)</f>
        <v>040000184487</v>
      </c>
      <c r="C459" s="46">
        <v>14960</v>
      </c>
      <c r="D459" s="81">
        <f t="shared" si="29"/>
        <v>14960</v>
      </c>
      <c r="E459" s="79" t="s">
        <v>3563</v>
      </c>
      <c r="F459" s="82" t="str">
        <f t="shared" si="28"/>
        <v>insert into ins_premium_det (premium_rcv_code,assorted_code, rec_amount,premium_rcv_detail_code,remaining_amt, payrec, mode_code,coinsurance_code,class_cd,it_remarks) values</v>
      </c>
      <c r="G459" s="83" t="str">
        <f t="shared" si="30"/>
        <v>('29Oct240071','040000184487','14960',(select max(to_number(i.premium_rcv_detail_code))+1
from ins_premium_det i),'14960','14960','02', '11000003','00','Request by Mr. Omair Ali 30-Aug-2024');</v>
      </c>
      <c r="H459" s="84" t="str">
        <f t="shared" si="31"/>
        <v>insert into ins_premium_det (premium_rcv_code,assorted_code, rec_amount,premium_rcv_detail_code,remaining_amt, payrec, mode_code,coinsurance_code,class_cd,it_remarks) values('29Oct240071','040000184487','14960',(select max(to_number(i.premium_rcv_detail_code))+1
from ins_premium_det i),'14960','14960','02', '11000003','00','Request by Mr. Omair Ali 30-Aug-2024');</v>
      </c>
    </row>
    <row r="460" spans="1:8" ht="105" x14ac:dyDescent="0.25">
      <c r="A460" t="s">
        <v>598</v>
      </c>
      <c r="B460" s="80" t="str">
        <f>VLOOKUP(A460,policy!B:C,2,0)</f>
        <v>040000184488</v>
      </c>
      <c r="C460" s="46">
        <v>12475</v>
      </c>
      <c r="D460" s="81">
        <f t="shared" si="29"/>
        <v>12475</v>
      </c>
      <c r="E460" s="79" t="s">
        <v>3563</v>
      </c>
      <c r="F460" s="82" t="str">
        <f t="shared" si="28"/>
        <v>insert into ins_premium_det (premium_rcv_code,assorted_code, rec_amount,premium_rcv_detail_code,remaining_amt, payrec, mode_code,coinsurance_code,class_cd,it_remarks) values</v>
      </c>
      <c r="G460" s="83" t="str">
        <f t="shared" si="30"/>
        <v>('29Oct240071','040000184488','12475',(select max(to_number(i.premium_rcv_detail_code))+1
from ins_premium_det i),'12475','12475','02', '11000003','00','Request by Mr. Omair Ali 30-Aug-2024');</v>
      </c>
      <c r="H460" s="84" t="str">
        <f t="shared" si="31"/>
        <v>insert into ins_premium_det (premium_rcv_code,assorted_code, rec_amount,premium_rcv_detail_code,remaining_amt, payrec, mode_code,coinsurance_code,class_cd,it_remarks) values('29Oct240071','040000184488','12475',(select max(to_number(i.premium_rcv_detail_code))+1
from ins_premium_det i),'12475','12475','02', '11000003','00','Request by Mr. Omair Ali 30-Aug-2024');</v>
      </c>
    </row>
    <row r="461" spans="1:8" ht="105" x14ac:dyDescent="0.25">
      <c r="A461" t="s">
        <v>599</v>
      </c>
      <c r="B461" s="80" t="str">
        <f>VLOOKUP(A461,policy!B:C,2,0)</f>
        <v>040000184497</v>
      </c>
      <c r="C461" s="46">
        <v>14960</v>
      </c>
      <c r="D461" s="81">
        <f t="shared" si="29"/>
        <v>14960</v>
      </c>
      <c r="E461" s="79" t="s">
        <v>3563</v>
      </c>
      <c r="F461" s="82" t="str">
        <f t="shared" si="28"/>
        <v>insert into ins_premium_det (premium_rcv_code,assorted_code, rec_amount,premium_rcv_detail_code,remaining_amt, payrec, mode_code,coinsurance_code,class_cd,it_remarks) values</v>
      </c>
      <c r="G461" s="83" t="str">
        <f t="shared" si="30"/>
        <v>('29Oct240071','040000184497','14960',(select max(to_number(i.premium_rcv_detail_code))+1
from ins_premium_det i),'14960','14960','02', '11000003','00','Request by Mr. Omair Ali 30-Aug-2024');</v>
      </c>
      <c r="H461" s="84" t="str">
        <f t="shared" si="31"/>
        <v>insert into ins_premium_det (premium_rcv_code,assorted_code, rec_amount,premium_rcv_detail_code,remaining_amt, payrec, mode_code,coinsurance_code,class_cd,it_remarks) values('29Oct240071','040000184497','14960',(select max(to_number(i.premium_rcv_detail_code))+1
from ins_premium_det i),'14960','14960','02', '11000003','00','Request by Mr. Omair Ali 30-Aug-2024');</v>
      </c>
    </row>
    <row r="462" spans="1:8" ht="105" x14ac:dyDescent="0.25">
      <c r="A462" t="s">
        <v>600</v>
      </c>
      <c r="B462" s="80" t="str">
        <f>VLOOKUP(A462,policy!B:C,2,0)</f>
        <v>040000184503</v>
      </c>
      <c r="C462" s="46">
        <v>14960</v>
      </c>
      <c r="D462" s="81">
        <f t="shared" si="29"/>
        <v>14960</v>
      </c>
      <c r="E462" s="79" t="s">
        <v>3563</v>
      </c>
      <c r="F462" s="82" t="str">
        <f t="shared" si="28"/>
        <v>insert into ins_premium_det (premium_rcv_code,assorted_code, rec_amount,premium_rcv_detail_code,remaining_amt, payrec, mode_code,coinsurance_code,class_cd,it_remarks) values</v>
      </c>
      <c r="G462" s="83" t="str">
        <f t="shared" si="30"/>
        <v>('29Oct240071','040000184503','14960',(select max(to_number(i.premium_rcv_detail_code))+1
from ins_premium_det i),'14960','14960','02', '11000003','00','Request by Mr. Omair Ali 30-Aug-2024');</v>
      </c>
      <c r="H462" s="84" t="str">
        <f t="shared" si="31"/>
        <v>insert into ins_premium_det (premium_rcv_code,assorted_code, rec_amount,premium_rcv_detail_code,remaining_amt, payrec, mode_code,coinsurance_code,class_cd,it_remarks) values('29Oct240071','040000184503','14960',(select max(to_number(i.premium_rcv_detail_code))+1
from ins_premium_det i),'14960','14960','02', '11000003','00','Request by Mr. Omair Ali 30-Aug-2024');</v>
      </c>
    </row>
    <row r="463" spans="1:8" ht="105" x14ac:dyDescent="0.25">
      <c r="A463" t="s">
        <v>601</v>
      </c>
      <c r="B463" s="80" t="str">
        <f>VLOOKUP(A463,policy!B:C,2,0)</f>
        <v>040000184504</v>
      </c>
      <c r="C463" s="46">
        <v>8800</v>
      </c>
      <c r="D463" s="81">
        <f t="shared" si="29"/>
        <v>8800</v>
      </c>
      <c r="E463" s="79" t="s">
        <v>3563</v>
      </c>
      <c r="F463" s="82" t="str">
        <f t="shared" si="28"/>
        <v>insert into ins_premium_det (premium_rcv_code,assorted_code, rec_amount,premium_rcv_detail_code,remaining_amt, payrec, mode_code,coinsurance_code,class_cd,it_remarks) values</v>
      </c>
      <c r="G463" s="83" t="str">
        <f t="shared" si="30"/>
        <v>('29Oct240071','040000184504','8800',(select max(to_number(i.premium_rcv_detail_code))+1
from ins_premium_det i),'8800','8800','02', '11000003','00','Request by Mr. Omair Ali 30-Aug-2024');</v>
      </c>
      <c r="H463" s="84" t="str">
        <f t="shared" si="31"/>
        <v>insert into ins_premium_det (premium_rcv_code,assorted_code, rec_amount,premium_rcv_detail_code,remaining_amt, payrec, mode_code,coinsurance_code,class_cd,it_remarks) values('29Oct240071','040000184504','8800',(select max(to_number(i.premium_rcv_detail_code))+1
from ins_premium_det i),'8800','8800','02', '11000003','00','Request by Mr. Omair Ali 30-Aug-2024');</v>
      </c>
    </row>
    <row r="464" spans="1:8" ht="105" x14ac:dyDescent="0.25">
      <c r="A464" t="s">
        <v>602</v>
      </c>
      <c r="B464" s="80" t="str">
        <f>VLOOKUP(A464,policy!B:C,2,0)</f>
        <v>040000184507</v>
      </c>
      <c r="C464" s="46">
        <v>12475</v>
      </c>
      <c r="D464" s="81">
        <f t="shared" si="29"/>
        <v>12475</v>
      </c>
      <c r="E464" s="79" t="s">
        <v>3563</v>
      </c>
      <c r="F464" s="82" t="str">
        <f t="shared" si="28"/>
        <v>insert into ins_premium_det (premium_rcv_code,assorted_code, rec_amount,premium_rcv_detail_code,remaining_amt, payrec, mode_code,coinsurance_code,class_cd,it_remarks) values</v>
      </c>
      <c r="G464" s="83" t="str">
        <f t="shared" si="30"/>
        <v>('29Oct240071','040000184507','12475',(select max(to_number(i.premium_rcv_detail_code))+1
from ins_premium_det i),'12475','12475','02', '11000003','00','Request by Mr. Omair Ali 30-Aug-2024');</v>
      </c>
      <c r="H464" s="84" t="str">
        <f t="shared" si="31"/>
        <v>insert into ins_premium_det (premium_rcv_code,assorted_code, rec_amount,premium_rcv_detail_code,remaining_amt, payrec, mode_code,coinsurance_code,class_cd,it_remarks) values('29Oct240071','040000184507','12475',(select max(to_number(i.premium_rcv_detail_code))+1
from ins_premium_det i),'12475','12475','02', '11000003','00','Request by Mr. Omair Ali 30-Aug-2024');</v>
      </c>
    </row>
    <row r="465" spans="1:8" ht="105" x14ac:dyDescent="0.25">
      <c r="A465" t="s">
        <v>603</v>
      </c>
      <c r="B465" s="80" t="str">
        <f>VLOOKUP(A465,policy!B:C,2,0)</f>
        <v>040000184511</v>
      </c>
      <c r="C465" s="46">
        <v>14960</v>
      </c>
      <c r="D465" s="81">
        <f t="shared" si="29"/>
        <v>14960</v>
      </c>
      <c r="E465" s="79" t="s">
        <v>3563</v>
      </c>
      <c r="F465" s="82" t="str">
        <f t="shared" si="28"/>
        <v>insert into ins_premium_det (premium_rcv_code,assorted_code, rec_amount,premium_rcv_detail_code,remaining_amt, payrec, mode_code,coinsurance_code,class_cd,it_remarks) values</v>
      </c>
      <c r="G465" s="83" t="str">
        <f t="shared" si="30"/>
        <v>('29Oct240071','040000184511','14960',(select max(to_number(i.premium_rcv_detail_code))+1
from ins_premium_det i),'14960','14960','02', '11000003','00','Request by Mr. Omair Ali 30-Aug-2024');</v>
      </c>
      <c r="H465" s="84" t="str">
        <f t="shared" si="31"/>
        <v>insert into ins_premium_det (premium_rcv_code,assorted_code, rec_amount,premium_rcv_detail_code,remaining_amt, payrec, mode_code,coinsurance_code,class_cd,it_remarks) values('29Oct240071','040000184511','14960',(select max(to_number(i.premium_rcv_detail_code))+1
from ins_premium_det i),'14960','14960','02', '11000003','00','Request by Mr. Omair Ali 30-Aug-2024');</v>
      </c>
    </row>
    <row r="466" spans="1:8" ht="105" x14ac:dyDescent="0.25">
      <c r="A466" t="s">
        <v>604</v>
      </c>
      <c r="B466" s="80" t="str">
        <f>VLOOKUP(A466,policy!B:C,2,0)</f>
        <v>040000184512</v>
      </c>
      <c r="C466" s="46">
        <v>14960</v>
      </c>
      <c r="D466" s="81">
        <f t="shared" si="29"/>
        <v>14960</v>
      </c>
      <c r="E466" s="79" t="s">
        <v>3563</v>
      </c>
      <c r="F466" s="82" t="str">
        <f t="shared" si="28"/>
        <v>insert into ins_premium_det (premium_rcv_code,assorted_code, rec_amount,premium_rcv_detail_code,remaining_amt, payrec, mode_code,coinsurance_code,class_cd,it_remarks) values</v>
      </c>
      <c r="G466" s="83" t="str">
        <f t="shared" si="30"/>
        <v>('29Oct240071','040000184512','14960',(select max(to_number(i.premium_rcv_detail_code))+1
from ins_premium_det i),'14960','14960','02', '11000003','00','Request by Mr. Omair Ali 30-Aug-2024');</v>
      </c>
      <c r="H466" s="84" t="str">
        <f t="shared" si="31"/>
        <v>insert into ins_premium_det (premium_rcv_code,assorted_code, rec_amount,premium_rcv_detail_code,remaining_amt, payrec, mode_code,coinsurance_code,class_cd,it_remarks) values('29Oct240071','040000184512','14960',(select max(to_number(i.premium_rcv_detail_code))+1
from ins_premium_det i),'14960','14960','02', '11000003','00','Request by Mr. Omair Ali 30-Aug-2024');</v>
      </c>
    </row>
    <row r="467" spans="1:8" ht="105" x14ac:dyDescent="0.25">
      <c r="A467" t="s">
        <v>605</v>
      </c>
      <c r="B467" s="80" t="str">
        <f>VLOOKUP(A467,policy!B:C,2,0)</f>
        <v>040000184513</v>
      </c>
      <c r="C467" s="46">
        <v>12475</v>
      </c>
      <c r="D467" s="81">
        <f t="shared" si="29"/>
        <v>12475</v>
      </c>
      <c r="E467" s="79" t="s">
        <v>3563</v>
      </c>
      <c r="F467" s="82" t="str">
        <f t="shared" si="28"/>
        <v>insert into ins_premium_det (premium_rcv_code,assorted_code, rec_amount,premium_rcv_detail_code,remaining_amt, payrec, mode_code,coinsurance_code,class_cd,it_remarks) values</v>
      </c>
      <c r="G467" s="83" t="str">
        <f t="shared" si="30"/>
        <v>('29Oct240071','040000184513','12475',(select max(to_number(i.premium_rcv_detail_code))+1
from ins_premium_det i),'12475','12475','02', '11000003','00','Request by Mr. Omair Ali 30-Aug-2024');</v>
      </c>
      <c r="H467" s="84" t="str">
        <f t="shared" si="31"/>
        <v>insert into ins_premium_det (premium_rcv_code,assorted_code, rec_amount,premium_rcv_detail_code,remaining_amt, payrec, mode_code,coinsurance_code,class_cd,it_remarks) values('29Oct240071','040000184513','12475',(select max(to_number(i.premium_rcv_detail_code))+1
from ins_premium_det i),'12475','12475','02', '11000003','00','Request by Mr. Omair Ali 30-Aug-2024');</v>
      </c>
    </row>
    <row r="468" spans="1:8" ht="105" x14ac:dyDescent="0.25">
      <c r="A468" t="s">
        <v>606</v>
      </c>
      <c r="B468" s="80" t="str">
        <f>VLOOKUP(A468,policy!B:C,2,0)</f>
        <v>040000184515</v>
      </c>
      <c r="C468" s="46">
        <v>8800</v>
      </c>
      <c r="D468" s="81">
        <f t="shared" si="29"/>
        <v>8800</v>
      </c>
      <c r="E468" s="79" t="s">
        <v>3563</v>
      </c>
      <c r="F468" s="82" t="str">
        <f t="shared" si="28"/>
        <v>insert into ins_premium_det (premium_rcv_code,assorted_code, rec_amount,premium_rcv_detail_code,remaining_amt, payrec, mode_code,coinsurance_code,class_cd,it_remarks) values</v>
      </c>
      <c r="G468" s="83" t="str">
        <f t="shared" si="30"/>
        <v>('29Oct240071','040000184515','8800',(select max(to_number(i.premium_rcv_detail_code))+1
from ins_premium_det i),'8800','8800','02', '11000003','00','Request by Mr. Omair Ali 30-Aug-2024');</v>
      </c>
      <c r="H468" s="84" t="str">
        <f t="shared" si="31"/>
        <v>insert into ins_premium_det (premium_rcv_code,assorted_code, rec_amount,premium_rcv_detail_code,remaining_amt, payrec, mode_code,coinsurance_code,class_cd,it_remarks) values('29Oct240071','040000184515','8800',(select max(to_number(i.premium_rcv_detail_code))+1
from ins_premium_det i),'8800','8800','02', '11000003','00','Request by Mr. Omair Ali 30-Aug-2024');</v>
      </c>
    </row>
    <row r="469" spans="1:8" ht="105" x14ac:dyDescent="0.25">
      <c r="A469" t="s">
        <v>607</v>
      </c>
      <c r="B469" s="80" t="str">
        <f>VLOOKUP(A469,policy!B:C,2,0)</f>
        <v>040000184518</v>
      </c>
      <c r="C469" s="46">
        <v>21208</v>
      </c>
      <c r="D469" s="81">
        <f t="shared" si="29"/>
        <v>21208</v>
      </c>
      <c r="E469" s="79" t="s">
        <v>3563</v>
      </c>
      <c r="F469" s="82" t="str">
        <f t="shared" si="28"/>
        <v>insert into ins_premium_det (premium_rcv_code,assorted_code, rec_amount,premium_rcv_detail_code,remaining_amt, payrec, mode_code,coinsurance_code,class_cd,it_remarks) values</v>
      </c>
      <c r="G469" s="83" t="str">
        <f t="shared" si="30"/>
        <v>('29Oct240071','040000184518','21208',(select max(to_number(i.premium_rcv_detail_code))+1
from ins_premium_det i),'21208','21208','02', '11000003','00','Request by Mr. Omair Ali 30-Aug-2024');</v>
      </c>
      <c r="H469" s="84" t="str">
        <f t="shared" si="31"/>
        <v>insert into ins_premium_det (premium_rcv_code,assorted_code, rec_amount,premium_rcv_detail_code,remaining_amt, payrec, mode_code,coinsurance_code,class_cd,it_remarks) values('29Oct240071','040000184518','21208',(select max(to_number(i.premium_rcv_detail_code))+1
from ins_premium_det i),'21208','21208','02', '11000003','00','Request by Mr. Omair Ali 30-Aug-2024');</v>
      </c>
    </row>
    <row r="470" spans="1:8" ht="105" x14ac:dyDescent="0.25">
      <c r="A470" t="s">
        <v>608</v>
      </c>
      <c r="B470" s="80" t="str">
        <f>VLOOKUP(A470,policy!B:C,2,0)</f>
        <v>040000184519</v>
      </c>
      <c r="C470" s="46">
        <v>21208</v>
      </c>
      <c r="D470" s="81">
        <f t="shared" si="29"/>
        <v>21208</v>
      </c>
      <c r="E470" s="79" t="s">
        <v>3563</v>
      </c>
      <c r="F470" s="82" t="str">
        <f t="shared" si="28"/>
        <v>insert into ins_premium_det (premium_rcv_code,assorted_code, rec_amount,premium_rcv_detail_code,remaining_amt, payrec, mode_code,coinsurance_code,class_cd,it_remarks) values</v>
      </c>
      <c r="G470" s="83" t="str">
        <f t="shared" si="30"/>
        <v>('29Oct240071','040000184519','21208',(select max(to_number(i.premium_rcv_detail_code))+1
from ins_premium_det i),'21208','21208','02', '11000003','00','Request by Mr. Omair Ali 30-Aug-2024');</v>
      </c>
      <c r="H470" s="84" t="str">
        <f t="shared" si="31"/>
        <v>insert into ins_premium_det (premium_rcv_code,assorted_code, rec_amount,premium_rcv_detail_code,remaining_amt, payrec, mode_code,coinsurance_code,class_cd,it_remarks) values('29Oct240071','040000184519','21208',(select max(to_number(i.premium_rcv_detail_code))+1
from ins_premium_det i),'21208','21208','02', '11000003','00','Request by Mr. Omair Ali 30-Aug-2024');</v>
      </c>
    </row>
    <row r="471" spans="1:8" ht="105" x14ac:dyDescent="0.25">
      <c r="A471" t="s">
        <v>609</v>
      </c>
      <c r="B471" s="80" t="str">
        <f>VLOOKUP(A471,policy!B:C,2,0)</f>
        <v>040000184522</v>
      </c>
      <c r="C471" s="46">
        <v>8800</v>
      </c>
      <c r="D471" s="81">
        <f t="shared" si="29"/>
        <v>8800</v>
      </c>
      <c r="E471" s="79" t="s">
        <v>3563</v>
      </c>
      <c r="F471" s="82" t="str">
        <f t="shared" si="28"/>
        <v>insert into ins_premium_det (premium_rcv_code,assorted_code, rec_amount,premium_rcv_detail_code,remaining_amt, payrec, mode_code,coinsurance_code,class_cd,it_remarks) values</v>
      </c>
      <c r="G471" s="83" t="str">
        <f t="shared" si="30"/>
        <v>('29Oct240071','040000184522','8800',(select max(to_number(i.premium_rcv_detail_code))+1
from ins_premium_det i),'8800','8800','02', '11000003','00','Request by Mr. Omair Ali 30-Aug-2024');</v>
      </c>
      <c r="H471" s="84" t="str">
        <f t="shared" si="31"/>
        <v>insert into ins_premium_det (premium_rcv_code,assorted_code, rec_amount,premium_rcv_detail_code,remaining_amt, payrec, mode_code,coinsurance_code,class_cd,it_remarks) values('29Oct240071','040000184522','8800',(select max(to_number(i.premium_rcv_detail_code))+1
from ins_premium_det i),'8800','8800','02', '11000003','00','Request by Mr. Omair Ali 30-Aug-2024');</v>
      </c>
    </row>
    <row r="472" spans="1:8" ht="105" x14ac:dyDescent="0.25">
      <c r="A472" t="s">
        <v>610</v>
      </c>
      <c r="B472" s="80" t="str">
        <f>VLOOKUP(A472,policy!B:C,2,0)</f>
        <v>040000184526</v>
      </c>
      <c r="C472" s="46">
        <v>23248</v>
      </c>
      <c r="D472" s="81">
        <f t="shared" si="29"/>
        <v>23248</v>
      </c>
      <c r="E472" s="79" t="s">
        <v>3563</v>
      </c>
      <c r="F472" s="82" t="str">
        <f t="shared" si="28"/>
        <v>insert into ins_premium_det (premium_rcv_code,assorted_code, rec_amount,premium_rcv_detail_code,remaining_amt, payrec, mode_code,coinsurance_code,class_cd,it_remarks) values</v>
      </c>
      <c r="G472" s="83" t="str">
        <f t="shared" si="30"/>
        <v>('29Oct240071','040000184526','23248',(select max(to_number(i.premium_rcv_detail_code))+1
from ins_premium_det i),'23248','23248','02', '11000003','00','Request by Mr. Omair Ali 30-Aug-2024');</v>
      </c>
      <c r="H472" s="84" t="str">
        <f t="shared" si="31"/>
        <v>insert into ins_premium_det (premium_rcv_code,assorted_code, rec_amount,premium_rcv_detail_code,remaining_amt, payrec, mode_code,coinsurance_code,class_cd,it_remarks) values('29Oct240071','040000184526','23248',(select max(to_number(i.premium_rcv_detail_code))+1
from ins_premium_det i),'23248','23248','02', '11000003','00','Request by Mr. Omair Ali 30-Aug-2024');</v>
      </c>
    </row>
    <row r="473" spans="1:8" ht="105" x14ac:dyDescent="0.25">
      <c r="A473" t="s">
        <v>611</v>
      </c>
      <c r="B473" s="80" t="str">
        <f>VLOOKUP(A473,policy!B:C,2,0)</f>
        <v>040000184527</v>
      </c>
      <c r="C473" s="46">
        <v>23248</v>
      </c>
      <c r="D473" s="81">
        <f t="shared" si="29"/>
        <v>23248</v>
      </c>
      <c r="E473" s="79" t="s">
        <v>3563</v>
      </c>
      <c r="F473" s="82" t="str">
        <f t="shared" si="28"/>
        <v>insert into ins_premium_det (premium_rcv_code,assorted_code, rec_amount,premium_rcv_detail_code,remaining_amt, payrec, mode_code,coinsurance_code,class_cd,it_remarks) values</v>
      </c>
      <c r="G473" s="83" t="str">
        <f t="shared" si="30"/>
        <v>('29Oct240071','040000184527','23248',(select max(to_number(i.premium_rcv_detail_code))+1
from ins_premium_det i),'23248','23248','02', '11000003','00','Request by Mr. Omair Ali 30-Aug-2024');</v>
      </c>
      <c r="H473" s="84" t="str">
        <f t="shared" si="31"/>
        <v>insert into ins_premium_det (premium_rcv_code,assorted_code, rec_amount,premium_rcv_detail_code,remaining_amt, payrec, mode_code,coinsurance_code,class_cd,it_remarks) values('29Oct240071','040000184527','23248',(select max(to_number(i.premium_rcv_detail_code))+1
from ins_premium_det i),'23248','23248','02', '11000003','00','Request by Mr. Omair Ali 30-Aug-2024');</v>
      </c>
    </row>
    <row r="474" spans="1:8" ht="105" x14ac:dyDescent="0.25">
      <c r="A474" t="s">
        <v>612</v>
      </c>
      <c r="B474" s="80" t="str">
        <f>VLOOKUP(A474,policy!B:C,2,0)</f>
        <v>040000184528</v>
      </c>
      <c r="C474" s="46">
        <v>8800</v>
      </c>
      <c r="D474" s="81">
        <f t="shared" si="29"/>
        <v>8800</v>
      </c>
      <c r="E474" s="79" t="s">
        <v>3563</v>
      </c>
      <c r="F474" s="82" t="str">
        <f t="shared" si="28"/>
        <v>insert into ins_premium_det (premium_rcv_code,assorted_code, rec_amount,premium_rcv_detail_code,remaining_amt, payrec, mode_code,coinsurance_code,class_cd,it_remarks) values</v>
      </c>
      <c r="G474" s="83" t="str">
        <f t="shared" si="30"/>
        <v>('29Oct240071','040000184528','8800',(select max(to_number(i.premium_rcv_detail_code))+1
from ins_premium_det i),'8800','8800','02', '11000003','00','Request by Mr. Omair Ali 30-Aug-2024');</v>
      </c>
      <c r="H474" s="84" t="str">
        <f t="shared" si="31"/>
        <v>insert into ins_premium_det (premium_rcv_code,assorted_code, rec_amount,premium_rcv_detail_code,remaining_amt, payrec, mode_code,coinsurance_code,class_cd,it_remarks) values('29Oct240071','040000184528','8800',(select max(to_number(i.premium_rcv_detail_code))+1
from ins_premium_det i),'8800','8800','02', '11000003','00','Request by Mr. Omair Ali 30-Aug-2024');</v>
      </c>
    </row>
    <row r="475" spans="1:8" ht="105" x14ac:dyDescent="0.25">
      <c r="A475" t="s">
        <v>613</v>
      </c>
      <c r="B475" s="80" t="str">
        <f>VLOOKUP(A475,policy!B:C,2,0)</f>
        <v>040000184529</v>
      </c>
      <c r="C475" s="46">
        <v>8800</v>
      </c>
      <c r="D475" s="81">
        <f t="shared" si="29"/>
        <v>8800</v>
      </c>
      <c r="E475" s="79" t="s">
        <v>3563</v>
      </c>
      <c r="F475" s="82" t="str">
        <f t="shared" si="28"/>
        <v>insert into ins_premium_det (premium_rcv_code,assorted_code, rec_amount,premium_rcv_detail_code,remaining_amt, payrec, mode_code,coinsurance_code,class_cd,it_remarks) values</v>
      </c>
      <c r="G475" s="83" t="str">
        <f t="shared" si="30"/>
        <v>('29Oct240071','040000184529','8800',(select max(to_number(i.premium_rcv_detail_code))+1
from ins_premium_det i),'8800','8800','02', '11000003','00','Request by Mr. Omair Ali 30-Aug-2024');</v>
      </c>
      <c r="H475" s="84" t="str">
        <f t="shared" si="31"/>
        <v>insert into ins_premium_det (premium_rcv_code,assorted_code, rec_amount,premium_rcv_detail_code,remaining_amt, payrec, mode_code,coinsurance_code,class_cd,it_remarks) values('29Oct240071','040000184529','8800',(select max(to_number(i.premium_rcv_detail_code))+1
from ins_premium_det i),'8800','8800','02', '11000003','00','Request by Mr. Omair Ali 30-Aug-2024');</v>
      </c>
    </row>
    <row r="476" spans="1:8" ht="105" x14ac:dyDescent="0.25">
      <c r="A476" t="s">
        <v>614</v>
      </c>
      <c r="B476" s="80" t="str">
        <f>VLOOKUP(A476,policy!B:C,2,0)</f>
        <v>040000184530</v>
      </c>
      <c r="C476" s="46">
        <v>8800</v>
      </c>
      <c r="D476" s="81">
        <f t="shared" si="29"/>
        <v>8800</v>
      </c>
      <c r="E476" s="79" t="s">
        <v>3563</v>
      </c>
      <c r="F476" s="82" t="str">
        <f t="shared" si="28"/>
        <v>insert into ins_premium_det (premium_rcv_code,assorted_code, rec_amount,premium_rcv_detail_code,remaining_amt, payrec, mode_code,coinsurance_code,class_cd,it_remarks) values</v>
      </c>
      <c r="G476" s="83" t="str">
        <f t="shared" si="30"/>
        <v>('29Oct240071','040000184530','8800',(select max(to_number(i.premium_rcv_detail_code))+1
from ins_premium_det i),'8800','8800','02', '11000003','00','Request by Mr. Omair Ali 30-Aug-2024');</v>
      </c>
      <c r="H476" s="84" t="str">
        <f t="shared" si="31"/>
        <v>insert into ins_premium_det (premium_rcv_code,assorted_code, rec_amount,premium_rcv_detail_code,remaining_amt, payrec, mode_code,coinsurance_code,class_cd,it_remarks) values('29Oct240071','040000184530','8800',(select max(to_number(i.premium_rcv_detail_code))+1
from ins_premium_det i),'8800','8800','02', '11000003','00','Request by Mr. Omair Ali 30-Aug-2024');</v>
      </c>
    </row>
    <row r="477" spans="1:8" ht="105" x14ac:dyDescent="0.25">
      <c r="A477" t="s">
        <v>615</v>
      </c>
      <c r="B477" s="80" t="str">
        <f>VLOOKUP(A477,policy!B:C,2,0)</f>
        <v>040000184531</v>
      </c>
      <c r="C477" s="46">
        <v>8800</v>
      </c>
      <c r="D477" s="81">
        <f t="shared" si="29"/>
        <v>8800</v>
      </c>
      <c r="E477" s="79" t="s">
        <v>3563</v>
      </c>
      <c r="F477" s="82" t="str">
        <f t="shared" si="28"/>
        <v>insert into ins_premium_det (premium_rcv_code,assorted_code, rec_amount,premium_rcv_detail_code,remaining_amt, payrec, mode_code,coinsurance_code,class_cd,it_remarks) values</v>
      </c>
      <c r="G477" s="83" t="str">
        <f t="shared" si="30"/>
        <v>('29Oct240071','040000184531','8800',(select max(to_number(i.premium_rcv_detail_code))+1
from ins_premium_det i),'8800','8800','02', '11000003','00','Request by Mr. Omair Ali 30-Aug-2024');</v>
      </c>
      <c r="H477" s="84" t="str">
        <f t="shared" si="31"/>
        <v>insert into ins_premium_det (premium_rcv_code,assorted_code, rec_amount,premium_rcv_detail_code,remaining_amt, payrec, mode_code,coinsurance_code,class_cd,it_remarks) values('29Oct240071','040000184531','8800',(select max(to_number(i.premium_rcv_detail_code))+1
from ins_premium_det i),'8800','8800','02', '11000003','00','Request by Mr. Omair Ali 30-Aug-2024');</v>
      </c>
    </row>
    <row r="478" spans="1:8" ht="105" x14ac:dyDescent="0.25">
      <c r="A478" t="s">
        <v>616</v>
      </c>
      <c r="B478" s="80" t="str">
        <f>VLOOKUP(A478,policy!B:C,2,0)</f>
        <v>040000184532</v>
      </c>
      <c r="C478" s="46">
        <v>23248</v>
      </c>
      <c r="D478" s="81">
        <f t="shared" si="29"/>
        <v>23248</v>
      </c>
      <c r="E478" s="79" t="s">
        <v>3563</v>
      </c>
      <c r="F478" s="82" t="str">
        <f t="shared" si="28"/>
        <v>insert into ins_premium_det (premium_rcv_code,assorted_code, rec_amount,premium_rcv_detail_code,remaining_amt, payrec, mode_code,coinsurance_code,class_cd,it_remarks) values</v>
      </c>
      <c r="G478" s="83" t="str">
        <f t="shared" si="30"/>
        <v>('29Oct240071','040000184532','23248',(select max(to_number(i.premium_rcv_detail_code))+1
from ins_premium_det i),'23248','23248','02', '11000003','00','Request by Mr. Omair Ali 30-Aug-2024');</v>
      </c>
      <c r="H478" s="84" t="str">
        <f t="shared" si="31"/>
        <v>insert into ins_premium_det (premium_rcv_code,assorted_code, rec_amount,premium_rcv_detail_code,remaining_amt, payrec, mode_code,coinsurance_code,class_cd,it_remarks) values('29Oct240071','040000184532','23248',(select max(to_number(i.premium_rcv_detail_code))+1
from ins_premium_det i),'23248','23248','02', '11000003','00','Request by Mr. Omair Ali 30-Aug-2024');</v>
      </c>
    </row>
    <row r="479" spans="1:8" ht="105" x14ac:dyDescent="0.25">
      <c r="A479" t="s">
        <v>617</v>
      </c>
      <c r="B479" s="80" t="str">
        <f>VLOOKUP(A479,policy!B:C,2,0)</f>
        <v>040000184533</v>
      </c>
      <c r="C479" s="46">
        <v>8800</v>
      </c>
      <c r="D479" s="81">
        <f t="shared" si="29"/>
        <v>8800</v>
      </c>
      <c r="E479" s="79" t="s">
        <v>3563</v>
      </c>
      <c r="F479" s="82" t="str">
        <f t="shared" si="28"/>
        <v>insert into ins_premium_det (premium_rcv_code,assorted_code, rec_amount,premium_rcv_detail_code,remaining_amt, payrec, mode_code,coinsurance_code,class_cd,it_remarks) values</v>
      </c>
      <c r="G479" s="83" t="str">
        <f t="shared" si="30"/>
        <v>('29Oct240071','040000184533','8800',(select max(to_number(i.premium_rcv_detail_code))+1
from ins_premium_det i),'8800','8800','02', '11000003','00','Request by Mr. Omair Ali 30-Aug-2024');</v>
      </c>
      <c r="H479" s="84" t="str">
        <f t="shared" si="31"/>
        <v>insert into ins_premium_det (premium_rcv_code,assorted_code, rec_amount,premium_rcv_detail_code,remaining_amt, payrec, mode_code,coinsurance_code,class_cd,it_remarks) values('29Oct240071','040000184533','8800',(select max(to_number(i.premium_rcv_detail_code))+1
from ins_premium_det i),'8800','8800','02', '11000003','00','Request by Mr. Omair Ali 30-Aug-2024');</v>
      </c>
    </row>
    <row r="480" spans="1:8" ht="105" x14ac:dyDescent="0.25">
      <c r="A480" t="s">
        <v>618</v>
      </c>
      <c r="B480" s="80" t="str">
        <f>VLOOKUP(A480,policy!B:C,2,0)</f>
        <v>040000184534</v>
      </c>
      <c r="C480" s="46">
        <v>14960</v>
      </c>
      <c r="D480" s="81">
        <f t="shared" si="29"/>
        <v>14960</v>
      </c>
      <c r="E480" s="79" t="s">
        <v>3563</v>
      </c>
      <c r="F480" s="82" t="str">
        <f t="shared" si="28"/>
        <v>insert into ins_premium_det (premium_rcv_code,assorted_code, rec_amount,premium_rcv_detail_code,remaining_amt, payrec, mode_code,coinsurance_code,class_cd,it_remarks) values</v>
      </c>
      <c r="G480" s="83" t="str">
        <f t="shared" si="30"/>
        <v>('29Oct240071','040000184534','14960',(select max(to_number(i.premium_rcv_detail_code))+1
from ins_premium_det i),'14960','14960','02', '11000003','00','Request by Mr. Omair Ali 30-Aug-2024');</v>
      </c>
      <c r="H480" s="84" t="str">
        <f t="shared" si="31"/>
        <v>insert into ins_premium_det (premium_rcv_code,assorted_code, rec_amount,premium_rcv_detail_code,remaining_amt, payrec, mode_code,coinsurance_code,class_cd,it_remarks) values('29Oct240071','040000184534','14960',(select max(to_number(i.premium_rcv_detail_code))+1
from ins_premium_det i),'14960','14960','02', '11000003','00','Request by Mr. Omair Ali 30-Aug-2024');</v>
      </c>
    </row>
    <row r="481" spans="1:8" ht="105" x14ac:dyDescent="0.25">
      <c r="A481" t="s">
        <v>619</v>
      </c>
      <c r="B481" s="80" t="str">
        <f>VLOOKUP(A481,policy!B:C,2,0)</f>
        <v>040000184535</v>
      </c>
      <c r="C481" s="46">
        <v>8800</v>
      </c>
      <c r="D481" s="81">
        <f t="shared" si="29"/>
        <v>8800</v>
      </c>
      <c r="E481" s="79" t="s">
        <v>3563</v>
      </c>
      <c r="F481" s="82" t="str">
        <f t="shared" si="28"/>
        <v>insert into ins_premium_det (premium_rcv_code,assorted_code, rec_amount,premium_rcv_detail_code,remaining_amt, payrec, mode_code,coinsurance_code,class_cd,it_remarks) values</v>
      </c>
      <c r="G481" s="83" t="str">
        <f t="shared" si="30"/>
        <v>('29Oct240071','040000184535','8800',(select max(to_number(i.premium_rcv_detail_code))+1
from ins_premium_det i),'8800','8800','02', '11000003','00','Request by Mr. Omair Ali 30-Aug-2024');</v>
      </c>
      <c r="H481" s="84" t="str">
        <f t="shared" si="31"/>
        <v>insert into ins_premium_det (premium_rcv_code,assorted_code, rec_amount,premium_rcv_detail_code,remaining_amt, payrec, mode_code,coinsurance_code,class_cd,it_remarks) values('29Oct240071','040000184535','8800',(select max(to_number(i.premium_rcv_detail_code))+1
from ins_premium_det i),'8800','8800','02', '11000003','00','Request by Mr. Omair Ali 30-Aug-2024');</v>
      </c>
    </row>
    <row r="482" spans="1:8" ht="105" x14ac:dyDescent="0.25">
      <c r="A482" t="s">
        <v>620</v>
      </c>
      <c r="B482" s="80" t="str">
        <f>VLOOKUP(A482,policy!B:C,2,0)</f>
        <v>040000184536</v>
      </c>
      <c r="C482" s="46">
        <v>9550</v>
      </c>
      <c r="D482" s="81">
        <f t="shared" si="29"/>
        <v>9550</v>
      </c>
      <c r="E482" s="79" t="s">
        <v>3563</v>
      </c>
      <c r="F482" s="82" t="str">
        <f t="shared" si="28"/>
        <v>insert into ins_premium_det (premium_rcv_code,assorted_code, rec_amount,premium_rcv_detail_code,remaining_amt, payrec, mode_code,coinsurance_code,class_cd,it_remarks) values</v>
      </c>
      <c r="G482" s="83" t="str">
        <f t="shared" si="30"/>
        <v>('29Oct240071','040000184536','9550',(select max(to_number(i.premium_rcv_detail_code))+1
from ins_premium_det i),'9550','9550','02', '11000003','00','Request by Mr. Omair Ali 30-Aug-2024');</v>
      </c>
      <c r="H482" s="84" t="str">
        <f t="shared" si="31"/>
        <v>insert into ins_premium_det (premium_rcv_code,assorted_code, rec_amount,premium_rcv_detail_code,remaining_amt, payrec, mode_code,coinsurance_code,class_cd,it_remarks) values('29Oct240071','040000184536','9550',(select max(to_number(i.premium_rcv_detail_code))+1
from ins_premium_det i),'9550','9550','02', '11000003','00','Request by Mr. Omair Ali 30-Aug-2024');</v>
      </c>
    </row>
    <row r="483" spans="1:8" ht="105" x14ac:dyDescent="0.25">
      <c r="A483" t="s">
        <v>621</v>
      </c>
      <c r="B483" s="80" t="str">
        <f>VLOOKUP(A483,policy!B:C,2,0)</f>
        <v>040000184537</v>
      </c>
      <c r="C483" s="46">
        <v>8800</v>
      </c>
      <c r="D483" s="81">
        <f t="shared" si="29"/>
        <v>8800</v>
      </c>
      <c r="E483" s="79" t="s">
        <v>3563</v>
      </c>
      <c r="F483" s="82" t="str">
        <f t="shared" si="28"/>
        <v>insert into ins_premium_det (premium_rcv_code,assorted_code, rec_amount,premium_rcv_detail_code,remaining_amt, payrec, mode_code,coinsurance_code,class_cd,it_remarks) values</v>
      </c>
      <c r="G483" s="83" t="str">
        <f t="shared" si="30"/>
        <v>('29Oct240071','040000184537','8800',(select max(to_number(i.premium_rcv_detail_code))+1
from ins_premium_det i),'8800','8800','02', '11000003','00','Request by Mr. Omair Ali 30-Aug-2024');</v>
      </c>
      <c r="H483" s="84" t="str">
        <f t="shared" si="31"/>
        <v>insert into ins_premium_det (premium_rcv_code,assorted_code, rec_amount,premium_rcv_detail_code,remaining_amt, payrec, mode_code,coinsurance_code,class_cd,it_remarks) values('29Oct240071','040000184537','8800',(select max(to_number(i.premium_rcv_detail_code))+1
from ins_premium_det i),'8800','8800','02', '11000003','00','Request by Mr. Omair Ali 30-Aug-2024');</v>
      </c>
    </row>
    <row r="484" spans="1:8" ht="105" x14ac:dyDescent="0.25">
      <c r="A484" t="s">
        <v>622</v>
      </c>
      <c r="B484" s="80" t="str">
        <f>VLOOKUP(A484,policy!B:C,2,0)</f>
        <v>040000184538</v>
      </c>
      <c r="C484" s="46">
        <v>12475</v>
      </c>
      <c r="D484" s="81">
        <f t="shared" si="29"/>
        <v>12475</v>
      </c>
      <c r="E484" s="79" t="s">
        <v>3563</v>
      </c>
      <c r="F484" s="82" t="str">
        <f t="shared" si="28"/>
        <v>insert into ins_premium_det (premium_rcv_code,assorted_code, rec_amount,premium_rcv_detail_code,remaining_amt, payrec, mode_code,coinsurance_code,class_cd,it_remarks) values</v>
      </c>
      <c r="G484" s="83" t="str">
        <f t="shared" si="30"/>
        <v>('29Oct240071','040000184538','12475',(select max(to_number(i.premium_rcv_detail_code))+1
from ins_premium_det i),'12475','12475','02', '11000003','00','Request by Mr. Omair Ali 30-Aug-2024');</v>
      </c>
      <c r="H484" s="84" t="str">
        <f t="shared" si="31"/>
        <v>insert into ins_premium_det (premium_rcv_code,assorted_code, rec_amount,premium_rcv_detail_code,remaining_amt, payrec, mode_code,coinsurance_code,class_cd,it_remarks) values('29Oct240071','040000184538','12475',(select max(to_number(i.premium_rcv_detail_code))+1
from ins_premium_det i),'12475','12475','02', '11000003','00','Request by Mr. Omair Ali 30-Aug-2024');</v>
      </c>
    </row>
    <row r="485" spans="1:8" ht="105" x14ac:dyDescent="0.25">
      <c r="A485" t="s">
        <v>623</v>
      </c>
      <c r="B485" s="80" t="str">
        <f>VLOOKUP(A485,policy!B:C,2,0)</f>
        <v>040000184539</v>
      </c>
      <c r="C485" s="46">
        <v>9550</v>
      </c>
      <c r="D485" s="81">
        <f t="shared" si="29"/>
        <v>9550</v>
      </c>
      <c r="E485" s="79" t="s">
        <v>3563</v>
      </c>
      <c r="F485" s="82" t="str">
        <f t="shared" si="28"/>
        <v>insert into ins_premium_det (premium_rcv_code,assorted_code, rec_amount,premium_rcv_detail_code,remaining_amt, payrec, mode_code,coinsurance_code,class_cd,it_remarks) values</v>
      </c>
      <c r="G485" s="83" t="str">
        <f t="shared" si="30"/>
        <v>('29Oct240071','040000184539','9550',(select max(to_number(i.premium_rcv_detail_code))+1
from ins_premium_det i),'9550','9550','02', '11000003','00','Request by Mr. Omair Ali 30-Aug-2024');</v>
      </c>
      <c r="H485" s="84" t="str">
        <f t="shared" si="31"/>
        <v>insert into ins_premium_det (premium_rcv_code,assorted_code, rec_amount,premium_rcv_detail_code,remaining_amt, payrec, mode_code,coinsurance_code,class_cd,it_remarks) values('29Oct240071','040000184539','9550',(select max(to_number(i.premium_rcv_detail_code))+1
from ins_premium_det i),'9550','9550','02', '11000003','00','Request by Mr. Omair Ali 30-Aug-2024');</v>
      </c>
    </row>
    <row r="486" spans="1:8" ht="105" x14ac:dyDescent="0.25">
      <c r="A486" t="s">
        <v>624</v>
      </c>
      <c r="B486" s="80" t="str">
        <f>VLOOKUP(A486,policy!B:C,2,0)</f>
        <v>040000184540</v>
      </c>
      <c r="C486" s="46">
        <v>9550</v>
      </c>
      <c r="D486" s="81">
        <f t="shared" si="29"/>
        <v>9550</v>
      </c>
      <c r="E486" s="79" t="s">
        <v>3563</v>
      </c>
      <c r="F486" s="82" t="str">
        <f t="shared" si="28"/>
        <v>insert into ins_premium_det (premium_rcv_code,assorted_code, rec_amount,premium_rcv_detail_code,remaining_amt, payrec, mode_code,coinsurance_code,class_cd,it_remarks) values</v>
      </c>
      <c r="G486" s="83" t="str">
        <f t="shared" si="30"/>
        <v>('29Oct240071','040000184540','9550',(select max(to_number(i.premium_rcv_detail_code))+1
from ins_premium_det i),'9550','9550','02', '11000003','00','Request by Mr. Omair Ali 30-Aug-2024');</v>
      </c>
      <c r="H486" s="84" t="str">
        <f t="shared" si="31"/>
        <v>insert into ins_premium_det (premium_rcv_code,assorted_code, rec_amount,premium_rcv_detail_code,remaining_amt, payrec, mode_code,coinsurance_code,class_cd,it_remarks) values('29Oct240071','040000184540','9550',(select max(to_number(i.premium_rcv_detail_code))+1
from ins_premium_det i),'9550','9550','02', '11000003','00','Request by Mr. Omair Ali 30-Aug-2024');</v>
      </c>
    </row>
    <row r="487" spans="1:8" ht="105" x14ac:dyDescent="0.25">
      <c r="A487" t="s">
        <v>625</v>
      </c>
      <c r="B487" s="80" t="str">
        <f>VLOOKUP(A487,policy!B:C,2,0)</f>
        <v>040000184541</v>
      </c>
      <c r="C487" s="46">
        <v>9550</v>
      </c>
      <c r="D487" s="81">
        <f t="shared" si="29"/>
        <v>9550</v>
      </c>
      <c r="E487" s="79" t="s">
        <v>3563</v>
      </c>
      <c r="F487" s="82" t="str">
        <f t="shared" si="28"/>
        <v>insert into ins_premium_det (premium_rcv_code,assorted_code, rec_amount,premium_rcv_detail_code,remaining_amt, payrec, mode_code,coinsurance_code,class_cd,it_remarks) values</v>
      </c>
      <c r="G487" s="83" t="str">
        <f t="shared" si="30"/>
        <v>('29Oct240071','040000184541','9550',(select max(to_number(i.premium_rcv_detail_code))+1
from ins_premium_det i),'9550','9550','02', '11000003','00','Request by Mr. Omair Ali 30-Aug-2024');</v>
      </c>
      <c r="H487" s="84" t="str">
        <f t="shared" si="31"/>
        <v>insert into ins_premium_det (premium_rcv_code,assorted_code, rec_amount,premium_rcv_detail_code,remaining_amt, payrec, mode_code,coinsurance_code,class_cd,it_remarks) values('29Oct240071','040000184541','9550',(select max(to_number(i.premium_rcv_detail_code))+1
from ins_premium_det i),'9550','9550','02', '11000003','00','Request by Mr. Omair Ali 30-Aug-2024');</v>
      </c>
    </row>
    <row r="488" spans="1:8" ht="105" x14ac:dyDescent="0.25">
      <c r="A488" t="s">
        <v>626</v>
      </c>
      <c r="B488" s="80" t="str">
        <f>VLOOKUP(A488,policy!B:C,2,0)</f>
        <v>040000184542</v>
      </c>
      <c r="C488" s="46">
        <v>8800</v>
      </c>
      <c r="D488" s="81">
        <f t="shared" si="29"/>
        <v>8800</v>
      </c>
      <c r="E488" s="79" t="s">
        <v>3563</v>
      </c>
      <c r="F488" s="82" t="str">
        <f t="shared" si="28"/>
        <v>insert into ins_premium_det (premium_rcv_code,assorted_code, rec_amount,premium_rcv_detail_code,remaining_amt, payrec, mode_code,coinsurance_code,class_cd,it_remarks) values</v>
      </c>
      <c r="G488" s="83" t="str">
        <f t="shared" si="30"/>
        <v>('29Oct240071','040000184542','8800',(select max(to_number(i.premium_rcv_detail_code))+1
from ins_premium_det i),'8800','8800','02', '11000003','00','Request by Mr. Omair Ali 30-Aug-2024');</v>
      </c>
      <c r="H488" s="84" t="str">
        <f t="shared" si="31"/>
        <v>insert into ins_premium_det (premium_rcv_code,assorted_code, rec_amount,premium_rcv_detail_code,remaining_amt, payrec, mode_code,coinsurance_code,class_cd,it_remarks) values('29Oct240071','040000184542','8800',(select max(to_number(i.premium_rcv_detail_code))+1
from ins_premium_det i),'8800','8800','02', '11000003','00','Request by Mr. Omair Ali 30-Aug-2024');</v>
      </c>
    </row>
    <row r="489" spans="1:8" ht="105" x14ac:dyDescent="0.25">
      <c r="A489" t="s">
        <v>627</v>
      </c>
      <c r="B489" s="80" t="str">
        <f>VLOOKUP(A489,policy!B:C,2,0)</f>
        <v>040000184543</v>
      </c>
      <c r="C489" s="46">
        <v>9550</v>
      </c>
      <c r="D489" s="81">
        <f t="shared" si="29"/>
        <v>9550</v>
      </c>
      <c r="E489" s="79" t="s">
        <v>3563</v>
      </c>
      <c r="F489" s="82" t="str">
        <f t="shared" si="28"/>
        <v>insert into ins_premium_det (premium_rcv_code,assorted_code, rec_amount,premium_rcv_detail_code,remaining_amt, payrec, mode_code,coinsurance_code,class_cd,it_remarks) values</v>
      </c>
      <c r="G489" s="83" t="str">
        <f t="shared" si="30"/>
        <v>('29Oct240071','040000184543','9550',(select max(to_number(i.premium_rcv_detail_code))+1
from ins_premium_det i),'9550','9550','02', '11000003','00','Request by Mr. Omair Ali 30-Aug-2024');</v>
      </c>
      <c r="H489" s="84" t="str">
        <f t="shared" si="31"/>
        <v>insert into ins_premium_det (premium_rcv_code,assorted_code, rec_amount,premium_rcv_detail_code,remaining_amt, payrec, mode_code,coinsurance_code,class_cd,it_remarks) values('29Oct240071','040000184543','9550',(select max(to_number(i.premium_rcv_detail_code))+1
from ins_premium_det i),'9550','9550','02', '11000003','00','Request by Mr. Omair Ali 30-Aug-2024');</v>
      </c>
    </row>
    <row r="490" spans="1:8" ht="105" x14ac:dyDescent="0.25">
      <c r="A490" t="s">
        <v>628</v>
      </c>
      <c r="B490" s="80" t="str">
        <f>VLOOKUP(A490,policy!B:C,2,0)</f>
        <v>040000184544</v>
      </c>
      <c r="C490" s="46">
        <v>9550</v>
      </c>
      <c r="D490" s="81">
        <f t="shared" si="29"/>
        <v>9550</v>
      </c>
      <c r="E490" s="79" t="s">
        <v>3563</v>
      </c>
      <c r="F490" s="82" t="str">
        <f t="shared" si="28"/>
        <v>insert into ins_premium_det (premium_rcv_code,assorted_code, rec_amount,premium_rcv_detail_code,remaining_amt, payrec, mode_code,coinsurance_code,class_cd,it_remarks) values</v>
      </c>
      <c r="G490" s="83" t="str">
        <f t="shared" si="30"/>
        <v>('29Oct240071','040000184544','9550',(select max(to_number(i.premium_rcv_detail_code))+1
from ins_premium_det i),'9550','9550','02', '11000003','00','Request by Mr. Omair Ali 30-Aug-2024');</v>
      </c>
      <c r="H490" s="84" t="str">
        <f t="shared" si="31"/>
        <v>insert into ins_premium_det (premium_rcv_code,assorted_code, rec_amount,premium_rcv_detail_code,remaining_amt, payrec, mode_code,coinsurance_code,class_cd,it_remarks) values('29Oct240071','040000184544','9550',(select max(to_number(i.premium_rcv_detail_code))+1
from ins_premium_det i),'9550','9550','02', '11000003','00','Request by Mr. Omair Ali 30-Aug-2024');</v>
      </c>
    </row>
    <row r="491" spans="1:8" ht="105" x14ac:dyDescent="0.25">
      <c r="A491" t="s">
        <v>629</v>
      </c>
      <c r="B491" s="80" t="str">
        <f>VLOOKUP(A491,policy!B:C,2,0)</f>
        <v>040000184545</v>
      </c>
      <c r="C491" s="46">
        <v>12475</v>
      </c>
      <c r="D491" s="81">
        <f t="shared" si="29"/>
        <v>12475</v>
      </c>
      <c r="E491" s="79" t="s">
        <v>3563</v>
      </c>
      <c r="F491" s="82" t="str">
        <f t="shared" si="28"/>
        <v>insert into ins_premium_det (premium_rcv_code,assorted_code, rec_amount,premium_rcv_detail_code,remaining_amt, payrec, mode_code,coinsurance_code,class_cd,it_remarks) values</v>
      </c>
      <c r="G491" s="83" t="str">
        <f t="shared" si="30"/>
        <v>('29Oct240071','040000184545','12475',(select max(to_number(i.premium_rcv_detail_code))+1
from ins_premium_det i),'12475','12475','02', '11000003','00','Request by Mr. Omair Ali 30-Aug-2024');</v>
      </c>
      <c r="H491" s="84" t="str">
        <f t="shared" si="31"/>
        <v>insert into ins_premium_det (premium_rcv_code,assorted_code, rec_amount,premium_rcv_detail_code,remaining_amt, payrec, mode_code,coinsurance_code,class_cd,it_remarks) values('29Oct240071','040000184545','12475',(select max(to_number(i.premium_rcv_detail_code))+1
from ins_premium_det i),'12475','12475','02', '11000003','00','Request by Mr. Omair Ali 30-Aug-2024');</v>
      </c>
    </row>
    <row r="492" spans="1:8" ht="105" x14ac:dyDescent="0.25">
      <c r="A492" t="s">
        <v>630</v>
      </c>
      <c r="B492" s="80" t="str">
        <f>VLOOKUP(A492,policy!B:C,2,0)</f>
        <v>040000184546</v>
      </c>
      <c r="C492" s="46">
        <v>13675</v>
      </c>
      <c r="D492" s="81">
        <f t="shared" si="29"/>
        <v>13675</v>
      </c>
      <c r="E492" s="79" t="s">
        <v>3563</v>
      </c>
      <c r="F492" s="82" t="str">
        <f t="shared" si="28"/>
        <v>insert into ins_premium_det (premium_rcv_code,assorted_code, rec_amount,premium_rcv_detail_code,remaining_amt, payrec, mode_code,coinsurance_code,class_cd,it_remarks) values</v>
      </c>
      <c r="G492" s="83" t="str">
        <f t="shared" si="30"/>
        <v>('29Oct240071','040000184546','13675',(select max(to_number(i.premium_rcv_detail_code))+1
from ins_premium_det i),'13675','13675','02', '11000003','00','Request by Mr. Omair Ali 30-Aug-2024');</v>
      </c>
      <c r="H492" s="84" t="str">
        <f t="shared" si="31"/>
        <v>insert into ins_premium_det (premium_rcv_code,assorted_code, rec_amount,premium_rcv_detail_code,remaining_amt, payrec, mode_code,coinsurance_code,class_cd,it_remarks) values('29Oct240071','040000184546','13675',(select max(to_number(i.premium_rcv_detail_code))+1
from ins_premium_det i),'13675','13675','02', '11000003','00','Request by Mr. Omair Ali 30-Aug-2024');</v>
      </c>
    </row>
    <row r="493" spans="1:8" ht="105" x14ac:dyDescent="0.25">
      <c r="A493" t="s">
        <v>631</v>
      </c>
      <c r="B493" s="80" t="str">
        <f>VLOOKUP(A493,policy!B:C,2,0)</f>
        <v>040000184547</v>
      </c>
      <c r="C493" s="46">
        <v>13675</v>
      </c>
      <c r="D493" s="81">
        <f t="shared" si="29"/>
        <v>13675</v>
      </c>
      <c r="E493" s="79" t="s">
        <v>3563</v>
      </c>
      <c r="F493" s="82" t="str">
        <f t="shared" si="28"/>
        <v>insert into ins_premium_det (premium_rcv_code,assorted_code, rec_amount,premium_rcv_detail_code,remaining_amt, payrec, mode_code,coinsurance_code,class_cd,it_remarks) values</v>
      </c>
      <c r="G493" s="83" t="str">
        <f t="shared" si="30"/>
        <v>('29Oct240071','040000184547','13675',(select max(to_number(i.premium_rcv_detail_code))+1
from ins_premium_det i),'13675','13675','02', '11000003','00','Request by Mr. Omair Ali 30-Aug-2024');</v>
      </c>
      <c r="H493" s="84" t="str">
        <f t="shared" si="31"/>
        <v>insert into ins_premium_det (premium_rcv_code,assorted_code, rec_amount,premium_rcv_detail_code,remaining_amt, payrec, mode_code,coinsurance_code,class_cd,it_remarks) values('29Oct240071','040000184547','13675',(select max(to_number(i.premium_rcv_detail_code))+1
from ins_premium_det i),'13675','13675','02', '11000003','00','Request by Mr. Omair Ali 30-Aug-2024');</v>
      </c>
    </row>
    <row r="494" spans="1:8" ht="105" x14ac:dyDescent="0.25">
      <c r="A494" t="s">
        <v>632</v>
      </c>
      <c r="B494" s="80" t="str">
        <f>VLOOKUP(A494,policy!B:C,2,0)</f>
        <v>040000184548</v>
      </c>
      <c r="C494" s="46">
        <v>12475</v>
      </c>
      <c r="D494" s="81">
        <f t="shared" si="29"/>
        <v>12475</v>
      </c>
      <c r="E494" s="79" t="s">
        <v>3563</v>
      </c>
      <c r="F494" s="82" t="str">
        <f t="shared" si="28"/>
        <v>insert into ins_premium_det (premium_rcv_code,assorted_code, rec_amount,premium_rcv_detail_code,remaining_amt, payrec, mode_code,coinsurance_code,class_cd,it_remarks) values</v>
      </c>
      <c r="G494" s="83" t="str">
        <f t="shared" si="30"/>
        <v>('29Oct240071','040000184548','12475',(select max(to_number(i.premium_rcv_detail_code))+1
from ins_premium_det i),'12475','12475','02', '11000003','00','Request by Mr. Omair Ali 30-Aug-2024');</v>
      </c>
      <c r="H494" s="84" t="str">
        <f t="shared" si="31"/>
        <v>insert into ins_premium_det (premium_rcv_code,assorted_code, rec_amount,premium_rcv_detail_code,remaining_amt, payrec, mode_code,coinsurance_code,class_cd,it_remarks) values('29Oct240071','040000184548','12475',(select max(to_number(i.premium_rcv_detail_code))+1
from ins_premium_det i),'12475','12475','02', '11000003','00','Request by Mr. Omair Ali 30-Aug-2024');</v>
      </c>
    </row>
    <row r="495" spans="1:8" ht="105" x14ac:dyDescent="0.25">
      <c r="A495" t="s">
        <v>633</v>
      </c>
      <c r="B495" s="80" t="str">
        <f>VLOOKUP(A495,policy!B:C,2,0)</f>
        <v>040000184549</v>
      </c>
      <c r="C495" s="46">
        <v>12475</v>
      </c>
      <c r="D495" s="81">
        <f t="shared" si="29"/>
        <v>12475</v>
      </c>
      <c r="E495" s="79" t="s">
        <v>3563</v>
      </c>
      <c r="F495" s="82" t="str">
        <f t="shared" si="28"/>
        <v>insert into ins_premium_det (premium_rcv_code,assorted_code, rec_amount,premium_rcv_detail_code,remaining_amt, payrec, mode_code,coinsurance_code,class_cd,it_remarks) values</v>
      </c>
      <c r="G495" s="83" t="str">
        <f t="shared" si="30"/>
        <v>('29Oct240071','040000184549','12475',(select max(to_number(i.premium_rcv_detail_code))+1
from ins_premium_det i),'12475','12475','02', '11000003','00','Request by Mr. Omair Ali 30-Aug-2024');</v>
      </c>
      <c r="H495" s="84" t="str">
        <f t="shared" si="31"/>
        <v>insert into ins_premium_det (premium_rcv_code,assorted_code, rec_amount,premium_rcv_detail_code,remaining_amt, payrec, mode_code,coinsurance_code,class_cd,it_remarks) values('29Oct240071','040000184549','12475',(select max(to_number(i.premium_rcv_detail_code))+1
from ins_premium_det i),'12475','12475','02', '11000003','00','Request by Mr. Omair Ali 30-Aug-2024');</v>
      </c>
    </row>
    <row r="496" spans="1:8" ht="105" x14ac:dyDescent="0.25">
      <c r="A496" t="s">
        <v>634</v>
      </c>
      <c r="B496" s="80" t="str">
        <f>VLOOKUP(A496,policy!B:C,2,0)</f>
        <v>040000184555</v>
      </c>
      <c r="C496" s="46">
        <v>8800</v>
      </c>
      <c r="D496" s="81">
        <f t="shared" si="29"/>
        <v>8800</v>
      </c>
      <c r="E496" s="79" t="s">
        <v>3563</v>
      </c>
      <c r="F496" s="82" t="str">
        <f t="shared" si="28"/>
        <v>insert into ins_premium_det (premium_rcv_code,assorted_code, rec_amount,premium_rcv_detail_code,remaining_amt, payrec, mode_code,coinsurance_code,class_cd,it_remarks) values</v>
      </c>
      <c r="G496" s="83" t="str">
        <f t="shared" si="30"/>
        <v>('29Oct240071','040000184555','8800',(select max(to_number(i.premium_rcv_detail_code))+1
from ins_premium_det i),'8800','8800','02', '11000003','00','Request by Mr. Omair Ali 30-Aug-2024');</v>
      </c>
      <c r="H496" s="84" t="str">
        <f t="shared" si="31"/>
        <v>insert into ins_premium_det (premium_rcv_code,assorted_code, rec_amount,premium_rcv_detail_code,remaining_amt, payrec, mode_code,coinsurance_code,class_cd,it_remarks) values('29Oct240071','040000184555','8800',(select max(to_number(i.premium_rcv_detail_code))+1
from ins_premium_det i),'8800','8800','02', '11000003','00','Request by Mr. Omair Ali 30-Aug-2024');</v>
      </c>
    </row>
    <row r="497" spans="1:8" ht="105" x14ac:dyDescent="0.25">
      <c r="A497" t="s">
        <v>635</v>
      </c>
      <c r="B497" s="80" t="str">
        <f>VLOOKUP(A497,policy!B:C,2,0)</f>
        <v>040000184556</v>
      </c>
      <c r="C497" s="46">
        <v>8800</v>
      </c>
      <c r="D497" s="81">
        <f t="shared" si="29"/>
        <v>8800</v>
      </c>
      <c r="E497" s="79" t="s">
        <v>3563</v>
      </c>
      <c r="F497" s="82" t="str">
        <f t="shared" si="28"/>
        <v>insert into ins_premium_det (premium_rcv_code,assorted_code, rec_amount,premium_rcv_detail_code,remaining_amt, payrec, mode_code,coinsurance_code,class_cd,it_remarks) values</v>
      </c>
      <c r="G497" s="83" t="str">
        <f t="shared" si="30"/>
        <v>('29Oct240071','040000184556','8800',(select max(to_number(i.premium_rcv_detail_code))+1
from ins_premium_det i),'8800','8800','02', '11000003','00','Request by Mr. Omair Ali 30-Aug-2024');</v>
      </c>
      <c r="H497" s="84" t="str">
        <f t="shared" si="31"/>
        <v>insert into ins_premium_det (premium_rcv_code,assorted_code, rec_amount,premium_rcv_detail_code,remaining_amt, payrec, mode_code,coinsurance_code,class_cd,it_remarks) values('29Oct240071','040000184556','8800',(select max(to_number(i.premium_rcv_detail_code))+1
from ins_premium_det i),'8800','8800','02', '11000003','00','Request by Mr. Omair Ali 30-Aug-2024');</v>
      </c>
    </row>
    <row r="498" spans="1:8" ht="105" x14ac:dyDescent="0.25">
      <c r="A498" t="s">
        <v>636</v>
      </c>
      <c r="B498" s="80" t="str">
        <f>VLOOKUP(A498,policy!B:C,2,0)</f>
        <v>040000184558</v>
      </c>
      <c r="C498" s="46">
        <v>13675</v>
      </c>
      <c r="D498" s="81">
        <f t="shared" si="29"/>
        <v>13675</v>
      </c>
      <c r="E498" s="79" t="s">
        <v>3563</v>
      </c>
      <c r="F498" s="82" t="str">
        <f t="shared" si="28"/>
        <v>insert into ins_premium_det (premium_rcv_code,assorted_code, rec_amount,premium_rcv_detail_code,remaining_amt, payrec, mode_code,coinsurance_code,class_cd,it_remarks) values</v>
      </c>
      <c r="G498" s="83" t="str">
        <f t="shared" si="30"/>
        <v>('29Oct240071','040000184558','13675',(select max(to_number(i.premium_rcv_detail_code))+1
from ins_premium_det i),'13675','13675','02', '11000003','00','Request by Mr. Omair Ali 30-Aug-2024');</v>
      </c>
      <c r="H498" s="84" t="str">
        <f t="shared" si="31"/>
        <v>insert into ins_premium_det (premium_rcv_code,assorted_code, rec_amount,premium_rcv_detail_code,remaining_amt, payrec, mode_code,coinsurance_code,class_cd,it_remarks) values('29Oct240071','040000184558','13675',(select max(to_number(i.premium_rcv_detail_code))+1
from ins_premium_det i),'13675','13675','02', '11000003','00','Request by Mr. Omair Ali 30-Aug-2024');</v>
      </c>
    </row>
    <row r="499" spans="1:8" ht="105" x14ac:dyDescent="0.25">
      <c r="A499" t="s">
        <v>637</v>
      </c>
      <c r="B499" s="80" t="str">
        <f>VLOOKUP(A499,policy!B:C,2,0)</f>
        <v>040000184561</v>
      </c>
      <c r="C499" s="46">
        <v>9550</v>
      </c>
      <c r="D499" s="81">
        <f t="shared" si="29"/>
        <v>9550</v>
      </c>
      <c r="E499" s="79" t="s">
        <v>3563</v>
      </c>
      <c r="F499" s="82" t="str">
        <f t="shared" si="28"/>
        <v>insert into ins_premium_det (premium_rcv_code,assorted_code, rec_amount,premium_rcv_detail_code,remaining_amt, payrec, mode_code,coinsurance_code,class_cd,it_remarks) values</v>
      </c>
      <c r="G499" s="83" t="str">
        <f t="shared" si="30"/>
        <v>('29Oct240071','040000184561','9550',(select max(to_number(i.premium_rcv_detail_code))+1
from ins_premium_det i),'9550','9550','02', '11000003','00','Request by Mr. Omair Ali 30-Aug-2024');</v>
      </c>
      <c r="H499" s="84" t="str">
        <f t="shared" si="31"/>
        <v>insert into ins_premium_det (premium_rcv_code,assorted_code, rec_amount,premium_rcv_detail_code,remaining_amt, payrec, mode_code,coinsurance_code,class_cd,it_remarks) values('29Oct240071','040000184561','9550',(select max(to_number(i.premium_rcv_detail_code))+1
from ins_premium_det i),'9550','9550','02', '11000003','00','Request by Mr. Omair Ali 30-Aug-2024');</v>
      </c>
    </row>
    <row r="500" spans="1:8" ht="105" x14ac:dyDescent="0.25">
      <c r="A500" t="s">
        <v>638</v>
      </c>
      <c r="B500" s="80" t="str">
        <f>VLOOKUP(A500,policy!B:C,2,0)</f>
        <v>040000184563</v>
      </c>
      <c r="C500" s="46">
        <v>9550</v>
      </c>
      <c r="D500" s="81">
        <f t="shared" si="29"/>
        <v>9550</v>
      </c>
      <c r="E500" s="79" t="s">
        <v>3563</v>
      </c>
      <c r="F500" s="82" t="str">
        <f t="shared" si="28"/>
        <v>insert into ins_premium_det (premium_rcv_code,assorted_code, rec_amount,premium_rcv_detail_code,remaining_amt, payrec, mode_code,coinsurance_code,class_cd,it_remarks) values</v>
      </c>
      <c r="G500" s="83" t="str">
        <f t="shared" si="30"/>
        <v>('29Oct240071','040000184563','9550',(select max(to_number(i.premium_rcv_detail_code))+1
from ins_premium_det i),'9550','9550','02', '11000003','00','Request by Mr. Omair Ali 30-Aug-2024');</v>
      </c>
      <c r="H500" s="84" t="str">
        <f t="shared" si="31"/>
        <v>insert into ins_premium_det (premium_rcv_code,assorted_code, rec_amount,premium_rcv_detail_code,remaining_amt, payrec, mode_code,coinsurance_code,class_cd,it_remarks) values('29Oct240071','040000184563','9550',(select max(to_number(i.premium_rcv_detail_code))+1
from ins_premium_det i),'9550','9550','02', '11000003','00','Request by Mr. Omair Ali 30-Aug-2024');</v>
      </c>
    </row>
    <row r="501" spans="1:8" ht="105" x14ac:dyDescent="0.25">
      <c r="A501" t="s">
        <v>639</v>
      </c>
      <c r="B501" s="80" t="str">
        <f>VLOOKUP(A501,policy!B:C,2,0)</f>
        <v>040000184566</v>
      </c>
      <c r="C501" s="46">
        <v>13675</v>
      </c>
      <c r="D501" s="81">
        <f t="shared" si="29"/>
        <v>13675</v>
      </c>
      <c r="E501" s="79" t="s">
        <v>3563</v>
      </c>
      <c r="F501" s="82" t="str">
        <f t="shared" si="28"/>
        <v>insert into ins_premium_det (premium_rcv_code,assorted_code, rec_amount,premium_rcv_detail_code,remaining_amt, payrec, mode_code,coinsurance_code,class_cd,it_remarks) values</v>
      </c>
      <c r="G501" s="83" t="str">
        <f t="shared" si="30"/>
        <v>('29Oct240071','040000184566','13675',(select max(to_number(i.premium_rcv_detail_code))+1
from ins_premium_det i),'13675','13675','02', '11000003','00','Request by Mr. Omair Ali 30-Aug-2024');</v>
      </c>
      <c r="H501" s="84" t="str">
        <f t="shared" si="31"/>
        <v>insert into ins_premium_det (premium_rcv_code,assorted_code, rec_amount,premium_rcv_detail_code,remaining_amt, payrec, mode_code,coinsurance_code,class_cd,it_remarks) values('29Oct240071','040000184566','13675',(select max(to_number(i.premium_rcv_detail_code))+1
from ins_premium_det i),'13675','13675','02', '11000003','00','Request by Mr. Omair Ali 30-Aug-2024');</v>
      </c>
    </row>
    <row r="502" spans="1:8" ht="105" x14ac:dyDescent="0.25">
      <c r="A502" t="s">
        <v>640</v>
      </c>
      <c r="B502" s="80" t="str">
        <f>VLOOKUP(A502,policy!B:C,2,0)</f>
        <v>040000184568</v>
      </c>
      <c r="C502" s="46">
        <v>8800</v>
      </c>
      <c r="D502" s="81">
        <f t="shared" si="29"/>
        <v>8800</v>
      </c>
      <c r="E502" s="79" t="s">
        <v>3563</v>
      </c>
      <c r="F502" s="82" t="str">
        <f t="shared" si="28"/>
        <v>insert into ins_premium_det (premium_rcv_code,assorted_code, rec_amount,premium_rcv_detail_code,remaining_amt, payrec, mode_code,coinsurance_code,class_cd,it_remarks) values</v>
      </c>
      <c r="G502" s="83" t="str">
        <f t="shared" si="30"/>
        <v>('29Oct240071','040000184568','8800',(select max(to_number(i.premium_rcv_detail_code))+1
from ins_premium_det i),'8800','8800','02', '11000003','00','Request by Mr. Omair Ali 30-Aug-2024');</v>
      </c>
      <c r="H502" s="84" t="str">
        <f t="shared" si="31"/>
        <v>insert into ins_premium_det (premium_rcv_code,assorted_code, rec_amount,premium_rcv_detail_code,remaining_amt, payrec, mode_code,coinsurance_code,class_cd,it_remarks) values('29Oct240071','040000184568','8800',(select max(to_number(i.premium_rcv_detail_code))+1
from ins_premium_det i),'8800','8800','02', '11000003','00','Request by Mr. Omair Ali 30-Aug-2024');</v>
      </c>
    </row>
    <row r="503" spans="1:8" ht="105" x14ac:dyDescent="0.25">
      <c r="A503" t="s">
        <v>641</v>
      </c>
      <c r="B503" s="80" t="str">
        <f>VLOOKUP(A503,policy!B:C,2,0)</f>
        <v>040000184569</v>
      </c>
      <c r="C503" s="46">
        <v>9550</v>
      </c>
      <c r="D503" s="81">
        <f t="shared" si="29"/>
        <v>9550</v>
      </c>
      <c r="E503" s="79" t="s">
        <v>3563</v>
      </c>
      <c r="F503" s="82" t="str">
        <f t="shared" si="28"/>
        <v>insert into ins_premium_det (premium_rcv_code,assorted_code, rec_amount,premium_rcv_detail_code,remaining_amt, payrec, mode_code,coinsurance_code,class_cd,it_remarks) values</v>
      </c>
      <c r="G503" s="83" t="str">
        <f t="shared" si="30"/>
        <v>('29Oct240071','040000184569','9550',(select max(to_number(i.premium_rcv_detail_code))+1
from ins_premium_det i),'9550','9550','02', '11000003','00','Request by Mr. Omair Ali 30-Aug-2024');</v>
      </c>
      <c r="H503" s="84" t="str">
        <f t="shared" si="31"/>
        <v>insert into ins_premium_det (premium_rcv_code,assorted_code, rec_amount,premium_rcv_detail_code,remaining_amt, payrec, mode_code,coinsurance_code,class_cd,it_remarks) values('29Oct240071','040000184569','9550',(select max(to_number(i.premium_rcv_detail_code))+1
from ins_premium_det i),'9550','9550','02', '11000003','00','Request by Mr. Omair Ali 30-Aug-2024');</v>
      </c>
    </row>
    <row r="504" spans="1:8" ht="105" x14ac:dyDescent="0.25">
      <c r="A504" t="s">
        <v>642</v>
      </c>
      <c r="B504" s="80" t="str">
        <f>VLOOKUP(A504,policy!B:C,2,0)</f>
        <v>040000184570</v>
      </c>
      <c r="C504" s="46">
        <v>13675</v>
      </c>
      <c r="D504" s="81">
        <f t="shared" si="29"/>
        <v>13675</v>
      </c>
      <c r="E504" s="79" t="s">
        <v>3563</v>
      </c>
      <c r="F504" s="82" t="str">
        <f t="shared" si="28"/>
        <v>insert into ins_premium_det (premium_rcv_code,assorted_code, rec_amount,premium_rcv_detail_code,remaining_amt, payrec, mode_code,coinsurance_code,class_cd,it_remarks) values</v>
      </c>
      <c r="G504" s="83" t="str">
        <f t="shared" si="30"/>
        <v>('29Oct240071','040000184570','13675',(select max(to_number(i.premium_rcv_detail_code))+1
from ins_premium_det i),'13675','13675','02', '11000003','00','Request by Mr. Omair Ali 30-Aug-2024');</v>
      </c>
      <c r="H504" s="84" t="str">
        <f t="shared" si="31"/>
        <v>insert into ins_premium_det (premium_rcv_code,assorted_code, rec_amount,premium_rcv_detail_code,remaining_amt, payrec, mode_code,coinsurance_code,class_cd,it_remarks) values('29Oct240071','040000184570','13675',(select max(to_number(i.premium_rcv_detail_code))+1
from ins_premium_det i),'13675','13675','02', '11000003','00','Request by Mr. Omair Ali 30-Aug-2024');</v>
      </c>
    </row>
    <row r="505" spans="1:8" ht="105" x14ac:dyDescent="0.25">
      <c r="A505" t="s">
        <v>643</v>
      </c>
      <c r="B505" s="80" t="str">
        <f>VLOOKUP(A505,policy!B:C,2,0)</f>
        <v>040000184571</v>
      </c>
      <c r="C505" s="46">
        <v>9550</v>
      </c>
      <c r="D505" s="81">
        <f t="shared" si="29"/>
        <v>9550</v>
      </c>
      <c r="E505" s="79" t="s">
        <v>3563</v>
      </c>
      <c r="F505" s="82" t="str">
        <f t="shared" si="28"/>
        <v>insert into ins_premium_det (premium_rcv_code,assorted_code, rec_amount,premium_rcv_detail_code,remaining_amt, payrec, mode_code,coinsurance_code,class_cd,it_remarks) values</v>
      </c>
      <c r="G505" s="83" t="str">
        <f t="shared" si="30"/>
        <v>('29Oct240071','040000184571','9550',(select max(to_number(i.premium_rcv_detail_code))+1
from ins_premium_det i),'9550','9550','02', '11000003','00','Request by Mr. Omair Ali 30-Aug-2024');</v>
      </c>
      <c r="H505" s="84" t="str">
        <f t="shared" si="31"/>
        <v>insert into ins_premium_det (premium_rcv_code,assorted_code, rec_amount,premium_rcv_detail_code,remaining_amt, payrec, mode_code,coinsurance_code,class_cd,it_remarks) values('29Oct240071','040000184571','9550',(select max(to_number(i.premium_rcv_detail_code))+1
from ins_premium_det i),'9550','9550','02', '11000003','00','Request by Mr. Omair Ali 30-Aug-2024');</v>
      </c>
    </row>
    <row r="506" spans="1:8" ht="105" x14ac:dyDescent="0.25">
      <c r="A506" t="s">
        <v>644</v>
      </c>
      <c r="B506" s="80" t="str">
        <f>VLOOKUP(A506,policy!B:C,2,0)</f>
        <v>040000184572</v>
      </c>
      <c r="C506" s="46">
        <v>13675</v>
      </c>
      <c r="D506" s="81">
        <f t="shared" si="29"/>
        <v>13675</v>
      </c>
      <c r="E506" s="79" t="s">
        <v>3563</v>
      </c>
      <c r="F506" s="82" t="str">
        <f t="shared" si="28"/>
        <v>insert into ins_premium_det (premium_rcv_code,assorted_code, rec_amount,premium_rcv_detail_code,remaining_amt, payrec, mode_code,coinsurance_code,class_cd,it_remarks) values</v>
      </c>
      <c r="G506" s="83" t="str">
        <f t="shared" si="30"/>
        <v>('29Oct240071','040000184572','13675',(select max(to_number(i.premium_rcv_detail_code))+1
from ins_premium_det i),'13675','13675','02', '11000003','00','Request by Mr. Omair Ali 30-Aug-2024');</v>
      </c>
      <c r="H506" s="84" t="str">
        <f t="shared" si="31"/>
        <v>insert into ins_premium_det (premium_rcv_code,assorted_code, rec_amount,premium_rcv_detail_code,remaining_amt, payrec, mode_code,coinsurance_code,class_cd,it_remarks) values('29Oct240071','040000184572','13675',(select max(to_number(i.premium_rcv_detail_code))+1
from ins_premium_det i),'13675','13675','02', '11000003','00','Request by Mr. Omair Ali 30-Aug-2024');</v>
      </c>
    </row>
    <row r="507" spans="1:8" ht="105" x14ac:dyDescent="0.25">
      <c r="A507" t="s">
        <v>645</v>
      </c>
      <c r="B507" s="80" t="str">
        <f>VLOOKUP(A507,policy!B:C,2,0)</f>
        <v>040000184577</v>
      </c>
      <c r="C507" s="46">
        <v>8800</v>
      </c>
      <c r="D507" s="81">
        <f t="shared" si="29"/>
        <v>8800</v>
      </c>
      <c r="E507" s="79" t="s">
        <v>3563</v>
      </c>
      <c r="F507" s="82" t="str">
        <f t="shared" si="28"/>
        <v>insert into ins_premium_det (premium_rcv_code,assorted_code, rec_amount,premium_rcv_detail_code,remaining_amt, payrec, mode_code,coinsurance_code,class_cd,it_remarks) values</v>
      </c>
      <c r="G507" s="83" t="str">
        <f t="shared" si="30"/>
        <v>('29Oct240071','040000184577','8800',(select max(to_number(i.premium_rcv_detail_code))+1
from ins_premium_det i),'8800','8800','02', '11000003','00','Request by Mr. Omair Ali 30-Aug-2024');</v>
      </c>
      <c r="H507" s="84" t="str">
        <f t="shared" si="31"/>
        <v>insert into ins_premium_det (premium_rcv_code,assorted_code, rec_amount,premium_rcv_detail_code,remaining_amt, payrec, mode_code,coinsurance_code,class_cd,it_remarks) values('29Oct240071','040000184577','8800',(select max(to_number(i.premium_rcv_detail_code))+1
from ins_premium_det i),'8800','8800','02', '11000003','00','Request by Mr. Omair Ali 30-Aug-2024');</v>
      </c>
    </row>
    <row r="508" spans="1:8" ht="105" x14ac:dyDescent="0.25">
      <c r="A508" t="s">
        <v>646</v>
      </c>
      <c r="B508" s="80" t="str">
        <f>VLOOKUP(A508,policy!B:C,2,0)</f>
        <v>040000184579</v>
      </c>
      <c r="C508" s="46">
        <v>8800</v>
      </c>
      <c r="D508" s="81">
        <f t="shared" si="29"/>
        <v>8800</v>
      </c>
      <c r="E508" s="79" t="s">
        <v>3563</v>
      </c>
      <c r="F508" s="82" t="str">
        <f t="shared" si="28"/>
        <v>insert into ins_premium_det (premium_rcv_code,assorted_code, rec_amount,premium_rcv_detail_code,remaining_amt, payrec, mode_code,coinsurance_code,class_cd,it_remarks) values</v>
      </c>
      <c r="G508" s="83" t="str">
        <f t="shared" si="30"/>
        <v>('29Oct240071','040000184579','8800',(select max(to_number(i.premium_rcv_detail_code))+1
from ins_premium_det i),'8800','8800','02', '11000003','00','Request by Mr. Omair Ali 30-Aug-2024');</v>
      </c>
      <c r="H508" s="84" t="str">
        <f t="shared" si="31"/>
        <v>insert into ins_premium_det (premium_rcv_code,assorted_code, rec_amount,premium_rcv_detail_code,remaining_amt, payrec, mode_code,coinsurance_code,class_cd,it_remarks) values('29Oct240071','040000184579','8800',(select max(to_number(i.premium_rcv_detail_code))+1
from ins_premium_det i),'8800','8800','02', '11000003','00','Request by Mr. Omair Ali 30-Aug-2024');</v>
      </c>
    </row>
    <row r="509" spans="1:8" ht="105" x14ac:dyDescent="0.25">
      <c r="A509" t="s">
        <v>647</v>
      </c>
      <c r="B509" s="80" t="str">
        <f>VLOOKUP(A509,policy!B:C,2,0)</f>
        <v>040000184580</v>
      </c>
      <c r="C509" s="46">
        <v>8800</v>
      </c>
      <c r="D509" s="81">
        <f t="shared" si="29"/>
        <v>8800</v>
      </c>
      <c r="E509" s="79" t="s">
        <v>3563</v>
      </c>
      <c r="F509" s="82" t="str">
        <f t="shared" si="28"/>
        <v>insert into ins_premium_det (premium_rcv_code,assorted_code, rec_amount,premium_rcv_detail_code,remaining_amt, payrec, mode_code,coinsurance_code,class_cd,it_remarks) values</v>
      </c>
      <c r="G509" s="83" t="str">
        <f t="shared" si="30"/>
        <v>('29Oct240071','040000184580','8800',(select max(to_number(i.premium_rcv_detail_code))+1
from ins_premium_det i),'8800','8800','02', '11000003','00','Request by Mr. Omair Ali 30-Aug-2024');</v>
      </c>
      <c r="H509" s="84" t="str">
        <f t="shared" si="31"/>
        <v>insert into ins_premium_det (premium_rcv_code,assorted_code, rec_amount,premium_rcv_detail_code,remaining_amt, payrec, mode_code,coinsurance_code,class_cd,it_remarks) values('29Oct240071','040000184580','8800',(select max(to_number(i.premium_rcv_detail_code))+1
from ins_premium_det i),'8800','8800','02', '11000003','00','Request by Mr. Omair Ali 30-Aug-2024');</v>
      </c>
    </row>
    <row r="510" spans="1:8" ht="105" x14ac:dyDescent="0.25">
      <c r="A510" t="s">
        <v>648</v>
      </c>
      <c r="B510" s="80" t="str">
        <f>VLOOKUP(A510,policy!B:C,2,0)</f>
        <v>040000184582</v>
      </c>
      <c r="C510" s="46">
        <v>12475</v>
      </c>
      <c r="D510" s="81">
        <f t="shared" si="29"/>
        <v>12475</v>
      </c>
      <c r="E510" s="79" t="s">
        <v>3563</v>
      </c>
      <c r="F510" s="82" t="str">
        <f t="shared" si="28"/>
        <v>insert into ins_premium_det (premium_rcv_code,assorted_code, rec_amount,premium_rcv_detail_code,remaining_amt, payrec, mode_code,coinsurance_code,class_cd,it_remarks) values</v>
      </c>
      <c r="G510" s="83" t="str">
        <f t="shared" si="30"/>
        <v>('29Oct240071','040000184582','12475',(select max(to_number(i.premium_rcv_detail_code))+1
from ins_premium_det i),'12475','12475','02', '11000003','00','Request by Mr. Omair Ali 30-Aug-2024');</v>
      </c>
      <c r="H510" s="84" t="str">
        <f t="shared" si="31"/>
        <v>insert into ins_premium_det (premium_rcv_code,assorted_code, rec_amount,premium_rcv_detail_code,remaining_amt, payrec, mode_code,coinsurance_code,class_cd,it_remarks) values('29Oct240071','040000184582','12475',(select max(to_number(i.premium_rcv_detail_code))+1
from ins_premium_det i),'12475','12475','02', '11000003','00','Request by Mr. Omair Ali 30-Aug-2024');</v>
      </c>
    </row>
    <row r="511" spans="1:8" ht="105" x14ac:dyDescent="0.25">
      <c r="A511" t="s">
        <v>649</v>
      </c>
      <c r="B511" s="80" t="str">
        <f>VLOOKUP(A511,policy!B:C,2,0)</f>
        <v>040000184585</v>
      </c>
      <c r="C511" s="46">
        <v>9550</v>
      </c>
      <c r="D511" s="81">
        <f t="shared" si="29"/>
        <v>9550</v>
      </c>
      <c r="E511" s="79" t="s">
        <v>3563</v>
      </c>
      <c r="F511" s="82" t="str">
        <f t="shared" si="28"/>
        <v>insert into ins_premium_det (premium_rcv_code,assorted_code, rec_amount,premium_rcv_detail_code,remaining_amt, payrec, mode_code,coinsurance_code,class_cd,it_remarks) values</v>
      </c>
      <c r="G511" s="83" t="str">
        <f t="shared" si="30"/>
        <v>('29Oct240071','040000184585','9550',(select max(to_number(i.premium_rcv_detail_code))+1
from ins_premium_det i),'9550','9550','02', '11000003','00','Request by Mr. Omair Ali 30-Aug-2024');</v>
      </c>
      <c r="H511" s="84" t="str">
        <f t="shared" si="31"/>
        <v>insert into ins_premium_det (premium_rcv_code,assorted_code, rec_amount,premium_rcv_detail_code,remaining_amt, payrec, mode_code,coinsurance_code,class_cd,it_remarks) values('29Oct240071','040000184585','9550',(select max(to_number(i.premium_rcv_detail_code))+1
from ins_premium_det i),'9550','9550','02', '11000003','00','Request by Mr. Omair Ali 30-Aug-2024');</v>
      </c>
    </row>
    <row r="512" spans="1:8" ht="105" x14ac:dyDescent="0.25">
      <c r="A512" t="s">
        <v>650</v>
      </c>
      <c r="B512" s="80" t="str">
        <f>VLOOKUP(A512,policy!B:C,2,0)</f>
        <v>040000184588</v>
      </c>
      <c r="C512" s="46">
        <v>14960</v>
      </c>
      <c r="D512" s="81">
        <f t="shared" si="29"/>
        <v>14960</v>
      </c>
      <c r="E512" s="79" t="s">
        <v>3563</v>
      </c>
      <c r="F512" s="82" t="str">
        <f t="shared" si="28"/>
        <v>insert into ins_premium_det (premium_rcv_code,assorted_code, rec_amount,premium_rcv_detail_code,remaining_amt, payrec, mode_code,coinsurance_code,class_cd,it_remarks) values</v>
      </c>
      <c r="G512" s="83" t="str">
        <f t="shared" si="30"/>
        <v>('29Oct240071','040000184588','14960',(select max(to_number(i.premium_rcv_detail_code))+1
from ins_premium_det i),'14960','14960','02', '11000003','00','Request by Mr. Omair Ali 30-Aug-2024');</v>
      </c>
      <c r="H512" s="84" t="str">
        <f t="shared" si="31"/>
        <v>insert into ins_premium_det (premium_rcv_code,assorted_code, rec_amount,premium_rcv_detail_code,remaining_amt, payrec, mode_code,coinsurance_code,class_cd,it_remarks) values('29Oct240071','040000184588','14960',(select max(to_number(i.premium_rcv_detail_code))+1
from ins_premium_det i),'14960','14960','02', '11000003','00','Request by Mr. Omair Ali 30-Aug-2024');</v>
      </c>
    </row>
    <row r="513" spans="1:8" ht="105" x14ac:dyDescent="0.25">
      <c r="A513" t="s">
        <v>651</v>
      </c>
      <c r="B513" s="80" t="str">
        <f>VLOOKUP(A513,policy!B:C,2,0)</f>
        <v>040000184589</v>
      </c>
      <c r="C513" s="46">
        <v>14960</v>
      </c>
      <c r="D513" s="81">
        <f t="shared" si="29"/>
        <v>14960</v>
      </c>
      <c r="E513" s="79" t="s">
        <v>3563</v>
      </c>
      <c r="F513" s="82" t="str">
        <f t="shared" si="28"/>
        <v>insert into ins_premium_det (premium_rcv_code,assorted_code, rec_amount,premium_rcv_detail_code,remaining_amt, payrec, mode_code,coinsurance_code,class_cd,it_remarks) values</v>
      </c>
      <c r="G513" s="83" t="str">
        <f t="shared" si="30"/>
        <v>('29Oct240071','040000184589','14960',(select max(to_number(i.premium_rcv_detail_code))+1
from ins_premium_det i),'14960','14960','02', '11000003','00','Request by Mr. Omair Ali 30-Aug-2024');</v>
      </c>
      <c r="H513" s="84" t="str">
        <f t="shared" si="31"/>
        <v>insert into ins_premium_det (premium_rcv_code,assorted_code, rec_amount,premium_rcv_detail_code,remaining_amt, payrec, mode_code,coinsurance_code,class_cd,it_remarks) values('29Oct240071','040000184589','14960',(select max(to_number(i.premium_rcv_detail_code))+1
from ins_premium_det i),'14960','14960','02', '11000003','00','Request by Mr. Omair Ali 30-Aug-2024');</v>
      </c>
    </row>
    <row r="514" spans="1:8" ht="105" x14ac:dyDescent="0.25">
      <c r="A514" t="s">
        <v>652</v>
      </c>
      <c r="B514" s="80" t="str">
        <f>VLOOKUP(A514,policy!B:C,2,0)</f>
        <v>040000184594</v>
      </c>
      <c r="C514" s="46">
        <v>14960</v>
      </c>
      <c r="D514" s="81">
        <f t="shared" si="29"/>
        <v>14960</v>
      </c>
      <c r="E514" s="79" t="s">
        <v>3563</v>
      </c>
      <c r="F514" s="82" t="str">
        <f t="shared" ref="F514:F577" si="3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14" s="83" t="str">
        <f t="shared" si="30"/>
        <v>('29Oct240071','040000184594','14960',(select max(to_number(i.premium_rcv_detail_code))+1
from ins_premium_det i),'14960','14960','02', '11000003','00','Request by Mr. Omair Ali 30-Aug-2024');</v>
      </c>
      <c r="H514" s="84" t="str">
        <f t="shared" si="31"/>
        <v>insert into ins_premium_det (premium_rcv_code,assorted_code, rec_amount,premium_rcv_detail_code,remaining_amt, payrec, mode_code,coinsurance_code,class_cd,it_remarks) values('29Oct240071','040000184594','14960',(select max(to_number(i.premium_rcv_detail_code))+1
from ins_premium_det i),'14960','14960','02', '11000003','00','Request by Mr. Omair Ali 30-Aug-2024');</v>
      </c>
    </row>
    <row r="515" spans="1:8" ht="105" x14ac:dyDescent="0.25">
      <c r="A515" t="s">
        <v>653</v>
      </c>
      <c r="B515" s="80" t="str">
        <f>VLOOKUP(A515,policy!B:C,2,0)</f>
        <v>040000184595</v>
      </c>
      <c r="C515" s="46">
        <v>14960</v>
      </c>
      <c r="D515" s="81">
        <f t="shared" ref="D515:D578" si="33">ROUND(C515,0)</f>
        <v>14960</v>
      </c>
      <c r="E515" s="79" t="s">
        <v>3563</v>
      </c>
      <c r="F515" s="82" t="str">
        <f t="shared" si="32"/>
        <v>insert into ins_premium_det (premium_rcv_code,assorted_code, rec_amount,premium_rcv_detail_code,remaining_amt, payrec, mode_code,coinsurance_code,class_cd,it_remarks) values</v>
      </c>
      <c r="G515" s="83" t="str">
        <f t="shared" ref="G515:G578" si="34">"('"&amp;E515&amp;"','"&amp;B515&amp;"','"&amp;D515&amp;"',(select max(to_number(i.premium_rcv_detail_code))+1
from ins_premium_det i),'"&amp;D515&amp;"','"&amp;D515&amp;"','02', '11000003','00','Request by Mr. Omair Ali 30-Aug-2024');"</f>
        <v>('29Oct240071','040000184595','14960',(select max(to_number(i.premium_rcv_detail_code))+1
from ins_premium_det i),'14960','14960','02', '11000003','00','Request by Mr. Omair Ali 30-Aug-2024');</v>
      </c>
      <c r="H515" s="84" t="str">
        <f t="shared" ref="H515:H578" si="35">F515&amp;G515</f>
        <v>insert into ins_premium_det (premium_rcv_code,assorted_code, rec_amount,premium_rcv_detail_code,remaining_amt, payrec, mode_code,coinsurance_code,class_cd,it_remarks) values('29Oct240071','040000184595','14960',(select max(to_number(i.premium_rcv_detail_code))+1
from ins_premium_det i),'14960','14960','02', '11000003','00','Request by Mr. Omair Ali 30-Aug-2024');</v>
      </c>
    </row>
    <row r="516" spans="1:8" ht="105" x14ac:dyDescent="0.25">
      <c r="A516" t="s">
        <v>654</v>
      </c>
      <c r="B516" s="80" t="str">
        <f>VLOOKUP(A516,policy!B:C,2,0)</f>
        <v>040000184600</v>
      </c>
      <c r="C516" s="46">
        <v>8800</v>
      </c>
      <c r="D516" s="81">
        <f t="shared" si="33"/>
        <v>8800</v>
      </c>
      <c r="E516" s="79" t="s">
        <v>3563</v>
      </c>
      <c r="F516" s="82" t="str">
        <f t="shared" si="32"/>
        <v>insert into ins_premium_det (premium_rcv_code,assorted_code, rec_amount,premium_rcv_detail_code,remaining_amt, payrec, mode_code,coinsurance_code,class_cd,it_remarks) values</v>
      </c>
      <c r="G516" s="83" t="str">
        <f t="shared" si="34"/>
        <v>('29Oct240071','040000184600','8800',(select max(to_number(i.premium_rcv_detail_code))+1
from ins_premium_det i),'8800','8800','02', '11000003','00','Request by Mr. Omair Ali 30-Aug-2024');</v>
      </c>
      <c r="H516" s="84" t="str">
        <f t="shared" si="35"/>
        <v>insert into ins_premium_det (premium_rcv_code,assorted_code, rec_amount,premium_rcv_detail_code,remaining_amt, payrec, mode_code,coinsurance_code,class_cd,it_remarks) values('29Oct240071','040000184600','8800',(select max(to_number(i.premium_rcv_detail_code))+1
from ins_premium_det i),'8800','8800','02', '11000003','00','Request by Mr. Omair Ali 30-Aug-2024');</v>
      </c>
    </row>
    <row r="517" spans="1:8" ht="105" x14ac:dyDescent="0.25">
      <c r="A517" t="s">
        <v>655</v>
      </c>
      <c r="B517" s="80" t="str">
        <f>VLOOKUP(A517,policy!B:C,2,0)</f>
        <v>040000184602</v>
      </c>
      <c r="C517" s="46">
        <v>8800</v>
      </c>
      <c r="D517" s="81">
        <f t="shared" si="33"/>
        <v>8800</v>
      </c>
      <c r="E517" s="79" t="s">
        <v>3563</v>
      </c>
      <c r="F517" s="82" t="str">
        <f t="shared" si="32"/>
        <v>insert into ins_premium_det (premium_rcv_code,assorted_code, rec_amount,premium_rcv_detail_code,remaining_amt, payrec, mode_code,coinsurance_code,class_cd,it_remarks) values</v>
      </c>
      <c r="G517" s="83" t="str">
        <f t="shared" si="34"/>
        <v>('29Oct240071','040000184602','8800',(select max(to_number(i.premium_rcv_detail_code))+1
from ins_premium_det i),'8800','8800','02', '11000003','00','Request by Mr. Omair Ali 30-Aug-2024');</v>
      </c>
      <c r="H517" s="84" t="str">
        <f t="shared" si="35"/>
        <v>insert into ins_premium_det (premium_rcv_code,assorted_code, rec_amount,premium_rcv_detail_code,remaining_amt, payrec, mode_code,coinsurance_code,class_cd,it_remarks) values('29Oct240071','040000184602','8800',(select max(to_number(i.premium_rcv_detail_code))+1
from ins_premium_det i),'8800','8800','02', '11000003','00','Request by Mr. Omair Ali 30-Aug-2024');</v>
      </c>
    </row>
    <row r="518" spans="1:8" ht="105" x14ac:dyDescent="0.25">
      <c r="A518" t="s">
        <v>656</v>
      </c>
      <c r="B518" s="80" t="str">
        <f>VLOOKUP(A518,policy!B:C,2,0)</f>
        <v>040000184603</v>
      </c>
      <c r="C518" s="46">
        <v>12475</v>
      </c>
      <c r="D518" s="81">
        <f t="shared" si="33"/>
        <v>12475</v>
      </c>
      <c r="E518" s="79" t="s">
        <v>3563</v>
      </c>
      <c r="F518" s="82" t="str">
        <f t="shared" si="32"/>
        <v>insert into ins_premium_det (premium_rcv_code,assorted_code, rec_amount,premium_rcv_detail_code,remaining_amt, payrec, mode_code,coinsurance_code,class_cd,it_remarks) values</v>
      </c>
      <c r="G518" s="83" t="str">
        <f t="shared" si="34"/>
        <v>('29Oct240071','040000184603','12475',(select max(to_number(i.premium_rcv_detail_code))+1
from ins_premium_det i),'12475','12475','02', '11000003','00','Request by Mr. Omair Ali 30-Aug-2024');</v>
      </c>
      <c r="H518" s="84" t="str">
        <f t="shared" si="35"/>
        <v>insert into ins_premium_det (premium_rcv_code,assorted_code, rec_amount,premium_rcv_detail_code,remaining_amt, payrec, mode_code,coinsurance_code,class_cd,it_remarks) values('29Oct240071','040000184603','12475',(select max(to_number(i.premium_rcv_detail_code))+1
from ins_premium_det i),'12475','12475','02', '11000003','00','Request by Mr. Omair Ali 30-Aug-2024');</v>
      </c>
    </row>
    <row r="519" spans="1:8" ht="105" x14ac:dyDescent="0.25">
      <c r="A519" t="s">
        <v>657</v>
      </c>
      <c r="B519" s="80" t="str">
        <f>VLOOKUP(A519,policy!B:C,2,0)</f>
        <v>040000184604</v>
      </c>
      <c r="C519" s="46">
        <v>12475</v>
      </c>
      <c r="D519" s="81">
        <f t="shared" si="33"/>
        <v>12475</v>
      </c>
      <c r="E519" s="79" t="s">
        <v>3563</v>
      </c>
      <c r="F519" s="82" t="str">
        <f t="shared" si="32"/>
        <v>insert into ins_premium_det (premium_rcv_code,assorted_code, rec_amount,premium_rcv_detail_code,remaining_amt, payrec, mode_code,coinsurance_code,class_cd,it_remarks) values</v>
      </c>
      <c r="G519" s="83" t="str">
        <f t="shared" si="34"/>
        <v>('29Oct240071','040000184604','12475',(select max(to_number(i.premium_rcv_detail_code))+1
from ins_premium_det i),'12475','12475','02', '11000003','00','Request by Mr. Omair Ali 30-Aug-2024');</v>
      </c>
      <c r="H519" s="84" t="str">
        <f t="shared" si="35"/>
        <v>insert into ins_premium_det (premium_rcv_code,assorted_code, rec_amount,premium_rcv_detail_code,remaining_amt, payrec, mode_code,coinsurance_code,class_cd,it_remarks) values('29Oct240071','040000184604','12475',(select max(to_number(i.premium_rcv_detail_code))+1
from ins_premium_det i),'12475','12475','02', '11000003','00','Request by Mr. Omair Ali 30-Aug-2024');</v>
      </c>
    </row>
    <row r="520" spans="1:8" ht="105" x14ac:dyDescent="0.25">
      <c r="A520" t="s">
        <v>658</v>
      </c>
      <c r="B520" s="80" t="str">
        <f>VLOOKUP(A520,policy!B:C,2,0)</f>
        <v>040000184606</v>
      </c>
      <c r="C520" s="46">
        <v>8800</v>
      </c>
      <c r="D520" s="81">
        <f t="shared" si="33"/>
        <v>8800</v>
      </c>
      <c r="E520" s="79" t="s">
        <v>3563</v>
      </c>
      <c r="F520" s="82" t="str">
        <f t="shared" si="32"/>
        <v>insert into ins_premium_det (premium_rcv_code,assorted_code, rec_amount,premium_rcv_detail_code,remaining_amt, payrec, mode_code,coinsurance_code,class_cd,it_remarks) values</v>
      </c>
      <c r="G520" s="83" t="str">
        <f t="shared" si="34"/>
        <v>('29Oct240071','040000184606','8800',(select max(to_number(i.premium_rcv_detail_code))+1
from ins_premium_det i),'8800','8800','02', '11000003','00','Request by Mr. Omair Ali 30-Aug-2024');</v>
      </c>
      <c r="H520" s="84" t="str">
        <f t="shared" si="35"/>
        <v>insert into ins_premium_det (premium_rcv_code,assorted_code, rec_amount,premium_rcv_detail_code,remaining_amt, payrec, mode_code,coinsurance_code,class_cd,it_remarks) values('29Oct240071','040000184606','8800',(select max(to_number(i.premium_rcv_detail_code))+1
from ins_premium_det i),'8800','8800','02', '11000003','00','Request by Mr. Omair Ali 30-Aug-2024');</v>
      </c>
    </row>
    <row r="521" spans="1:8" ht="105" x14ac:dyDescent="0.25">
      <c r="A521" t="s">
        <v>659</v>
      </c>
      <c r="B521" s="80" t="str">
        <f>VLOOKUP(A521,policy!B:C,2,0)</f>
        <v>040000184610</v>
      </c>
      <c r="C521" s="46">
        <v>8800</v>
      </c>
      <c r="D521" s="81">
        <f t="shared" si="33"/>
        <v>8800</v>
      </c>
      <c r="E521" s="79" t="s">
        <v>3563</v>
      </c>
      <c r="F521" s="82" t="str">
        <f t="shared" si="32"/>
        <v>insert into ins_premium_det (premium_rcv_code,assorted_code, rec_amount,premium_rcv_detail_code,remaining_amt, payrec, mode_code,coinsurance_code,class_cd,it_remarks) values</v>
      </c>
      <c r="G521" s="83" t="str">
        <f t="shared" si="34"/>
        <v>('29Oct240071','040000184610','8800',(select max(to_number(i.premium_rcv_detail_code))+1
from ins_premium_det i),'8800','8800','02', '11000003','00','Request by Mr. Omair Ali 30-Aug-2024');</v>
      </c>
      <c r="H521" s="84" t="str">
        <f t="shared" si="35"/>
        <v>insert into ins_premium_det (premium_rcv_code,assorted_code, rec_amount,premium_rcv_detail_code,remaining_amt, payrec, mode_code,coinsurance_code,class_cd,it_remarks) values('29Oct240071','040000184610','8800',(select max(to_number(i.premium_rcv_detail_code))+1
from ins_premium_det i),'8800','8800','02', '11000003','00','Request by Mr. Omair Ali 30-Aug-2024');</v>
      </c>
    </row>
    <row r="522" spans="1:8" ht="105" x14ac:dyDescent="0.25">
      <c r="A522" t="s">
        <v>660</v>
      </c>
      <c r="B522" s="80" t="str">
        <f>VLOOKUP(A522,policy!B:C,2,0)</f>
        <v>040000184615</v>
      </c>
      <c r="C522" s="46">
        <v>12475</v>
      </c>
      <c r="D522" s="81">
        <f t="shared" si="33"/>
        <v>12475</v>
      </c>
      <c r="E522" s="79" t="s">
        <v>3563</v>
      </c>
      <c r="F522" s="82" t="str">
        <f t="shared" si="32"/>
        <v>insert into ins_premium_det (premium_rcv_code,assorted_code, rec_amount,premium_rcv_detail_code,remaining_amt, payrec, mode_code,coinsurance_code,class_cd,it_remarks) values</v>
      </c>
      <c r="G522" s="83" t="str">
        <f t="shared" si="34"/>
        <v>('29Oct240071','040000184615','12475',(select max(to_number(i.premium_rcv_detail_code))+1
from ins_premium_det i),'12475','12475','02', '11000003','00','Request by Mr. Omair Ali 30-Aug-2024');</v>
      </c>
      <c r="H522" s="84" t="str">
        <f t="shared" si="35"/>
        <v>insert into ins_premium_det (premium_rcv_code,assorted_code, rec_amount,premium_rcv_detail_code,remaining_amt, payrec, mode_code,coinsurance_code,class_cd,it_remarks) values('29Oct240071','040000184615','12475',(select max(to_number(i.premium_rcv_detail_code))+1
from ins_premium_det i),'12475','12475','02', '11000003','00','Request by Mr. Omair Ali 30-Aug-2024');</v>
      </c>
    </row>
    <row r="523" spans="1:8" ht="105" x14ac:dyDescent="0.25">
      <c r="A523" t="s">
        <v>661</v>
      </c>
      <c r="B523" s="80" t="str">
        <f>VLOOKUP(A523,policy!B:C,2,0)</f>
        <v>040000184619</v>
      </c>
      <c r="C523" s="46">
        <v>8800</v>
      </c>
      <c r="D523" s="81">
        <f t="shared" si="33"/>
        <v>8800</v>
      </c>
      <c r="E523" s="79" t="s">
        <v>3563</v>
      </c>
      <c r="F523" s="82" t="str">
        <f t="shared" si="32"/>
        <v>insert into ins_premium_det (premium_rcv_code,assorted_code, rec_amount,premium_rcv_detail_code,remaining_amt, payrec, mode_code,coinsurance_code,class_cd,it_remarks) values</v>
      </c>
      <c r="G523" s="83" t="str">
        <f t="shared" si="34"/>
        <v>('29Oct240071','040000184619','8800',(select max(to_number(i.premium_rcv_detail_code))+1
from ins_premium_det i),'8800','8800','02', '11000003','00','Request by Mr. Omair Ali 30-Aug-2024');</v>
      </c>
      <c r="H523" s="84" t="str">
        <f t="shared" si="35"/>
        <v>insert into ins_premium_det (premium_rcv_code,assorted_code, rec_amount,premium_rcv_detail_code,remaining_amt, payrec, mode_code,coinsurance_code,class_cd,it_remarks) values('29Oct240071','040000184619','8800',(select max(to_number(i.premium_rcv_detail_code))+1
from ins_premium_det i),'8800','8800','02', '11000003','00','Request by Mr. Omair Ali 30-Aug-2024');</v>
      </c>
    </row>
    <row r="524" spans="1:8" ht="105" x14ac:dyDescent="0.25">
      <c r="A524" t="s">
        <v>662</v>
      </c>
      <c r="B524" s="80" t="str">
        <f>VLOOKUP(A524,policy!B:C,2,0)</f>
        <v>040000184622</v>
      </c>
      <c r="C524" s="46">
        <v>8800</v>
      </c>
      <c r="D524" s="81">
        <f t="shared" si="33"/>
        <v>8800</v>
      </c>
      <c r="E524" s="79" t="s">
        <v>3563</v>
      </c>
      <c r="F524" s="82" t="str">
        <f t="shared" si="32"/>
        <v>insert into ins_premium_det (premium_rcv_code,assorted_code, rec_amount,premium_rcv_detail_code,remaining_amt, payrec, mode_code,coinsurance_code,class_cd,it_remarks) values</v>
      </c>
      <c r="G524" s="83" t="str">
        <f t="shared" si="34"/>
        <v>('29Oct240071','040000184622','8800',(select max(to_number(i.premium_rcv_detail_code))+1
from ins_premium_det i),'8800','8800','02', '11000003','00','Request by Mr. Omair Ali 30-Aug-2024');</v>
      </c>
      <c r="H524" s="84" t="str">
        <f t="shared" si="35"/>
        <v>insert into ins_premium_det (premium_rcv_code,assorted_code, rec_amount,premium_rcv_detail_code,remaining_amt, payrec, mode_code,coinsurance_code,class_cd,it_remarks) values('29Oct240071','040000184622','8800',(select max(to_number(i.premium_rcv_detail_code))+1
from ins_premium_det i),'8800','8800','02', '11000003','00','Request by Mr. Omair Ali 30-Aug-2024');</v>
      </c>
    </row>
    <row r="525" spans="1:8" ht="105" x14ac:dyDescent="0.25">
      <c r="A525" t="s">
        <v>663</v>
      </c>
      <c r="B525" s="80" t="str">
        <f>VLOOKUP(A525,policy!B:C,2,0)</f>
        <v>040000184623</v>
      </c>
      <c r="C525" s="46">
        <v>8800</v>
      </c>
      <c r="D525" s="81">
        <f t="shared" si="33"/>
        <v>8800</v>
      </c>
      <c r="E525" s="79" t="s">
        <v>3563</v>
      </c>
      <c r="F525" s="82" t="str">
        <f t="shared" si="32"/>
        <v>insert into ins_premium_det (premium_rcv_code,assorted_code, rec_amount,premium_rcv_detail_code,remaining_amt, payrec, mode_code,coinsurance_code,class_cd,it_remarks) values</v>
      </c>
      <c r="G525" s="83" t="str">
        <f t="shared" si="34"/>
        <v>('29Oct240071','040000184623','8800',(select max(to_number(i.premium_rcv_detail_code))+1
from ins_premium_det i),'8800','8800','02', '11000003','00','Request by Mr. Omair Ali 30-Aug-2024');</v>
      </c>
      <c r="H525" s="84" t="str">
        <f t="shared" si="35"/>
        <v>insert into ins_premium_det (premium_rcv_code,assorted_code, rec_amount,premium_rcv_detail_code,remaining_amt, payrec, mode_code,coinsurance_code,class_cd,it_remarks) values('29Oct240071','040000184623','8800',(select max(to_number(i.premium_rcv_detail_code))+1
from ins_premium_det i),'8800','8800','02', '11000003','00','Request by Mr. Omair Ali 30-Aug-2024');</v>
      </c>
    </row>
    <row r="526" spans="1:8" ht="105" x14ac:dyDescent="0.25">
      <c r="A526" t="s">
        <v>664</v>
      </c>
      <c r="B526" s="80" t="str">
        <f>VLOOKUP(A526,policy!B:C,2,0)</f>
        <v>040000184624</v>
      </c>
      <c r="C526" s="46">
        <v>8800</v>
      </c>
      <c r="D526" s="81">
        <f t="shared" si="33"/>
        <v>8800</v>
      </c>
      <c r="E526" s="79" t="s">
        <v>3563</v>
      </c>
      <c r="F526" s="82" t="str">
        <f t="shared" si="32"/>
        <v>insert into ins_premium_det (premium_rcv_code,assorted_code, rec_amount,premium_rcv_detail_code,remaining_amt, payrec, mode_code,coinsurance_code,class_cd,it_remarks) values</v>
      </c>
      <c r="G526" s="83" t="str">
        <f t="shared" si="34"/>
        <v>('29Oct240071','040000184624','8800',(select max(to_number(i.premium_rcv_detail_code))+1
from ins_premium_det i),'8800','8800','02', '11000003','00','Request by Mr. Omair Ali 30-Aug-2024');</v>
      </c>
      <c r="H526" s="84" t="str">
        <f t="shared" si="35"/>
        <v>insert into ins_premium_det (premium_rcv_code,assorted_code, rec_amount,premium_rcv_detail_code,remaining_amt, payrec, mode_code,coinsurance_code,class_cd,it_remarks) values('29Oct240071','040000184624','8800',(select max(to_number(i.premium_rcv_detail_code))+1
from ins_premium_det i),'8800','8800','02', '11000003','00','Request by Mr. Omair Ali 30-Aug-2024');</v>
      </c>
    </row>
    <row r="527" spans="1:8" ht="105" x14ac:dyDescent="0.25">
      <c r="A527" t="s">
        <v>665</v>
      </c>
      <c r="B527" s="80" t="str">
        <f>VLOOKUP(A527,policy!B:C,2,0)</f>
        <v>040000184625</v>
      </c>
      <c r="C527" s="46">
        <v>14960</v>
      </c>
      <c r="D527" s="81">
        <f t="shared" si="33"/>
        <v>14960</v>
      </c>
      <c r="E527" s="79" t="s">
        <v>3563</v>
      </c>
      <c r="F527" s="82" t="str">
        <f t="shared" si="32"/>
        <v>insert into ins_premium_det (premium_rcv_code,assorted_code, rec_amount,premium_rcv_detail_code,remaining_amt, payrec, mode_code,coinsurance_code,class_cd,it_remarks) values</v>
      </c>
      <c r="G527" s="83" t="str">
        <f t="shared" si="34"/>
        <v>('29Oct240071','040000184625','14960',(select max(to_number(i.premium_rcv_detail_code))+1
from ins_premium_det i),'14960','14960','02', '11000003','00','Request by Mr. Omair Ali 30-Aug-2024');</v>
      </c>
      <c r="H527" s="84" t="str">
        <f t="shared" si="35"/>
        <v>insert into ins_premium_det (premium_rcv_code,assorted_code, rec_amount,premium_rcv_detail_code,remaining_amt, payrec, mode_code,coinsurance_code,class_cd,it_remarks) values('29Oct240071','040000184625','14960',(select max(to_number(i.premium_rcv_detail_code))+1
from ins_premium_det i),'14960','14960','02', '11000003','00','Request by Mr. Omair Ali 30-Aug-2024');</v>
      </c>
    </row>
    <row r="528" spans="1:8" ht="105" x14ac:dyDescent="0.25">
      <c r="A528" t="s">
        <v>666</v>
      </c>
      <c r="B528" s="80" t="str">
        <f>VLOOKUP(A528,policy!B:C,2,0)</f>
        <v>040000184626</v>
      </c>
      <c r="C528" s="46">
        <v>14960</v>
      </c>
      <c r="D528" s="81">
        <f t="shared" si="33"/>
        <v>14960</v>
      </c>
      <c r="E528" s="79" t="s">
        <v>3563</v>
      </c>
      <c r="F528" s="82" t="str">
        <f t="shared" si="32"/>
        <v>insert into ins_premium_det (premium_rcv_code,assorted_code, rec_amount,premium_rcv_detail_code,remaining_amt, payrec, mode_code,coinsurance_code,class_cd,it_remarks) values</v>
      </c>
      <c r="G528" s="83" t="str">
        <f t="shared" si="34"/>
        <v>('29Oct240071','040000184626','14960',(select max(to_number(i.premium_rcv_detail_code))+1
from ins_premium_det i),'14960','14960','02', '11000003','00','Request by Mr. Omair Ali 30-Aug-2024');</v>
      </c>
      <c r="H528" s="84" t="str">
        <f t="shared" si="35"/>
        <v>insert into ins_premium_det (premium_rcv_code,assorted_code, rec_amount,premium_rcv_detail_code,remaining_amt, payrec, mode_code,coinsurance_code,class_cd,it_remarks) values('29Oct240071','040000184626','14960',(select max(to_number(i.premium_rcv_detail_code))+1
from ins_premium_det i),'14960','14960','02', '11000003','00','Request by Mr. Omair Ali 30-Aug-2024');</v>
      </c>
    </row>
    <row r="529" spans="1:8" ht="105" x14ac:dyDescent="0.25">
      <c r="A529" t="s">
        <v>667</v>
      </c>
      <c r="B529" s="80" t="str">
        <f>VLOOKUP(A529,policy!B:C,2,0)</f>
        <v>040000184633</v>
      </c>
      <c r="C529" s="46">
        <v>8800</v>
      </c>
      <c r="D529" s="81">
        <f t="shared" si="33"/>
        <v>8800</v>
      </c>
      <c r="E529" s="79" t="s">
        <v>3563</v>
      </c>
      <c r="F529" s="82" t="str">
        <f t="shared" si="32"/>
        <v>insert into ins_premium_det (premium_rcv_code,assorted_code, rec_amount,premium_rcv_detail_code,remaining_amt, payrec, mode_code,coinsurance_code,class_cd,it_remarks) values</v>
      </c>
      <c r="G529" s="83" t="str">
        <f t="shared" si="34"/>
        <v>('29Oct240071','040000184633','8800',(select max(to_number(i.premium_rcv_detail_code))+1
from ins_premium_det i),'8800','8800','02', '11000003','00','Request by Mr. Omair Ali 30-Aug-2024');</v>
      </c>
      <c r="H529" s="84" t="str">
        <f t="shared" si="35"/>
        <v>insert into ins_premium_det (premium_rcv_code,assorted_code, rec_amount,premium_rcv_detail_code,remaining_amt, payrec, mode_code,coinsurance_code,class_cd,it_remarks) values('29Oct240071','040000184633','8800',(select max(to_number(i.premium_rcv_detail_code))+1
from ins_premium_det i),'8800','8800','02', '11000003','00','Request by Mr. Omair Ali 30-Aug-2024');</v>
      </c>
    </row>
    <row r="530" spans="1:8" ht="105" x14ac:dyDescent="0.25">
      <c r="A530" t="s">
        <v>668</v>
      </c>
      <c r="B530" s="80" t="str">
        <f>VLOOKUP(A530,policy!B:C,2,0)</f>
        <v>040000184634</v>
      </c>
      <c r="C530" s="46">
        <v>12475</v>
      </c>
      <c r="D530" s="81">
        <f t="shared" si="33"/>
        <v>12475</v>
      </c>
      <c r="E530" s="79" t="s">
        <v>3563</v>
      </c>
      <c r="F530" s="82" t="str">
        <f t="shared" si="32"/>
        <v>insert into ins_premium_det (premium_rcv_code,assorted_code, rec_amount,premium_rcv_detail_code,remaining_amt, payrec, mode_code,coinsurance_code,class_cd,it_remarks) values</v>
      </c>
      <c r="G530" s="83" t="str">
        <f t="shared" si="34"/>
        <v>('29Oct240071','040000184634','12475',(select max(to_number(i.premium_rcv_detail_code))+1
from ins_premium_det i),'12475','12475','02', '11000003','00','Request by Mr. Omair Ali 30-Aug-2024');</v>
      </c>
      <c r="H530" s="84" t="str">
        <f t="shared" si="35"/>
        <v>insert into ins_premium_det (premium_rcv_code,assorted_code, rec_amount,premium_rcv_detail_code,remaining_amt, payrec, mode_code,coinsurance_code,class_cd,it_remarks) values('29Oct240071','040000184634','12475',(select max(to_number(i.premium_rcv_detail_code))+1
from ins_premium_det i),'12475','12475','02', '11000003','00','Request by Mr. Omair Ali 30-Aug-2024');</v>
      </c>
    </row>
    <row r="531" spans="1:8" ht="105" x14ac:dyDescent="0.25">
      <c r="A531" t="s">
        <v>669</v>
      </c>
      <c r="B531" s="80" t="str">
        <f>VLOOKUP(A531,policy!B:C,2,0)</f>
        <v>040000184635</v>
      </c>
      <c r="C531" s="46">
        <v>8800</v>
      </c>
      <c r="D531" s="81">
        <f t="shared" si="33"/>
        <v>8800</v>
      </c>
      <c r="E531" s="79" t="s">
        <v>3563</v>
      </c>
      <c r="F531" s="82" t="str">
        <f t="shared" si="32"/>
        <v>insert into ins_premium_det (premium_rcv_code,assorted_code, rec_amount,premium_rcv_detail_code,remaining_amt, payrec, mode_code,coinsurance_code,class_cd,it_remarks) values</v>
      </c>
      <c r="G531" s="83" t="str">
        <f t="shared" si="34"/>
        <v>('29Oct240071','040000184635','8800',(select max(to_number(i.premium_rcv_detail_code))+1
from ins_premium_det i),'8800','8800','02', '11000003','00','Request by Mr. Omair Ali 30-Aug-2024');</v>
      </c>
      <c r="H531" s="84" t="str">
        <f t="shared" si="35"/>
        <v>insert into ins_premium_det (premium_rcv_code,assorted_code, rec_amount,premium_rcv_detail_code,remaining_amt, payrec, mode_code,coinsurance_code,class_cd,it_remarks) values('29Oct240071','040000184635','8800',(select max(to_number(i.premium_rcv_detail_code))+1
from ins_premium_det i),'8800','8800','02', '11000003','00','Request by Mr. Omair Ali 30-Aug-2024');</v>
      </c>
    </row>
    <row r="532" spans="1:8" ht="105" x14ac:dyDescent="0.25">
      <c r="A532" t="s">
        <v>670</v>
      </c>
      <c r="B532" s="80" t="str">
        <f>VLOOKUP(A532,policy!B:C,2,0)</f>
        <v>040000184638</v>
      </c>
      <c r="C532" s="46">
        <v>8800</v>
      </c>
      <c r="D532" s="81">
        <f t="shared" si="33"/>
        <v>8800</v>
      </c>
      <c r="E532" s="79" t="s">
        <v>3563</v>
      </c>
      <c r="F532" s="82" t="str">
        <f t="shared" si="32"/>
        <v>insert into ins_premium_det (premium_rcv_code,assorted_code, rec_amount,premium_rcv_detail_code,remaining_amt, payrec, mode_code,coinsurance_code,class_cd,it_remarks) values</v>
      </c>
      <c r="G532" s="83" t="str">
        <f t="shared" si="34"/>
        <v>('29Oct240071','040000184638','8800',(select max(to_number(i.premium_rcv_detail_code))+1
from ins_premium_det i),'8800','8800','02', '11000003','00','Request by Mr. Omair Ali 30-Aug-2024');</v>
      </c>
      <c r="H532" s="84" t="str">
        <f t="shared" si="35"/>
        <v>insert into ins_premium_det (premium_rcv_code,assorted_code, rec_amount,premium_rcv_detail_code,remaining_amt, payrec, mode_code,coinsurance_code,class_cd,it_remarks) values('29Oct240071','040000184638','8800',(select max(to_number(i.premium_rcv_detail_code))+1
from ins_premium_det i),'8800','8800','02', '11000003','00','Request by Mr. Omair Ali 30-Aug-2024');</v>
      </c>
    </row>
    <row r="533" spans="1:8" ht="105" x14ac:dyDescent="0.25">
      <c r="A533" t="s">
        <v>671</v>
      </c>
      <c r="B533" s="80" t="str">
        <f>VLOOKUP(A533,policy!B:C,2,0)</f>
        <v>040000184639</v>
      </c>
      <c r="C533" s="46">
        <v>13675</v>
      </c>
      <c r="D533" s="81">
        <f t="shared" si="33"/>
        <v>13675</v>
      </c>
      <c r="E533" s="79" t="s">
        <v>3563</v>
      </c>
      <c r="F533" s="82" t="str">
        <f t="shared" si="32"/>
        <v>insert into ins_premium_det (premium_rcv_code,assorted_code, rec_amount,premium_rcv_detail_code,remaining_amt, payrec, mode_code,coinsurance_code,class_cd,it_remarks) values</v>
      </c>
      <c r="G533" s="83" t="str">
        <f t="shared" si="34"/>
        <v>('29Oct240071','040000184639','13675',(select max(to_number(i.premium_rcv_detail_code))+1
from ins_premium_det i),'13675','13675','02', '11000003','00','Request by Mr. Omair Ali 30-Aug-2024');</v>
      </c>
      <c r="H533" s="84" t="str">
        <f t="shared" si="35"/>
        <v>insert into ins_premium_det (premium_rcv_code,assorted_code, rec_amount,premium_rcv_detail_code,remaining_amt, payrec, mode_code,coinsurance_code,class_cd,it_remarks) values('29Oct240071','040000184639','13675',(select max(to_number(i.premium_rcv_detail_code))+1
from ins_premium_det i),'13675','13675','02', '11000003','00','Request by Mr. Omair Ali 30-Aug-2024');</v>
      </c>
    </row>
    <row r="534" spans="1:8" ht="105" x14ac:dyDescent="0.25">
      <c r="A534" t="s">
        <v>672</v>
      </c>
      <c r="B534" s="80" t="str">
        <f>VLOOKUP(A534,policy!B:C,2,0)</f>
        <v>040000184642</v>
      </c>
      <c r="C534" s="46">
        <v>9550</v>
      </c>
      <c r="D534" s="81">
        <f t="shared" si="33"/>
        <v>9550</v>
      </c>
      <c r="E534" s="79" t="s">
        <v>3563</v>
      </c>
      <c r="F534" s="82" t="str">
        <f t="shared" si="32"/>
        <v>insert into ins_premium_det (premium_rcv_code,assorted_code, rec_amount,premium_rcv_detail_code,remaining_amt, payrec, mode_code,coinsurance_code,class_cd,it_remarks) values</v>
      </c>
      <c r="G534" s="83" t="str">
        <f t="shared" si="34"/>
        <v>('29Oct240071','040000184642','9550',(select max(to_number(i.premium_rcv_detail_code))+1
from ins_premium_det i),'9550','9550','02', '11000003','00','Request by Mr. Omair Ali 30-Aug-2024');</v>
      </c>
      <c r="H534" s="84" t="str">
        <f t="shared" si="35"/>
        <v>insert into ins_premium_det (premium_rcv_code,assorted_code, rec_amount,premium_rcv_detail_code,remaining_amt, payrec, mode_code,coinsurance_code,class_cd,it_remarks) values('29Oct240071','040000184642','9550',(select max(to_number(i.premium_rcv_detail_code))+1
from ins_premium_det i),'9550','9550','02', '11000003','00','Request by Mr. Omair Ali 30-Aug-2024');</v>
      </c>
    </row>
    <row r="535" spans="1:8" ht="105" x14ac:dyDescent="0.25">
      <c r="A535" t="s">
        <v>673</v>
      </c>
      <c r="B535" s="80" t="str">
        <f>VLOOKUP(A535,policy!B:C,2,0)</f>
        <v>040000184644</v>
      </c>
      <c r="C535" s="46">
        <v>9550</v>
      </c>
      <c r="D535" s="81">
        <f t="shared" si="33"/>
        <v>9550</v>
      </c>
      <c r="E535" s="79" t="s">
        <v>3563</v>
      </c>
      <c r="F535" s="82" t="str">
        <f t="shared" si="32"/>
        <v>insert into ins_premium_det (premium_rcv_code,assorted_code, rec_amount,premium_rcv_detail_code,remaining_amt, payrec, mode_code,coinsurance_code,class_cd,it_remarks) values</v>
      </c>
      <c r="G535" s="83" t="str">
        <f t="shared" si="34"/>
        <v>('29Oct240071','040000184644','9550',(select max(to_number(i.premium_rcv_detail_code))+1
from ins_premium_det i),'9550','9550','02', '11000003','00','Request by Mr. Omair Ali 30-Aug-2024');</v>
      </c>
      <c r="H535" s="84" t="str">
        <f t="shared" si="35"/>
        <v>insert into ins_premium_det (premium_rcv_code,assorted_code, rec_amount,premium_rcv_detail_code,remaining_amt, payrec, mode_code,coinsurance_code,class_cd,it_remarks) values('29Oct240071','040000184644','9550',(select max(to_number(i.premium_rcv_detail_code))+1
from ins_premium_det i),'9550','9550','02', '11000003','00','Request by Mr. Omair Ali 30-Aug-2024');</v>
      </c>
    </row>
    <row r="536" spans="1:8" ht="105" x14ac:dyDescent="0.25">
      <c r="A536" t="s">
        <v>674</v>
      </c>
      <c r="B536" s="80" t="str">
        <f>VLOOKUP(A536,policy!B:C,2,0)</f>
        <v>040000184648</v>
      </c>
      <c r="C536" s="46">
        <v>14960</v>
      </c>
      <c r="D536" s="81">
        <f t="shared" si="33"/>
        <v>14960</v>
      </c>
      <c r="E536" s="79" t="s">
        <v>3563</v>
      </c>
      <c r="F536" s="82" t="str">
        <f t="shared" si="32"/>
        <v>insert into ins_premium_det (premium_rcv_code,assorted_code, rec_amount,premium_rcv_detail_code,remaining_amt, payrec, mode_code,coinsurance_code,class_cd,it_remarks) values</v>
      </c>
      <c r="G536" s="83" t="str">
        <f t="shared" si="34"/>
        <v>('29Oct240071','040000184648','14960',(select max(to_number(i.premium_rcv_detail_code))+1
from ins_premium_det i),'14960','14960','02', '11000003','00','Request by Mr. Omair Ali 30-Aug-2024');</v>
      </c>
      <c r="H536" s="84" t="str">
        <f t="shared" si="35"/>
        <v>insert into ins_premium_det (premium_rcv_code,assorted_code, rec_amount,premium_rcv_detail_code,remaining_amt, payrec, mode_code,coinsurance_code,class_cd,it_remarks) values('29Oct240071','040000184648','14960',(select max(to_number(i.premium_rcv_detail_code))+1
from ins_premium_det i),'14960','14960','02', '11000003','00','Request by Mr. Omair Ali 30-Aug-2024');</v>
      </c>
    </row>
    <row r="537" spans="1:8" ht="105" x14ac:dyDescent="0.25">
      <c r="A537" t="s">
        <v>675</v>
      </c>
      <c r="B537" s="80" t="str">
        <f>VLOOKUP(A537,policy!B:C,2,0)</f>
        <v>040000184649</v>
      </c>
      <c r="C537" s="46">
        <v>14960</v>
      </c>
      <c r="D537" s="81">
        <f t="shared" si="33"/>
        <v>14960</v>
      </c>
      <c r="E537" s="79" t="s">
        <v>3563</v>
      </c>
      <c r="F537" s="82" t="str">
        <f t="shared" si="32"/>
        <v>insert into ins_premium_det (premium_rcv_code,assorted_code, rec_amount,premium_rcv_detail_code,remaining_amt, payrec, mode_code,coinsurance_code,class_cd,it_remarks) values</v>
      </c>
      <c r="G537" s="83" t="str">
        <f t="shared" si="34"/>
        <v>('29Oct240071','040000184649','14960',(select max(to_number(i.premium_rcv_detail_code))+1
from ins_premium_det i),'14960','14960','02', '11000003','00','Request by Mr. Omair Ali 30-Aug-2024');</v>
      </c>
      <c r="H537" s="84" t="str">
        <f t="shared" si="35"/>
        <v>insert into ins_premium_det (premium_rcv_code,assorted_code, rec_amount,premium_rcv_detail_code,remaining_amt, payrec, mode_code,coinsurance_code,class_cd,it_remarks) values('29Oct240071','040000184649','14960',(select max(to_number(i.premium_rcv_detail_code))+1
from ins_premium_det i),'14960','14960','02', '11000003','00','Request by Mr. Omair Ali 30-Aug-2024');</v>
      </c>
    </row>
    <row r="538" spans="1:8" ht="105" x14ac:dyDescent="0.25">
      <c r="A538" t="s">
        <v>676</v>
      </c>
      <c r="B538" s="80" t="str">
        <f>VLOOKUP(A538,policy!B:C,2,0)</f>
        <v>040000184652</v>
      </c>
      <c r="C538" s="46">
        <v>8800</v>
      </c>
      <c r="D538" s="81">
        <f t="shared" si="33"/>
        <v>8800</v>
      </c>
      <c r="E538" s="79" t="s">
        <v>3563</v>
      </c>
      <c r="F538" s="82" t="str">
        <f t="shared" si="32"/>
        <v>insert into ins_premium_det (premium_rcv_code,assorted_code, rec_amount,premium_rcv_detail_code,remaining_amt, payrec, mode_code,coinsurance_code,class_cd,it_remarks) values</v>
      </c>
      <c r="G538" s="83" t="str">
        <f t="shared" si="34"/>
        <v>('29Oct240071','040000184652','8800',(select max(to_number(i.premium_rcv_detail_code))+1
from ins_premium_det i),'8800','8800','02', '11000003','00','Request by Mr. Omair Ali 30-Aug-2024');</v>
      </c>
      <c r="H538" s="84" t="str">
        <f t="shared" si="35"/>
        <v>insert into ins_premium_det (premium_rcv_code,assorted_code, rec_amount,premium_rcv_detail_code,remaining_amt, payrec, mode_code,coinsurance_code,class_cd,it_remarks) values('29Oct240071','040000184652','8800',(select max(to_number(i.premium_rcv_detail_code))+1
from ins_premium_det i),'8800','8800','02', '11000003','00','Request by Mr. Omair Ali 30-Aug-2024');</v>
      </c>
    </row>
    <row r="539" spans="1:8" ht="105" x14ac:dyDescent="0.25">
      <c r="A539" t="s">
        <v>677</v>
      </c>
      <c r="B539" s="80" t="str">
        <f>VLOOKUP(A539,policy!B:C,2,0)</f>
        <v>040000184653</v>
      </c>
      <c r="C539" s="46">
        <v>13675</v>
      </c>
      <c r="D539" s="81">
        <f t="shared" si="33"/>
        <v>13675</v>
      </c>
      <c r="E539" s="79" t="s">
        <v>3563</v>
      </c>
      <c r="F539" s="82" t="str">
        <f t="shared" si="32"/>
        <v>insert into ins_premium_det (premium_rcv_code,assorted_code, rec_amount,premium_rcv_detail_code,remaining_amt, payrec, mode_code,coinsurance_code,class_cd,it_remarks) values</v>
      </c>
      <c r="G539" s="83" t="str">
        <f t="shared" si="34"/>
        <v>('29Oct240071','040000184653','13675',(select max(to_number(i.premium_rcv_detail_code))+1
from ins_premium_det i),'13675','13675','02', '11000003','00','Request by Mr. Omair Ali 30-Aug-2024');</v>
      </c>
      <c r="H539" s="84" t="str">
        <f t="shared" si="35"/>
        <v>insert into ins_premium_det (premium_rcv_code,assorted_code, rec_amount,premium_rcv_detail_code,remaining_amt, payrec, mode_code,coinsurance_code,class_cd,it_remarks) values('29Oct240071','040000184653','13675',(select max(to_number(i.premium_rcv_detail_code))+1
from ins_premium_det i),'13675','13675','02', '11000003','00','Request by Mr. Omair Ali 30-Aug-2024');</v>
      </c>
    </row>
    <row r="540" spans="1:8" ht="105" x14ac:dyDescent="0.25">
      <c r="A540" t="s">
        <v>678</v>
      </c>
      <c r="B540" s="80" t="str">
        <f>VLOOKUP(A540,policy!B:C,2,0)</f>
        <v>040000184654</v>
      </c>
      <c r="C540" s="46">
        <v>14960</v>
      </c>
      <c r="D540" s="81">
        <f t="shared" si="33"/>
        <v>14960</v>
      </c>
      <c r="E540" s="79" t="s">
        <v>3563</v>
      </c>
      <c r="F540" s="82" t="str">
        <f t="shared" si="32"/>
        <v>insert into ins_premium_det (premium_rcv_code,assorted_code, rec_amount,premium_rcv_detail_code,remaining_amt, payrec, mode_code,coinsurance_code,class_cd,it_remarks) values</v>
      </c>
      <c r="G540" s="83" t="str">
        <f t="shared" si="34"/>
        <v>('29Oct240071','040000184654','14960',(select max(to_number(i.premium_rcv_detail_code))+1
from ins_premium_det i),'14960','14960','02', '11000003','00','Request by Mr. Omair Ali 30-Aug-2024');</v>
      </c>
      <c r="H540" s="84" t="str">
        <f t="shared" si="35"/>
        <v>insert into ins_premium_det (premium_rcv_code,assorted_code, rec_amount,premium_rcv_detail_code,remaining_amt, payrec, mode_code,coinsurance_code,class_cd,it_remarks) values('29Oct240071','040000184654','14960',(select max(to_number(i.premium_rcv_detail_code))+1
from ins_premium_det i),'14960','14960','02', '11000003','00','Request by Mr. Omair Ali 30-Aug-2024');</v>
      </c>
    </row>
    <row r="541" spans="1:8" ht="105" x14ac:dyDescent="0.25">
      <c r="A541" t="s">
        <v>679</v>
      </c>
      <c r="B541" s="80" t="str">
        <f>VLOOKUP(A541,policy!B:C,2,0)</f>
        <v>040000184655</v>
      </c>
      <c r="C541" s="46">
        <v>14960</v>
      </c>
      <c r="D541" s="81">
        <f t="shared" si="33"/>
        <v>14960</v>
      </c>
      <c r="E541" s="79" t="s">
        <v>3563</v>
      </c>
      <c r="F541" s="82" t="str">
        <f t="shared" si="32"/>
        <v>insert into ins_premium_det (premium_rcv_code,assorted_code, rec_amount,premium_rcv_detail_code,remaining_amt, payrec, mode_code,coinsurance_code,class_cd,it_remarks) values</v>
      </c>
      <c r="G541" s="83" t="str">
        <f t="shared" si="34"/>
        <v>('29Oct240071','040000184655','14960',(select max(to_number(i.premium_rcv_detail_code))+1
from ins_premium_det i),'14960','14960','02', '11000003','00','Request by Mr. Omair Ali 30-Aug-2024');</v>
      </c>
      <c r="H541" s="84" t="str">
        <f t="shared" si="35"/>
        <v>insert into ins_premium_det (premium_rcv_code,assorted_code, rec_amount,premium_rcv_detail_code,remaining_amt, payrec, mode_code,coinsurance_code,class_cd,it_remarks) values('29Oct240071','040000184655','14960',(select max(to_number(i.premium_rcv_detail_code))+1
from ins_premium_det i),'14960','14960','02', '11000003','00','Request by Mr. Omair Ali 30-Aug-2024');</v>
      </c>
    </row>
    <row r="542" spans="1:8" ht="105" x14ac:dyDescent="0.25">
      <c r="A542" t="s">
        <v>680</v>
      </c>
      <c r="B542" s="80" t="str">
        <f>VLOOKUP(A542,policy!B:C,2,0)</f>
        <v>040000184656</v>
      </c>
      <c r="C542" s="46">
        <v>14960</v>
      </c>
      <c r="D542" s="81">
        <f t="shared" si="33"/>
        <v>14960</v>
      </c>
      <c r="E542" s="79" t="s">
        <v>3563</v>
      </c>
      <c r="F542" s="82" t="str">
        <f t="shared" si="32"/>
        <v>insert into ins_premium_det (premium_rcv_code,assorted_code, rec_amount,premium_rcv_detail_code,remaining_amt, payrec, mode_code,coinsurance_code,class_cd,it_remarks) values</v>
      </c>
      <c r="G542" s="83" t="str">
        <f t="shared" si="34"/>
        <v>('29Oct240071','040000184656','14960',(select max(to_number(i.premium_rcv_detail_code))+1
from ins_premium_det i),'14960','14960','02', '11000003','00','Request by Mr. Omair Ali 30-Aug-2024');</v>
      </c>
      <c r="H542" s="84" t="str">
        <f t="shared" si="35"/>
        <v>insert into ins_premium_det (premium_rcv_code,assorted_code, rec_amount,premium_rcv_detail_code,remaining_amt, payrec, mode_code,coinsurance_code,class_cd,it_remarks) values('29Oct240071','040000184656','14960',(select max(to_number(i.premium_rcv_detail_code))+1
from ins_premium_det i),'14960','14960','02', '11000003','00','Request by Mr. Omair Ali 30-Aug-2024');</v>
      </c>
    </row>
    <row r="543" spans="1:8" ht="105" x14ac:dyDescent="0.25">
      <c r="A543" t="s">
        <v>681</v>
      </c>
      <c r="B543" s="80" t="str">
        <f>VLOOKUP(A543,policy!B:C,2,0)</f>
        <v>040000184658</v>
      </c>
      <c r="C543" s="46">
        <v>8800</v>
      </c>
      <c r="D543" s="81">
        <f t="shared" si="33"/>
        <v>8800</v>
      </c>
      <c r="E543" s="79" t="s">
        <v>3563</v>
      </c>
      <c r="F543" s="82" t="str">
        <f t="shared" si="32"/>
        <v>insert into ins_premium_det (premium_rcv_code,assorted_code, rec_amount,premium_rcv_detail_code,remaining_amt, payrec, mode_code,coinsurance_code,class_cd,it_remarks) values</v>
      </c>
      <c r="G543" s="83" t="str">
        <f t="shared" si="34"/>
        <v>('29Oct240071','040000184658','8800',(select max(to_number(i.premium_rcv_detail_code))+1
from ins_premium_det i),'8800','8800','02', '11000003','00','Request by Mr. Omair Ali 30-Aug-2024');</v>
      </c>
      <c r="H543" s="84" t="str">
        <f t="shared" si="35"/>
        <v>insert into ins_premium_det (premium_rcv_code,assorted_code, rec_amount,premium_rcv_detail_code,remaining_amt, payrec, mode_code,coinsurance_code,class_cd,it_remarks) values('29Oct240071','040000184658','8800',(select max(to_number(i.premium_rcv_detail_code))+1
from ins_premium_det i),'8800','8800','02', '11000003','00','Request by Mr. Omair Ali 30-Aug-2024');</v>
      </c>
    </row>
    <row r="544" spans="1:8" ht="105" x14ac:dyDescent="0.25">
      <c r="A544" t="s">
        <v>682</v>
      </c>
      <c r="B544" s="80" t="str">
        <f>VLOOKUP(A544,policy!B:C,2,0)</f>
        <v>040000184659</v>
      </c>
      <c r="C544" s="46">
        <v>8800</v>
      </c>
      <c r="D544" s="81">
        <f t="shared" si="33"/>
        <v>8800</v>
      </c>
      <c r="E544" s="79" t="s">
        <v>3563</v>
      </c>
      <c r="F544" s="82" t="str">
        <f t="shared" si="32"/>
        <v>insert into ins_premium_det (premium_rcv_code,assorted_code, rec_amount,premium_rcv_detail_code,remaining_amt, payrec, mode_code,coinsurance_code,class_cd,it_remarks) values</v>
      </c>
      <c r="G544" s="83" t="str">
        <f t="shared" si="34"/>
        <v>('29Oct240071','040000184659','8800',(select max(to_number(i.premium_rcv_detail_code))+1
from ins_premium_det i),'8800','8800','02', '11000003','00','Request by Mr. Omair Ali 30-Aug-2024');</v>
      </c>
      <c r="H544" s="84" t="str">
        <f t="shared" si="35"/>
        <v>insert into ins_premium_det (premium_rcv_code,assorted_code, rec_amount,premium_rcv_detail_code,remaining_amt, payrec, mode_code,coinsurance_code,class_cd,it_remarks) values('29Oct240071','040000184659','8800',(select max(to_number(i.premium_rcv_detail_code))+1
from ins_premium_det i),'8800','8800','02', '11000003','00','Request by Mr. Omair Ali 30-Aug-2024');</v>
      </c>
    </row>
    <row r="545" spans="1:8" ht="105" x14ac:dyDescent="0.25">
      <c r="A545" t="s">
        <v>683</v>
      </c>
      <c r="B545" s="80" t="str">
        <f>VLOOKUP(A545,policy!B:C,2,0)</f>
        <v>040000184660</v>
      </c>
      <c r="C545" s="46">
        <v>8800</v>
      </c>
      <c r="D545" s="81">
        <f t="shared" si="33"/>
        <v>8800</v>
      </c>
      <c r="E545" s="79" t="s">
        <v>3563</v>
      </c>
      <c r="F545" s="82" t="str">
        <f t="shared" si="32"/>
        <v>insert into ins_premium_det (premium_rcv_code,assorted_code, rec_amount,premium_rcv_detail_code,remaining_amt, payrec, mode_code,coinsurance_code,class_cd,it_remarks) values</v>
      </c>
      <c r="G545" s="83" t="str">
        <f t="shared" si="34"/>
        <v>('29Oct240071','040000184660','8800',(select max(to_number(i.premium_rcv_detail_code))+1
from ins_premium_det i),'8800','8800','02', '11000003','00','Request by Mr. Omair Ali 30-Aug-2024');</v>
      </c>
      <c r="H545" s="84" t="str">
        <f t="shared" si="35"/>
        <v>insert into ins_premium_det (premium_rcv_code,assorted_code, rec_amount,premium_rcv_detail_code,remaining_amt, payrec, mode_code,coinsurance_code,class_cd,it_remarks) values('29Oct240071','040000184660','8800',(select max(to_number(i.premium_rcv_detail_code))+1
from ins_premium_det i),'8800','8800','02', '11000003','00','Request by Mr. Omair Ali 30-Aug-2024');</v>
      </c>
    </row>
    <row r="546" spans="1:8" ht="105" x14ac:dyDescent="0.25">
      <c r="A546" t="s">
        <v>684</v>
      </c>
      <c r="B546" s="80" t="str">
        <f>VLOOKUP(A546,policy!B:C,2,0)</f>
        <v>040000184662</v>
      </c>
      <c r="C546" s="46">
        <v>12475</v>
      </c>
      <c r="D546" s="81">
        <f t="shared" si="33"/>
        <v>12475</v>
      </c>
      <c r="E546" s="79" t="s">
        <v>3563</v>
      </c>
      <c r="F546" s="82" t="str">
        <f t="shared" si="32"/>
        <v>insert into ins_premium_det (premium_rcv_code,assorted_code, rec_amount,premium_rcv_detail_code,remaining_amt, payrec, mode_code,coinsurance_code,class_cd,it_remarks) values</v>
      </c>
      <c r="G546" s="83" t="str">
        <f t="shared" si="34"/>
        <v>('29Oct240071','040000184662','12475',(select max(to_number(i.premium_rcv_detail_code))+1
from ins_premium_det i),'12475','12475','02', '11000003','00','Request by Mr. Omair Ali 30-Aug-2024');</v>
      </c>
      <c r="H546" s="84" t="str">
        <f t="shared" si="35"/>
        <v>insert into ins_premium_det (premium_rcv_code,assorted_code, rec_amount,premium_rcv_detail_code,remaining_amt, payrec, mode_code,coinsurance_code,class_cd,it_remarks) values('29Oct240071','040000184662','12475',(select max(to_number(i.premium_rcv_detail_code))+1
from ins_premium_det i),'12475','12475','02', '11000003','00','Request by Mr. Omair Ali 30-Aug-2024');</v>
      </c>
    </row>
    <row r="547" spans="1:8" ht="105" x14ac:dyDescent="0.25">
      <c r="A547" t="s">
        <v>685</v>
      </c>
      <c r="B547" s="80" t="str">
        <f>VLOOKUP(A547,policy!B:C,2,0)</f>
        <v>040000184663</v>
      </c>
      <c r="C547" s="46">
        <v>9550</v>
      </c>
      <c r="D547" s="81">
        <f t="shared" si="33"/>
        <v>9550</v>
      </c>
      <c r="E547" s="79" t="s">
        <v>3563</v>
      </c>
      <c r="F547" s="82" t="str">
        <f t="shared" si="32"/>
        <v>insert into ins_premium_det (premium_rcv_code,assorted_code, rec_amount,premium_rcv_detail_code,remaining_amt, payrec, mode_code,coinsurance_code,class_cd,it_remarks) values</v>
      </c>
      <c r="G547" s="83" t="str">
        <f t="shared" si="34"/>
        <v>('29Oct240071','040000184663','9550',(select max(to_number(i.premium_rcv_detail_code))+1
from ins_premium_det i),'9550','9550','02', '11000003','00','Request by Mr. Omair Ali 30-Aug-2024');</v>
      </c>
      <c r="H547" s="84" t="str">
        <f t="shared" si="35"/>
        <v>insert into ins_premium_det (premium_rcv_code,assorted_code, rec_amount,premium_rcv_detail_code,remaining_amt, payrec, mode_code,coinsurance_code,class_cd,it_remarks) values('29Oct240071','040000184663','9550',(select max(to_number(i.premium_rcv_detail_code))+1
from ins_premium_det i),'9550','9550','02', '11000003','00','Request by Mr. Omair Ali 30-Aug-2024');</v>
      </c>
    </row>
    <row r="548" spans="1:8" ht="105" x14ac:dyDescent="0.25">
      <c r="A548" t="s">
        <v>686</v>
      </c>
      <c r="B548" s="80" t="str">
        <f>VLOOKUP(A548,policy!B:C,2,0)</f>
        <v>040000184664</v>
      </c>
      <c r="C548" s="46">
        <v>8800</v>
      </c>
      <c r="D548" s="81">
        <f t="shared" si="33"/>
        <v>8800</v>
      </c>
      <c r="E548" s="79" t="s">
        <v>3563</v>
      </c>
      <c r="F548" s="82" t="str">
        <f t="shared" si="32"/>
        <v>insert into ins_premium_det (premium_rcv_code,assorted_code, rec_amount,premium_rcv_detail_code,remaining_amt, payrec, mode_code,coinsurance_code,class_cd,it_remarks) values</v>
      </c>
      <c r="G548" s="83" t="str">
        <f t="shared" si="34"/>
        <v>('29Oct240071','040000184664','8800',(select max(to_number(i.premium_rcv_detail_code))+1
from ins_premium_det i),'8800','8800','02', '11000003','00','Request by Mr. Omair Ali 30-Aug-2024');</v>
      </c>
      <c r="H548" s="84" t="str">
        <f t="shared" si="35"/>
        <v>insert into ins_premium_det (premium_rcv_code,assorted_code, rec_amount,premium_rcv_detail_code,remaining_amt, payrec, mode_code,coinsurance_code,class_cd,it_remarks) values('29Oct240071','040000184664','8800',(select max(to_number(i.premium_rcv_detail_code))+1
from ins_premium_det i),'8800','8800','02', '11000003','00','Request by Mr. Omair Ali 30-Aug-2024');</v>
      </c>
    </row>
    <row r="549" spans="1:8" ht="105" x14ac:dyDescent="0.25">
      <c r="A549" t="s">
        <v>687</v>
      </c>
      <c r="B549" s="80" t="str">
        <f>VLOOKUP(A549,policy!B:C,2,0)</f>
        <v>040000184665</v>
      </c>
      <c r="C549" s="46">
        <v>12475</v>
      </c>
      <c r="D549" s="81">
        <f t="shared" si="33"/>
        <v>12475</v>
      </c>
      <c r="E549" s="79" t="s">
        <v>3563</v>
      </c>
      <c r="F549" s="82" t="str">
        <f t="shared" si="32"/>
        <v>insert into ins_premium_det (premium_rcv_code,assorted_code, rec_amount,premium_rcv_detail_code,remaining_amt, payrec, mode_code,coinsurance_code,class_cd,it_remarks) values</v>
      </c>
      <c r="G549" s="83" t="str">
        <f t="shared" si="34"/>
        <v>('29Oct240071','040000184665','12475',(select max(to_number(i.premium_rcv_detail_code))+1
from ins_premium_det i),'12475','12475','02', '11000003','00','Request by Mr. Omair Ali 30-Aug-2024');</v>
      </c>
      <c r="H549" s="84" t="str">
        <f t="shared" si="35"/>
        <v>insert into ins_premium_det (premium_rcv_code,assorted_code, rec_amount,premium_rcv_detail_code,remaining_amt, payrec, mode_code,coinsurance_code,class_cd,it_remarks) values('29Oct240071','040000184665','12475',(select max(to_number(i.premium_rcv_detail_code))+1
from ins_premium_det i),'12475','12475','02', '11000003','00','Request by Mr. Omair Ali 30-Aug-2024');</v>
      </c>
    </row>
    <row r="550" spans="1:8" ht="105" x14ac:dyDescent="0.25">
      <c r="A550" t="s">
        <v>688</v>
      </c>
      <c r="B550" s="80" t="str">
        <f>VLOOKUP(A550,policy!B:C,2,0)</f>
        <v>040000184667</v>
      </c>
      <c r="C550" s="46">
        <v>9550</v>
      </c>
      <c r="D550" s="81">
        <f t="shared" si="33"/>
        <v>9550</v>
      </c>
      <c r="E550" s="79" t="s">
        <v>3563</v>
      </c>
      <c r="F550" s="82" t="str">
        <f t="shared" si="32"/>
        <v>insert into ins_premium_det (premium_rcv_code,assorted_code, rec_amount,premium_rcv_detail_code,remaining_amt, payrec, mode_code,coinsurance_code,class_cd,it_remarks) values</v>
      </c>
      <c r="G550" s="83" t="str">
        <f t="shared" si="34"/>
        <v>('29Oct240071','040000184667','9550',(select max(to_number(i.premium_rcv_detail_code))+1
from ins_premium_det i),'9550','9550','02', '11000003','00','Request by Mr. Omair Ali 30-Aug-2024');</v>
      </c>
      <c r="H550" s="84" t="str">
        <f t="shared" si="35"/>
        <v>insert into ins_premium_det (premium_rcv_code,assorted_code, rec_amount,premium_rcv_detail_code,remaining_amt, payrec, mode_code,coinsurance_code,class_cd,it_remarks) values('29Oct240071','040000184667','9550',(select max(to_number(i.premium_rcv_detail_code))+1
from ins_premium_det i),'9550','9550','02', '11000003','00','Request by Mr. Omair Ali 30-Aug-2024');</v>
      </c>
    </row>
    <row r="551" spans="1:8" ht="105" x14ac:dyDescent="0.25">
      <c r="A551" t="s">
        <v>689</v>
      </c>
      <c r="B551" s="80" t="str">
        <f>VLOOKUP(A551,policy!B:C,2,0)</f>
        <v>040000184670</v>
      </c>
      <c r="C551" s="46">
        <v>9550</v>
      </c>
      <c r="D551" s="81">
        <f t="shared" si="33"/>
        <v>9550</v>
      </c>
      <c r="E551" s="79" t="s">
        <v>3563</v>
      </c>
      <c r="F551" s="82" t="str">
        <f t="shared" si="32"/>
        <v>insert into ins_premium_det (premium_rcv_code,assorted_code, rec_amount,premium_rcv_detail_code,remaining_amt, payrec, mode_code,coinsurance_code,class_cd,it_remarks) values</v>
      </c>
      <c r="G551" s="83" t="str">
        <f t="shared" si="34"/>
        <v>('29Oct240071','040000184670','9550',(select max(to_number(i.premium_rcv_detail_code))+1
from ins_premium_det i),'9550','9550','02', '11000003','00','Request by Mr. Omair Ali 30-Aug-2024');</v>
      </c>
      <c r="H551" s="84" t="str">
        <f t="shared" si="35"/>
        <v>insert into ins_premium_det (premium_rcv_code,assorted_code, rec_amount,premium_rcv_detail_code,remaining_amt, payrec, mode_code,coinsurance_code,class_cd,it_remarks) values('29Oct240071','040000184670','9550',(select max(to_number(i.premium_rcv_detail_code))+1
from ins_premium_det i),'9550','9550','02', '11000003','00','Request by Mr. Omair Ali 30-Aug-2024');</v>
      </c>
    </row>
    <row r="552" spans="1:8" ht="105" x14ac:dyDescent="0.25">
      <c r="A552" t="s">
        <v>690</v>
      </c>
      <c r="B552" s="80" t="str">
        <f>VLOOKUP(A552,policy!B:C,2,0)</f>
        <v>040000184672</v>
      </c>
      <c r="C552" s="46">
        <v>9550</v>
      </c>
      <c r="D552" s="81">
        <f t="shared" si="33"/>
        <v>9550</v>
      </c>
      <c r="E552" s="79" t="s">
        <v>3563</v>
      </c>
      <c r="F552" s="82" t="str">
        <f t="shared" si="32"/>
        <v>insert into ins_premium_det (premium_rcv_code,assorted_code, rec_amount,premium_rcv_detail_code,remaining_amt, payrec, mode_code,coinsurance_code,class_cd,it_remarks) values</v>
      </c>
      <c r="G552" s="83" t="str">
        <f t="shared" si="34"/>
        <v>('29Oct240071','040000184672','9550',(select max(to_number(i.premium_rcv_detail_code))+1
from ins_premium_det i),'9550','9550','02', '11000003','00','Request by Mr. Omair Ali 30-Aug-2024');</v>
      </c>
      <c r="H552" s="84" t="str">
        <f t="shared" si="35"/>
        <v>insert into ins_premium_det (premium_rcv_code,assorted_code, rec_amount,premium_rcv_detail_code,remaining_amt, payrec, mode_code,coinsurance_code,class_cd,it_remarks) values('29Oct240071','040000184672','9550',(select max(to_number(i.premium_rcv_detail_code))+1
from ins_premium_det i),'9550','9550','02', '11000003','00','Request by Mr. Omair Ali 30-Aug-2024');</v>
      </c>
    </row>
    <row r="553" spans="1:8" ht="105" x14ac:dyDescent="0.25">
      <c r="A553" t="s">
        <v>691</v>
      </c>
      <c r="B553" s="80" t="str">
        <f>VLOOKUP(A553,policy!B:C,2,0)</f>
        <v>040000184675</v>
      </c>
      <c r="C553" s="46">
        <v>14960</v>
      </c>
      <c r="D553" s="81">
        <f t="shared" si="33"/>
        <v>14960</v>
      </c>
      <c r="E553" s="79" t="s">
        <v>3563</v>
      </c>
      <c r="F553" s="82" t="str">
        <f t="shared" si="32"/>
        <v>insert into ins_premium_det (premium_rcv_code,assorted_code, rec_amount,premium_rcv_detail_code,remaining_amt, payrec, mode_code,coinsurance_code,class_cd,it_remarks) values</v>
      </c>
      <c r="G553" s="83" t="str">
        <f t="shared" si="34"/>
        <v>('29Oct240071','040000184675','14960',(select max(to_number(i.premium_rcv_detail_code))+1
from ins_premium_det i),'14960','14960','02', '11000003','00','Request by Mr. Omair Ali 30-Aug-2024');</v>
      </c>
      <c r="H553" s="84" t="str">
        <f t="shared" si="35"/>
        <v>insert into ins_premium_det (premium_rcv_code,assorted_code, rec_amount,premium_rcv_detail_code,remaining_amt, payrec, mode_code,coinsurance_code,class_cd,it_remarks) values('29Oct240071','040000184675','14960',(select max(to_number(i.premium_rcv_detail_code))+1
from ins_premium_det i),'14960','14960','02', '11000003','00','Request by Mr. Omair Ali 30-Aug-2024');</v>
      </c>
    </row>
    <row r="554" spans="1:8" ht="105" x14ac:dyDescent="0.25">
      <c r="A554" t="s">
        <v>692</v>
      </c>
      <c r="B554" s="80" t="str">
        <f>VLOOKUP(A554,policy!B:C,2,0)</f>
        <v>040000184676</v>
      </c>
      <c r="C554" s="46">
        <v>14960</v>
      </c>
      <c r="D554" s="81">
        <f t="shared" si="33"/>
        <v>14960</v>
      </c>
      <c r="E554" s="79" t="s">
        <v>3563</v>
      </c>
      <c r="F554" s="82" t="str">
        <f t="shared" si="32"/>
        <v>insert into ins_premium_det (premium_rcv_code,assorted_code, rec_amount,premium_rcv_detail_code,remaining_amt, payrec, mode_code,coinsurance_code,class_cd,it_remarks) values</v>
      </c>
      <c r="G554" s="83" t="str">
        <f t="shared" si="34"/>
        <v>('29Oct240071','040000184676','14960',(select max(to_number(i.premium_rcv_detail_code))+1
from ins_premium_det i),'14960','14960','02', '11000003','00','Request by Mr. Omair Ali 30-Aug-2024');</v>
      </c>
      <c r="H554" s="84" t="str">
        <f t="shared" si="35"/>
        <v>insert into ins_premium_det (premium_rcv_code,assorted_code, rec_amount,premium_rcv_detail_code,remaining_amt, payrec, mode_code,coinsurance_code,class_cd,it_remarks) values('29Oct240071','040000184676','14960',(select max(to_number(i.premium_rcv_detail_code))+1
from ins_premium_det i),'14960','14960','02', '11000003','00','Request by Mr. Omair Ali 30-Aug-2024');</v>
      </c>
    </row>
    <row r="555" spans="1:8" ht="105" x14ac:dyDescent="0.25">
      <c r="A555" t="s">
        <v>693</v>
      </c>
      <c r="B555" s="80" t="str">
        <f>VLOOKUP(A555,policy!B:C,2,0)</f>
        <v>040000184677</v>
      </c>
      <c r="C555" s="46">
        <v>12475</v>
      </c>
      <c r="D555" s="81">
        <f t="shared" si="33"/>
        <v>12475</v>
      </c>
      <c r="E555" s="79" t="s">
        <v>3563</v>
      </c>
      <c r="F555" s="82" t="str">
        <f t="shared" si="32"/>
        <v>insert into ins_premium_det (premium_rcv_code,assorted_code, rec_amount,premium_rcv_detail_code,remaining_amt, payrec, mode_code,coinsurance_code,class_cd,it_remarks) values</v>
      </c>
      <c r="G555" s="83" t="str">
        <f t="shared" si="34"/>
        <v>('29Oct240071','040000184677','12475',(select max(to_number(i.premium_rcv_detail_code))+1
from ins_premium_det i),'12475','12475','02', '11000003','00','Request by Mr. Omair Ali 30-Aug-2024');</v>
      </c>
      <c r="H555" s="84" t="str">
        <f t="shared" si="35"/>
        <v>insert into ins_premium_det (premium_rcv_code,assorted_code, rec_amount,premium_rcv_detail_code,remaining_amt, payrec, mode_code,coinsurance_code,class_cd,it_remarks) values('29Oct240071','040000184677','12475',(select max(to_number(i.premium_rcv_detail_code))+1
from ins_premium_det i),'12475','12475','02', '11000003','00','Request by Mr. Omair Ali 30-Aug-2024');</v>
      </c>
    </row>
    <row r="556" spans="1:8" ht="105" x14ac:dyDescent="0.25">
      <c r="A556" t="s">
        <v>694</v>
      </c>
      <c r="B556" s="80" t="str">
        <f>VLOOKUP(A556,policy!B:C,2,0)</f>
        <v>040000184678</v>
      </c>
      <c r="C556" s="46">
        <v>14960</v>
      </c>
      <c r="D556" s="81">
        <f t="shared" si="33"/>
        <v>14960</v>
      </c>
      <c r="E556" s="79" t="s">
        <v>3563</v>
      </c>
      <c r="F556" s="82" t="str">
        <f t="shared" si="32"/>
        <v>insert into ins_premium_det (premium_rcv_code,assorted_code, rec_amount,premium_rcv_detail_code,remaining_amt, payrec, mode_code,coinsurance_code,class_cd,it_remarks) values</v>
      </c>
      <c r="G556" s="83" t="str">
        <f t="shared" si="34"/>
        <v>('29Oct240071','040000184678','14960',(select max(to_number(i.premium_rcv_detail_code))+1
from ins_premium_det i),'14960','14960','02', '11000003','00','Request by Mr. Omair Ali 30-Aug-2024');</v>
      </c>
      <c r="H556" s="84" t="str">
        <f t="shared" si="35"/>
        <v>insert into ins_premium_det (premium_rcv_code,assorted_code, rec_amount,premium_rcv_detail_code,remaining_amt, payrec, mode_code,coinsurance_code,class_cd,it_remarks) values('29Oct240071','040000184678','14960',(select max(to_number(i.premium_rcv_detail_code))+1
from ins_premium_det i),'14960','14960','02', '11000003','00','Request by Mr. Omair Ali 30-Aug-2024');</v>
      </c>
    </row>
    <row r="557" spans="1:8" ht="105" x14ac:dyDescent="0.25">
      <c r="A557" t="s">
        <v>695</v>
      </c>
      <c r="B557" s="80" t="str">
        <f>VLOOKUP(A557,policy!B:C,2,0)</f>
        <v>040000184679</v>
      </c>
      <c r="C557" s="46">
        <v>16235</v>
      </c>
      <c r="D557" s="81">
        <f t="shared" si="33"/>
        <v>16235</v>
      </c>
      <c r="E557" s="79" t="s">
        <v>3563</v>
      </c>
      <c r="F557" s="82" t="str">
        <f t="shared" si="32"/>
        <v>insert into ins_premium_det (premium_rcv_code,assorted_code, rec_amount,premium_rcv_detail_code,remaining_amt, payrec, mode_code,coinsurance_code,class_cd,it_remarks) values</v>
      </c>
      <c r="G557" s="83" t="str">
        <f t="shared" si="34"/>
        <v>('29Oct240071','040000184679','16235',(select max(to_number(i.premium_rcv_detail_code))+1
from ins_premium_det i),'16235','16235','02', '11000003','00','Request by Mr. Omair Ali 30-Aug-2024');</v>
      </c>
      <c r="H557" s="84" t="str">
        <f t="shared" si="35"/>
        <v>insert into ins_premium_det (premium_rcv_code,assorted_code, rec_amount,premium_rcv_detail_code,remaining_amt, payrec, mode_code,coinsurance_code,class_cd,it_remarks) values('29Oct240071','040000184679','16235',(select max(to_number(i.premium_rcv_detail_code))+1
from ins_premium_det i),'16235','16235','02', '11000003','00','Request by Mr. Omair Ali 30-Aug-2024');</v>
      </c>
    </row>
    <row r="558" spans="1:8" ht="105" x14ac:dyDescent="0.25">
      <c r="A558" t="s">
        <v>696</v>
      </c>
      <c r="B558" s="80" t="str">
        <f>VLOOKUP(A558,policy!B:C,2,0)</f>
        <v>040000184681</v>
      </c>
      <c r="C558" s="46">
        <v>14960</v>
      </c>
      <c r="D558" s="81">
        <f t="shared" si="33"/>
        <v>14960</v>
      </c>
      <c r="E558" s="79" t="s">
        <v>3563</v>
      </c>
      <c r="F558" s="82" t="str">
        <f t="shared" si="32"/>
        <v>insert into ins_premium_det (premium_rcv_code,assorted_code, rec_amount,premium_rcv_detail_code,remaining_amt, payrec, mode_code,coinsurance_code,class_cd,it_remarks) values</v>
      </c>
      <c r="G558" s="83" t="str">
        <f t="shared" si="34"/>
        <v>('29Oct240071','040000184681','14960',(select max(to_number(i.premium_rcv_detail_code))+1
from ins_premium_det i),'14960','14960','02', '11000003','00','Request by Mr. Omair Ali 30-Aug-2024');</v>
      </c>
      <c r="H558" s="84" t="str">
        <f t="shared" si="35"/>
        <v>insert into ins_premium_det (premium_rcv_code,assorted_code, rec_amount,premium_rcv_detail_code,remaining_amt, payrec, mode_code,coinsurance_code,class_cd,it_remarks) values('29Oct240071','040000184681','14960',(select max(to_number(i.premium_rcv_detail_code))+1
from ins_premium_det i),'14960','14960','02', '11000003','00','Request by Mr. Omair Ali 30-Aug-2024');</v>
      </c>
    </row>
    <row r="559" spans="1:8" ht="105" x14ac:dyDescent="0.25">
      <c r="A559" t="s">
        <v>697</v>
      </c>
      <c r="B559" s="80" t="str">
        <f>VLOOKUP(A559,policy!B:C,2,0)</f>
        <v>040000184686</v>
      </c>
      <c r="C559" s="46">
        <v>14960</v>
      </c>
      <c r="D559" s="81">
        <f t="shared" si="33"/>
        <v>14960</v>
      </c>
      <c r="E559" s="79" t="s">
        <v>3563</v>
      </c>
      <c r="F559" s="82" t="str">
        <f t="shared" si="32"/>
        <v>insert into ins_premium_det (premium_rcv_code,assorted_code, rec_amount,premium_rcv_detail_code,remaining_amt, payrec, mode_code,coinsurance_code,class_cd,it_remarks) values</v>
      </c>
      <c r="G559" s="83" t="str">
        <f t="shared" si="34"/>
        <v>('29Oct240071','040000184686','14960',(select max(to_number(i.premium_rcv_detail_code))+1
from ins_premium_det i),'14960','14960','02', '11000003','00','Request by Mr. Omair Ali 30-Aug-2024');</v>
      </c>
      <c r="H559" s="84" t="str">
        <f t="shared" si="35"/>
        <v>insert into ins_premium_det (premium_rcv_code,assorted_code, rec_amount,premium_rcv_detail_code,remaining_amt, payrec, mode_code,coinsurance_code,class_cd,it_remarks) values('29Oct240071','040000184686','14960',(select max(to_number(i.premium_rcv_detail_code))+1
from ins_premium_det i),'14960','14960','02', '11000003','00','Request by Mr. Omair Ali 30-Aug-2024');</v>
      </c>
    </row>
    <row r="560" spans="1:8" ht="105" x14ac:dyDescent="0.25">
      <c r="A560" t="s">
        <v>698</v>
      </c>
      <c r="B560" s="80" t="str">
        <f>VLOOKUP(A560,policy!B:C,2,0)</f>
        <v>040000184687</v>
      </c>
      <c r="C560" s="46">
        <v>14960</v>
      </c>
      <c r="D560" s="81">
        <f t="shared" si="33"/>
        <v>14960</v>
      </c>
      <c r="E560" s="79" t="s">
        <v>3563</v>
      </c>
      <c r="F560" s="82" t="str">
        <f t="shared" si="32"/>
        <v>insert into ins_premium_det (premium_rcv_code,assorted_code, rec_amount,premium_rcv_detail_code,remaining_amt, payrec, mode_code,coinsurance_code,class_cd,it_remarks) values</v>
      </c>
      <c r="G560" s="83" t="str">
        <f t="shared" si="34"/>
        <v>('29Oct240071','040000184687','14960',(select max(to_number(i.premium_rcv_detail_code))+1
from ins_premium_det i),'14960','14960','02', '11000003','00','Request by Mr. Omair Ali 30-Aug-2024');</v>
      </c>
      <c r="H560" s="84" t="str">
        <f t="shared" si="35"/>
        <v>insert into ins_premium_det (premium_rcv_code,assorted_code, rec_amount,premium_rcv_detail_code,remaining_amt, payrec, mode_code,coinsurance_code,class_cd,it_remarks) values('29Oct240071','040000184687','14960',(select max(to_number(i.premium_rcv_detail_code))+1
from ins_premium_det i),'14960','14960','02', '11000003','00','Request by Mr. Omair Ali 30-Aug-2024');</v>
      </c>
    </row>
    <row r="561" spans="1:8" ht="105" x14ac:dyDescent="0.25">
      <c r="A561" t="s">
        <v>699</v>
      </c>
      <c r="B561" s="80" t="str">
        <f>VLOOKUP(A561,policy!B:C,2,0)</f>
        <v>040000184691</v>
      </c>
      <c r="C561" s="46">
        <v>9550</v>
      </c>
      <c r="D561" s="81">
        <f t="shared" si="33"/>
        <v>9550</v>
      </c>
      <c r="E561" s="79" t="s">
        <v>3563</v>
      </c>
      <c r="F561" s="82" t="str">
        <f t="shared" si="32"/>
        <v>insert into ins_premium_det (premium_rcv_code,assorted_code, rec_amount,premium_rcv_detail_code,remaining_amt, payrec, mode_code,coinsurance_code,class_cd,it_remarks) values</v>
      </c>
      <c r="G561" s="83" t="str">
        <f t="shared" si="34"/>
        <v>('29Oct240071','040000184691','9550',(select max(to_number(i.premium_rcv_detail_code))+1
from ins_premium_det i),'9550','9550','02', '11000003','00','Request by Mr. Omair Ali 30-Aug-2024');</v>
      </c>
      <c r="H561" s="84" t="str">
        <f t="shared" si="35"/>
        <v>insert into ins_premium_det (premium_rcv_code,assorted_code, rec_amount,premium_rcv_detail_code,remaining_amt, payrec, mode_code,coinsurance_code,class_cd,it_remarks) values('29Oct240071','040000184691','9550',(select max(to_number(i.premium_rcv_detail_code))+1
from ins_premium_det i),'9550','9550','02', '11000003','00','Request by Mr. Omair Ali 30-Aug-2024');</v>
      </c>
    </row>
    <row r="562" spans="1:8" ht="105" x14ac:dyDescent="0.25">
      <c r="A562" t="s">
        <v>700</v>
      </c>
      <c r="B562" s="80" t="str">
        <f>VLOOKUP(A562,policy!B:C,2,0)</f>
        <v>040000184692</v>
      </c>
      <c r="C562" s="46">
        <v>14960</v>
      </c>
      <c r="D562" s="81">
        <f t="shared" si="33"/>
        <v>14960</v>
      </c>
      <c r="E562" s="79" t="s">
        <v>3563</v>
      </c>
      <c r="F562" s="82" t="str">
        <f t="shared" si="32"/>
        <v>insert into ins_premium_det (premium_rcv_code,assorted_code, rec_amount,premium_rcv_detail_code,remaining_amt, payrec, mode_code,coinsurance_code,class_cd,it_remarks) values</v>
      </c>
      <c r="G562" s="83" t="str">
        <f t="shared" si="34"/>
        <v>('29Oct240071','040000184692','14960',(select max(to_number(i.premium_rcv_detail_code))+1
from ins_premium_det i),'14960','14960','02', '11000003','00','Request by Mr. Omair Ali 30-Aug-2024');</v>
      </c>
      <c r="H562" s="84" t="str">
        <f t="shared" si="35"/>
        <v>insert into ins_premium_det (premium_rcv_code,assorted_code, rec_amount,premium_rcv_detail_code,remaining_amt, payrec, mode_code,coinsurance_code,class_cd,it_remarks) values('29Oct240071','040000184692','14960',(select max(to_number(i.premium_rcv_detail_code))+1
from ins_premium_det i),'14960','14960','02', '11000003','00','Request by Mr. Omair Ali 30-Aug-2024');</v>
      </c>
    </row>
    <row r="563" spans="1:8" ht="105" x14ac:dyDescent="0.25">
      <c r="A563" t="s">
        <v>701</v>
      </c>
      <c r="B563" s="80" t="str">
        <f>VLOOKUP(A563,policy!B:C,2,0)</f>
        <v>040000184693</v>
      </c>
      <c r="C563" s="46">
        <v>14960</v>
      </c>
      <c r="D563" s="81">
        <f t="shared" si="33"/>
        <v>14960</v>
      </c>
      <c r="E563" s="79" t="s">
        <v>3563</v>
      </c>
      <c r="F563" s="82" t="str">
        <f t="shared" si="32"/>
        <v>insert into ins_premium_det (premium_rcv_code,assorted_code, rec_amount,premium_rcv_detail_code,remaining_amt, payrec, mode_code,coinsurance_code,class_cd,it_remarks) values</v>
      </c>
      <c r="G563" s="83" t="str">
        <f t="shared" si="34"/>
        <v>('29Oct240071','040000184693','14960',(select max(to_number(i.premium_rcv_detail_code))+1
from ins_premium_det i),'14960','14960','02', '11000003','00','Request by Mr. Omair Ali 30-Aug-2024');</v>
      </c>
      <c r="H563" s="84" t="str">
        <f t="shared" si="35"/>
        <v>insert into ins_premium_det (premium_rcv_code,assorted_code, rec_amount,premium_rcv_detail_code,remaining_amt, payrec, mode_code,coinsurance_code,class_cd,it_remarks) values('29Oct240071','040000184693','14960',(select max(to_number(i.premium_rcv_detail_code))+1
from ins_premium_det i),'14960','14960','02', '11000003','00','Request by Mr. Omair Ali 30-Aug-2024');</v>
      </c>
    </row>
    <row r="564" spans="1:8" ht="105" x14ac:dyDescent="0.25">
      <c r="A564" t="s">
        <v>702</v>
      </c>
      <c r="B564" s="80" t="str">
        <f>VLOOKUP(A564,policy!B:C,2,0)</f>
        <v>040000184695</v>
      </c>
      <c r="C564" s="46">
        <v>14960</v>
      </c>
      <c r="D564" s="81">
        <f t="shared" si="33"/>
        <v>14960</v>
      </c>
      <c r="E564" s="79" t="s">
        <v>3563</v>
      </c>
      <c r="F564" s="82" t="str">
        <f t="shared" si="32"/>
        <v>insert into ins_premium_det (premium_rcv_code,assorted_code, rec_amount,premium_rcv_detail_code,remaining_amt, payrec, mode_code,coinsurance_code,class_cd,it_remarks) values</v>
      </c>
      <c r="G564" s="83" t="str">
        <f t="shared" si="34"/>
        <v>('29Oct240071','040000184695','14960',(select max(to_number(i.premium_rcv_detail_code))+1
from ins_premium_det i),'14960','14960','02', '11000003','00','Request by Mr. Omair Ali 30-Aug-2024');</v>
      </c>
      <c r="H564" s="84" t="str">
        <f t="shared" si="35"/>
        <v>insert into ins_premium_det (premium_rcv_code,assorted_code, rec_amount,premium_rcv_detail_code,remaining_amt, payrec, mode_code,coinsurance_code,class_cd,it_remarks) values('29Oct240071','040000184695','14960',(select max(to_number(i.premium_rcv_detail_code))+1
from ins_premium_det i),'14960','14960','02', '11000003','00','Request by Mr. Omair Ali 30-Aug-2024');</v>
      </c>
    </row>
    <row r="565" spans="1:8" ht="105" x14ac:dyDescent="0.25">
      <c r="A565" t="s">
        <v>703</v>
      </c>
      <c r="B565" s="80" t="str">
        <f>VLOOKUP(A565,policy!B:C,2,0)</f>
        <v>040000184696</v>
      </c>
      <c r="C565" s="46">
        <v>14960</v>
      </c>
      <c r="D565" s="81">
        <f t="shared" si="33"/>
        <v>14960</v>
      </c>
      <c r="E565" s="79" t="s">
        <v>3563</v>
      </c>
      <c r="F565" s="82" t="str">
        <f t="shared" si="32"/>
        <v>insert into ins_premium_det (premium_rcv_code,assorted_code, rec_amount,premium_rcv_detail_code,remaining_amt, payrec, mode_code,coinsurance_code,class_cd,it_remarks) values</v>
      </c>
      <c r="G565" s="83" t="str">
        <f t="shared" si="34"/>
        <v>('29Oct240071','040000184696','14960',(select max(to_number(i.premium_rcv_detail_code))+1
from ins_premium_det i),'14960','14960','02', '11000003','00','Request by Mr. Omair Ali 30-Aug-2024');</v>
      </c>
      <c r="H565" s="84" t="str">
        <f t="shared" si="35"/>
        <v>insert into ins_premium_det (premium_rcv_code,assorted_code, rec_amount,premium_rcv_detail_code,remaining_amt, payrec, mode_code,coinsurance_code,class_cd,it_remarks) values('29Oct240071','040000184696','14960',(select max(to_number(i.premium_rcv_detail_code))+1
from ins_premium_det i),'14960','14960','02', '11000003','00','Request by Mr. Omair Ali 30-Aug-2024');</v>
      </c>
    </row>
    <row r="566" spans="1:8" ht="105" x14ac:dyDescent="0.25">
      <c r="A566" t="s">
        <v>704</v>
      </c>
      <c r="B566" s="80" t="str">
        <f>VLOOKUP(A566,policy!B:C,2,0)</f>
        <v>040000184697</v>
      </c>
      <c r="C566" s="46">
        <v>16235</v>
      </c>
      <c r="D566" s="81">
        <f t="shared" si="33"/>
        <v>16235</v>
      </c>
      <c r="E566" s="79" t="s">
        <v>3563</v>
      </c>
      <c r="F566" s="82" t="str">
        <f t="shared" si="32"/>
        <v>insert into ins_premium_det (premium_rcv_code,assorted_code, rec_amount,premium_rcv_detail_code,remaining_amt, payrec, mode_code,coinsurance_code,class_cd,it_remarks) values</v>
      </c>
      <c r="G566" s="83" t="str">
        <f t="shared" si="34"/>
        <v>('29Oct240071','040000184697','16235',(select max(to_number(i.premium_rcv_detail_code))+1
from ins_premium_det i),'16235','16235','02', '11000003','00','Request by Mr. Omair Ali 30-Aug-2024');</v>
      </c>
      <c r="H566" s="84" t="str">
        <f t="shared" si="35"/>
        <v>insert into ins_premium_det (premium_rcv_code,assorted_code, rec_amount,premium_rcv_detail_code,remaining_amt, payrec, mode_code,coinsurance_code,class_cd,it_remarks) values('29Oct240071','040000184697','16235',(select max(to_number(i.premium_rcv_detail_code))+1
from ins_premium_det i),'16235','16235','02', '11000003','00','Request by Mr. Omair Ali 30-Aug-2024');</v>
      </c>
    </row>
    <row r="567" spans="1:8" ht="105" x14ac:dyDescent="0.25">
      <c r="A567" t="s">
        <v>705</v>
      </c>
      <c r="B567" s="80" t="str">
        <f>VLOOKUP(A567,policy!B:C,2,0)</f>
        <v>040000184698</v>
      </c>
      <c r="C567" s="46">
        <v>16235</v>
      </c>
      <c r="D567" s="81">
        <f t="shared" si="33"/>
        <v>16235</v>
      </c>
      <c r="E567" s="79" t="s">
        <v>3563</v>
      </c>
      <c r="F567" s="82" t="str">
        <f t="shared" si="32"/>
        <v>insert into ins_premium_det (premium_rcv_code,assorted_code, rec_amount,premium_rcv_detail_code,remaining_amt, payrec, mode_code,coinsurance_code,class_cd,it_remarks) values</v>
      </c>
      <c r="G567" s="83" t="str">
        <f t="shared" si="34"/>
        <v>('29Oct240071','040000184698','16235',(select max(to_number(i.premium_rcv_detail_code))+1
from ins_premium_det i),'16235','16235','02', '11000003','00','Request by Mr. Omair Ali 30-Aug-2024');</v>
      </c>
      <c r="H567" s="84" t="str">
        <f t="shared" si="35"/>
        <v>insert into ins_premium_det (premium_rcv_code,assorted_code, rec_amount,premium_rcv_detail_code,remaining_amt, payrec, mode_code,coinsurance_code,class_cd,it_remarks) values('29Oct240071','040000184698','16235',(select max(to_number(i.premium_rcv_detail_code))+1
from ins_premium_det i),'16235','16235','02', '11000003','00','Request by Mr. Omair Ali 30-Aug-2024');</v>
      </c>
    </row>
    <row r="568" spans="1:8" ht="105" x14ac:dyDescent="0.25">
      <c r="A568" t="s">
        <v>706</v>
      </c>
      <c r="B568" s="80" t="str">
        <f>VLOOKUP(A568,policy!B:C,2,0)</f>
        <v>040000184699</v>
      </c>
      <c r="C568" s="46">
        <v>9550</v>
      </c>
      <c r="D568" s="81">
        <f t="shared" si="33"/>
        <v>9550</v>
      </c>
      <c r="E568" s="79" t="s">
        <v>3563</v>
      </c>
      <c r="F568" s="82" t="str">
        <f t="shared" si="32"/>
        <v>insert into ins_premium_det (premium_rcv_code,assorted_code, rec_amount,premium_rcv_detail_code,remaining_amt, payrec, mode_code,coinsurance_code,class_cd,it_remarks) values</v>
      </c>
      <c r="G568" s="83" t="str">
        <f t="shared" si="34"/>
        <v>('29Oct240071','040000184699','9550',(select max(to_number(i.premium_rcv_detail_code))+1
from ins_premium_det i),'9550','9550','02', '11000003','00','Request by Mr. Omair Ali 30-Aug-2024');</v>
      </c>
      <c r="H568" s="84" t="str">
        <f t="shared" si="35"/>
        <v>insert into ins_premium_det (premium_rcv_code,assorted_code, rec_amount,premium_rcv_detail_code,remaining_amt, payrec, mode_code,coinsurance_code,class_cd,it_remarks) values('29Oct240071','040000184699','9550',(select max(to_number(i.premium_rcv_detail_code))+1
from ins_premium_det i),'9550','9550','02', '11000003','00','Request by Mr. Omair Ali 30-Aug-2024');</v>
      </c>
    </row>
    <row r="569" spans="1:8" ht="105" x14ac:dyDescent="0.25">
      <c r="A569" t="s">
        <v>707</v>
      </c>
      <c r="B569" s="80" t="str">
        <f>VLOOKUP(A569,policy!B:C,2,0)</f>
        <v>040000184700</v>
      </c>
      <c r="C569" s="46">
        <v>8800</v>
      </c>
      <c r="D569" s="81">
        <f t="shared" si="33"/>
        <v>8800</v>
      </c>
      <c r="E569" s="79" t="s">
        <v>3563</v>
      </c>
      <c r="F569" s="82" t="str">
        <f t="shared" si="32"/>
        <v>insert into ins_premium_det (premium_rcv_code,assorted_code, rec_amount,premium_rcv_detail_code,remaining_amt, payrec, mode_code,coinsurance_code,class_cd,it_remarks) values</v>
      </c>
      <c r="G569" s="83" t="str">
        <f t="shared" si="34"/>
        <v>('29Oct240071','040000184700','8800',(select max(to_number(i.premium_rcv_detail_code))+1
from ins_premium_det i),'8800','8800','02', '11000003','00','Request by Mr. Omair Ali 30-Aug-2024');</v>
      </c>
      <c r="H569" s="84" t="str">
        <f t="shared" si="35"/>
        <v>insert into ins_premium_det (premium_rcv_code,assorted_code, rec_amount,premium_rcv_detail_code,remaining_amt, payrec, mode_code,coinsurance_code,class_cd,it_remarks) values('29Oct240071','040000184700','8800',(select max(to_number(i.premium_rcv_detail_code))+1
from ins_premium_det i),'8800','8800','02', '11000003','00','Request by Mr. Omair Ali 30-Aug-2024');</v>
      </c>
    </row>
    <row r="570" spans="1:8" ht="105" x14ac:dyDescent="0.25">
      <c r="A570" t="s">
        <v>708</v>
      </c>
      <c r="B570" s="80" t="str">
        <f>VLOOKUP(A570,policy!B:C,2,0)</f>
        <v>040000184701</v>
      </c>
      <c r="C570" s="46">
        <v>9550</v>
      </c>
      <c r="D570" s="81">
        <f t="shared" si="33"/>
        <v>9550</v>
      </c>
      <c r="E570" s="79" t="s">
        <v>3563</v>
      </c>
      <c r="F570" s="82" t="str">
        <f t="shared" si="32"/>
        <v>insert into ins_premium_det (premium_rcv_code,assorted_code, rec_amount,premium_rcv_detail_code,remaining_amt, payrec, mode_code,coinsurance_code,class_cd,it_remarks) values</v>
      </c>
      <c r="G570" s="83" t="str">
        <f t="shared" si="34"/>
        <v>('29Oct240071','040000184701','9550',(select max(to_number(i.premium_rcv_detail_code))+1
from ins_premium_det i),'9550','9550','02', '11000003','00','Request by Mr. Omair Ali 30-Aug-2024');</v>
      </c>
      <c r="H570" s="84" t="str">
        <f t="shared" si="35"/>
        <v>insert into ins_premium_det (premium_rcv_code,assorted_code, rec_amount,premium_rcv_detail_code,remaining_amt, payrec, mode_code,coinsurance_code,class_cd,it_remarks) values('29Oct240071','040000184701','9550',(select max(to_number(i.premium_rcv_detail_code))+1
from ins_premium_det i),'9550','9550','02', '11000003','00','Request by Mr. Omair Ali 30-Aug-2024');</v>
      </c>
    </row>
    <row r="571" spans="1:8" ht="105" x14ac:dyDescent="0.25">
      <c r="A571" t="s">
        <v>709</v>
      </c>
      <c r="B571" s="80" t="str">
        <f>VLOOKUP(A571,policy!B:C,2,0)</f>
        <v>040000184702</v>
      </c>
      <c r="C571" s="46">
        <v>12475</v>
      </c>
      <c r="D571" s="81">
        <f t="shared" si="33"/>
        <v>12475</v>
      </c>
      <c r="E571" s="79" t="s">
        <v>3563</v>
      </c>
      <c r="F571" s="82" t="str">
        <f t="shared" si="32"/>
        <v>insert into ins_premium_det (premium_rcv_code,assorted_code, rec_amount,premium_rcv_detail_code,remaining_amt, payrec, mode_code,coinsurance_code,class_cd,it_remarks) values</v>
      </c>
      <c r="G571" s="83" t="str">
        <f t="shared" si="34"/>
        <v>('29Oct240071','040000184702','12475',(select max(to_number(i.premium_rcv_detail_code))+1
from ins_premium_det i),'12475','12475','02', '11000003','00','Request by Mr. Omair Ali 30-Aug-2024');</v>
      </c>
      <c r="H571" s="84" t="str">
        <f t="shared" si="35"/>
        <v>insert into ins_premium_det (premium_rcv_code,assorted_code, rec_amount,premium_rcv_detail_code,remaining_amt, payrec, mode_code,coinsurance_code,class_cd,it_remarks) values('29Oct240071','040000184702','12475',(select max(to_number(i.premium_rcv_detail_code))+1
from ins_premium_det i),'12475','12475','02', '11000003','00','Request by Mr. Omair Ali 30-Aug-2024');</v>
      </c>
    </row>
    <row r="572" spans="1:8" ht="105" x14ac:dyDescent="0.25">
      <c r="A572" t="s">
        <v>710</v>
      </c>
      <c r="B572" s="80" t="str">
        <f>VLOOKUP(A572,policy!B:C,2,0)</f>
        <v>040000184703</v>
      </c>
      <c r="C572" s="46">
        <v>14960</v>
      </c>
      <c r="D572" s="81">
        <f t="shared" si="33"/>
        <v>14960</v>
      </c>
      <c r="E572" s="79" t="s">
        <v>3563</v>
      </c>
      <c r="F572" s="82" t="str">
        <f t="shared" si="32"/>
        <v>insert into ins_premium_det (premium_rcv_code,assorted_code, rec_amount,premium_rcv_detail_code,remaining_amt, payrec, mode_code,coinsurance_code,class_cd,it_remarks) values</v>
      </c>
      <c r="G572" s="83" t="str">
        <f t="shared" si="34"/>
        <v>('29Oct240071','040000184703','14960',(select max(to_number(i.premium_rcv_detail_code))+1
from ins_premium_det i),'14960','14960','02', '11000003','00','Request by Mr. Omair Ali 30-Aug-2024');</v>
      </c>
      <c r="H572" s="84" t="str">
        <f t="shared" si="35"/>
        <v>insert into ins_premium_det (premium_rcv_code,assorted_code, rec_amount,premium_rcv_detail_code,remaining_amt, payrec, mode_code,coinsurance_code,class_cd,it_remarks) values('29Oct240071','040000184703','14960',(select max(to_number(i.premium_rcv_detail_code))+1
from ins_premium_det i),'14960','14960','02', '11000003','00','Request by Mr. Omair Ali 30-Aug-2024');</v>
      </c>
    </row>
    <row r="573" spans="1:8" ht="105" x14ac:dyDescent="0.25">
      <c r="A573" t="s">
        <v>711</v>
      </c>
      <c r="B573" s="80" t="str">
        <f>VLOOKUP(A573,policy!B:C,2,0)</f>
        <v>040000184704</v>
      </c>
      <c r="C573" s="46">
        <v>14960</v>
      </c>
      <c r="D573" s="81">
        <f t="shared" si="33"/>
        <v>14960</v>
      </c>
      <c r="E573" s="79" t="s">
        <v>3563</v>
      </c>
      <c r="F573" s="82" t="str">
        <f t="shared" si="32"/>
        <v>insert into ins_premium_det (premium_rcv_code,assorted_code, rec_amount,premium_rcv_detail_code,remaining_amt, payrec, mode_code,coinsurance_code,class_cd,it_remarks) values</v>
      </c>
      <c r="G573" s="83" t="str">
        <f t="shared" si="34"/>
        <v>('29Oct240071','040000184704','14960',(select max(to_number(i.premium_rcv_detail_code))+1
from ins_premium_det i),'14960','14960','02', '11000003','00','Request by Mr. Omair Ali 30-Aug-2024');</v>
      </c>
      <c r="H573" s="84" t="str">
        <f t="shared" si="35"/>
        <v>insert into ins_premium_det (premium_rcv_code,assorted_code, rec_amount,premium_rcv_detail_code,remaining_amt, payrec, mode_code,coinsurance_code,class_cd,it_remarks) values('29Oct240071','040000184704','14960',(select max(to_number(i.premium_rcv_detail_code))+1
from ins_premium_det i),'14960','14960','02', '11000003','00','Request by Mr. Omair Ali 30-Aug-2024');</v>
      </c>
    </row>
    <row r="574" spans="1:8" ht="105" x14ac:dyDescent="0.25">
      <c r="A574" t="s">
        <v>712</v>
      </c>
      <c r="B574" s="80" t="str">
        <f>VLOOKUP(A574,policy!B:C,2,0)</f>
        <v>040000184705</v>
      </c>
      <c r="C574" s="46">
        <v>8800</v>
      </c>
      <c r="D574" s="81">
        <f t="shared" si="33"/>
        <v>8800</v>
      </c>
      <c r="E574" s="79" t="s">
        <v>3563</v>
      </c>
      <c r="F574" s="82" t="str">
        <f t="shared" si="32"/>
        <v>insert into ins_premium_det (premium_rcv_code,assorted_code, rec_amount,premium_rcv_detail_code,remaining_amt, payrec, mode_code,coinsurance_code,class_cd,it_remarks) values</v>
      </c>
      <c r="G574" s="83" t="str">
        <f t="shared" si="34"/>
        <v>('29Oct240071','040000184705','8800',(select max(to_number(i.premium_rcv_detail_code))+1
from ins_premium_det i),'8800','8800','02', '11000003','00','Request by Mr. Omair Ali 30-Aug-2024');</v>
      </c>
      <c r="H574" s="84" t="str">
        <f t="shared" si="35"/>
        <v>insert into ins_premium_det (premium_rcv_code,assorted_code, rec_amount,premium_rcv_detail_code,remaining_amt, payrec, mode_code,coinsurance_code,class_cd,it_remarks) values('29Oct240071','040000184705','8800',(select max(to_number(i.premium_rcv_detail_code))+1
from ins_premium_det i),'8800','8800','02', '11000003','00','Request by Mr. Omair Ali 30-Aug-2024');</v>
      </c>
    </row>
    <row r="575" spans="1:8" ht="105" x14ac:dyDescent="0.25">
      <c r="A575" t="s">
        <v>713</v>
      </c>
      <c r="B575" s="80" t="str">
        <f>VLOOKUP(A575,policy!B:C,2,0)</f>
        <v>040000184707</v>
      </c>
      <c r="C575" s="46">
        <v>14960</v>
      </c>
      <c r="D575" s="81">
        <f t="shared" si="33"/>
        <v>14960</v>
      </c>
      <c r="E575" s="79" t="s">
        <v>3563</v>
      </c>
      <c r="F575" s="82" t="str">
        <f t="shared" si="32"/>
        <v>insert into ins_premium_det (premium_rcv_code,assorted_code, rec_amount,premium_rcv_detail_code,remaining_amt, payrec, mode_code,coinsurance_code,class_cd,it_remarks) values</v>
      </c>
      <c r="G575" s="83" t="str">
        <f t="shared" si="34"/>
        <v>('29Oct240071','040000184707','14960',(select max(to_number(i.premium_rcv_detail_code))+1
from ins_premium_det i),'14960','14960','02', '11000003','00','Request by Mr. Omair Ali 30-Aug-2024');</v>
      </c>
      <c r="H575" s="84" t="str">
        <f t="shared" si="35"/>
        <v>insert into ins_premium_det (premium_rcv_code,assorted_code, rec_amount,premium_rcv_detail_code,remaining_amt, payrec, mode_code,coinsurance_code,class_cd,it_remarks) values('29Oct240071','040000184707','14960',(select max(to_number(i.premium_rcv_detail_code))+1
from ins_premium_det i),'14960','14960','02', '11000003','00','Request by Mr. Omair Ali 30-Aug-2024');</v>
      </c>
    </row>
    <row r="576" spans="1:8" ht="105" x14ac:dyDescent="0.25">
      <c r="A576" t="s">
        <v>714</v>
      </c>
      <c r="B576" s="80" t="str">
        <f>VLOOKUP(A576,policy!B:C,2,0)</f>
        <v>040000184708</v>
      </c>
      <c r="C576" s="46">
        <v>8800</v>
      </c>
      <c r="D576" s="81">
        <f t="shared" si="33"/>
        <v>8800</v>
      </c>
      <c r="E576" s="79" t="s">
        <v>3563</v>
      </c>
      <c r="F576" s="82" t="str">
        <f t="shared" si="32"/>
        <v>insert into ins_premium_det (premium_rcv_code,assorted_code, rec_amount,premium_rcv_detail_code,remaining_amt, payrec, mode_code,coinsurance_code,class_cd,it_remarks) values</v>
      </c>
      <c r="G576" s="83" t="str">
        <f t="shared" si="34"/>
        <v>('29Oct240071','040000184708','8800',(select max(to_number(i.premium_rcv_detail_code))+1
from ins_premium_det i),'8800','8800','02', '11000003','00','Request by Mr. Omair Ali 30-Aug-2024');</v>
      </c>
      <c r="H576" s="84" t="str">
        <f t="shared" si="35"/>
        <v>insert into ins_premium_det (premium_rcv_code,assorted_code, rec_amount,premium_rcv_detail_code,remaining_amt, payrec, mode_code,coinsurance_code,class_cd,it_remarks) values('29Oct240071','040000184708','8800',(select max(to_number(i.premium_rcv_detail_code))+1
from ins_premium_det i),'8800','8800','02', '11000003','00','Request by Mr. Omair Ali 30-Aug-2024');</v>
      </c>
    </row>
    <row r="577" spans="1:8" ht="105" x14ac:dyDescent="0.25">
      <c r="A577" t="s">
        <v>715</v>
      </c>
      <c r="B577" s="80" t="str">
        <f>VLOOKUP(A577,policy!B:C,2,0)</f>
        <v>040000184709</v>
      </c>
      <c r="C577" s="46">
        <v>8800</v>
      </c>
      <c r="D577" s="81">
        <f t="shared" si="33"/>
        <v>8800</v>
      </c>
      <c r="E577" s="79" t="s">
        <v>3563</v>
      </c>
      <c r="F577" s="82" t="str">
        <f t="shared" si="32"/>
        <v>insert into ins_premium_det (premium_rcv_code,assorted_code, rec_amount,premium_rcv_detail_code,remaining_amt, payrec, mode_code,coinsurance_code,class_cd,it_remarks) values</v>
      </c>
      <c r="G577" s="83" t="str">
        <f t="shared" si="34"/>
        <v>('29Oct240071','040000184709','8800',(select max(to_number(i.premium_rcv_detail_code))+1
from ins_premium_det i),'8800','8800','02', '11000003','00','Request by Mr. Omair Ali 30-Aug-2024');</v>
      </c>
      <c r="H577" s="84" t="str">
        <f t="shared" si="35"/>
        <v>insert into ins_premium_det (premium_rcv_code,assorted_code, rec_amount,premium_rcv_detail_code,remaining_amt, payrec, mode_code,coinsurance_code,class_cd,it_remarks) values('29Oct240071','040000184709','8800',(select max(to_number(i.premium_rcv_detail_code))+1
from ins_premium_det i),'8800','8800','02', '11000003','00','Request by Mr. Omair Ali 30-Aug-2024');</v>
      </c>
    </row>
    <row r="578" spans="1:8" ht="105" x14ac:dyDescent="0.25">
      <c r="A578" t="s">
        <v>716</v>
      </c>
      <c r="B578" s="80" t="str">
        <f>VLOOKUP(A578,policy!B:C,2,0)</f>
        <v>040000184710</v>
      </c>
      <c r="C578" s="46">
        <v>9550</v>
      </c>
      <c r="D578" s="81">
        <f t="shared" si="33"/>
        <v>9550</v>
      </c>
      <c r="E578" s="79" t="s">
        <v>3563</v>
      </c>
      <c r="F578" s="82" t="str">
        <f t="shared" ref="F578:F641" si="3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78" s="83" t="str">
        <f t="shared" si="34"/>
        <v>('29Oct240071','040000184710','9550',(select max(to_number(i.premium_rcv_detail_code))+1
from ins_premium_det i),'9550','9550','02', '11000003','00','Request by Mr. Omair Ali 30-Aug-2024');</v>
      </c>
      <c r="H578" s="84" t="str">
        <f t="shared" si="35"/>
        <v>insert into ins_premium_det (premium_rcv_code,assorted_code, rec_amount,premium_rcv_detail_code,remaining_amt, payrec, mode_code,coinsurance_code,class_cd,it_remarks) values('29Oct240071','040000184710','9550',(select max(to_number(i.premium_rcv_detail_code))+1
from ins_premium_det i),'9550','9550','02', '11000003','00','Request by Mr. Omair Ali 30-Aug-2024');</v>
      </c>
    </row>
    <row r="579" spans="1:8" ht="105" x14ac:dyDescent="0.25">
      <c r="A579" t="s">
        <v>717</v>
      </c>
      <c r="B579" s="80" t="str">
        <f>VLOOKUP(A579,policy!B:C,2,0)</f>
        <v>040000184711</v>
      </c>
      <c r="C579" s="46">
        <v>14960</v>
      </c>
      <c r="D579" s="81">
        <f t="shared" ref="D579:D642" si="37">ROUND(C579,0)</f>
        <v>14960</v>
      </c>
      <c r="E579" s="79" t="s">
        <v>3563</v>
      </c>
      <c r="F579" s="82" t="str">
        <f t="shared" si="36"/>
        <v>insert into ins_premium_det (premium_rcv_code,assorted_code, rec_amount,premium_rcv_detail_code,remaining_amt, payrec, mode_code,coinsurance_code,class_cd,it_remarks) values</v>
      </c>
      <c r="G579" s="83" t="str">
        <f t="shared" ref="G579:G642" si="38">"('"&amp;E579&amp;"','"&amp;B579&amp;"','"&amp;D579&amp;"',(select max(to_number(i.premium_rcv_detail_code))+1
from ins_premium_det i),'"&amp;D579&amp;"','"&amp;D579&amp;"','02', '11000003','00','Request by Mr. Omair Ali 30-Aug-2024');"</f>
        <v>('29Oct240071','040000184711','14960',(select max(to_number(i.premium_rcv_detail_code))+1
from ins_premium_det i),'14960','14960','02', '11000003','00','Request by Mr. Omair Ali 30-Aug-2024');</v>
      </c>
      <c r="H579" s="84" t="str">
        <f t="shared" ref="H579:H642" si="39">F579&amp;G579</f>
        <v>insert into ins_premium_det (premium_rcv_code,assorted_code, rec_amount,premium_rcv_detail_code,remaining_amt, payrec, mode_code,coinsurance_code,class_cd,it_remarks) values('29Oct240071','040000184711','14960',(select max(to_number(i.premium_rcv_detail_code))+1
from ins_premium_det i),'14960','14960','02', '11000003','00','Request by Mr. Omair Ali 30-Aug-2024');</v>
      </c>
    </row>
    <row r="580" spans="1:8" ht="105" x14ac:dyDescent="0.25">
      <c r="A580" t="s">
        <v>718</v>
      </c>
      <c r="B580" s="80" t="str">
        <f>VLOOKUP(A580,policy!B:C,2,0)</f>
        <v>040000184712</v>
      </c>
      <c r="C580" s="46">
        <v>13675</v>
      </c>
      <c r="D580" s="81">
        <f t="shared" si="37"/>
        <v>13675</v>
      </c>
      <c r="E580" s="79" t="s">
        <v>3563</v>
      </c>
      <c r="F580" s="82" t="str">
        <f t="shared" si="36"/>
        <v>insert into ins_premium_det (premium_rcv_code,assorted_code, rec_amount,premium_rcv_detail_code,remaining_amt, payrec, mode_code,coinsurance_code,class_cd,it_remarks) values</v>
      </c>
      <c r="G580" s="83" t="str">
        <f t="shared" si="38"/>
        <v>('29Oct240071','040000184712','13675',(select max(to_number(i.premium_rcv_detail_code))+1
from ins_premium_det i),'13675','13675','02', '11000003','00','Request by Mr. Omair Ali 30-Aug-2024');</v>
      </c>
      <c r="H580" s="84" t="str">
        <f t="shared" si="39"/>
        <v>insert into ins_premium_det (premium_rcv_code,assorted_code, rec_amount,premium_rcv_detail_code,remaining_amt, payrec, mode_code,coinsurance_code,class_cd,it_remarks) values('29Oct240071','040000184712','13675',(select max(to_number(i.premium_rcv_detail_code))+1
from ins_premium_det i),'13675','13675','02', '11000003','00','Request by Mr. Omair Ali 30-Aug-2024');</v>
      </c>
    </row>
    <row r="581" spans="1:8" ht="105" x14ac:dyDescent="0.25">
      <c r="A581" t="s">
        <v>719</v>
      </c>
      <c r="B581" s="80" t="str">
        <f>VLOOKUP(A581,policy!B:C,2,0)</f>
        <v>040000184713</v>
      </c>
      <c r="C581" s="46">
        <v>8800</v>
      </c>
      <c r="D581" s="81">
        <f t="shared" si="37"/>
        <v>8800</v>
      </c>
      <c r="E581" s="79" t="s">
        <v>3563</v>
      </c>
      <c r="F581" s="82" t="str">
        <f t="shared" si="36"/>
        <v>insert into ins_premium_det (premium_rcv_code,assorted_code, rec_amount,premium_rcv_detail_code,remaining_amt, payrec, mode_code,coinsurance_code,class_cd,it_remarks) values</v>
      </c>
      <c r="G581" s="83" t="str">
        <f t="shared" si="38"/>
        <v>('29Oct240071','040000184713','8800',(select max(to_number(i.premium_rcv_detail_code))+1
from ins_premium_det i),'8800','8800','02', '11000003','00','Request by Mr. Omair Ali 30-Aug-2024');</v>
      </c>
      <c r="H581" s="84" t="str">
        <f t="shared" si="39"/>
        <v>insert into ins_premium_det (premium_rcv_code,assorted_code, rec_amount,premium_rcv_detail_code,remaining_amt, payrec, mode_code,coinsurance_code,class_cd,it_remarks) values('29Oct240071','040000184713','8800',(select max(to_number(i.premium_rcv_detail_code))+1
from ins_premium_det i),'8800','8800','02', '11000003','00','Request by Mr. Omair Ali 30-Aug-2024');</v>
      </c>
    </row>
    <row r="582" spans="1:8" ht="105" x14ac:dyDescent="0.25">
      <c r="A582" t="s">
        <v>720</v>
      </c>
      <c r="B582" s="80" t="str">
        <f>VLOOKUP(A582,policy!B:C,2,0)</f>
        <v>040000184714</v>
      </c>
      <c r="C582" s="46">
        <v>8800</v>
      </c>
      <c r="D582" s="81">
        <f t="shared" si="37"/>
        <v>8800</v>
      </c>
      <c r="E582" s="79" t="s">
        <v>3563</v>
      </c>
      <c r="F582" s="82" t="str">
        <f t="shared" si="36"/>
        <v>insert into ins_premium_det (premium_rcv_code,assorted_code, rec_amount,premium_rcv_detail_code,remaining_amt, payrec, mode_code,coinsurance_code,class_cd,it_remarks) values</v>
      </c>
      <c r="G582" s="83" t="str">
        <f t="shared" si="38"/>
        <v>('29Oct240071','040000184714','8800',(select max(to_number(i.premium_rcv_detail_code))+1
from ins_premium_det i),'8800','8800','02', '11000003','00','Request by Mr. Omair Ali 30-Aug-2024');</v>
      </c>
      <c r="H582" s="84" t="str">
        <f t="shared" si="39"/>
        <v>insert into ins_premium_det (premium_rcv_code,assorted_code, rec_amount,premium_rcv_detail_code,remaining_amt, payrec, mode_code,coinsurance_code,class_cd,it_remarks) values('29Oct240071','040000184714','8800',(select max(to_number(i.premium_rcv_detail_code))+1
from ins_premium_det i),'8800','8800','02', '11000003','00','Request by Mr. Omair Ali 30-Aug-2024');</v>
      </c>
    </row>
    <row r="583" spans="1:8" ht="105" x14ac:dyDescent="0.25">
      <c r="A583" t="s">
        <v>721</v>
      </c>
      <c r="B583" s="80" t="str">
        <f>VLOOKUP(A583,policy!B:C,2,0)</f>
        <v>040000184715</v>
      </c>
      <c r="C583" s="46">
        <v>8800</v>
      </c>
      <c r="D583" s="81">
        <f t="shared" si="37"/>
        <v>8800</v>
      </c>
      <c r="E583" s="79" t="s">
        <v>3563</v>
      </c>
      <c r="F583" s="82" t="str">
        <f t="shared" si="36"/>
        <v>insert into ins_premium_det (premium_rcv_code,assorted_code, rec_amount,premium_rcv_detail_code,remaining_amt, payrec, mode_code,coinsurance_code,class_cd,it_remarks) values</v>
      </c>
      <c r="G583" s="83" t="str">
        <f t="shared" si="38"/>
        <v>('29Oct240071','040000184715','8800',(select max(to_number(i.premium_rcv_detail_code))+1
from ins_premium_det i),'8800','8800','02', '11000003','00','Request by Mr. Omair Ali 30-Aug-2024');</v>
      </c>
      <c r="H583" s="84" t="str">
        <f t="shared" si="39"/>
        <v>insert into ins_premium_det (premium_rcv_code,assorted_code, rec_amount,premium_rcv_detail_code,remaining_amt, payrec, mode_code,coinsurance_code,class_cd,it_remarks) values('29Oct240071','040000184715','8800',(select max(to_number(i.premium_rcv_detail_code))+1
from ins_premium_det i),'8800','8800','02', '11000003','00','Request by Mr. Omair Ali 30-Aug-2024');</v>
      </c>
    </row>
    <row r="584" spans="1:8" ht="105" x14ac:dyDescent="0.25">
      <c r="A584" t="s">
        <v>722</v>
      </c>
      <c r="B584" s="80" t="str">
        <f>VLOOKUP(A584,policy!B:C,2,0)</f>
        <v>040000184716</v>
      </c>
      <c r="C584" s="46">
        <v>14960</v>
      </c>
      <c r="D584" s="81">
        <f t="shared" si="37"/>
        <v>14960</v>
      </c>
      <c r="E584" s="79" t="s">
        <v>3563</v>
      </c>
      <c r="F584" s="82" t="str">
        <f t="shared" si="36"/>
        <v>insert into ins_premium_det (premium_rcv_code,assorted_code, rec_amount,premium_rcv_detail_code,remaining_amt, payrec, mode_code,coinsurance_code,class_cd,it_remarks) values</v>
      </c>
      <c r="G584" s="83" t="str">
        <f t="shared" si="38"/>
        <v>('29Oct240071','040000184716','14960',(select max(to_number(i.premium_rcv_detail_code))+1
from ins_premium_det i),'14960','14960','02', '11000003','00','Request by Mr. Omair Ali 30-Aug-2024');</v>
      </c>
      <c r="H584" s="84" t="str">
        <f t="shared" si="39"/>
        <v>insert into ins_premium_det (premium_rcv_code,assorted_code, rec_amount,premium_rcv_detail_code,remaining_amt, payrec, mode_code,coinsurance_code,class_cd,it_remarks) values('29Oct240071','040000184716','14960',(select max(to_number(i.premium_rcv_detail_code))+1
from ins_premium_det i),'14960','14960','02', '11000003','00','Request by Mr. Omair Ali 30-Aug-2024');</v>
      </c>
    </row>
    <row r="585" spans="1:8" ht="105" x14ac:dyDescent="0.25">
      <c r="A585" t="s">
        <v>723</v>
      </c>
      <c r="B585" s="80" t="str">
        <f>VLOOKUP(A585,policy!B:C,2,0)</f>
        <v>040000184717</v>
      </c>
      <c r="C585" s="46">
        <v>14960</v>
      </c>
      <c r="D585" s="81">
        <f t="shared" si="37"/>
        <v>14960</v>
      </c>
      <c r="E585" s="79" t="s">
        <v>3563</v>
      </c>
      <c r="F585" s="82" t="str">
        <f t="shared" si="36"/>
        <v>insert into ins_premium_det (premium_rcv_code,assorted_code, rec_amount,premium_rcv_detail_code,remaining_amt, payrec, mode_code,coinsurance_code,class_cd,it_remarks) values</v>
      </c>
      <c r="G585" s="83" t="str">
        <f t="shared" si="38"/>
        <v>('29Oct240071','040000184717','14960',(select max(to_number(i.premium_rcv_detail_code))+1
from ins_premium_det i),'14960','14960','02', '11000003','00','Request by Mr. Omair Ali 30-Aug-2024');</v>
      </c>
      <c r="H585" s="84" t="str">
        <f t="shared" si="39"/>
        <v>insert into ins_premium_det (premium_rcv_code,assorted_code, rec_amount,premium_rcv_detail_code,remaining_amt, payrec, mode_code,coinsurance_code,class_cd,it_remarks) values('29Oct240071','040000184717','14960',(select max(to_number(i.premium_rcv_detail_code))+1
from ins_premium_det i),'14960','14960','02', '11000003','00','Request by Mr. Omair Ali 30-Aug-2024');</v>
      </c>
    </row>
    <row r="586" spans="1:8" ht="105" x14ac:dyDescent="0.25">
      <c r="A586" t="s">
        <v>724</v>
      </c>
      <c r="B586" s="80" t="str">
        <f>VLOOKUP(A586,policy!B:C,2,0)</f>
        <v>040000184718</v>
      </c>
      <c r="C586" s="46">
        <v>16235</v>
      </c>
      <c r="D586" s="81">
        <f t="shared" si="37"/>
        <v>16235</v>
      </c>
      <c r="E586" s="79" t="s">
        <v>3563</v>
      </c>
      <c r="F586" s="82" t="str">
        <f t="shared" si="36"/>
        <v>insert into ins_premium_det (premium_rcv_code,assorted_code, rec_amount,premium_rcv_detail_code,remaining_amt, payrec, mode_code,coinsurance_code,class_cd,it_remarks) values</v>
      </c>
      <c r="G586" s="83" t="str">
        <f t="shared" si="38"/>
        <v>('29Oct240071','040000184718','16235',(select max(to_number(i.premium_rcv_detail_code))+1
from ins_premium_det i),'16235','16235','02', '11000003','00','Request by Mr. Omair Ali 30-Aug-2024');</v>
      </c>
      <c r="H586" s="84" t="str">
        <f t="shared" si="39"/>
        <v>insert into ins_premium_det (premium_rcv_code,assorted_code, rec_amount,premium_rcv_detail_code,remaining_amt, payrec, mode_code,coinsurance_code,class_cd,it_remarks) values('29Oct240071','040000184718','16235',(select max(to_number(i.premium_rcv_detail_code))+1
from ins_premium_det i),'16235','16235','02', '11000003','00','Request by Mr. Omair Ali 30-Aug-2024');</v>
      </c>
    </row>
    <row r="587" spans="1:8" ht="105" x14ac:dyDescent="0.25">
      <c r="A587" t="s">
        <v>725</v>
      </c>
      <c r="B587" s="80" t="str">
        <f>VLOOKUP(A587,policy!B:C,2,0)</f>
        <v>040000184719</v>
      </c>
      <c r="C587" s="46">
        <v>16235</v>
      </c>
      <c r="D587" s="81">
        <f t="shared" si="37"/>
        <v>16235</v>
      </c>
      <c r="E587" s="79" t="s">
        <v>3563</v>
      </c>
      <c r="F587" s="82" t="str">
        <f t="shared" si="36"/>
        <v>insert into ins_premium_det (premium_rcv_code,assorted_code, rec_amount,premium_rcv_detail_code,remaining_amt, payrec, mode_code,coinsurance_code,class_cd,it_remarks) values</v>
      </c>
      <c r="G587" s="83" t="str">
        <f t="shared" si="38"/>
        <v>('29Oct240071','040000184719','16235',(select max(to_number(i.premium_rcv_detail_code))+1
from ins_premium_det i),'16235','16235','02', '11000003','00','Request by Mr. Omair Ali 30-Aug-2024');</v>
      </c>
      <c r="H587" s="84" t="str">
        <f t="shared" si="39"/>
        <v>insert into ins_premium_det (premium_rcv_code,assorted_code, rec_amount,premium_rcv_detail_code,remaining_amt, payrec, mode_code,coinsurance_code,class_cd,it_remarks) values('29Oct240071','040000184719','16235',(select max(to_number(i.premium_rcv_detail_code))+1
from ins_premium_det i),'16235','16235','02', '11000003','00','Request by Mr. Omair Ali 30-Aug-2024');</v>
      </c>
    </row>
    <row r="588" spans="1:8" ht="105" x14ac:dyDescent="0.25">
      <c r="A588" t="s">
        <v>726</v>
      </c>
      <c r="B588" s="80" t="str">
        <f>VLOOKUP(A588,policy!B:C,2,0)</f>
        <v>040000184720</v>
      </c>
      <c r="C588" s="46">
        <v>16235</v>
      </c>
      <c r="D588" s="81">
        <f t="shared" si="37"/>
        <v>16235</v>
      </c>
      <c r="E588" s="79" t="s">
        <v>3563</v>
      </c>
      <c r="F588" s="82" t="str">
        <f t="shared" si="36"/>
        <v>insert into ins_premium_det (premium_rcv_code,assorted_code, rec_amount,premium_rcv_detail_code,remaining_amt, payrec, mode_code,coinsurance_code,class_cd,it_remarks) values</v>
      </c>
      <c r="G588" s="83" t="str">
        <f t="shared" si="38"/>
        <v>('29Oct240071','040000184720','16235',(select max(to_number(i.premium_rcv_detail_code))+1
from ins_premium_det i),'16235','16235','02', '11000003','00','Request by Mr. Omair Ali 30-Aug-2024');</v>
      </c>
      <c r="H588" s="84" t="str">
        <f t="shared" si="39"/>
        <v>insert into ins_premium_det (premium_rcv_code,assorted_code, rec_amount,premium_rcv_detail_code,remaining_amt, payrec, mode_code,coinsurance_code,class_cd,it_remarks) values('29Oct240071','040000184720','16235',(select max(to_number(i.premium_rcv_detail_code))+1
from ins_premium_det i),'16235','16235','02', '11000003','00','Request by Mr. Omair Ali 30-Aug-2024');</v>
      </c>
    </row>
    <row r="589" spans="1:8" ht="105" x14ac:dyDescent="0.25">
      <c r="A589" t="s">
        <v>727</v>
      </c>
      <c r="B589" s="80" t="str">
        <f>VLOOKUP(A589,policy!B:C,2,0)</f>
        <v>040000184721</v>
      </c>
      <c r="C589" s="46">
        <v>16235</v>
      </c>
      <c r="D589" s="81">
        <f t="shared" si="37"/>
        <v>16235</v>
      </c>
      <c r="E589" s="79" t="s">
        <v>3563</v>
      </c>
      <c r="F589" s="82" t="str">
        <f t="shared" si="36"/>
        <v>insert into ins_premium_det (premium_rcv_code,assorted_code, rec_amount,premium_rcv_detail_code,remaining_amt, payrec, mode_code,coinsurance_code,class_cd,it_remarks) values</v>
      </c>
      <c r="G589" s="83" t="str">
        <f t="shared" si="38"/>
        <v>('29Oct240071','040000184721','16235',(select max(to_number(i.premium_rcv_detail_code))+1
from ins_premium_det i),'16235','16235','02', '11000003','00','Request by Mr. Omair Ali 30-Aug-2024');</v>
      </c>
      <c r="H589" s="84" t="str">
        <f t="shared" si="39"/>
        <v>insert into ins_premium_det (premium_rcv_code,assorted_code, rec_amount,premium_rcv_detail_code,remaining_amt, payrec, mode_code,coinsurance_code,class_cd,it_remarks) values('29Oct240071','040000184721','16235',(select max(to_number(i.premium_rcv_detail_code))+1
from ins_premium_det i),'16235','16235','02', '11000003','00','Request by Mr. Omair Ali 30-Aug-2024');</v>
      </c>
    </row>
    <row r="590" spans="1:8" ht="105" x14ac:dyDescent="0.25">
      <c r="A590" t="s">
        <v>728</v>
      </c>
      <c r="B590" s="80" t="str">
        <f>VLOOKUP(A590,policy!B:C,2,0)</f>
        <v>040000184722</v>
      </c>
      <c r="C590" s="46">
        <v>16235</v>
      </c>
      <c r="D590" s="81">
        <f t="shared" si="37"/>
        <v>16235</v>
      </c>
      <c r="E590" s="79" t="s">
        <v>3563</v>
      </c>
      <c r="F590" s="82" t="str">
        <f t="shared" si="36"/>
        <v>insert into ins_premium_det (premium_rcv_code,assorted_code, rec_amount,premium_rcv_detail_code,remaining_amt, payrec, mode_code,coinsurance_code,class_cd,it_remarks) values</v>
      </c>
      <c r="G590" s="83" t="str">
        <f t="shared" si="38"/>
        <v>('29Oct240071','040000184722','16235',(select max(to_number(i.premium_rcv_detail_code))+1
from ins_premium_det i),'16235','16235','02', '11000003','00','Request by Mr. Omair Ali 30-Aug-2024');</v>
      </c>
      <c r="H590" s="84" t="str">
        <f t="shared" si="39"/>
        <v>insert into ins_premium_det (premium_rcv_code,assorted_code, rec_amount,premium_rcv_detail_code,remaining_amt, payrec, mode_code,coinsurance_code,class_cd,it_remarks) values('29Oct240071','040000184722','16235',(select max(to_number(i.premium_rcv_detail_code))+1
from ins_premium_det i),'16235','16235','02', '11000003','00','Request by Mr. Omair Ali 30-Aug-2024');</v>
      </c>
    </row>
    <row r="591" spans="1:8" ht="105" x14ac:dyDescent="0.25">
      <c r="A591" t="s">
        <v>729</v>
      </c>
      <c r="B591" s="80" t="str">
        <f>VLOOKUP(A591,policy!B:C,2,0)</f>
        <v>040000184723</v>
      </c>
      <c r="C591" s="46">
        <v>21208</v>
      </c>
      <c r="D591" s="81">
        <f t="shared" si="37"/>
        <v>21208</v>
      </c>
      <c r="E591" s="79" t="s">
        <v>3563</v>
      </c>
      <c r="F591" s="82" t="str">
        <f t="shared" si="36"/>
        <v>insert into ins_premium_det (premium_rcv_code,assorted_code, rec_amount,premium_rcv_detail_code,remaining_amt, payrec, mode_code,coinsurance_code,class_cd,it_remarks) values</v>
      </c>
      <c r="G591" s="83" t="str">
        <f t="shared" si="38"/>
        <v>('29Oct240071','040000184723','21208',(select max(to_number(i.premium_rcv_detail_code))+1
from ins_premium_det i),'21208','21208','02', '11000003','00','Request by Mr. Omair Ali 30-Aug-2024');</v>
      </c>
      <c r="H591" s="84" t="str">
        <f t="shared" si="39"/>
        <v>insert into ins_premium_det (premium_rcv_code,assorted_code, rec_amount,premium_rcv_detail_code,remaining_amt, payrec, mode_code,coinsurance_code,class_cd,it_remarks) values('29Oct240071','040000184723','21208',(select max(to_number(i.premium_rcv_detail_code))+1
from ins_premium_det i),'21208','21208','02', '11000003','00','Request by Mr. Omair Ali 30-Aug-2024');</v>
      </c>
    </row>
    <row r="592" spans="1:8" ht="105" x14ac:dyDescent="0.25">
      <c r="A592" t="s">
        <v>730</v>
      </c>
      <c r="B592" s="80" t="str">
        <f>VLOOKUP(A592,policy!B:C,2,0)</f>
        <v>040000184724</v>
      </c>
      <c r="C592" s="46">
        <v>21208</v>
      </c>
      <c r="D592" s="81">
        <f t="shared" si="37"/>
        <v>21208</v>
      </c>
      <c r="E592" s="79" t="s">
        <v>3563</v>
      </c>
      <c r="F592" s="82" t="str">
        <f t="shared" si="36"/>
        <v>insert into ins_premium_det (premium_rcv_code,assorted_code, rec_amount,premium_rcv_detail_code,remaining_amt, payrec, mode_code,coinsurance_code,class_cd,it_remarks) values</v>
      </c>
      <c r="G592" s="83" t="str">
        <f t="shared" si="38"/>
        <v>('29Oct240071','040000184724','21208',(select max(to_number(i.premium_rcv_detail_code))+1
from ins_premium_det i),'21208','21208','02', '11000003','00','Request by Mr. Omair Ali 30-Aug-2024');</v>
      </c>
      <c r="H592" s="84" t="str">
        <f t="shared" si="39"/>
        <v>insert into ins_premium_det (premium_rcv_code,assorted_code, rec_amount,premium_rcv_detail_code,remaining_amt, payrec, mode_code,coinsurance_code,class_cd,it_remarks) values('29Oct240071','040000184724','21208',(select max(to_number(i.premium_rcv_detail_code))+1
from ins_premium_det i),'21208','21208','02', '11000003','00','Request by Mr. Omair Ali 30-Aug-2024');</v>
      </c>
    </row>
    <row r="593" spans="1:8" ht="105" x14ac:dyDescent="0.25">
      <c r="A593" t="s">
        <v>731</v>
      </c>
      <c r="B593" s="80" t="str">
        <f>VLOOKUP(A593,policy!B:C,2,0)</f>
        <v>040000184725</v>
      </c>
      <c r="C593" s="46">
        <v>8800</v>
      </c>
      <c r="D593" s="81">
        <f t="shared" si="37"/>
        <v>8800</v>
      </c>
      <c r="E593" s="79" t="s">
        <v>3563</v>
      </c>
      <c r="F593" s="82" t="str">
        <f t="shared" si="36"/>
        <v>insert into ins_premium_det (premium_rcv_code,assorted_code, rec_amount,premium_rcv_detail_code,remaining_amt, payrec, mode_code,coinsurance_code,class_cd,it_remarks) values</v>
      </c>
      <c r="G593" s="83" t="str">
        <f t="shared" si="38"/>
        <v>('29Oct240071','040000184725','8800',(select max(to_number(i.premium_rcv_detail_code))+1
from ins_premium_det i),'8800','8800','02', '11000003','00','Request by Mr. Omair Ali 30-Aug-2024');</v>
      </c>
      <c r="H593" s="84" t="str">
        <f t="shared" si="39"/>
        <v>insert into ins_premium_det (premium_rcv_code,assorted_code, rec_amount,premium_rcv_detail_code,remaining_amt, payrec, mode_code,coinsurance_code,class_cd,it_remarks) values('29Oct240071','040000184725','8800',(select max(to_number(i.premium_rcv_detail_code))+1
from ins_premium_det i),'8800','8800','02', '11000003','00','Request by Mr. Omair Ali 30-Aug-2024');</v>
      </c>
    </row>
    <row r="594" spans="1:8" ht="105" x14ac:dyDescent="0.25">
      <c r="A594" t="s">
        <v>732</v>
      </c>
      <c r="B594" s="80" t="str">
        <f>VLOOKUP(A594,policy!B:C,2,0)</f>
        <v>040000184726</v>
      </c>
      <c r="C594" s="46">
        <v>14960</v>
      </c>
      <c r="D594" s="81">
        <f t="shared" si="37"/>
        <v>14960</v>
      </c>
      <c r="E594" s="79" t="s">
        <v>3563</v>
      </c>
      <c r="F594" s="82" t="str">
        <f t="shared" si="36"/>
        <v>insert into ins_premium_det (premium_rcv_code,assorted_code, rec_amount,premium_rcv_detail_code,remaining_amt, payrec, mode_code,coinsurance_code,class_cd,it_remarks) values</v>
      </c>
      <c r="G594" s="83" t="str">
        <f t="shared" si="38"/>
        <v>('29Oct240071','040000184726','14960',(select max(to_number(i.premium_rcv_detail_code))+1
from ins_premium_det i),'14960','14960','02', '11000003','00','Request by Mr. Omair Ali 30-Aug-2024');</v>
      </c>
      <c r="H594" s="84" t="str">
        <f t="shared" si="39"/>
        <v>insert into ins_premium_det (premium_rcv_code,assorted_code, rec_amount,premium_rcv_detail_code,remaining_amt, payrec, mode_code,coinsurance_code,class_cd,it_remarks) values('29Oct240071','040000184726','14960',(select max(to_number(i.premium_rcv_detail_code))+1
from ins_premium_det i),'14960','14960','02', '11000003','00','Request by Mr. Omair Ali 30-Aug-2024');</v>
      </c>
    </row>
    <row r="595" spans="1:8" ht="105" x14ac:dyDescent="0.25">
      <c r="A595" t="s">
        <v>733</v>
      </c>
      <c r="B595" s="80" t="str">
        <f>VLOOKUP(A595,policy!B:C,2,0)</f>
        <v>040000184727</v>
      </c>
      <c r="C595" s="46">
        <v>14960</v>
      </c>
      <c r="D595" s="81">
        <f t="shared" si="37"/>
        <v>14960</v>
      </c>
      <c r="E595" s="79" t="s">
        <v>3563</v>
      </c>
      <c r="F595" s="82" t="str">
        <f t="shared" si="36"/>
        <v>insert into ins_premium_det (premium_rcv_code,assorted_code, rec_amount,premium_rcv_detail_code,remaining_amt, payrec, mode_code,coinsurance_code,class_cd,it_remarks) values</v>
      </c>
      <c r="G595" s="83" t="str">
        <f t="shared" si="38"/>
        <v>('29Oct240071','040000184727','14960',(select max(to_number(i.premium_rcv_detail_code))+1
from ins_premium_det i),'14960','14960','02', '11000003','00','Request by Mr. Omair Ali 30-Aug-2024');</v>
      </c>
      <c r="H595" s="84" t="str">
        <f t="shared" si="39"/>
        <v>insert into ins_premium_det (premium_rcv_code,assorted_code, rec_amount,premium_rcv_detail_code,remaining_amt, payrec, mode_code,coinsurance_code,class_cd,it_remarks) values('29Oct240071','040000184727','14960',(select max(to_number(i.premium_rcv_detail_code))+1
from ins_premium_det i),'14960','14960','02', '11000003','00','Request by Mr. Omair Ali 30-Aug-2024');</v>
      </c>
    </row>
    <row r="596" spans="1:8" ht="105" x14ac:dyDescent="0.25">
      <c r="A596" t="s">
        <v>734</v>
      </c>
      <c r="B596" s="80" t="str">
        <f>VLOOKUP(A596,policy!B:C,2,0)</f>
        <v>040000184728</v>
      </c>
      <c r="C596" s="46">
        <v>14960</v>
      </c>
      <c r="D596" s="81">
        <f t="shared" si="37"/>
        <v>14960</v>
      </c>
      <c r="E596" s="79" t="s">
        <v>3563</v>
      </c>
      <c r="F596" s="82" t="str">
        <f t="shared" si="36"/>
        <v>insert into ins_premium_det (premium_rcv_code,assorted_code, rec_amount,premium_rcv_detail_code,remaining_amt, payrec, mode_code,coinsurance_code,class_cd,it_remarks) values</v>
      </c>
      <c r="G596" s="83" t="str">
        <f t="shared" si="38"/>
        <v>('29Oct240071','040000184728','14960',(select max(to_number(i.premium_rcv_detail_code))+1
from ins_premium_det i),'14960','14960','02', '11000003','00','Request by Mr. Omair Ali 30-Aug-2024');</v>
      </c>
      <c r="H596" s="84" t="str">
        <f t="shared" si="39"/>
        <v>insert into ins_premium_det (premium_rcv_code,assorted_code, rec_amount,premium_rcv_detail_code,remaining_amt, payrec, mode_code,coinsurance_code,class_cd,it_remarks) values('29Oct240071','040000184728','14960',(select max(to_number(i.premium_rcv_detail_code))+1
from ins_premium_det i),'14960','14960','02', '11000003','00','Request by Mr. Omair Ali 30-Aug-2024');</v>
      </c>
    </row>
    <row r="597" spans="1:8" ht="105" x14ac:dyDescent="0.25">
      <c r="A597" t="s">
        <v>735</v>
      </c>
      <c r="B597" s="80" t="str">
        <f>VLOOKUP(A597,policy!B:C,2,0)</f>
        <v>040000184729</v>
      </c>
      <c r="C597" s="46">
        <v>14960</v>
      </c>
      <c r="D597" s="81">
        <f t="shared" si="37"/>
        <v>14960</v>
      </c>
      <c r="E597" s="79" t="s">
        <v>3563</v>
      </c>
      <c r="F597" s="82" t="str">
        <f t="shared" si="36"/>
        <v>insert into ins_premium_det (premium_rcv_code,assorted_code, rec_amount,premium_rcv_detail_code,remaining_amt, payrec, mode_code,coinsurance_code,class_cd,it_remarks) values</v>
      </c>
      <c r="G597" s="83" t="str">
        <f t="shared" si="38"/>
        <v>('29Oct240071','040000184729','14960',(select max(to_number(i.premium_rcv_detail_code))+1
from ins_premium_det i),'14960','14960','02', '11000003','00','Request by Mr. Omair Ali 30-Aug-2024');</v>
      </c>
      <c r="H597" s="84" t="str">
        <f t="shared" si="39"/>
        <v>insert into ins_premium_det (premium_rcv_code,assorted_code, rec_amount,premium_rcv_detail_code,remaining_amt, payrec, mode_code,coinsurance_code,class_cd,it_remarks) values('29Oct240071','040000184729','14960',(select max(to_number(i.premium_rcv_detail_code))+1
from ins_premium_det i),'14960','14960','02', '11000003','00','Request by Mr. Omair Ali 30-Aug-2024');</v>
      </c>
    </row>
    <row r="598" spans="1:8" ht="105" x14ac:dyDescent="0.25">
      <c r="A598" t="s">
        <v>736</v>
      </c>
      <c r="B598" s="80" t="str">
        <f>VLOOKUP(A598,policy!B:C,2,0)</f>
        <v>040000184730</v>
      </c>
      <c r="C598" s="46">
        <v>14960</v>
      </c>
      <c r="D598" s="81">
        <f t="shared" si="37"/>
        <v>14960</v>
      </c>
      <c r="E598" s="79" t="s">
        <v>3563</v>
      </c>
      <c r="F598" s="82" t="str">
        <f t="shared" si="36"/>
        <v>insert into ins_premium_det (premium_rcv_code,assorted_code, rec_amount,premium_rcv_detail_code,remaining_amt, payrec, mode_code,coinsurance_code,class_cd,it_remarks) values</v>
      </c>
      <c r="G598" s="83" t="str">
        <f t="shared" si="38"/>
        <v>('29Oct240071','040000184730','14960',(select max(to_number(i.premium_rcv_detail_code))+1
from ins_premium_det i),'14960','14960','02', '11000003','00','Request by Mr. Omair Ali 30-Aug-2024');</v>
      </c>
      <c r="H598" s="84" t="str">
        <f t="shared" si="39"/>
        <v>insert into ins_premium_det (premium_rcv_code,assorted_code, rec_amount,premium_rcv_detail_code,remaining_amt, payrec, mode_code,coinsurance_code,class_cd,it_remarks) values('29Oct240071','040000184730','14960',(select max(to_number(i.premium_rcv_detail_code))+1
from ins_premium_det i),'14960','14960','02', '11000003','00','Request by Mr. Omair Ali 30-Aug-2024');</v>
      </c>
    </row>
    <row r="599" spans="1:8" ht="105" x14ac:dyDescent="0.25">
      <c r="A599" t="s">
        <v>737</v>
      </c>
      <c r="B599" s="80" t="str">
        <f>VLOOKUP(A599,policy!B:C,2,0)</f>
        <v>040000184731</v>
      </c>
      <c r="C599" s="46">
        <v>14960</v>
      </c>
      <c r="D599" s="81">
        <f t="shared" si="37"/>
        <v>14960</v>
      </c>
      <c r="E599" s="79" t="s">
        <v>3563</v>
      </c>
      <c r="F599" s="82" t="str">
        <f t="shared" si="36"/>
        <v>insert into ins_premium_det (premium_rcv_code,assorted_code, rec_amount,premium_rcv_detail_code,remaining_amt, payrec, mode_code,coinsurance_code,class_cd,it_remarks) values</v>
      </c>
      <c r="G599" s="83" t="str">
        <f t="shared" si="38"/>
        <v>('29Oct240071','040000184731','14960',(select max(to_number(i.premium_rcv_detail_code))+1
from ins_premium_det i),'14960','14960','02', '11000003','00','Request by Mr. Omair Ali 30-Aug-2024');</v>
      </c>
      <c r="H599" s="84" t="str">
        <f t="shared" si="39"/>
        <v>insert into ins_premium_det (premium_rcv_code,assorted_code, rec_amount,premium_rcv_detail_code,remaining_amt, payrec, mode_code,coinsurance_code,class_cd,it_remarks) values('29Oct240071','040000184731','14960',(select max(to_number(i.premium_rcv_detail_code))+1
from ins_premium_det i),'14960','14960','02', '11000003','00','Request by Mr. Omair Ali 30-Aug-2024');</v>
      </c>
    </row>
    <row r="600" spans="1:8" ht="105" x14ac:dyDescent="0.25">
      <c r="A600" t="s">
        <v>738</v>
      </c>
      <c r="B600" s="80" t="str">
        <f>VLOOKUP(A600,policy!B:C,2,0)</f>
        <v>040000184732</v>
      </c>
      <c r="C600" s="46">
        <v>21208</v>
      </c>
      <c r="D600" s="81">
        <f t="shared" si="37"/>
        <v>21208</v>
      </c>
      <c r="E600" s="79" t="s">
        <v>3563</v>
      </c>
      <c r="F600" s="82" t="str">
        <f t="shared" si="36"/>
        <v>insert into ins_premium_det (premium_rcv_code,assorted_code, rec_amount,premium_rcv_detail_code,remaining_amt, payrec, mode_code,coinsurance_code,class_cd,it_remarks) values</v>
      </c>
      <c r="G600" s="83" t="str">
        <f t="shared" si="38"/>
        <v>('29Oct240071','040000184732','21208',(select max(to_number(i.premium_rcv_detail_code))+1
from ins_premium_det i),'21208','21208','02', '11000003','00','Request by Mr. Omair Ali 30-Aug-2024');</v>
      </c>
      <c r="H600" s="84" t="str">
        <f t="shared" si="39"/>
        <v>insert into ins_premium_det (premium_rcv_code,assorted_code, rec_amount,premium_rcv_detail_code,remaining_amt, payrec, mode_code,coinsurance_code,class_cd,it_remarks) values('29Oct240071','040000184732','21208',(select max(to_number(i.premium_rcv_detail_code))+1
from ins_premium_det i),'21208','21208','02', '11000003','00','Request by Mr. Omair Ali 30-Aug-2024');</v>
      </c>
    </row>
    <row r="601" spans="1:8" ht="105" x14ac:dyDescent="0.25">
      <c r="A601" t="s">
        <v>739</v>
      </c>
      <c r="B601" s="80" t="str">
        <f>VLOOKUP(A601,policy!B:C,2,0)</f>
        <v>040000184733</v>
      </c>
      <c r="C601" s="46">
        <v>14960</v>
      </c>
      <c r="D601" s="81">
        <f t="shared" si="37"/>
        <v>14960</v>
      </c>
      <c r="E601" s="79" t="s">
        <v>3563</v>
      </c>
      <c r="F601" s="82" t="str">
        <f t="shared" si="36"/>
        <v>insert into ins_premium_det (premium_rcv_code,assorted_code, rec_amount,premium_rcv_detail_code,remaining_amt, payrec, mode_code,coinsurance_code,class_cd,it_remarks) values</v>
      </c>
      <c r="G601" s="83" t="str">
        <f t="shared" si="38"/>
        <v>('29Oct240071','040000184733','14960',(select max(to_number(i.premium_rcv_detail_code))+1
from ins_premium_det i),'14960','14960','02', '11000003','00','Request by Mr. Omair Ali 30-Aug-2024');</v>
      </c>
      <c r="H601" s="84" t="str">
        <f t="shared" si="39"/>
        <v>insert into ins_premium_det (premium_rcv_code,assorted_code, rec_amount,premium_rcv_detail_code,remaining_amt, payrec, mode_code,coinsurance_code,class_cd,it_remarks) values('29Oct240071','040000184733','14960',(select max(to_number(i.premium_rcv_detail_code))+1
from ins_premium_det i),'14960','14960','02', '11000003','00','Request by Mr. Omair Ali 30-Aug-2024');</v>
      </c>
    </row>
    <row r="602" spans="1:8" ht="105" x14ac:dyDescent="0.25">
      <c r="A602" t="s">
        <v>740</v>
      </c>
      <c r="B602" s="80" t="str">
        <f>VLOOKUP(A602,policy!B:C,2,0)</f>
        <v>040000184734</v>
      </c>
      <c r="C602" s="46">
        <v>14960</v>
      </c>
      <c r="D602" s="81">
        <f t="shared" si="37"/>
        <v>14960</v>
      </c>
      <c r="E602" s="79" t="s">
        <v>3563</v>
      </c>
      <c r="F602" s="82" t="str">
        <f t="shared" si="36"/>
        <v>insert into ins_premium_det (premium_rcv_code,assorted_code, rec_amount,premium_rcv_detail_code,remaining_amt, payrec, mode_code,coinsurance_code,class_cd,it_remarks) values</v>
      </c>
      <c r="G602" s="83" t="str">
        <f t="shared" si="38"/>
        <v>('29Oct240071','040000184734','14960',(select max(to_number(i.premium_rcv_detail_code))+1
from ins_premium_det i),'14960','14960','02', '11000003','00','Request by Mr. Omair Ali 30-Aug-2024');</v>
      </c>
      <c r="H602" s="84" t="str">
        <f t="shared" si="39"/>
        <v>insert into ins_premium_det (premium_rcv_code,assorted_code, rec_amount,premium_rcv_detail_code,remaining_amt, payrec, mode_code,coinsurance_code,class_cd,it_remarks) values('29Oct240071','040000184734','14960',(select max(to_number(i.premium_rcv_detail_code))+1
from ins_premium_det i),'14960','14960','02', '11000003','00','Request by Mr. Omair Ali 30-Aug-2024');</v>
      </c>
    </row>
    <row r="603" spans="1:8" ht="105" x14ac:dyDescent="0.25">
      <c r="A603" t="s">
        <v>741</v>
      </c>
      <c r="B603" s="80" t="str">
        <f>VLOOKUP(A603,policy!B:C,2,0)</f>
        <v>040000184735</v>
      </c>
      <c r="C603" s="46">
        <v>14960</v>
      </c>
      <c r="D603" s="81">
        <f t="shared" si="37"/>
        <v>14960</v>
      </c>
      <c r="E603" s="79" t="s">
        <v>3563</v>
      </c>
      <c r="F603" s="82" t="str">
        <f t="shared" si="36"/>
        <v>insert into ins_premium_det (premium_rcv_code,assorted_code, rec_amount,premium_rcv_detail_code,remaining_amt, payrec, mode_code,coinsurance_code,class_cd,it_remarks) values</v>
      </c>
      <c r="G603" s="83" t="str">
        <f t="shared" si="38"/>
        <v>('29Oct240071','040000184735','14960',(select max(to_number(i.premium_rcv_detail_code))+1
from ins_premium_det i),'14960','14960','02', '11000003','00','Request by Mr. Omair Ali 30-Aug-2024');</v>
      </c>
      <c r="H603" s="84" t="str">
        <f t="shared" si="39"/>
        <v>insert into ins_premium_det (premium_rcv_code,assorted_code, rec_amount,premium_rcv_detail_code,remaining_amt, payrec, mode_code,coinsurance_code,class_cd,it_remarks) values('29Oct240071','040000184735','14960',(select max(to_number(i.premium_rcv_detail_code))+1
from ins_premium_det i),'14960','14960','02', '11000003','00','Request by Mr. Omair Ali 30-Aug-2024');</v>
      </c>
    </row>
    <row r="604" spans="1:8" ht="105" x14ac:dyDescent="0.25">
      <c r="A604" t="s">
        <v>742</v>
      </c>
      <c r="B604" s="80" t="str">
        <f>VLOOKUP(A604,policy!B:C,2,0)</f>
        <v>040000184736</v>
      </c>
      <c r="C604" s="46">
        <v>14960</v>
      </c>
      <c r="D604" s="81">
        <f t="shared" si="37"/>
        <v>14960</v>
      </c>
      <c r="E604" s="79" t="s">
        <v>3563</v>
      </c>
      <c r="F604" s="82" t="str">
        <f t="shared" si="36"/>
        <v>insert into ins_premium_det (premium_rcv_code,assorted_code, rec_amount,premium_rcv_detail_code,remaining_amt, payrec, mode_code,coinsurance_code,class_cd,it_remarks) values</v>
      </c>
      <c r="G604" s="83" t="str">
        <f t="shared" si="38"/>
        <v>('29Oct240071','040000184736','14960',(select max(to_number(i.premium_rcv_detail_code))+1
from ins_premium_det i),'14960','14960','02', '11000003','00','Request by Mr. Omair Ali 30-Aug-2024');</v>
      </c>
      <c r="H604" s="84" t="str">
        <f t="shared" si="39"/>
        <v>insert into ins_premium_det (premium_rcv_code,assorted_code, rec_amount,premium_rcv_detail_code,remaining_amt, payrec, mode_code,coinsurance_code,class_cd,it_remarks) values('29Oct240071','040000184736','14960',(select max(to_number(i.premium_rcv_detail_code))+1
from ins_premium_det i),'14960','14960','02', '11000003','00','Request by Mr. Omair Ali 30-Aug-2024');</v>
      </c>
    </row>
    <row r="605" spans="1:8" ht="105" x14ac:dyDescent="0.25">
      <c r="A605" t="s">
        <v>743</v>
      </c>
      <c r="B605" s="80" t="str">
        <f>VLOOKUP(A605,policy!B:C,2,0)</f>
        <v>040000184737</v>
      </c>
      <c r="C605" s="46">
        <v>14960</v>
      </c>
      <c r="D605" s="81">
        <f t="shared" si="37"/>
        <v>14960</v>
      </c>
      <c r="E605" s="79" t="s">
        <v>3563</v>
      </c>
      <c r="F605" s="82" t="str">
        <f t="shared" si="36"/>
        <v>insert into ins_premium_det (premium_rcv_code,assorted_code, rec_amount,premium_rcv_detail_code,remaining_amt, payrec, mode_code,coinsurance_code,class_cd,it_remarks) values</v>
      </c>
      <c r="G605" s="83" t="str">
        <f t="shared" si="38"/>
        <v>('29Oct240071','040000184737','14960',(select max(to_number(i.premium_rcv_detail_code))+1
from ins_premium_det i),'14960','14960','02', '11000003','00','Request by Mr. Omair Ali 30-Aug-2024');</v>
      </c>
      <c r="H605" s="84" t="str">
        <f t="shared" si="39"/>
        <v>insert into ins_premium_det (premium_rcv_code,assorted_code, rec_amount,premium_rcv_detail_code,remaining_amt, payrec, mode_code,coinsurance_code,class_cd,it_remarks) values('29Oct240071','040000184737','14960',(select max(to_number(i.premium_rcv_detail_code))+1
from ins_premium_det i),'14960','14960','02', '11000003','00','Request by Mr. Omair Ali 30-Aug-2024');</v>
      </c>
    </row>
    <row r="606" spans="1:8" ht="105" x14ac:dyDescent="0.25">
      <c r="A606" t="s">
        <v>744</v>
      </c>
      <c r="B606" s="80" t="str">
        <f>VLOOKUP(A606,policy!B:C,2,0)</f>
        <v>040000184738</v>
      </c>
      <c r="C606" s="46">
        <v>14960</v>
      </c>
      <c r="D606" s="81">
        <f t="shared" si="37"/>
        <v>14960</v>
      </c>
      <c r="E606" s="79" t="s">
        <v>3563</v>
      </c>
      <c r="F606" s="82" t="str">
        <f t="shared" si="36"/>
        <v>insert into ins_premium_det (premium_rcv_code,assorted_code, rec_amount,premium_rcv_detail_code,remaining_amt, payrec, mode_code,coinsurance_code,class_cd,it_remarks) values</v>
      </c>
      <c r="G606" s="83" t="str">
        <f t="shared" si="38"/>
        <v>('29Oct240071','040000184738','14960',(select max(to_number(i.premium_rcv_detail_code))+1
from ins_premium_det i),'14960','14960','02', '11000003','00','Request by Mr. Omair Ali 30-Aug-2024');</v>
      </c>
      <c r="H606" s="84" t="str">
        <f t="shared" si="39"/>
        <v>insert into ins_premium_det (premium_rcv_code,assorted_code, rec_amount,premium_rcv_detail_code,remaining_amt, payrec, mode_code,coinsurance_code,class_cd,it_remarks) values('29Oct240071','040000184738','14960',(select max(to_number(i.premium_rcv_detail_code))+1
from ins_premium_det i),'14960','14960','02', '11000003','00','Request by Mr. Omair Ali 30-Aug-2024');</v>
      </c>
    </row>
    <row r="607" spans="1:8" ht="105" x14ac:dyDescent="0.25">
      <c r="A607" t="s">
        <v>745</v>
      </c>
      <c r="B607" s="80" t="str">
        <f>VLOOKUP(A607,policy!B:C,2,0)</f>
        <v>040000184739</v>
      </c>
      <c r="C607" s="46">
        <v>14960</v>
      </c>
      <c r="D607" s="81">
        <f t="shared" si="37"/>
        <v>14960</v>
      </c>
      <c r="E607" s="79" t="s">
        <v>3563</v>
      </c>
      <c r="F607" s="82" t="str">
        <f t="shared" si="36"/>
        <v>insert into ins_premium_det (premium_rcv_code,assorted_code, rec_amount,premium_rcv_detail_code,remaining_amt, payrec, mode_code,coinsurance_code,class_cd,it_remarks) values</v>
      </c>
      <c r="G607" s="83" t="str">
        <f t="shared" si="38"/>
        <v>('29Oct240071','040000184739','14960',(select max(to_number(i.premium_rcv_detail_code))+1
from ins_premium_det i),'14960','14960','02', '11000003','00','Request by Mr. Omair Ali 30-Aug-2024');</v>
      </c>
      <c r="H607" s="84" t="str">
        <f t="shared" si="39"/>
        <v>insert into ins_premium_det (premium_rcv_code,assorted_code, rec_amount,premium_rcv_detail_code,remaining_amt, payrec, mode_code,coinsurance_code,class_cd,it_remarks) values('29Oct240071','040000184739','14960',(select max(to_number(i.premium_rcv_detail_code))+1
from ins_premium_det i),'14960','14960','02', '11000003','00','Request by Mr. Omair Ali 30-Aug-2024');</v>
      </c>
    </row>
    <row r="608" spans="1:8" ht="105" x14ac:dyDescent="0.25">
      <c r="A608" t="s">
        <v>746</v>
      </c>
      <c r="B608" s="80" t="str">
        <f>VLOOKUP(A608,policy!B:C,2,0)</f>
        <v>040000184742</v>
      </c>
      <c r="C608" s="46">
        <v>16235</v>
      </c>
      <c r="D608" s="81">
        <f t="shared" si="37"/>
        <v>16235</v>
      </c>
      <c r="E608" s="79" t="s">
        <v>3563</v>
      </c>
      <c r="F608" s="82" t="str">
        <f t="shared" si="36"/>
        <v>insert into ins_premium_det (premium_rcv_code,assorted_code, rec_amount,premium_rcv_detail_code,remaining_amt, payrec, mode_code,coinsurance_code,class_cd,it_remarks) values</v>
      </c>
      <c r="G608" s="83" t="str">
        <f t="shared" si="38"/>
        <v>('29Oct240071','040000184742','16235',(select max(to_number(i.premium_rcv_detail_code))+1
from ins_premium_det i),'16235','16235','02', '11000003','00','Request by Mr. Omair Ali 30-Aug-2024');</v>
      </c>
      <c r="H608" s="84" t="str">
        <f t="shared" si="39"/>
        <v>insert into ins_premium_det (premium_rcv_code,assorted_code, rec_amount,premium_rcv_detail_code,remaining_amt, payrec, mode_code,coinsurance_code,class_cd,it_remarks) values('29Oct240071','040000184742','16235',(select max(to_number(i.premium_rcv_detail_code))+1
from ins_premium_det i),'16235','16235','02', '11000003','00','Request by Mr. Omair Ali 30-Aug-2024');</v>
      </c>
    </row>
    <row r="609" spans="1:8" ht="105" x14ac:dyDescent="0.25">
      <c r="A609" t="s">
        <v>747</v>
      </c>
      <c r="B609" s="80" t="str">
        <f>VLOOKUP(A609,policy!B:C,2,0)</f>
        <v>040000184743</v>
      </c>
      <c r="C609" s="46">
        <v>14960</v>
      </c>
      <c r="D609" s="81">
        <f t="shared" si="37"/>
        <v>14960</v>
      </c>
      <c r="E609" s="79" t="s">
        <v>3563</v>
      </c>
      <c r="F609" s="82" t="str">
        <f t="shared" si="36"/>
        <v>insert into ins_premium_det (premium_rcv_code,assorted_code, rec_amount,premium_rcv_detail_code,remaining_amt, payrec, mode_code,coinsurance_code,class_cd,it_remarks) values</v>
      </c>
      <c r="G609" s="83" t="str">
        <f t="shared" si="38"/>
        <v>('29Oct240071','040000184743','14960',(select max(to_number(i.premium_rcv_detail_code))+1
from ins_premium_det i),'14960','14960','02', '11000003','00','Request by Mr. Omair Ali 30-Aug-2024');</v>
      </c>
      <c r="H609" s="84" t="str">
        <f t="shared" si="39"/>
        <v>insert into ins_premium_det (premium_rcv_code,assorted_code, rec_amount,premium_rcv_detail_code,remaining_amt, payrec, mode_code,coinsurance_code,class_cd,it_remarks) values('29Oct240071','040000184743','14960',(select max(to_number(i.premium_rcv_detail_code))+1
from ins_premium_det i),'14960','14960','02', '11000003','00','Request by Mr. Omair Ali 30-Aug-2024');</v>
      </c>
    </row>
    <row r="610" spans="1:8" ht="105" x14ac:dyDescent="0.25">
      <c r="A610" t="s">
        <v>748</v>
      </c>
      <c r="B610" s="80" t="str">
        <f>VLOOKUP(A610,policy!B:C,2,0)</f>
        <v>040000184760</v>
      </c>
      <c r="C610" s="46">
        <v>14960</v>
      </c>
      <c r="D610" s="81">
        <f t="shared" si="37"/>
        <v>14960</v>
      </c>
      <c r="E610" s="79" t="s">
        <v>3563</v>
      </c>
      <c r="F610" s="82" t="str">
        <f t="shared" si="36"/>
        <v>insert into ins_premium_det (premium_rcv_code,assorted_code, rec_amount,premium_rcv_detail_code,remaining_amt, payrec, mode_code,coinsurance_code,class_cd,it_remarks) values</v>
      </c>
      <c r="G610" s="83" t="str">
        <f t="shared" si="38"/>
        <v>('29Oct240071','040000184760','14960',(select max(to_number(i.premium_rcv_detail_code))+1
from ins_premium_det i),'14960','14960','02', '11000003','00','Request by Mr. Omair Ali 30-Aug-2024');</v>
      </c>
      <c r="H610" s="84" t="str">
        <f t="shared" si="39"/>
        <v>insert into ins_premium_det (premium_rcv_code,assorted_code, rec_amount,premium_rcv_detail_code,remaining_amt, payrec, mode_code,coinsurance_code,class_cd,it_remarks) values('29Oct240071','040000184760','14960',(select max(to_number(i.premium_rcv_detail_code))+1
from ins_premium_det i),'14960','14960','02', '11000003','00','Request by Mr. Omair Ali 30-Aug-2024');</v>
      </c>
    </row>
    <row r="611" spans="1:8" ht="105" x14ac:dyDescent="0.25">
      <c r="A611" t="s">
        <v>749</v>
      </c>
      <c r="B611" s="80" t="str">
        <f>VLOOKUP(A611,policy!B:C,2,0)</f>
        <v>040000184763</v>
      </c>
      <c r="C611" s="46">
        <v>14960</v>
      </c>
      <c r="D611" s="81">
        <f t="shared" si="37"/>
        <v>14960</v>
      </c>
      <c r="E611" s="79" t="s">
        <v>3563</v>
      </c>
      <c r="F611" s="82" t="str">
        <f t="shared" si="36"/>
        <v>insert into ins_premium_det (premium_rcv_code,assorted_code, rec_amount,premium_rcv_detail_code,remaining_amt, payrec, mode_code,coinsurance_code,class_cd,it_remarks) values</v>
      </c>
      <c r="G611" s="83" t="str">
        <f t="shared" si="38"/>
        <v>('29Oct240071','040000184763','14960',(select max(to_number(i.premium_rcv_detail_code))+1
from ins_premium_det i),'14960','14960','02', '11000003','00','Request by Mr. Omair Ali 30-Aug-2024');</v>
      </c>
      <c r="H611" s="84" t="str">
        <f t="shared" si="39"/>
        <v>insert into ins_premium_det (premium_rcv_code,assorted_code, rec_amount,premium_rcv_detail_code,remaining_amt, payrec, mode_code,coinsurance_code,class_cd,it_remarks) values('29Oct240071','040000184763','14960',(select max(to_number(i.premium_rcv_detail_code))+1
from ins_premium_det i),'14960','14960','02', '11000003','00','Request by Mr. Omair Ali 30-Aug-2024');</v>
      </c>
    </row>
    <row r="612" spans="1:8" ht="105" x14ac:dyDescent="0.25">
      <c r="A612" t="s">
        <v>750</v>
      </c>
      <c r="B612" s="80" t="str">
        <f>VLOOKUP(A612,policy!B:C,2,0)</f>
        <v>040000184764</v>
      </c>
      <c r="C612" s="46">
        <v>14960</v>
      </c>
      <c r="D612" s="81">
        <f t="shared" si="37"/>
        <v>14960</v>
      </c>
      <c r="E612" s="79" t="s">
        <v>3563</v>
      </c>
      <c r="F612" s="82" t="str">
        <f t="shared" si="36"/>
        <v>insert into ins_premium_det (premium_rcv_code,assorted_code, rec_amount,premium_rcv_detail_code,remaining_amt, payrec, mode_code,coinsurance_code,class_cd,it_remarks) values</v>
      </c>
      <c r="G612" s="83" t="str">
        <f t="shared" si="38"/>
        <v>('29Oct240071','040000184764','14960',(select max(to_number(i.premium_rcv_detail_code))+1
from ins_premium_det i),'14960','14960','02', '11000003','00','Request by Mr. Omair Ali 30-Aug-2024');</v>
      </c>
      <c r="H612" s="84" t="str">
        <f t="shared" si="39"/>
        <v>insert into ins_premium_det (premium_rcv_code,assorted_code, rec_amount,premium_rcv_detail_code,remaining_amt, payrec, mode_code,coinsurance_code,class_cd,it_remarks) values('29Oct240071','040000184764','14960',(select max(to_number(i.premium_rcv_detail_code))+1
from ins_premium_det i),'14960','14960','02', '11000003','00','Request by Mr. Omair Ali 30-Aug-2024');</v>
      </c>
    </row>
    <row r="613" spans="1:8" ht="105" x14ac:dyDescent="0.25">
      <c r="A613" t="s">
        <v>751</v>
      </c>
      <c r="B613" s="80" t="str">
        <f>VLOOKUP(A613,policy!B:C,2,0)</f>
        <v>040000184772</v>
      </c>
      <c r="C613" s="46">
        <v>14960</v>
      </c>
      <c r="D613" s="81">
        <f t="shared" si="37"/>
        <v>14960</v>
      </c>
      <c r="E613" s="79" t="s">
        <v>3563</v>
      </c>
      <c r="F613" s="82" t="str">
        <f t="shared" si="36"/>
        <v>insert into ins_premium_det (premium_rcv_code,assorted_code, rec_amount,premium_rcv_detail_code,remaining_amt, payrec, mode_code,coinsurance_code,class_cd,it_remarks) values</v>
      </c>
      <c r="G613" s="83" t="str">
        <f t="shared" si="38"/>
        <v>('29Oct240071','040000184772','14960',(select max(to_number(i.premium_rcv_detail_code))+1
from ins_premium_det i),'14960','14960','02', '11000003','00','Request by Mr. Omair Ali 30-Aug-2024');</v>
      </c>
      <c r="H613" s="84" t="str">
        <f t="shared" si="39"/>
        <v>insert into ins_premium_det (premium_rcv_code,assorted_code, rec_amount,premium_rcv_detail_code,remaining_amt, payrec, mode_code,coinsurance_code,class_cd,it_remarks) values('29Oct240071','040000184772','14960',(select max(to_number(i.premium_rcv_detail_code))+1
from ins_premium_det i),'14960','14960','02', '11000003','00','Request by Mr. Omair Ali 30-Aug-2024');</v>
      </c>
    </row>
    <row r="614" spans="1:8" ht="105" x14ac:dyDescent="0.25">
      <c r="A614" t="s">
        <v>752</v>
      </c>
      <c r="B614" s="80" t="str">
        <f>VLOOKUP(A614,policy!B:C,2,0)</f>
        <v>040000184780</v>
      </c>
      <c r="C614" s="46">
        <v>8800</v>
      </c>
      <c r="D614" s="81">
        <f t="shared" si="37"/>
        <v>8800</v>
      </c>
      <c r="E614" s="79" t="s">
        <v>3563</v>
      </c>
      <c r="F614" s="82" t="str">
        <f t="shared" si="36"/>
        <v>insert into ins_premium_det (premium_rcv_code,assorted_code, rec_amount,premium_rcv_detail_code,remaining_amt, payrec, mode_code,coinsurance_code,class_cd,it_remarks) values</v>
      </c>
      <c r="G614" s="83" t="str">
        <f t="shared" si="38"/>
        <v>('29Oct240071','040000184780','8800',(select max(to_number(i.premium_rcv_detail_code))+1
from ins_premium_det i),'8800','8800','02', '11000003','00','Request by Mr. Omair Ali 30-Aug-2024');</v>
      </c>
      <c r="H614" s="84" t="str">
        <f t="shared" si="39"/>
        <v>insert into ins_premium_det (premium_rcv_code,assorted_code, rec_amount,premium_rcv_detail_code,remaining_amt, payrec, mode_code,coinsurance_code,class_cd,it_remarks) values('29Oct240071','040000184780','8800',(select max(to_number(i.premium_rcv_detail_code))+1
from ins_premium_det i),'8800','8800','02', '11000003','00','Request by Mr. Omair Ali 30-Aug-2024');</v>
      </c>
    </row>
    <row r="615" spans="1:8" ht="105" x14ac:dyDescent="0.25">
      <c r="A615" t="s">
        <v>753</v>
      </c>
      <c r="B615" s="80" t="str">
        <f>VLOOKUP(A615,policy!B:C,2,0)</f>
        <v>040000184782</v>
      </c>
      <c r="C615" s="46">
        <v>8800</v>
      </c>
      <c r="D615" s="81">
        <f t="shared" si="37"/>
        <v>8800</v>
      </c>
      <c r="E615" s="79" t="s">
        <v>3563</v>
      </c>
      <c r="F615" s="82" t="str">
        <f t="shared" si="36"/>
        <v>insert into ins_premium_det (premium_rcv_code,assorted_code, rec_amount,premium_rcv_detail_code,remaining_amt, payrec, mode_code,coinsurance_code,class_cd,it_remarks) values</v>
      </c>
      <c r="G615" s="83" t="str">
        <f t="shared" si="38"/>
        <v>('29Oct240071','040000184782','8800',(select max(to_number(i.premium_rcv_detail_code))+1
from ins_premium_det i),'8800','8800','02', '11000003','00','Request by Mr. Omair Ali 30-Aug-2024');</v>
      </c>
      <c r="H615" s="84" t="str">
        <f t="shared" si="39"/>
        <v>insert into ins_premium_det (premium_rcv_code,assorted_code, rec_amount,premium_rcv_detail_code,remaining_amt, payrec, mode_code,coinsurance_code,class_cd,it_remarks) values('29Oct240071','040000184782','8800',(select max(to_number(i.premium_rcv_detail_code))+1
from ins_premium_det i),'8800','8800','02', '11000003','00','Request by Mr. Omair Ali 30-Aug-2024');</v>
      </c>
    </row>
    <row r="616" spans="1:8" ht="105" x14ac:dyDescent="0.25">
      <c r="A616" t="s">
        <v>754</v>
      </c>
      <c r="B616" s="80" t="str">
        <f>VLOOKUP(A616,policy!B:C,2,0)</f>
        <v>040000184783</v>
      </c>
      <c r="C616" s="46">
        <v>12475</v>
      </c>
      <c r="D616" s="81">
        <f t="shared" si="37"/>
        <v>12475</v>
      </c>
      <c r="E616" s="79" t="s">
        <v>3563</v>
      </c>
      <c r="F616" s="82" t="str">
        <f t="shared" si="36"/>
        <v>insert into ins_premium_det (premium_rcv_code,assorted_code, rec_amount,premium_rcv_detail_code,remaining_amt, payrec, mode_code,coinsurance_code,class_cd,it_remarks) values</v>
      </c>
      <c r="G616" s="83" t="str">
        <f t="shared" si="38"/>
        <v>('29Oct240071','040000184783','12475',(select max(to_number(i.premium_rcv_detail_code))+1
from ins_premium_det i),'12475','12475','02', '11000003','00','Request by Mr. Omair Ali 30-Aug-2024');</v>
      </c>
      <c r="H616" s="84" t="str">
        <f t="shared" si="39"/>
        <v>insert into ins_premium_det (premium_rcv_code,assorted_code, rec_amount,premium_rcv_detail_code,remaining_amt, payrec, mode_code,coinsurance_code,class_cd,it_remarks) values('29Oct240071','040000184783','12475',(select max(to_number(i.premium_rcv_detail_code))+1
from ins_premium_det i),'12475','12475','02', '11000003','00','Request by Mr. Omair Ali 30-Aug-2024');</v>
      </c>
    </row>
    <row r="617" spans="1:8" ht="105" x14ac:dyDescent="0.25">
      <c r="A617" t="s">
        <v>755</v>
      </c>
      <c r="B617" s="80" t="str">
        <f>VLOOKUP(A617,policy!B:C,2,0)</f>
        <v>040000184785</v>
      </c>
      <c r="C617" s="46">
        <v>14960</v>
      </c>
      <c r="D617" s="81">
        <f t="shared" si="37"/>
        <v>14960</v>
      </c>
      <c r="E617" s="79" t="s">
        <v>3563</v>
      </c>
      <c r="F617" s="82" t="str">
        <f t="shared" si="36"/>
        <v>insert into ins_premium_det (premium_rcv_code,assorted_code, rec_amount,premium_rcv_detail_code,remaining_amt, payrec, mode_code,coinsurance_code,class_cd,it_remarks) values</v>
      </c>
      <c r="G617" s="83" t="str">
        <f t="shared" si="38"/>
        <v>('29Oct240071','040000184785','14960',(select max(to_number(i.premium_rcv_detail_code))+1
from ins_premium_det i),'14960','14960','02', '11000003','00','Request by Mr. Omair Ali 30-Aug-2024');</v>
      </c>
      <c r="H617" s="84" t="str">
        <f t="shared" si="39"/>
        <v>insert into ins_premium_det (premium_rcv_code,assorted_code, rec_amount,premium_rcv_detail_code,remaining_amt, payrec, mode_code,coinsurance_code,class_cd,it_remarks) values('29Oct240071','040000184785','14960',(select max(to_number(i.premium_rcv_detail_code))+1
from ins_premium_det i),'14960','14960','02', '11000003','00','Request by Mr. Omair Ali 30-Aug-2024');</v>
      </c>
    </row>
    <row r="618" spans="1:8" ht="105" x14ac:dyDescent="0.25">
      <c r="A618" t="s">
        <v>756</v>
      </c>
      <c r="B618" s="80" t="str">
        <f>VLOOKUP(A618,policy!B:C,2,0)</f>
        <v>040000184788</v>
      </c>
      <c r="C618" s="46">
        <v>14960</v>
      </c>
      <c r="D618" s="81">
        <f t="shared" si="37"/>
        <v>14960</v>
      </c>
      <c r="E618" s="79" t="s">
        <v>3563</v>
      </c>
      <c r="F618" s="82" t="str">
        <f t="shared" si="36"/>
        <v>insert into ins_premium_det (premium_rcv_code,assorted_code, rec_amount,premium_rcv_detail_code,remaining_amt, payrec, mode_code,coinsurance_code,class_cd,it_remarks) values</v>
      </c>
      <c r="G618" s="83" t="str">
        <f t="shared" si="38"/>
        <v>('29Oct240071','040000184788','14960',(select max(to_number(i.premium_rcv_detail_code))+1
from ins_premium_det i),'14960','14960','02', '11000003','00','Request by Mr. Omair Ali 30-Aug-2024');</v>
      </c>
      <c r="H618" s="84" t="str">
        <f t="shared" si="39"/>
        <v>insert into ins_premium_det (premium_rcv_code,assorted_code, rec_amount,premium_rcv_detail_code,remaining_amt, payrec, mode_code,coinsurance_code,class_cd,it_remarks) values('29Oct240071','040000184788','14960',(select max(to_number(i.premium_rcv_detail_code))+1
from ins_premium_det i),'14960','14960','02', '11000003','00','Request by Mr. Omair Ali 30-Aug-2024');</v>
      </c>
    </row>
    <row r="619" spans="1:8" ht="105" x14ac:dyDescent="0.25">
      <c r="A619" t="s">
        <v>757</v>
      </c>
      <c r="B619" s="80" t="str">
        <f>VLOOKUP(A619,policy!B:C,2,0)</f>
        <v>040000184791</v>
      </c>
      <c r="C619" s="46">
        <v>8800</v>
      </c>
      <c r="D619" s="81">
        <f t="shared" si="37"/>
        <v>8800</v>
      </c>
      <c r="E619" s="79" t="s">
        <v>3563</v>
      </c>
      <c r="F619" s="82" t="str">
        <f t="shared" si="36"/>
        <v>insert into ins_premium_det (premium_rcv_code,assorted_code, rec_amount,premium_rcv_detail_code,remaining_amt, payrec, mode_code,coinsurance_code,class_cd,it_remarks) values</v>
      </c>
      <c r="G619" s="83" t="str">
        <f t="shared" si="38"/>
        <v>('29Oct240071','040000184791','8800',(select max(to_number(i.premium_rcv_detail_code))+1
from ins_premium_det i),'8800','8800','02', '11000003','00','Request by Mr. Omair Ali 30-Aug-2024');</v>
      </c>
      <c r="H619" s="84" t="str">
        <f t="shared" si="39"/>
        <v>insert into ins_premium_det (premium_rcv_code,assorted_code, rec_amount,premium_rcv_detail_code,remaining_amt, payrec, mode_code,coinsurance_code,class_cd,it_remarks) values('29Oct240071','040000184791','8800',(select max(to_number(i.premium_rcv_detail_code))+1
from ins_premium_det i),'8800','8800','02', '11000003','00','Request by Mr. Omair Ali 30-Aug-2024');</v>
      </c>
    </row>
    <row r="620" spans="1:8" ht="105" x14ac:dyDescent="0.25">
      <c r="A620" t="s">
        <v>758</v>
      </c>
      <c r="B620" s="80" t="str">
        <f>VLOOKUP(A620,policy!B:C,2,0)</f>
        <v>040000184794</v>
      </c>
      <c r="C620" s="46">
        <v>8800</v>
      </c>
      <c r="D620" s="81">
        <f t="shared" si="37"/>
        <v>8800</v>
      </c>
      <c r="E620" s="79" t="s">
        <v>3563</v>
      </c>
      <c r="F620" s="82" t="str">
        <f t="shared" si="36"/>
        <v>insert into ins_premium_det (premium_rcv_code,assorted_code, rec_amount,premium_rcv_detail_code,remaining_amt, payrec, mode_code,coinsurance_code,class_cd,it_remarks) values</v>
      </c>
      <c r="G620" s="83" t="str">
        <f t="shared" si="38"/>
        <v>('29Oct240071','040000184794','8800',(select max(to_number(i.premium_rcv_detail_code))+1
from ins_premium_det i),'8800','8800','02', '11000003','00','Request by Mr. Omair Ali 30-Aug-2024');</v>
      </c>
      <c r="H620" s="84" t="str">
        <f t="shared" si="39"/>
        <v>insert into ins_premium_det (premium_rcv_code,assorted_code, rec_amount,premium_rcv_detail_code,remaining_amt, payrec, mode_code,coinsurance_code,class_cd,it_remarks) values('29Oct240071','040000184794','8800',(select max(to_number(i.premium_rcv_detail_code))+1
from ins_premium_det i),'8800','8800','02', '11000003','00','Request by Mr. Omair Ali 30-Aug-2024');</v>
      </c>
    </row>
    <row r="621" spans="1:8" ht="105" x14ac:dyDescent="0.25">
      <c r="A621" t="s">
        <v>759</v>
      </c>
      <c r="B621" s="80" t="str">
        <f>VLOOKUP(A621,policy!B:C,2,0)</f>
        <v>040000184797</v>
      </c>
      <c r="C621" s="46">
        <v>12475</v>
      </c>
      <c r="D621" s="81">
        <f t="shared" si="37"/>
        <v>12475</v>
      </c>
      <c r="E621" s="79" t="s">
        <v>3563</v>
      </c>
      <c r="F621" s="82" t="str">
        <f t="shared" si="36"/>
        <v>insert into ins_premium_det (premium_rcv_code,assorted_code, rec_amount,premium_rcv_detail_code,remaining_amt, payrec, mode_code,coinsurance_code,class_cd,it_remarks) values</v>
      </c>
      <c r="G621" s="83" t="str">
        <f t="shared" si="38"/>
        <v>('29Oct240071','040000184797','12475',(select max(to_number(i.premium_rcv_detail_code))+1
from ins_premium_det i),'12475','12475','02', '11000003','00','Request by Mr. Omair Ali 30-Aug-2024');</v>
      </c>
      <c r="H621" s="84" t="str">
        <f t="shared" si="39"/>
        <v>insert into ins_premium_det (premium_rcv_code,assorted_code, rec_amount,premium_rcv_detail_code,remaining_amt, payrec, mode_code,coinsurance_code,class_cd,it_remarks) values('29Oct240071','040000184797','12475',(select max(to_number(i.premium_rcv_detail_code))+1
from ins_premium_det i),'12475','12475','02', '11000003','00','Request by Mr. Omair Ali 30-Aug-2024');</v>
      </c>
    </row>
    <row r="622" spans="1:8" ht="105" x14ac:dyDescent="0.25">
      <c r="A622" t="s">
        <v>760</v>
      </c>
      <c r="B622" s="80" t="str">
        <f>VLOOKUP(A622,policy!B:C,2,0)</f>
        <v>040000184799</v>
      </c>
      <c r="C622" s="46">
        <v>14960</v>
      </c>
      <c r="D622" s="81">
        <f t="shared" si="37"/>
        <v>14960</v>
      </c>
      <c r="E622" s="79" t="s">
        <v>3563</v>
      </c>
      <c r="F622" s="82" t="str">
        <f t="shared" si="36"/>
        <v>insert into ins_premium_det (premium_rcv_code,assorted_code, rec_amount,premium_rcv_detail_code,remaining_amt, payrec, mode_code,coinsurance_code,class_cd,it_remarks) values</v>
      </c>
      <c r="G622" s="83" t="str">
        <f t="shared" si="38"/>
        <v>('29Oct240071','040000184799','14960',(select max(to_number(i.premium_rcv_detail_code))+1
from ins_premium_det i),'14960','14960','02', '11000003','00','Request by Mr. Omair Ali 30-Aug-2024');</v>
      </c>
      <c r="H622" s="84" t="str">
        <f t="shared" si="39"/>
        <v>insert into ins_premium_det (premium_rcv_code,assorted_code, rec_amount,premium_rcv_detail_code,remaining_amt, payrec, mode_code,coinsurance_code,class_cd,it_remarks) values('29Oct240071','040000184799','14960',(select max(to_number(i.premium_rcv_detail_code))+1
from ins_premium_det i),'14960','14960','02', '11000003','00','Request by Mr. Omair Ali 30-Aug-2024');</v>
      </c>
    </row>
    <row r="623" spans="1:8" ht="105" x14ac:dyDescent="0.25">
      <c r="A623" t="s">
        <v>761</v>
      </c>
      <c r="B623" s="80" t="str">
        <f>VLOOKUP(A623,policy!B:C,2,0)</f>
        <v>040000184800</v>
      </c>
      <c r="C623" s="46">
        <v>14960</v>
      </c>
      <c r="D623" s="81">
        <f t="shared" si="37"/>
        <v>14960</v>
      </c>
      <c r="E623" s="79" t="s">
        <v>3563</v>
      </c>
      <c r="F623" s="82" t="str">
        <f t="shared" si="36"/>
        <v>insert into ins_premium_det (premium_rcv_code,assorted_code, rec_amount,premium_rcv_detail_code,remaining_amt, payrec, mode_code,coinsurance_code,class_cd,it_remarks) values</v>
      </c>
      <c r="G623" s="83" t="str">
        <f t="shared" si="38"/>
        <v>('29Oct240071','040000184800','14960',(select max(to_number(i.premium_rcv_detail_code))+1
from ins_premium_det i),'14960','14960','02', '11000003','00','Request by Mr. Omair Ali 30-Aug-2024');</v>
      </c>
      <c r="H623" s="84" t="str">
        <f t="shared" si="39"/>
        <v>insert into ins_premium_det (premium_rcv_code,assorted_code, rec_amount,premium_rcv_detail_code,remaining_amt, payrec, mode_code,coinsurance_code,class_cd,it_remarks) values('29Oct240071','040000184800','14960',(select max(to_number(i.premium_rcv_detail_code))+1
from ins_premium_det i),'14960','14960','02', '11000003','00','Request by Mr. Omair Ali 30-Aug-2024');</v>
      </c>
    </row>
    <row r="624" spans="1:8" ht="105" x14ac:dyDescent="0.25">
      <c r="A624" t="s">
        <v>762</v>
      </c>
      <c r="B624" s="80" t="str">
        <f>VLOOKUP(A624,policy!B:C,2,0)</f>
        <v>040000184801</v>
      </c>
      <c r="C624" s="46">
        <v>8800</v>
      </c>
      <c r="D624" s="81">
        <f t="shared" si="37"/>
        <v>8800</v>
      </c>
      <c r="E624" s="79" t="s">
        <v>3563</v>
      </c>
      <c r="F624" s="82" t="str">
        <f t="shared" si="36"/>
        <v>insert into ins_premium_det (premium_rcv_code,assorted_code, rec_amount,premium_rcv_detail_code,remaining_amt, payrec, mode_code,coinsurance_code,class_cd,it_remarks) values</v>
      </c>
      <c r="G624" s="83" t="str">
        <f t="shared" si="38"/>
        <v>('29Oct240071','040000184801','8800',(select max(to_number(i.premium_rcv_detail_code))+1
from ins_premium_det i),'8800','8800','02', '11000003','00','Request by Mr. Omair Ali 30-Aug-2024');</v>
      </c>
      <c r="H624" s="84" t="str">
        <f t="shared" si="39"/>
        <v>insert into ins_premium_det (premium_rcv_code,assorted_code, rec_amount,premium_rcv_detail_code,remaining_amt, payrec, mode_code,coinsurance_code,class_cd,it_remarks) values('29Oct240071','040000184801','8800',(select max(to_number(i.premium_rcv_detail_code))+1
from ins_premium_det i),'8800','8800','02', '11000003','00','Request by Mr. Omair Ali 30-Aug-2024');</v>
      </c>
    </row>
    <row r="625" spans="1:8" ht="105" x14ac:dyDescent="0.25">
      <c r="A625" t="s">
        <v>763</v>
      </c>
      <c r="B625" s="80" t="str">
        <f>VLOOKUP(A625,policy!B:C,2,0)</f>
        <v>040000184803</v>
      </c>
      <c r="C625" s="46">
        <v>8800</v>
      </c>
      <c r="D625" s="81">
        <f t="shared" si="37"/>
        <v>8800</v>
      </c>
      <c r="E625" s="79" t="s">
        <v>3563</v>
      </c>
      <c r="F625" s="82" t="str">
        <f t="shared" si="36"/>
        <v>insert into ins_premium_det (premium_rcv_code,assorted_code, rec_amount,premium_rcv_detail_code,remaining_amt, payrec, mode_code,coinsurance_code,class_cd,it_remarks) values</v>
      </c>
      <c r="G625" s="83" t="str">
        <f t="shared" si="38"/>
        <v>('29Oct240071','040000184803','8800',(select max(to_number(i.premium_rcv_detail_code))+1
from ins_premium_det i),'8800','8800','02', '11000003','00','Request by Mr. Omair Ali 30-Aug-2024');</v>
      </c>
      <c r="H625" s="84" t="str">
        <f t="shared" si="39"/>
        <v>insert into ins_premium_det (premium_rcv_code,assorted_code, rec_amount,premium_rcv_detail_code,remaining_amt, payrec, mode_code,coinsurance_code,class_cd,it_remarks) values('29Oct240071','040000184803','8800',(select max(to_number(i.premium_rcv_detail_code))+1
from ins_premium_det i),'8800','8800','02', '11000003','00','Request by Mr. Omair Ali 30-Aug-2024');</v>
      </c>
    </row>
    <row r="626" spans="1:8" ht="105" x14ac:dyDescent="0.25">
      <c r="A626" t="s">
        <v>764</v>
      </c>
      <c r="B626" s="80" t="str">
        <f>VLOOKUP(A626,policy!B:C,2,0)</f>
        <v>040000184806</v>
      </c>
      <c r="C626" s="46">
        <v>14960</v>
      </c>
      <c r="D626" s="81">
        <f t="shared" si="37"/>
        <v>14960</v>
      </c>
      <c r="E626" s="79" t="s">
        <v>3563</v>
      </c>
      <c r="F626" s="82" t="str">
        <f t="shared" si="36"/>
        <v>insert into ins_premium_det (premium_rcv_code,assorted_code, rec_amount,premium_rcv_detail_code,remaining_amt, payrec, mode_code,coinsurance_code,class_cd,it_remarks) values</v>
      </c>
      <c r="G626" s="83" t="str">
        <f t="shared" si="38"/>
        <v>('29Oct240071','040000184806','14960',(select max(to_number(i.premium_rcv_detail_code))+1
from ins_premium_det i),'14960','14960','02', '11000003','00','Request by Mr. Omair Ali 30-Aug-2024');</v>
      </c>
      <c r="H626" s="84" t="str">
        <f t="shared" si="39"/>
        <v>insert into ins_premium_det (premium_rcv_code,assorted_code, rec_amount,premium_rcv_detail_code,remaining_amt, payrec, mode_code,coinsurance_code,class_cd,it_remarks) values('29Oct240071','040000184806','14960',(select max(to_number(i.premium_rcv_detail_code))+1
from ins_premium_det i),'14960','14960','02', '11000003','00','Request by Mr. Omair Ali 30-Aug-2024');</v>
      </c>
    </row>
    <row r="627" spans="1:8" ht="105" x14ac:dyDescent="0.25">
      <c r="A627" t="s">
        <v>765</v>
      </c>
      <c r="B627" s="80" t="str">
        <f>VLOOKUP(A627,policy!B:C,2,0)</f>
        <v>040000184807</v>
      </c>
      <c r="C627" s="46">
        <v>14960</v>
      </c>
      <c r="D627" s="81">
        <f t="shared" si="37"/>
        <v>14960</v>
      </c>
      <c r="E627" s="79" t="s">
        <v>3563</v>
      </c>
      <c r="F627" s="82" t="str">
        <f t="shared" si="36"/>
        <v>insert into ins_premium_det (premium_rcv_code,assorted_code, rec_amount,premium_rcv_detail_code,remaining_amt, payrec, mode_code,coinsurance_code,class_cd,it_remarks) values</v>
      </c>
      <c r="G627" s="83" t="str">
        <f t="shared" si="38"/>
        <v>('29Oct240071','040000184807','14960',(select max(to_number(i.premium_rcv_detail_code))+1
from ins_premium_det i),'14960','14960','02', '11000003','00','Request by Mr. Omair Ali 30-Aug-2024');</v>
      </c>
      <c r="H627" s="84" t="str">
        <f t="shared" si="39"/>
        <v>insert into ins_premium_det (premium_rcv_code,assorted_code, rec_amount,premium_rcv_detail_code,remaining_amt, payrec, mode_code,coinsurance_code,class_cd,it_remarks) values('29Oct240071','040000184807','14960',(select max(to_number(i.premium_rcv_detail_code))+1
from ins_premium_det i),'14960','14960','02', '11000003','00','Request by Mr. Omair Ali 30-Aug-2024');</v>
      </c>
    </row>
    <row r="628" spans="1:8" ht="105" x14ac:dyDescent="0.25">
      <c r="A628" t="s">
        <v>766</v>
      </c>
      <c r="B628" s="80" t="str">
        <f>VLOOKUP(A628,policy!B:C,2,0)</f>
        <v>040000184809</v>
      </c>
      <c r="C628" s="46">
        <v>8800</v>
      </c>
      <c r="D628" s="81">
        <f t="shared" si="37"/>
        <v>8800</v>
      </c>
      <c r="E628" s="79" t="s">
        <v>3563</v>
      </c>
      <c r="F628" s="82" t="str">
        <f t="shared" si="36"/>
        <v>insert into ins_premium_det (premium_rcv_code,assorted_code, rec_amount,premium_rcv_detail_code,remaining_amt, payrec, mode_code,coinsurance_code,class_cd,it_remarks) values</v>
      </c>
      <c r="G628" s="83" t="str">
        <f t="shared" si="38"/>
        <v>('29Oct240071','040000184809','8800',(select max(to_number(i.premium_rcv_detail_code))+1
from ins_premium_det i),'8800','8800','02', '11000003','00','Request by Mr. Omair Ali 30-Aug-2024');</v>
      </c>
      <c r="H628" s="84" t="str">
        <f t="shared" si="39"/>
        <v>insert into ins_premium_det (premium_rcv_code,assorted_code, rec_amount,premium_rcv_detail_code,remaining_amt, payrec, mode_code,coinsurance_code,class_cd,it_remarks) values('29Oct240071','040000184809','8800',(select max(to_number(i.premium_rcv_detail_code))+1
from ins_premium_det i),'8800','8800','02', '11000003','00','Request by Mr. Omair Ali 30-Aug-2024');</v>
      </c>
    </row>
    <row r="629" spans="1:8" ht="105" x14ac:dyDescent="0.25">
      <c r="A629" t="s">
        <v>767</v>
      </c>
      <c r="B629" s="80" t="str">
        <f>VLOOKUP(A629,policy!B:C,2,0)</f>
        <v>040000184810</v>
      </c>
      <c r="C629" s="46">
        <v>9550</v>
      </c>
      <c r="D629" s="81">
        <f t="shared" si="37"/>
        <v>9550</v>
      </c>
      <c r="E629" s="79" t="s">
        <v>3563</v>
      </c>
      <c r="F629" s="82" t="str">
        <f t="shared" si="36"/>
        <v>insert into ins_premium_det (premium_rcv_code,assorted_code, rec_amount,premium_rcv_detail_code,remaining_amt, payrec, mode_code,coinsurance_code,class_cd,it_remarks) values</v>
      </c>
      <c r="G629" s="83" t="str">
        <f t="shared" si="38"/>
        <v>('29Oct240071','040000184810','9550',(select max(to_number(i.premium_rcv_detail_code))+1
from ins_premium_det i),'9550','9550','02', '11000003','00','Request by Mr. Omair Ali 30-Aug-2024');</v>
      </c>
      <c r="H629" s="84" t="str">
        <f t="shared" si="39"/>
        <v>insert into ins_premium_det (premium_rcv_code,assorted_code, rec_amount,premium_rcv_detail_code,remaining_amt, payrec, mode_code,coinsurance_code,class_cd,it_remarks) values('29Oct240071','040000184810','9550',(select max(to_number(i.premium_rcv_detail_code))+1
from ins_premium_det i),'9550','9550','02', '11000003','00','Request by Mr. Omair Ali 30-Aug-2024');</v>
      </c>
    </row>
    <row r="630" spans="1:8" ht="105" x14ac:dyDescent="0.25">
      <c r="A630" t="s">
        <v>768</v>
      </c>
      <c r="B630" s="80" t="str">
        <f>VLOOKUP(A630,policy!B:C,2,0)</f>
        <v>040000184811</v>
      </c>
      <c r="C630" s="46">
        <v>8800</v>
      </c>
      <c r="D630" s="81">
        <f t="shared" si="37"/>
        <v>8800</v>
      </c>
      <c r="E630" s="79" t="s">
        <v>3563</v>
      </c>
      <c r="F630" s="82" t="str">
        <f t="shared" si="36"/>
        <v>insert into ins_premium_det (premium_rcv_code,assorted_code, rec_amount,premium_rcv_detail_code,remaining_amt, payrec, mode_code,coinsurance_code,class_cd,it_remarks) values</v>
      </c>
      <c r="G630" s="83" t="str">
        <f t="shared" si="38"/>
        <v>('29Oct240071','040000184811','8800',(select max(to_number(i.premium_rcv_detail_code))+1
from ins_premium_det i),'8800','8800','02', '11000003','00','Request by Mr. Omair Ali 30-Aug-2024');</v>
      </c>
      <c r="H630" s="84" t="str">
        <f t="shared" si="39"/>
        <v>insert into ins_premium_det (premium_rcv_code,assorted_code, rec_amount,premium_rcv_detail_code,remaining_amt, payrec, mode_code,coinsurance_code,class_cd,it_remarks) values('29Oct240071','040000184811','8800',(select max(to_number(i.premium_rcv_detail_code))+1
from ins_premium_det i),'8800','8800','02', '11000003','00','Request by Mr. Omair Ali 30-Aug-2024');</v>
      </c>
    </row>
    <row r="631" spans="1:8" ht="105" x14ac:dyDescent="0.25">
      <c r="A631" t="s">
        <v>769</v>
      </c>
      <c r="B631" s="80" t="str">
        <f>VLOOKUP(A631,policy!B:C,2,0)</f>
        <v>040000184814</v>
      </c>
      <c r="C631" s="46">
        <v>13675</v>
      </c>
      <c r="D631" s="81">
        <f t="shared" si="37"/>
        <v>13675</v>
      </c>
      <c r="E631" s="79" t="s">
        <v>3563</v>
      </c>
      <c r="F631" s="82" t="str">
        <f t="shared" si="36"/>
        <v>insert into ins_premium_det (premium_rcv_code,assorted_code, rec_amount,premium_rcv_detail_code,remaining_amt, payrec, mode_code,coinsurance_code,class_cd,it_remarks) values</v>
      </c>
      <c r="G631" s="83" t="str">
        <f t="shared" si="38"/>
        <v>('29Oct240071','040000184814','13675',(select max(to_number(i.premium_rcv_detail_code))+1
from ins_premium_det i),'13675','13675','02', '11000003','00','Request by Mr. Omair Ali 30-Aug-2024');</v>
      </c>
      <c r="H631" s="84" t="str">
        <f t="shared" si="39"/>
        <v>insert into ins_premium_det (premium_rcv_code,assorted_code, rec_amount,premium_rcv_detail_code,remaining_amt, payrec, mode_code,coinsurance_code,class_cd,it_remarks) values('29Oct240071','040000184814','13675',(select max(to_number(i.premium_rcv_detail_code))+1
from ins_premium_det i),'13675','13675','02', '11000003','00','Request by Mr. Omair Ali 30-Aug-2024');</v>
      </c>
    </row>
    <row r="632" spans="1:8" ht="105" x14ac:dyDescent="0.25">
      <c r="A632" t="s">
        <v>770</v>
      </c>
      <c r="B632" s="80" t="str">
        <f>VLOOKUP(A632,policy!B:C,2,0)</f>
        <v>040000184818</v>
      </c>
      <c r="C632" s="46">
        <v>23248</v>
      </c>
      <c r="D632" s="81">
        <f t="shared" si="37"/>
        <v>23248</v>
      </c>
      <c r="E632" s="79" t="s">
        <v>3563</v>
      </c>
      <c r="F632" s="82" t="str">
        <f t="shared" si="36"/>
        <v>insert into ins_premium_det (premium_rcv_code,assorted_code, rec_amount,premium_rcv_detail_code,remaining_amt, payrec, mode_code,coinsurance_code,class_cd,it_remarks) values</v>
      </c>
      <c r="G632" s="83" t="str">
        <f t="shared" si="38"/>
        <v>('29Oct240071','040000184818','23248',(select max(to_number(i.premium_rcv_detail_code))+1
from ins_premium_det i),'23248','23248','02', '11000003','00','Request by Mr. Omair Ali 30-Aug-2024');</v>
      </c>
      <c r="H632" s="84" t="str">
        <f t="shared" si="39"/>
        <v>insert into ins_premium_det (premium_rcv_code,assorted_code, rec_amount,premium_rcv_detail_code,remaining_amt, payrec, mode_code,coinsurance_code,class_cd,it_remarks) values('29Oct240071','040000184818','23248',(select max(to_number(i.premium_rcv_detail_code))+1
from ins_premium_det i),'23248','23248','02', '11000003','00','Request by Mr. Omair Ali 30-Aug-2024');</v>
      </c>
    </row>
    <row r="633" spans="1:8" ht="105" x14ac:dyDescent="0.25">
      <c r="A633" t="s">
        <v>771</v>
      </c>
      <c r="B633" s="80" t="str">
        <f>VLOOKUP(A633,policy!B:C,2,0)</f>
        <v>040000184819</v>
      </c>
      <c r="C633" s="46">
        <v>9550</v>
      </c>
      <c r="D633" s="81">
        <f t="shared" si="37"/>
        <v>9550</v>
      </c>
      <c r="E633" s="79" t="s">
        <v>3563</v>
      </c>
      <c r="F633" s="82" t="str">
        <f t="shared" si="36"/>
        <v>insert into ins_premium_det (premium_rcv_code,assorted_code, rec_amount,premium_rcv_detail_code,remaining_amt, payrec, mode_code,coinsurance_code,class_cd,it_remarks) values</v>
      </c>
      <c r="G633" s="83" t="str">
        <f t="shared" si="38"/>
        <v>('29Oct240071','040000184819','9550',(select max(to_number(i.premium_rcv_detail_code))+1
from ins_premium_det i),'9550','9550','02', '11000003','00','Request by Mr. Omair Ali 30-Aug-2024');</v>
      </c>
      <c r="H633" s="84" t="str">
        <f t="shared" si="39"/>
        <v>insert into ins_premium_det (premium_rcv_code,assorted_code, rec_amount,premium_rcv_detail_code,remaining_amt, payrec, mode_code,coinsurance_code,class_cd,it_remarks) values('29Oct240071','040000184819','9550',(select max(to_number(i.premium_rcv_detail_code))+1
from ins_premium_det i),'9550','9550','02', '11000003','00','Request by Mr. Omair Ali 30-Aug-2024');</v>
      </c>
    </row>
    <row r="634" spans="1:8" ht="105" x14ac:dyDescent="0.25">
      <c r="A634" t="s">
        <v>772</v>
      </c>
      <c r="B634" s="80" t="str">
        <f>VLOOKUP(A634,policy!B:C,2,0)</f>
        <v>040000184821</v>
      </c>
      <c r="C634" s="46">
        <v>9550</v>
      </c>
      <c r="D634" s="81">
        <f t="shared" si="37"/>
        <v>9550</v>
      </c>
      <c r="E634" s="79" t="s">
        <v>3563</v>
      </c>
      <c r="F634" s="82" t="str">
        <f t="shared" si="36"/>
        <v>insert into ins_premium_det (premium_rcv_code,assorted_code, rec_amount,premium_rcv_detail_code,remaining_amt, payrec, mode_code,coinsurance_code,class_cd,it_remarks) values</v>
      </c>
      <c r="G634" s="83" t="str">
        <f t="shared" si="38"/>
        <v>('29Oct240071','040000184821','9550',(select max(to_number(i.premium_rcv_detail_code))+1
from ins_premium_det i),'9550','9550','02', '11000003','00','Request by Mr. Omair Ali 30-Aug-2024');</v>
      </c>
      <c r="H634" s="84" t="str">
        <f t="shared" si="39"/>
        <v>insert into ins_premium_det (premium_rcv_code,assorted_code, rec_amount,premium_rcv_detail_code,remaining_amt, payrec, mode_code,coinsurance_code,class_cd,it_remarks) values('29Oct240071','040000184821','9550',(select max(to_number(i.premium_rcv_detail_code))+1
from ins_premium_det i),'9550','9550','02', '11000003','00','Request by Mr. Omair Ali 30-Aug-2024');</v>
      </c>
    </row>
    <row r="635" spans="1:8" ht="105" x14ac:dyDescent="0.25">
      <c r="A635" t="s">
        <v>773</v>
      </c>
      <c r="B635" s="80" t="str">
        <f>VLOOKUP(A635,policy!B:C,2,0)</f>
        <v>040000184822</v>
      </c>
      <c r="C635" s="46">
        <v>9550</v>
      </c>
      <c r="D635" s="81">
        <f t="shared" si="37"/>
        <v>9550</v>
      </c>
      <c r="E635" s="79" t="s">
        <v>3563</v>
      </c>
      <c r="F635" s="82" t="str">
        <f t="shared" si="36"/>
        <v>insert into ins_premium_det (premium_rcv_code,assorted_code, rec_amount,premium_rcv_detail_code,remaining_amt, payrec, mode_code,coinsurance_code,class_cd,it_remarks) values</v>
      </c>
      <c r="G635" s="83" t="str">
        <f t="shared" si="38"/>
        <v>('29Oct240071','040000184822','9550',(select max(to_number(i.premium_rcv_detail_code))+1
from ins_premium_det i),'9550','9550','02', '11000003','00','Request by Mr. Omair Ali 30-Aug-2024');</v>
      </c>
      <c r="H635" s="84" t="str">
        <f t="shared" si="39"/>
        <v>insert into ins_premium_det (premium_rcv_code,assorted_code, rec_amount,premium_rcv_detail_code,remaining_amt, payrec, mode_code,coinsurance_code,class_cd,it_remarks) values('29Oct240071','040000184822','9550',(select max(to_number(i.premium_rcv_detail_code))+1
from ins_premium_det i),'9550','9550','02', '11000003','00','Request by Mr. Omair Ali 30-Aug-2024');</v>
      </c>
    </row>
    <row r="636" spans="1:8" ht="105" x14ac:dyDescent="0.25">
      <c r="A636" t="s">
        <v>774</v>
      </c>
      <c r="B636" s="80" t="str">
        <f>VLOOKUP(A636,policy!B:C,2,0)</f>
        <v>040000184824</v>
      </c>
      <c r="C636" s="46">
        <v>8800</v>
      </c>
      <c r="D636" s="81">
        <f t="shared" si="37"/>
        <v>8800</v>
      </c>
      <c r="E636" s="79" t="s">
        <v>3563</v>
      </c>
      <c r="F636" s="82" t="str">
        <f t="shared" si="36"/>
        <v>insert into ins_premium_det (premium_rcv_code,assorted_code, rec_amount,premium_rcv_detail_code,remaining_amt, payrec, mode_code,coinsurance_code,class_cd,it_remarks) values</v>
      </c>
      <c r="G636" s="83" t="str">
        <f t="shared" si="38"/>
        <v>('29Oct240071','040000184824','8800',(select max(to_number(i.premium_rcv_detail_code))+1
from ins_premium_det i),'8800','8800','02', '11000003','00','Request by Mr. Omair Ali 30-Aug-2024');</v>
      </c>
      <c r="H636" s="84" t="str">
        <f t="shared" si="39"/>
        <v>insert into ins_premium_det (premium_rcv_code,assorted_code, rec_amount,premium_rcv_detail_code,remaining_amt, payrec, mode_code,coinsurance_code,class_cd,it_remarks) values('29Oct240071','040000184824','8800',(select max(to_number(i.premium_rcv_detail_code))+1
from ins_premium_det i),'8800','8800','02', '11000003','00','Request by Mr. Omair Ali 30-Aug-2024');</v>
      </c>
    </row>
    <row r="637" spans="1:8" ht="105" x14ac:dyDescent="0.25">
      <c r="A637" t="s">
        <v>775</v>
      </c>
      <c r="B637" s="80" t="str">
        <f>VLOOKUP(A637,policy!B:C,2,0)</f>
        <v>040000184825</v>
      </c>
      <c r="C637" s="46">
        <v>8800</v>
      </c>
      <c r="D637" s="81">
        <f t="shared" si="37"/>
        <v>8800</v>
      </c>
      <c r="E637" s="79" t="s">
        <v>3563</v>
      </c>
      <c r="F637" s="82" t="str">
        <f t="shared" si="36"/>
        <v>insert into ins_premium_det (premium_rcv_code,assorted_code, rec_amount,premium_rcv_detail_code,remaining_amt, payrec, mode_code,coinsurance_code,class_cd,it_remarks) values</v>
      </c>
      <c r="G637" s="83" t="str">
        <f t="shared" si="38"/>
        <v>('29Oct240071','040000184825','8800',(select max(to_number(i.premium_rcv_detail_code))+1
from ins_premium_det i),'8800','8800','02', '11000003','00','Request by Mr. Omair Ali 30-Aug-2024');</v>
      </c>
      <c r="H637" s="84" t="str">
        <f t="shared" si="39"/>
        <v>insert into ins_premium_det (premium_rcv_code,assorted_code, rec_amount,premium_rcv_detail_code,remaining_amt, payrec, mode_code,coinsurance_code,class_cd,it_remarks) values('29Oct240071','040000184825','8800',(select max(to_number(i.premium_rcv_detail_code))+1
from ins_premium_det i),'8800','8800','02', '11000003','00','Request by Mr. Omair Ali 30-Aug-2024');</v>
      </c>
    </row>
    <row r="638" spans="1:8" ht="105" x14ac:dyDescent="0.25">
      <c r="A638" t="s">
        <v>776</v>
      </c>
      <c r="B638" s="80" t="str">
        <f>VLOOKUP(A638,policy!B:C,2,0)</f>
        <v>040000184827</v>
      </c>
      <c r="C638" s="46">
        <v>9550</v>
      </c>
      <c r="D638" s="81">
        <f t="shared" si="37"/>
        <v>9550</v>
      </c>
      <c r="E638" s="79" t="s">
        <v>3563</v>
      </c>
      <c r="F638" s="82" t="str">
        <f t="shared" si="36"/>
        <v>insert into ins_premium_det (premium_rcv_code,assorted_code, rec_amount,premium_rcv_detail_code,remaining_amt, payrec, mode_code,coinsurance_code,class_cd,it_remarks) values</v>
      </c>
      <c r="G638" s="83" t="str">
        <f t="shared" si="38"/>
        <v>('29Oct240071','040000184827','9550',(select max(to_number(i.premium_rcv_detail_code))+1
from ins_premium_det i),'9550','9550','02', '11000003','00','Request by Mr. Omair Ali 30-Aug-2024');</v>
      </c>
      <c r="H638" s="84" t="str">
        <f t="shared" si="39"/>
        <v>insert into ins_premium_det (premium_rcv_code,assorted_code, rec_amount,premium_rcv_detail_code,remaining_amt, payrec, mode_code,coinsurance_code,class_cd,it_remarks) values('29Oct240071','040000184827','9550',(select max(to_number(i.premium_rcv_detail_code))+1
from ins_premium_det i),'9550','9550','02', '11000003','00','Request by Mr. Omair Ali 30-Aug-2024');</v>
      </c>
    </row>
    <row r="639" spans="1:8" ht="105" x14ac:dyDescent="0.25">
      <c r="A639" t="s">
        <v>777</v>
      </c>
      <c r="B639" s="80" t="str">
        <f>VLOOKUP(A639,policy!B:C,2,0)</f>
        <v>040000184829</v>
      </c>
      <c r="C639" s="46">
        <v>8800</v>
      </c>
      <c r="D639" s="81">
        <f t="shared" si="37"/>
        <v>8800</v>
      </c>
      <c r="E639" s="79" t="s">
        <v>3563</v>
      </c>
      <c r="F639" s="82" t="str">
        <f t="shared" si="36"/>
        <v>insert into ins_premium_det (premium_rcv_code,assorted_code, rec_amount,premium_rcv_detail_code,remaining_amt, payrec, mode_code,coinsurance_code,class_cd,it_remarks) values</v>
      </c>
      <c r="G639" s="83" t="str">
        <f t="shared" si="38"/>
        <v>('29Oct240071','040000184829','8800',(select max(to_number(i.premium_rcv_detail_code))+1
from ins_premium_det i),'8800','8800','02', '11000003','00','Request by Mr. Omair Ali 30-Aug-2024');</v>
      </c>
      <c r="H639" s="84" t="str">
        <f t="shared" si="39"/>
        <v>insert into ins_premium_det (premium_rcv_code,assorted_code, rec_amount,premium_rcv_detail_code,remaining_amt, payrec, mode_code,coinsurance_code,class_cd,it_remarks) values('29Oct240071','040000184829','8800',(select max(to_number(i.premium_rcv_detail_code))+1
from ins_premium_det i),'8800','8800','02', '11000003','00','Request by Mr. Omair Ali 30-Aug-2024');</v>
      </c>
    </row>
    <row r="640" spans="1:8" ht="105" x14ac:dyDescent="0.25">
      <c r="A640" t="s">
        <v>778</v>
      </c>
      <c r="B640" s="80" t="str">
        <f>VLOOKUP(A640,policy!B:C,2,0)</f>
        <v>040000184830</v>
      </c>
      <c r="C640" s="46">
        <v>8800</v>
      </c>
      <c r="D640" s="81">
        <f t="shared" si="37"/>
        <v>8800</v>
      </c>
      <c r="E640" s="79" t="s">
        <v>3563</v>
      </c>
      <c r="F640" s="82" t="str">
        <f t="shared" si="36"/>
        <v>insert into ins_premium_det (premium_rcv_code,assorted_code, rec_amount,premium_rcv_detail_code,remaining_amt, payrec, mode_code,coinsurance_code,class_cd,it_remarks) values</v>
      </c>
      <c r="G640" s="83" t="str">
        <f t="shared" si="38"/>
        <v>('29Oct240071','040000184830','8800',(select max(to_number(i.premium_rcv_detail_code))+1
from ins_premium_det i),'8800','8800','02', '11000003','00','Request by Mr. Omair Ali 30-Aug-2024');</v>
      </c>
      <c r="H640" s="84" t="str">
        <f t="shared" si="39"/>
        <v>insert into ins_premium_det (premium_rcv_code,assorted_code, rec_amount,premium_rcv_detail_code,remaining_amt, payrec, mode_code,coinsurance_code,class_cd,it_remarks) values('29Oct240071','040000184830','8800',(select max(to_number(i.premium_rcv_detail_code))+1
from ins_premium_det i),'8800','8800','02', '11000003','00','Request by Mr. Omair Ali 30-Aug-2024');</v>
      </c>
    </row>
    <row r="641" spans="1:8" ht="105" x14ac:dyDescent="0.25">
      <c r="A641" t="s">
        <v>779</v>
      </c>
      <c r="B641" s="80" t="str">
        <f>VLOOKUP(A641,policy!B:C,2,0)</f>
        <v>040000184831</v>
      </c>
      <c r="C641" s="46">
        <v>9550</v>
      </c>
      <c r="D641" s="81">
        <f t="shared" si="37"/>
        <v>9550</v>
      </c>
      <c r="E641" s="79" t="s">
        <v>3563</v>
      </c>
      <c r="F641" s="82" t="str">
        <f t="shared" si="36"/>
        <v>insert into ins_premium_det (premium_rcv_code,assorted_code, rec_amount,premium_rcv_detail_code,remaining_amt, payrec, mode_code,coinsurance_code,class_cd,it_remarks) values</v>
      </c>
      <c r="G641" s="83" t="str">
        <f t="shared" si="38"/>
        <v>('29Oct240071','040000184831','9550',(select max(to_number(i.premium_rcv_detail_code))+1
from ins_premium_det i),'9550','9550','02', '11000003','00','Request by Mr. Omair Ali 30-Aug-2024');</v>
      </c>
      <c r="H641" s="84" t="str">
        <f t="shared" si="39"/>
        <v>insert into ins_premium_det (premium_rcv_code,assorted_code, rec_amount,premium_rcv_detail_code,remaining_amt, payrec, mode_code,coinsurance_code,class_cd,it_remarks) values('29Oct240071','040000184831','9550',(select max(to_number(i.premium_rcv_detail_code))+1
from ins_premium_det i),'9550','9550','02', '11000003','00','Request by Mr. Omair Ali 30-Aug-2024');</v>
      </c>
    </row>
    <row r="642" spans="1:8" ht="105" x14ac:dyDescent="0.25">
      <c r="A642" t="s">
        <v>780</v>
      </c>
      <c r="B642" s="80" t="str">
        <f>VLOOKUP(A642,policy!B:C,2,0)</f>
        <v>040000184834</v>
      </c>
      <c r="C642" s="46">
        <v>8800</v>
      </c>
      <c r="D642" s="81">
        <f t="shared" si="37"/>
        <v>8800</v>
      </c>
      <c r="E642" s="79" t="s">
        <v>3563</v>
      </c>
      <c r="F642" s="82" t="str">
        <f t="shared" ref="F642:F705" si="4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42" s="83" t="str">
        <f t="shared" si="38"/>
        <v>('29Oct240071','040000184834','8800',(select max(to_number(i.premium_rcv_detail_code))+1
from ins_premium_det i),'8800','8800','02', '11000003','00','Request by Mr. Omair Ali 30-Aug-2024');</v>
      </c>
      <c r="H642" s="84" t="str">
        <f t="shared" si="39"/>
        <v>insert into ins_premium_det (premium_rcv_code,assorted_code, rec_amount,premium_rcv_detail_code,remaining_amt, payrec, mode_code,coinsurance_code,class_cd,it_remarks) values('29Oct240071','040000184834','8800',(select max(to_number(i.premium_rcv_detail_code))+1
from ins_premium_det i),'8800','8800','02', '11000003','00','Request by Mr. Omair Ali 30-Aug-2024');</v>
      </c>
    </row>
    <row r="643" spans="1:8" ht="105" x14ac:dyDescent="0.25">
      <c r="A643" t="s">
        <v>781</v>
      </c>
      <c r="B643" s="80" t="str">
        <f>VLOOKUP(A643,policy!B:C,2,0)</f>
        <v>040000184835</v>
      </c>
      <c r="C643" s="46">
        <v>9550</v>
      </c>
      <c r="D643" s="81">
        <f t="shared" ref="D643:D706" si="41">ROUND(C643,0)</f>
        <v>9550</v>
      </c>
      <c r="E643" s="79" t="s">
        <v>3563</v>
      </c>
      <c r="F643" s="82" t="str">
        <f t="shared" si="40"/>
        <v>insert into ins_premium_det (premium_rcv_code,assorted_code, rec_amount,premium_rcv_detail_code,remaining_amt, payrec, mode_code,coinsurance_code,class_cd,it_remarks) values</v>
      </c>
      <c r="G643" s="83" t="str">
        <f t="shared" ref="G643:G706" si="42">"('"&amp;E643&amp;"','"&amp;B643&amp;"','"&amp;D643&amp;"',(select max(to_number(i.premium_rcv_detail_code))+1
from ins_premium_det i),'"&amp;D643&amp;"','"&amp;D643&amp;"','02', '11000003','00','Request by Mr. Omair Ali 30-Aug-2024');"</f>
        <v>('29Oct240071','040000184835','9550',(select max(to_number(i.premium_rcv_detail_code))+1
from ins_premium_det i),'9550','9550','02', '11000003','00','Request by Mr. Omair Ali 30-Aug-2024');</v>
      </c>
      <c r="H643" s="84" t="str">
        <f t="shared" ref="H643:H706" si="43">F643&amp;G643</f>
        <v>insert into ins_premium_det (premium_rcv_code,assorted_code, rec_amount,premium_rcv_detail_code,remaining_amt, payrec, mode_code,coinsurance_code,class_cd,it_remarks) values('29Oct240071','040000184835','9550',(select max(to_number(i.premium_rcv_detail_code))+1
from ins_premium_det i),'9550','9550','02', '11000003','00','Request by Mr. Omair Ali 30-Aug-2024');</v>
      </c>
    </row>
    <row r="644" spans="1:8" ht="105" x14ac:dyDescent="0.25">
      <c r="A644" t="s">
        <v>782</v>
      </c>
      <c r="B644" s="80" t="str">
        <f>VLOOKUP(A644,policy!B:C,2,0)</f>
        <v>040000184836</v>
      </c>
      <c r="C644" s="46">
        <v>8800</v>
      </c>
      <c r="D644" s="81">
        <f t="shared" si="41"/>
        <v>8800</v>
      </c>
      <c r="E644" s="79" t="s">
        <v>3563</v>
      </c>
      <c r="F644" s="82" t="str">
        <f t="shared" si="40"/>
        <v>insert into ins_premium_det (premium_rcv_code,assorted_code, rec_amount,premium_rcv_detail_code,remaining_amt, payrec, mode_code,coinsurance_code,class_cd,it_remarks) values</v>
      </c>
      <c r="G644" s="83" t="str">
        <f t="shared" si="42"/>
        <v>('29Oct240071','040000184836','8800',(select max(to_number(i.premium_rcv_detail_code))+1
from ins_premium_det i),'8800','8800','02', '11000003','00','Request by Mr. Omair Ali 30-Aug-2024');</v>
      </c>
      <c r="H644" s="84" t="str">
        <f t="shared" si="43"/>
        <v>insert into ins_premium_det (premium_rcv_code,assorted_code, rec_amount,premium_rcv_detail_code,remaining_amt, payrec, mode_code,coinsurance_code,class_cd,it_remarks) values('29Oct240071','040000184836','8800',(select max(to_number(i.premium_rcv_detail_code))+1
from ins_premium_det i),'8800','8800','02', '11000003','00','Request by Mr. Omair Ali 30-Aug-2024');</v>
      </c>
    </row>
    <row r="645" spans="1:8" ht="105" x14ac:dyDescent="0.25">
      <c r="A645" t="s">
        <v>783</v>
      </c>
      <c r="B645" s="80" t="str">
        <f>VLOOKUP(A645,policy!B:C,2,0)</f>
        <v>040000184838</v>
      </c>
      <c r="C645" s="46">
        <v>8800</v>
      </c>
      <c r="D645" s="81">
        <f t="shared" si="41"/>
        <v>8800</v>
      </c>
      <c r="E645" s="79" t="s">
        <v>3563</v>
      </c>
      <c r="F645" s="82" t="str">
        <f t="shared" si="40"/>
        <v>insert into ins_premium_det (premium_rcv_code,assorted_code, rec_amount,premium_rcv_detail_code,remaining_amt, payrec, mode_code,coinsurance_code,class_cd,it_remarks) values</v>
      </c>
      <c r="G645" s="83" t="str">
        <f t="shared" si="42"/>
        <v>('29Oct240071','040000184838','8800',(select max(to_number(i.premium_rcv_detail_code))+1
from ins_premium_det i),'8800','8800','02', '11000003','00','Request by Mr. Omair Ali 30-Aug-2024');</v>
      </c>
      <c r="H645" s="84" t="str">
        <f t="shared" si="43"/>
        <v>insert into ins_premium_det (premium_rcv_code,assorted_code, rec_amount,premium_rcv_detail_code,remaining_amt, payrec, mode_code,coinsurance_code,class_cd,it_remarks) values('29Oct240071','040000184838','8800',(select max(to_number(i.premium_rcv_detail_code))+1
from ins_premium_det i),'8800','8800','02', '11000003','00','Request by Mr. Omair Ali 30-Aug-2024');</v>
      </c>
    </row>
    <row r="646" spans="1:8" ht="105" x14ac:dyDescent="0.25">
      <c r="A646" t="s">
        <v>784</v>
      </c>
      <c r="B646" s="80" t="str">
        <f>VLOOKUP(A646,policy!B:C,2,0)</f>
        <v>040000184841</v>
      </c>
      <c r="C646" s="46">
        <v>8800</v>
      </c>
      <c r="D646" s="81">
        <f t="shared" si="41"/>
        <v>8800</v>
      </c>
      <c r="E646" s="79" t="s">
        <v>3563</v>
      </c>
      <c r="F646" s="82" t="str">
        <f t="shared" si="40"/>
        <v>insert into ins_premium_det (premium_rcv_code,assorted_code, rec_amount,premium_rcv_detail_code,remaining_amt, payrec, mode_code,coinsurance_code,class_cd,it_remarks) values</v>
      </c>
      <c r="G646" s="83" t="str">
        <f t="shared" si="42"/>
        <v>('29Oct240071','040000184841','8800',(select max(to_number(i.premium_rcv_detail_code))+1
from ins_premium_det i),'8800','8800','02', '11000003','00','Request by Mr. Omair Ali 30-Aug-2024');</v>
      </c>
      <c r="H646" s="84" t="str">
        <f t="shared" si="43"/>
        <v>insert into ins_premium_det (premium_rcv_code,assorted_code, rec_amount,premium_rcv_detail_code,remaining_amt, payrec, mode_code,coinsurance_code,class_cd,it_remarks) values('29Oct240071','040000184841','8800',(select max(to_number(i.premium_rcv_detail_code))+1
from ins_premium_det i),'8800','8800','02', '11000003','00','Request by Mr. Omair Ali 30-Aug-2024');</v>
      </c>
    </row>
    <row r="647" spans="1:8" ht="105" x14ac:dyDescent="0.25">
      <c r="A647" t="s">
        <v>785</v>
      </c>
      <c r="B647" s="80" t="str">
        <f>VLOOKUP(A647,policy!B:C,2,0)</f>
        <v>040000184843</v>
      </c>
      <c r="C647" s="46">
        <v>12475</v>
      </c>
      <c r="D647" s="81">
        <f t="shared" si="41"/>
        <v>12475</v>
      </c>
      <c r="E647" s="79" t="s">
        <v>3563</v>
      </c>
      <c r="F647" s="82" t="str">
        <f t="shared" si="40"/>
        <v>insert into ins_premium_det (premium_rcv_code,assorted_code, rec_amount,premium_rcv_detail_code,remaining_amt, payrec, mode_code,coinsurance_code,class_cd,it_remarks) values</v>
      </c>
      <c r="G647" s="83" t="str">
        <f t="shared" si="42"/>
        <v>('29Oct240071','040000184843','12475',(select max(to_number(i.premium_rcv_detail_code))+1
from ins_premium_det i),'12475','12475','02', '11000003','00','Request by Mr. Omair Ali 30-Aug-2024');</v>
      </c>
      <c r="H647" s="84" t="str">
        <f t="shared" si="43"/>
        <v>insert into ins_premium_det (premium_rcv_code,assorted_code, rec_amount,premium_rcv_detail_code,remaining_amt, payrec, mode_code,coinsurance_code,class_cd,it_remarks) values('29Oct240071','040000184843','12475',(select max(to_number(i.premium_rcv_detail_code))+1
from ins_premium_det i),'12475','12475','02', '11000003','00','Request by Mr. Omair Ali 30-Aug-2024');</v>
      </c>
    </row>
    <row r="648" spans="1:8" ht="105" x14ac:dyDescent="0.25">
      <c r="A648" t="s">
        <v>786</v>
      </c>
      <c r="B648" s="80" t="str">
        <f>VLOOKUP(A648,policy!B:C,2,0)</f>
        <v>040000184845</v>
      </c>
      <c r="C648" s="46">
        <v>8800</v>
      </c>
      <c r="D648" s="81">
        <f t="shared" si="41"/>
        <v>8800</v>
      </c>
      <c r="E648" s="79" t="s">
        <v>3563</v>
      </c>
      <c r="F648" s="82" t="str">
        <f t="shared" si="40"/>
        <v>insert into ins_premium_det (premium_rcv_code,assorted_code, rec_amount,premium_rcv_detail_code,remaining_amt, payrec, mode_code,coinsurance_code,class_cd,it_remarks) values</v>
      </c>
      <c r="G648" s="83" t="str">
        <f t="shared" si="42"/>
        <v>('29Oct240071','040000184845','8800',(select max(to_number(i.premium_rcv_detail_code))+1
from ins_premium_det i),'8800','8800','02', '11000003','00','Request by Mr. Omair Ali 30-Aug-2024');</v>
      </c>
      <c r="H648" s="84" t="str">
        <f t="shared" si="43"/>
        <v>insert into ins_premium_det (premium_rcv_code,assorted_code, rec_amount,premium_rcv_detail_code,remaining_amt, payrec, mode_code,coinsurance_code,class_cd,it_remarks) values('29Oct240071','040000184845','8800',(select max(to_number(i.premium_rcv_detail_code))+1
from ins_premium_det i),'8800','8800','02', '11000003','00','Request by Mr. Omair Ali 30-Aug-2024');</v>
      </c>
    </row>
    <row r="649" spans="1:8" ht="105" x14ac:dyDescent="0.25">
      <c r="A649" t="s">
        <v>787</v>
      </c>
      <c r="B649" s="80" t="str">
        <f>VLOOKUP(A649,policy!B:C,2,0)</f>
        <v>040000184847</v>
      </c>
      <c r="C649" s="46">
        <v>8800</v>
      </c>
      <c r="D649" s="81">
        <f t="shared" si="41"/>
        <v>8800</v>
      </c>
      <c r="E649" s="79" t="s">
        <v>3563</v>
      </c>
      <c r="F649" s="82" t="str">
        <f t="shared" si="40"/>
        <v>insert into ins_premium_det (premium_rcv_code,assorted_code, rec_amount,premium_rcv_detail_code,remaining_amt, payrec, mode_code,coinsurance_code,class_cd,it_remarks) values</v>
      </c>
      <c r="G649" s="83" t="str">
        <f t="shared" si="42"/>
        <v>('29Oct240071','040000184847','8800',(select max(to_number(i.premium_rcv_detail_code))+1
from ins_premium_det i),'8800','8800','02', '11000003','00','Request by Mr. Omair Ali 30-Aug-2024');</v>
      </c>
      <c r="H649" s="84" t="str">
        <f t="shared" si="43"/>
        <v>insert into ins_premium_det (premium_rcv_code,assorted_code, rec_amount,premium_rcv_detail_code,remaining_amt, payrec, mode_code,coinsurance_code,class_cd,it_remarks) values('29Oct240071','040000184847','8800',(select max(to_number(i.premium_rcv_detail_code))+1
from ins_premium_det i),'8800','8800','02', '11000003','00','Request by Mr. Omair Ali 30-Aug-2024');</v>
      </c>
    </row>
    <row r="650" spans="1:8" ht="105" x14ac:dyDescent="0.25">
      <c r="A650" t="s">
        <v>788</v>
      </c>
      <c r="B650" s="80" t="str">
        <f>VLOOKUP(A650,policy!B:C,2,0)</f>
        <v>040000184859</v>
      </c>
      <c r="C650" s="46">
        <v>8800</v>
      </c>
      <c r="D650" s="81">
        <f t="shared" si="41"/>
        <v>8800</v>
      </c>
      <c r="E650" s="79" t="s">
        <v>3563</v>
      </c>
      <c r="F650" s="82" t="str">
        <f t="shared" si="40"/>
        <v>insert into ins_premium_det (premium_rcv_code,assorted_code, rec_amount,premium_rcv_detail_code,remaining_amt, payrec, mode_code,coinsurance_code,class_cd,it_remarks) values</v>
      </c>
      <c r="G650" s="83" t="str">
        <f t="shared" si="42"/>
        <v>('29Oct240071','040000184859','8800',(select max(to_number(i.premium_rcv_detail_code))+1
from ins_premium_det i),'8800','8800','02', '11000003','00','Request by Mr. Omair Ali 30-Aug-2024');</v>
      </c>
      <c r="H650" s="84" t="str">
        <f t="shared" si="43"/>
        <v>insert into ins_premium_det (premium_rcv_code,assorted_code, rec_amount,premium_rcv_detail_code,remaining_amt, payrec, mode_code,coinsurance_code,class_cd,it_remarks) values('29Oct240071','040000184859','8800',(select max(to_number(i.premium_rcv_detail_code))+1
from ins_premium_det i),'8800','8800','02', '11000003','00','Request by Mr. Omair Ali 30-Aug-2024');</v>
      </c>
    </row>
    <row r="651" spans="1:8" ht="105" x14ac:dyDescent="0.25">
      <c r="A651" t="s">
        <v>789</v>
      </c>
      <c r="B651" s="80" t="str">
        <f>VLOOKUP(A651,policy!B:C,2,0)</f>
        <v>040000184860</v>
      </c>
      <c r="C651" s="46">
        <v>9550</v>
      </c>
      <c r="D651" s="81">
        <f t="shared" si="41"/>
        <v>9550</v>
      </c>
      <c r="E651" s="79" t="s">
        <v>3563</v>
      </c>
      <c r="F651" s="82" t="str">
        <f t="shared" si="40"/>
        <v>insert into ins_premium_det (premium_rcv_code,assorted_code, rec_amount,premium_rcv_detail_code,remaining_amt, payrec, mode_code,coinsurance_code,class_cd,it_remarks) values</v>
      </c>
      <c r="G651" s="83" t="str">
        <f t="shared" si="42"/>
        <v>('29Oct240071','040000184860','9550',(select max(to_number(i.premium_rcv_detail_code))+1
from ins_premium_det i),'9550','9550','02', '11000003','00','Request by Mr. Omair Ali 30-Aug-2024');</v>
      </c>
      <c r="H651" s="84" t="str">
        <f t="shared" si="43"/>
        <v>insert into ins_premium_det (premium_rcv_code,assorted_code, rec_amount,premium_rcv_detail_code,remaining_amt, payrec, mode_code,coinsurance_code,class_cd,it_remarks) values('29Oct240071','040000184860','9550',(select max(to_number(i.premium_rcv_detail_code))+1
from ins_premium_det i),'9550','9550','02', '11000003','00','Request by Mr. Omair Ali 30-Aug-2024');</v>
      </c>
    </row>
    <row r="652" spans="1:8" ht="105" x14ac:dyDescent="0.25">
      <c r="A652" t="s">
        <v>790</v>
      </c>
      <c r="B652" s="80" t="str">
        <f>VLOOKUP(A652,policy!B:C,2,0)</f>
        <v>040000184871</v>
      </c>
      <c r="C652" s="46">
        <v>21208</v>
      </c>
      <c r="D652" s="81">
        <f t="shared" si="41"/>
        <v>21208</v>
      </c>
      <c r="E652" s="79" t="s">
        <v>3563</v>
      </c>
      <c r="F652" s="82" t="str">
        <f t="shared" si="40"/>
        <v>insert into ins_premium_det (premium_rcv_code,assorted_code, rec_amount,premium_rcv_detail_code,remaining_amt, payrec, mode_code,coinsurance_code,class_cd,it_remarks) values</v>
      </c>
      <c r="G652" s="83" t="str">
        <f t="shared" si="42"/>
        <v>('29Oct240071','040000184871','21208',(select max(to_number(i.premium_rcv_detail_code))+1
from ins_premium_det i),'21208','21208','02', '11000003','00','Request by Mr. Omair Ali 30-Aug-2024');</v>
      </c>
      <c r="H652" s="84" t="str">
        <f t="shared" si="43"/>
        <v>insert into ins_premium_det (premium_rcv_code,assorted_code, rec_amount,premium_rcv_detail_code,remaining_amt, payrec, mode_code,coinsurance_code,class_cd,it_remarks) values('29Oct240071','040000184871','21208',(select max(to_number(i.premium_rcv_detail_code))+1
from ins_premium_det i),'21208','21208','02', '11000003','00','Request by Mr. Omair Ali 30-Aug-2024');</v>
      </c>
    </row>
    <row r="653" spans="1:8" ht="105" x14ac:dyDescent="0.25">
      <c r="A653" t="s">
        <v>791</v>
      </c>
      <c r="B653" s="80" t="str">
        <f>VLOOKUP(A653,policy!B:C,2,0)</f>
        <v>040000184872</v>
      </c>
      <c r="C653" s="46">
        <v>14960</v>
      </c>
      <c r="D653" s="81">
        <f t="shared" si="41"/>
        <v>14960</v>
      </c>
      <c r="E653" s="79" t="s">
        <v>3563</v>
      </c>
      <c r="F653" s="82" t="str">
        <f t="shared" si="40"/>
        <v>insert into ins_premium_det (premium_rcv_code,assorted_code, rec_amount,premium_rcv_detail_code,remaining_amt, payrec, mode_code,coinsurance_code,class_cd,it_remarks) values</v>
      </c>
      <c r="G653" s="83" t="str">
        <f t="shared" si="42"/>
        <v>('29Oct240071','040000184872','14960',(select max(to_number(i.premium_rcv_detail_code))+1
from ins_premium_det i),'14960','14960','02', '11000003','00','Request by Mr. Omair Ali 30-Aug-2024');</v>
      </c>
      <c r="H653" s="84" t="str">
        <f t="shared" si="43"/>
        <v>insert into ins_premium_det (premium_rcv_code,assorted_code, rec_amount,premium_rcv_detail_code,remaining_amt, payrec, mode_code,coinsurance_code,class_cd,it_remarks) values('29Oct240071','040000184872','14960',(select max(to_number(i.premium_rcv_detail_code))+1
from ins_premium_det i),'14960','14960','02', '11000003','00','Request by Mr. Omair Ali 30-Aug-2024');</v>
      </c>
    </row>
    <row r="654" spans="1:8" ht="105" x14ac:dyDescent="0.25">
      <c r="A654" t="s">
        <v>792</v>
      </c>
      <c r="B654" s="80" t="str">
        <f>VLOOKUP(A654,policy!B:C,2,0)</f>
        <v>040000184873</v>
      </c>
      <c r="C654" s="46">
        <v>14960</v>
      </c>
      <c r="D654" s="81">
        <f t="shared" si="41"/>
        <v>14960</v>
      </c>
      <c r="E654" s="79" t="s">
        <v>3563</v>
      </c>
      <c r="F654" s="82" t="str">
        <f t="shared" si="40"/>
        <v>insert into ins_premium_det (premium_rcv_code,assorted_code, rec_amount,premium_rcv_detail_code,remaining_amt, payrec, mode_code,coinsurance_code,class_cd,it_remarks) values</v>
      </c>
      <c r="G654" s="83" t="str">
        <f t="shared" si="42"/>
        <v>('29Oct240071','040000184873','14960',(select max(to_number(i.premium_rcv_detail_code))+1
from ins_premium_det i),'14960','14960','02', '11000003','00','Request by Mr. Omair Ali 30-Aug-2024');</v>
      </c>
      <c r="H654" s="84" t="str">
        <f t="shared" si="43"/>
        <v>insert into ins_premium_det (premium_rcv_code,assorted_code, rec_amount,premium_rcv_detail_code,remaining_amt, payrec, mode_code,coinsurance_code,class_cd,it_remarks) values('29Oct240071','040000184873','14960',(select max(to_number(i.premium_rcv_detail_code))+1
from ins_premium_det i),'14960','14960','02', '11000003','00','Request by Mr. Omair Ali 30-Aug-2024');</v>
      </c>
    </row>
    <row r="655" spans="1:8" ht="105" x14ac:dyDescent="0.25">
      <c r="A655" t="s">
        <v>793</v>
      </c>
      <c r="B655" s="80" t="str">
        <f>VLOOKUP(A655,policy!B:C,2,0)</f>
        <v>040000184874</v>
      </c>
      <c r="C655" s="46">
        <v>23248</v>
      </c>
      <c r="D655" s="81">
        <f t="shared" si="41"/>
        <v>23248</v>
      </c>
      <c r="E655" s="79" t="s">
        <v>3563</v>
      </c>
      <c r="F655" s="82" t="str">
        <f t="shared" si="40"/>
        <v>insert into ins_premium_det (premium_rcv_code,assorted_code, rec_amount,premium_rcv_detail_code,remaining_amt, payrec, mode_code,coinsurance_code,class_cd,it_remarks) values</v>
      </c>
      <c r="G655" s="83" t="str">
        <f t="shared" si="42"/>
        <v>('29Oct240071','040000184874','23248',(select max(to_number(i.premium_rcv_detail_code))+1
from ins_premium_det i),'23248','23248','02', '11000003','00','Request by Mr. Omair Ali 30-Aug-2024');</v>
      </c>
      <c r="H655" s="84" t="str">
        <f t="shared" si="43"/>
        <v>insert into ins_premium_det (premium_rcv_code,assorted_code, rec_amount,premium_rcv_detail_code,remaining_amt, payrec, mode_code,coinsurance_code,class_cd,it_remarks) values('29Oct240071','040000184874','23248',(select max(to_number(i.premium_rcv_detail_code))+1
from ins_premium_det i),'23248','23248','02', '11000003','00','Request by Mr. Omair Ali 30-Aug-2024');</v>
      </c>
    </row>
    <row r="656" spans="1:8" ht="105" x14ac:dyDescent="0.25">
      <c r="A656" t="s">
        <v>794</v>
      </c>
      <c r="B656" s="80" t="str">
        <f>VLOOKUP(A656,policy!B:C,2,0)</f>
        <v>040000184875</v>
      </c>
      <c r="C656" s="46">
        <v>23248</v>
      </c>
      <c r="D656" s="81">
        <f t="shared" si="41"/>
        <v>23248</v>
      </c>
      <c r="E656" s="79" t="s">
        <v>3563</v>
      </c>
      <c r="F656" s="82" t="str">
        <f t="shared" si="40"/>
        <v>insert into ins_premium_det (premium_rcv_code,assorted_code, rec_amount,premium_rcv_detail_code,remaining_amt, payrec, mode_code,coinsurance_code,class_cd,it_remarks) values</v>
      </c>
      <c r="G656" s="83" t="str">
        <f t="shared" si="42"/>
        <v>('29Oct240071','040000184875','23248',(select max(to_number(i.premium_rcv_detail_code))+1
from ins_premium_det i),'23248','23248','02', '11000003','00','Request by Mr. Omair Ali 30-Aug-2024');</v>
      </c>
      <c r="H656" s="84" t="str">
        <f t="shared" si="43"/>
        <v>insert into ins_premium_det (premium_rcv_code,assorted_code, rec_amount,premium_rcv_detail_code,remaining_amt, payrec, mode_code,coinsurance_code,class_cd,it_remarks) values('29Oct240071','040000184875','23248',(select max(to_number(i.premium_rcv_detail_code))+1
from ins_premium_det i),'23248','23248','02', '11000003','00','Request by Mr. Omair Ali 30-Aug-2024');</v>
      </c>
    </row>
    <row r="657" spans="1:8" ht="105" x14ac:dyDescent="0.25">
      <c r="A657" t="s">
        <v>795</v>
      </c>
      <c r="B657" s="80" t="str">
        <f>VLOOKUP(A657,policy!B:C,2,0)</f>
        <v>040000184876</v>
      </c>
      <c r="C657" s="46">
        <v>14960</v>
      </c>
      <c r="D657" s="81">
        <f t="shared" si="41"/>
        <v>14960</v>
      </c>
      <c r="E657" s="79" t="s">
        <v>3563</v>
      </c>
      <c r="F657" s="82" t="str">
        <f t="shared" si="40"/>
        <v>insert into ins_premium_det (premium_rcv_code,assorted_code, rec_amount,premium_rcv_detail_code,remaining_amt, payrec, mode_code,coinsurance_code,class_cd,it_remarks) values</v>
      </c>
      <c r="G657" s="83" t="str">
        <f t="shared" si="42"/>
        <v>('29Oct240071','040000184876','14960',(select max(to_number(i.premium_rcv_detail_code))+1
from ins_premium_det i),'14960','14960','02', '11000003','00','Request by Mr. Omair Ali 30-Aug-2024');</v>
      </c>
      <c r="H657" s="84" t="str">
        <f t="shared" si="43"/>
        <v>insert into ins_premium_det (premium_rcv_code,assorted_code, rec_amount,premium_rcv_detail_code,remaining_amt, payrec, mode_code,coinsurance_code,class_cd,it_remarks) values('29Oct240071','040000184876','14960',(select max(to_number(i.premium_rcv_detail_code))+1
from ins_premium_det i),'14960','14960','02', '11000003','00','Request by Mr. Omair Ali 30-Aug-2024');</v>
      </c>
    </row>
    <row r="658" spans="1:8" ht="105" x14ac:dyDescent="0.25">
      <c r="A658" t="s">
        <v>796</v>
      </c>
      <c r="B658" s="80" t="str">
        <f>VLOOKUP(A658,policy!B:C,2,0)</f>
        <v>040000184877</v>
      </c>
      <c r="C658" s="46">
        <v>14960</v>
      </c>
      <c r="D658" s="81">
        <f t="shared" si="41"/>
        <v>14960</v>
      </c>
      <c r="E658" s="79" t="s">
        <v>3563</v>
      </c>
      <c r="F658" s="82" t="str">
        <f t="shared" si="40"/>
        <v>insert into ins_premium_det (premium_rcv_code,assorted_code, rec_amount,premium_rcv_detail_code,remaining_amt, payrec, mode_code,coinsurance_code,class_cd,it_remarks) values</v>
      </c>
      <c r="G658" s="83" t="str">
        <f t="shared" si="42"/>
        <v>('29Oct240071','040000184877','14960',(select max(to_number(i.premium_rcv_detail_code))+1
from ins_premium_det i),'14960','14960','02', '11000003','00','Request by Mr. Omair Ali 30-Aug-2024');</v>
      </c>
      <c r="H658" s="84" t="str">
        <f t="shared" si="43"/>
        <v>insert into ins_premium_det (premium_rcv_code,assorted_code, rec_amount,premium_rcv_detail_code,remaining_amt, payrec, mode_code,coinsurance_code,class_cd,it_remarks) values('29Oct240071','040000184877','14960',(select max(to_number(i.premium_rcv_detail_code))+1
from ins_premium_det i),'14960','14960','02', '11000003','00','Request by Mr. Omair Ali 30-Aug-2024');</v>
      </c>
    </row>
    <row r="659" spans="1:8" ht="105" x14ac:dyDescent="0.25">
      <c r="A659" t="s">
        <v>797</v>
      </c>
      <c r="B659" s="80" t="str">
        <f>VLOOKUP(A659,policy!B:C,2,0)</f>
        <v>040000184879</v>
      </c>
      <c r="C659" s="46">
        <v>14960</v>
      </c>
      <c r="D659" s="81">
        <f t="shared" si="41"/>
        <v>14960</v>
      </c>
      <c r="E659" s="79" t="s">
        <v>3563</v>
      </c>
      <c r="F659" s="82" t="str">
        <f t="shared" si="40"/>
        <v>insert into ins_premium_det (premium_rcv_code,assorted_code, rec_amount,premium_rcv_detail_code,remaining_amt, payrec, mode_code,coinsurance_code,class_cd,it_remarks) values</v>
      </c>
      <c r="G659" s="83" t="str">
        <f t="shared" si="42"/>
        <v>('29Oct240071','040000184879','14960',(select max(to_number(i.premium_rcv_detail_code))+1
from ins_premium_det i),'14960','14960','02', '11000003','00','Request by Mr. Omair Ali 30-Aug-2024');</v>
      </c>
      <c r="H659" s="84" t="str">
        <f t="shared" si="43"/>
        <v>insert into ins_premium_det (premium_rcv_code,assorted_code, rec_amount,premium_rcv_detail_code,remaining_amt, payrec, mode_code,coinsurance_code,class_cd,it_remarks) values('29Oct240071','040000184879','14960',(select max(to_number(i.premium_rcv_detail_code))+1
from ins_premium_det i),'14960','14960','02', '11000003','00','Request by Mr. Omair Ali 30-Aug-2024');</v>
      </c>
    </row>
    <row r="660" spans="1:8" ht="105" x14ac:dyDescent="0.25">
      <c r="A660" t="s">
        <v>798</v>
      </c>
      <c r="B660" s="80" t="str">
        <f>VLOOKUP(A660,policy!B:C,2,0)</f>
        <v>040000184901</v>
      </c>
      <c r="C660" s="46">
        <v>8800</v>
      </c>
      <c r="D660" s="81">
        <f t="shared" si="41"/>
        <v>8800</v>
      </c>
      <c r="E660" s="79" t="s">
        <v>3563</v>
      </c>
      <c r="F660" s="82" t="str">
        <f t="shared" si="40"/>
        <v>insert into ins_premium_det (premium_rcv_code,assorted_code, rec_amount,premium_rcv_detail_code,remaining_amt, payrec, mode_code,coinsurance_code,class_cd,it_remarks) values</v>
      </c>
      <c r="G660" s="83" t="str">
        <f t="shared" si="42"/>
        <v>('29Oct240071','040000184901','8800',(select max(to_number(i.premium_rcv_detail_code))+1
from ins_premium_det i),'8800','8800','02', '11000003','00','Request by Mr. Omair Ali 30-Aug-2024');</v>
      </c>
      <c r="H660" s="84" t="str">
        <f t="shared" si="43"/>
        <v>insert into ins_premium_det (premium_rcv_code,assorted_code, rec_amount,premium_rcv_detail_code,remaining_amt, payrec, mode_code,coinsurance_code,class_cd,it_remarks) values('29Oct240071','040000184901','8800',(select max(to_number(i.premium_rcv_detail_code))+1
from ins_premium_det i),'8800','8800','02', '11000003','00','Request by Mr. Omair Ali 30-Aug-2024');</v>
      </c>
    </row>
    <row r="661" spans="1:8" ht="105" x14ac:dyDescent="0.25">
      <c r="A661" t="s">
        <v>799</v>
      </c>
      <c r="B661" s="80" t="str">
        <f>VLOOKUP(A661,policy!B:C,2,0)</f>
        <v>040000184910</v>
      </c>
      <c r="C661" s="46">
        <v>8800</v>
      </c>
      <c r="D661" s="81">
        <f t="shared" si="41"/>
        <v>8800</v>
      </c>
      <c r="E661" s="79" t="s">
        <v>3563</v>
      </c>
      <c r="F661" s="82" t="str">
        <f t="shared" si="40"/>
        <v>insert into ins_premium_det (premium_rcv_code,assorted_code, rec_amount,premium_rcv_detail_code,remaining_amt, payrec, mode_code,coinsurance_code,class_cd,it_remarks) values</v>
      </c>
      <c r="G661" s="83" t="str">
        <f t="shared" si="42"/>
        <v>('29Oct240071','040000184910','8800',(select max(to_number(i.premium_rcv_detail_code))+1
from ins_premium_det i),'8800','8800','02', '11000003','00','Request by Mr. Omair Ali 30-Aug-2024');</v>
      </c>
      <c r="H661" s="84" t="str">
        <f t="shared" si="43"/>
        <v>insert into ins_premium_det (premium_rcv_code,assorted_code, rec_amount,premium_rcv_detail_code,remaining_amt, payrec, mode_code,coinsurance_code,class_cd,it_remarks) values('29Oct240071','040000184910','8800',(select max(to_number(i.premium_rcv_detail_code))+1
from ins_premium_det i),'8800','8800','02', '11000003','00','Request by Mr. Omair Ali 30-Aug-2024');</v>
      </c>
    </row>
    <row r="662" spans="1:8" ht="105" x14ac:dyDescent="0.25">
      <c r="A662" t="s">
        <v>800</v>
      </c>
      <c r="B662" s="80" t="str">
        <f>VLOOKUP(A662,policy!B:C,2,0)</f>
        <v>040000184912</v>
      </c>
      <c r="C662" s="46">
        <v>9550</v>
      </c>
      <c r="D662" s="81">
        <f t="shared" si="41"/>
        <v>9550</v>
      </c>
      <c r="E662" s="79" t="s">
        <v>3563</v>
      </c>
      <c r="F662" s="82" t="str">
        <f t="shared" si="40"/>
        <v>insert into ins_premium_det (premium_rcv_code,assorted_code, rec_amount,premium_rcv_detail_code,remaining_amt, payrec, mode_code,coinsurance_code,class_cd,it_remarks) values</v>
      </c>
      <c r="G662" s="83" t="str">
        <f t="shared" si="42"/>
        <v>('29Oct240071','040000184912','9550',(select max(to_number(i.premium_rcv_detail_code))+1
from ins_premium_det i),'9550','9550','02', '11000003','00','Request by Mr. Omair Ali 30-Aug-2024');</v>
      </c>
      <c r="H662" s="84" t="str">
        <f t="shared" si="43"/>
        <v>insert into ins_premium_det (premium_rcv_code,assorted_code, rec_amount,premium_rcv_detail_code,remaining_amt, payrec, mode_code,coinsurance_code,class_cd,it_remarks) values('29Oct240071','040000184912','9550',(select max(to_number(i.premium_rcv_detail_code))+1
from ins_premium_det i),'9550','9550','02', '11000003','00','Request by Mr. Omair Ali 30-Aug-2024');</v>
      </c>
    </row>
    <row r="663" spans="1:8" ht="105" x14ac:dyDescent="0.25">
      <c r="A663" t="s">
        <v>801</v>
      </c>
      <c r="B663" s="80" t="str">
        <f>VLOOKUP(A663,policy!B:C,2,0)</f>
        <v>040000184913</v>
      </c>
      <c r="C663" s="46">
        <v>8800</v>
      </c>
      <c r="D663" s="81">
        <f t="shared" si="41"/>
        <v>8800</v>
      </c>
      <c r="E663" s="79" t="s">
        <v>3563</v>
      </c>
      <c r="F663" s="82" t="str">
        <f t="shared" si="40"/>
        <v>insert into ins_premium_det (premium_rcv_code,assorted_code, rec_amount,premium_rcv_detail_code,remaining_amt, payrec, mode_code,coinsurance_code,class_cd,it_remarks) values</v>
      </c>
      <c r="G663" s="83" t="str">
        <f t="shared" si="42"/>
        <v>('29Oct240071','040000184913','8800',(select max(to_number(i.premium_rcv_detail_code))+1
from ins_premium_det i),'8800','8800','02', '11000003','00','Request by Mr. Omair Ali 30-Aug-2024');</v>
      </c>
      <c r="H663" s="84" t="str">
        <f t="shared" si="43"/>
        <v>insert into ins_premium_det (premium_rcv_code,assorted_code, rec_amount,premium_rcv_detail_code,remaining_amt, payrec, mode_code,coinsurance_code,class_cd,it_remarks) values('29Oct240071','040000184913','8800',(select max(to_number(i.premium_rcv_detail_code))+1
from ins_premium_det i),'8800','8800','02', '11000003','00','Request by Mr. Omair Ali 30-Aug-2024');</v>
      </c>
    </row>
    <row r="664" spans="1:8" ht="105" x14ac:dyDescent="0.25">
      <c r="A664" t="s">
        <v>802</v>
      </c>
      <c r="B664" s="80" t="str">
        <f>VLOOKUP(A664,policy!B:C,2,0)</f>
        <v>040000184914</v>
      </c>
      <c r="C664" s="46">
        <v>14960</v>
      </c>
      <c r="D664" s="81">
        <f t="shared" si="41"/>
        <v>14960</v>
      </c>
      <c r="E664" s="79" t="s">
        <v>3563</v>
      </c>
      <c r="F664" s="82" t="str">
        <f t="shared" si="40"/>
        <v>insert into ins_premium_det (premium_rcv_code,assorted_code, rec_amount,premium_rcv_detail_code,remaining_amt, payrec, mode_code,coinsurance_code,class_cd,it_remarks) values</v>
      </c>
      <c r="G664" s="83" t="str">
        <f t="shared" si="42"/>
        <v>('29Oct240071','040000184914','14960',(select max(to_number(i.premium_rcv_detail_code))+1
from ins_premium_det i),'14960','14960','02', '11000003','00','Request by Mr. Omair Ali 30-Aug-2024');</v>
      </c>
      <c r="H664" s="84" t="str">
        <f t="shared" si="43"/>
        <v>insert into ins_premium_det (premium_rcv_code,assorted_code, rec_amount,premium_rcv_detail_code,remaining_amt, payrec, mode_code,coinsurance_code,class_cd,it_remarks) values('29Oct240071','040000184914','14960',(select max(to_number(i.premium_rcv_detail_code))+1
from ins_premium_det i),'14960','14960','02', '11000003','00','Request by Mr. Omair Ali 30-Aug-2024');</v>
      </c>
    </row>
    <row r="665" spans="1:8" ht="105" x14ac:dyDescent="0.25">
      <c r="A665" t="s">
        <v>803</v>
      </c>
      <c r="B665" s="80" t="str">
        <f>VLOOKUP(A665,policy!B:C,2,0)</f>
        <v>040000184915</v>
      </c>
      <c r="C665" s="46">
        <v>14960</v>
      </c>
      <c r="D665" s="81">
        <f t="shared" si="41"/>
        <v>14960</v>
      </c>
      <c r="E665" s="79" t="s">
        <v>3563</v>
      </c>
      <c r="F665" s="82" t="str">
        <f t="shared" si="40"/>
        <v>insert into ins_premium_det (premium_rcv_code,assorted_code, rec_amount,premium_rcv_detail_code,remaining_amt, payrec, mode_code,coinsurance_code,class_cd,it_remarks) values</v>
      </c>
      <c r="G665" s="83" t="str">
        <f t="shared" si="42"/>
        <v>('29Oct240071','040000184915','14960',(select max(to_number(i.premium_rcv_detail_code))+1
from ins_premium_det i),'14960','14960','02', '11000003','00','Request by Mr. Omair Ali 30-Aug-2024');</v>
      </c>
      <c r="H665" s="84" t="str">
        <f t="shared" si="43"/>
        <v>insert into ins_premium_det (premium_rcv_code,assorted_code, rec_amount,premium_rcv_detail_code,remaining_amt, payrec, mode_code,coinsurance_code,class_cd,it_remarks) values('29Oct240071','040000184915','14960',(select max(to_number(i.premium_rcv_detail_code))+1
from ins_premium_det i),'14960','14960','02', '11000003','00','Request by Mr. Omair Ali 30-Aug-2024');</v>
      </c>
    </row>
    <row r="666" spans="1:8" ht="105" x14ac:dyDescent="0.25">
      <c r="A666" t="s">
        <v>804</v>
      </c>
      <c r="B666" s="80" t="str">
        <f>VLOOKUP(A666,policy!B:C,2,0)</f>
        <v>040000184916</v>
      </c>
      <c r="C666" s="46">
        <v>14960</v>
      </c>
      <c r="D666" s="81">
        <f t="shared" si="41"/>
        <v>14960</v>
      </c>
      <c r="E666" s="79" t="s">
        <v>3563</v>
      </c>
      <c r="F666" s="82" t="str">
        <f t="shared" si="40"/>
        <v>insert into ins_premium_det (premium_rcv_code,assorted_code, rec_amount,premium_rcv_detail_code,remaining_amt, payrec, mode_code,coinsurance_code,class_cd,it_remarks) values</v>
      </c>
      <c r="G666" s="83" t="str">
        <f t="shared" si="42"/>
        <v>('29Oct240071','040000184916','14960',(select max(to_number(i.premium_rcv_detail_code))+1
from ins_premium_det i),'14960','14960','02', '11000003','00','Request by Mr. Omair Ali 30-Aug-2024');</v>
      </c>
      <c r="H666" s="84" t="str">
        <f t="shared" si="43"/>
        <v>insert into ins_premium_det (premium_rcv_code,assorted_code, rec_amount,premium_rcv_detail_code,remaining_amt, payrec, mode_code,coinsurance_code,class_cd,it_remarks) values('29Oct240071','040000184916','14960',(select max(to_number(i.premium_rcv_detail_code))+1
from ins_premium_det i),'14960','14960','02', '11000003','00','Request by Mr. Omair Ali 30-Aug-2024');</v>
      </c>
    </row>
    <row r="667" spans="1:8" ht="105" x14ac:dyDescent="0.25">
      <c r="A667" t="s">
        <v>805</v>
      </c>
      <c r="B667" s="80" t="str">
        <f>VLOOKUP(A667,policy!B:C,2,0)</f>
        <v>040000184918</v>
      </c>
      <c r="C667" s="46">
        <v>16235</v>
      </c>
      <c r="D667" s="81">
        <f t="shared" si="41"/>
        <v>16235</v>
      </c>
      <c r="E667" s="79" t="s">
        <v>3563</v>
      </c>
      <c r="F667" s="82" t="str">
        <f t="shared" si="40"/>
        <v>insert into ins_premium_det (premium_rcv_code,assorted_code, rec_amount,premium_rcv_detail_code,remaining_amt, payrec, mode_code,coinsurance_code,class_cd,it_remarks) values</v>
      </c>
      <c r="G667" s="83" t="str">
        <f t="shared" si="42"/>
        <v>('29Oct240071','040000184918','16235',(select max(to_number(i.premium_rcv_detail_code))+1
from ins_premium_det i),'16235','16235','02', '11000003','00','Request by Mr. Omair Ali 30-Aug-2024');</v>
      </c>
      <c r="H667" s="84" t="str">
        <f t="shared" si="43"/>
        <v>insert into ins_premium_det (premium_rcv_code,assorted_code, rec_amount,premium_rcv_detail_code,remaining_amt, payrec, mode_code,coinsurance_code,class_cd,it_remarks) values('29Oct240071','040000184918','16235',(select max(to_number(i.premium_rcv_detail_code))+1
from ins_premium_det i),'16235','16235','02', '11000003','00','Request by Mr. Omair Ali 30-Aug-2024');</v>
      </c>
    </row>
    <row r="668" spans="1:8" ht="105" x14ac:dyDescent="0.25">
      <c r="A668" t="s">
        <v>806</v>
      </c>
      <c r="B668" s="80" t="str">
        <f>VLOOKUP(A668,policy!B:C,2,0)</f>
        <v>040000184919</v>
      </c>
      <c r="C668" s="46">
        <v>16235</v>
      </c>
      <c r="D668" s="81">
        <f t="shared" si="41"/>
        <v>16235</v>
      </c>
      <c r="E668" s="79" t="s">
        <v>3563</v>
      </c>
      <c r="F668" s="82" t="str">
        <f t="shared" si="40"/>
        <v>insert into ins_premium_det (premium_rcv_code,assorted_code, rec_amount,premium_rcv_detail_code,remaining_amt, payrec, mode_code,coinsurance_code,class_cd,it_remarks) values</v>
      </c>
      <c r="G668" s="83" t="str">
        <f t="shared" si="42"/>
        <v>('29Oct240071','040000184919','16235',(select max(to_number(i.premium_rcv_detail_code))+1
from ins_premium_det i),'16235','16235','02', '11000003','00','Request by Mr. Omair Ali 30-Aug-2024');</v>
      </c>
      <c r="H668" s="84" t="str">
        <f t="shared" si="43"/>
        <v>insert into ins_premium_det (premium_rcv_code,assorted_code, rec_amount,premium_rcv_detail_code,remaining_amt, payrec, mode_code,coinsurance_code,class_cd,it_remarks) values('29Oct240071','040000184919','16235',(select max(to_number(i.premium_rcv_detail_code))+1
from ins_premium_det i),'16235','16235','02', '11000003','00','Request by Mr. Omair Ali 30-Aug-2024');</v>
      </c>
    </row>
    <row r="669" spans="1:8" ht="105" x14ac:dyDescent="0.25">
      <c r="A669" t="s">
        <v>807</v>
      </c>
      <c r="B669" s="80" t="str">
        <f>VLOOKUP(A669,policy!B:C,2,0)</f>
        <v>040000184922</v>
      </c>
      <c r="C669" s="46">
        <v>14960</v>
      </c>
      <c r="D669" s="81">
        <f t="shared" si="41"/>
        <v>14960</v>
      </c>
      <c r="E669" s="79" t="s">
        <v>3563</v>
      </c>
      <c r="F669" s="82" t="str">
        <f t="shared" si="40"/>
        <v>insert into ins_premium_det (premium_rcv_code,assorted_code, rec_amount,premium_rcv_detail_code,remaining_amt, payrec, mode_code,coinsurance_code,class_cd,it_remarks) values</v>
      </c>
      <c r="G669" s="83" t="str">
        <f t="shared" si="42"/>
        <v>('29Oct240071','040000184922','14960',(select max(to_number(i.premium_rcv_detail_code))+1
from ins_premium_det i),'14960','14960','02', '11000003','00','Request by Mr. Omair Ali 30-Aug-2024');</v>
      </c>
      <c r="H669" s="84" t="str">
        <f t="shared" si="43"/>
        <v>insert into ins_premium_det (premium_rcv_code,assorted_code, rec_amount,premium_rcv_detail_code,remaining_amt, payrec, mode_code,coinsurance_code,class_cd,it_remarks) values('29Oct240071','040000184922','14960',(select max(to_number(i.premium_rcv_detail_code))+1
from ins_premium_det i),'14960','14960','02', '11000003','00','Request by Mr. Omair Ali 30-Aug-2024');</v>
      </c>
    </row>
    <row r="670" spans="1:8" ht="105" x14ac:dyDescent="0.25">
      <c r="A670" t="s">
        <v>808</v>
      </c>
      <c r="B670" s="80" t="str">
        <f>VLOOKUP(A670,policy!B:C,2,0)</f>
        <v>040000184923</v>
      </c>
      <c r="C670" s="46">
        <v>14960</v>
      </c>
      <c r="D670" s="81">
        <f t="shared" si="41"/>
        <v>14960</v>
      </c>
      <c r="E670" s="79" t="s">
        <v>3563</v>
      </c>
      <c r="F670" s="82" t="str">
        <f t="shared" si="40"/>
        <v>insert into ins_premium_det (premium_rcv_code,assorted_code, rec_amount,premium_rcv_detail_code,remaining_amt, payrec, mode_code,coinsurance_code,class_cd,it_remarks) values</v>
      </c>
      <c r="G670" s="83" t="str">
        <f t="shared" si="42"/>
        <v>('29Oct240071','040000184923','14960',(select max(to_number(i.premium_rcv_detail_code))+1
from ins_premium_det i),'14960','14960','02', '11000003','00','Request by Mr. Omair Ali 30-Aug-2024');</v>
      </c>
      <c r="H670" s="84" t="str">
        <f t="shared" si="43"/>
        <v>insert into ins_premium_det (premium_rcv_code,assorted_code, rec_amount,premium_rcv_detail_code,remaining_amt, payrec, mode_code,coinsurance_code,class_cd,it_remarks) values('29Oct240071','040000184923','14960',(select max(to_number(i.premium_rcv_detail_code))+1
from ins_premium_det i),'14960','14960','02', '11000003','00','Request by Mr. Omair Ali 30-Aug-2024');</v>
      </c>
    </row>
    <row r="671" spans="1:8" ht="105" x14ac:dyDescent="0.25">
      <c r="A671" t="s">
        <v>809</v>
      </c>
      <c r="B671" s="80" t="str">
        <f>VLOOKUP(A671,policy!B:C,2,0)</f>
        <v>040000184926</v>
      </c>
      <c r="C671" s="46">
        <v>14960</v>
      </c>
      <c r="D671" s="81">
        <f t="shared" si="41"/>
        <v>14960</v>
      </c>
      <c r="E671" s="79" t="s">
        <v>3563</v>
      </c>
      <c r="F671" s="82" t="str">
        <f t="shared" si="40"/>
        <v>insert into ins_premium_det (premium_rcv_code,assorted_code, rec_amount,premium_rcv_detail_code,remaining_amt, payrec, mode_code,coinsurance_code,class_cd,it_remarks) values</v>
      </c>
      <c r="G671" s="83" t="str">
        <f t="shared" si="42"/>
        <v>('29Oct240071','040000184926','14960',(select max(to_number(i.premium_rcv_detail_code))+1
from ins_premium_det i),'14960','14960','02', '11000003','00','Request by Mr. Omair Ali 30-Aug-2024');</v>
      </c>
      <c r="H671" s="84" t="str">
        <f t="shared" si="43"/>
        <v>insert into ins_premium_det (premium_rcv_code,assorted_code, rec_amount,premium_rcv_detail_code,remaining_amt, payrec, mode_code,coinsurance_code,class_cd,it_remarks) values('29Oct240071','040000184926','14960',(select max(to_number(i.premium_rcv_detail_code))+1
from ins_premium_det i),'14960','14960','02', '11000003','00','Request by Mr. Omair Ali 30-Aug-2024');</v>
      </c>
    </row>
    <row r="672" spans="1:8" ht="105" x14ac:dyDescent="0.25">
      <c r="A672" t="s">
        <v>810</v>
      </c>
      <c r="B672" s="80" t="str">
        <f>VLOOKUP(A672,policy!B:C,2,0)</f>
        <v>040000184929</v>
      </c>
      <c r="C672" s="46">
        <v>9550</v>
      </c>
      <c r="D672" s="81">
        <f t="shared" si="41"/>
        <v>9550</v>
      </c>
      <c r="E672" s="79" t="s">
        <v>3563</v>
      </c>
      <c r="F672" s="82" t="str">
        <f t="shared" si="40"/>
        <v>insert into ins_premium_det (premium_rcv_code,assorted_code, rec_amount,premium_rcv_detail_code,remaining_amt, payrec, mode_code,coinsurance_code,class_cd,it_remarks) values</v>
      </c>
      <c r="G672" s="83" t="str">
        <f t="shared" si="42"/>
        <v>('29Oct240071','040000184929','9550',(select max(to_number(i.premium_rcv_detail_code))+1
from ins_premium_det i),'9550','9550','02', '11000003','00','Request by Mr. Omair Ali 30-Aug-2024');</v>
      </c>
      <c r="H672" s="84" t="str">
        <f t="shared" si="43"/>
        <v>insert into ins_premium_det (premium_rcv_code,assorted_code, rec_amount,premium_rcv_detail_code,remaining_amt, payrec, mode_code,coinsurance_code,class_cd,it_remarks) values('29Oct240071','040000184929','9550',(select max(to_number(i.premium_rcv_detail_code))+1
from ins_premium_det i),'9550','9550','02', '11000003','00','Request by Mr. Omair Ali 30-Aug-2024');</v>
      </c>
    </row>
    <row r="673" spans="1:8" ht="105" x14ac:dyDescent="0.25">
      <c r="A673" t="s">
        <v>811</v>
      </c>
      <c r="B673" s="80" t="str">
        <f>VLOOKUP(A673,policy!B:C,2,0)</f>
        <v>040000184932</v>
      </c>
      <c r="C673" s="46">
        <v>14960</v>
      </c>
      <c r="D673" s="81">
        <f t="shared" si="41"/>
        <v>14960</v>
      </c>
      <c r="E673" s="79" t="s">
        <v>3563</v>
      </c>
      <c r="F673" s="82" t="str">
        <f t="shared" si="40"/>
        <v>insert into ins_premium_det (premium_rcv_code,assorted_code, rec_amount,premium_rcv_detail_code,remaining_amt, payrec, mode_code,coinsurance_code,class_cd,it_remarks) values</v>
      </c>
      <c r="G673" s="83" t="str">
        <f t="shared" si="42"/>
        <v>('29Oct240071','040000184932','14960',(select max(to_number(i.premium_rcv_detail_code))+1
from ins_premium_det i),'14960','14960','02', '11000003','00','Request by Mr. Omair Ali 30-Aug-2024');</v>
      </c>
      <c r="H673" s="84" t="str">
        <f t="shared" si="43"/>
        <v>insert into ins_premium_det (premium_rcv_code,assorted_code, rec_amount,premium_rcv_detail_code,remaining_amt, payrec, mode_code,coinsurance_code,class_cd,it_remarks) values('29Oct240071','040000184932','14960',(select max(to_number(i.premium_rcv_detail_code))+1
from ins_premium_det i),'14960','14960','02', '11000003','00','Request by Mr. Omair Ali 30-Aug-2024');</v>
      </c>
    </row>
    <row r="674" spans="1:8" ht="105" x14ac:dyDescent="0.25">
      <c r="A674" t="s">
        <v>812</v>
      </c>
      <c r="B674" s="80" t="str">
        <f>VLOOKUP(A674,policy!B:C,2,0)</f>
        <v>040000184934</v>
      </c>
      <c r="C674" s="46">
        <v>8800</v>
      </c>
      <c r="D674" s="81">
        <f t="shared" si="41"/>
        <v>8800</v>
      </c>
      <c r="E674" s="79" t="s">
        <v>3563</v>
      </c>
      <c r="F674" s="82" t="str">
        <f t="shared" si="40"/>
        <v>insert into ins_premium_det (premium_rcv_code,assorted_code, rec_amount,premium_rcv_detail_code,remaining_amt, payrec, mode_code,coinsurance_code,class_cd,it_remarks) values</v>
      </c>
      <c r="G674" s="83" t="str">
        <f t="shared" si="42"/>
        <v>('29Oct240071','040000184934','8800',(select max(to_number(i.premium_rcv_detail_code))+1
from ins_premium_det i),'8800','8800','02', '11000003','00','Request by Mr. Omair Ali 30-Aug-2024');</v>
      </c>
      <c r="H674" s="84" t="str">
        <f t="shared" si="43"/>
        <v>insert into ins_premium_det (premium_rcv_code,assorted_code, rec_amount,premium_rcv_detail_code,remaining_amt, payrec, mode_code,coinsurance_code,class_cd,it_remarks) values('29Oct240071','040000184934','8800',(select max(to_number(i.premium_rcv_detail_code))+1
from ins_premium_det i),'8800','8800','02', '11000003','00','Request by Mr. Omair Ali 30-Aug-2024');</v>
      </c>
    </row>
    <row r="675" spans="1:8" ht="105" x14ac:dyDescent="0.25">
      <c r="A675" t="s">
        <v>813</v>
      </c>
      <c r="B675" s="80" t="str">
        <f>VLOOKUP(A675,policy!B:C,2,0)</f>
        <v>040000184935</v>
      </c>
      <c r="C675" s="46">
        <v>14960</v>
      </c>
      <c r="D675" s="81">
        <f t="shared" si="41"/>
        <v>14960</v>
      </c>
      <c r="E675" s="79" t="s">
        <v>3563</v>
      </c>
      <c r="F675" s="82" t="str">
        <f t="shared" si="40"/>
        <v>insert into ins_premium_det (premium_rcv_code,assorted_code, rec_amount,premium_rcv_detail_code,remaining_amt, payrec, mode_code,coinsurance_code,class_cd,it_remarks) values</v>
      </c>
      <c r="G675" s="83" t="str">
        <f t="shared" si="42"/>
        <v>('29Oct240071','040000184935','14960',(select max(to_number(i.premium_rcv_detail_code))+1
from ins_premium_det i),'14960','14960','02', '11000003','00','Request by Mr. Omair Ali 30-Aug-2024');</v>
      </c>
      <c r="H675" s="84" t="str">
        <f t="shared" si="43"/>
        <v>insert into ins_premium_det (premium_rcv_code,assorted_code, rec_amount,premium_rcv_detail_code,remaining_amt, payrec, mode_code,coinsurance_code,class_cd,it_remarks) values('29Oct240071','040000184935','14960',(select max(to_number(i.premium_rcv_detail_code))+1
from ins_premium_det i),'14960','14960','02', '11000003','00','Request by Mr. Omair Ali 30-Aug-2024');</v>
      </c>
    </row>
    <row r="676" spans="1:8" ht="105" x14ac:dyDescent="0.25">
      <c r="A676" t="s">
        <v>814</v>
      </c>
      <c r="B676" s="80" t="str">
        <f>VLOOKUP(A676,policy!B:C,2,0)</f>
        <v>040000184936</v>
      </c>
      <c r="C676" s="46">
        <v>14960</v>
      </c>
      <c r="D676" s="81">
        <f t="shared" si="41"/>
        <v>14960</v>
      </c>
      <c r="E676" s="79" t="s">
        <v>3563</v>
      </c>
      <c r="F676" s="82" t="str">
        <f t="shared" si="40"/>
        <v>insert into ins_premium_det (premium_rcv_code,assorted_code, rec_amount,premium_rcv_detail_code,remaining_amt, payrec, mode_code,coinsurance_code,class_cd,it_remarks) values</v>
      </c>
      <c r="G676" s="83" t="str">
        <f t="shared" si="42"/>
        <v>('29Oct240071','040000184936','14960',(select max(to_number(i.premium_rcv_detail_code))+1
from ins_premium_det i),'14960','14960','02', '11000003','00','Request by Mr. Omair Ali 30-Aug-2024');</v>
      </c>
      <c r="H676" s="84" t="str">
        <f t="shared" si="43"/>
        <v>insert into ins_premium_det (premium_rcv_code,assorted_code, rec_amount,premium_rcv_detail_code,remaining_amt, payrec, mode_code,coinsurance_code,class_cd,it_remarks) values('29Oct240071','040000184936','14960',(select max(to_number(i.premium_rcv_detail_code))+1
from ins_premium_det i),'14960','14960','02', '11000003','00','Request by Mr. Omair Ali 30-Aug-2024');</v>
      </c>
    </row>
    <row r="677" spans="1:8" ht="105" x14ac:dyDescent="0.25">
      <c r="A677" t="s">
        <v>815</v>
      </c>
      <c r="B677" s="80" t="str">
        <f>VLOOKUP(A677,policy!B:C,2,0)</f>
        <v>040000184937</v>
      </c>
      <c r="C677" s="46">
        <v>8800</v>
      </c>
      <c r="D677" s="81">
        <f t="shared" si="41"/>
        <v>8800</v>
      </c>
      <c r="E677" s="79" t="s">
        <v>3563</v>
      </c>
      <c r="F677" s="82" t="str">
        <f t="shared" si="40"/>
        <v>insert into ins_premium_det (premium_rcv_code,assorted_code, rec_amount,premium_rcv_detail_code,remaining_amt, payrec, mode_code,coinsurance_code,class_cd,it_remarks) values</v>
      </c>
      <c r="G677" s="83" t="str">
        <f t="shared" si="42"/>
        <v>('29Oct240071','040000184937','8800',(select max(to_number(i.premium_rcv_detail_code))+1
from ins_premium_det i),'8800','8800','02', '11000003','00','Request by Mr. Omair Ali 30-Aug-2024');</v>
      </c>
      <c r="H677" s="84" t="str">
        <f t="shared" si="43"/>
        <v>insert into ins_premium_det (premium_rcv_code,assorted_code, rec_amount,premium_rcv_detail_code,remaining_amt, payrec, mode_code,coinsurance_code,class_cd,it_remarks) values('29Oct240071','040000184937','8800',(select max(to_number(i.premium_rcv_detail_code))+1
from ins_premium_det i),'8800','8800','02', '11000003','00','Request by Mr. Omair Ali 30-Aug-2024');</v>
      </c>
    </row>
    <row r="678" spans="1:8" ht="105" x14ac:dyDescent="0.25">
      <c r="A678" t="s">
        <v>816</v>
      </c>
      <c r="B678" s="80" t="str">
        <f>VLOOKUP(A678,policy!B:C,2,0)</f>
        <v>040000184939</v>
      </c>
      <c r="C678" s="46">
        <v>8800</v>
      </c>
      <c r="D678" s="81">
        <f t="shared" si="41"/>
        <v>8800</v>
      </c>
      <c r="E678" s="79" t="s">
        <v>3563</v>
      </c>
      <c r="F678" s="82" t="str">
        <f t="shared" si="40"/>
        <v>insert into ins_premium_det (premium_rcv_code,assorted_code, rec_amount,premium_rcv_detail_code,remaining_amt, payrec, mode_code,coinsurance_code,class_cd,it_remarks) values</v>
      </c>
      <c r="G678" s="83" t="str">
        <f t="shared" si="42"/>
        <v>('29Oct240071','040000184939','8800',(select max(to_number(i.premium_rcv_detail_code))+1
from ins_premium_det i),'8800','8800','02', '11000003','00','Request by Mr. Omair Ali 30-Aug-2024');</v>
      </c>
      <c r="H678" s="84" t="str">
        <f t="shared" si="43"/>
        <v>insert into ins_premium_det (premium_rcv_code,assorted_code, rec_amount,premium_rcv_detail_code,remaining_amt, payrec, mode_code,coinsurance_code,class_cd,it_remarks) values('29Oct240071','040000184939','8800',(select max(to_number(i.premium_rcv_detail_code))+1
from ins_premium_det i),'8800','8800','02', '11000003','00','Request by Mr. Omair Ali 30-Aug-2024');</v>
      </c>
    </row>
    <row r="679" spans="1:8" ht="105" x14ac:dyDescent="0.25">
      <c r="A679" t="s">
        <v>817</v>
      </c>
      <c r="B679" s="80" t="str">
        <f>VLOOKUP(A679,policy!B:C,2,0)</f>
        <v>040000184940</v>
      </c>
      <c r="C679" s="46">
        <v>14960</v>
      </c>
      <c r="D679" s="81">
        <f t="shared" si="41"/>
        <v>14960</v>
      </c>
      <c r="E679" s="79" t="s">
        <v>3563</v>
      </c>
      <c r="F679" s="82" t="str">
        <f t="shared" si="40"/>
        <v>insert into ins_premium_det (premium_rcv_code,assorted_code, rec_amount,premium_rcv_detail_code,remaining_amt, payrec, mode_code,coinsurance_code,class_cd,it_remarks) values</v>
      </c>
      <c r="G679" s="83" t="str">
        <f t="shared" si="42"/>
        <v>('29Oct240071','040000184940','14960',(select max(to_number(i.premium_rcv_detail_code))+1
from ins_premium_det i),'14960','14960','02', '11000003','00','Request by Mr. Omair Ali 30-Aug-2024');</v>
      </c>
      <c r="H679" s="84" t="str">
        <f t="shared" si="43"/>
        <v>insert into ins_premium_det (premium_rcv_code,assorted_code, rec_amount,premium_rcv_detail_code,remaining_amt, payrec, mode_code,coinsurance_code,class_cd,it_remarks) values('29Oct240071','040000184940','14960',(select max(to_number(i.premium_rcv_detail_code))+1
from ins_premium_det i),'14960','14960','02', '11000003','00','Request by Mr. Omair Ali 30-Aug-2024');</v>
      </c>
    </row>
    <row r="680" spans="1:8" ht="105" x14ac:dyDescent="0.25">
      <c r="A680" t="s">
        <v>818</v>
      </c>
      <c r="B680" s="80" t="str">
        <f>VLOOKUP(A680,policy!B:C,2,0)</f>
        <v>040000184941</v>
      </c>
      <c r="C680" s="46">
        <v>14960</v>
      </c>
      <c r="D680" s="81">
        <f t="shared" si="41"/>
        <v>14960</v>
      </c>
      <c r="E680" s="79" t="s">
        <v>3563</v>
      </c>
      <c r="F680" s="82" t="str">
        <f t="shared" si="40"/>
        <v>insert into ins_premium_det (premium_rcv_code,assorted_code, rec_amount,premium_rcv_detail_code,remaining_amt, payrec, mode_code,coinsurance_code,class_cd,it_remarks) values</v>
      </c>
      <c r="G680" s="83" t="str">
        <f t="shared" si="42"/>
        <v>('29Oct240071','040000184941','14960',(select max(to_number(i.premium_rcv_detail_code))+1
from ins_premium_det i),'14960','14960','02', '11000003','00','Request by Mr. Omair Ali 30-Aug-2024');</v>
      </c>
      <c r="H680" s="84" t="str">
        <f t="shared" si="43"/>
        <v>insert into ins_premium_det (premium_rcv_code,assorted_code, rec_amount,premium_rcv_detail_code,remaining_amt, payrec, mode_code,coinsurance_code,class_cd,it_remarks) values('29Oct240071','040000184941','14960',(select max(to_number(i.premium_rcv_detail_code))+1
from ins_premium_det i),'14960','14960','02', '11000003','00','Request by Mr. Omair Ali 30-Aug-2024');</v>
      </c>
    </row>
    <row r="681" spans="1:8" ht="105" x14ac:dyDescent="0.25">
      <c r="A681" t="s">
        <v>819</v>
      </c>
      <c r="B681" s="80" t="str">
        <f>VLOOKUP(A681,policy!B:C,2,0)</f>
        <v>040000184942</v>
      </c>
      <c r="C681" s="46">
        <v>8800</v>
      </c>
      <c r="D681" s="81">
        <f t="shared" si="41"/>
        <v>8800</v>
      </c>
      <c r="E681" s="79" t="s">
        <v>3563</v>
      </c>
      <c r="F681" s="82" t="str">
        <f t="shared" si="40"/>
        <v>insert into ins_premium_det (premium_rcv_code,assorted_code, rec_amount,premium_rcv_detail_code,remaining_amt, payrec, mode_code,coinsurance_code,class_cd,it_remarks) values</v>
      </c>
      <c r="G681" s="83" t="str">
        <f t="shared" si="42"/>
        <v>('29Oct240071','040000184942','8800',(select max(to_number(i.premium_rcv_detail_code))+1
from ins_premium_det i),'8800','8800','02', '11000003','00','Request by Mr. Omair Ali 30-Aug-2024');</v>
      </c>
      <c r="H681" s="84" t="str">
        <f t="shared" si="43"/>
        <v>insert into ins_premium_det (premium_rcv_code,assorted_code, rec_amount,premium_rcv_detail_code,remaining_amt, payrec, mode_code,coinsurance_code,class_cd,it_remarks) values('29Oct240071','040000184942','8800',(select max(to_number(i.premium_rcv_detail_code))+1
from ins_premium_det i),'8800','8800','02', '11000003','00','Request by Mr. Omair Ali 30-Aug-2024');</v>
      </c>
    </row>
    <row r="682" spans="1:8" ht="105" x14ac:dyDescent="0.25">
      <c r="A682" t="s">
        <v>820</v>
      </c>
      <c r="B682" s="80" t="str">
        <f>VLOOKUP(A682,policy!B:C,2,0)</f>
        <v>040000184943</v>
      </c>
      <c r="C682" s="46">
        <v>9550</v>
      </c>
      <c r="D682" s="81">
        <f t="shared" si="41"/>
        <v>9550</v>
      </c>
      <c r="E682" s="79" t="s">
        <v>3563</v>
      </c>
      <c r="F682" s="82" t="str">
        <f t="shared" si="40"/>
        <v>insert into ins_premium_det (premium_rcv_code,assorted_code, rec_amount,premium_rcv_detail_code,remaining_amt, payrec, mode_code,coinsurance_code,class_cd,it_remarks) values</v>
      </c>
      <c r="G682" s="83" t="str">
        <f t="shared" si="42"/>
        <v>('29Oct240071','040000184943','9550',(select max(to_number(i.premium_rcv_detail_code))+1
from ins_premium_det i),'9550','9550','02', '11000003','00','Request by Mr. Omair Ali 30-Aug-2024');</v>
      </c>
      <c r="H682" s="84" t="str">
        <f t="shared" si="43"/>
        <v>insert into ins_premium_det (premium_rcv_code,assorted_code, rec_amount,premium_rcv_detail_code,remaining_amt, payrec, mode_code,coinsurance_code,class_cd,it_remarks) values('29Oct240071','040000184943','9550',(select max(to_number(i.premium_rcv_detail_code))+1
from ins_premium_det i),'9550','9550','02', '11000003','00','Request by Mr. Omair Ali 30-Aug-2024');</v>
      </c>
    </row>
    <row r="683" spans="1:8" ht="105" x14ac:dyDescent="0.25">
      <c r="A683" t="s">
        <v>821</v>
      </c>
      <c r="B683" s="80" t="str">
        <f>VLOOKUP(A683,policy!B:C,2,0)</f>
        <v>040000184944</v>
      </c>
      <c r="C683" s="46">
        <v>14960</v>
      </c>
      <c r="D683" s="81">
        <f t="shared" si="41"/>
        <v>14960</v>
      </c>
      <c r="E683" s="79" t="s">
        <v>3563</v>
      </c>
      <c r="F683" s="82" t="str">
        <f t="shared" si="40"/>
        <v>insert into ins_premium_det (premium_rcv_code,assorted_code, rec_amount,premium_rcv_detail_code,remaining_amt, payrec, mode_code,coinsurance_code,class_cd,it_remarks) values</v>
      </c>
      <c r="G683" s="83" t="str">
        <f t="shared" si="42"/>
        <v>('29Oct240071','040000184944','14960',(select max(to_number(i.premium_rcv_detail_code))+1
from ins_premium_det i),'14960','14960','02', '11000003','00','Request by Mr. Omair Ali 30-Aug-2024');</v>
      </c>
      <c r="H683" s="84" t="str">
        <f t="shared" si="43"/>
        <v>insert into ins_premium_det (premium_rcv_code,assorted_code, rec_amount,premium_rcv_detail_code,remaining_amt, payrec, mode_code,coinsurance_code,class_cd,it_remarks) values('29Oct240071','040000184944','14960',(select max(to_number(i.premium_rcv_detail_code))+1
from ins_premium_det i),'14960','14960','02', '11000003','00','Request by Mr. Omair Ali 30-Aug-2024');</v>
      </c>
    </row>
    <row r="684" spans="1:8" ht="105" x14ac:dyDescent="0.25">
      <c r="A684" t="s">
        <v>822</v>
      </c>
      <c r="B684" s="80" t="str">
        <f>VLOOKUP(A684,policy!B:C,2,0)</f>
        <v>040000184945</v>
      </c>
      <c r="C684" s="46">
        <v>8800</v>
      </c>
      <c r="D684" s="81">
        <f t="shared" si="41"/>
        <v>8800</v>
      </c>
      <c r="E684" s="79" t="s">
        <v>3563</v>
      </c>
      <c r="F684" s="82" t="str">
        <f t="shared" si="40"/>
        <v>insert into ins_premium_det (premium_rcv_code,assorted_code, rec_amount,premium_rcv_detail_code,remaining_amt, payrec, mode_code,coinsurance_code,class_cd,it_remarks) values</v>
      </c>
      <c r="G684" s="83" t="str">
        <f t="shared" si="42"/>
        <v>('29Oct240071','040000184945','8800',(select max(to_number(i.premium_rcv_detail_code))+1
from ins_premium_det i),'8800','8800','02', '11000003','00','Request by Mr. Omair Ali 30-Aug-2024');</v>
      </c>
      <c r="H684" s="84" t="str">
        <f t="shared" si="43"/>
        <v>insert into ins_premium_det (premium_rcv_code,assorted_code, rec_amount,premium_rcv_detail_code,remaining_amt, payrec, mode_code,coinsurance_code,class_cd,it_remarks) values('29Oct240071','040000184945','8800',(select max(to_number(i.premium_rcv_detail_code))+1
from ins_premium_det i),'8800','8800','02', '11000003','00','Request by Mr. Omair Ali 30-Aug-2024');</v>
      </c>
    </row>
    <row r="685" spans="1:8" ht="105" x14ac:dyDescent="0.25">
      <c r="A685" t="s">
        <v>823</v>
      </c>
      <c r="B685" s="80" t="str">
        <f>VLOOKUP(A685,policy!B:C,2,0)</f>
        <v>040000184946</v>
      </c>
      <c r="C685" s="46">
        <v>8800</v>
      </c>
      <c r="D685" s="81">
        <f t="shared" si="41"/>
        <v>8800</v>
      </c>
      <c r="E685" s="79" t="s">
        <v>3563</v>
      </c>
      <c r="F685" s="82" t="str">
        <f t="shared" si="40"/>
        <v>insert into ins_premium_det (premium_rcv_code,assorted_code, rec_amount,premium_rcv_detail_code,remaining_amt, payrec, mode_code,coinsurance_code,class_cd,it_remarks) values</v>
      </c>
      <c r="G685" s="83" t="str">
        <f t="shared" si="42"/>
        <v>('29Oct240071','040000184946','8800',(select max(to_number(i.premium_rcv_detail_code))+1
from ins_premium_det i),'8800','8800','02', '11000003','00','Request by Mr. Omair Ali 30-Aug-2024');</v>
      </c>
      <c r="H685" s="84" t="str">
        <f t="shared" si="43"/>
        <v>insert into ins_premium_det (premium_rcv_code,assorted_code, rec_amount,premium_rcv_detail_code,remaining_amt, payrec, mode_code,coinsurance_code,class_cd,it_remarks) values('29Oct240071','040000184946','8800',(select max(to_number(i.premium_rcv_detail_code))+1
from ins_premium_det i),'8800','8800','02', '11000003','00','Request by Mr. Omair Ali 30-Aug-2024');</v>
      </c>
    </row>
    <row r="686" spans="1:8" ht="105" x14ac:dyDescent="0.25">
      <c r="A686" t="s">
        <v>824</v>
      </c>
      <c r="B686" s="80" t="str">
        <f>VLOOKUP(A686,policy!B:C,2,0)</f>
        <v>040000184949</v>
      </c>
      <c r="C686" s="46">
        <v>13675</v>
      </c>
      <c r="D686" s="81">
        <f t="shared" si="41"/>
        <v>13675</v>
      </c>
      <c r="E686" s="79" t="s">
        <v>3563</v>
      </c>
      <c r="F686" s="82" t="str">
        <f t="shared" si="40"/>
        <v>insert into ins_premium_det (premium_rcv_code,assorted_code, rec_amount,premium_rcv_detail_code,remaining_amt, payrec, mode_code,coinsurance_code,class_cd,it_remarks) values</v>
      </c>
      <c r="G686" s="83" t="str">
        <f t="shared" si="42"/>
        <v>('29Oct240071','040000184949','13675',(select max(to_number(i.premium_rcv_detail_code))+1
from ins_premium_det i),'13675','13675','02', '11000003','00','Request by Mr. Omair Ali 30-Aug-2024');</v>
      </c>
      <c r="H686" s="84" t="str">
        <f t="shared" si="43"/>
        <v>insert into ins_premium_det (premium_rcv_code,assorted_code, rec_amount,premium_rcv_detail_code,remaining_amt, payrec, mode_code,coinsurance_code,class_cd,it_remarks) values('29Oct240071','040000184949','13675',(select max(to_number(i.premium_rcv_detail_code))+1
from ins_premium_det i),'13675','13675','02', '11000003','00','Request by Mr. Omair Ali 30-Aug-2024');</v>
      </c>
    </row>
    <row r="687" spans="1:8" ht="105" x14ac:dyDescent="0.25">
      <c r="A687" t="s">
        <v>825</v>
      </c>
      <c r="B687" s="80" t="str">
        <f>VLOOKUP(A687,policy!B:C,2,0)</f>
        <v>040000184950</v>
      </c>
      <c r="C687" s="46">
        <v>14960</v>
      </c>
      <c r="D687" s="81">
        <f t="shared" si="41"/>
        <v>14960</v>
      </c>
      <c r="E687" s="79" t="s">
        <v>3563</v>
      </c>
      <c r="F687" s="82" t="str">
        <f t="shared" si="40"/>
        <v>insert into ins_premium_det (premium_rcv_code,assorted_code, rec_amount,premium_rcv_detail_code,remaining_amt, payrec, mode_code,coinsurance_code,class_cd,it_remarks) values</v>
      </c>
      <c r="G687" s="83" t="str">
        <f t="shared" si="42"/>
        <v>('29Oct240071','040000184950','14960',(select max(to_number(i.premium_rcv_detail_code))+1
from ins_premium_det i),'14960','14960','02', '11000003','00','Request by Mr. Omair Ali 30-Aug-2024');</v>
      </c>
      <c r="H687" s="84" t="str">
        <f t="shared" si="43"/>
        <v>insert into ins_premium_det (premium_rcv_code,assorted_code, rec_amount,premium_rcv_detail_code,remaining_amt, payrec, mode_code,coinsurance_code,class_cd,it_remarks) values('29Oct240071','040000184950','14960',(select max(to_number(i.premium_rcv_detail_code))+1
from ins_premium_det i),'14960','14960','02', '11000003','00','Request by Mr. Omair Ali 30-Aug-2024');</v>
      </c>
    </row>
    <row r="688" spans="1:8" ht="105" x14ac:dyDescent="0.25">
      <c r="A688" t="s">
        <v>826</v>
      </c>
      <c r="B688" s="80" t="str">
        <f>VLOOKUP(A688,policy!B:C,2,0)</f>
        <v>040000184951</v>
      </c>
      <c r="C688" s="46">
        <v>14960</v>
      </c>
      <c r="D688" s="81">
        <f t="shared" si="41"/>
        <v>14960</v>
      </c>
      <c r="E688" s="79" t="s">
        <v>3563</v>
      </c>
      <c r="F688" s="82" t="str">
        <f t="shared" si="40"/>
        <v>insert into ins_premium_det (premium_rcv_code,assorted_code, rec_amount,premium_rcv_detail_code,remaining_amt, payrec, mode_code,coinsurance_code,class_cd,it_remarks) values</v>
      </c>
      <c r="G688" s="83" t="str">
        <f t="shared" si="42"/>
        <v>('29Oct240071','040000184951','14960',(select max(to_number(i.premium_rcv_detail_code))+1
from ins_premium_det i),'14960','14960','02', '11000003','00','Request by Mr. Omair Ali 30-Aug-2024');</v>
      </c>
      <c r="H688" s="84" t="str">
        <f t="shared" si="43"/>
        <v>insert into ins_premium_det (premium_rcv_code,assorted_code, rec_amount,premium_rcv_detail_code,remaining_amt, payrec, mode_code,coinsurance_code,class_cd,it_remarks) values('29Oct240071','040000184951','14960',(select max(to_number(i.premium_rcv_detail_code))+1
from ins_premium_det i),'14960','14960','02', '11000003','00','Request by Mr. Omair Ali 30-Aug-2024');</v>
      </c>
    </row>
    <row r="689" spans="1:8" ht="105" x14ac:dyDescent="0.25">
      <c r="A689" t="s">
        <v>827</v>
      </c>
      <c r="B689" s="80" t="str">
        <f>VLOOKUP(A689,policy!B:C,2,0)</f>
        <v>040000184953</v>
      </c>
      <c r="C689" s="46">
        <v>8800</v>
      </c>
      <c r="D689" s="81">
        <f t="shared" si="41"/>
        <v>8800</v>
      </c>
      <c r="E689" s="79" t="s">
        <v>3563</v>
      </c>
      <c r="F689" s="82" t="str">
        <f t="shared" si="40"/>
        <v>insert into ins_premium_det (premium_rcv_code,assorted_code, rec_amount,premium_rcv_detail_code,remaining_amt, payrec, mode_code,coinsurance_code,class_cd,it_remarks) values</v>
      </c>
      <c r="G689" s="83" t="str">
        <f t="shared" si="42"/>
        <v>('29Oct240071','040000184953','8800',(select max(to_number(i.premium_rcv_detail_code))+1
from ins_premium_det i),'8800','8800','02', '11000003','00','Request by Mr. Omair Ali 30-Aug-2024');</v>
      </c>
      <c r="H689" s="84" t="str">
        <f t="shared" si="43"/>
        <v>insert into ins_premium_det (premium_rcv_code,assorted_code, rec_amount,premium_rcv_detail_code,remaining_amt, payrec, mode_code,coinsurance_code,class_cd,it_remarks) values('29Oct240071','040000184953','8800',(select max(to_number(i.premium_rcv_detail_code))+1
from ins_premium_det i),'8800','8800','02', '11000003','00','Request by Mr. Omair Ali 30-Aug-2024');</v>
      </c>
    </row>
    <row r="690" spans="1:8" ht="105" x14ac:dyDescent="0.25">
      <c r="A690" t="s">
        <v>828</v>
      </c>
      <c r="B690" s="80" t="str">
        <f>VLOOKUP(A690,policy!B:C,2,0)</f>
        <v>040000184956</v>
      </c>
      <c r="C690" s="46">
        <v>8800</v>
      </c>
      <c r="D690" s="81">
        <f t="shared" si="41"/>
        <v>8800</v>
      </c>
      <c r="E690" s="79" t="s">
        <v>3563</v>
      </c>
      <c r="F690" s="82" t="str">
        <f t="shared" si="40"/>
        <v>insert into ins_premium_det (premium_rcv_code,assorted_code, rec_amount,premium_rcv_detail_code,remaining_amt, payrec, mode_code,coinsurance_code,class_cd,it_remarks) values</v>
      </c>
      <c r="G690" s="83" t="str">
        <f t="shared" si="42"/>
        <v>('29Oct240071','040000184956','8800',(select max(to_number(i.premium_rcv_detail_code))+1
from ins_premium_det i),'8800','8800','02', '11000003','00','Request by Mr. Omair Ali 30-Aug-2024');</v>
      </c>
      <c r="H690" s="84" t="str">
        <f t="shared" si="43"/>
        <v>insert into ins_premium_det (premium_rcv_code,assorted_code, rec_amount,premium_rcv_detail_code,remaining_amt, payrec, mode_code,coinsurance_code,class_cd,it_remarks) values('29Oct240071','040000184956','8800',(select max(to_number(i.premium_rcv_detail_code))+1
from ins_premium_det i),'8800','8800','02', '11000003','00','Request by Mr. Omair Ali 30-Aug-2024');</v>
      </c>
    </row>
    <row r="691" spans="1:8" ht="105" x14ac:dyDescent="0.25">
      <c r="A691" t="s">
        <v>829</v>
      </c>
      <c r="B691" s="80" t="str">
        <f>VLOOKUP(A691,policy!B:C,2,0)</f>
        <v>040000184959</v>
      </c>
      <c r="C691" s="46">
        <v>8800</v>
      </c>
      <c r="D691" s="81">
        <f t="shared" si="41"/>
        <v>8800</v>
      </c>
      <c r="E691" s="79" t="s">
        <v>3563</v>
      </c>
      <c r="F691" s="82" t="str">
        <f t="shared" si="40"/>
        <v>insert into ins_premium_det (premium_rcv_code,assorted_code, rec_amount,premium_rcv_detail_code,remaining_amt, payrec, mode_code,coinsurance_code,class_cd,it_remarks) values</v>
      </c>
      <c r="G691" s="83" t="str">
        <f t="shared" si="42"/>
        <v>('29Oct240071','040000184959','8800',(select max(to_number(i.premium_rcv_detail_code))+1
from ins_premium_det i),'8800','8800','02', '11000003','00','Request by Mr. Omair Ali 30-Aug-2024');</v>
      </c>
      <c r="H691" s="84" t="str">
        <f t="shared" si="43"/>
        <v>insert into ins_premium_det (premium_rcv_code,assorted_code, rec_amount,premium_rcv_detail_code,remaining_amt, payrec, mode_code,coinsurance_code,class_cd,it_remarks) values('29Oct240071','040000184959','8800',(select max(to_number(i.premium_rcv_detail_code))+1
from ins_premium_det i),'8800','8800','02', '11000003','00','Request by Mr. Omair Ali 30-Aug-2024');</v>
      </c>
    </row>
    <row r="692" spans="1:8" ht="105" x14ac:dyDescent="0.25">
      <c r="A692" t="s">
        <v>830</v>
      </c>
      <c r="B692" s="80" t="str">
        <f>VLOOKUP(A692,policy!B:C,2,0)</f>
        <v>040000184969</v>
      </c>
      <c r="C692" s="46">
        <v>14960</v>
      </c>
      <c r="D692" s="81">
        <f t="shared" si="41"/>
        <v>14960</v>
      </c>
      <c r="E692" s="79" t="s">
        <v>3563</v>
      </c>
      <c r="F692" s="82" t="str">
        <f t="shared" si="40"/>
        <v>insert into ins_premium_det (premium_rcv_code,assorted_code, rec_amount,premium_rcv_detail_code,remaining_amt, payrec, mode_code,coinsurance_code,class_cd,it_remarks) values</v>
      </c>
      <c r="G692" s="83" t="str">
        <f t="shared" si="42"/>
        <v>('29Oct240071','040000184969','14960',(select max(to_number(i.premium_rcv_detail_code))+1
from ins_premium_det i),'14960','14960','02', '11000003','00','Request by Mr. Omair Ali 30-Aug-2024');</v>
      </c>
      <c r="H692" s="84" t="str">
        <f t="shared" si="43"/>
        <v>insert into ins_premium_det (premium_rcv_code,assorted_code, rec_amount,premium_rcv_detail_code,remaining_amt, payrec, mode_code,coinsurance_code,class_cd,it_remarks) values('29Oct240071','040000184969','14960',(select max(to_number(i.premium_rcv_detail_code))+1
from ins_premium_det i),'14960','14960','02', '11000003','00','Request by Mr. Omair Ali 30-Aug-2024');</v>
      </c>
    </row>
    <row r="693" spans="1:8" ht="105" x14ac:dyDescent="0.25">
      <c r="A693" t="s">
        <v>831</v>
      </c>
      <c r="B693" s="80" t="str">
        <f>VLOOKUP(A693,policy!B:C,2,0)</f>
        <v>040000184970</v>
      </c>
      <c r="C693" s="46">
        <v>14960</v>
      </c>
      <c r="D693" s="81">
        <f t="shared" si="41"/>
        <v>14960</v>
      </c>
      <c r="E693" s="79" t="s">
        <v>3563</v>
      </c>
      <c r="F693" s="82" t="str">
        <f t="shared" si="40"/>
        <v>insert into ins_premium_det (premium_rcv_code,assorted_code, rec_amount,premium_rcv_detail_code,remaining_amt, payrec, mode_code,coinsurance_code,class_cd,it_remarks) values</v>
      </c>
      <c r="G693" s="83" t="str">
        <f t="shared" si="42"/>
        <v>('29Oct240071','040000184970','14960',(select max(to_number(i.premium_rcv_detail_code))+1
from ins_premium_det i),'14960','14960','02', '11000003','00','Request by Mr. Omair Ali 30-Aug-2024');</v>
      </c>
      <c r="H693" s="84" t="str">
        <f t="shared" si="43"/>
        <v>insert into ins_premium_det (premium_rcv_code,assorted_code, rec_amount,premium_rcv_detail_code,remaining_amt, payrec, mode_code,coinsurance_code,class_cd,it_remarks) values('29Oct240071','040000184970','14960',(select max(to_number(i.premium_rcv_detail_code))+1
from ins_premium_det i),'14960','14960','02', '11000003','00','Request by Mr. Omair Ali 30-Aug-2024');</v>
      </c>
    </row>
    <row r="694" spans="1:8" ht="105" x14ac:dyDescent="0.25">
      <c r="A694" t="s">
        <v>832</v>
      </c>
      <c r="B694" s="80" t="str">
        <f>VLOOKUP(A694,policy!B:C,2,0)</f>
        <v>040000184971</v>
      </c>
      <c r="C694" s="46">
        <v>14960</v>
      </c>
      <c r="D694" s="81">
        <f t="shared" si="41"/>
        <v>14960</v>
      </c>
      <c r="E694" s="79" t="s">
        <v>3563</v>
      </c>
      <c r="F694" s="82" t="str">
        <f t="shared" si="40"/>
        <v>insert into ins_premium_det (premium_rcv_code,assorted_code, rec_amount,premium_rcv_detail_code,remaining_amt, payrec, mode_code,coinsurance_code,class_cd,it_remarks) values</v>
      </c>
      <c r="G694" s="83" t="str">
        <f t="shared" si="42"/>
        <v>('29Oct240071','040000184971','14960',(select max(to_number(i.premium_rcv_detail_code))+1
from ins_premium_det i),'14960','14960','02', '11000003','00','Request by Mr. Omair Ali 30-Aug-2024');</v>
      </c>
      <c r="H694" s="84" t="str">
        <f t="shared" si="43"/>
        <v>insert into ins_premium_det (premium_rcv_code,assorted_code, rec_amount,premium_rcv_detail_code,remaining_amt, payrec, mode_code,coinsurance_code,class_cd,it_remarks) values('29Oct240071','040000184971','14960',(select max(to_number(i.premium_rcv_detail_code))+1
from ins_premium_det i),'14960','14960','02', '11000003','00','Request by Mr. Omair Ali 30-Aug-2024');</v>
      </c>
    </row>
    <row r="695" spans="1:8" ht="105" x14ac:dyDescent="0.25">
      <c r="A695" t="s">
        <v>833</v>
      </c>
      <c r="B695" s="80" t="str">
        <f>VLOOKUP(A695,policy!B:C,2,0)</f>
        <v>040000184974</v>
      </c>
      <c r="C695" s="46">
        <v>8800</v>
      </c>
      <c r="D695" s="81">
        <f t="shared" si="41"/>
        <v>8800</v>
      </c>
      <c r="E695" s="79" t="s">
        <v>3563</v>
      </c>
      <c r="F695" s="82" t="str">
        <f t="shared" si="40"/>
        <v>insert into ins_premium_det (premium_rcv_code,assorted_code, rec_amount,premium_rcv_detail_code,remaining_amt, payrec, mode_code,coinsurance_code,class_cd,it_remarks) values</v>
      </c>
      <c r="G695" s="83" t="str">
        <f t="shared" si="42"/>
        <v>('29Oct240071','040000184974','8800',(select max(to_number(i.premium_rcv_detail_code))+1
from ins_premium_det i),'8800','8800','02', '11000003','00','Request by Mr. Omair Ali 30-Aug-2024');</v>
      </c>
      <c r="H695" s="84" t="str">
        <f t="shared" si="43"/>
        <v>insert into ins_premium_det (premium_rcv_code,assorted_code, rec_amount,premium_rcv_detail_code,remaining_amt, payrec, mode_code,coinsurance_code,class_cd,it_remarks) values('29Oct240071','040000184974','8800',(select max(to_number(i.premium_rcv_detail_code))+1
from ins_premium_det i),'8800','8800','02', '11000003','00','Request by Mr. Omair Ali 30-Aug-2024');</v>
      </c>
    </row>
    <row r="696" spans="1:8" ht="105" x14ac:dyDescent="0.25">
      <c r="A696" t="s">
        <v>834</v>
      </c>
      <c r="B696" s="80" t="str">
        <f>VLOOKUP(A696,policy!B:C,2,0)</f>
        <v>040000184975</v>
      </c>
      <c r="C696" s="46">
        <v>14960</v>
      </c>
      <c r="D696" s="81">
        <f t="shared" si="41"/>
        <v>14960</v>
      </c>
      <c r="E696" s="79" t="s">
        <v>3563</v>
      </c>
      <c r="F696" s="82" t="str">
        <f t="shared" si="40"/>
        <v>insert into ins_premium_det (premium_rcv_code,assorted_code, rec_amount,premium_rcv_detail_code,remaining_amt, payrec, mode_code,coinsurance_code,class_cd,it_remarks) values</v>
      </c>
      <c r="G696" s="83" t="str">
        <f t="shared" si="42"/>
        <v>('29Oct240071','040000184975','14960',(select max(to_number(i.premium_rcv_detail_code))+1
from ins_premium_det i),'14960','14960','02', '11000003','00','Request by Mr. Omair Ali 30-Aug-2024');</v>
      </c>
      <c r="H696" s="84" t="str">
        <f t="shared" si="43"/>
        <v>insert into ins_premium_det (premium_rcv_code,assorted_code, rec_amount,premium_rcv_detail_code,remaining_amt, payrec, mode_code,coinsurance_code,class_cd,it_remarks) values('29Oct240071','040000184975','14960',(select max(to_number(i.premium_rcv_detail_code))+1
from ins_premium_det i),'14960','14960','02', '11000003','00','Request by Mr. Omair Ali 30-Aug-2024');</v>
      </c>
    </row>
    <row r="697" spans="1:8" ht="105" x14ac:dyDescent="0.25">
      <c r="A697" t="s">
        <v>835</v>
      </c>
      <c r="B697" s="80" t="str">
        <f>VLOOKUP(A697,policy!B:C,2,0)</f>
        <v>040000184977</v>
      </c>
      <c r="C697" s="46">
        <v>14960</v>
      </c>
      <c r="D697" s="81">
        <f t="shared" si="41"/>
        <v>14960</v>
      </c>
      <c r="E697" s="79" t="s">
        <v>3563</v>
      </c>
      <c r="F697" s="82" t="str">
        <f t="shared" si="40"/>
        <v>insert into ins_premium_det (premium_rcv_code,assorted_code, rec_amount,premium_rcv_detail_code,remaining_amt, payrec, mode_code,coinsurance_code,class_cd,it_remarks) values</v>
      </c>
      <c r="G697" s="83" t="str">
        <f t="shared" si="42"/>
        <v>('29Oct240071','040000184977','14960',(select max(to_number(i.premium_rcv_detail_code))+1
from ins_premium_det i),'14960','14960','02', '11000003','00','Request by Mr. Omair Ali 30-Aug-2024');</v>
      </c>
      <c r="H697" s="84" t="str">
        <f t="shared" si="43"/>
        <v>insert into ins_premium_det (premium_rcv_code,assorted_code, rec_amount,premium_rcv_detail_code,remaining_amt, payrec, mode_code,coinsurance_code,class_cd,it_remarks) values('29Oct240071','040000184977','14960',(select max(to_number(i.premium_rcv_detail_code))+1
from ins_premium_det i),'14960','14960','02', '11000003','00','Request by Mr. Omair Ali 30-Aug-2024');</v>
      </c>
    </row>
    <row r="698" spans="1:8" ht="105" x14ac:dyDescent="0.25">
      <c r="A698" t="s">
        <v>836</v>
      </c>
      <c r="B698" s="80" t="str">
        <f>VLOOKUP(A698,policy!B:C,2,0)</f>
        <v>040000184978</v>
      </c>
      <c r="C698" s="46">
        <v>14960</v>
      </c>
      <c r="D698" s="81">
        <f t="shared" si="41"/>
        <v>14960</v>
      </c>
      <c r="E698" s="79" t="s">
        <v>3563</v>
      </c>
      <c r="F698" s="82" t="str">
        <f t="shared" si="40"/>
        <v>insert into ins_premium_det (premium_rcv_code,assorted_code, rec_amount,premium_rcv_detail_code,remaining_amt, payrec, mode_code,coinsurance_code,class_cd,it_remarks) values</v>
      </c>
      <c r="G698" s="83" t="str">
        <f t="shared" si="42"/>
        <v>('29Oct240071','040000184978','14960',(select max(to_number(i.premium_rcv_detail_code))+1
from ins_premium_det i),'14960','14960','02', '11000003','00','Request by Mr. Omair Ali 30-Aug-2024');</v>
      </c>
      <c r="H698" s="84" t="str">
        <f t="shared" si="43"/>
        <v>insert into ins_premium_det (premium_rcv_code,assorted_code, rec_amount,premium_rcv_detail_code,remaining_amt, payrec, mode_code,coinsurance_code,class_cd,it_remarks) values('29Oct240071','040000184978','14960',(select max(to_number(i.premium_rcv_detail_code))+1
from ins_premium_det i),'14960','14960','02', '11000003','00','Request by Mr. Omair Ali 30-Aug-2024');</v>
      </c>
    </row>
    <row r="699" spans="1:8" ht="105" x14ac:dyDescent="0.25">
      <c r="A699" t="s">
        <v>837</v>
      </c>
      <c r="B699" s="80" t="str">
        <f>VLOOKUP(A699,policy!B:C,2,0)</f>
        <v>040000184979</v>
      </c>
      <c r="C699" s="46">
        <v>14960</v>
      </c>
      <c r="D699" s="81">
        <f t="shared" si="41"/>
        <v>14960</v>
      </c>
      <c r="E699" s="79" t="s">
        <v>3563</v>
      </c>
      <c r="F699" s="82" t="str">
        <f t="shared" si="40"/>
        <v>insert into ins_premium_det (premium_rcv_code,assorted_code, rec_amount,premium_rcv_detail_code,remaining_amt, payrec, mode_code,coinsurance_code,class_cd,it_remarks) values</v>
      </c>
      <c r="G699" s="83" t="str">
        <f t="shared" si="42"/>
        <v>('29Oct240071','040000184979','14960',(select max(to_number(i.premium_rcv_detail_code))+1
from ins_premium_det i),'14960','14960','02', '11000003','00','Request by Mr. Omair Ali 30-Aug-2024');</v>
      </c>
      <c r="H699" s="84" t="str">
        <f t="shared" si="43"/>
        <v>insert into ins_premium_det (premium_rcv_code,assorted_code, rec_amount,premium_rcv_detail_code,remaining_amt, payrec, mode_code,coinsurance_code,class_cd,it_remarks) values('29Oct240071','040000184979','14960',(select max(to_number(i.premium_rcv_detail_code))+1
from ins_premium_det i),'14960','14960','02', '11000003','00','Request by Mr. Omair Ali 30-Aug-2024');</v>
      </c>
    </row>
    <row r="700" spans="1:8" ht="105" x14ac:dyDescent="0.25">
      <c r="A700" t="s">
        <v>838</v>
      </c>
      <c r="B700" s="80" t="str">
        <f>VLOOKUP(A700,policy!B:C,2,0)</f>
        <v>040000184980</v>
      </c>
      <c r="C700" s="46">
        <v>14960</v>
      </c>
      <c r="D700" s="81">
        <f t="shared" si="41"/>
        <v>14960</v>
      </c>
      <c r="E700" s="79" t="s">
        <v>3563</v>
      </c>
      <c r="F700" s="82" t="str">
        <f t="shared" si="40"/>
        <v>insert into ins_premium_det (premium_rcv_code,assorted_code, rec_amount,premium_rcv_detail_code,remaining_amt, payrec, mode_code,coinsurance_code,class_cd,it_remarks) values</v>
      </c>
      <c r="G700" s="83" t="str">
        <f t="shared" si="42"/>
        <v>('29Oct240071','040000184980','14960',(select max(to_number(i.premium_rcv_detail_code))+1
from ins_premium_det i),'14960','14960','02', '11000003','00','Request by Mr. Omair Ali 30-Aug-2024');</v>
      </c>
      <c r="H700" s="84" t="str">
        <f t="shared" si="43"/>
        <v>insert into ins_premium_det (premium_rcv_code,assorted_code, rec_amount,premium_rcv_detail_code,remaining_amt, payrec, mode_code,coinsurance_code,class_cd,it_remarks) values('29Oct240071','040000184980','14960',(select max(to_number(i.premium_rcv_detail_code))+1
from ins_premium_det i),'14960','14960','02', '11000003','00','Request by Mr. Omair Ali 30-Aug-2024');</v>
      </c>
    </row>
    <row r="701" spans="1:8" ht="105" x14ac:dyDescent="0.25">
      <c r="A701" t="s">
        <v>839</v>
      </c>
      <c r="B701" s="80" t="str">
        <f>VLOOKUP(A701,policy!B:C,2,0)</f>
        <v>040000184981</v>
      </c>
      <c r="C701" s="46">
        <v>14960</v>
      </c>
      <c r="D701" s="81">
        <f t="shared" si="41"/>
        <v>14960</v>
      </c>
      <c r="E701" s="79" t="s">
        <v>3563</v>
      </c>
      <c r="F701" s="82" t="str">
        <f t="shared" si="40"/>
        <v>insert into ins_premium_det (premium_rcv_code,assorted_code, rec_amount,premium_rcv_detail_code,remaining_amt, payrec, mode_code,coinsurance_code,class_cd,it_remarks) values</v>
      </c>
      <c r="G701" s="83" t="str">
        <f t="shared" si="42"/>
        <v>('29Oct240071','040000184981','14960',(select max(to_number(i.premium_rcv_detail_code))+1
from ins_premium_det i),'14960','14960','02', '11000003','00','Request by Mr. Omair Ali 30-Aug-2024');</v>
      </c>
      <c r="H701" s="84" t="str">
        <f t="shared" si="43"/>
        <v>insert into ins_premium_det (premium_rcv_code,assorted_code, rec_amount,premium_rcv_detail_code,remaining_amt, payrec, mode_code,coinsurance_code,class_cd,it_remarks) values('29Oct240071','040000184981','14960',(select max(to_number(i.premium_rcv_detail_code))+1
from ins_premium_det i),'14960','14960','02', '11000003','00','Request by Mr. Omair Ali 30-Aug-2024');</v>
      </c>
    </row>
    <row r="702" spans="1:8" ht="105" x14ac:dyDescent="0.25">
      <c r="A702" t="s">
        <v>840</v>
      </c>
      <c r="B702" s="80" t="str">
        <f>VLOOKUP(A702,policy!B:C,2,0)</f>
        <v>040000184996</v>
      </c>
      <c r="C702" s="46">
        <v>12475</v>
      </c>
      <c r="D702" s="81">
        <f t="shared" si="41"/>
        <v>12475</v>
      </c>
      <c r="E702" s="79" t="s">
        <v>3563</v>
      </c>
      <c r="F702" s="82" t="str">
        <f t="shared" si="40"/>
        <v>insert into ins_premium_det (premium_rcv_code,assorted_code, rec_amount,premium_rcv_detail_code,remaining_amt, payrec, mode_code,coinsurance_code,class_cd,it_remarks) values</v>
      </c>
      <c r="G702" s="83" t="str">
        <f t="shared" si="42"/>
        <v>('29Oct240071','040000184996','12475',(select max(to_number(i.premium_rcv_detail_code))+1
from ins_premium_det i),'12475','12475','02', '11000003','00','Request by Mr. Omair Ali 30-Aug-2024');</v>
      </c>
      <c r="H702" s="84" t="str">
        <f t="shared" si="43"/>
        <v>insert into ins_premium_det (premium_rcv_code,assorted_code, rec_amount,premium_rcv_detail_code,remaining_amt, payrec, mode_code,coinsurance_code,class_cd,it_remarks) values('29Oct240071','040000184996','12475',(select max(to_number(i.premium_rcv_detail_code))+1
from ins_premium_det i),'12475','12475','02', '11000003','00','Request by Mr. Omair Ali 30-Aug-2024');</v>
      </c>
    </row>
    <row r="703" spans="1:8" ht="105" x14ac:dyDescent="0.25">
      <c r="A703" t="s">
        <v>841</v>
      </c>
      <c r="B703" s="80" t="str">
        <f>VLOOKUP(A703,policy!B:C,2,0)</f>
        <v>040000184997</v>
      </c>
      <c r="C703" s="46">
        <v>8800</v>
      </c>
      <c r="D703" s="81">
        <f t="shared" si="41"/>
        <v>8800</v>
      </c>
      <c r="E703" s="79" t="s">
        <v>3563</v>
      </c>
      <c r="F703" s="82" t="str">
        <f t="shared" si="40"/>
        <v>insert into ins_premium_det (premium_rcv_code,assorted_code, rec_amount,premium_rcv_detail_code,remaining_amt, payrec, mode_code,coinsurance_code,class_cd,it_remarks) values</v>
      </c>
      <c r="G703" s="83" t="str">
        <f t="shared" si="42"/>
        <v>('29Oct240071','040000184997','8800',(select max(to_number(i.premium_rcv_detail_code))+1
from ins_premium_det i),'8800','8800','02', '11000003','00','Request by Mr. Omair Ali 30-Aug-2024');</v>
      </c>
      <c r="H703" s="84" t="str">
        <f t="shared" si="43"/>
        <v>insert into ins_premium_det (premium_rcv_code,assorted_code, rec_amount,premium_rcv_detail_code,remaining_amt, payrec, mode_code,coinsurance_code,class_cd,it_remarks) values('29Oct240071','040000184997','8800',(select max(to_number(i.premium_rcv_detail_code))+1
from ins_premium_det i),'8800','8800','02', '11000003','00','Request by Mr. Omair Ali 30-Aug-2024');</v>
      </c>
    </row>
    <row r="704" spans="1:8" ht="105" x14ac:dyDescent="0.25">
      <c r="A704" t="s">
        <v>842</v>
      </c>
      <c r="B704" s="80" t="str">
        <f>VLOOKUP(A704,policy!B:C,2,0)</f>
        <v>040000184998</v>
      </c>
      <c r="C704" s="46">
        <v>8800</v>
      </c>
      <c r="D704" s="81">
        <f t="shared" si="41"/>
        <v>8800</v>
      </c>
      <c r="E704" s="79" t="s">
        <v>3563</v>
      </c>
      <c r="F704" s="82" t="str">
        <f t="shared" si="40"/>
        <v>insert into ins_premium_det (premium_rcv_code,assorted_code, rec_amount,premium_rcv_detail_code,remaining_amt, payrec, mode_code,coinsurance_code,class_cd,it_remarks) values</v>
      </c>
      <c r="G704" s="83" t="str">
        <f t="shared" si="42"/>
        <v>('29Oct240071','040000184998','8800',(select max(to_number(i.premium_rcv_detail_code))+1
from ins_premium_det i),'8800','8800','02', '11000003','00','Request by Mr. Omair Ali 30-Aug-2024');</v>
      </c>
      <c r="H704" s="84" t="str">
        <f t="shared" si="43"/>
        <v>insert into ins_premium_det (premium_rcv_code,assorted_code, rec_amount,premium_rcv_detail_code,remaining_amt, payrec, mode_code,coinsurance_code,class_cd,it_remarks) values('29Oct240071','040000184998','8800',(select max(to_number(i.premium_rcv_detail_code))+1
from ins_premium_det i),'8800','8800','02', '11000003','00','Request by Mr. Omair Ali 30-Aug-2024');</v>
      </c>
    </row>
    <row r="705" spans="1:8" ht="105" x14ac:dyDescent="0.25">
      <c r="A705" t="s">
        <v>843</v>
      </c>
      <c r="B705" s="80" t="str">
        <f>VLOOKUP(A705,policy!B:C,2,0)</f>
        <v>040000185000</v>
      </c>
      <c r="C705" s="46">
        <v>9550</v>
      </c>
      <c r="D705" s="81">
        <f t="shared" si="41"/>
        <v>9550</v>
      </c>
      <c r="E705" s="79" t="s">
        <v>3563</v>
      </c>
      <c r="F705" s="82" t="str">
        <f t="shared" si="40"/>
        <v>insert into ins_premium_det (premium_rcv_code,assorted_code, rec_amount,premium_rcv_detail_code,remaining_amt, payrec, mode_code,coinsurance_code,class_cd,it_remarks) values</v>
      </c>
      <c r="G705" s="83" t="str">
        <f t="shared" si="42"/>
        <v>('29Oct240071','040000185000','9550',(select max(to_number(i.premium_rcv_detail_code))+1
from ins_premium_det i),'9550','9550','02', '11000003','00','Request by Mr. Omair Ali 30-Aug-2024');</v>
      </c>
      <c r="H705" s="84" t="str">
        <f t="shared" si="43"/>
        <v>insert into ins_premium_det (premium_rcv_code,assorted_code, rec_amount,premium_rcv_detail_code,remaining_amt, payrec, mode_code,coinsurance_code,class_cd,it_remarks) values('29Oct240071','040000185000','9550',(select max(to_number(i.premium_rcv_detail_code))+1
from ins_premium_det i),'9550','9550','02', '11000003','00','Request by Mr. Omair Ali 30-Aug-2024');</v>
      </c>
    </row>
    <row r="706" spans="1:8" ht="105" x14ac:dyDescent="0.25">
      <c r="A706" t="s">
        <v>844</v>
      </c>
      <c r="B706" s="80" t="str">
        <f>VLOOKUP(A706,policy!B:C,2,0)</f>
        <v>040000185003</v>
      </c>
      <c r="C706" s="46">
        <v>9550</v>
      </c>
      <c r="D706" s="81">
        <f t="shared" si="41"/>
        <v>9550</v>
      </c>
      <c r="E706" s="79" t="s">
        <v>3563</v>
      </c>
      <c r="F706" s="82" t="str">
        <f t="shared" ref="F706:F769" si="4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06" s="83" t="str">
        <f t="shared" si="42"/>
        <v>('29Oct240071','040000185003','9550',(select max(to_number(i.premium_rcv_detail_code))+1
from ins_premium_det i),'9550','9550','02', '11000003','00','Request by Mr. Omair Ali 30-Aug-2024');</v>
      </c>
      <c r="H706" s="84" t="str">
        <f t="shared" si="43"/>
        <v>insert into ins_premium_det (premium_rcv_code,assorted_code, rec_amount,premium_rcv_detail_code,remaining_amt, payrec, mode_code,coinsurance_code,class_cd,it_remarks) values('29Oct240071','040000185003','9550',(select max(to_number(i.premium_rcv_detail_code))+1
from ins_premium_det i),'9550','9550','02', '11000003','00','Request by Mr. Omair Ali 30-Aug-2024');</v>
      </c>
    </row>
    <row r="707" spans="1:8" ht="105" x14ac:dyDescent="0.25">
      <c r="A707" t="s">
        <v>845</v>
      </c>
      <c r="B707" s="80" t="str">
        <f>VLOOKUP(A707,policy!B:C,2,0)</f>
        <v>040000185010</v>
      </c>
      <c r="C707" s="46">
        <v>21208</v>
      </c>
      <c r="D707" s="81">
        <f t="shared" ref="D707:D770" si="45">ROUND(C707,0)</f>
        <v>21208</v>
      </c>
      <c r="E707" s="79" t="s">
        <v>3563</v>
      </c>
      <c r="F707" s="82" t="str">
        <f t="shared" si="44"/>
        <v>insert into ins_premium_det (premium_rcv_code,assorted_code, rec_amount,premium_rcv_detail_code,remaining_amt, payrec, mode_code,coinsurance_code,class_cd,it_remarks) values</v>
      </c>
      <c r="G707" s="83" t="str">
        <f t="shared" ref="G707:G770" si="46">"('"&amp;E707&amp;"','"&amp;B707&amp;"','"&amp;D707&amp;"',(select max(to_number(i.premium_rcv_detail_code))+1
from ins_premium_det i),'"&amp;D707&amp;"','"&amp;D707&amp;"','02', '11000003','00','Request by Mr. Omair Ali 30-Aug-2024');"</f>
        <v>('29Oct240071','040000185010','21208',(select max(to_number(i.premium_rcv_detail_code))+1
from ins_premium_det i),'21208','21208','02', '11000003','00','Request by Mr. Omair Ali 30-Aug-2024');</v>
      </c>
      <c r="H707" s="84" t="str">
        <f t="shared" ref="H707:H770" si="47">F707&amp;G707</f>
        <v>insert into ins_premium_det (premium_rcv_code,assorted_code, rec_amount,premium_rcv_detail_code,remaining_amt, payrec, mode_code,coinsurance_code,class_cd,it_remarks) values('29Oct240071','040000185010','21208',(select max(to_number(i.premium_rcv_detail_code))+1
from ins_premium_det i),'21208','21208','02', '11000003','00','Request by Mr. Omair Ali 30-Aug-2024');</v>
      </c>
    </row>
    <row r="708" spans="1:8" ht="105" x14ac:dyDescent="0.25">
      <c r="A708" t="s">
        <v>846</v>
      </c>
      <c r="B708" s="80" t="str">
        <f>VLOOKUP(A708,policy!B:C,2,0)</f>
        <v>040000185011</v>
      </c>
      <c r="C708" s="46">
        <v>21208</v>
      </c>
      <c r="D708" s="81">
        <f t="shared" si="45"/>
        <v>21208</v>
      </c>
      <c r="E708" s="79" t="s">
        <v>3563</v>
      </c>
      <c r="F708" s="82" t="str">
        <f t="shared" si="44"/>
        <v>insert into ins_premium_det (premium_rcv_code,assorted_code, rec_amount,premium_rcv_detail_code,remaining_amt, payrec, mode_code,coinsurance_code,class_cd,it_remarks) values</v>
      </c>
      <c r="G708" s="83" t="str">
        <f t="shared" si="46"/>
        <v>('29Oct240071','040000185011','21208',(select max(to_number(i.premium_rcv_detail_code))+1
from ins_premium_det i),'21208','21208','02', '11000003','00','Request by Mr. Omair Ali 30-Aug-2024');</v>
      </c>
      <c r="H708" s="84" t="str">
        <f t="shared" si="47"/>
        <v>insert into ins_premium_det (premium_rcv_code,assorted_code, rec_amount,premium_rcv_detail_code,remaining_amt, payrec, mode_code,coinsurance_code,class_cd,it_remarks) values('29Oct240071','040000185011','21208',(select max(to_number(i.premium_rcv_detail_code))+1
from ins_premium_det i),'21208','21208','02', '11000003','00','Request by Mr. Omair Ali 30-Aug-2024');</v>
      </c>
    </row>
    <row r="709" spans="1:8" ht="105" x14ac:dyDescent="0.25">
      <c r="A709" t="s">
        <v>847</v>
      </c>
      <c r="B709" s="80" t="str">
        <f>VLOOKUP(A709,policy!B:C,2,0)</f>
        <v>040000185017</v>
      </c>
      <c r="C709" s="46">
        <v>14960</v>
      </c>
      <c r="D709" s="81">
        <f t="shared" si="45"/>
        <v>14960</v>
      </c>
      <c r="E709" s="79" t="s">
        <v>3563</v>
      </c>
      <c r="F709" s="82" t="str">
        <f t="shared" si="44"/>
        <v>insert into ins_premium_det (premium_rcv_code,assorted_code, rec_amount,premium_rcv_detail_code,remaining_amt, payrec, mode_code,coinsurance_code,class_cd,it_remarks) values</v>
      </c>
      <c r="G709" s="83" t="str">
        <f t="shared" si="46"/>
        <v>('29Oct240071','040000185017','14960',(select max(to_number(i.premium_rcv_detail_code))+1
from ins_premium_det i),'14960','14960','02', '11000003','00','Request by Mr. Omair Ali 30-Aug-2024');</v>
      </c>
      <c r="H709" s="84" t="str">
        <f t="shared" si="47"/>
        <v>insert into ins_premium_det (premium_rcv_code,assorted_code, rec_amount,premium_rcv_detail_code,remaining_amt, payrec, mode_code,coinsurance_code,class_cd,it_remarks) values('29Oct240071','040000185017','14960',(select max(to_number(i.premium_rcv_detail_code))+1
from ins_premium_det i),'14960','14960','02', '11000003','00','Request by Mr. Omair Ali 30-Aug-2024');</v>
      </c>
    </row>
    <row r="710" spans="1:8" ht="105" x14ac:dyDescent="0.25">
      <c r="A710" t="s">
        <v>848</v>
      </c>
      <c r="B710" s="80" t="str">
        <f>VLOOKUP(A710,policy!B:C,2,0)</f>
        <v>040000185030</v>
      </c>
      <c r="C710" s="46">
        <v>21208</v>
      </c>
      <c r="D710" s="81">
        <f t="shared" si="45"/>
        <v>21208</v>
      </c>
      <c r="E710" s="79" t="s">
        <v>3563</v>
      </c>
      <c r="F710" s="82" t="str">
        <f t="shared" si="44"/>
        <v>insert into ins_premium_det (premium_rcv_code,assorted_code, rec_amount,premium_rcv_detail_code,remaining_amt, payrec, mode_code,coinsurance_code,class_cd,it_remarks) values</v>
      </c>
      <c r="G710" s="83" t="str">
        <f t="shared" si="46"/>
        <v>('29Oct240071','040000185030','21208',(select max(to_number(i.premium_rcv_detail_code))+1
from ins_premium_det i),'21208','21208','02', '11000003','00','Request by Mr. Omair Ali 30-Aug-2024');</v>
      </c>
      <c r="H710" s="84" t="str">
        <f t="shared" si="47"/>
        <v>insert into ins_premium_det (premium_rcv_code,assorted_code, rec_amount,premium_rcv_detail_code,remaining_amt, payrec, mode_code,coinsurance_code,class_cd,it_remarks) values('29Oct240071','040000185030','21208',(select max(to_number(i.premium_rcv_detail_code))+1
from ins_premium_det i),'21208','21208','02', '11000003','00','Request by Mr. Omair Ali 30-Aug-2024');</v>
      </c>
    </row>
    <row r="711" spans="1:8" ht="105" x14ac:dyDescent="0.25">
      <c r="A711" t="s">
        <v>849</v>
      </c>
      <c r="B711" s="80" t="str">
        <f>VLOOKUP(A711,policy!B:C,2,0)</f>
        <v>040000185031</v>
      </c>
      <c r="C711" s="46">
        <v>21208</v>
      </c>
      <c r="D711" s="81">
        <f t="shared" si="45"/>
        <v>21208</v>
      </c>
      <c r="E711" s="79" t="s">
        <v>3563</v>
      </c>
      <c r="F711" s="82" t="str">
        <f t="shared" si="44"/>
        <v>insert into ins_premium_det (premium_rcv_code,assorted_code, rec_amount,premium_rcv_detail_code,remaining_amt, payrec, mode_code,coinsurance_code,class_cd,it_remarks) values</v>
      </c>
      <c r="G711" s="83" t="str">
        <f t="shared" si="46"/>
        <v>('29Oct240071','040000185031','21208',(select max(to_number(i.premium_rcv_detail_code))+1
from ins_premium_det i),'21208','21208','02', '11000003','00','Request by Mr. Omair Ali 30-Aug-2024');</v>
      </c>
      <c r="H711" s="84" t="str">
        <f t="shared" si="47"/>
        <v>insert into ins_premium_det (premium_rcv_code,assorted_code, rec_amount,premium_rcv_detail_code,remaining_amt, payrec, mode_code,coinsurance_code,class_cd,it_remarks) values('29Oct240071','040000185031','21208',(select max(to_number(i.premium_rcv_detail_code))+1
from ins_premium_det i),'21208','21208','02', '11000003','00','Request by Mr. Omair Ali 30-Aug-2024');</v>
      </c>
    </row>
    <row r="712" spans="1:8" ht="105" x14ac:dyDescent="0.25">
      <c r="A712" t="s">
        <v>850</v>
      </c>
      <c r="B712" s="80" t="str">
        <f>VLOOKUP(A712,policy!B:C,2,0)</f>
        <v>040000185036</v>
      </c>
      <c r="C712" s="46">
        <v>14960</v>
      </c>
      <c r="D712" s="81">
        <f t="shared" si="45"/>
        <v>14960</v>
      </c>
      <c r="E712" s="79" t="s">
        <v>3563</v>
      </c>
      <c r="F712" s="82" t="str">
        <f t="shared" si="44"/>
        <v>insert into ins_premium_det (premium_rcv_code,assorted_code, rec_amount,premium_rcv_detail_code,remaining_amt, payrec, mode_code,coinsurance_code,class_cd,it_remarks) values</v>
      </c>
      <c r="G712" s="83" t="str">
        <f t="shared" si="46"/>
        <v>('29Oct240071','040000185036','14960',(select max(to_number(i.premium_rcv_detail_code))+1
from ins_premium_det i),'14960','14960','02', '11000003','00','Request by Mr. Omair Ali 30-Aug-2024');</v>
      </c>
      <c r="H712" s="84" t="str">
        <f t="shared" si="47"/>
        <v>insert into ins_premium_det (premium_rcv_code,assorted_code, rec_amount,premium_rcv_detail_code,remaining_amt, payrec, mode_code,coinsurance_code,class_cd,it_remarks) values('29Oct240071','040000185036','14960',(select max(to_number(i.premium_rcv_detail_code))+1
from ins_premium_det i),'14960','14960','02', '11000003','00','Request by Mr. Omair Ali 30-Aug-2024');</v>
      </c>
    </row>
    <row r="713" spans="1:8" ht="105" x14ac:dyDescent="0.25">
      <c r="A713" t="s">
        <v>851</v>
      </c>
      <c r="B713" s="80" t="str">
        <f>VLOOKUP(A713,policy!B:C,2,0)</f>
        <v>040000185037</v>
      </c>
      <c r="C713" s="46">
        <v>14960</v>
      </c>
      <c r="D713" s="81">
        <f t="shared" si="45"/>
        <v>14960</v>
      </c>
      <c r="E713" s="79" t="s">
        <v>3563</v>
      </c>
      <c r="F713" s="82" t="str">
        <f t="shared" si="44"/>
        <v>insert into ins_premium_det (premium_rcv_code,assorted_code, rec_amount,premium_rcv_detail_code,remaining_amt, payrec, mode_code,coinsurance_code,class_cd,it_remarks) values</v>
      </c>
      <c r="G713" s="83" t="str">
        <f t="shared" si="46"/>
        <v>('29Oct240071','040000185037','14960',(select max(to_number(i.premium_rcv_detail_code))+1
from ins_premium_det i),'14960','14960','02', '11000003','00','Request by Mr. Omair Ali 30-Aug-2024');</v>
      </c>
      <c r="H713" s="84" t="str">
        <f t="shared" si="47"/>
        <v>insert into ins_premium_det (premium_rcv_code,assorted_code, rec_amount,premium_rcv_detail_code,remaining_amt, payrec, mode_code,coinsurance_code,class_cd,it_remarks) values('29Oct240071','040000185037','14960',(select max(to_number(i.premium_rcv_detail_code))+1
from ins_premium_det i),'14960','14960','02', '11000003','00','Request by Mr. Omair Ali 30-Aug-2024');</v>
      </c>
    </row>
    <row r="714" spans="1:8" ht="105" x14ac:dyDescent="0.25">
      <c r="A714" t="s">
        <v>852</v>
      </c>
      <c r="B714" s="80" t="str">
        <f>VLOOKUP(A714,policy!B:C,2,0)</f>
        <v>040000185038</v>
      </c>
      <c r="C714" s="46">
        <v>14960</v>
      </c>
      <c r="D714" s="81">
        <f t="shared" si="45"/>
        <v>14960</v>
      </c>
      <c r="E714" s="79" t="s">
        <v>3563</v>
      </c>
      <c r="F714" s="82" t="str">
        <f t="shared" si="44"/>
        <v>insert into ins_premium_det (premium_rcv_code,assorted_code, rec_amount,premium_rcv_detail_code,remaining_amt, payrec, mode_code,coinsurance_code,class_cd,it_remarks) values</v>
      </c>
      <c r="G714" s="83" t="str">
        <f t="shared" si="46"/>
        <v>('29Oct240071','040000185038','14960',(select max(to_number(i.premium_rcv_detail_code))+1
from ins_premium_det i),'14960','14960','02', '11000003','00','Request by Mr. Omair Ali 30-Aug-2024');</v>
      </c>
      <c r="H714" s="84" t="str">
        <f t="shared" si="47"/>
        <v>insert into ins_premium_det (premium_rcv_code,assorted_code, rec_amount,premium_rcv_detail_code,remaining_amt, payrec, mode_code,coinsurance_code,class_cd,it_remarks) values('29Oct240071','040000185038','14960',(select max(to_number(i.premium_rcv_detail_code))+1
from ins_premium_det i),'14960','14960','02', '11000003','00','Request by Mr. Omair Ali 30-Aug-2024');</v>
      </c>
    </row>
    <row r="715" spans="1:8" ht="105" x14ac:dyDescent="0.25">
      <c r="A715" t="s">
        <v>853</v>
      </c>
      <c r="B715" s="80" t="str">
        <f>VLOOKUP(A715,policy!B:C,2,0)</f>
        <v>040000185039</v>
      </c>
      <c r="C715" s="46">
        <v>14960</v>
      </c>
      <c r="D715" s="81">
        <f t="shared" si="45"/>
        <v>14960</v>
      </c>
      <c r="E715" s="79" t="s">
        <v>3563</v>
      </c>
      <c r="F715" s="82" t="str">
        <f t="shared" si="44"/>
        <v>insert into ins_premium_det (premium_rcv_code,assorted_code, rec_amount,premium_rcv_detail_code,remaining_amt, payrec, mode_code,coinsurance_code,class_cd,it_remarks) values</v>
      </c>
      <c r="G715" s="83" t="str">
        <f t="shared" si="46"/>
        <v>('29Oct240071','040000185039','14960',(select max(to_number(i.premium_rcv_detail_code))+1
from ins_premium_det i),'14960','14960','02', '11000003','00','Request by Mr. Omair Ali 30-Aug-2024');</v>
      </c>
      <c r="H715" s="84" t="str">
        <f t="shared" si="47"/>
        <v>insert into ins_premium_det (premium_rcv_code,assorted_code, rec_amount,premium_rcv_detail_code,remaining_amt, payrec, mode_code,coinsurance_code,class_cd,it_remarks) values('29Oct240071','040000185039','14960',(select max(to_number(i.premium_rcv_detail_code))+1
from ins_premium_det i),'14960','14960','02', '11000003','00','Request by Mr. Omair Ali 30-Aug-2024');</v>
      </c>
    </row>
    <row r="716" spans="1:8" ht="105" x14ac:dyDescent="0.25">
      <c r="A716" t="s">
        <v>854</v>
      </c>
      <c r="B716" s="80" t="str">
        <f>VLOOKUP(A716,policy!B:C,2,0)</f>
        <v>040000185040</v>
      </c>
      <c r="C716" s="46">
        <v>14960</v>
      </c>
      <c r="D716" s="81">
        <f t="shared" si="45"/>
        <v>14960</v>
      </c>
      <c r="E716" s="79" t="s">
        <v>3563</v>
      </c>
      <c r="F716" s="82" t="str">
        <f t="shared" si="44"/>
        <v>insert into ins_premium_det (premium_rcv_code,assorted_code, rec_amount,premium_rcv_detail_code,remaining_amt, payrec, mode_code,coinsurance_code,class_cd,it_remarks) values</v>
      </c>
      <c r="G716" s="83" t="str">
        <f t="shared" si="46"/>
        <v>('29Oct240071','040000185040','14960',(select max(to_number(i.premium_rcv_detail_code))+1
from ins_premium_det i),'14960','14960','02', '11000003','00','Request by Mr. Omair Ali 30-Aug-2024');</v>
      </c>
      <c r="H716" s="84" t="str">
        <f t="shared" si="47"/>
        <v>insert into ins_premium_det (premium_rcv_code,assorted_code, rec_amount,premium_rcv_detail_code,remaining_amt, payrec, mode_code,coinsurance_code,class_cd,it_remarks) values('29Oct240071','040000185040','14960',(select max(to_number(i.premium_rcv_detail_code))+1
from ins_premium_det i),'14960','14960','02', '11000003','00','Request by Mr. Omair Ali 30-Aug-2024');</v>
      </c>
    </row>
    <row r="717" spans="1:8" ht="105" x14ac:dyDescent="0.25">
      <c r="A717" t="s">
        <v>855</v>
      </c>
      <c r="B717" s="80" t="str">
        <f>VLOOKUP(A717,policy!B:C,2,0)</f>
        <v>040000185041</v>
      </c>
      <c r="C717" s="46">
        <v>14960</v>
      </c>
      <c r="D717" s="81">
        <f t="shared" si="45"/>
        <v>14960</v>
      </c>
      <c r="E717" s="79" t="s">
        <v>3563</v>
      </c>
      <c r="F717" s="82" t="str">
        <f t="shared" si="44"/>
        <v>insert into ins_premium_det (premium_rcv_code,assorted_code, rec_amount,premium_rcv_detail_code,remaining_amt, payrec, mode_code,coinsurance_code,class_cd,it_remarks) values</v>
      </c>
      <c r="G717" s="83" t="str">
        <f t="shared" si="46"/>
        <v>('29Oct240071','040000185041','14960',(select max(to_number(i.premium_rcv_detail_code))+1
from ins_premium_det i),'14960','14960','02', '11000003','00','Request by Mr. Omair Ali 30-Aug-2024');</v>
      </c>
      <c r="H717" s="84" t="str">
        <f t="shared" si="47"/>
        <v>insert into ins_premium_det (premium_rcv_code,assorted_code, rec_amount,premium_rcv_detail_code,remaining_amt, payrec, mode_code,coinsurance_code,class_cd,it_remarks) values('29Oct240071','040000185041','14960',(select max(to_number(i.premium_rcv_detail_code))+1
from ins_premium_det i),'14960','14960','02', '11000003','00','Request by Mr. Omair Ali 30-Aug-2024');</v>
      </c>
    </row>
    <row r="718" spans="1:8" ht="105" x14ac:dyDescent="0.25">
      <c r="A718" t="s">
        <v>856</v>
      </c>
      <c r="B718" s="80" t="str">
        <f>VLOOKUP(A718,policy!B:C,2,0)</f>
        <v>040000185043</v>
      </c>
      <c r="C718" s="46">
        <v>23248</v>
      </c>
      <c r="D718" s="81">
        <f t="shared" si="45"/>
        <v>23248</v>
      </c>
      <c r="E718" s="79" t="s">
        <v>3563</v>
      </c>
      <c r="F718" s="82" t="str">
        <f t="shared" si="44"/>
        <v>insert into ins_premium_det (premium_rcv_code,assorted_code, rec_amount,premium_rcv_detail_code,remaining_amt, payrec, mode_code,coinsurance_code,class_cd,it_remarks) values</v>
      </c>
      <c r="G718" s="83" t="str">
        <f t="shared" si="46"/>
        <v>('29Oct240071','040000185043','23248',(select max(to_number(i.premium_rcv_detail_code))+1
from ins_premium_det i),'23248','23248','02', '11000003','00','Request by Mr. Omair Ali 30-Aug-2024');</v>
      </c>
      <c r="H718" s="84" t="str">
        <f t="shared" si="47"/>
        <v>insert into ins_premium_det (premium_rcv_code,assorted_code, rec_amount,premium_rcv_detail_code,remaining_amt, payrec, mode_code,coinsurance_code,class_cd,it_remarks) values('29Oct240071','040000185043','23248',(select max(to_number(i.premium_rcv_detail_code))+1
from ins_premium_det i),'23248','23248','02', '11000003','00','Request by Mr. Omair Ali 30-Aug-2024');</v>
      </c>
    </row>
    <row r="719" spans="1:8" ht="105" x14ac:dyDescent="0.25">
      <c r="A719" t="s">
        <v>857</v>
      </c>
      <c r="B719" s="80" t="str">
        <f>VLOOKUP(A719,policy!B:C,2,0)</f>
        <v>040000185052</v>
      </c>
      <c r="C719" s="46">
        <v>14960</v>
      </c>
      <c r="D719" s="81">
        <f t="shared" si="45"/>
        <v>14960</v>
      </c>
      <c r="E719" s="79" t="s">
        <v>3563</v>
      </c>
      <c r="F719" s="82" t="str">
        <f t="shared" si="44"/>
        <v>insert into ins_premium_det (premium_rcv_code,assorted_code, rec_amount,premium_rcv_detail_code,remaining_amt, payrec, mode_code,coinsurance_code,class_cd,it_remarks) values</v>
      </c>
      <c r="G719" s="83" t="str">
        <f t="shared" si="46"/>
        <v>('29Oct240071','040000185052','14960',(select max(to_number(i.premium_rcv_detail_code))+1
from ins_premium_det i),'14960','14960','02', '11000003','00','Request by Mr. Omair Ali 30-Aug-2024');</v>
      </c>
      <c r="H719" s="84" t="str">
        <f t="shared" si="47"/>
        <v>insert into ins_premium_det (premium_rcv_code,assorted_code, rec_amount,premium_rcv_detail_code,remaining_amt, payrec, mode_code,coinsurance_code,class_cd,it_remarks) values('29Oct240071','040000185052','14960',(select max(to_number(i.premium_rcv_detail_code))+1
from ins_premium_det i),'14960','14960','02', '11000003','00','Request by Mr. Omair Ali 30-Aug-2024');</v>
      </c>
    </row>
    <row r="720" spans="1:8" ht="105" x14ac:dyDescent="0.25">
      <c r="A720" t="s">
        <v>858</v>
      </c>
      <c r="B720" s="80" t="str">
        <f>VLOOKUP(A720,policy!B:C,2,0)</f>
        <v>040000185053</v>
      </c>
      <c r="C720" s="46">
        <v>14960</v>
      </c>
      <c r="D720" s="81">
        <f t="shared" si="45"/>
        <v>14960</v>
      </c>
      <c r="E720" s="79" t="s">
        <v>3563</v>
      </c>
      <c r="F720" s="82" t="str">
        <f t="shared" si="44"/>
        <v>insert into ins_premium_det (premium_rcv_code,assorted_code, rec_amount,premium_rcv_detail_code,remaining_amt, payrec, mode_code,coinsurance_code,class_cd,it_remarks) values</v>
      </c>
      <c r="G720" s="83" t="str">
        <f t="shared" si="46"/>
        <v>('29Oct240071','040000185053','14960',(select max(to_number(i.premium_rcv_detail_code))+1
from ins_premium_det i),'14960','14960','02', '11000003','00','Request by Mr. Omair Ali 30-Aug-2024');</v>
      </c>
      <c r="H720" s="84" t="str">
        <f t="shared" si="47"/>
        <v>insert into ins_premium_det (premium_rcv_code,assorted_code, rec_amount,premium_rcv_detail_code,remaining_amt, payrec, mode_code,coinsurance_code,class_cd,it_remarks) values('29Oct240071','040000185053','14960',(select max(to_number(i.premium_rcv_detail_code))+1
from ins_premium_det i),'14960','14960','02', '11000003','00','Request by Mr. Omair Ali 30-Aug-2024');</v>
      </c>
    </row>
    <row r="721" spans="1:8" ht="105" x14ac:dyDescent="0.25">
      <c r="A721" t="s">
        <v>859</v>
      </c>
      <c r="B721" s="80" t="str">
        <f>VLOOKUP(A721,policy!B:C,2,0)</f>
        <v>040000185057</v>
      </c>
      <c r="C721" s="46">
        <v>8800</v>
      </c>
      <c r="D721" s="81">
        <f t="shared" si="45"/>
        <v>8800</v>
      </c>
      <c r="E721" s="79" t="s">
        <v>3563</v>
      </c>
      <c r="F721" s="82" t="str">
        <f t="shared" si="44"/>
        <v>insert into ins_premium_det (premium_rcv_code,assorted_code, rec_amount,premium_rcv_detail_code,remaining_amt, payrec, mode_code,coinsurance_code,class_cd,it_remarks) values</v>
      </c>
      <c r="G721" s="83" t="str">
        <f t="shared" si="46"/>
        <v>('29Oct240071','040000185057','8800',(select max(to_number(i.premium_rcv_detail_code))+1
from ins_premium_det i),'8800','8800','02', '11000003','00','Request by Mr. Omair Ali 30-Aug-2024');</v>
      </c>
      <c r="H721" s="84" t="str">
        <f t="shared" si="47"/>
        <v>insert into ins_premium_det (premium_rcv_code,assorted_code, rec_amount,premium_rcv_detail_code,remaining_amt, payrec, mode_code,coinsurance_code,class_cd,it_remarks) values('29Oct240071','040000185057','8800',(select max(to_number(i.premium_rcv_detail_code))+1
from ins_premium_det i),'8800','8800','02', '11000003','00','Request by Mr. Omair Ali 30-Aug-2024');</v>
      </c>
    </row>
    <row r="722" spans="1:8" ht="105" x14ac:dyDescent="0.25">
      <c r="A722" t="s">
        <v>860</v>
      </c>
      <c r="B722" s="80" t="str">
        <f>VLOOKUP(A722,policy!B:C,2,0)</f>
        <v>040000185061</v>
      </c>
      <c r="C722" s="46">
        <v>14960</v>
      </c>
      <c r="D722" s="81">
        <f t="shared" si="45"/>
        <v>14960</v>
      </c>
      <c r="E722" s="79" t="s">
        <v>3563</v>
      </c>
      <c r="F722" s="82" t="str">
        <f t="shared" si="44"/>
        <v>insert into ins_premium_det (premium_rcv_code,assorted_code, rec_amount,premium_rcv_detail_code,remaining_amt, payrec, mode_code,coinsurance_code,class_cd,it_remarks) values</v>
      </c>
      <c r="G722" s="83" t="str">
        <f t="shared" si="46"/>
        <v>('29Oct240071','040000185061','14960',(select max(to_number(i.premium_rcv_detail_code))+1
from ins_premium_det i),'14960','14960','02', '11000003','00','Request by Mr. Omair Ali 30-Aug-2024');</v>
      </c>
      <c r="H722" s="84" t="str">
        <f t="shared" si="47"/>
        <v>insert into ins_premium_det (premium_rcv_code,assorted_code, rec_amount,premium_rcv_detail_code,remaining_amt, payrec, mode_code,coinsurance_code,class_cd,it_remarks) values('29Oct240071','040000185061','14960',(select max(to_number(i.premium_rcv_detail_code))+1
from ins_premium_det i),'14960','14960','02', '11000003','00','Request by Mr. Omair Ali 30-Aug-2024');</v>
      </c>
    </row>
    <row r="723" spans="1:8" ht="105" x14ac:dyDescent="0.25">
      <c r="A723" t="s">
        <v>861</v>
      </c>
      <c r="B723" s="80" t="str">
        <f>VLOOKUP(A723,policy!B:C,2,0)</f>
        <v>040000185063</v>
      </c>
      <c r="C723" s="46">
        <v>14960</v>
      </c>
      <c r="D723" s="81">
        <f t="shared" si="45"/>
        <v>14960</v>
      </c>
      <c r="E723" s="79" t="s">
        <v>3563</v>
      </c>
      <c r="F723" s="82" t="str">
        <f t="shared" si="44"/>
        <v>insert into ins_premium_det (premium_rcv_code,assorted_code, rec_amount,premium_rcv_detail_code,remaining_amt, payrec, mode_code,coinsurance_code,class_cd,it_remarks) values</v>
      </c>
      <c r="G723" s="83" t="str">
        <f t="shared" si="46"/>
        <v>('29Oct240071','040000185063','14960',(select max(to_number(i.premium_rcv_detail_code))+1
from ins_premium_det i),'14960','14960','02', '11000003','00','Request by Mr. Omair Ali 30-Aug-2024');</v>
      </c>
      <c r="H723" s="84" t="str">
        <f t="shared" si="47"/>
        <v>insert into ins_premium_det (premium_rcv_code,assorted_code, rec_amount,premium_rcv_detail_code,remaining_amt, payrec, mode_code,coinsurance_code,class_cd,it_remarks) values('29Oct240071','040000185063','14960',(select max(to_number(i.premium_rcv_detail_code))+1
from ins_premium_det i),'14960','14960','02', '11000003','00','Request by Mr. Omair Ali 30-Aug-2024');</v>
      </c>
    </row>
    <row r="724" spans="1:8" ht="105" x14ac:dyDescent="0.25">
      <c r="A724" t="s">
        <v>862</v>
      </c>
      <c r="B724" s="80" t="str">
        <f>VLOOKUP(A724,policy!B:C,2,0)</f>
        <v>040000185064</v>
      </c>
      <c r="C724" s="46">
        <v>9550</v>
      </c>
      <c r="D724" s="81">
        <f t="shared" si="45"/>
        <v>9550</v>
      </c>
      <c r="E724" s="79" t="s">
        <v>3563</v>
      </c>
      <c r="F724" s="82" t="str">
        <f t="shared" si="44"/>
        <v>insert into ins_premium_det (premium_rcv_code,assorted_code, rec_amount,premium_rcv_detail_code,remaining_amt, payrec, mode_code,coinsurance_code,class_cd,it_remarks) values</v>
      </c>
      <c r="G724" s="83" t="str">
        <f t="shared" si="46"/>
        <v>('29Oct240071','040000185064','9550',(select max(to_number(i.premium_rcv_detail_code))+1
from ins_premium_det i),'9550','9550','02', '11000003','00','Request by Mr. Omair Ali 30-Aug-2024');</v>
      </c>
      <c r="H724" s="84" t="str">
        <f t="shared" si="47"/>
        <v>insert into ins_premium_det (premium_rcv_code,assorted_code, rec_amount,premium_rcv_detail_code,remaining_amt, payrec, mode_code,coinsurance_code,class_cd,it_remarks) values('29Oct240071','040000185064','9550',(select max(to_number(i.premium_rcv_detail_code))+1
from ins_premium_det i),'9550','9550','02', '11000003','00','Request by Mr. Omair Ali 30-Aug-2024');</v>
      </c>
    </row>
    <row r="725" spans="1:8" ht="105" x14ac:dyDescent="0.25">
      <c r="A725" t="s">
        <v>863</v>
      </c>
      <c r="B725" s="80" t="str">
        <f>VLOOKUP(A725,policy!B:C,2,0)</f>
        <v>040000185068</v>
      </c>
      <c r="C725" s="46">
        <v>12475</v>
      </c>
      <c r="D725" s="81">
        <f t="shared" si="45"/>
        <v>12475</v>
      </c>
      <c r="E725" s="79" t="s">
        <v>3563</v>
      </c>
      <c r="F725" s="82" t="str">
        <f t="shared" si="44"/>
        <v>insert into ins_premium_det (premium_rcv_code,assorted_code, rec_amount,premium_rcv_detail_code,remaining_amt, payrec, mode_code,coinsurance_code,class_cd,it_remarks) values</v>
      </c>
      <c r="G725" s="83" t="str">
        <f t="shared" si="46"/>
        <v>('29Oct240071','040000185068','12475',(select max(to_number(i.premium_rcv_detail_code))+1
from ins_premium_det i),'12475','12475','02', '11000003','00','Request by Mr. Omair Ali 30-Aug-2024');</v>
      </c>
      <c r="H725" s="84" t="str">
        <f t="shared" si="47"/>
        <v>insert into ins_premium_det (premium_rcv_code,assorted_code, rec_amount,premium_rcv_detail_code,remaining_amt, payrec, mode_code,coinsurance_code,class_cd,it_remarks) values('29Oct240071','040000185068','12475',(select max(to_number(i.premium_rcv_detail_code))+1
from ins_premium_det i),'12475','12475','02', '11000003','00','Request by Mr. Omair Ali 30-Aug-2024');</v>
      </c>
    </row>
    <row r="726" spans="1:8" ht="105" x14ac:dyDescent="0.25">
      <c r="A726" t="s">
        <v>864</v>
      </c>
      <c r="B726" s="80" t="str">
        <f>VLOOKUP(A726,policy!B:C,2,0)</f>
        <v>040000185070</v>
      </c>
      <c r="C726" s="46">
        <v>12475</v>
      </c>
      <c r="D726" s="81">
        <f t="shared" si="45"/>
        <v>12475</v>
      </c>
      <c r="E726" s="79" t="s">
        <v>3563</v>
      </c>
      <c r="F726" s="82" t="str">
        <f t="shared" si="44"/>
        <v>insert into ins_premium_det (premium_rcv_code,assorted_code, rec_amount,premium_rcv_detail_code,remaining_amt, payrec, mode_code,coinsurance_code,class_cd,it_remarks) values</v>
      </c>
      <c r="G726" s="83" t="str">
        <f t="shared" si="46"/>
        <v>('29Oct240071','040000185070','12475',(select max(to_number(i.premium_rcv_detail_code))+1
from ins_premium_det i),'12475','12475','02', '11000003','00','Request by Mr. Omair Ali 30-Aug-2024');</v>
      </c>
      <c r="H726" s="84" t="str">
        <f t="shared" si="47"/>
        <v>insert into ins_premium_det (premium_rcv_code,assorted_code, rec_amount,premium_rcv_detail_code,remaining_amt, payrec, mode_code,coinsurance_code,class_cd,it_remarks) values('29Oct240071','040000185070','12475',(select max(to_number(i.premium_rcv_detail_code))+1
from ins_premium_det i),'12475','12475','02', '11000003','00','Request by Mr. Omair Ali 30-Aug-2024');</v>
      </c>
    </row>
    <row r="727" spans="1:8" ht="105" x14ac:dyDescent="0.25">
      <c r="A727" t="s">
        <v>865</v>
      </c>
      <c r="B727" s="80" t="str">
        <f>VLOOKUP(A727,policy!B:C,2,0)</f>
        <v>040000185080</v>
      </c>
      <c r="C727" s="46">
        <v>8800</v>
      </c>
      <c r="D727" s="81">
        <f t="shared" si="45"/>
        <v>8800</v>
      </c>
      <c r="E727" s="79" t="s">
        <v>3563</v>
      </c>
      <c r="F727" s="82" t="str">
        <f t="shared" si="44"/>
        <v>insert into ins_premium_det (premium_rcv_code,assorted_code, rec_amount,premium_rcv_detail_code,remaining_amt, payrec, mode_code,coinsurance_code,class_cd,it_remarks) values</v>
      </c>
      <c r="G727" s="83" t="str">
        <f t="shared" si="46"/>
        <v>('29Oct240071','040000185080','8800',(select max(to_number(i.premium_rcv_detail_code))+1
from ins_premium_det i),'8800','8800','02', '11000003','00','Request by Mr. Omair Ali 30-Aug-2024');</v>
      </c>
      <c r="H727" s="84" t="str">
        <f t="shared" si="47"/>
        <v>insert into ins_premium_det (premium_rcv_code,assorted_code, rec_amount,premium_rcv_detail_code,remaining_amt, payrec, mode_code,coinsurance_code,class_cd,it_remarks) values('29Oct240071','040000185080','8800',(select max(to_number(i.premium_rcv_detail_code))+1
from ins_premium_det i),'8800','8800','02', '11000003','00','Request by Mr. Omair Ali 30-Aug-2024');</v>
      </c>
    </row>
    <row r="728" spans="1:8" ht="105" x14ac:dyDescent="0.25">
      <c r="A728" t="s">
        <v>866</v>
      </c>
      <c r="B728" s="80" t="str">
        <f>VLOOKUP(A728,policy!B:C,2,0)</f>
        <v>040000185082</v>
      </c>
      <c r="C728" s="46">
        <v>8800</v>
      </c>
      <c r="D728" s="81">
        <f t="shared" si="45"/>
        <v>8800</v>
      </c>
      <c r="E728" s="79" t="s">
        <v>3563</v>
      </c>
      <c r="F728" s="82" t="str">
        <f t="shared" si="44"/>
        <v>insert into ins_premium_det (premium_rcv_code,assorted_code, rec_amount,premium_rcv_detail_code,remaining_amt, payrec, mode_code,coinsurance_code,class_cd,it_remarks) values</v>
      </c>
      <c r="G728" s="83" t="str">
        <f t="shared" si="46"/>
        <v>('29Oct240071','040000185082','8800',(select max(to_number(i.premium_rcv_detail_code))+1
from ins_premium_det i),'8800','8800','02', '11000003','00','Request by Mr. Omair Ali 30-Aug-2024');</v>
      </c>
      <c r="H728" s="84" t="str">
        <f t="shared" si="47"/>
        <v>insert into ins_premium_det (premium_rcv_code,assorted_code, rec_amount,premium_rcv_detail_code,remaining_amt, payrec, mode_code,coinsurance_code,class_cd,it_remarks) values('29Oct240071','040000185082','8800',(select max(to_number(i.premium_rcv_detail_code))+1
from ins_premium_det i),'8800','8800','02', '11000003','00','Request by Mr. Omair Ali 30-Aug-2024');</v>
      </c>
    </row>
    <row r="729" spans="1:8" ht="105" x14ac:dyDescent="0.25">
      <c r="A729" t="s">
        <v>867</v>
      </c>
      <c r="B729" s="80" t="str">
        <f>VLOOKUP(A729,policy!B:C,2,0)</f>
        <v>040000185084</v>
      </c>
      <c r="C729" s="46">
        <v>8800</v>
      </c>
      <c r="D729" s="81">
        <f t="shared" si="45"/>
        <v>8800</v>
      </c>
      <c r="E729" s="79" t="s">
        <v>3563</v>
      </c>
      <c r="F729" s="82" t="str">
        <f t="shared" si="44"/>
        <v>insert into ins_premium_det (premium_rcv_code,assorted_code, rec_amount,premium_rcv_detail_code,remaining_amt, payrec, mode_code,coinsurance_code,class_cd,it_remarks) values</v>
      </c>
      <c r="G729" s="83" t="str">
        <f t="shared" si="46"/>
        <v>('29Oct240071','040000185084','8800',(select max(to_number(i.premium_rcv_detail_code))+1
from ins_premium_det i),'8800','8800','02', '11000003','00','Request by Mr. Omair Ali 30-Aug-2024');</v>
      </c>
      <c r="H729" s="84" t="str">
        <f t="shared" si="47"/>
        <v>insert into ins_premium_det (premium_rcv_code,assorted_code, rec_amount,premium_rcv_detail_code,remaining_amt, payrec, mode_code,coinsurance_code,class_cd,it_remarks) values('29Oct240071','040000185084','8800',(select max(to_number(i.premium_rcv_detail_code))+1
from ins_premium_det i),'8800','8800','02', '11000003','00','Request by Mr. Omair Ali 30-Aug-2024');</v>
      </c>
    </row>
    <row r="730" spans="1:8" ht="105" x14ac:dyDescent="0.25">
      <c r="A730" t="s">
        <v>868</v>
      </c>
      <c r="B730" s="80" t="str">
        <f>VLOOKUP(A730,policy!B:C,2,0)</f>
        <v>040000185088</v>
      </c>
      <c r="C730" s="46">
        <v>9550</v>
      </c>
      <c r="D730" s="81">
        <f t="shared" si="45"/>
        <v>9550</v>
      </c>
      <c r="E730" s="79" t="s">
        <v>3563</v>
      </c>
      <c r="F730" s="82" t="str">
        <f t="shared" si="44"/>
        <v>insert into ins_premium_det (premium_rcv_code,assorted_code, rec_amount,premium_rcv_detail_code,remaining_amt, payrec, mode_code,coinsurance_code,class_cd,it_remarks) values</v>
      </c>
      <c r="G730" s="83" t="str">
        <f t="shared" si="46"/>
        <v>('29Oct240071','040000185088','9550',(select max(to_number(i.premium_rcv_detail_code))+1
from ins_premium_det i),'9550','9550','02', '11000003','00','Request by Mr. Omair Ali 30-Aug-2024');</v>
      </c>
      <c r="H730" s="84" t="str">
        <f t="shared" si="47"/>
        <v>insert into ins_premium_det (premium_rcv_code,assorted_code, rec_amount,premium_rcv_detail_code,remaining_amt, payrec, mode_code,coinsurance_code,class_cd,it_remarks) values('29Oct240071','040000185088','9550',(select max(to_number(i.premium_rcv_detail_code))+1
from ins_premium_det i),'9550','9550','02', '11000003','00','Request by Mr. Omair Ali 30-Aug-2024');</v>
      </c>
    </row>
    <row r="731" spans="1:8" ht="105" x14ac:dyDescent="0.25">
      <c r="A731" t="s">
        <v>869</v>
      </c>
      <c r="B731" s="80" t="str">
        <f>VLOOKUP(A731,policy!B:C,2,0)</f>
        <v>040000185089</v>
      </c>
      <c r="C731" s="46">
        <v>8800</v>
      </c>
      <c r="D731" s="81">
        <f t="shared" si="45"/>
        <v>8800</v>
      </c>
      <c r="E731" s="79" t="s">
        <v>3563</v>
      </c>
      <c r="F731" s="82" t="str">
        <f t="shared" si="44"/>
        <v>insert into ins_premium_det (premium_rcv_code,assorted_code, rec_amount,premium_rcv_detail_code,remaining_amt, payrec, mode_code,coinsurance_code,class_cd,it_remarks) values</v>
      </c>
      <c r="G731" s="83" t="str">
        <f t="shared" si="46"/>
        <v>('29Oct240071','040000185089','8800',(select max(to_number(i.premium_rcv_detail_code))+1
from ins_premium_det i),'8800','8800','02', '11000003','00','Request by Mr. Omair Ali 30-Aug-2024');</v>
      </c>
      <c r="H731" s="84" t="str">
        <f t="shared" si="47"/>
        <v>insert into ins_premium_det (premium_rcv_code,assorted_code, rec_amount,premium_rcv_detail_code,remaining_amt, payrec, mode_code,coinsurance_code,class_cd,it_remarks) values('29Oct240071','040000185089','8800',(select max(to_number(i.premium_rcv_detail_code))+1
from ins_premium_det i),'8800','8800','02', '11000003','00','Request by Mr. Omair Ali 30-Aug-2024');</v>
      </c>
    </row>
    <row r="732" spans="1:8" ht="105" x14ac:dyDescent="0.25">
      <c r="A732" t="s">
        <v>870</v>
      </c>
      <c r="B732" s="80" t="str">
        <f>VLOOKUP(A732,policy!B:C,2,0)</f>
        <v>040000185092</v>
      </c>
      <c r="C732" s="46">
        <v>9550</v>
      </c>
      <c r="D732" s="81">
        <f t="shared" si="45"/>
        <v>9550</v>
      </c>
      <c r="E732" s="79" t="s">
        <v>3563</v>
      </c>
      <c r="F732" s="82" t="str">
        <f t="shared" si="44"/>
        <v>insert into ins_premium_det (premium_rcv_code,assorted_code, rec_amount,premium_rcv_detail_code,remaining_amt, payrec, mode_code,coinsurance_code,class_cd,it_remarks) values</v>
      </c>
      <c r="G732" s="83" t="str">
        <f t="shared" si="46"/>
        <v>('29Oct240071','040000185092','9550',(select max(to_number(i.premium_rcv_detail_code))+1
from ins_premium_det i),'9550','9550','02', '11000003','00','Request by Mr. Omair Ali 30-Aug-2024');</v>
      </c>
      <c r="H732" s="84" t="str">
        <f t="shared" si="47"/>
        <v>insert into ins_premium_det (premium_rcv_code,assorted_code, rec_amount,premium_rcv_detail_code,remaining_amt, payrec, mode_code,coinsurance_code,class_cd,it_remarks) values('29Oct240071','040000185092','9550',(select max(to_number(i.premium_rcv_detail_code))+1
from ins_premium_det i),'9550','9550','02', '11000003','00','Request by Mr. Omair Ali 30-Aug-2024');</v>
      </c>
    </row>
    <row r="733" spans="1:8" ht="105" x14ac:dyDescent="0.25">
      <c r="A733" t="s">
        <v>871</v>
      </c>
      <c r="B733" s="80" t="str">
        <f>VLOOKUP(A733,policy!B:C,2,0)</f>
        <v>040000185093</v>
      </c>
      <c r="C733" s="46">
        <v>16235</v>
      </c>
      <c r="D733" s="81">
        <f t="shared" si="45"/>
        <v>16235</v>
      </c>
      <c r="E733" s="79" t="s">
        <v>3563</v>
      </c>
      <c r="F733" s="82" t="str">
        <f t="shared" si="44"/>
        <v>insert into ins_premium_det (premium_rcv_code,assorted_code, rec_amount,premium_rcv_detail_code,remaining_amt, payrec, mode_code,coinsurance_code,class_cd,it_remarks) values</v>
      </c>
      <c r="G733" s="83" t="str">
        <f t="shared" si="46"/>
        <v>('29Oct240071','040000185093','16235',(select max(to_number(i.premium_rcv_detail_code))+1
from ins_premium_det i),'16235','16235','02', '11000003','00','Request by Mr. Omair Ali 30-Aug-2024');</v>
      </c>
      <c r="H733" s="84" t="str">
        <f t="shared" si="47"/>
        <v>insert into ins_premium_det (premium_rcv_code,assorted_code, rec_amount,premium_rcv_detail_code,remaining_amt, payrec, mode_code,coinsurance_code,class_cd,it_remarks) values('29Oct240071','040000185093','16235',(select max(to_number(i.premium_rcv_detail_code))+1
from ins_premium_det i),'16235','16235','02', '11000003','00','Request by Mr. Omair Ali 30-Aug-2024');</v>
      </c>
    </row>
    <row r="734" spans="1:8" ht="105" x14ac:dyDescent="0.25">
      <c r="A734" t="s">
        <v>872</v>
      </c>
      <c r="B734" s="80" t="str">
        <f>VLOOKUP(A734,policy!B:C,2,0)</f>
        <v>040000185095</v>
      </c>
      <c r="C734" s="46">
        <v>9550</v>
      </c>
      <c r="D734" s="81">
        <f t="shared" si="45"/>
        <v>9550</v>
      </c>
      <c r="E734" s="79" t="s">
        <v>3563</v>
      </c>
      <c r="F734" s="82" t="str">
        <f t="shared" si="44"/>
        <v>insert into ins_premium_det (premium_rcv_code,assorted_code, rec_amount,premium_rcv_detail_code,remaining_amt, payrec, mode_code,coinsurance_code,class_cd,it_remarks) values</v>
      </c>
      <c r="G734" s="83" t="str">
        <f t="shared" si="46"/>
        <v>('29Oct240071','040000185095','9550',(select max(to_number(i.premium_rcv_detail_code))+1
from ins_premium_det i),'9550','9550','02', '11000003','00','Request by Mr. Omair Ali 30-Aug-2024');</v>
      </c>
      <c r="H734" s="84" t="str">
        <f t="shared" si="47"/>
        <v>insert into ins_premium_det (premium_rcv_code,assorted_code, rec_amount,premium_rcv_detail_code,remaining_amt, payrec, mode_code,coinsurance_code,class_cd,it_remarks) values('29Oct240071','040000185095','9550',(select max(to_number(i.premium_rcv_detail_code))+1
from ins_premium_det i),'9550','9550','02', '11000003','00','Request by Mr. Omair Ali 30-Aug-2024');</v>
      </c>
    </row>
    <row r="735" spans="1:8" ht="105" x14ac:dyDescent="0.25">
      <c r="A735" t="s">
        <v>873</v>
      </c>
      <c r="B735" s="80" t="str">
        <f>VLOOKUP(A735,policy!B:C,2,0)</f>
        <v>040000185096</v>
      </c>
      <c r="C735" s="46">
        <v>14960</v>
      </c>
      <c r="D735" s="81">
        <f t="shared" si="45"/>
        <v>14960</v>
      </c>
      <c r="E735" s="79" t="s">
        <v>3563</v>
      </c>
      <c r="F735" s="82" t="str">
        <f t="shared" si="44"/>
        <v>insert into ins_premium_det (premium_rcv_code,assorted_code, rec_amount,premium_rcv_detail_code,remaining_amt, payrec, mode_code,coinsurance_code,class_cd,it_remarks) values</v>
      </c>
      <c r="G735" s="83" t="str">
        <f t="shared" si="46"/>
        <v>('29Oct240071','040000185096','14960',(select max(to_number(i.premium_rcv_detail_code))+1
from ins_premium_det i),'14960','14960','02', '11000003','00','Request by Mr. Omair Ali 30-Aug-2024');</v>
      </c>
      <c r="H735" s="84" t="str">
        <f t="shared" si="47"/>
        <v>insert into ins_premium_det (premium_rcv_code,assorted_code, rec_amount,premium_rcv_detail_code,remaining_amt, payrec, mode_code,coinsurance_code,class_cd,it_remarks) values('29Oct240071','040000185096','14960',(select max(to_number(i.premium_rcv_detail_code))+1
from ins_premium_det i),'14960','14960','02', '11000003','00','Request by Mr. Omair Ali 30-Aug-2024');</v>
      </c>
    </row>
    <row r="736" spans="1:8" ht="105" x14ac:dyDescent="0.25">
      <c r="A736" t="s">
        <v>874</v>
      </c>
      <c r="B736" s="80" t="str">
        <f>VLOOKUP(A736,policy!B:C,2,0)</f>
        <v>040000185097</v>
      </c>
      <c r="C736" s="46">
        <v>14960</v>
      </c>
      <c r="D736" s="81">
        <f t="shared" si="45"/>
        <v>14960</v>
      </c>
      <c r="E736" s="79" t="s">
        <v>3563</v>
      </c>
      <c r="F736" s="82" t="str">
        <f t="shared" si="44"/>
        <v>insert into ins_premium_det (premium_rcv_code,assorted_code, rec_amount,premium_rcv_detail_code,remaining_amt, payrec, mode_code,coinsurance_code,class_cd,it_remarks) values</v>
      </c>
      <c r="G736" s="83" t="str">
        <f t="shared" si="46"/>
        <v>('29Oct240071','040000185097','14960',(select max(to_number(i.premium_rcv_detail_code))+1
from ins_premium_det i),'14960','14960','02', '11000003','00','Request by Mr. Omair Ali 30-Aug-2024');</v>
      </c>
      <c r="H736" s="84" t="str">
        <f t="shared" si="47"/>
        <v>insert into ins_premium_det (premium_rcv_code,assorted_code, rec_amount,premium_rcv_detail_code,remaining_amt, payrec, mode_code,coinsurance_code,class_cd,it_remarks) values('29Oct240071','040000185097','14960',(select max(to_number(i.premium_rcv_detail_code))+1
from ins_premium_det i),'14960','14960','02', '11000003','00','Request by Mr. Omair Ali 30-Aug-2024');</v>
      </c>
    </row>
    <row r="737" spans="1:8" ht="105" x14ac:dyDescent="0.25">
      <c r="A737" t="s">
        <v>875</v>
      </c>
      <c r="B737" s="80" t="str">
        <f>VLOOKUP(A737,policy!B:C,2,0)</f>
        <v>040000185099</v>
      </c>
      <c r="C737" s="46">
        <v>8800</v>
      </c>
      <c r="D737" s="81">
        <f t="shared" si="45"/>
        <v>8800</v>
      </c>
      <c r="E737" s="79" t="s">
        <v>3563</v>
      </c>
      <c r="F737" s="82" t="str">
        <f t="shared" si="44"/>
        <v>insert into ins_premium_det (premium_rcv_code,assorted_code, rec_amount,premium_rcv_detail_code,remaining_amt, payrec, mode_code,coinsurance_code,class_cd,it_remarks) values</v>
      </c>
      <c r="G737" s="83" t="str">
        <f t="shared" si="46"/>
        <v>('29Oct240071','040000185099','8800',(select max(to_number(i.premium_rcv_detail_code))+1
from ins_premium_det i),'8800','8800','02', '11000003','00','Request by Mr. Omair Ali 30-Aug-2024');</v>
      </c>
      <c r="H737" s="84" t="str">
        <f t="shared" si="47"/>
        <v>insert into ins_premium_det (premium_rcv_code,assorted_code, rec_amount,premium_rcv_detail_code,remaining_amt, payrec, mode_code,coinsurance_code,class_cd,it_remarks) values('29Oct240071','040000185099','8800',(select max(to_number(i.premium_rcv_detail_code))+1
from ins_premium_det i),'8800','8800','02', '11000003','00','Request by Mr. Omair Ali 30-Aug-2024');</v>
      </c>
    </row>
    <row r="738" spans="1:8" ht="105" x14ac:dyDescent="0.25">
      <c r="A738" t="s">
        <v>876</v>
      </c>
      <c r="B738" s="80" t="str">
        <f>VLOOKUP(A738,policy!B:C,2,0)</f>
        <v>040000185101</v>
      </c>
      <c r="C738" s="46">
        <v>21208</v>
      </c>
      <c r="D738" s="81">
        <f t="shared" si="45"/>
        <v>21208</v>
      </c>
      <c r="E738" s="79" t="s">
        <v>3563</v>
      </c>
      <c r="F738" s="82" t="str">
        <f t="shared" si="44"/>
        <v>insert into ins_premium_det (premium_rcv_code,assorted_code, rec_amount,premium_rcv_detail_code,remaining_amt, payrec, mode_code,coinsurance_code,class_cd,it_remarks) values</v>
      </c>
      <c r="G738" s="83" t="str">
        <f t="shared" si="46"/>
        <v>('29Oct240071','040000185101','21208',(select max(to_number(i.premium_rcv_detail_code))+1
from ins_premium_det i),'21208','21208','02', '11000003','00','Request by Mr. Omair Ali 30-Aug-2024');</v>
      </c>
      <c r="H738" s="84" t="str">
        <f t="shared" si="47"/>
        <v>insert into ins_premium_det (premium_rcv_code,assorted_code, rec_amount,premium_rcv_detail_code,remaining_amt, payrec, mode_code,coinsurance_code,class_cd,it_remarks) values('29Oct240071','040000185101','21208',(select max(to_number(i.premium_rcv_detail_code))+1
from ins_premium_det i),'21208','21208','02', '11000003','00','Request by Mr. Omair Ali 30-Aug-2024');</v>
      </c>
    </row>
    <row r="739" spans="1:8" ht="105" x14ac:dyDescent="0.25">
      <c r="A739" t="s">
        <v>877</v>
      </c>
      <c r="B739" s="80" t="str">
        <f>VLOOKUP(A739,policy!B:C,2,0)</f>
        <v>040000185102</v>
      </c>
      <c r="C739" s="46">
        <v>21208</v>
      </c>
      <c r="D739" s="81">
        <f t="shared" si="45"/>
        <v>21208</v>
      </c>
      <c r="E739" s="79" t="s">
        <v>3563</v>
      </c>
      <c r="F739" s="82" t="str">
        <f t="shared" si="44"/>
        <v>insert into ins_premium_det (premium_rcv_code,assorted_code, rec_amount,premium_rcv_detail_code,remaining_amt, payrec, mode_code,coinsurance_code,class_cd,it_remarks) values</v>
      </c>
      <c r="G739" s="83" t="str">
        <f t="shared" si="46"/>
        <v>('29Oct240071','040000185102','21208',(select max(to_number(i.premium_rcv_detail_code))+1
from ins_premium_det i),'21208','21208','02', '11000003','00','Request by Mr. Omair Ali 30-Aug-2024');</v>
      </c>
      <c r="H739" s="84" t="str">
        <f t="shared" si="47"/>
        <v>insert into ins_premium_det (premium_rcv_code,assorted_code, rec_amount,premium_rcv_detail_code,remaining_amt, payrec, mode_code,coinsurance_code,class_cd,it_remarks) values('29Oct240071','040000185102','21208',(select max(to_number(i.premium_rcv_detail_code))+1
from ins_premium_det i),'21208','21208','02', '11000003','00','Request by Mr. Omair Ali 30-Aug-2024');</v>
      </c>
    </row>
    <row r="740" spans="1:8" ht="105" x14ac:dyDescent="0.25">
      <c r="A740" t="s">
        <v>878</v>
      </c>
      <c r="B740" s="80" t="str">
        <f>VLOOKUP(A740,policy!B:C,2,0)</f>
        <v>040000185106</v>
      </c>
      <c r="C740" s="46">
        <v>13675</v>
      </c>
      <c r="D740" s="81">
        <f t="shared" si="45"/>
        <v>13675</v>
      </c>
      <c r="E740" s="79" t="s">
        <v>3563</v>
      </c>
      <c r="F740" s="82" t="str">
        <f t="shared" si="44"/>
        <v>insert into ins_premium_det (premium_rcv_code,assorted_code, rec_amount,premium_rcv_detail_code,remaining_amt, payrec, mode_code,coinsurance_code,class_cd,it_remarks) values</v>
      </c>
      <c r="G740" s="83" t="str">
        <f t="shared" si="46"/>
        <v>('29Oct240071','040000185106','13675',(select max(to_number(i.premium_rcv_detail_code))+1
from ins_premium_det i),'13675','13675','02', '11000003','00','Request by Mr. Omair Ali 30-Aug-2024');</v>
      </c>
      <c r="H740" s="84" t="str">
        <f t="shared" si="47"/>
        <v>insert into ins_premium_det (premium_rcv_code,assorted_code, rec_amount,premium_rcv_detail_code,remaining_amt, payrec, mode_code,coinsurance_code,class_cd,it_remarks) values('29Oct240071','040000185106','13675',(select max(to_number(i.premium_rcv_detail_code))+1
from ins_premium_det i),'13675','13675','02', '11000003','00','Request by Mr. Omair Ali 30-Aug-2024');</v>
      </c>
    </row>
    <row r="741" spans="1:8" ht="105" x14ac:dyDescent="0.25">
      <c r="A741" t="s">
        <v>879</v>
      </c>
      <c r="B741" s="80" t="str">
        <f>VLOOKUP(A741,policy!B:C,2,0)</f>
        <v>040000185117</v>
      </c>
      <c r="C741" s="46">
        <v>14960</v>
      </c>
      <c r="D741" s="81">
        <f t="shared" si="45"/>
        <v>14960</v>
      </c>
      <c r="E741" s="79" t="s">
        <v>3563</v>
      </c>
      <c r="F741" s="82" t="str">
        <f t="shared" si="44"/>
        <v>insert into ins_premium_det (premium_rcv_code,assorted_code, rec_amount,premium_rcv_detail_code,remaining_amt, payrec, mode_code,coinsurance_code,class_cd,it_remarks) values</v>
      </c>
      <c r="G741" s="83" t="str">
        <f t="shared" si="46"/>
        <v>('29Oct240071','040000185117','14960',(select max(to_number(i.premium_rcv_detail_code))+1
from ins_premium_det i),'14960','14960','02', '11000003','00','Request by Mr. Omair Ali 30-Aug-2024');</v>
      </c>
      <c r="H741" s="84" t="str">
        <f t="shared" si="47"/>
        <v>insert into ins_premium_det (premium_rcv_code,assorted_code, rec_amount,premium_rcv_detail_code,remaining_amt, payrec, mode_code,coinsurance_code,class_cd,it_remarks) values('29Oct240071','040000185117','14960',(select max(to_number(i.premium_rcv_detail_code))+1
from ins_premium_det i),'14960','14960','02', '11000003','00','Request by Mr. Omair Ali 30-Aug-2024');</v>
      </c>
    </row>
    <row r="742" spans="1:8" ht="105" x14ac:dyDescent="0.25">
      <c r="A742" t="s">
        <v>880</v>
      </c>
      <c r="B742" s="80" t="str">
        <f>VLOOKUP(A742,policy!B:C,2,0)</f>
        <v>040000185120</v>
      </c>
      <c r="C742" s="46">
        <v>14960</v>
      </c>
      <c r="D742" s="81">
        <f t="shared" si="45"/>
        <v>14960</v>
      </c>
      <c r="E742" s="79" t="s">
        <v>3563</v>
      </c>
      <c r="F742" s="82" t="str">
        <f t="shared" si="44"/>
        <v>insert into ins_premium_det (premium_rcv_code,assorted_code, rec_amount,premium_rcv_detail_code,remaining_amt, payrec, mode_code,coinsurance_code,class_cd,it_remarks) values</v>
      </c>
      <c r="G742" s="83" t="str">
        <f t="shared" si="46"/>
        <v>('29Oct240071','040000185120','14960',(select max(to_number(i.premium_rcv_detail_code))+1
from ins_premium_det i),'14960','14960','02', '11000003','00','Request by Mr. Omair Ali 30-Aug-2024');</v>
      </c>
      <c r="H742" s="84" t="str">
        <f t="shared" si="47"/>
        <v>insert into ins_premium_det (premium_rcv_code,assorted_code, rec_amount,premium_rcv_detail_code,remaining_amt, payrec, mode_code,coinsurance_code,class_cd,it_remarks) values('29Oct240071','040000185120','14960',(select max(to_number(i.premium_rcv_detail_code))+1
from ins_premium_det i),'14960','14960','02', '11000003','00','Request by Mr. Omair Ali 30-Aug-2024');</v>
      </c>
    </row>
    <row r="743" spans="1:8" ht="105" x14ac:dyDescent="0.25">
      <c r="A743" t="s">
        <v>881</v>
      </c>
      <c r="B743" s="80" t="str">
        <f>VLOOKUP(A743,policy!B:C,2,0)</f>
        <v>040000185121</v>
      </c>
      <c r="C743" s="46">
        <v>14960</v>
      </c>
      <c r="D743" s="81">
        <f t="shared" si="45"/>
        <v>14960</v>
      </c>
      <c r="E743" s="79" t="s">
        <v>3563</v>
      </c>
      <c r="F743" s="82" t="str">
        <f t="shared" si="44"/>
        <v>insert into ins_premium_det (premium_rcv_code,assorted_code, rec_amount,premium_rcv_detail_code,remaining_amt, payrec, mode_code,coinsurance_code,class_cd,it_remarks) values</v>
      </c>
      <c r="G743" s="83" t="str">
        <f t="shared" si="46"/>
        <v>('29Oct240071','040000185121','14960',(select max(to_number(i.premium_rcv_detail_code))+1
from ins_premium_det i),'14960','14960','02', '11000003','00','Request by Mr. Omair Ali 30-Aug-2024');</v>
      </c>
      <c r="H743" s="84" t="str">
        <f t="shared" si="47"/>
        <v>insert into ins_premium_det (premium_rcv_code,assorted_code, rec_amount,premium_rcv_detail_code,remaining_amt, payrec, mode_code,coinsurance_code,class_cd,it_remarks) values('29Oct240071','040000185121','14960',(select max(to_number(i.premium_rcv_detail_code))+1
from ins_premium_det i),'14960','14960','02', '11000003','00','Request by Mr. Omair Ali 30-Aug-2024');</v>
      </c>
    </row>
    <row r="744" spans="1:8" ht="105" x14ac:dyDescent="0.25">
      <c r="A744" t="s">
        <v>882</v>
      </c>
      <c r="B744" s="80" t="str">
        <f>VLOOKUP(A744,policy!B:C,2,0)</f>
        <v>040000185122</v>
      </c>
      <c r="C744" s="46">
        <v>14960</v>
      </c>
      <c r="D744" s="81">
        <f t="shared" si="45"/>
        <v>14960</v>
      </c>
      <c r="E744" s="79" t="s">
        <v>3563</v>
      </c>
      <c r="F744" s="82" t="str">
        <f t="shared" si="44"/>
        <v>insert into ins_premium_det (premium_rcv_code,assorted_code, rec_amount,premium_rcv_detail_code,remaining_amt, payrec, mode_code,coinsurance_code,class_cd,it_remarks) values</v>
      </c>
      <c r="G744" s="83" t="str">
        <f t="shared" si="46"/>
        <v>('29Oct240071','040000185122','14960',(select max(to_number(i.premium_rcv_detail_code))+1
from ins_premium_det i),'14960','14960','02', '11000003','00','Request by Mr. Omair Ali 30-Aug-2024');</v>
      </c>
      <c r="H744" s="84" t="str">
        <f t="shared" si="47"/>
        <v>insert into ins_premium_det (premium_rcv_code,assorted_code, rec_amount,premium_rcv_detail_code,remaining_amt, payrec, mode_code,coinsurance_code,class_cd,it_remarks) values('29Oct240071','040000185122','14960',(select max(to_number(i.premium_rcv_detail_code))+1
from ins_premium_det i),'14960','14960','02', '11000003','00','Request by Mr. Omair Ali 30-Aug-2024');</v>
      </c>
    </row>
    <row r="745" spans="1:8" ht="105" x14ac:dyDescent="0.25">
      <c r="A745" t="s">
        <v>883</v>
      </c>
      <c r="B745" s="80" t="str">
        <f>VLOOKUP(A745,policy!B:C,2,0)</f>
        <v>040000185123</v>
      </c>
      <c r="C745" s="46">
        <v>14960</v>
      </c>
      <c r="D745" s="81">
        <f t="shared" si="45"/>
        <v>14960</v>
      </c>
      <c r="E745" s="79" t="s">
        <v>3563</v>
      </c>
      <c r="F745" s="82" t="str">
        <f t="shared" si="44"/>
        <v>insert into ins_premium_det (premium_rcv_code,assorted_code, rec_amount,premium_rcv_detail_code,remaining_amt, payrec, mode_code,coinsurance_code,class_cd,it_remarks) values</v>
      </c>
      <c r="G745" s="83" t="str">
        <f t="shared" si="46"/>
        <v>('29Oct240071','040000185123','14960',(select max(to_number(i.premium_rcv_detail_code))+1
from ins_premium_det i),'14960','14960','02', '11000003','00','Request by Mr. Omair Ali 30-Aug-2024');</v>
      </c>
      <c r="H745" s="84" t="str">
        <f t="shared" si="47"/>
        <v>insert into ins_premium_det (premium_rcv_code,assorted_code, rec_amount,premium_rcv_detail_code,remaining_amt, payrec, mode_code,coinsurance_code,class_cd,it_remarks) values('29Oct240071','040000185123','14960',(select max(to_number(i.premium_rcv_detail_code))+1
from ins_premium_det i),'14960','14960','02', '11000003','00','Request by Mr. Omair Ali 30-Aug-2024');</v>
      </c>
    </row>
    <row r="746" spans="1:8" ht="105" x14ac:dyDescent="0.25">
      <c r="A746" t="s">
        <v>884</v>
      </c>
      <c r="B746" s="80" t="str">
        <f>VLOOKUP(A746,policy!B:C,2,0)</f>
        <v>040000185124</v>
      </c>
      <c r="C746" s="46">
        <v>14960</v>
      </c>
      <c r="D746" s="81">
        <f t="shared" si="45"/>
        <v>14960</v>
      </c>
      <c r="E746" s="79" t="s">
        <v>3563</v>
      </c>
      <c r="F746" s="82" t="str">
        <f t="shared" si="44"/>
        <v>insert into ins_premium_det (premium_rcv_code,assorted_code, rec_amount,premium_rcv_detail_code,remaining_amt, payrec, mode_code,coinsurance_code,class_cd,it_remarks) values</v>
      </c>
      <c r="G746" s="83" t="str">
        <f t="shared" si="46"/>
        <v>('29Oct240071','040000185124','14960',(select max(to_number(i.premium_rcv_detail_code))+1
from ins_premium_det i),'14960','14960','02', '11000003','00','Request by Mr. Omair Ali 30-Aug-2024');</v>
      </c>
      <c r="H746" s="84" t="str">
        <f t="shared" si="47"/>
        <v>insert into ins_premium_det (premium_rcv_code,assorted_code, rec_amount,premium_rcv_detail_code,remaining_amt, payrec, mode_code,coinsurance_code,class_cd,it_remarks) values('29Oct240071','040000185124','14960',(select max(to_number(i.premium_rcv_detail_code))+1
from ins_premium_det i),'14960','14960','02', '11000003','00','Request by Mr. Omair Ali 30-Aug-2024');</v>
      </c>
    </row>
    <row r="747" spans="1:8" ht="105" x14ac:dyDescent="0.25">
      <c r="A747" t="s">
        <v>885</v>
      </c>
      <c r="B747" s="80" t="str">
        <f>VLOOKUP(A747,policy!B:C,2,0)</f>
        <v>040000185125</v>
      </c>
      <c r="C747" s="46">
        <v>14960</v>
      </c>
      <c r="D747" s="81">
        <f t="shared" si="45"/>
        <v>14960</v>
      </c>
      <c r="E747" s="79" t="s">
        <v>3563</v>
      </c>
      <c r="F747" s="82" t="str">
        <f t="shared" si="44"/>
        <v>insert into ins_premium_det (premium_rcv_code,assorted_code, rec_amount,premium_rcv_detail_code,remaining_amt, payrec, mode_code,coinsurance_code,class_cd,it_remarks) values</v>
      </c>
      <c r="G747" s="83" t="str">
        <f t="shared" si="46"/>
        <v>('29Oct240071','040000185125','14960',(select max(to_number(i.premium_rcv_detail_code))+1
from ins_premium_det i),'14960','14960','02', '11000003','00','Request by Mr. Omair Ali 30-Aug-2024');</v>
      </c>
      <c r="H747" s="84" t="str">
        <f t="shared" si="47"/>
        <v>insert into ins_premium_det (premium_rcv_code,assorted_code, rec_amount,premium_rcv_detail_code,remaining_amt, payrec, mode_code,coinsurance_code,class_cd,it_remarks) values('29Oct240071','040000185125','14960',(select max(to_number(i.premium_rcv_detail_code))+1
from ins_premium_det i),'14960','14960','02', '11000003','00','Request by Mr. Omair Ali 30-Aug-2024');</v>
      </c>
    </row>
    <row r="748" spans="1:8" ht="105" x14ac:dyDescent="0.25">
      <c r="A748" t="s">
        <v>886</v>
      </c>
      <c r="B748" s="80" t="str">
        <f>VLOOKUP(A748,policy!B:C,2,0)</f>
        <v>040000185126</v>
      </c>
      <c r="C748" s="46">
        <v>14960</v>
      </c>
      <c r="D748" s="81">
        <f t="shared" si="45"/>
        <v>14960</v>
      </c>
      <c r="E748" s="79" t="s">
        <v>3563</v>
      </c>
      <c r="F748" s="82" t="str">
        <f t="shared" si="44"/>
        <v>insert into ins_premium_det (premium_rcv_code,assorted_code, rec_amount,premium_rcv_detail_code,remaining_amt, payrec, mode_code,coinsurance_code,class_cd,it_remarks) values</v>
      </c>
      <c r="G748" s="83" t="str">
        <f t="shared" si="46"/>
        <v>('29Oct240071','040000185126','14960',(select max(to_number(i.premium_rcv_detail_code))+1
from ins_premium_det i),'14960','14960','02', '11000003','00','Request by Mr. Omair Ali 30-Aug-2024');</v>
      </c>
      <c r="H748" s="84" t="str">
        <f t="shared" si="47"/>
        <v>insert into ins_premium_det (premium_rcv_code,assorted_code, rec_amount,premium_rcv_detail_code,remaining_amt, payrec, mode_code,coinsurance_code,class_cd,it_remarks) values('29Oct240071','040000185126','14960',(select max(to_number(i.premium_rcv_detail_code))+1
from ins_premium_det i),'14960','14960','02', '11000003','00','Request by Mr. Omair Ali 30-Aug-2024');</v>
      </c>
    </row>
    <row r="749" spans="1:8" ht="105" x14ac:dyDescent="0.25">
      <c r="A749" t="s">
        <v>887</v>
      </c>
      <c r="B749" s="80" t="str">
        <f>VLOOKUP(A749,policy!B:C,2,0)</f>
        <v>040000185127</v>
      </c>
      <c r="C749" s="46">
        <v>14960</v>
      </c>
      <c r="D749" s="81">
        <f t="shared" si="45"/>
        <v>14960</v>
      </c>
      <c r="E749" s="79" t="s">
        <v>3563</v>
      </c>
      <c r="F749" s="82" t="str">
        <f t="shared" si="44"/>
        <v>insert into ins_premium_det (premium_rcv_code,assorted_code, rec_amount,premium_rcv_detail_code,remaining_amt, payrec, mode_code,coinsurance_code,class_cd,it_remarks) values</v>
      </c>
      <c r="G749" s="83" t="str">
        <f t="shared" si="46"/>
        <v>('29Oct240071','040000185127','14960',(select max(to_number(i.premium_rcv_detail_code))+1
from ins_premium_det i),'14960','14960','02', '11000003','00','Request by Mr. Omair Ali 30-Aug-2024');</v>
      </c>
      <c r="H749" s="84" t="str">
        <f t="shared" si="47"/>
        <v>insert into ins_premium_det (premium_rcv_code,assorted_code, rec_amount,premium_rcv_detail_code,remaining_amt, payrec, mode_code,coinsurance_code,class_cd,it_remarks) values('29Oct240071','040000185127','14960',(select max(to_number(i.premium_rcv_detail_code))+1
from ins_premium_det i),'14960','14960','02', '11000003','00','Request by Mr. Omair Ali 30-Aug-2024');</v>
      </c>
    </row>
    <row r="750" spans="1:8" ht="105" x14ac:dyDescent="0.25">
      <c r="A750" t="s">
        <v>888</v>
      </c>
      <c r="B750" s="80" t="str">
        <f>VLOOKUP(A750,policy!B:C,2,0)</f>
        <v>040000185134</v>
      </c>
      <c r="C750" s="46">
        <v>8800</v>
      </c>
      <c r="D750" s="81">
        <f t="shared" si="45"/>
        <v>8800</v>
      </c>
      <c r="E750" s="79" t="s">
        <v>3563</v>
      </c>
      <c r="F750" s="82" t="str">
        <f t="shared" si="44"/>
        <v>insert into ins_premium_det (premium_rcv_code,assorted_code, rec_amount,premium_rcv_detail_code,remaining_amt, payrec, mode_code,coinsurance_code,class_cd,it_remarks) values</v>
      </c>
      <c r="G750" s="83" t="str">
        <f t="shared" si="46"/>
        <v>('29Oct240071','040000185134','8800',(select max(to_number(i.premium_rcv_detail_code))+1
from ins_premium_det i),'8800','8800','02', '11000003','00','Request by Mr. Omair Ali 30-Aug-2024');</v>
      </c>
      <c r="H750" s="84" t="str">
        <f t="shared" si="47"/>
        <v>insert into ins_premium_det (premium_rcv_code,assorted_code, rec_amount,premium_rcv_detail_code,remaining_amt, payrec, mode_code,coinsurance_code,class_cd,it_remarks) values('29Oct240071','040000185134','8800',(select max(to_number(i.premium_rcv_detail_code))+1
from ins_premium_det i),'8800','8800','02', '11000003','00','Request by Mr. Omair Ali 30-Aug-2024');</v>
      </c>
    </row>
    <row r="751" spans="1:8" ht="105" x14ac:dyDescent="0.25">
      <c r="A751" t="s">
        <v>889</v>
      </c>
      <c r="B751" s="80" t="str">
        <f>VLOOKUP(A751,policy!B:C,2,0)</f>
        <v>040000185144</v>
      </c>
      <c r="C751" s="46">
        <v>13675</v>
      </c>
      <c r="D751" s="81">
        <f t="shared" si="45"/>
        <v>13675</v>
      </c>
      <c r="E751" s="79" t="s">
        <v>3563</v>
      </c>
      <c r="F751" s="82" t="str">
        <f t="shared" si="44"/>
        <v>insert into ins_premium_det (premium_rcv_code,assorted_code, rec_amount,premium_rcv_detail_code,remaining_amt, payrec, mode_code,coinsurance_code,class_cd,it_remarks) values</v>
      </c>
      <c r="G751" s="83" t="str">
        <f t="shared" si="46"/>
        <v>('29Oct240071','040000185144','13675',(select max(to_number(i.premium_rcv_detail_code))+1
from ins_premium_det i),'13675','13675','02', '11000003','00','Request by Mr. Omair Ali 30-Aug-2024');</v>
      </c>
      <c r="H751" s="84" t="str">
        <f t="shared" si="47"/>
        <v>insert into ins_premium_det (premium_rcv_code,assorted_code, rec_amount,premium_rcv_detail_code,remaining_amt, payrec, mode_code,coinsurance_code,class_cd,it_remarks) values('29Oct240071','040000185144','13675',(select max(to_number(i.premium_rcv_detail_code))+1
from ins_premium_det i),'13675','13675','02', '11000003','00','Request by Mr. Omair Ali 30-Aug-2024');</v>
      </c>
    </row>
    <row r="752" spans="1:8" ht="105" x14ac:dyDescent="0.25">
      <c r="A752" t="s">
        <v>890</v>
      </c>
      <c r="B752" s="80" t="str">
        <f>VLOOKUP(A752,policy!B:C,2,0)</f>
        <v>040000185155</v>
      </c>
      <c r="C752" s="46">
        <v>16235</v>
      </c>
      <c r="D752" s="81">
        <f t="shared" si="45"/>
        <v>16235</v>
      </c>
      <c r="E752" s="79" t="s">
        <v>3563</v>
      </c>
      <c r="F752" s="82" t="str">
        <f t="shared" si="44"/>
        <v>insert into ins_premium_det (premium_rcv_code,assorted_code, rec_amount,premium_rcv_detail_code,remaining_amt, payrec, mode_code,coinsurance_code,class_cd,it_remarks) values</v>
      </c>
      <c r="G752" s="83" t="str">
        <f t="shared" si="46"/>
        <v>('29Oct240071','040000185155','16235',(select max(to_number(i.premium_rcv_detail_code))+1
from ins_premium_det i),'16235','16235','02', '11000003','00','Request by Mr. Omair Ali 30-Aug-2024');</v>
      </c>
      <c r="H752" s="84" t="str">
        <f t="shared" si="47"/>
        <v>insert into ins_premium_det (premium_rcv_code,assorted_code, rec_amount,premium_rcv_detail_code,remaining_amt, payrec, mode_code,coinsurance_code,class_cd,it_remarks) values('29Oct240071','040000185155','16235',(select max(to_number(i.premium_rcv_detail_code))+1
from ins_premium_det i),'16235','16235','02', '11000003','00','Request by Mr. Omair Ali 30-Aug-2024');</v>
      </c>
    </row>
    <row r="753" spans="1:8" ht="105" x14ac:dyDescent="0.25">
      <c r="A753" t="s">
        <v>891</v>
      </c>
      <c r="B753" s="80" t="str">
        <f>VLOOKUP(A753,policy!B:C,2,0)</f>
        <v>040000185157</v>
      </c>
      <c r="C753" s="46">
        <v>21208</v>
      </c>
      <c r="D753" s="81">
        <f t="shared" si="45"/>
        <v>21208</v>
      </c>
      <c r="E753" s="79" t="s">
        <v>3563</v>
      </c>
      <c r="F753" s="82" t="str">
        <f t="shared" si="44"/>
        <v>insert into ins_premium_det (premium_rcv_code,assorted_code, rec_amount,premium_rcv_detail_code,remaining_amt, payrec, mode_code,coinsurance_code,class_cd,it_remarks) values</v>
      </c>
      <c r="G753" s="83" t="str">
        <f t="shared" si="46"/>
        <v>('29Oct240071','040000185157','21208',(select max(to_number(i.premium_rcv_detail_code))+1
from ins_premium_det i),'21208','21208','02', '11000003','00','Request by Mr. Omair Ali 30-Aug-2024');</v>
      </c>
      <c r="H753" s="84" t="str">
        <f t="shared" si="47"/>
        <v>insert into ins_premium_det (premium_rcv_code,assorted_code, rec_amount,premium_rcv_detail_code,remaining_amt, payrec, mode_code,coinsurance_code,class_cd,it_remarks) values('29Oct240071','040000185157','21208',(select max(to_number(i.premium_rcv_detail_code))+1
from ins_premium_det i),'21208','21208','02', '11000003','00','Request by Mr. Omair Ali 30-Aug-2024');</v>
      </c>
    </row>
    <row r="754" spans="1:8" ht="105" x14ac:dyDescent="0.25">
      <c r="A754" t="s">
        <v>892</v>
      </c>
      <c r="B754" s="80" t="str">
        <f>VLOOKUP(A754,policy!B:C,2,0)</f>
        <v>040000185158</v>
      </c>
      <c r="C754" s="46">
        <v>21208</v>
      </c>
      <c r="D754" s="81">
        <f t="shared" si="45"/>
        <v>21208</v>
      </c>
      <c r="E754" s="79" t="s">
        <v>3563</v>
      </c>
      <c r="F754" s="82" t="str">
        <f t="shared" si="44"/>
        <v>insert into ins_premium_det (premium_rcv_code,assorted_code, rec_amount,premium_rcv_detail_code,remaining_amt, payrec, mode_code,coinsurance_code,class_cd,it_remarks) values</v>
      </c>
      <c r="G754" s="83" t="str">
        <f t="shared" si="46"/>
        <v>('29Oct240071','040000185158','21208',(select max(to_number(i.premium_rcv_detail_code))+1
from ins_premium_det i),'21208','21208','02', '11000003','00','Request by Mr. Omair Ali 30-Aug-2024');</v>
      </c>
      <c r="H754" s="84" t="str">
        <f t="shared" si="47"/>
        <v>insert into ins_premium_det (premium_rcv_code,assorted_code, rec_amount,premium_rcv_detail_code,remaining_amt, payrec, mode_code,coinsurance_code,class_cd,it_remarks) values('29Oct240071','040000185158','21208',(select max(to_number(i.premium_rcv_detail_code))+1
from ins_premium_det i),'21208','21208','02', '11000003','00','Request by Mr. Omair Ali 30-Aug-2024');</v>
      </c>
    </row>
    <row r="755" spans="1:8" ht="105" x14ac:dyDescent="0.25">
      <c r="A755" t="s">
        <v>893</v>
      </c>
      <c r="B755" s="80" t="str">
        <f>VLOOKUP(A755,policy!B:C,2,0)</f>
        <v>040000185160</v>
      </c>
      <c r="C755" s="46">
        <v>14960</v>
      </c>
      <c r="D755" s="81">
        <f t="shared" si="45"/>
        <v>14960</v>
      </c>
      <c r="E755" s="79" t="s">
        <v>3563</v>
      </c>
      <c r="F755" s="82" t="str">
        <f t="shared" si="44"/>
        <v>insert into ins_premium_det (premium_rcv_code,assorted_code, rec_amount,premium_rcv_detail_code,remaining_amt, payrec, mode_code,coinsurance_code,class_cd,it_remarks) values</v>
      </c>
      <c r="G755" s="83" t="str">
        <f t="shared" si="46"/>
        <v>('29Oct240071','040000185160','14960',(select max(to_number(i.premium_rcv_detail_code))+1
from ins_premium_det i),'14960','14960','02', '11000003','00','Request by Mr. Omair Ali 30-Aug-2024');</v>
      </c>
      <c r="H755" s="84" t="str">
        <f t="shared" si="47"/>
        <v>insert into ins_premium_det (premium_rcv_code,assorted_code, rec_amount,premium_rcv_detail_code,remaining_amt, payrec, mode_code,coinsurance_code,class_cd,it_remarks) values('29Oct240071','040000185160','14960',(select max(to_number(i.premium_rcv_detail_code))+1
from ins_premium_det i),'14960','14960','02', '11000003','00','Request by Mr. Omair Ali 30-Aug-2024');</v>
      </c>
    </row>
    <row r="756" spans="1:8" ht="105" x14ac:dyDescent="0.25">
      <c r="A756" t="s">
        <v>894</v>
      </c>
      <c r="B756" s="80" t="str">
        <f>VLOOKUP(A756,policy!B:C,2,0)</f>
        <v>040000185161</v>
      </c>
      <c r="C756" s="46">
        <v>16235</v>
      </c>
      <c r="D756" s="81">
        <f t="shared" si="45"/>
        <v>16235</v>
      </c>
      <c r="E756" s="79" t="s">
        <v>3563</v>
      </c>
      <c r="F756" s="82" t="str">
        <f t="shared" si="44"/>
        <v>insert into ins_premium_det (premium_rcv_code,assorted_code, rec_amount,premium_rcv_detail_code,remaining_amt, payrec, mode_code,coinsurance_code,class_cd,it_remarks) values</v>
      </c>
      <c r="G756" s="83" t="str">
        <f t="shared" si="46"/>
        <v>('29Oct240071','040000185161','16235',(select max(to_number(i.premium_rcv_detail_code))+1
from ins_premium_det i),'16235','16235','02', '11000003','00','Request by Mr. Omair Ali 30-Aug-2024');</v>
      </c>
      <c r="H756" s="84" t="str">
        <f t="shared" si="47"/>
        <v>insert into ins_premium_det (premium_rcv_code,assorted_code, rec_amount,premium_rcv_detail_code,remaining_amt, payrec, mode_code,coinsurance_code,class_cd,it_remarks) values('29Oct240071','040000185161','16235',(select max(to_number(i.premium_rcv_detail_code))+1
from ins_premium_det i),'16235','16235','02', '11000003','00','Request by Mr. Omair Ali 30-Aug-2024');</v>
      </c>
    </row>
    <row r="757" spans="1:8" ht="105" x14ac:dyDescent="0.25">
      <c r="A757" t="s">
        <v>895</v>
      </c>
      <c r="B757" s="80" t="str">
        <f>VLOOKUP(A757,policy!B:C,2,0)</f>
        <v>040000185163</v>
      </c>
      <c r="C757" s="46">
        <v>14960</v>
      </c>
      <c r="D757" s="81">
        <f t="shared" si="45"/>
        <v>14960</v>
      </c>
      <c r="E757" s="79" t="s">
        <v>3563</v>
      </c>
      <c r="F757" s="82" t="str">
        <f t="shared" si="44"/>
        <v>insert into ins_premium_det (premium_rcv_code,assorted_code, rec_amount,premium_rcv_detail_code,remaining_amt, payrec, mode_code,coinsurance_code,class_cd,it_remarks) values</v>
      </c>
      <c r="G757" s="83" t="str">
        <f t="shared" si="46"/>
        <v>('29Oct240071','040000185163','14960',(select max(to_number(i.premium_rcv_detail_code))+1
from ins_premium_det i),'14960','14960','02', '11000003','00','Request by Mr. Omair Ali 30-Aug-2024');</v>
      </c>
      <c r="H757" s="84" t="str">
        <f t="shared" si="47"/>
        <v>insert into ins_premium_det (premium_rcv_code,assorted_code, rec_amount,premium_rcv_detail_code,remaining_amt, payrec, mode_code,coinsurance_code,class_cd,it_remarks) values('29Oct240071','040000185163','14960',(select max(to_number(i.premium_rcv_detail_code))+1
from ins_premium_det i),'14960','14960','02', '11000003','00','Request by Mr. Omair Ali 30-Aug-2024');</v>
      </c>
    </row>
    <row r="758" spans="1:8" ht="105" x14ac:dyDescent="0.25">
      <c r="A758" t="s">
        <v>896</v>
      </c>
      <c r="B758" s="80" t="str">
        <f>VLOOKUP(A758,policy!B:C,2,0)</f>
        <v>040000185164</v>
      </c>
      <c r="C758" s="46">
        <v>8800</v>
      </c>
      <c r="D758" s="81">
        <f t="shared" si="45"/>
        <v>8800</v>
      </c>
      <c r="E758" s="79" t="s">
        <v>3563</v>
      </c>
      <c r="F758" s="82" t="str">
        <f t="shared" si="44"/>
        <v>insert into ins_premium_det (premium_rcv_code,assorted_code, rec_amount,premium_rcv_detail_code,remaining_amt, payrec, mode_code,coinsurance_code,class_cd,it_remarks) values</v>
      </c>
      <c r="G758" s="83" t="str">
        <f t="shared" si="46"/>
        <v>('29Oct240071','040000185164','8800',(select max(to_number(i.premium_rcv_detail_code))+1
from ins_premium_det i),'8800','8800','02', '11000003','00','Request by Mr. Omair Ali 30-Aug-2024');</v>
      </c>
      <c r="H758" s="84" t="str">
        <f t="shared" si="47"/>
        <v>insert into ins_premium_det (premium_rcv_code,assorted_code, rec_amount,premium_rcv_detail_code,remaining_amt, payrec, mode_code,coinsurance_code,class_cd,it_remarks) values('29Oct240071','040000185164','8800',(select max(to_number(i.premium_rcv_detail_code))+1
from ins_premium_det i),'8800','8800','02', '11000003','00','Request by Mr. Omair Ali 30-Aug-2024');</v>
      </c>
    </row>
    <row r="759" spans="1:8" ht="105" x14ac:dyDescent="0.25">
      <c r="A759" t="s">
        <v>897</v>
      </c>
      <c r="B759" s="80" t="str">
        <f>VLOOKUP(A759,policy!B:C,2,0)</f>
        <v>040000185165</v>
      </c>
      <c r="C759" s="46">
        <v>16235</v>
      </c>
      <c r="D759" s="81">
        <f t="shared" si="45"/>
        <v>16235</v>
      </c>
      <c r="E759" s="79" t="s">
        <v>3563</v>
      </c>
      <c r="F759" s="82" t="str">
        <f t="shared" si="44"/>
        <v>insert into ins_premium_det (premium_rcv_code,assorted_code, rec_amount,premium_rcv_detail_code,remaining_amt, payrec, mode_code,coinsurance_code,class_cd,it_remarks) values</v>
      </c>
      <c r="G759" s="83" t="str">
        <f t="shared" si="46"/>
        <v>('29Oct240071','040000185165','16235',(select max(to_number(i.premium_rcv_detail_code))+1
from ins_premium_det i),'16235','16235','02', '11000003','00','Request by Mr. Omair Ali 30-Aug-2024');</v>
      </c>
      <c r="H759" s="84" t="str">
        <f t="shared" si="47"/>
        <v>insert into ins_premium_det (premium_rcv_code,assorted_code, rec_amount,premium_rcv_detail_code,remaining_amt, payrec, mode_code,coinsurance_code,class_cd,it_remarks) values('29Oct240071','040000185165','16235',(select max(to_number(i.premium_rcv_detail_code))+1
from ins_premium_det i),'16235','16235','02', '11000003','00','Request by Mr. Omair Ali 30-Aug-2024');</v>
      </c>
    </row>
    <row r="760" spans="1:8" ht="105" x14ac:dyDescent="0.25">
      <c r="A760" t="s">
        <v>898</v>
      </c>
      <c r="B760" s="80" t="str">
        <f>VLOOKUP(A760,policy!B:C,2,0)</f>
        <v>040000185167</v>
      </c>
      <c r="C760" s="46">
        <v>8800</v>
      </c>
      <c r="D760" s="81">
        <f t="shared" si="45"/>
        <v>8800</v>
      </c>
      <c r="E760" s="79" t="s">
        <v>3563</v>
      </c>
      <c r="F760" s="82" t="str">
        <f t="shared" si="44"/>
        <v>insert into ins_premium_det (premium_rcv_code,assorted_code, rec_amount,premium_rcv_detail_code,remaining_amt, payrec, mode_code,coinsurance_code,class_cd,it_remarks) values</v>
      </c>
      <c r="G760" s="83" t="str">
        <f t="shared" si="46"/>
        <v>('29Oct240071','040000185167','8800',(select max(to_number(i.premium_rcv_detail_code))+1
from ins_premium_det i),'8800','8800','02', '11000003','00','Request by Mr. Omair Ali 30-Aug-2024');</v>
      </c>
      <c r="H760" s="84" t="str">
        <f t="shared" si="47"/>
        <v>insert into ins_premium_det (premium_rcv_code,assorted_code, rec_amount,premium_rcv_detail_code,remaining_amt, payrec, mode_code,coinsurance_code,class_cd,it_remarks) values('29Oct240071','040000185167','8800',(select max(to_number(i.premium_rcv_detail_code))+1
from ins_premium_det i),'8800','8800','02', '11000003','00','Request by Mr. Omair Ali 30-Aug-2024');</v>
      </c>
    </row>
    <row r="761" spans="1:8" ht="105" x14ac:dyDescent="0.25">
      <c r="A761" t="s">
        <v>899</v>
      </c>
      <c r="B761" s="80" t="str">
        <f>VLOOKUP(A761,policy!B:C,2,0)</f>
        <v>040000185168</v>
      </c>
      <c r="C761" s="46">
        <v>16235</v>
      </c>
      <c r="D761" s="81">
        <f t="shared" si="45"/>
        <v>16235</v>
      </c>
      <c r="E761" s="79" t="s">
        <v>3563</v>
      </c>
      <c r="F761" s="82" t="str">
        <f t="shared" si="44"/>
        <v>insert into ins_premium_det (premium_rcv_code,assorted_code, rec_amount,premium_rcv_detail_code,remaining_amt, payrec, mode_code,coinsurance_code,class_cd,it_remarks) values</v>
      </c>
      <c r="G761" s="83" t="str">
        <f t="shared" si="46"/>
        <v>('29Oct240071','040000185168','16235',(select max(to_number(i.premium_rcv_detail_code))+1
from ins_premium_det i),'16235','16235','02', '11000003','00','Request by Mr. Omair Ali 30-Aug-2024');</v>
      </c>
      <c r="H761" s="84" t="str">
        <f t="shared" si="47"/>
        <v>insert into ins_premium_det (premium_rcv_code,assorted_code, rec_amount,premium_rcv_detail_code,remaining_amt, payrec, mode_code,coinsurance_code,class_cd,it_remarks) values('29Oct240071','040000185168','16235',(select max(to_number(i.premium_rcv_detail_code))+1
from ins_premium_det i),'16235','16235','02', '11000003','00','Request by Mr. Omair Ali 30-Aug-2024');</v>
      </c>
    </row>
    <row r="762" spans="1:8" ht="105" x14ac:dyDescent="0.25">
      <c r="A762" t="s">
        <v>900</v>
      </c>
      <c r="B762" s="80" t="str">
        <f>VLOOKUP(A762,policy!B:C,2,0)</f>
        <v>040000185169</v>
      </c>
      <c r="C762" s="46">
        <v>8800</v>
      </c>
      <c r="D762" s="81">
        <f t="shared" si="45"/>
        <v>8800</v>
      </c>
      <c r="E762" s="79" t="s">
        <v>3563</v>
      </c>
      <c r="F762" s="82" t="str">
        <f t="shared" si="44"/>
        <v>insert into ins_premium_det (premium_rcv_code,assorted_code, rec_amount,premium_rcv_detail_code,remaining_amt, payrec, mode_code,coinsurance_code,class_cd,it_remarks) values</v>
      </c>
      <c r="G762" s="83" t="str">
        <f t="shared" si="46"/>
        <v>('29Oct240071','040000185169','8800',(select max(to_number(i.premium_rcv_detail_code))+1
from ins_premium_det i),'8800','8800','02', '11000003','00','Request by Mr. Omair Ali 30-Aug-2024');</v>
      </c>
      <c r="H762" s="84" t="str">
        <f t="shared" si="47"/>
        <v>insert into ins_premium_det (premium_rcv_code,assorted_code, rec_amount,premium_rcv_detail_code,remaining_amt, payrec, mode_code,coinsurance_code,class_cd,it_remarks) values('29Oct240071','040000185169','8800',(select max(to_number(i.premium_rcv_detail_code))+1
from ins_premium_det i),'8800','8800','02', '11000003','00','Request by Mr. Omair Ali 30-Aug-2024');</v>
      </c>
    </row>
    <row r="763" spans="1:8" ht="105" x14ac:dyDescent="0.25">
      <c r="A763" t="s">
        <v>901</v>
      </c>
      <c r="B763" s="80" t="str">
        <f>VLOOKUP(A763,policy!B:C,2,0)</f>
        <v>040000185170</v>
      </c>
      <c r="C763" s="46">
        <v>8800</v>
      </c>
      <c r="D763" s="81">
        <f t="shared" si="45"/>
        <v>8800</v>
      </c>
      <c r="E763" s="79" t="s">
        <v>3563</v>
      </c>
      <c r="F763" s="82" t="str">
        <f t="shared" si="44"/>
        <v>insert into ins_premium_det (premium_rcv_code,assorted_code, rec_amount,premium_rcv_detail_code,remaining_amt, payrec, mode_code,coinsurance_code,class_cd,it_remarks) values</v>
      </c>
      <c r="G763" s="83" t="str">
        <f t="shared" si="46"/>
        <v>('29Oct240071','040000185170','8800',(select max(to_number(i.premium_rcv_detail_code))+1
from ins_premium_det i),'8800','8800','02', '11000003','00','Request by Mr. Omair Ali 30-Aug-2024');</v>
      </c>
      <c r="H763" s="84" t="str">
        <f t="shared" si="47"/>
        <v>insert into ins_premium_det (premium_rcv_code,assorted_code, rec_amount,premium_rcv_detail_code,remaining_amt, payrec, mode_code,coinsurance_code,class_cd,it_remarks) values('29Oct240071','040000185170','8800',(select max(to_number(i.premium_rcv_detail_code))+1
from ins_premium_det i),'8800','8800','02', '11000003','00','Request by Mr. Omair Ali 30-Aug-2024');</v>
      </c>
    </row>
    <row r="764" spans="1:8" ht="105" x14ac:dyDescent="0.25">
      <c r="A764" t="s">
        <v>902</v>
      </c>
      <c r="B764" s="80" t="str">
        <f>VLOOKUP(A764,policy!B:C,2,0)</f>
        <v>040000185171</v>
      </c>
      <c r="C764" s="46">
        <v>12475</v>
      </c>
      <c r="D764" s="81">
        <f t="shared" si="45"/>
        <v>12475</v>
      </c>
      <c r="E764" s="79" t="s">
        <v>3563</v>
      </c>
      <c r="F764" s="82" t="str">
        <f t="shared" si="44"/>
        <v>insert into ins_premium_det (premium_rcv_code,assorted_code, rec_amount,premium_rcv_detail_code,remaining_amt, payrec, mode_code,coinsurance_code,class_cd,it_remarks) values</v>
      </c>
      <c r="G764" s="83" t="str">
        <f t="shared" si="46"/>
        <v>('29Oct240071','040000185171','12475',(select max(to_number(i.premium_rcv_detail_code))+1
from ins_premium_det i),'12475','12475','02', '11000003','00','Request by Mr. Omair Ali 30-Aug-2024');</v>
      </c>
      <c r="H764" s="84" t="str">
        <f t="shared" si="47"/>
        <v>insert into ins_premium_det (premium_rcv_code,assorted_code, rec_amount,premium_rcv_detail_code,remaining_amt, payrec, mode_code,coinsurance_code,class_cd,it_remarks) values('29Oct240071','040000185171','12475',(select max(to_number(i.premium_rcv_detail_code))+1
from ins_premium_det i),'12475','12475','02', '11000003','00','Request by Mr. Omair Ali 30-Aug-2024');</v>
      </c>
    </row>
    <row r="765" spans="1:8" ht="105" x14ac:dyDescent="0.25">
      <c r="A765" t="s">
        <v>903</v>
      </c>
      <c r="B765" s="80" t="str">
        <f>VLOOKUP(A765,policy!B:C,2,0)</f>
        <v>040000185173</v>
      </c>
      <c r="C765" s="46">
        <v>8800</v>
      </c>
      <c r="D765" s="81">
        <f t="shared" si="45"/>
        <v>8800</v>
      </c>
      <c r="E765" s="79" t="s">
        <v>3563</v>
      </c>
      <c r="F765" s="82" t="str">
        <f t="shared" si="44"/>
        <v>insert into ins_premium_det (premium_rcv_code,assorted_code, rec_amount,premium_rcv_detail_code,remaining_amt, payrec, mode_code,coinsurance_code,class_cd,it_remarks) values</v>
      </c>
      <c r="G765" s="83" t="str">
        <f t="shared" si="46"/>
        <v>('29Oct240071','040000185173','8800',(select max(to_number(i.premium_rcv_detail_code))+1
from ins_premium_det i),'8800','8800','02', '11000003','00','Request by Mr. Omair Ali 30-Aug-2024');</v>
      </c>
      <c r="H765" s="84" t="str">
        <f t="shared" si="47"/>
        <v>insert into ins_premium_det (premium_rcv_code,assorted_code, rec_amount,premium_rcv_detail_code,remaining_amt, payrec, mode_code,coinsurance_code,class_cd,it_remarks) values('29Oct240071','040000185173','8800',(select max(to_number(i.premium_rcv_detail_code))+1
from ins_premium_det i),'8800','8800','02', '11000003','00','Request by Mr. Omair Ali 30-Aug-2024');</v>
      </c>
    </row>
    <row r="766" spans="1:8" ht="105" x14ac:dyDescent="0.25">
      <c r="A766" t="s">
        <v>904</v>
      </c>
      <c r="B766" s="80" t="str">
        <f>VLOOKUP(A766,policy!B:C,2,0)</f>
        <v>040000185176</v>
      </c>
      <c r="C766" s="46">
        <v>23248</v>
      </c>
      <c r="D766" s="81">
        <f t="shared" si="45"/>
        <v>23248</v>
      </c>
      <c r="E766" s="79" t="s">
        <v>3563</v>
      </c>
      <c r="F766" s="82" t="str">
        <f t="shared" si="44"/>
        <v>insert into ins_premium_det (premium_rcv_code,assorted_code, rec_amount,premium_rcv_detail_code,remaining_amt, payrec, mode_code,coinsurance_code,class_cd,it_remarks) values</v>
      </c>
      <c r="G766" s="83" t="str">
        <f t="shared" si="46"/>
        <v>('29Oct240071','040000185176','23248',(select max(to_number(i.premium_rcv_detail_code))+1
from ins_premium_det i),'23248','23248','02', '11000003','00','Request by Mr. Omair Ali 30-Aug-2024');</v>
      </c>
      <c r="H766" s="84" t="str">
        <f t="shared" si="47"/>
        <v>insert into ins_premium_det (premium_rcv_code,assorted_code, rec_amount,premium_rcv_detail_code,remaining_amt, payrec, mode_code,coinsurance_code,class_cd,it_remarks) values('29Oct240071','040000185176','23248',(select max(to_number(i.premium_rcv_detail_code))+1
from ins_premium_det i),'23248','23248','02', '11000003','00','Request by Mr. Omair Ali 30-Aug-2024');</v>
      </c>
    </row>
    <row r="767" spans="1:8" ht="105" x14ac:dyDescent="0.25">
      <c r="A767" t="s">
        <v>905</v>
      </c>
      <c r="B767" s="80" t="str">
        <f>VLOOKUP(A767,policy!B:C,2,0)</f>
        <v>040000185177</v>
      </c>
      <c r="C767" s="46">
        <v>23248</v>
      </c>
      <c r="D767" s="81">
        <f t="shared" si="45"/>
        <v>23248</v>
      </c>
      <c r="E767" s="79" t="s">
        <v>3563</v>
      </c>
      <c r="F767" s="82" t="str">
        <f t="shared" si="44"/>
        <v>insert into ins_premium_det (premium_rcv_code,assorted_code, rec_amount,premium_rcv_detail_code,remaining_amt, payrec, mode_code,coinsurance_code,class_cd,it_remarks) values</v>
      </c>
      <c r="G767" s="83" t="str">
        <f t="shared" si="46"/>
        <v>('29Oct240071','040000185177','23248',(select max(to_number(i.premium_rcv_detail_code))+1
from ins_premium_det i),'23248','23248','02', '11000003','00','Request by Mr. Omair Ali 30-Aug-2024');</v>
      </c>
      <c r="H767" s="84" t="str">
        <f t="shared" si="47"/>
        <v>insert into ins_premium_det (premium_rcv_code,assorted_code, rec_amount,premium_rcv_detail_code,remaining_amt, payrec, mode_code,coinsurance_code,class_cd,it_remarks) values('29Oct240071','040000185177','23248',(select max(to_number(i.premium_rcv_detail_code))+1
from ins_premium_det i),'23248','23248','02', '11000003','00','Request by Mr. Omair Ali 30-Aug-2024');</v>
      </c>
    </row>
    <row r="768" spans="1:8" ht="105" x14ac:dyDescent="0.25">
      <c r="A768" t="s">
        <v>906</v>
      </c>
      <c r="B768" s="80" t="str">
        <f>VLOOKUP(A768,policy!B:C,2,0)</f>
        <v>040000185178</v>
      </c>
      <c r="C768" s="46">
        <v>8800</v>
      </c>
      <c r="D768" s="81">
        <f t="shared" si="45"/>
        <v>8800</v>
      </c>
      <c r="E768" s="79" t="s">
        <v>3563</v>
      </c>
      <c r="F768" s="82" t="str">
        <f t="shared" si="44"/>
        <v>insert into ins_premium_det (premium_rcv_code,assorted_code, rec_amount,premium_rcv_detail_code,remaining_amt, payrec, mode_code,coinsurance_code,class_cd,it_remarks) values</v>
      </c>
      <c r="G768" s="83" t="str">
        <f t="shared" si="46"/>
        <v>('29Oct240071','040000185178','8800',(select max(to_number(i.premium_rcv_detail_code))+1
from ins_premium_det i),'8800','8800','02', '11000003','00','Request by Mr. Omair Ali 30-Aug-2024');</v>
      </c>
      <c r="H768" s="84" t="str">
        <f t="shared" si="47"/>
        <v>insert into ins_premium_det (premium_rcv_code,assorted_code, rec_amount,premium_rcv_detail_code,remaining_amt, payrec, mode_code,coinsurance_code,class_cd,it_remarks) values('29Oct240071','040000185178','8800',(select max(to_number(i.premium_rcv_detail_code))+1
from ins_premium_det i),'8800','8800','02', '11000003','00','Request by Mr. Omair Ali 30-Aug-2024');</v>
      </c>
    </row>
    <row r="769" spans="1:8" ht="105" x14ac:dyDescent="0.25">
      <c r="A769" t="s">
        <v>907</v>
      </c>
      <c r="B769" s="80" t="str">
        <f>VLOOKUP(A769,policy!B:C,2,0)</f>
        <v>040000185179</v>
      </c>
      <c r="C769" s="46">
        <v>8800</v>
      </c>
      <c r="D769" s="81">
        <f t="shared" si="45"/>
        <v>8800</v>
      </c>
      <c r="E769" s="79" t="s">
        <v>3563</v>
      </c>
      <c r="F769" s="82" t="str">
        <f t="shared" si="44"/>
        <v>insert into ins_premium_det (premium_rcv_code,assorted_code, rec_amount,premium_rcv_detail_code,remaining_amt, payrec, mode_code,coinsurance_code,class_cd,it_remarks) values</v>
      </c>
      <c r="G769" s="83" t="str">
        <f t="shared" si="46"/>
        <v>('29Oct240071','040000185179','8800',(select max(to_number(i.premium_rcv_detail_code))+1
from ins_premium_det i),'8800','8800','02', '11000003','00','Request by Mr. Omair Ali 30-Aug-2024');</v>
      </c>
      <c r="H769" s="84" t="str">
        <f t="shared" si="47"/>
        <v>insert into ins_premium_det (premium_rcv_code,assorted_code, rec_amount,premium_rcv_detail_code,remaining_amt, payrec, mode_code,coinsurance_code,class_cd,it_remarks) values('29Oct240071','040000185179','8800',(select max(to_number(i.premium_rcv_detail_code))+1
from ins_premium_det i),'8800','8800','02', '11000003','00','Request by Mr. Omair Ali 30-Aug-2024');</v>
      </c>
    </row>
    <row r="770" spans="1:8" ht="105" x14ac:dyDescent="0.25">
      <c r="A770" t="s">
        <v>908</v>
      </c>
      <c r="B770" s="80" t="str">
        <f>VLOOKUP(A770,policy!B:C,2,0)</f>
        <v>040000185183</v>
      </c>
      <c r="C770" s="46">
        <v>14960</v>
      </c>
      <c r="D770" s="81">
        <f t="shared" si="45"/>
        <v>14960</v>
      </c>
      <c r="E770" s="79" t="s">
        <v>3563</v>
      </c>
      <c r="F770" s="82" t="str">
        <f t="shared" ref="F770:F833" si="4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70" s="83" t="str">
        <f t="shared" si="46"/>
        <v>('29Oct240071','040000185183','14960',(select max(to_number(i.premium_rcv_detail_code))+1
from ins_premium_det i),'14960','14960','02', '11000003','00','Request by Mr. Omair Ali 30-Aug-2024');</v>
      </c>
      <c r="H770" s="84" t="str">
        <f t="shared" si="47"/>
        <v>insert into ins_premium_det (premium_rcv_code,assorted_code, rec_amount,premium_rcv_detail_code,remaining_amt, payrec, mode_code,coinsurance_code,class_cd,it_remarks) values('29Oct240071','040000185183','14960',(select max(to_number(i.premium_rcv_detail_code))+1
from ins_premium_det i),'14960','14960','02', '11000003','00','Request by Mr. Omair Ali 30-Aug-2024');</v>
      </c>
    </row>
    <row r="771" spans="1:8" ht="105" x14ac:dyDescent="0.25">
      <c r="A771" t="s">
        <v>909</v>
      </c>
      <c r="B771" s="80" t="str">
        <f>VLOOKUP(A771,policy!B:C,2,0)</f>
        <v>040000185184</v>
      </c>
      <c r="C771" s="46">
        <v>14960</v>
      </c>
      <c r="D771" s="81">
        <f t="shared" ref="D771:D834" si="49">ROUND(C771,0)</f>
        <v>14960</v>
      </c>
      <c r="E771" s="79" t="s">
        <v>3563</v>
      </c>
      <c r="F771" s="82" t="str">
        <f t="shared" si="48"/>
        <v>insert into ins_premium_det (premium_rcv_code,assorted_code, rec_amount,premium_rcv_detail_code,remaining_amt, payrec, mode_code,coinsurance_code,class_cd,it_remarks) values</v>
      </c>
      <c r="G771" s="83" t="str">
        <f t="shared" ref="G771:G834" si="50">"('"&amp;E771&amp;"','"&amp;B771&amp;"','"&amp;D771&amp;"',(select max(to_number(i.premium_rcv_detail_code))+1
from ins_premium_det i),'"&amp;D771&amp;"','"&amp;D771&amp;"','02', '11000003','00','Request by Mr. Omair Ali 30-Aug-2024');"</f>
        <v>('29Oct240071','040000185184','14960',(select max(to_number(i.premium_rcv_detail_code))+1
from ins_premium_det i),'14960','14960','02', '11000003','00','Request by Mr. Omair Ali 30-Aug-2024');</v>
      </c>
      <c r="H771" s="84" t="str">
        <f t="shared" ref="H771:H834" si="51">F771&amp;G771</f>
        <v>insert into ins_premium_det (premium_rcv_code,assorted_code, rec_amount,premium_rcv_detail_code,remaining_amt, payrec, mode_code,coinsurance_code,class_cd,it_remarks) values('29Oct240071','040000185184','14960',(select max(to_number(i.premium_rcv_detail_code))+1
from ins_premium_det i),'14960','14960','02', '11000003','00','Request by Mr. Omair Ali 30-Aug-2024');</v>
      </c>
    </row>
    <row r="772" spans="1:8" ht="105" x14ac:dyDescent="0.25">
      <c r="A772" t="s">
        <v>910</v>
      </c>
      <c r="B772" s="80" t="str">
        <f>VLOOKUP(A772,policy!B:C,2,0)</f>
        <v>040000185185</v>
      </c>
      <c r="C772" s="46">
        <v>23248</v>
      </c>
      <c r="D772" s="81">
        <f t="shared" si="49"/>
        <v>23248</v>
      </c>
      <c r="E772" s="79" t="s">
        <v>3563</v>
      </c>
      <c r="F772" s="82" t="str">
        <f t="shared" si="48"/>
        <v>insert into ins_premium_det (premium_rcv_code,assorted_code, rec_amount,premium_rcv_detail_code,remaining_amt, payrec, mode_code,coinsurance_code,class_cd,it_remarks) values</v>
      </c>
      <c r="G772" s="83" t="str">
        <f t="shared" si="50"/>
        <v>('29Oct240071','040000185185','23248',(select max(to_number(i.premium_rcv_detail_code))+1
from ins_premium_det i),'23248','23248','02', '11000003','00','Request by Mr. Omair Ali 30-Aug-2024');</v>
      </c>
      <c r="H772" s="84" t="str">
        <f t="shared" si="51"/>
        <v>insert into ins_premium_det (premium_rcv_code,assorted_code, rec_amount,premium_rcv_detail_code,remaining_amt, payrec, mode_code,coinsurance_code,class_cd,it_remarks) values('29Oct240071','040000185185','23248',(select max(to_number(i.premium_rcv_detail_code))+1
from ins_premium_det i),'23248','23248','02', '11000003','00','Request by Mr. Omair Ali 30-Aug-2024');</v>
      </c>
    </row>
    <row r="773" spans="1:8" ht="105" x14ac:dyDescent="0.25">
      <c r="A773" t="s">
        <v>911</v>
      </c>
      <c r="B773" s="80" t="str">
        <f>VLOOKUP(A773,policy!B:C,2,0)</f>
        <v>040000185186</v>
      </c>
      <c r="C773" s="46">
        <v>23248</v>
      </c>
      <c r="D773" s="81">
        <f t="shared" si="49"/>
        <v>23248</v>
      </c>
      <c r="E773" s="79" t="s">
        <v>3563</v>
      </c>
      <c r="F773" s="82" t="str">
        <f t="shared" si="48"/>
        <v>insert into ins_premium_det (premium_rcv_code,assorted_code, rec_amount,premium_rcv_detail_code,remaining_amt, payrec, mode_code,coinsurance_code,class_cd,it_remarks) values</v>
      </c>
      <c r="G773" s="83" t="str">
        <f t="shared" si="50"/>
        <v>('29Oct240071','040000185186','23248',(select max(to_number(i.premium_rcv_detail_code))+1
from ins_premium_det i),'23248','23248','02', '11000003','00','Request by Mr. Omair Ali 30-Aug-2024');</v>
      </c>
      <c r="H773" s="84" t="str">
        <f t="shared" si="51"/>
        <v>insert into ins_premium_det (premium_rcv_code,assorted_code, rec_amount,premium_rcv_detail_code,remaining_amt, payrec, mode_code,coinsurance_code,class_cd,it_remarks) values('29Oct240071','040000185186','23248',(select max(to_number(i.premium_rcv_detail_code))+1
from ins_premium_det i),'23248','23248','02', '11000003','00','Request by Mr. Omair Ali 30-Aug-2024');</v>
      </c>
    </row>
    <row r="774" spans="1:8" ht="105" x14ac:dyDescent="0.25">
      <c r="A774" t="s">
        <v>912</v>
      </c>
      <c r="B774" s="80" t="str">
        <f>VLOOKUP(A774,policy!B:C,2,0)</f>
        <v>040000185189</v>
      </c>
      <c r="C774" s="46">
        <v>9550</v>
      </c>
      <c r="D774" s="81">
        <f t="shared" si="49"/>
        <v>9550</v>
      </c>
      <c r="E774" s="79" t="s">
        <v>3563</v>
      </c>
      <c r="F774" s="82" t="str">
        <f t="shared" si="48"/>
        <v>insert into ins_premium_det (premium_rcv_code,assorted_code, rec_amount,premium_rcv_detail_code,remaining_amt, payrec, mode_code,coinsurance_code,class_cd,it_remarks) values</v>
      </c>
      <c r="G774" s="83" t="str">
        <f t="shared" si="50"/>
        <v>('29Oct240071','040000185189','9550',(select max(to_number(i.premium_rcv_detail_code))+1
from ins_premium_det i),'9550','9550','02', '11000003','00','Request by Mr. Omair Ali 30-Aug-2024');</v>
      </c>
      <c r="H774" s="84" t="str">
        <f t="shared" si="51"/>
        <v>insert into ins_premium_det (premium_rcv_code,assorted_code, rec_amount,premium_rcv_detail_code,remaining_amt, payrec, mode_code,coinsurance_code,class_cd,it_remarks) values('29Oct240071','040000185189','9550',(select max(to_number(i.premium_rcv_detail_code))+1
from ins_premium_det i),'9550','9550','02', '11000003','00','Request by Mr. Omair Ali 30-Aug-2024');</v>
      </c>
    </row>
    <row r="775" spans="1:8" ht="105" x14ac:dyDescent="0.25">
      <c r="A775" t="s">
        <v>913</v>
      </c>
      <c r="B775" s="80" t="str">
        <f>VLOOKUP(A775,policy!B:C,2,0)</f>
        <v>040000185191</v>
      </c>
      <c r="C775" s="46">
        <v>16235</v>
      </c>
      <c r="D775" s="81">
        <f t="shared" si="49"/>
        <v>16235</v>
      </c>
      <c r="E775" s="79" t="s">
        <v>3563</v>
      </c>
      <c r="F775" s="82" t="str">
        <f t="shared" si="48"/>
        <v>insert into ins_premium_det (premium_rcv_code,assorted_code, rec_amount,premium_rcv_detail_code,remaining_amt, payrec, mode_code,coinsurance_code,class_cd,it_remarks) values</v>
      </c>
      <c r="G775" s="83" t="str">
        <f t="shared" si="50"/>
        <v>('29Oct240071','040000185191','16235',(select max(to_number(i.premium_rcv_detail_code))+1
from ins_premium_det i),'16235','16235','02', '11000003','00','Request by Mr. Omair Ali 30-Aug-2024');</v>
      </c>
      <c r="H775" s="84" t="str">
        <f t="shared" si="51"/>
        <v>insert into ins_premium_det (premium_rcv_code,assorted_code, rec_amount,premium_rcv_detail_code,remaining_amt, payrec, mode_code,coinsurance_code,class_cd,it_remarks) values('29Oct240071','040000185191','16235',(select max(to_number(i.premium_rcv_detail_code))+1
from ins_premium_det i),'16235','16235','02', '11000003','00','Request by Mr. Omair Ali 30-Aug-2024');</v>
      </c>
    </row>
    <row r="776" spans="1:8" ht="105" x14ac:dyDescent="0.25">
      <c r="A776" t="s">
        <v>914</v>
      </c>
      <c r="B776" s="80" t="str">
        <f>VLOOKUP(A776,policy!B:C,2,0)</f>
        <v>040000185192</v>
      </c>
      <c r="C776" s="46">
        <v>8800</v>
      </c>
      <c r="D776" s="81">
        <f t="shared" si="49"/>
        <v>8800</v>
      </c>
      <c r="E776" s="79" t="s">
        <v>3563</v>
      </c>
      <c r="F776" s="82" t="str">
        <f t="shared" si="48"/>
        <v>insert into ins_premium_det (premium_rcv_code,assorted_code, rec_amount,premium_rcv_detail_code,remaining_amt, payrec, mode_code,coinsurance_code,class_cd,it_remarks) values</v>
      </c>
      <c r="G776" s="83" t="str">
        <f t="shared" si="50"/>
        <v>('29Oct240071','040000185192','8800',(select max(to_number(i.premium_rcv_detail_code))+1
from ins_premium_det i),'8800','8800','02', '11000003','00','Request by Mr. Omair Ali 30-Aug-2024');</v>
      </c>
      <c r="H776" s="84" t="str">
        <f t="shared" si="51"/>
        <v>insert into ins_premium_det (premium_rcv_code,assorted_code, rec_amount,premium_rcv_detail_code,remaining_amt, payrec, mode_code,coinsurance_code,class_cd,it_remarks) values('29Oct240071','040000185192','8800',(select max(to_number(i.premium_rcv_detail_code))+1
from ins_premium_det i),'8800','8800','02', '11000003','00','Request by Mr. Omair Ali 30-Aug-2024');</v>
      </c>
    </row>
    <row r="777" spans="1:8" ht="105" x14ac:dyDescent="0.25">
      <c r="A777" t="s">
        <v>915</v>
      </c>
      <c r="B777" s="80" t="str">
        <f>VLOOKUP(A777,policy!B:C,2,0)</f>
        <v>040000185195</v>
      </c>
      <c r="C777" s="46">
        <v>8800</v>
      </c>
      <c r="D777" s="81">
        <f t="shared" si="49"/>
        <v>8800</v>
      </c>
      <c r="E777" s="79" t="s">
        <v>3563</v>
      </c>
      <c r="F777" s="82" t="str">
        <f t="shared" si="48"/>
        <v>insert into ins_premium_det (premium_rcv_code,assorted_code, rec_amount,premium_rcv_detail_code,remaining_amt, payrec, mode_code,coinsurance_code,class_cd,it_remarks) values</v>
      </c>
      <c r="G777" s="83" t="str">
        <f t="shared" si="50"/>
        <v>('29Oct240071','040000185195','8800',(select max(to_number(i.premium_rcv_detail_code))+1
from ins_premium_det i),'8800','8800','02', '11000003','00','Request by Mr. Omair Ali 30-Aug-2024');</v>
      </c>
      <c r="H777" s="84" t="str">
        <f t="shared" si="51"/>
        <v>insert into ins_premium_det (premium_rcv_code,assorted_code, rec_amount,premium_rcv_detail_code,remaining_amt, payrec, mode_code,coinsurance_code,class_cd,it_remarks) values('29Oct240071','040000185195','8800',(select max(to_number(i.premium_rcv_detail_code))+1
from ins_premium_det i),'8800','8800','02', '11000003','00','Request by Mr. Omair Ali 30-Aug-2024');</v>
      </c>
    </row>
    <row r="778" spans="1:8" ht="105" x14ac:dyDescent="0.25">
      <c r="A778" t="s">
        <v>916</v>
      </c>
      <c r="B778" s="80" t="str">
        <f>VLOOKUP(A778,policy!B:C,2,0)</f>
        <v>040000185198</v>
      </c>
      <c r="C778" s="46">
        <v>14960</v>
      </c>
      <c r="D778" s="81">
        <f t="shared" si="49"/>
        <v>14960</v>
      </c>
      <c r="E778" s="79" t="s">
        <v>3563</v>
      </c>
      <c r="F778" s="82" t="str">
        <f t="shared" si="48"/>
        <v>insert into ins_premium_det (premium_rcv_code,assorted_code, rec_amount,premium_rcv_detail_code,remaining_amt, payrec, mode_code,coinsurance_code,class_cd,it_remarks) values</v>
      </c>
      <c r="G778" s="83" t="str">
        <f t="shared" si="50"/>
        <v>('29Oct240071','040000185198','14960',(select max(to_number(i.premium_rcv_detail_code))+1
from ins_premium_det i),'14960','14960','02', '11000003','00','Request by Mr. Omair Ali 30-Aug-2024');</v>
      </c>
      <c r="H778" s="84" t="str">
        <f t="shared" si="51"/>
        <v>insert into ins_premium_det (premium_rcv_code,assorted_code, rec_amount,premium_rcv_detail_code,remaining_amt, payrec, mode_code,coinsurance_code,class_cd,it_remarks) values('29Oct240071','040000185198','14960',(select max(to_number(i.premium_rcv_detail_code))+1
from ins_premium_det i),'14960','14960','02', '11000003','00','Request by Mr. Omair Ali 30-Aug-2024');</v>
      </c>
    </row>
    <row r="779" spans="1:8" ht="105" x14ac:dyDescent="0.25">
      <c r="A779" t="s">
        <v>917</v>
      </c>
      <c r="B779" s="80" t="str">
        <f>VLOOKUP(A779,policy!B:C,2,0)</f>
        <v>040000185199</v>
      </c>
      <c r="C779" s="46">
        <v>14960</v>
      </c>
      <c r="D779" s="81">
        <f t="shared" si="49"/>
        <v>14960</v>
      </c>
      <c r="E779" s="79" t="s">
        <v>3563</v>
      </c>
      <c r="F779" s="82" t="str">
        <f t="shared" si="48"/>
        <v>insert into ins_premium_det (premium_rcv_code,assorted_code, rec_amount,premium_rcv_detail_code,remaining_amt, payrec, mode_code,coinsurance_code,class_cd,it_remarks) values</v>
      </c>
      <c r="G779" s="83" t="str">
        <f t="shared" si="50"/>
        <v>('29Oct240071','040000185199','14960',(select max(to_number(i.premium_rcv_detail_code))+1
from ins_premium_det i),'14960','14960','02', '11000003','00','Request by Mr. Omair Ali 30-Aug-2024');</v>
      </c>
      <c r="H779" s="84" t="str">
        <f t="shared" si="51"/>
        <v>insert into ins_premium_det (premium_rcv_code,assorted_code, rec_amount,premium_rcv_detail_code,remaining_amt, payrec, mode_code,coinsurance_code,class_cd,it_remarks) values('29Oct240071','040000185199','14960',(select max(to_number(i.premium_rcv_detail_code))+1
from ins_premium_det i),'14960','14960','02', '11000003','00','Request by Mr. Omair Ali 30-Aug-2024');</v>
      </c>
    </row>
    <row r="780" spans="1:8" ht="105" x14ac:dyDescent="0.25">
      <c r="A780" t="s">
        <v>918</v>
      </c>
      <c r="B780" s="80" t="str">
        <f>VLOOKUP(A780,policy!B:C,2,0)</f>
        <v>040000185201</v>
      </c>
      <c r="C780" s="46">
        <v>14960</v>
      </c>
      <c r="D780" s="81">
        <f t="shared" si="49"/>
        <v>14960</v>
      </c>
      <c r="E780" s="79" t="s">
        <v>3563</v>
      </c>
      <c r="F780" s="82" t="str">
        <f t="shared" si="48"/>
        <v>insert into ins_premium_det (premium_rcv_code,assorted_code, rec_amount,premium_rcv_detail_code,remaining_amt, payrec, mode_code,coinsurance_code,class_cd,it_remarks) values</v>
      </c>
      <c r="G780" s="83" t="str">
        <f t="shared" si="50"/>
        <v>('29Oct240071','040000185201','14960',(select max(to_number(i.premium_rcv_detail_code))+1
from ins_premium_det i),'14960','14960','02', '11000003','00','Request by Mr. Omair Ali 30-Aug-2024');</v>
      </c>
      <c r="H780" s="84" t="str">
        <f t="shared" si="51"/>
        <v>insert into ins_premium_det (premium_rcv_code,assorted_code, rec_amount,premium_rcv_detail_code,remaining_amt, payrec, mode_code,coinsurance_code,class_cd,it_remarks) values('29Oct240071','040000185201','14960',(select max(to_number(i.premium_rcv_detail_code))+1
from ins_premium_det i),'14960','14960','02', '11000003','00','Request by Mr. Omair Ali 30-Aug-2024');</v>
      </c>
    </row>
    <row r="781" spans="1:8" ht="105" x14ac:dyDescent="0.25">
      <c r="A781" t="s">
        <v>919</v>
      </c>
      <c r="B781" s="80" t="str">
        <f>VLOOKUP(A781,policy!B:C,2,0)</f>
        <v>040000185202</v>
      </c>
      <c r="C781" s="46">
        <v>14960</v>
      </c>
      <c r="D781" s="81">
        <f t="shared" si="49"/>
        <v>14960</v>
      </c>
      <c r="E781" s="79" t="s">
        <v>3563</v>
      </c>
      <c r="F781" s="82" t="str">
        <f t="shared" si="48"/>
        <v>insert into ins_premium_det (premium_rcv_code,assorted_code, rec_amount,premium_rcv_detail_code,remaining_amt, payrec, mode_code,coinsurance_code,class_cd,it_remarks) values</v>
      </c>
      <c r="G781" s="83" t="str">
        <f t="shared" si="50"/>
        <v>('29Oct240071','040000185202','14960',(select max(to_number(i.premium_rcv_detail_code))+1
from ins_premium_det i),'14960','14960','02', '11000003','00','Request by Mr. Omair Ali 30-Aug-2024');</v>
      </c>
      <c r="H781" s="84" t="str">
        <f t="shared" si="51"/>
        <v>insert into ins_premium_det (premium_rcv_code,assorted_code, rec_amount,premium_rcv_detail_code,remaining_amt, payrec, mode_code,coinsurance_code,class_cd,it_remarks) values('29Oct240071','040000185202','14960',(select max(to_number(i.premium_rcv_detail_code))+1
from ins_premium_det i),'14960','14960','02', '11000003','00','Request by Mr. Omair Ali 30-Aug-2024');</v>
      </c>
    </row>
    <row r="782" spans="1:8" ht="105" x14ac:dyDescent="0.25">
      <c r="A782" t="s">
        <v>920</v>
      </c>
      <c r="B782" s="80" t="str">
        <f>VLOOKUP(A782,policy!B:C,2,0)</f>
        <v>040000185203</v>
      </c>
      <c r="C782" s="46">
        <v>8800</v>
      </c>
      <c r="D782" s="81">
        <f t="shared" si="49"/>
        <v>8800</v>
      </c>
      <c r="E782" s="79" t="s">
        <v>3563</v>
      </c>
      <c r="F782" s="82" t="str">
        <f t="shared" si="48"/>
        <v>insert into ins_premium_det (premium_rcv_code,assorted_code, rec_amount,premium_rcv_detail_code,remaining_amt, payrec, mode_code,coinsurance_code,class_cd,it_remarks) values</v>
      </c>
      <c r="G782" s="83" t="str">
        <f t="shared" si="50"/>
        <v>('29Oct240071','040000185203','8800',(select max(to_number(i.premium_rcv_detail_code))+1
from ins_premium_det i),'8800','8800','02', '11000003','00','Request by Mr. Omair Ali 30-Aug-2024');</v>
      </c>
      <c r="H782" s="84" t="str">
        <f t="shared" si="51"/>
        <v>insert into ins_premium_det (premium_rcv_code,assorted_code, rec_amount,premium_rcv_detail_code,remaining_amt, payrec, mode_code,coinsurance_code,class_cd,it_remarks) values('29Oct240071','040000185203','8800',(select max(to_number(i.premium_rcv_detail_code))+1
from ins_premium_det i),'8800','8800','02', '11000003','00','Request by Mr. Omair Ali 30-Aug-2024');</v>
      </c>
    </row>
    <row r="783" spans="1:8" ht="105" x14ac:dyDescent="0.25">
      <c r="A783" t="s">
        <v>921</v>
      </c>
      <c r="B783" s="80" t="str">
        <f>VLOOKUP(A783,policy!B:C,2,0)</f>
        <v>040000185204</v>
      </c>
      <c r="C783" s="46">
        <v>8800</v>
      </c>
      <c r="D783" s="81">
        <f t="shared" si="49"/>
        <v>8800</v>
      </c>
      <c r="E783" s="79" t="s">
        <v>3563</v>
      </c>
      <c r="F783" s="82" t="str">
        <f t="shared" si="48"/>
        <v>insert into ins_premium_det (premium_rcv_code,assorted_code, rec_amount,premium_rcv_detail_code,remaining_amt, payrec, mode_code,coinsurance_code,class_cd,it_remarks) values</v>
      </c>
      <c r="G783" s="83" t="str">
        <f t="shared" si="50"/>
        <v>('29Oct240071','040000185204','8800',(select max(to_number(i.premium_rcv_detail_code))+1
from ins_premium_det i),'8800','8800','02', '11000003','00','Request by Mr. Omair Ali 30-Aug-2024');</v>
      </c>
      <c r="H783" s="84" t="str">
        <f t="shared" si="51"/>
        <v>insert into ins_premium_det (premium_rcv_code,assorted_code, rec_amount,premium_rcv_detail_code,remaining_amt, payrec, mode_code,coinsurance_code,class_cd,it_remarks) values('29Oct240071','040000185204','8800',(select max(to_number(i.premium_rcv_detail_code))+1
from ins_premium_det i),'8800','8800','02', '11000003','00','Request by Mr. Omair Ali 30-Aug-2024');</v>
      </c>
    </row>
    <row r="784" spans="1:8" ht="105" x14ac:dyDescent="0.25">
      <c r="A784" t="s">
        <v>922</v>
      </c>
      <c r="B784" s="80" t="str">
        <f>VLOOKUP(A784,policy!B:C,2,0)</f>
        <v>040000185207</v>
      </c>
      <c r="C784" s="46">
        <v>8800</v>
      </c>
      <c r="D784" s="81">
        <f t="shared" si="49"/>
        <v>8800</v>
      </c>
      <c r="E784" s="79" t="s">
        <v>3563</v>
      </c>
      <c r="F784" s="82" t="str">
        <f t="shared" si="48"/>
        <v>insert into ins_premium_det (premium_rcv_code,assorted_code, rec_amount,premium_rcv_detail_code,remaining_amt, payrec, mode_code,coinsurance_code,class_cd,it_remarks) values</v>
      </c>
      <c r="G784" s="83" t="str">
        <f t="shared" si="50"/>
        <v>('29Oct240071','040000185207','8800',(select max(to_number(i.premium_rcv_detail_code))+1
from ins_premium_det i),'8800','8800','02', '11000003','00','Request by Mr. Omair Ali 30-Aug-2024');</v>
      </c>
      <c r="H784" s="84" t="str">
        <f t="shared" si="51"/>
        <v>insert into ins_premium_det (premium_rcv_code,assorted_code, rec_amount,premium_rcv_detail_code,remaining_amt, payrec, mode_code,coinsurance_code,class_cd,it_remarks) values('29Oct240071','040000185207','8800',(select max(to_number(i.premium_rcv_detail_code))+1
from ins_premium_det i),'8800','8800','02', '11000003','00','Request by Mr. Omair Ali 30-Aug-2024');</v>
      </c>
    </row>
    <row r="785" spans="1:8" ht="105" x14ac:dyDescent="0.25">
      <c r="A785" t="s">
        <v>923</v>
      </c>
      <c r="B785" s="80" t="str">
        <f>VLOOKUP(A785,policy!B:C,2,0)</f>
        <v>040000185208</v>
      </c>
      <c r="C785" s="46">
        <v>8800</v>
      </c>
      <c r="D785" s="81">
        <f t="shared" si="49"/>
        <v>8800</v>
      </c>
      <c r="E785" s="79" t="s">
        <v>3563</v>
      </c>
      <c r="F785" s="82" t="str">
        <f t="shared" si="48"/>
        <v>insert into ins_premium_det (premium_rcv_code,assorted_code, rec_amount,premium_rcv_detail_code,remaining_amt, payrec, mode_code,coinsurance_code,class_cd,it_remarks) values</v>
      </c>
      <c r="G785" s="83" t="str">
        <f t="shared" si="50"/>
        <v>('29Oct240071','040000185208','8800',(select max(to_number(i.premium_rcv_detail_code))+1
from ins_premium_det i),'8800','8800','02', '11000003','00','Request by Mr. Omair Ali 30-Aug-2024');</v>
      </c>
      <c r="H785" s="84" t="str">
        <f t="shared" si="51"/>
        <v>insert into ins_premium_det (premium_rcv_code,assorted_code, rec_amount,premium_rcv_detail_code,remaining_amt, payrec, mode_code,coinsurance_code,class_cd,it_remarks) values('29Oct240071','040000185208','8800',(select max(to_number(i.premium_rcv_detail_code))+1
from ins_premium_det i),'8800','8800','02', '11000003','00','Request by Mr. Omair Ali 30-Aug-2024');</v>
      </c>
    </row>
    <row r="786" spans="1:8" ht="105" x14ac:dyDescent="0.25">
      <c r="A786" t="s">
        <v>924</v>
      </c>
      <c r="B786" s="80" t="str">
        <f>VLOOKUP(A786,policy!B:C,2,0)</f>
        <v>040000185209</v>
      </c>
      <c r="C786" s="46">
        <v>14960</v>
      </c>
      <c r="D786" s="81">
        <f t="shared" si="49"/>
        <v>14960</v>
      </c>
      <c r="E786" s="79" t="s">
        <v>3563</v>
      </c>
      <c r="F786" s="82" t="str">
        <f t="shared" si="48"/>
        <v>insert into ins_premium_det (premium_rcv_code,assorted_code, rec_amount,premium_rcv_detail_code,remaining_amt, payrec, mode_code,coinsurance_code,class_cd,it_remarks) values</v>
      </c>
      <c r="G786" s="83" t="str">
        <f t="shared" si="50"/>
        <v>('29Oct240071','040000185209','14960',(select max(to_number(i.premium_rcv_detail_code))+1
from ins_premium_det i),'14960','14960','02', '11000003','00','Request by Mr. Omair Ali 30-Aug-2024');</v>
      </c>
      <c r="H786" s="84" t="str">
        <f t="shared" si="51"/>
        <v>insert into ins_premium_det (premium_rcv_code,assorted_code, rec_amount,premium_rcv_detail_code,remaining_amt, payrec, mode_code,coinsurance_code,class_cd,it_remarks) values('29Oct240071','040000185209','14960',(select max(to_number(i.premium_rcv_detail_code))+1
from ins_premium_det i),'14960','14960','02', '11000003','00','Request by Mr. Omair Ali 30-Aug-2024');</v>
      </c>
    </row>
    <row r="787" spans="1:8" ht="105" x14ac:dyDescent="0.25">
      <c r="A787" t="s">
        <v>925</v>
      </c>
      <c r="B787" s="80" t="str">
        <f>VLOOKUP(A787,policy!B:C,2,0)</f>
        <v>040000185210</v>
      </c>
      <c r="C787" s="46">
        <v>14960</v>
      </c>
      <c r="D787" s="81">
        <f t="shared" si="49"/>
        <v>14960</v>
      </c>
      <c r="E787" s="79" t="s">
        <v>3563</v>
      </c>
      <c r="F787" s="82" t="str">
        <f t="shared" si="48"/>
        <v>insert into ins_premium_det (premium_rcv_code,assorted_code, rec_amount,premium_rcv_detail_code,remaining_amt, payrec, mode_code,coinsurance_code,class_cd,it_remarks) values</v>
      </c>
      <c r="G787" s="83" t="str">
        <f t="shared" si="50"/>
        <v>('29Oct240071','040000185210','14960',(select max(to_number(i.premium_rcv_detail_code))+1
from ins_premium_det i),'14960','14960','02', '11000003','00','Request by Mr. Omair Ali 30-Aug-2024');</v>
      </c>
      <c r="H787" s="84" t="str">
        <f t="shared" si="51"/>
        <v>insert into ins_premium_det (premium_rcv_code,assorted_code, rec_amount,premium_rcv_detail_code,remaining_amt, payrec, mode_code,coinsurance_code,class_cd,it_remarks) values('29Oct240071','040000185210','14960',(select max(to_number(i.premium_rcv_detail_code))+1
from ins_premium_det i),'14960','14960','02', '11000003','00','Request by Mr. Omair Ali 30-Aug-2024');</v>
      </c>
    </row>
    <row r="788" spans="1:8" ht="105" x14ac:dyDescent="0.25">
      <c r="A788" t="s">
        <v>926</v>
      </c>
      <c r="B788" s="80" t="str">
        <f>VLOOKUP(A788,policy!B:C,2,0)</f>
        <v>040000185212</v>
      </c>
      <c r="C788" s="46">
        <v>8800</v>
      </c>
      <c r="D788" s="81">
        <f t="shared" si="49"/>
        <v>8800</v>
      </c>
      <c r="E788" s="79" t="s">
        <v>3563</v>
      </c>
      <c r="F788" s="82" t="str">
        <f t="shared" si="48"/>
        <v>insert into ins_premium_det (premium_rcv_code,assorted_code, rec_amount,premium_rcv_detail_code,remaining_amt, payrec, mode_code,coinsurance_code,class_cd,it_remarks) values</v>
      </c>
      <c r="G788" s="83" t="str">
        <f t="shared" si="50"/>
        <v>('29Oct240071','040000185212','8800',(select max(to_number(i.premium_rcv_detail_code))+1
from ins_premium_det i),'8800','8800','02', '11000003','00','Request by Mr. Omair Ali 30-Aug-2024');</v>
      </c>
      <c r="H788" s="84" t="str">
        <f t="shared" si="51"/>
        <v>insert into ins_premium_det (premium_rcv_code,assorted_code, rec_amount,premium_rcv_detail_code,remaining_amt, payrec, mode_code,coinsurance_code,class_cd,it_remarks) values('29Oct240071','040000185212','8800',(select max(to_number(i.premium_rcv_detail_code))+1
from ins_premium_det i),'8800','8800','02', '11000003','00','Request by Mr. Omair Ali 30-Aug-2024');</v>
      </c>
    </row>
    <row r="789" spans="1:8" ht="105" x14ac:dyDescent="0.25">
      <c r="A789" t="s">
        <v>927</v>
      </c>
      <c r="B789" s="80" t="str">
        <f>VLOOKUP(A789,policy!B:C,2,0)</f>
        <v>040000185214</v>
      </c>
      <c r="C789" s="46">
        <v>8800</v>
      </c>
      <c r="D789" s="81">
        <f t="shared" si="49"/>
        <v>8800</v>
      </c>
      <c r="E789" s="79" t="s">
        <v>3563</v>
      </c>
      <c r="F789" s="82" t="str">
        <f t="shared" si="48"/>
        <v>insert into ins_premium_det (premium_rcv_code,assorted_code, rec_amount,premium_rcv_detail_code,remaining_amt, payrec, mode_code,coinsurance_code,class_cd,it_remarks) values</v>
      </c>
      <c r="G789" s="83" t="str">
        <f t="shared" si="50"/>
        <v>('29Oct240071','040000185214','8800',(select max(to_number(i.premium_rcv_detail_code))+1
from ins_premium_det i),'8800','8800','02', '11000003','00','Request by Mr. Omair Ali 30-Aug-2024');</v>
      </c>
      <c r="H789" s="84" t="str">
        <f t="shared" si="51"/>
        <v>insert into ins_premium_det (premium_rcv_code,assorted_code, rec_amount,premium_rcv_detail_code,remaining_amt, payrec, mode_code,coinsurance_code,class_cd,it_remarks) values('29Oct240071','040000185214','8800',(select max(to_number(i.premium_rcv_detail_code))+1
from ins_premium_det i),'8800','8800','02', '11000003','00','Request by Mr. Omair Ali 30-Aug-2024');</v>
      </c>
    </row>
    <row r="790" spans="1:8" ht="105" x14ac:dyDescent="0.25">
      <c r="A790" t="s">
        <v>928</v>
      </c>
      <c r="B790" s="80" t="str">
        <f>VLOOKUP(A790,policy!B:C,2,0)</f>
        <v>040000185220</v>
      </c>
      <c r="C790" s="46">
        <v>16235</v>
      </c>
      <c r="D790" s="81">
        <f t="shared" si="49"/>
        <v>16235</v>
      </c>
      <c r="E790" s="79" t="s">
        <v>3563</v>
      </c>
      <c r="F790" s="82" t="str">
        <f t="shared" si="48"/>
        <v>insert into ins_premium_det (premium_rcv_code,assorted_code, rec_amount,premium_rcv_detail_code,remaining_amt, payrec, mode_code,coinsurance_code,class_cd,it_remarks) values</v>
      </c>
      <c r="G790" s="83" t="str">
        <f t="shared" si="50"/>
        <v>('29Oct240071','040000185220','16235',(select max(to_number(i.premium_rcv_detail_code))+1
from ins_premium_det i),'16235','16235','02', '11000003','00','Request by Mr. Omair Ali 30-Aug-2024');</v>
      </c>
      <c r="H790" s="84" t="str">
        <f t="shared" si="51"/>
        <v>insert into ins_premium_det (premium_rcv_code,assorted_code, rec_amount,premium_rcv_detail_code,remaining_amt, payrec, mode_code,coinsurance_code,class_cd,it_remarks) values('29Oct240071','040000185220','16235',(select max(to_number(i.premium_rcv_detail_code))+1
from ins_premium_det i),'16235','16235','02', '11000003','00','Request by Mr. Omair Ali 30-Aug-2024');</v>
      </c>
    </row>
    <row r="791" spans="1:8" ht="105" x14ac:dyDescent="0.25">
      <c r="A791" t="s">
        <v>929</v>
      </c>
      <c r="B791" s="80" t="str">
        <f>VLOOKUP(A791,policy!B:C,2,0)</f>
        <v>040000185223</v>
      </c>
      <c r="C791" s="46">
        <v>16235</v>
      </c>
      <c r="D791" s="81">
        <f t="shared" si="49"/>
        <v>16235</v>
      </c>
      <c r="E791" s="79" t="s">
        <v>3563</v>
      </c>
      <c r="F791" s="82" t="str">
        <f t="shared" si="48"/>
        <v>insert into ins_premium_det (premium_rcv_code,assorted_code, rec_amount,premium_rcv_detail_code,remaining_amt, payrec, mode_code,coinsurance_code,class_cd,it_remarks) values</v>
      </c>
      <c r="G791" s="83" t="str">
        <f t="shared" si="50"/>
        <v>('29Oct240071','040000185223','16235',(select max(to_number(i.premium_rcv_detail_code))+1
from ins_premium_det i),'16235','16235','02', '11000003','00','Request by Mr. Omair Ali 30-Aug-2024');</v>
      </c>
      <c r="H791" s="84" t="str">
        <f t="shared" si="51"/>
        <v>insert into ins_premium_det (premium_rcv_code,assorted_code, rec_amount,premium_rcv_detail_code,remaining_amt, payrec, mode_code,coinsurance_code,class_cd,it_remarks) values('29Oct240071','040000185223','16235',(select max(to_number(i.premium_rcv_detail_code))+1
from ins_premium_det i),'16235','16235','02', '11000003','00','Request by Mr. Omair Ali 30-Aug-2024');</v>
      </c>
    </row>
    <row r="792" spans="1:8" ht="105" x14ac:dyDescent="0.25">
      <c r="A792" t="s">
        <v>930</v>
      </c>
      <c r="B792" s="80" t="str">
        <f>VLOOKUP(A792,policy!B:C,2,0)</f>
        <v>040000185228</v>
      </c>
      <c r="C792" s="46">
        <v>14960</v>
      </c>
      <c r="D792" s="81">
        <f t="shared" si="49"/>
        <v>14960</v>
      </c>
      <c r="E792" s="79" t="s">
        <v>3563</v>
      </c>
      <c r="F792" s="82" t="str">
        <f t="shared" si="48"/>
        <v>insert into ins_premium_det (premium_rcv_code,assorted_code, rec_amount,premium_rcv_detail_code,remaining_amt, payrec, mode_code,coinsurance_code,class_cd,it_remarks) values</v>
      </c>
      <c r="G792" s="83" t="str">
        <f t="shared" si="50"/>
        <v>('29Oct240071','040000185228','14960',(select max(to_number(i.premium_rcv_detail_code))+1
from ins_premium_det i),'14960','14960','02', '11000003','00','Request by Mr. Omair Ali 30-Aug-2024');</v>
      </c>
      <c r="H792" s="84" t="str">
        <f t="shared" si="51"/>
        <v>insert into ins_premium_det (premium_rcv_code,assorted_code, rec_amount,premium_rcv_detail_code,remaining_amt, payrec, mode_code,coinsurance_code,class_cd,it_remarks) values('29Oct240071','040000185228','14960',(select max(to_number(i.premium_rcv_detail_code))+1
from ins_premium_det i),'14960','14960','02', '11000003','00','Request by Mr. Omair Ali 30-Aug-2024');</v>
      </c>
    </row>
    <row r="793" spans="1:8" ht="105" x14ac:dyDescent="0.25">
      <c r="A793" t="s">
        <v>931</v>
      </c>
      <c r="B793" s="80" t="str">
        <f>VLOOKUP(A793,policy!B:C,2,0)</f>
        <v>040000185237</v>
      </c>
      <c r="C793" s="46">
        <v>23248</v>
      </c>
      <c r="D793" s="81">
        <f t="shared" si="49"/>
        <v>23248</v>
      </c>
      <c r="E793" s="79" t="s">
        <v>3563</v>
      </c>
      <c r="F793" s="82" t="str">
        <f t="shared" si="48"/>
        <v>insert into ins_premium_det (premium_rcv_code,assorted_code, rec_amount,premium_rcv_detail_code,remaining_amt, payrec, mode_code,coinsurance_code,class_cd,it_remarks) values</v>
      </c>
      <c r="G793" s="83" t="str">
        <f t="shared" si="50"/>
        <v>('29Oct240071','040000185237','23248',(select max(to_number(i.premium_rcv_detail_code))+1
from ins_premium_det i),'23248','23248','02', '11000003','00','Request by Mr. Omair Ali 30-Aug-2024');</v>
      </c>
      <c r="H793" s="84" t="str">
        <f t="shared" si="51"/>
        <v>insert into ins_premium_det (premium_rcv_code,assorted_code, rec_amount,premium_rcv_detail_code,remaining_amt, payrec, mode_code,coinsurance_code,class_cd,it_remarks) values('29Oct240071','040000185237','23248',(select max(to_number(i.premium_rcv_detail_code))+1
from ins_premium_det i),'23248','23248','02', '11000003','00','Request by Mr. Omair Ali 30-Aug-2024');</v>
      </c>
    </row>
    <row r="794" spans="1:8" ht="105" x14ac:dyDescent="0.25">
      <c r="A794" t="s">
        <v>932</v>
      </c>
      <c r="B794" s="80" t="str">
        <f>VLOOKUP(A794,policy!B:C,2,0)</f>
        <v>040000185238</v>
      </c>
      <c r="C794" s="46">
        <v>14960</v>
      </c>
      <c r="D794" s="81">
        <f t="shared" si="49"/>
        <v>14960</v>
      </c>
      <c r="E794" s="79" t="s">
        <v>3563</v>
      </c>
      <c r="F794" s="82" t="str">
        <f t="shared" si="48"/>
        <v>insert into ins_premium_det (premium_rcv_code,assorted_code, rec_amount,premium_rcv_detail_code,remaining_amt, payrec, mode_code,coinsurance_code,class_cd,it_remarks) values</v>
      </c>
      <c r="G794" s="83" t="str">
        <f t="shared" si="50"/>
        <v>('29Oct240071','040000185238','14960',(select max(to_number(i.premium_rcv_detail_code))+1
from ins_premium_det i),'14960','14960','02', '11000003','00','Request by Mr. Omair Ali 30-Aug-2024');</v>
      </c>
      <c r="H794" s="84" t="str">
        <f t="shared" si="51"/>
        <v>insert into ins_premium_det (premium_rcv_code,assorted_code, rec_amount,premium_rcv_detail_code,remaining_amt, payrec, mode_code,coinsurance_code,class_cd,it_remarks) values('29Oct240071','040000185238','14960',(select max(to_number(i.premium_rcv_detail_code))+1
from ins_premium_det i),'14960','14960','02', '11000003','00','Request by Mr. Omair Ali 30-Aug-2024');</v>
      </c>
    </row>
    <row r="795" spans="1:8" ht="105" x14ac:dyDescent="0.25">
      <c r="A795" t="s">
        <v>933</v>
      </c>
      <c r="B795" s="80" t="str">
        <f>VLOOKUP(A795,policy!B:C,2,0)</f>
        <v>040000185239</v>
      </c>
      <c r="C795" s="46">
        <v>14960</v>
      </c>
      <c r="D795" s="81">
        <f t="shared" si="49"/>
        <v>14960</v>
      </c>
      <c r="E795" s="79" t="s">
        <v>3563</v>
      </c>
      <c r="F795" s="82" t="str">
        <f t="shared" si="48"/>
        <v>insert into ins_premium_det (premium_rcv_code,assorted_code, rec_amount,premium_rcv_detail_code,remaining_amt, payrec, mode_code,coinsurance_code,class_cd,it_remarks) values</v>
      </c>
      <c r="G795" s="83" t="str">
        <f t="shared" si="50"/>
        <v>('29Oct240071','040000185239','14960',(select max(to_number(i.premium_rcv_detail_code))+1
from ins_premium_det i),'14960','14960','02', '11000003','00','Request by Mr. Omair Ali 30-Aug-2024');</v>
      </c>
      <c r="H795" s="84" t="str">
        <f t="shared" si="51"/>
        <v>insert into ins_premium_det (premium_rcv_code,assorted_code, rec_amount,premium_rcv_detail_code,remaining_amt, payrec, mode_code,coinsurance_code,class_cd,it_remarks) values('29Oct240071','040000185239','14960',(select max(to_number(i.premium_rcv_detail_code))+1
from ins_premium_det i),'14960','14960','02', '11000003','00','Request by Mr. Omair Ali 30-Aug-2024');</v>
      </c>
    </row>
    <row r="796" spans="1:8" ht="105" x14ac:dyDescent="0.25">
      <c r="A796" t="s">
        <v>934</v>
      </c>
      <c r="B796" s="80" t="str">
        <f>VLOOKUP(A796,policy!B:C,2,0)</f>
        <v>040000185240</v>
      </c>
      <c r="C796" s="46">
        <v>14960</v>
      </c>
      <c r="D796" s="81">
        <f t="shared" si="49"/>
        <v>14960</v>
      </c>
      <c r="E796" s="79" t="s">
        <v>3563</v>
      </c>
      <c r="F796" s="82" t="str">
        <f t="shared" si="48"/>
        <v>insert into ins_premium_det (premium_rcv_code,assorted_code, rec_amount,premium_rcv_detail_code,remaining_amt, payrec, mode_code,coinsurance_code,class_cd,it_remarks) values</v>
      </c>
      <c r="G796" s="83" t="str">
        <f t="shared" si="50"/>
        <v>('29Oct240071','040000185240','14960',(select max(to_number(i.premium_rcv_detail_code))+1
from ins_premium_det i),'14960','14960','02', '11000003','00','Request by Mr. Omair Ali 30-Aug-2024');</v>
      </c>
      <c r="H796" s="84" t="str">
        <f t="shared" si="51"/>
        <v>insert into ins_premium_det (premium_rcv_code,assorted_code, rec_amount,premium_rcv_detail_code,remaining_amt, payrec, mode_code,coinsurance_code,class_cd,it_remarks) values('29Oct240071','040000185240','14960',(select max(to_number(i.premium_rcv_detail_code))+1
from ins_premium_det i),'14960','14960','02', '11000003','00','Request by Mr. Omair Ali 30-Aug-2024');</v>
      </c>
    </row>
    <row r="797" spans="1:8" ht="105" x14ac:dyDescent="0.25">
      <c r="A797" t="s">
        <v>935</v>
      </c>
      <c r="B797" s="80" t="str">
        <f>VLOOKUP(A797,policy!B:C,2,0)</f>
        <v>040000185241</v>
      </c>
      <c r="C797" s="46">
        <v>14960</v>
      </c>
      <c r="D797" s="81">
        <f t="shared" si="49"/>
        <v>14960</v>
      </c>
      <c r="E797" s="79" t="s">
        <v>3563</v>
      </c>
      <c r="F797" s="82" t="str">
        <f t="shared" si="48"/>
        <v>insert into ins_premium_det (premium_rcv_code,assorted_code, rec_amount,premium_rcv_detail_code,remaining_amt, payrec, mode_code,coinsurance_code,class_cd,it_remarks) values</v>
      </c>
      <c r="G797" s="83" t="str">
        <f t="shared" si="50"/>
        <v>('29Oct240071','040000185241','14960',(select max(to_number(i.premium_rcv_detail_code))+1
from ins_premium_det i),'14960','14960','02', '11000003','00','Request by Mr. Omair Ali 30-Aug-2024');</v>
      </c>
      <c r="H797" s="84" t="str">
        <f t="shared" si="51"/>
        <v>insert into ins_premium_det (premium_rcv_code,assorted_code, rec_amount,premium_rcv_detail_code,remaining_amt, payrec, mode_code,coinsurance_code,class_cd,it_remarks) values('29Oct240071','040000185241','14960',(select max(to_number(i.premium_rcv_detail_code))+1
from ins_premium_det i),'14960','14960','02', '11000003','00','Request by Mr. Omair Ali 30-Aug-2024');</v>
      </c>
    </row>
    <row r="798" spans="1:8" ht="105" x14ac:dyDescent="0.25">
      <c r="A798" t="s">
        <v>936</v>
      </c>
      <c r="B798" s="80" t="str">
        <f>VLOOKUP(A798,policy!B:C,2,0)</f>
        <v>040000185242</v>
      </c>
      <c r="C798" s="46">
        <v>14960</v>
      </c>
      <c r="D798" s="81">
        <f t="shared" si="49"/>
        <v>14960</v>
      </c>
      <c r="E798" s="79" t="s">
        <v>3563</v>
      </c>
      <c r="F798" s="82" t="str">
        <f t="shared" si="48"/>
        <v>insert into ins_premium_det (premium_rcv_code,assorted_code, rec_amount,premium_rcv_detail_code,remaining_amt, payrec, mode_code,coinsurance_code,class_cd,it_remarks) values</v>
      </c>
      <c r="G798" s="83" t="str">
        <f t="shared" si="50"/>
        <v>('29Oct240071','040000185242','14960',(select max(to_number(i.premium_rcv_detail_code))+1
from ins_premium_det i),'14960','14960','02', '11000003','00','Request by Mr. Omair Ali 30-Aug-2024');</v>
      </c>
      <c r="H798" s="84" t="str">
        <f t="shared" si="51"/>
        <v>insert into ins_premium_det (premium_rcv_code,assorted_code, rec_amount,premium_rcv_detail_code,remaining_amt, payrec, mode_code,coinsurance_code,class_cd,it_remarks) values('29Oct240071','040000185242','14960',(select max(to_number(i.premium_rcv_detail_code))+1
from ins_premium_det i),'14960','14960','02', '11000003','00','Request by Mr. Omair Ali 30-Aug-2024');</v>
      </c>
    </row>
    <row r="799" spans="1:8" ht="105" x14ac:dyDescent="0.25">
      <c r="A799" t="s">
        <v>937</v>
      </c>
      <c r="B799" s="80" t="str">
        <f>VLOOKUP(A799,policy!B:C,2,0)</f>
        <v>040000185243</v>
      </c>
      <c r="C799" s="46">
        <v>14960</v>
      </c>
      <c r="D799" s="81">
        <f t="shared" si="49"/>
        <v>14960</v>
      </c>
      <c r="E799" s="79" t="s">
        <v>3563</v>
      </c>
      <c r="F799" s="82" t="str">
        <f t="shared" si="48"/>
        <v>insert into ins_premium_det (premium_rcv_code,assorted_code, rec_amount,premium_rcv_detail_code,remaining_amt, payrec, mode_code,coinsurance_code,class_cd,it_remarks) values</v>
      </c>
      <c r="G799" s="83" t="str">
        <f t="shared" si="50"/>
        <v>('29Oct240071','040000185243','14960',(select max(to_number(i.premium_rcv_detail_code))+1
from ins_premium_det i),'14960','14960','02', '11000003','00','Request by Mr. Omair Ali 30-Aug-2024');</v>
      </c>
      <c r="H799" s="84" t="str">
        <f t="shared" si="51"/>
        <v>insert into ins_premium_det (premium_rcv_code,assorted_code, rec_amount,premium_rcv_detail_code,remaining_amt, payrec, mode_code,coinsurance_code,class_cd,it_remarks) values('29Oct240071','040000185243','14960',(select max(to_number(i.premium_rcv_detail_code))+1
from ins_premium_det i),'14960','14960','02', '11000003','00','Request by Mr. Omair Ali 30-Aug-2024');</v>
      </c>
    </row>
    <row r="800" spans="1:8" ht="105" x14ac:dyDescent="0.25">
      <c r="A800" t="s">
        <v>938</v>
      </c>
      <c r="B800" s="80" t="str">
        <f>VLOOKUP(A800,policy!B:C,2,0)</f>
        <v>040000185245</v>
      </c>
      <c r="C800" s="46">
        <v>14960</v>
      </c>
      <c r="D800" s="81">
        <f t="shared" si="49"/>
        <v>14960</v>
      </c>
      <c r="E800" s="79" t="s">
        <v>3563</v>
      </c>
      <c r="F800" s="82" t="str">
        <f t="shared" si="48"/>
        <v>insert into ins_premium_det (premium_rcv_code,assorted_code, rec_amount,premium_rcv_detail_code,remaining_amt, payrec, mode_code,coinsurance_code,class_cd,it_remarks) values</v>
      </c>
      <c r="G800" s="83" t="str">
        <f t="shared" si="50"/>
        <v>('29Oct240071','040000185245','14960',(select max(to_number(i.premium_rcv_detail_code))+1
from ins_premium_det i),'14960','14960','02', '11000003','00','Request by Mr. Omair Ali 30-Aug-2024');</v>
      </c>
      <c r="H800" s="84" t="str">
        <f t="shared" si="51"/>
        <v>insert into ins_premium_det (premium_rcv_code,assorted_code, rec_amount,premium_rcv_detail_code,remaining_amt, payrec, mode_code,coinsurance_code,class_cd,it_remarks) values('29Oct240071','040000185245','14960',(select max(to_number(i.premium_rcv_detail_code))+1
from ins_premium_det i),'14960','14960','02', '11000003','00','Request by Mr. Omair Ali 30-Aug-2024');</v>
      </c>
    </row>
    <row r="801" spans="1:8" ht="105" x14ac:dyDescent="0.25">
      <c r="A801" t="s">
        <v>939</v>
      </c>
      <c r="B801" s="80" t="str">
        <f>VLOOKUP(A801,policy!B:C,2,0)</f>
        <v>040000185246</v>
      </c>
      <c r="C801" s="46">
        <v>14960</v>
      </c>
      <c r="D801" s="81">
        <f t="shared" si="49"/>
        <v>14960</v>
      </c>
      <c r="E801" s="79" t="s">
        <v>3563</v>
      </c>
      <c r="F801" s="82" t="str">
        <f t="shared" si="48"/>
        <v>insert into ins_premium_det (premium_rcv_code,assorted_code, rec_amount,premium_rcv_detail_code,remaining_amt, payrec, mode_code,coinsurance_code,class_cd,it_remarks) values</v>
      </c>
      <c r="G801" s="83" t="str">
        <f t="shared" si="50"/>
        <v>('29Oct240071','040000185246','14960',(select max(to_number(i.premium_rcv_detail_code))+1
from ins_premium_det i),'14960','14960','02', '11000003','00','Request by Mr. Omair Ali 30-Aug-2024');</v>
      </c>
      <c r="H801" s="84" t="str">
        <f t="shared" si="51"/>
        <v>insert into ins_premium_det (premium_rcv_code,assorted_code, rec_amount,premium_rcv_detail_code,remaining_amt, payrec, mode_code,coinsurance_code,class_cd,it_remarks) values('29Oct240071','040000185246','14960',(select max(to_number(i.premium_rcv_detail_code))+1
from ins_premium_det i),'14960','14960','02', '11000003','00','Request by Mr. Omair Ali 30-Aug-2024');</v>
      </c>
    </row>
    <row r="802" spans="1:8" ht="105" x14ac:dyDescent="0.25">
      <c r="A802" t="s">
        <v>940</v>
      </c>
      <c r="B802" s="80" t="str">
        <f>VLOOKUP(A802,policy!B:C,2,0)</f>
        <v>040000185247</v>
      </c>
      <c r="C802" s="46">
        <v>14960</v>
      </c>
      <c r="D802" s="81">
        <f t="shared" si="49"/>
        <v>14960</v>
      </c>
      <c r="E802" s="79" t="s">
        <v>3563</v>
      </c>
      <c r="F802" s="82" t="str">
        <f t="shared" si="48"/>
        <v>insert into ins_premium_det (premium_rcv_code,assorted_code, rec_amount,premium_rcv_detail_code,remaining_amt, payrec, mode_code,coinsurance_code,class_cd,it_remarks) values</v>
      </c>
      <c r="G802" s="83" t="str">
        <f t="shared" si="50"/>
        <v>('29Oct240071','040000185247','14960',(select max(to_number(i.premium_rcv_detail_code))+1
from ins_premium_det i),'14960','14960','02', '11000003','00','Request by Mr. Omair Ali 30-Aug-2024');</v>
      </c>
      <c r="H802" s="84" t="str">
        <f t="shared" si="51"/>
        <v>insert into ins_premium_det (premium_rcv_code,assorted_code, rec_amount,premium_rcv_detail_code,remaining_amt, payrec, mode_code,coinsurance_code,class_cd,it_remarks) values('29Oct240071','040000185247','14960',(select max(to_number(i.premium_rcv_detail_code))+1
from ins_premium_det i),'14960','14960','02', '11000003','00','Request by Mr. Omair Ali 30-Aug-2024');</v>
      </c>
    </row>
    <row r="803" spans="1:8" ht="105" x14ac:dyDescent="0.25">
      <c r="A803" t="s">
        <v>941</v>
      </c>
      <c r="B803" s="80" t="str">
        <f>VLOOKUP(A803,policy!B:C,2,0)</f>
        <v>040000185249</v>
      </c>
      <c r="C803" s="46">
        <v>14960</v>
      </c>
      <c r="D803" s="81">
        <f t="shared" si="49"/>
        <v>14960</v>
      </c>
      <c r="E803" s="79" t="s">
        <v>3563</v>
      </c>
      <c r="F803" s="82" t="str">
        <f t="shared" si="48"/>
        <v>insert into ins_premium_det (premium_rcv_code,assorted_code, rec_amount,premium_rcv_detail_code,remaining_amt, payrec, mode_code,coinsurance_code,class_cd,it_remarks) values</v>
      </c>
      <c r="G803" s="83" t="str">
        <f t="shared" si="50"/>
        <v>('29Oct240071','040000185249','14960',(select max(to_number(i.premium_rcv_detail_code))+1
from ins_premium_det i),'14960','14960','02', '11000003','00','Request by Mr. Omair Ali 30-Aug-2024');</v>
      </c>
      <c r="H803" s="84" t="str">
        <f t="shared" si="51"/>
        <v>insert into ins_premium_det (premium_rcv_code,assorted_code, rec_amount,premium_rcv_detail_code,remaining_amt, payrec, mode_code,coinsurance_code,class_cd,it_remarks) values('29Oct240071','040000185249','14960',(select max(to_number(i.premium_rcv_detail_code))+1
from ins_premium_det i),'14960','14960','02', '11000003','00','Request by Mr. Omair Ali 30-Aug-2024');</v>
      </c>
    </row>
    <row r="804" spans="1:8" ht="105" x14ac:dyDescent="0.25">
      <c r="A804" t="s">
        <v>942</v>
      </c>
      <c r="B804" s="80" t="str">
        <f>VLOOKUP(A804,policy!B:C,2,0)</f>
        <v>040000185250</v>
      </c>
      <c r="C804" s="46">
        <v>12475</v>
      </c>
      <c r="D804" s="81">
        <f t="shared" si="49"/>
        <v>12475</v>
      </c>
      <c r="E804" s="79" t="s">
        <v>3563</v>
      </c>
      <c r="F804" s="82" t="str">
        <f t="shared" si="48"/>
        <v>insert into ins_premium_det (premium_rcv_code,assorted_code, rec_amount,premium_rcv_detail_code,remaining_amt, payrec, mode_code,coinsurance_code,class_cd,it_remarks) values</v>
      </c>
      <c r="G804" s="83" t="str">
        <f t="shared" si="50"/>
        <v>('29Oct240071','040000185250','12475',(select max(to_number(i.premium_rcv_detail_code))+1
from ins_premium_det i),'12475','12475','02', '11000003','00','Request by Mr. Omair Ali 30-Aug-2024');</v>
      </c>
      <c r="H804" s="84" t="str">
        <f t="shared" si="51"/>
        <v>insert into ins_premium_det (premium_rcv_code,assorted_code, rec_amount,premium_rcv_detail_code,remaining_amt, payrec, mode_code,coinsurance_code,class_cd,it_remarks) values('29Oct240071','040000185250','12475',(select max(to_number(i.premium_rcv_detail_code))+1
from ins_premium_det i),'12475','12475','02', '11000003','00','Request by Mr. Omair Ali 30-Aug-2024');</v>
      </c>
    </row>
    <row r="805" spans="1:8" ht="105" x14ac:dyDescent="0.25">
      <c r="A805" t="s">
        <v>943</v>
      </c>
      <c r="B805" s="80" t="str">
        <f>VLOOKUP(A805,policy!B:C,2,0)</f>
        <v>040000185251</v>
      </c>
      <c r="C805" s="46">
        <v>14960</v>
      </c>
      <c r="D805" s="81">
        <f t="shared" si="49"/>
        <v>14960</v>
      </c>
      <c r="E805" s="79" t="s">
        <v>3563</v>
      </c>
      <c r="F805" s="82" t="str">
        <f t="shared" si="48"/>
        <v>insert into ins_premium_det (premium_rcv_code,assorted_code, rec_amount,premium_rcv_detail_code,remaining_amt, payrec, mode_code,coinsurance_code,class_cd,it_remarks) values</v>
      </c>
      <c r="G805" s="83" t="str">
        <f t="shared" si="50"/>
        <v>('29Oct240071','040000185251','14960',(select max(to_number(i.premium_rcv_detail_code))+1
from ins_premium_det i),'14960','14960','02', '11000003','00','Request by Mr. Omair Ali 30-Aug-2024');</v>
      </c>
      <c r="H805" s="84" t="str">
        <f t="shared" si="51"/>
        <v>insert into ins_premium_det (premium_rcv_code,assorted_code, rec_amount,premium_rcv_detail_code,remaining_amt, payrec, mode_code,coinsurance_code,class_cd,it_remarks) values('29Oct240071','040000185251','14960',(select max(to_number(i.premium_rcv_detail_code))+1
from ins_premium_det i),'14960','14960','02', '11000003','00','Request by Mr. Omair Ali 30-Aug-2024');</v>
      </c>
    </row>
    <row r="806" spans="1:8" ht="105" x14ac:dyDescent="0.25">
      <c r="A806" t="s">
        <v>944</v>
      </c>
      <c r="B806" s="80" t="str">
        <f>VLOOKUP(A806,policy!B:C,2,0)</f>
        <v>040000185252</v>
      </c>
      <c r="C806" s="46">
        <v>14960</v>
      </c>
      <c r="D806" s="81">
        <f t="shared" si="49"/>
        <v>14960</v>
      </c>
      <c r="E806" s="79" t="s">
        <v>3563</v>
      </c>
      <c r="F806" s="82" t="str">
        <f t="shared" si="48"/>
        <v>insert into ins_premium_det (premium_rcv_code,assorted_code, rec_amount,premium_rcv_detail_code,remaining_amt, payrec, mode_code,coinsurance_code,class_cd,it_remarks) values</v>
      </c>
      <c r="G806" s="83" t="str">
        <f t="shared" si="50"/>
        <v>('29Oct240071','040000185252','14960',(select max(to_number(i.premium_rcv_detail_code))+1
from ins_premium_det i),'14960','14960','02', '11000003','00','Request by Mr. Omair Ali 30-Aug-2024');</v>
      </c>
      <c r="H806" s="84" t="str">
        <f t="shared" si="51"/>
        <v>insert into ins_premium_det (premium_rcv_code,assorted_code, rec_amount,premium_rcv_detail_code,remaining_amt, payrec, mode_code,coinsurance_code,class_cd,it_remarks) values('29Oct240071','040000185252','14960',(select max(to_number(i.premium_rcv_detail_code))+1
from ins_premium_det i),'14960','14960','02', '11000003','00','Request by Mr. Omair Ali 30-Aug-2024');</v>
      </c>
    </row>
    <row r="807" spans="1:8" ht="105" x14ac:dyDescent="0.25">
      <c r="A807" t="s">
        <v>945</v>
      </c>
      <c r="B807" s="80" t="str">
        <f>VLOOKUP(A807,policy!B:C,2,0)</f>
        <v>040000185254</v>
      </c>
      <c r="C807" s="46">
        <v>14960</v>
      </c>
      <c r="D807" s="81">
        <f t="shared" si="49"/>
        <v>14960</v>
      </c>
      <c r="E807" s="79" t="s">
        <v>3563</v>
      </c>
      <c r="F807" s="82" t="str">
        <f t="shared" si="48"/>
        <v>insert into ins_premium_det (premium_rcv_code,assorted_code, rec_amount,premium_rcv_detail_code,remaining_amt, payrec, mode_code,coinsurance_code,class_cd,it_remarks) values</v>
      </c>
      <c r="G807" s="83" t="str">
        <f t="shared" si="50"/>
        <v>('29Oct240071','040000185254','14960',(select max(to_number(i.premium_rcv_detail_code))+1
from ins_premium_det i),'14960','14960','02', '11000003','00','Request by Mr. Omair Ali 30-Aug-2024');</v>
      </c>
      <c r="H807" s="84" t="str">
        <f t="shared" si="51"/>
        <v>insert into ins_premium_det (premium_rcv_code,assorted_code, rec_amount,premium_rcv_detail_code,remaining_amt, payrec, mode_code,coinsurance_code,class_cd,it_remarks) values('29Oct240071','040000185254','14960',(select max(to_number(i.premium_rcv_detail_code))+1
from ins_premium_det i),'14960','14960','02', '11000003','00','Request by Mr. Omair Ali 30-Aug-2024');</v>
      </c>
    </row>
    <row r="808" spans="1:8" ht="105" x14ac:dyDescent="0.25">
      <c r="A808" t="s">
        <v>946</v>
      </c>
      <c r="B808" s="80" t="str">
        <f>VLOOKUP(A808,policy!B:C,2,0)</f>
        <v>040000185255</v>
      </c>
      <c r="C808" s="46">
        <v>14960</v>
      </c>
      <c r="D808" s="81">
        <f t="shared" si="49"/>
        <v>14960</v>
      </c>
      <c r="E808" s="79" t="s">
        <v>3563</v>
      </c>
      <c r="F808" s="82" t="str">
        <f t="shared" si="48"/>
        <v>insert into ins_premium_det (premium_rcv_code,assorted_code, rec_amount,premium_rcv_detail_code,remaining_amt, payrec, mode_code,coinsurance_code,class_cd,it_remarks) values</v>
      </c>
      <c r="G808" s="83" t="str">
        <f t="shared" si="50"/>
        <v>('29Oct240071','040000185255','14960',(select max(to_number(i.premium_rcv_detail_code))+1
from ins_premium_det i),'14960','14960','02', '11000003','00','Request by Mr. Omair Ali 30-Aug-2024');</v>
      </c>
      <c r="H808" s="84" t="str">
        <f t="shared" si="51"/>
        <v>insert into ins_premium_det (premium_rcv_code,assorted_code, rec_amount,premium_rcv_detail_code,remaining_amt, payrec, mode_code,coinsurance_code,class_cd,it_remarks) values('29Oct240071','040000185255','14960',(select max(to_number(i.premium_rcv_detail_code))+1
from ins_premium_det i),'14960','14960','02', '11000003','00','Request by Mr. Omair Ali 30-Aug-2024');</v>
      </c>
    </row>
    <row r="809" spans="1:8" ht="105" x14ac:dyDescent="0.25">
      <c r="A809" t="s">
        <v>947</v>
      </c>
      <c r="B809" s="80" t="str">
        <f>VLOOKUP(A809,policy!B:C,2,0)</f>
        <v>040000185256</v>
      </c>
      <c r="C809" s="46">
        <v>14960</v>
      </c>
      <c r="D809" s="81">
        <f t="shared" si="49"/>
        <v>14960</v>
      </c>
      <c r="E809" s="79" t="s">
        <v>3563</v>
      </c>
      <c r="F809" s="82" t="str">
        <f t="shared" si="48"/>
        <v>insert into ins_premium_det (premium_rcv_code,assorted_code, rec_amount,premium_rcv_detail_code,remaining_amt, payrec, mode_code,coinsurance_code,class_cd,it_remarks) values</v>
      </c>
      <c r="G809" s="83" t="str">
        <f t="shared" si="50"/>
        <v>('29Oct240071','040000185256','14960',(select max(to_number(i.premium_rcv_detail_code))+1
from ins_premium_det i),'14960','14960','02', '11000003','00','Request by Mr. Omair Ali 30-Aug-2024');</v>
      </c>
      <c r="H809" s="84" t="str">
        <f t="shared" si="51"/>
        <v>insert into ins_premium_det (premium_rcv_code,assorted_code, rec_amount,premium_rcv_detail_code,remaining_amt, payrec, mode_code,coinsurance_code,class_cd,it_remarks) values('29Oct240071','040000185256','14960',(select max(to_number(i.premium_rcv_detail_code))+1
from ins_premium_det i),'14960','14960','02', '11000003','00','Request by Mr. Omair Ali 30-Aug-2024');</v>
      </c>
    </row>
    <row r="810" spans="1:8" ht="105" x14ac:dyDescent="0.25">
      <c r="A810" t="s">
        <v>948</v>
      </c>
      <c r="B810" s="80" t="str">
        <f>VLOOKUP(A810,policy!B:C,2,0)</f>
        <v>040000185257</v>
      </c>
      <c r="C810" s="46">
        <v>8800</v>
      </c>
      <c r="D810" s="81">
        <f t="shared" si="49"/>
        <v>8800</v>
      </c>
      <c r="E810" s="79" t="s">
        <v>3563</v>
      </c>
      <c r="F810" s="82" t="str">
        <f t="shared" si="48"/>
        <v>insert into ins_premium_det (premium_rcv_code,assorted_code, rec_amount,premium_rcv_detail_code,remaining_amt, payrec, mode_code,coinsurance_code,class_cd,it_remarks) values</v>
      </c>
      <c r="G810" s="83" t="str">
        <f t="shared" si="50"/>
        <v>('29Oct240071','040000185257','8800',(select max(to_number(i.premium_rcv_detail_code))+1
from ins_premium_det i),'8800','8800','02', '11000003','00','Request by Mr. Omair Ali 30-Aug-2024');</v>
      </c>
      <c r="H810" s="84" t="str">
        <f t="shared" si="51"/>
        <v>insert into ins_premium_det (premium_rcv_code,assorted_code, rec_amount,premium_rcv_detail_code,remaining_amt, payrec, mode_code,coinsurance_code,class_cd,it_remarks) values('29Oct240071','040000185257','8800',(select max(to_number(i.premium_rcv_detail_code))+1
from ins_premium_det i),'8800','8800','02', '11000003','00','Request by Mr. Omair Ali 30-Aug-2024');</v>
      </c>
    </row>
    <row r="811" spans="1:8" ht="105" x14ac:dyDescent="0.25">
      <c r="A811" t="s">
        <v>949</v>
      </c>
      <c r="B811" s="80" t="str">
        <f>VLOOKUP(A811,policy!B:C,2,0)</f>
        <v>040000185258</v>
      </c>
      <c r="C811" s="46">
        <v>14960</v>
      </c>
      <c r="D811" s="81">
        <f t="shared" si="49"/>
        <v>14960</v>
      </c>
      <c r="E811" s="79" t="s">
        <v>3563</v>
      </c>
      <c r="F811" s="82" t="str">
        <f t="shared" si="48"/>
        <v>insert into ins_premium_det (premium_rcv_code,assorted_code, rec_amount,premium_rcv_detail_code,remaining_amt, payrec, mode_code,coinsurance_code,class_cd,it_remarks) values</v>
      </c>
      <c r="G811" s="83" t="str">
        <f t="shared" si="50"/>
        <v>('29Oct240071','040000185258','14960',(select max(to_number(i.premium_rcv_detail_code))+1
from ins_premium_det i),'14960','14960','02', '11000003','00','Request by Mr. Omair Ali 30-Aug-2024');</v>
      </c>
      <c r="H811" s="84" t="str">
        <f t="shared" si="51"/>
        <v>insert into ins_premium_det (premium_rcv_code,assorted_code, rec_amount,premium_rcv_detail_code,remaining_amt, payrec, mode_code,coinsurance_code,class_cd,it_remarks) values('29Oct240071','040000185258','14960',(select max(to_number(i.premium_rcv_detail_code))+1
from ins_premium_det i),'14960','14960','02', '11000003','00','Request by Mr. Omair Ali 30-Aug-2024');</v>
      </c>
    </row>
    <row r="812" spans="1:8" ht="105" x14ac:dyDescent="0.25">
      <c r="A812" t="s">
        <v>950</v>
      </c>
      <c r="B812" s="80" t="str">
        <f>VLOOKUP(A812,policy!B:C,2,0)</f>
        <v>040000185259</v>
      </c>
      <c r="C812" s="46">
        <v>14960</v>
      </c>
      <c r="D812" s="81">
        <f t="shared" si="49"/>
        <v>14960</v>
      </c>
      <c r="E812" s="79" t="s">
        <v>3563</v>
      </c>
      <c r="F812" s="82" t="str">
        <f t="shared" si="48"/>
        <v>insert into ins_premium_det (premium_rcv_code,assorted_code, rec_amount,premium_rcv_detail_code,remaining_amt, payrec, mode_code,coinsurance_code,class_cd,it_remarks) values</v>
      </c>
      <c r="G812" s="83" t="str">
        <f t="shared" si="50"/>
        <v>('29Oct240071','040000185259','14960',(select max(to_number(i.premium_rcv_detail_code))+1
from ins_premium_det i),'14960','14960','02', '11000003','00','Request by Mr. Omair Ali 30-Aug-2024');</v>
      </c>
      <c r="H812" s="84" t="str">
        <f t="shared" si="51"/>
        <v>insert into ins_premium_det (premium_rcv_code,assorted_code, rec_amount,premium_rcv_detail_code,remaining_amt, payrec, mode_code,coinsurance_code,class_cd,it_remarks) values('29Oct240071','040000185259','14960',(select max(to_number(i.premium_rcv_detail_code))+1
from ins_premium_det i),'14960','14960','02', '11000003','00','Request by Mr. Omair Ali 30-Aug-2024');</v>
      </c>
    </row>
    <row r="813" spans="1:8" ht="105" x14ac:dyDescent="0.25">
      <c r="A813" t="s">
        <v>951</v>
      </c>
      <c r="B813" s="80" t="str">
        <f>VLOOKUP(A813,policy!B:C,2,0)</f>
        <v>040000185260</v>
      </c>
      <c r="C813" s="46">
        <v>14960</v>
      </c>
      <c r="D813" s="81">
        <f t="shared" si="49"/>
        <v>14960</v>
      </c>
      <c r="E813" s="79" t="s">
        <v>3563</v>
      </c>
      <c r="F813" s="82" t="str">
        <f t="shared" si="48"/>
        <v>insert into ins_premium_det (premium_rcv_code,assorted_code, rec_amount,premium_rcv_detail_code,remaining_amt, payrec, mode_code,coinsurance_code,class_cd,it_remarks) values</v>
      </c>
      <c r="G813" s="83" t="str">
        <f t="shared" si="50"/>
        <v>('29Oct240071','040000185260','14960',(select max(to_number(i.premium_rcv_detail_code))+1
from ins_premium_det i),'14960','14960','02', '11000003','00','Request by Mr. Omair Ali 30-Aug-2024');</v>
      </c>
      <c r="H813" s="84" t="str">
        <f t="shared" si="51"/>
        <v>insert into ins_premium_det (premium_rcv_code,assorted_code, rec_amount,premium_rcv_detail_code,remaining_amt, payrec, mode_code,coinsurance_code,class_cd,it_remarks) values('29Oct240071','040000185260','14960',(select max(to_number(i.premium_rcv_detail_code))+1
from ins_premium_det i),'14960','14960','02', '11000003','00','Request by Mr. Omair Ali 30-Aug-2024');</v>
      </c>
    </row>
    <row r="814" spans="1:8" ht="105" x14ac:dyDescent="0.25">
      <c r="A814" t="s">
        <v>952</v>
      </c>
      <c r="B814" s="80" t="str">
        <f>VLOOKUP(A814,policy!B:C,2,0)</f>
        <v>040000185261</v>
      </c>
      <c r="C814" s="46">
        <v>14960</v>
      </c>
      <c r="D814" s="81">
        <f t="shared" si="49"/>
        <v>14960</v>
      </c>
      <c r="E814" s="79" t="s">
        <v>3563</v>
      </c>
      <c r="F814" s="82" t="str">
        <f t="shared" si="48"/>
        <v>insert into ins_premium_det (premium_rcv_code,assorted_code, rec_amount,premium_rcv_detail_code,remaining_amt, payrec, mode_code,coinsurance_code,class_cd,it_remarks) values</v>
      </c>
      <c r="G814" s="83" t="str">
        <f t="shared" si="50"/>
        <v>('29Oct240071','040000185261','14960',(select max(to_number(i.premium_rcv_detail_code))+1
from ins_premium_det i),'14960','14960','02', '11000003','00','Request by Mr. Omair Ali 30-Aug-2024');</v>
      </c>
      <c r="H814" s="84" t="str">
        <f t="shared" si="51"/>
        <v>insert into ins_premium_det (premium_rcv_code,assorted_code, rec_amount,premium_rcv_detail_code,remaining_amt, payrec, mode_code,coinsurance_code,class_cd,it_remarks) values('29Oct240071','040000185261','14960',(select max(to_number(i.premium_rcv_detail_code))+1
from ins_premium_det i),'14960','14960','02', '11000003','00','Request by Mr. Omair Ali 30-Aug-2024');</v>
      </c>
    </row>
    <row r="815" spans="1:8" ht="105" x14ac:dyDescent="0.25">
      <c r="A815" t="s">
        <v>953</v>
      </c>
      <c r="B815" s="80" t="str">
        <f>VLOOKUP(A815,policy!B:C,2,0)</f>
        <v>040000185262</v>
      </c>
      <c r="C815" s="46">
        <v>16235</v>
      </c>
      <c r="D815" s="81">
        <f t="shared" si="49"/>
        <v>16235</v>
      </c>
      <c r="E815" s="79" t="s">
        <v>3563</v>
      </c>
      <c r="F815" s="82" t="str">
        <f t="shared" si="48"/>
        <v>insert into ins_premium_det (premium_rcv_code,assorted_code, rec_amount,premium_rcv_detail_code,remaining_amt, payrec, mode_code,coinsurance_code,class_cd,it_remarks) values</v>
      </c>
      <c r="G815" s="83" t="str">
        <f t="shared" si="50"/>
        <v>('29Oct240071','040000185262','16235',(select max(to_number(i.premium_rcv_detail_code))+1
from ins_premium_det i),'16235','16235','02', '11000003','00','Request by Mr. Omair Ali 30-Aug-2024');</v>
      </c>
      <c r="H815" s="84" t="str">
        <f t="shared" si="51"/>
        <v>insert into ins_premium_det (premium_rcv_code,assorted_code, rec_amount,premium_rcv_detail_code,remaining_amt, payrec, mode_code,coinsurance_code,class_cd,it_remarks) values('29Oct240071','040000185262','16235',(select max(to_number(i.premium_rcv_detail_code))+1
from ins_premium_det i),'16235','16235','02', '11000003','00','Request by Mr. Omair Ali 30-Aug-2024');</v>
      </c>
    </row>
    <row r="816" spans="1:8" ht="105" x14ac:dyDescent="0.25">
      <c r="A816" t="s">
        <v>954</v>
      </c>
      <c r="B816" s="80" t="str">
        <f>VLOOKUP(A816,policy!B:C,2,0)</f>
        <v>040000185263</v>
      </c>
      <c r="C816" s="46">
        <v>14960</v>
      </c>
      <c r="D816" s="81">
        <f t="shared" si="49"/>
        <v>14960</v>
      </c>
      <c r="E816" s="79" t="s">
        <v>3563</v>
      </c>
      <c r="F816" s="82" t="str">
        <f t="shared" si="48"/>
        <v>insert into ins_premium_det (premium_rcv_code,assorted_code, rec_amount,premium_rcv_detail_code,remaining_amt, payrec, mode_code,coinsurance_code,class_cd,it_remarks) values</v>
      </c>
      <c r="G816" s="83" t="str">
        <f t="shared" si="50"/>
        <v>('29Oct240071','040000185263','14960',(select max(to_number(i.premium_rcv_detail_code))+1
from ins_premium_det i),'14960','14960','02', '11000003','00','Request by Mr. Omair Ali 30-Aug-2024');</v>
      </c>
      <c r="H816" s="84" t="str">
        <f t="shared" si="51"/>
        <v>insert into ins_premium_det (premium_rcv_code,assorted_code, rec_amount,premium_rcv_detail_code,remaining_amt, payrec, mode_code,coinsurance_code,class_cd,it_remarks) values('29Oct240071','040000185263','14960',(select max(to_number(i.premium_rcv_detail_code))+1
from ins_premium_det i),'14960','14960','02', '11000003','00','Request by Mr. Omair Ali 30-Aug-2024');</v>
      </c>
    </row>
    <row r="817" spans="1:8" ht="105" x14ac:dyDescent="0.25">
      <c r="A817" t="s">
        <v>955</v>
      </c>
      <c r="B817" s="80" t="str">
        <f>VLOOKUP(A817,policy!B:C,2,0)</f>
        <v>040000185264</v>
      </c>
      <c r="C817" s="46">
        <v>16235</v>
      </c>
      <c r="D817" s="81">
        <f t="shared" si="49"/>
        <v>16235</v>
      </c>
      <c r="E817" s="79" t="s">
        <v>3563</v>
      </c>
      <c r="F817" s="82" t="str">
        <f t="shared" si="48"/>
        <v>insert into ins_premium_det (premium_rcv_code,assorted_code, rec_amount,premium_rcv_detail_code,remaining_amt, payrec, mode_code,coinsurance_code,class_cd,it_remarks) values</v>
      </c>
      <c r="G817" s="83" t="str">
        <f t="shared" si="50"/>
        <v>('29Oct240071','040000185264','16235',(select max(to_number(i.premium_rcv_detail_code))+1
from ins_premium_det i),'16235','16235','02', '11000003','00','Request by Mr. Omair Ali 30-Aug-2024');</v>
      </c>
      <c r="H817" s="84" t="str">
        <f t="shared" si="51"/>
        <v>insert into ins_premium_det (premium_rcv_code,assorted_code, rec_amount,premium_rcv_detail_code,remaining_amt, payrec, mode_code,coinsurance_code,class_cd,it_remarks) values('29Oct240071','040000185264','16235',(select max(to_number(i.premium_rcv_detail_code))+1
from ins_premium_det i),'16235','16235','02', '11000003','00','Request by Mr. Omair Ali 30-Aug-2024');</v>
      </c>
    </row>
    <row r="818" spans="1:8" ht="105" x14ac:dyDescent="0.25">
      <c r="A818" t="s">
        <v>956</v>
      </c>
      <c r="B818" s="80" t="str">
        <f>VLOOKUP(A818,policy!B:C,2,0)</f>
        <v>040000185265</v>
      </c>
      <c r="C818" s="46">
        <v>14960</v>
      </c>
      <c r="D818" s="81">
        <f t="shared" si="49"/>
        <v>14960</v>
      </c>
      <c r="E818" s="79" t="s">
        <v>3563</v>
      </c>
      <c r="F818" s="82" t="str">
        <f t="shared" si="48"/>
        <v>insert into ins_premium_det (premium_rcv_code,assorted_code, rec_amount,premium_rcv_detail_code,remaining_amt, payrec, mode_code,coinsurance_code,class_cd,it_remarks) values</v>
      </c>
      <c r="G818" s="83" t="str">
        <f t="shared" si="50"/>
        <v>('29Oct240071','040000185265','14960',(select max(to_number(i.premium_rcv_detail_code))+1
from ins_premium_det i),'14960','14960','02', '11000003','00','Request by Mr. Omair Ali 30-Aug-2024');</v>
      </c>
      <c r="H818" s="84" t="str">
        <f t="shared" si="51"/>
        <v>insert into ins_premium_det (premium_rcv_code,assorted_code, rec_amount,premium_rcv_detail_code,remaining_amt, payrec, mode_code,coinsurance_code,class_cd,it_remarks) values('29Oct240071','040000185265','14960',(select max(to_number(i.premium_rcv_detail_code))+1
from ins_premium_det i),'14960','14960','02', '11000003','00','Request by Mr. Omair Ali 30-Aug-2024');</v>
      </c>
    </row>
    <row r="819" spans="1:8" ht="105" x14ac:dyDescent="0.25">
      <c r="A819" t="s">
        <v>957</v>
      </c>
      <c r="B819" s="80" t="str">
        <f>VLOOKUP(A819,policy!B:C,2,0)</f>
        <v>040000185266</v>
      </c>
      <c r="C819" s="46">
        <v>14960</v>
      </c>
      <c r="D819" s="81">
        <f t="shared" si="49"/>
        <v>14960</v>
      </c>
      <c r="E819" s="79" t="s">
        <v>3563</v>
      </c>
      <c r="F819" s="82" t="str">
        <f t="shared" si="48"/>
        <v>insert into ins_premium_det (premium_rcv_code,assorted_code, rec_amount,premium_rcv_detail_code,remaining_amt, payrec, mode_code,coinsurance_code,class_cd,it_remarks) values</v>
      </c>
      <c r="G819" s="83" t="str">
        <f t="shared" si="50"/>
        <v>('29Oct240071','040000185266','14960',(select max(to_number(i.premium_rcv_detail_code))+1
from ins_premium_det i),'14960','14960','02', '11000003','00','Request by Mr. Omair Ali 30-Aug-2024');</v>
      </c>
      <c r="H819" s="84" t="str">
        <f t="shared" si="51"/>
        <v>insert into ins_premium_det (premium_rcv_code,assorted_code, rec_amount,premium_rcv_detail_code,remaining_amt, payrec, mode_code,coinsurance_code,class_cd,it_remarks) values('29Oct240071','040000185266','14960',(select max(to_number(i.premium_rcv_detail_code))+1
from ins_premium_det i),'14960','14960','02', '11000003','00','Request by Mr. Omair Ali 30-Aug-2024');</v>
      </c>
    </row>
    <row r="820" spans="1:8" ht="105" x14ac:dyDescent="0.25">
      <c r="A820" t="s">
        <v>958</v>
      </c>
      <c r="B820" s="80" t="str">
        <f>VLOOKUP(A820,policy!B:C,2,0)</f>
        <v>040000185267</v>
      </c>
      <c r="C820" s="46">
        <v>21208</v>
      </c>
      <c r="D820" s="81">
        <f t="shared" si="49"/>
        <v>21208</v>
      </c>
      <c r="E820" s="79" t="s">
        <v>3563</v>
      </c>
      <c r="F820" s="82" t="str">
        <f t="shared" si="48"/>
        <v>insert into ins_premium_det (premium_rcv_code,assorted_code, rec_amount,premium_rcv_detail_code,remaining_amt, payrec, mode_code,coinsurance_code,class_cd,it_remarks) values</v>
      </c>
      <c r="G820" s="83" t="str">
        <f t="shared" si="50"/>
        <v>('29Oct240071','040000185267','21208',(select max(to_number(i.premium_rcv_detail_code))+1
from ins_premium_det i),'21208','21208','02', '11000003','00','Request by Mr. Omair Ali 30-Aug-2024');</v>
      </c>
      <c r="H820" s="84" t="str">
        <f t="shared" si="51"/>
        <v>insert into ins_premium_det (premium_rcv_code,assorted_code, rec_amount,premium_rcv_detail_code,remaining_amt, payrec, mode_code,coinsurance_code,class_cd,it_remarks) values('29Oct240071','040000185267','21208',(select max(to_number(i.premium_rcv_detail_code))+1
from ins_premium_det i),'21208','21208','02', '11000003','00','Request by Mr. Omair Ali 30-Aug-2024');</v>
      </c>
    </row>
    <row r="821" spans="1:8" ht="105" x14ac:dyDescent="0.25">
      <c r="A821" t="s">
        <v>959</v>
      </c>
      <c r="B821" s="80" t="str">
        <f>VLOOKUP(A821,policy!B:C,2,0)</f>
        <v>040000185268</v>
      </c>
      <c r="C821" s="46">
        <v>21208</v>
      </c>
      <c r="D821" s="81">
        <f t="shared" si="49"/>
        <v>21208</v>
      </c>
      <c r="E821" s="79" t="s">
        <v>3563</v>
      </c>
      <c r="F821" s="82" t="str">
        <f t="shared" si="48"/>
        <v>insert into ins_premium_det (premium_rcv_code,assorted_code, rec_amount,premium_rcv_detail_code,remaining_amt, payrec, mode_code,coinsurance_code,class_cd,it_remarks) values</v>
      </c>
      <c r="G821" s="83" t="str">
        <f t="shared" si="50"/>
        <v>('29Oct240071','040000185268','21208',(select max(to_number(i.premium_rcv_detail_code))+1
from ins_premium_det i),'21208','21208','02', '11000003','00','Request by Mr. Omair Ali 30-Aug-2024');</v>
      </c>
      <c r="H821" s="84" t="str">
        <f t="shared" si="51"/>
        <v>insert into ins_premium_det (premium_rcv_code,assorted_code, rec_amount,premium_rcv_detail_code,remaining_amt, payrec, mode_code,coinsurance_code,class_cd,it_remarks) values('29Oct240071','040000185268','21208',(select max(to_number(i.premium_rcv_detail_code))+1
from ins_premium_det i),'21208','21208','02', '11000003','00','Request by Mr. Omair Ali 30-Aug-2024');</v>
      </c>
    </row>
    <row r="822" spans="1:8" ht="105" x14ac:dyDescent="0.25">
      <c r="A822" t="s">
        <v>960</v>
      </c>
      <c r="B822" s="80" t="str">
        <f>VLOOKUP(A822,policy!B:C,2,0)</f>
        <v>040000185269</v>
      </c>
      <c r="C822" s="46">
        <v>14960</v>
      </c>
      <c r="D822" s="81">
        <f t="shared" si="49"/>
        <v>14960</v>
      </c>
      <c r="E822" s="79" t="s">
        <v>3563</v>
      </c>
      <c r="F822" s="82" t="str">
        <f t="shared" si="48"/>
        <v>insert into ins_premium_det (premium_rcv_code,assorted_code, rec_amount,premium_rcv_detail_code,remaining_amt, payrec, mode_code,coinsurance_code,class_cd,it_remarks) values</v>
      </c>
      <c r="G822" s="83" t="str">
        <f t="shared" si="50"/>
        <v>('29Oct240071','040000185269','14960',(select max(to_number(i.premium_rcv_detail_code))+1
from ins_premium_det i),'14960','14960','02', '11000003','00','Request by Mr. Omair Ali 30-Aug-2024');</v>
      </c>
      <c r="H822" s="84" t="str">
        <f t="shared" si="51"/>
        <v>insert into ins_premium_det (premium_rcv_code,assorted_code, rec_amount,premium_rcv_detail_code,remaining_amt, payrec, mode_code,coinsurance_code,class_cd,it_remarks) values('29Oct240071','040000185269','14960',(select max(to_number(i.premium_rcv_detail_code))+1
from ins_premium_det i),'14960','14960','02', '11000003','00','Request by Mr. Omair Ali 30-Aug-2024');</v>
      </c>
    </row>
    <row r="823" spans="1:8" ht="105" x14ac:dyDescent="0.25">
      <c r="A823" t="s">
        <v>961</v>
      </c>
      <c r="B823" s="80" t="str">
        <f>VLOOKUP(A823,policy!B:C,2,0)</f>
        <v>040000185270</v>
      </c>
      <c r="C823" s="46">
        <v>14960</v>
      </c>
      <c r="D823" s="81">
        <f t="shared" si="49"/>
        <v>14960</v>
      </c>
      <c r="E823" s="79" t="s">
        <v>3563</v>
      </c>
      <c r="F823" s="82" t="str">
        <f t="shared" si="48"/>
        <v>insert into ins_premium_det (premium_rcv_code,assorted_code, rec_amount,premium_rcv_detail_code,remaining_amt, payrec, mode_code,coinsurance_code,class_cd,it_remarks) values</v>
      </c>
      <c r="G823" s="83" t="str">
        <f t="shared" si="50"/>
        <v>('29Oct240071','040000185270','14960',(select max(to_number(i.premium_rcv_detail_code))+1
from ins_premium_det i),'14960','14960','02', '11000003','00','Request by Mr. Omair Ali 30-Aug-2024');</v>
      </c>
      <c r="H823" s="84" t="str">
        <f t="shared" si="51"/>
        <v>insert into ins_premium_det (premium_rcv_code,assorted_code, rec_amount,premium_rcv_detail_code,remaining_amt, payrec, mode_code,coinsurance_code,class_cd,it_remarks) values('29Oct240071','040000185270','14960',(select max(to_number(i.premium_rcv_detail_code))+1
from ins_premium_det i),'14960','14960','02', '11000003','00','Request by Mr. Omair Ali 30-Aug-2024');</v>
      </c>
    </row>
    <row r="824" spans="1:8" ht="105" x14ac:dyDescent="0.25">
      <c r="A824" t="s">
        <v>962</v>
      </c>
      <c r="B824" s="80" t="str">
        <f>VLOOKUP(A824,policy!B:C,2,0)</f>
        <v>040000185271</v>
      </c>
      <c r="C824" s="46">
        <v>16235</v>
      </c>
      <c r="D824" s="81">
        <f t="shared" si="49"/>
        <v>16235</v>
      </c>
      <c r="E824" s="79" t="s">
        <v>3563</v>
      </c>
      <c r="F824" s="82" t="str">
        <f t="shared" si="48"/>
        <v>insert into ins_premium_det (premium_rcv_code,assorted_code, rec_amount,premium_rcv_detail_code,remaining_amt, payrec, mode_code,coinsurance_code,class_cd,it_remarks) values</v>
      </c>
      <c r="G824" s="83" t="str">
        <f t="shared" si="50"/>
        <v>('29Oct240071','040000185271','16235',(select max(to_number(i.premium_rcv_detail_code))+1
from ins_premium_det i),'16235','16235','02', '11000003','00','Request by Mr. Omair Ali 30-Aug-2024');</v>
      </c>
      <c r="H824" s="84" t="str">
        <f t="shared" si="51"/>
        <v>insert into ins_premium_det (premium_rcv_code,assorted_code, rec_amount,premium_rcv_detail_code,remaining_amt, payrec, mode_code,coinsurance_code,class_cd,it_remarks) values('29Oct240071','040000185271','16235',(select max(to_number(i.premium_rcv_detail_code))+1
from ins_premium_det i),'16235','16235','02', '11000003','00','Request by Mr. Omair Ali 30-Aug-2024');</v>
      </c>
    </row>
    <row r="825" spans="1:8" ht="105" x14ac:dyDescent="0.25">
      <c r="A825" t="s">
        <v>963</v>
      </c>
      <c r="B825" s="80" t="str">
        <f>VLOOKUP(A825,policy!B:C,2,0)</f>
        <v>040000185272</v>
      </c>
      <c r="C825" s="46">
        <v>16235</v>
      </c>
      <c r="D825" s="81">
        <f t="shared" si="49"/>
        <v>16235</v>
      </c>
      <c r="E825" s="79" t="s">
        <v>3563</v>
      </c>
      <c r="F825" s="82" t="str">
        <f t="shared" si="48"/>
        <v>insert into ins_premium_det (premium_rcv_code,assorted_code, rec_amount,premium_rcv_detail_code,remaining_amt, payrec, mode_code,coinsurance_code,class_cd,it_remarks) values</v>
      </c>
      <c r="G825" s="83" t="str">
        <f t="shared" si="50"/>
        <v>('29Oct240071','040000185272','16235',(select max(to_number(i.premium_rcv_detail_code))+1
from ins_premium_det i),'16235','16235','02', '11000003','00','Request by Mr. Omair Ali 30-Aug-2024');</v>
      </c>
      <c r="H825" s="84" t="str">
        <f t="shared" si="51"/>
        <v>insert into ins_premium_det (premium_rcv_code,assorted_code, rec_amount,premium_rcv_detail_code,remaining_amt, payrec, mode_code,coinsurance_code,class_cd,it_remarks) values('29Oct240071','040000185272','16235',(select max(to_number(i.premium_rcv_detail_code))+1
from ins_premium_det i),'16235','16235','02', '11000003','00','Request by Mr. Omair Ali 30-Aug-2024');</v>
      </c>
    </row>
    <row r="826" spans="1:8" ht="105" x14ac:dyDescent="0.25">
      <c r="A826" t="s">
        <v>964</v>
      </c>
      <c r="B826" s="80" t="str">
        <f>VLOOKUP(A826,policy!B:C,2,0)</f>
        <v>040000185273</v>
      </c>
      <c r="C826" s="46">
        <v>23248</v>
      </c>
      <c r="D826" s="81">
        <f t="shared" si="49"/>
        <v>23248</v>
      </c>
      <c r="E826" s="79" t="s">
        <v>3563</v>
      </c>
      <c r="F826" s="82" t="str">
        <f t="shared" si="48"/>
        <v>insert into ins_premium_det (premium_rcv_code,assorted_code, rec_amount,premium_rcv_detail_code,remaining_amt, payrec, mode_code,coinsurance_code,class_cd,it_remarks) values</v>
      </c>
      <c r="G826" s="83" t="str">
        <f t="shared" si="50"/>
        <v>('29Oct240071','040000185273','23248',(select max(to_number(i.premium_rcv_detail_code))+1
from ins_premium_det i),'23248','23248','02', '11000003','00','Request by Mr. Omair Ali 30-Aug-2024');</v>
      </c>
      <c r="H826" s="84" t="str">
        <f t="shared" si="51"/>
        <v>insert into ins_premium_det (premium_rcv_code,assorted_code, rec_amount,premium_rcv_detail_code,remaining_amt, payrec, mode_code,coinsurance_code,class_cd,it_remarks) values('29Oct240071','040000185273','23248',(select max(to_number(i.premium_rcv_detail_code))+1
from ins_premium_det i),'23248','23248','02', '11000003','00','Request by Mr. Omair Ali 30-Aug-2024');</v>
      </c>
    </row>
    <row r="827" spans="1:8" ht="105" x14ac:dyDescent="0.25">
      <c r="A827" t="s">
        <v>965</v>
      </c>
      <c r="B827" s="80" t="str">
        <f>VLOOKUP(A827,policy!B:C,2,0)</f>
        <v>040000185274</v>
      </c>
      <c r="C827" s="46">
        <v>23248</v>
      </c>
      <c r="D827" s="81">
        <f t="shared" si="49"/>
        <v>23248</v>
      </c>
      <c r="E827" s="79" t="s">
        <v>3563</v>
      </c>
      <c r="F827" s="82" t="str">
        <f t="shared" si="48"/>
        <v>insert into ins_premium_det (premium_rcv_code,assorted_code, rec_amount,premium_rcv_detail_code,remaining_amt, payrec, mode_code,coinsurance_code,class_cd,it_remarks) values</v>
      </c>
      <c r="G827" s="83" t="str">
        <f t="shared" si="50"/>
        <v>('29Oct240071','040000185274','23248',(select max(to_number(i.premium_rcv_detail_code))+1
from ins_premium_det i),'23248','23248','02', '11000003','00','Request by Mr. Omair Ali 30-Aug-2024');</v>
      </c>
      <c r="H827" s="84" t="str">
        <f t="shared" si="51"/>
        <v>insert into ins_premium_det (premium_rcv_code,assorted_code, rec_amount,premium_rcv_detail_code,remaining_amt, payrec, mode_code,coinsurance_code,class_cd,it_remarks) values('29Oct240071','040000185274','23248',(select max(to_number(i.premium_rcv_detail_code))+1
from ins_premium_det i),'23248','23248','02', '11000003','00','Request by Mr. Omair Ali 30-Aug-2024');</v>
      </c>
    </row>
    <row r="828" spans="1:8" ht="105" x14ac:dyDescent="0.25">
      <c r="A828" t="s">
        <v>966</v>
      </c>
      <c r="B828" s="80" t="str">
        <f>VLOOKUP(A828,policy!B:C,2,0)</f>
        <v>040000185275</v>
      </c>
      <c r="C828" s="46">
        <v>16235</v>
      </c>
      <c r="D828" s="81">
        <f t="shared" si="49"/>
        <v>16235</v>
      </c>
      <c r="E828" s="79" t="s">
        <v>3563</v>
      </c>
      <c r="F828" s="82" t="str">
        <f t="shared" si="48"/>
        <v>insert into ins_premium_det (premium_rcv_code,assorted_code, rec_amount,premium_rcv_detail_code,remaining_amt, payrec, mode_code,coinsurance_code,class_cd,it_remarks) values</v>
      </c>
      <c r="G828" s="83" t="str">
        <f t="shared" si="50"/>
        <v>('29Oct240071','040000185275','16235',(select max(to_number(i.premium_rcv_detail_code))+1
from ins_premium_det i),'16235','16235','02', '11000003','00','Request by Mr. Omair Ali 30-Aug-2024');</v>
      </c>
      <c r="H828" s="84" t="str">
        <f t="shared" si="51"/>
        <v>insert into ins_premium_det (premium_rcv_code,assorted_code, rec_amount,premium_rcv_detail_code,remaining_amt, payrec, mode_code,coinsurance_code,class_cd,it_remarks) values('29Oct240071','040000185275','16235',(select max(to_number(i.premium_rcv_detail_code))+1
from ins_premium_det i),'16235','16235','02', '11000003','00','Request by Mr. Omair Ali 30-Aug-2024');</v>
      </c>
    </row>
    <row r="829" spans="1:8" ht="105" x14ac:dyDescent="0.25">
      <c r="A829" t="s">
        <v>967</v>
      </c>
      <c r="B829" s="80" t="str">
        <f>VLOOKUP(A829,policy!B:C,2,0)</f>
        <v>040000185276</v>
      </c>
      <c r="C829" s="46">
        <v>16235</v>
      </c>
      <c r="D829" s="81">
        <f t="shared" si="49"/>
        <v>16235</v>
      </c>
      <c r="E829" s="79" t="s">
        <v>3563</v>
      </c>
      <c r="F829" s="82" t="str">
        <f t="shared" si="48"/>
        <v>insert into ins_premium_det (premium_rcv_code,assorted_code, rec_amount,premium_rcv_detail_code,remaining_amt, payrec, mode_code,coinsurance_code,class_cd,it_remarks) values</v>
      </c>
      <c r="G829" s="83" t="str">
        <f t="shared" si="50"/>
        <v>('29Oct240071','040000185276','16235',(select max(to_number(i.premium_rcv_detail_code))+1
from ins_premium_det i),'16235','16235','02', '11000003','00','Request by Mr. Omair Ali 30-Aug-2024');</v>
      </c>
      <c r="H829" s="84" t="str">
        <f t="shared" si="51"/>
        <v>insert into ins_premium_det (premium_rcv_code,assorted_code, rec_amount,premium_rcv_detail_code,remaining_amt, payrec, mode_code,coinsurance_code,class_cd,it_remarks) values('29Oct240071','040000185276','16235',(select max(to_number(i.premium_rcv_detail_code))+1
from ins_premium_det i),'16235','16235','02', '11000003','00','Request by Mr. Omair Ali 30-Aug-2024');</v>
      </c>
    </row>
    <row r="830" spans="1:8" ht="105" x14ac:dyDescent="0.25">
      <c r="A830" t="s">
        <v>968</v>
      </c>
      <c r="B830" s="80" t="str">
        <f>VLOOKUP(A830,policy!B:C,2,0)</f>
        <v>040000185277</v>
      </c>
      <c r="C830" s="46">
        <v>16235</v>
      </c>
      <c r="D830" s="81">
        <f t="shared" si="49"/>
        <v>16235</v>
      </c>
      <c r="E830" s="79" t="s">
        <v>3563</v>
      </c>
      <c r="F830" s="82" t="str">
        <f t="shared" si="48"/>
        <v>insert into ins_premium_det (premium_rcv_code,assorted_code, rec_amount,premium_rcv_detail_code,remaining_amt, payrec, mode_code,coinsurance_code,class_cd,it_remarks) values</v>
      </c>
      <c r="G830" s="83" t="str">
        <f t="shared" si="50"/>
        <v>('29Oct240071','040000185277','16235',(select max(to_number(i.premium_rcv_detail_code))+1
from ins_premium_det i),'16235','16235','02', '11000003','00','Request by Mr. Omair Ali 30-Aug-2024');</v>
      </c>
      <c r="H830" s="84" t="str">
        <f t="shared" si="51"/>
        <v>insert into ins_premium_det (premium_rcv_code,assorted_code, rec_amount,premium_rcv_detail_code,remaining_amt, payrec, mode_code,coinsurance_code,class_cd,it_remarks) values('29Oct240071','040000185277','16235',(select max(to_number(i.premium_rcv_detail_code))+1
from ins_premium_det i),'16235','16235','02', '11000003','00','Request by Mr. Omair Ali 30-Aug-2024');</v>
      </c>
    </row>
    <row r="831" spans="1:8" ht="105" x14ac:dyDescent="0.25">
      <c r="A831" t="s">
        <v>969</v>
      </c>
      <c r="B831" s="80" t="str">
        <f>VLOOKUP(A831,policy!B:C,2,0)</f>
        <v>040000185278</v>
      </c>
      <c r="C831" s="46">
        <v>16235</v>
      </c>
      <c r="D831" s="81">
        <f t="shared" si="49"/>
        <v>16235</v>
      </c>
      <c r="E831" s="79" t="s">
        <v>3563</v>
      </c>
      <c r="F831" s="82" t="str">
        <f t="shared" si="48"/>
        <v>insert into ins_premium_det (premium_rcv_code,assorted_code, rec_amount,premium_rcv_detail_code,remaining_amt, payrec, mode_code,coinsurance_code,class_cd,it_remarks) values</v>
      </c>
      <c r="G831" s="83" t="str">
        <f t="shared" si="50"/>
        <v>('29Oct240071','040000185278','16235',(select max(to_number(i.premium_rcv_detail_code))+1
from ins_premium_det i),'16235','16235','02', '11000003','00','Request by Mr. Omair Ali 30-Aug-2024');</v>
      </c>
      <c r="H831" s="84" t="str">
        <f t="shared" si="51"/>
        <v>insert into ins_premium_det (premium_rcv_code,assorted_code, rec_amount,premium_rcv_detail_code,remaining_amt, payrec, mode_code,coinsurance_code,class_cd,it_remarks) values('29Oct240071','040000185278','16235',(select max(to_number(i.premium_rcv_detail_code))+1
from ins_premium_det i),'16235','16235','02', '11000003','00','Request by Mr. Omair Ali 30-Aug-2024');</v>
      </c>
    </row>
    <row r="832" spans="1:8" ht="105" x14ac:dyDescent="0.25">
      <c r="A832" t="s">
        <v>970</v>
      </c>
      <c r="B832" s="80" t="str">
        <f>VLOOKUP(A832,policy!B:C,2,0)</f>
        <v>040000185279</v>
      </c>
      <c r="C832" s="46">
        <v>14960</v>
      </c>
      <c r="D832" s="81">
        <f t="shared" si="49"/>
        <v>14960</v>
      </c>
      <c r="E832" s="79" t="s">
        <v>3563</v>
      </c>
      <c r="F832" s="82" t="str">
        <f t="shared" si="48"/>
        <v>insert into ins_premium_det (premium_rcv_code,assorted_code, rec_amount,premium_rcv_detail_code,remaining_amt, payrec, mode_code,coinsurance_code,class_cd,it_remarks) values</v>
      </c>
      <c r="G832" s="83" t="str">
        <f t="shared" si="50"/>
        <v>('29Oct240071','040000185279','14960',(select max(to_number(i.premium_rcv_detail_code))+1
from ins_premium_det i),'14960','14960','02', '11000003','00','Request by Mr. Omair Ali 30-Aug-2024');</v>
      </c>
      <c r="H832" s="84" t="str">
        <f t="shared" si="51"/>
        <v>insert into ins_premium_det (premium_rcv_code,assorted_code, rec_amount,premium_rcv_detail_code,remaining_amt, payrec, mode_code,coinsurance_code,class_cd,it_remarks) values('29Oct240071','040000185279','14960',(select max(to_number(i.premium_rcv_detail_code))+1
from ins_premium_det i),'14960','14960','02', '11000003','00','Request by Mr. Omair Ali 30-Aug-2024');</v>
      </c>
    </row>
    <row r="833" spans="1:8" ht="105" x14ac:dyDescent="0.25">
      <c r="A833" t="s">
        <v>971</v>
      </c>
      <c r="B833" s="80" t="str">
        <f>VLOOKUP(A833,policy!B:C,2,0)</f>
        <v>040000185303</v>
      </c>
      <c r="C833" s="46">
        <v>14960</v>
      </c>
      <c r="D833" s="81">
        <f t="shared" si="49"/>
        <v>14960</v>
      </c>
      <c r="E833" s="79" t="s">
        <v>3563</v>
      </c>
      <c r="F833" s="82" t="str">
        <f t="shared" si="48"/>
        <v>insert into ins_premium_det (premium_rcv_code,assorted_code, rec_amount,premium_rcv_detail_code,remaining_amt, payrec, mode_code,coinsurance_code,class_cd,it_remarks) values</v>
      </c>
      <c r="G833" s="83" t="str">
        <f t="shared" si="50"/>
        <v>('29Oct240071','040000185303','14960',(select max(to_number(i.premium_rcv_detail_code))+1
from ins_premium_det i),'14960','14960','02', '11000003','00','Request by Mr. Omair Ali 30-Aug-2024');</v>
      </c>
      <c r="H833" s="84" t="str">
        <f t="shared" si="51"/>
        <v>insert into ins_premium_det (premium_rcv_code,assorted_code, rec_amount,premium_rcv_detail_code,remaining_amt, payrec, mode_code,coinsurance_code,class_cd,it_remarks) values('29Oct240071','040000185303','14960',(select max(to_number(i.premium_rcv_detail_code))+1
from ins_premium_det i),'14960','14960','02', '11000003','00','Request by Mr. Omair Ali 30-Aug-2024');</v>
      </c>
    </row>
    <row r="834" spans="1:8" ht="105" x14ac:dyDescent="0.25">
      <c r="A834" t="s">
        <v>972</v>
      </c>
      <c r="B834" s="80" t="str">
        <f>VLOOKUP(A834,policy!B:C,2,0)</f>
        <v>040000185304</v>
      </c>
      <c r="C834" s="46">
        <v>14960</v>
      </c>
      <c r="D834" s="81">
        <f t="shared" si="49"/>
        <v>14960</v>
      </c>
      <c r="E834" s="79" t="s">
        <v>3563</v>
      </c>
      <c r="F834" s="82" t="str">
        <f t="shared" ref="F834:F897" si="5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34" s="83" t="str">
        <f t="shared" si="50"/>
        <v>('29Oct240071','040000185304','14960',(select max(to_number(i.premium_rcv_detail_code))+1
from ins_premium_det i),'14960','14960','02', '11000003','00','Request by Mr. Omair Ali 30-Aug-2024');</v>
      </c>
      <c r="H834" s="84" t="str">
        <f t="shared" si="51"/>
        <v>insert into ins_premium_det (premium_rcv_code,assorted_code, rec_amount,premium_rcv_detail_code,remaining_amt, payrec, mode_code,coinsurance_code,class_cd,it_remarks) values('29Oct240071','040000185304','14960',(select max(to_number(i.premium_rcv_detail_code))+1
from ins_premium_det i),'14960','14960','02', '11000003','00','Request by Mr. Omair Ali 30-Aug-2024');</v>
      </c>
    </row>
    <row r="835" spans="1:8" ht="105" x14ac:dyDescent="0.25">
      <c r="A835" t="s">
        <v>973</v>
      </c>
      <c r="B835" s="80" t="str">
        <f>VLOOKUP(A835,policy!B:C,2,0)</f>
        <v>040000185319</v>
      </c>
      <c r="C835" s="46">
        <v>8800</v>
      </c>
      <c r="D835" s="81">
        <f t="shared" ref="D835:D898" si="53">ROUND(C835,0)</f>
        <v>8800</v>
      </c>
      <c r="E835" s="79" t="s">
        <v>3563</v>
      </c>
      <c r="F835" s="82" t="str">
        <f t="shared" si="52"/>
        <v>insert into ins_premium_det (premium_rcv_code,assorted_code, rec_amount,premium_rcv_detail_code,remaining_amt, payrec, mode_code,coinsurance_code,class_cd,it_remarks) values</v>
      </c>
      <c r="G835" s="83" t="str">
        <f t="shared" ref="G835:G898" si="54">"('"&amp;E835&amp;"','"&amp;B835&amp;"','"&amp;D835&amp;"',(select max(to_number(i.premium_rcv_detail_code))+1
from ins_premium_det i),'"&amp;D835&amp;"','"&amp;D835&amp;"','02', '11000003','00','Request by Mr. Omair Ali 30-Aug-2024');"</f>
        <v>('29Oct240071','040000185319','8800',(select max(to_number(i.premium_rcv_detail_code))+1
from ins_premium_det i),'8800','8800','02', '11000003','00','Request by Mr. Omair Ali 30-Aug-2024');</v>
      </c>
      <c r="H835" s="84" t="str">
        <f t="shared" ref="H835:H898" si="55">F835&amp;G835</f>
        <v>insert into ins_premium_det (premium_rcv_code,assorted_code, rec_amount,premium_rcv_detail_code,remaining_amt, payrec, mode_code,coinsurance_code,class_cd,it_remarks) values('29Oct240071','040000185319','8800',(select max(to_number(i.premium_rcv_detail_code))+1
from ins_premium_det i),'8800','8800','02', '11000003','00','Request by Mr. Omair Ali 30-Aug-2024');</v>
      </c>
    </row>
    <row r="836" spans="1:8" ht="105" x14ac:dyDescent="0.25">
      <c r="A836" t="s">
        <v>974</v>
      </c>
      <c r="B836" s="80" t="str">
        <f>VLOOKUP(A836,policy!B:C,2,0)</f>
        <v>040000185321</v>
      </c>
      <c r="C836" s="46">
        <v>9550</v>
      </c>
      <c r="D836" s="81">
        <f t="shared" si="53"/>
        <v>9550</v>
      </c>
      <c r="E836" s="79" t="s">
        <v>3563</v>
      </c>
      <c r="F836" s="82" t="str">
        <f t="shared" si="52"/>
        <v>insert into ins_premium_det (premium_rcv_code,assorted_code, rec_amount,premium_rcv_detail_code,remaining_amt, payrec, mode_code,coinsurance_code,class_cd,it_remarks) values</v>
      </c>
      <c r="G836" s="83" t="str">
        <f t="shared" si="54"/>
        <v>('29Oct240071','040000185321','9550',(select max(to_number(i.premium_rcv_detail_code))+1
from ins_premium_det i),'9550','9550','02', '11000003','00','Request by Mr. Omair Ali 30-Aug-2024');</v>
      </c>
      <c r="H836" s="84" t="str">
        <f t="shared" si="55"/>
        <v>insert into ins_premium_det (premium_rcv_code,assorted_code, rec_amount,premium_rcv_detail_code,remaining_amt, payrec, mode_code,coinsurance_code,class_cd,it_remarks) values('29Oct240071','040000185321','9550',(select max(to_number(i.premium_rcv_detail_code))+1
from ins_premium_det i),'9550','9550','02', '11000003','00','Request by Mr. Omair Ali 30-Aug-2024');</v>
      </c>
    </row>
    <row r="837" spans="1:8" ht="105" x14ac:dyDescent="0.25">
      <c r="A837" t="s">
        <v>975</v>
      </c>
      <c r="B837" s="80" t="str">
        <f>VLOOKUP(A837,policy!B:C,2,0)</f>
        <v>040000185323</v>
      </c>
      <c r="C837" s="46">
        <v>9550</v>
      </c>
      <c r="D837" s="81">
        <f t="shared" si="53"/>
        <v>9550</v>
      </c>
      <c r="E837" s="79" t="s">
        <v>3563</v>
      </c>
      <c r="F837" s="82" t="str">
        <f t="shared" si="52"/>
        <v>insert into ins_premium_det (premium_rcv_code,assorted_code, rec_amount,premium_rcv_detail_code,remaining_amt, payrec, mode_code,coinsurance_code,class_cd,it_remarks) values</v>
      </c>
      <c r="G837" s="83" t="str">
        <f t="shared" si="54"/>
        <v>('29Oct240071','040000185323','9550',(select max(to_number(i.premium_rcv_detail_code))+1
from ins_premium_det i),'9550','9550','02', '11000003','00','Request by Mr. Omair Ali 30-Aug-2024');</v>
      </c>
      <c r="H837" s="84" t="str">
        <f t="shared" si="55"/>
        <v>insert into ins_premium_det (premium_rcv_code,assorted_code, rec_amount,premium_rcv_detail_code,remaining_amt, payrec, mode_code,coinsurance_code,class_cd,it_remarks) values('29Oct240071','040000185323','9550',(select max(to_number(i.premium_rcv_detail_code))+1
from ins_premium_det i),'9550','9550','02', '11000003','00','Request by Mr. Omair Ali 30-Aug-2024');</v>
      </c>
    </row>
    <row r="838" spans="1:8" ht="105" x14ac:dyDescent="0.25">
      <c r="A838" t="s">
        <v>976</v>
      </c>
      <c r="B838" s="80" t="str">
        <f>VLOOKUP(A838,policy!B:C,2,0)</f>
        <v>040000185324</v>
      </c>
      <c r="C838" s="46">
        <v>14960</v>
      </c>
      <c r="D838" s="81">
        <f t="shared" si="53"/>
        <v>14960</v>
      </c>
      <c r="E838" s="79" t="s">
        <v>3563</v>
      </c>
      <c r="F838" s="82" t="str">
        <f t="shared" si="52"/>
        <v>insert into ins_premium_det (premium_rcv_code,assorted_code, rec_amount,premium_rcv_detail_code,remaining_amt, payrec, mode_code,coinsurance_code,class_cd,it_remarks) values</v>
      </c>
      <c r="G838" s="83" t="str">
        <f t="shared" si="54"/>
        <v>('29Oct240071','040000185324','14960',(select max(to_number(i.premium_rcv_detail_code))+1
from ins_premium_det i),'14960','14960','02', '11000003','00','Request by Mr. Omair Ali 30-Aug-2024');</v>
      </c>
      <c r="H838" s="84" t="str">
        <f t="shared" si="55"/>
        <v>insert into ins_premium_det (premium_rcv_code,assorted_code, rec_amount,premium_rcv_detail_code,remaining_amt, payrec, mode_code,coinsurance_code,class_cd,it_remarks) values('29Oct240071','040000185324','14960',(select max(to_number(i.premium_rcv_detail_code))+1
from ins_premium_det i),'14960','14960','02', '11000003','00','Request by Mr. Omair Ali 30-Aug-2024');</v>
      </c>
    </row>
    <row r="839" spans="1:8" ht="105" x14ac:dyDescent="0.25">
      <c r="A839" t="s">
        <v>977</v>
      </c>
      <c r="B839" s="80" t="str">
        <f>VLOOKUP(A839,policy!B:C,2,0)</f>
        <v>040000185326</v>
      </c>
      <c r="C839" s="46">
        <v>8800</v>
      </c>
      <c r="D839" s="81">
        <f t="shared" si="53"/>
        <v>8800</v>
      </c>
      <c r="E839" s="79" t="s">
        <v>3563</v>
      </c>
      <c r="F839" s="82" t="str">
        <f t="shared" si="52"/>
        <v>insert into ins_premium_det (premium_rcv_code,assorted_code, rec_amount,premium_rcv_detail_code,remaining_amt, payrec, mode_code,coinsurance_code,class_cd,it_remarks) values</v>
      </c>
      <c r="G839" s="83" t="str">
        <f t="shared" si="54"/>
        <v>('29Oct240071','040000185326','8800',(select max(to_number(i.premium_rcv_detail_code))+1
from ins_premium_det i),'8800','8800','02', '11000003','00','Request by Mr. Omair Ali 30-Aug-2024');</v>
      </c>
      <c r="H839" s="84" t="str">
        <f t="shared" si="55"/>
        <v>insert into ins_premium_det (premium_rcv_code,assorted_code, rec_amount,premium_rcv_detail_code,remaining_amt, payrec, mode_code,coinsurance_code,class_cd,it_remarks) values('29Oct240071','040000185326','8800',(select max(to_number(i.premium_rcv_detail_code))+1
from ins_premium_det i),'8800','8800','02', '11000003','00','Request by Mr. Omair Ali 30-Aug-2024');</v>
      </c>
    </row>
    <row r="840" spans="1:8" ht="105" x14ac:dyDescent="0.25">
      <c r="A840" t="s">
        <v>978</v>
      </c>
      <c r="B840" s="80" t="str">
        <f>VLOOKUP(A840,policy!B:C,2,0)</f>
        <v>040000185327</v>
      </c>
      <c r="C840" s="46">
        <v>21208</v>
      </c>
      <c r="D840" s="81">
        <f t="shared" si="53"/>
        <v>21208</v>
      </c>
      <c r="E840" s="79" t="s">
        <v>3563</v>
      </c>
      <c r="F840" s="82" t="str">
        <f t="shared" si="52"/>
        <v>insert into ins_premium_det (premium_rcv_code,assorted_code, rec_amount,premium_rcv_detail_code,remaining_amt, payrec, mode_code,coinsurance_code,class_cd,it_remarks) values</v>
      </c>
      <c r="G840" s="83" t="str">
        <f t="shared" si="54"/>
        <v>('29Oct240071','040000185327','21208',(select max(to_number(i.premium_rcv_detail_code))+1
from ins_premium_det i),'21208','21208','02', '11000003','00','Request by Mr. Omair Ali 30-Aug-2024');</v>
      </c>
      <c r="H840" s="84" t="str">
        <f t="shared" si="55"/>
        <v>insert into ins_premium_det (premium_rcv_code,assorted_code, rec_amount,premium_rcv_detail_code,remaining_amt, payrec, mode_code,coinsurance_code,class_cd,it_remarks) values('29Oct240071','040000185327','21208',(select max(to_number(i.premium_rcv_detail_code))+1
from ins_premium_det i),'21208','21208','02', '11000003','00','Request by Mr. Omair Ali 30-Aug-2024');</v>
      </c>
    </row>
    <row r="841" spans="1:8" ht="105" x14ac:dyDescent="0.25">
      <c r="A841" t="s">
        <v>979</v>
      </c>
      <c r="B841" s="80" t="str">
        <f>VLOOKUP(A841,policy!B:C,2,0)</f>
        <v>040000185328</v>
      </c>
      <c r="C841" s="46">
        <v>21208</v>
      </c>
      <c r="D841" s="81">
        <f t="shared" si="53"/>
        <v>21208</v>
      </c>
      <c r="E841" s="79" t="s">
        <v>3563</v>
      </c>
      <c r="F841" s="82" t="str">
        <f t="shared" si="52"/>
        <v>insert into ins_premium_det (premium_rcv_code,assorted_code, rec_amount,premium_rcv_detail_code,remaining_amt, payrec, mode_code,coinsurance_code,class_cd,it_remarks) values</v>
      </c>
      <c r="G841" s="83" t="str">
        <f t="shared" si="54"/>
        <v>('29Oct240071','040000185328','21208',(select max(to_number(i.premium_rcv_detail_code))+1
from ins_premium_det i),'21208','21208','02', '11000003','00','Request by Mr. Omair Ali 30-Aug-2024');</v>
      </c>
      <c r="H841" s="84" t="str">
        <f t="shared" si="55"/>
        <v>insert into ins_premium_det (premium_rcv_code,assorted_code, rec_amount,premium_rcv_detail_code,remaining_amt, payrec, mode_code,coinsurance_code,class_cd,it_remarks) values('29Oct240071','040000185328','21208',(select max(to_number(i.premium_rcv_detail_code))+1
from ins_premium_det i),'21208','21208','02', '11000003','00','Request by Mr. Omair Ali 30-Aug-2024');</v>
      </c>
    </row>
    <row r="842" spans="1:8" ht="105" x14ac:dyDescent="0.25">
      <c r="A842" t="s">
        <v>980</v>
      </c>
      <c r="B842" s="80" t="str">
        <f>VLOOKUP(A842,policy!B:C,2,0)</f>
        <v>040000185329</v>
      </c>
      <c r="C842" s="46">
        <v>8800</v>
      </c>
      <c r="D842" s="81">
        <f t="shared" si="53"/>
        <v>8800</v>
      </c>
      <c r="E842" s="79" t="s">
        <v>3563</v>
      </c>
      <c r="F842" s="82" t="str">
        <f t="shared" si="52"/>
        <v>insert into ins_premium_det (premium_rcv_code,assorted_code, rec_amount,premium_rcv_detail_code,remaining_amt, payrec, mode_code,coinsurance_code,class_cd,it_remarks) values</v>
      </c>
      <c r="G842" s="83" t="str">
        <f t="shared" si="54"/>
        <v>('29Oct240071','040000185329','8800',(select max(to_number(i.premium_rcv_detail_code))+1
from ins_premium_det i),'8800','8800','02', '11000003','00','Request by Mr. Omair Ali 30-Aug-2024');</v>
      </c>
      <c r="H842" s="84" t="str">
        <f t="shared" si="55"/>
        <v>insert into ins_premium_det (premium_rcv_code,assorted_code, rec_amount,premium_rcv_detail_code,remaining_amt, payrec, mode_code,coinsurance_code,class_cd,it_remarks) values('29Oct240071','040000185329','8800',(select max(to_number(i.premium_rcv_detail_code))+1
from ins_premium_det i),'8800','8800','02', '11000003','00','Request by Mr. Omair Ali 30-Aug-2024');</v>
      </c>
    </row>
    <row r="843" spans="1:8" ht="105" x14ac:dyDescent="0.25">
      <c r="A843" t="s">
        <v>981</v>
      </c>
      <c r="B843" s="80" t="str">
        <f>VLOOKUP(A843,policy!B:C,2,0)</f>
        <v>040000185330</v>
      </c>
      <c r="C843" s="46">
        <v>16235</v>
      </c>
      <c r="D843" s="81">
        <f t="shared" si="53"/>
        <v>16235</v>
      </c>
      <c r="E843" s="79" t="s">
        <v>3563</v>
      </c>
      <c r="F843" s="82" t="str">
        <f t="shared" si="52"/>
        <v>insert into ins_premium_det (premium_rcv_code,assorted_code, rec_amount,premium_rcv_detail_code,remaining_amt, payrec, mode_code,coinsurance_code,class_cd,it_remarks) values</v>
      </c>
      <c r="G843" s="83" t="str">
        <f t="shared" si="54"/>
        <v>('29Oct240071','040000185330','16235',(select max(to_number(i.premium_rcv_detail_code))+1
from ins_premium_det i),'16235','16235','02', '11000003','00','Request by Mr. Omair Ali 30-Aug-2024');</v>
      </c>
      <c r="H843" s="84" t="str">
        <f t="shared" si="55"/>
        <v>insert into ins_premium_det (premium_rcv_code,assorted_code, rec_amount,premium_rcv_detail_code,remaining_amt, payrec, mode_code,coinsurance_code,class_cd,it_remarks) values('29Oct240071','040000185330','16235',(select max(to_number(i.premium_rcv_detail_code))+1
from ins_premium_det i),'16235','16235','02', '11000003','00','Request by Mr. Omair Ali 30-Aug-2024');</v>
      </c>
    </row>
    <row r="844" spans="1:8" ht="105" x14ac:dyDescent="0.25">
      <c r="A844" t="s">
        <v>982</v>
      </c>
      <c r="B844" s="80" t="str">
        <f>VLOOKUP(A844,policy!B:C,2,0)</f>
        <v>040000185331</v>
      </c>
      <c r="C844" s="46">
        <v>16235</v>
      </c>
      <c r="D844" s="81">
        <f t="shared" si="53"/>
        <v>16235</v>
      </c>
      <c r="E844" s="79" t="s">
        <v>3563</v>
      </c>
      <c r="F844" s="82" t="str">
        <f t="shared" si="52"/>
        <v>insert into ins_premium_det (premium_rcv_code,assorted_code, rec_amount,premium_rcv_detail_code,remaining_amt, payrec, mode_code,coinsurance_code,class_cd,it_remarks) values</v>
      </c>
      <c r="G844" s="83" t="str">
        <f t="shared" si="54"/>
        <v>('29Oct240071','040000185331','16235',(select max(to_number(i.premium_rcv_detail_code))+1
from ins_premium_det i),'16235','16235','02', '11000003','00','Request by Mr. Omair Ali 30-Aug-2024');</v>
      </c>
      <c r="H844" s="84" t="str">
        <f t="shared" si="55"/>
        <v>insert into ins_premium_det (premium_rcv_code,assorted_code, rec_amount,premium_rcv_detail_code,remaining_amt, payrec, mode_code,coinsurance_code,class_cd,it_remarks) values('29Oct240071','040000185331','16235',(select max(to_number(i.premium_rcv_detail_code))+1
from ins_premium_det i),'16235','16235','02', '11000003','00','Request by Mr. Omair Ali 30-Aug-2024');</v>
      </c>
    </row>
    <row r="845" spans="1:8" ht="105" x14ac:dyDescent="0.25">
      <c r="A845" t="s">
        <v>983</v>
      </c>
      <c r="B845" s="80" t="str">
        <f>VLOOKUP(A845,policy!B:C,2,0)</f>
        <v>040000185332</v>
      </c>
      <c r="C845" s="46">
        <v>16235</v>
      </c>
      <c r="D845" s="81">
        <f t="shared" si="53"/>
        <v>16235</v>
      </c>
      <c r="E845" s="79" t="s">
        <v>3563</v>
      </c>
      <c r="F845" s="82" t="str">
        <f t="shared" si="52"/>
        <v>insert into ins_premium_det (premium_rcv_code,assorted_code, rec_amount,premium_rcv_detail_code,remaining_amt, payrec, mode_code,coinsurance_code,class_cd,it_remarks) values</v>
      </c>
      <c r="G845" s="83" t="str">
        <f t="shared" si="54"/>
        <v>('29Oct240071','040000185332','16235',(select max(to_number(i.premium_rcv_detail_code))+1
from ins_premium_det i),'16235','16235','02', '11000003','00','Request by Mr. Omair Ali 30-Aug-2024');</v>
      </c>
      <c r="H845" s="84" t="str">
        <f t="shared" si="55"/>
        <v>insert into ins_premium_det (premium_rcv_code,assorted_code, rec_amount,premium_rcv_detail_code,remaining_amt, payrec, mode_code,coinsurance_code,class_cd,it_remarks) values('29Oct240071','040000185332','16235',(select max(to_number(i.premium_rcv_detail_code))+1
from ins_premium_det i),'16235','16235','02', '11000003','00','Request by Mr. Omair Ali 30-Aug-2024');</v>
      </c>
    </row>
    <row r="846" spans="1:8" ht="105" x14ac:dyDescent="0.25">
      <c r="A846" t="s">
        <v>984</v>
      </c>
      <c r="B846" s="80" t="str">
        <f>VLOOKUP(A846,policy!B:C,2,0)</f>
        <v>040000185333</v>
      </c>
      <c r="C846" s="46">
        <v>16235</v>
      </c>
      <c r="D846" s="81">
        <f t="shared" si="53"/>
        <v>16235</v>
      </c>
      <c r="E846" s="79" t="s">
        <v>3563</v>
      </c>
      <c r="F846" s="82" t="str">
        <f t="shared" si="52"/>
        <v>insert into ins_premium_det (premium_rcv_code,assorted_code, rec_amount,premium_rcv_detail_code,remaining_amt, payrec, mode_code,coinsurance_code,class_cd,it_remarks) values</v>
      </c>
      <c r="G846" s="83" t="str">
        <f t="shared" si="54"/>
        <v>('29Oct240071','040000185333','16235',(select max(to_number(i.premium_rcv_detail_code))+1
from ins_premium_det i),'16235','16235','02', '11000003','00','Request by Mr. Omair Ali 30-Aug-2024');</v>
      </c>
      <c r="H846" s="84" t="str">
        <f t="shared" si="55"/>
        <v>insert into ins_premium_det (premium_rcv_code,assorted_code, rec_amount,premium_rcv_detail_code,remaining_amt, payrec, mode_code,coinsurance_code,class_cd,it_remarks) values('29Oct240071','040000185333','16235',(select max(to_number(i.premium_rcv_detail_code))+1
from ins_premium_det i),'16235','16235','02', '11000003','00','Request by Mr. Omair Ali 30-Aug-2024');</v>
      </c>
    </row>
    <row r="847" spans="1:8" ht="105" x14ac:dyDescent="0.25">
      <c r="A847" t="s">
        <v>985</v>
      </c>
      <c r="B847" s="80" t="str">
        <f>VLOOKUP(A847,policy!B:C,2,0)</f>
        <v>040000185334</v>
      </c>
      <c r="C847" s="46">
        <v>16235</v>
      </c>
      <c r="D847" s="81">
        <f t="shared" si="53"/>
        <v>16235</v>
      </c>
      <c r="E847" s="79" t="s">
        <v>3563</v>
      </c>
      <c r="F847" s="82" t="str">
        <f t="shared" si="52"/>
        <v>insert into ins_premium_det (premium_rcv_code,assorted_code, rec_amount,premium_rcv_detail_code,remaining_amt, payrec, mode_code,coinsurance_code,class_cd,it_remarks) values</v>
      </c>
      <c r="G847" s="83" t="str">
        <f t="shared" si="54"/>
        <v>('29Oct240071','040000185334','16235',(select max(to_number(i.premium_rcv_detail_code))+1
from ins_premium_det i),'16235','16235','02', '11000003','00','Request by Mr. Omair Ali 30-Aug-2024');</v>
      </c>
      <c r="H847" s="84" t="str">
        <f t="shared" si="55"/>
        <v>insert into ins_premium_det (premium_rcv_code,assorted_code, rec_amount,premium_rcv_detail_code,remaining_amt, payrec, mode_code,coinsurance_code,class_cd,it_remarks) values('29Oct240071','040000185334','16235',(select max(to_number(i.premium_rcv_detail_code))+1
from ins_premium_det i),'16235','16235','02', '11000003','00','Request by Mr. Omair Ali 30-Aug-2024');</v>
      </c>
    </row>
    <row r="848" spans="1:8" ht="105" x14ac:dyDescent="0.25">
      <c r="A848" t="s">
        <v>986</v>
      </c>
      <c r="B848" s="80" t="str">
        <f>VLOOKUP(A848,policy!B:C,2,0)</f>
        <v>040000185335</v>
      </c>
      <c r="C848" s="46">
        <v>16235</v>
      </c>
      <c r="D848" s="81">
        <f t="shared" si="53"/>
        <v>16235</v>
      </c>
      <c r="E848" s="79" t="s">
        <v>3563</v>
      </c>
      <c r="F848" s="82" t="str">
        <f t="shared" si="52"/>
        <v>insert into ins_premium_det (premium_rcv_code,assorted_code, rec_amount,premium_rcv_detail_code,remaining_amt, payrec, mode_code,coinsurance_code,class_cd,it_remarks) values</v>
      </c>
      <c r="G848" s="83" t="str">
        <f t="shared" si="54"/>
        <v>('29Oct240071','040000185335','16235',(select max(to_number(i.premium_rcv_detail_code))+1
from ins_premium_det i),'16235','16235','02', '11000003','00','Request by Mr. Omair Ali 30-Aug-2024');</v>
      </c>
      <c r="H848" s="84" t="str">
        <f t="shared" si="55"/>
        <v>insert into ins_premium_det (premium_rcv_code,assorted_code, rec_amount,premium_rcv_detail_code,remaining_amt, payrec, mode_code,coinsurance_code,class_cd,it_remarks) values('29Oct240071','040000185335','16235',(select max(to_number(i.premium_rcv_detail_code))+1
from ins_premium_det i),'16235','16235','02', '11000003','00','Request by Mr. Omair Ali 30-Aug-2024');</v>
      </c>
    </row>
    <row r="849" spans="1:8" ht="105" x14ac:dyDescent="0.25">
      <c r="A849" t="s">
        <v>987</v>
      </c>
      <c r="B849" s="80" t="str">
        <f>VLOOKUP(A849,policy!B:C,2,0)</f>
        <v>040000185336</v>
      </c>
      <c r="C849" s="46">
        <v>16235</v>
      </c>
      <c r="D849" s="81">
        <f t="shared" si="53"/>
        <v>16235</v>
      </c>
      <c r="E849" s="79" t="s">
        <v>3563</v>
      </c>
      <c r="F849" s="82" t="str">
        <f t="shared" si="52"/>
        <v>insert into ins_premium_det (premium_rcv_code,assorted_code, rec_amount,premium_rcv_detail_code,remaining_amt, payrec, mode_code,coinsurance_code,class_cd,it_remarks) values</v>
      </c>
      <c r="G849" s="83" t="str">
        <f t="shared" si="54"/>
        <v>('29Oct240071','040000185336','16235',(select max(to_number(i.premium_rcv_detail_code))+1
from ins_premium_det i),'16235','16235','02', '11000003','00','Request by Mr. Omair Ali 30-Aug-2024');</v>
      </c>
      <c r="H849" s="84" t="str">
        <f t="shared" si="55"/>
        <v>insert into ins_premium_det (premium_rcv_code,assorted_code, rec_amount,premium_rcv_detail_code,remaining_amt, payrec, mode_code,coinsurance_code,class_cd,it_remarks) values('29Oct240071','040000185336','16235',(select max(to_number(i.premium_rcv_detail_code))+1
from ins_premium_det i),'16235','16235','02', '11000003','00','Request by Mr. Omair Ali 30-Aug-2024');</v>
      </c>
    </row>
    <row r="850" spans="1:8" ht="105" x14ac:dyDescent="0.25">
      <c r="A850" t="s">
        <v>988</v>
      </c>
      <c r="B850" s="80" t="str">
        <f>VLOOKUP(A850,policy!B:C,2,0)</f>
        <v>040000185337</v>
      </c>
      <c r="C850" s="46">
        <v>8800</v>
      </c>
      <c r="D850" s="81">
        <f t="shared" si="53"/>
        <v>8800</v>
      </c>
      <c r="E850" s="79" t="s">
        <v>3563</v>
      </c>
      <c r="F850" s="82" t="str">
        <f t="shared" si="52"/>
        <v>insert into ins_premium_det (premium_rcv_code,assorted_code, rec_amount,premium_rcv_detail_code,remaining_amt, payrec, mode_code,coinsurance_code,class_cd,it_remarks) values</v>
      </c>
      <c r="G850" s="83" t="str">
        <f t="shared" si="54"/>
        <v>('29Oct240071','040000185337','8800',(select max(to_number(i.premium_rcv_detail_code))+1
from ins_premium_det i),'8800','8800','02', '11000003','00','Request by Mr. Omair Ali 30-Aug-2024');</v>
      </c>
      <c r="H850" s="84" t="str">
        <f t="shared" si="55"/>
        <v>insert into ins_premium_det (premium_rcv_code,assorted_code, rec_amount,premium_rcv_detail_code,remaining_amt, payrec, mode_code,coinsurance_code,class_cd,it_remarks) values('29Oct240071','040000185337','8800',(select max(to_number(i.premium_rcv_detail_code))+1
from ins_premium_det i),'8800','8800','02', '11000003','00','Request by Mr. Omair Ali 30-Aug-2024');</v>
      </c>
    </row>
    <row r="851" spans="1:8" ht="105" x14ac:dyDescent="0.25">
      <c r="A851" t="s">
        <v>989</v>
      </c>
      <c r="B851" s="80" t="str">
        <f>VLOOKUP(A851,policy!B:C,2,0)</f>
        <v>040000185338</v>
      </c>
      <c r="C851" s="46">
        <v>21208</v>
      </c>
      <c r="D851" s="81">
        <f t="shared" si="53"/>
        <v>21208</v>
      </c>
      <c r="E851" s="79" t="s">
        <v>3563</v>
      </c>
      <c r="F851" s="82" t="str">
        <f t="shared" si="52"/>
        <v>insert into ins_premium_det (premium_rcv_code,assorted_code, rec_amount,premium_rcv_detail_code,remaining_amt, payrec, mode_code,coinsurance_code,class_cd,it_remarks) values</v>
      </c>
      <c r="G851" s="83" t="str">
        <f t="shared" si="54"/>
        <v>('29Oct240071','040000185338','21208',(select max(to_number(i.premium_rcv_detail_code))+1
from ins_premium_det i),'21208','21208','02', '11000003','00','Request by Mr. Omair Ali 30-Aug-2024');</v>
      </c>
      <c r="H851" s="84" t="str">
        <f t="shared" si="55"/>
        <v>insert into ins_premium_det (premium_rcv_code,assorted_code, rec_amount,premium_rcv_detail_code,remaining_amt, payrec, mode_code,coinsurance_code,class_cd,it_remarks) values('29Oct240071','040000185338','21208',(select max(to_number(i.premium_rcv_detail_code))+1
from ins_premium_det i),'21208','21208','02', '11000003','00','Request by Mr. Omair Ali 30-Aug-2024');</v>
      </c>
    </row>
    <row r="852" spans="1:8" ht="105" x14ac:dyDescent="0.25">
      <c r="A852" t="s">
        <v>990</v>
      </c>
      <c r="B852" s="80" t="str">
        <f>VLOOKUP(A852,policy!B:C,2,0)</f>
        <v>040000185339</v>
      </c>
      <c r="C852" s="46">
        <v>21208</v>
      </c>
      <c r="D852" s="81">
        <f t="shared" si="53"/>
        <v>21208</v>
      </c>
      <c r="E852" s="79" t="s">
        <v>3563</v>
      </c>
      <c r="F852" s="82" t="str">
        <f t="shared" si="52"/>
        <v>insert into ins_premium_det (premium_rcv_code,assorted_code, rec_amount,premium_rcv_detail_code,remaining_amt, payrec, mode_code,coinsurance_code,class_cd,it_remarks) values</v>
      </c>
      <c r="G852" s="83" t="str">
        <f t="shared" si="54"/>
        <v>('29Oct240071','040000185339','21208',(select max(to_number(i.premium_rcv_detail_code))+1
from ins_premium_det i),'21208','21208','02', '11000003','00','Request by Mr. Omair Ali 30-Aug-2024');</v>
      </c>
      <c r="H852" s="84" t="str">
        <f t="shared" si="55"/>
        <v>insert into ins_premium_det (premium_rcv_code,assorted_code, rec_amount,premium_rcv_detail_code,remaining_amt, payrec, mode_code,coinsurance_code,class_cd,it_remarks) values('29Oct240071','040000185339','21208',(select max(to_number(i.premium_rcv_detail_code))+1
from ins_premium_det i),'21208','21208','02', '11000003','00','Request by Mr. Omair Ali 30-Aug-2024');</v>
      </c>
    </row>
    <row r="853" spans="1:8" ht="105" x14ac:dyDescent="0.25">
      <c r="A853" t="s">
        <v>991</v>
      </c>
      <c r="B853" s="80" t="str">
        <f>VLOOKUP(A853,policy!B:C,2,0)</f>
        <v>040000185343</v>
      </c>
      <c r="C853" s="46">
        <v>8800</v>
      </c>
      <c r="D853" s="81">
        <f t="shared" si="53"/>
        <v>8800</v>
      </c>
      <c r="E853" s="79" t="s">
        <v>3563</v>
      </c>
      <c r="F853" s="82" t="str">
        <f t="shared" si="52"/>
        <v>insert into ins_premium_det (premium_rcv_code,assorted_code, rec_amount,premium_rcv_detail_code,remaining_amt, payrec, mode_code,coinsurance_code,class_cd,it_remarks) values</v>
      </c>
      <c r="G853" s="83" t="str">
        <f t="shared" si="54"/>
        <v>('29Oct240071','040000185343','8800',(select max(to_number(i.premium_rcv_detail_code))+1
from ins_premium_det i),'8800','8800','02', '11000003','00','Request by Mr. Omair Ali 30-Aug-2024');</v>
      </c>
      <c r="H853" s="84" t="str">
        <f t="shared" si="55"/>
        <v>insert into ins_premium_det (premium_rcv_code,assorted_code, rec_amount,premium_rcv_detail_code,remaining_amt, payrec, mode_code,coinsurance_code,class_cd,it_remarks) values('29Oct240071','040000185343','8800',(select max(to_number(i.premium_rcv_detail_code))+1
from ins_premium_det i),'8800','8800','02', '11000003','00','Request by Mr. Omair Ali 30-Aug-2024');</v>
      </c>
    </row>
    <row r="854" spans="1:8" ht="105" x14ac:dyDescent="0.25">
      <c r="A854" t="s">
        <v>992</v>
      </c>
      <c r="B854" s="80" t="str">
        <f>VLOOKUP(A854,policy!B:C,2,0)</f>
        <v>040000185344</v>
      </c>
      <c r="C854" s="46">
        <v>8800</v>
      </c>
      <c r="D854" s="81">
        <f t="shared" si="53"/>
        <v>8800</v>
      </c>
      <c r="E854" s="79" t="s">
        <v>3563</v>
      </c>
      <c r="F854" s="82" t="str">
        <f t="shared" si="52"/>
        <v>insert into ins_premium_det (premium_rcv_code,assorted_code, rec_amount,premium_rcv_detail_code,remaining_amt, payrec, mode_code,coinsurance_code,class_cd,it_remarks) values</v>
      </c>
      <c r="G854" s="83" t="str">
        <f t="shared" si="54"/>
        <v>('29Oct240071','040000185344','8800',(select max(to_number(i.premium_rcv_detail_code))+1
from ins_premium_det i),'8800','8800','02', '11000003','00','Request by Mr. Omair Ali 30-Aug-2024');</v>
      </c>
      <c r="H854" s="84" t="str">
        <f t="shared" si="55"/>
        <v>insert into ins_premium_det (premium_rcv_code,assorted_code, rec_amount,premium_rcv_detail_code,remaining_amt, payrec, mode_code,coinsurance_code,class_cd,it_remarks) values('29Oct240071','040000185344','8800',(select max(to_number(i.premium_rcv_detail_code))+1
from ins_premium_det i),'8800','8800','02', '11000003','00','Request by Mr. Omair Ali 30-Aug-2024');</v>
      </c>
    </row>
    <row r="855" spans="1:8" ht="105" x14ac:dyDescent="0.25">
      <c r="A855" t="s">
        <v>993</v>
      </c>
      <c r="B855" s="80" t="str">
        <f>VLOOKUP(A855,policy!B:C,2,0)</f>
        <v>040000185346</v>
      </c>
      <c r="C855" s="46">
        <v>8800</v>
      </c>
      <c r="D855" s="81">
        <f t="shared" si="53"/>
        <v>8800</v>
      </c>
      <c r="E855" s="79" t="s">
        <v>3563</v>
      </c>
      <c r="F855" s="82" t="str">
        <f t="shared" si="52"/>
        <v>insert into ins_premium_det (premium_rcv_code,assorted_code, rec_amount,premium_rcv_detail_code,remaining_amt, payrec, mode_code,coinsurance_code,class_cd,it_remarks) values</v>
      </c>
      <c r="G855" s="83" t="str">
        <f t="shared" si="54"/>
        <v>('29Oct240071','040000185346','8800',(select max(to_number(i.premium_rcv_detail_code))+1
from ins_premium_det i),'8800','8800','02', '11000003','00','Request by Mr. Omair Ali 30-Aug-2024');</v>
      </c>
      <c r="H855" s="84" t="str">
        <f t="shared" si="55"/>
        <v>insert into ins_premium_det (premium_rcv_code,assorted_code, rec_amount,premium_rcv_detail_code,remaining_amt, payrec, mode_code,coinsurance_code,class_cd,it_remarks) values('29Oct240071','040000185346','8800',(select max(to_number(i.premium_rcv_detail_code))+1
from ins_premium_det i),'8800','8800','02', '11000003','00','Request by Mr. Omair Ali 30-Aug-2024');</v>
      </c>
    </row>
    <row r="856" spans="1:8" ht="105" x14ac:dyDescent="0.25">
      <c r="A856" t="s">
        <v>994</v>
      </c>
      <c r="B856" s="80" t="str">
        <f>VLOOKUP(A856,policy!B:C,2,0)</f>
        <v>040000185352</v>
      </c>
      <c r="C856" s="46">
        <v>9550</v>
      </c>
      <c r="D856" s="81">
        <f t="shared" si="53"/>
        <v>9550</v>
      </c>
      <c r="E856" s="79" t="s">
        <v>3563</v>
      </c>
      <c r="F856" s="82" t="str">
        <f t="shared" si="52"/>
        <v>insert into ins_premium_det (premium_rcv_code,assorted_code, rec_amount,premium_rcv_detail_code,remaining_amt, payrec, mode_code,coinsurance_code,class_cd,it_remarks) values</v>
      </c>
      <c r="G856" s="83" t="str">
        <f t="shared" si="54"/>
        <v>('29Oct240071','040000185352','9550',(select max(to_number(i.premium_rcv_detail_code))+1
from ins_premium_det i),'9550','9550','02', '11000003','00','Request by Mr. Omair Ali 30-Aug-2024');</v>
      </c>
      <c r="H856" s="84" t="str">
        <f t="shared" si="55"/>
        <v>insert into ins_premium_det (premium_rcv_code,assorted_code, rec_amount,premium_rcv_detail_code,remaining_amt, payrec, mode_code,coinsurance_code,class_cd,it_remarks) values('29Oct240071','040000185352','9550',(select max(to_number(i.premium_rcv_detail_code))+1
from ins_premium_det i),'9550','9550','02', '11000003','00','Request by Mr. Omair Ali 30-Aug-2024');</v>
      </c>
    </row>
    <row r="857" spans="1:8" ht="105" x14ac:dyDescent="0.25">
      <c r="A857" t="s">
        <v>995</v>
      </c>
      <c r="B857" s="80" t="str">
        <f>VLOOKUP(A857,policy!B:C,2,0)</f>
        <v>040000185355</v>
      </c>
      <c r="C857" s="46">
        <v>8800</v>
      </c>
      <c r="D857" s="81">
        <f t="shared" si="53"/>
        <v>8800</v>
      </c>
      <c r="E857" s="79" t="s">
        <v>3563</v>
      </c>
      <c r="F857" s="82" t="str">
        <f t="shared" si="52"/>
        <v>insert into ins_premium_det (premium_rcv_code,assorted_code, rec_amount,premium_rcv_detail_code,remaining_amt, payrec, mode_code,coinsurance_code,class_cd,it_remarks) values</v>
      </c>
      <c r="G857" s="83" t="str">
        <f t="shared" si="54"/>
        <v>('29Oct240071','040000185355','8800',(select max(to_number(i.premium_rcv_detail_code))+1
from ins_premium_det i),'8800','8800','02', '11000003','00','Request by Mr. Omair Ali 30-Aug-2024');</v>
      </c>
      <c r="H857" s="84" t="str">
        <f t="shared" si="55"/>
        <v>insert into ins_premium_det (premium_rcv_code,assorted_code, rec_amount,premium_rcv_detail_code,remaining_amt, payrec, mode_code,coinsurance_code,class_cd,it_remarks) values('29Oct240071','040000185355','8800',(select max(to_number(i.premium_rcv_detail_code))+1
from ins_premium_det i),'8800','8800','02', '11000003','00','Request by Mr. Omair Ali 30-Aug-2024');</v>
      </c>
    </row>
    <row r="858" spans="1:8" ht="105" x14ac:dyDescent="0.25">
      <c r="A858" t="s">
        <v>996</v>
      </c>
      <c r="B858" s="80" t="str">
        <f>VLOOKUP(A858,policy!B:C,2,0)</f>
        <v>040000185357</v>
      </c>
      <c r="C858" s="46">
        <v>8800</v>
      </c>
      <c r="D858" s="81">
        <f t="shared" si="53"/>
        <v>8800</v>
      </c>
      <c r="E858" s="79" t="s">
        <v>3563</v>
      </c>
      <c r="F858" s="82" t="str">
        <f t="shared" si="52"/>
        <v>insert into ins_premium_det (premium_rcv_code,assorted_code, rec_amount,premium_rcv_detail_code,remaining_amt, payrec, mode_code,coinsurance_code,class_cd,it_remarks) values</v>
      </c>
      <c r="G858" s="83" t="str">
        <f t="shared" si="54"/>
        <v>('29Oct240071','040000185357','8800',(select max(to_number(i.premium_rcv_detail_code))+1
from ins_premium_det i),'8800','8800','02', '11000003','00','Request by Mr. Omair Ali 30-Aug-2024');</v>
      </c>
      <c r="H858" s="84" t="str">
        <f t="shared" si="55"/>
        <v>insert into ins_premium_det (premium_rcv_code,assorted_code, rec_amount,premium_rcv_detail_code,remaining_amt, payrec, mode_code,coinsurance_code,class_cd,it_remarks) values('29Oct240071','040000185357','8800',(select max(to_number(i.premium_rcv_detail_code))+1
from ins_premium_det i),'8800','8800','02', '11000003','00','Request by Mr. Omair Ali 30-Aug-2024');</v>
      </c>
    </row>
    <row r="859" spans="1:8" ht="105" x14ac:dyDescent="0.25">
      <c r="A859" t="s">
        <v>997</v>
      </c>
      <c r="B859" s="80" t="str">
        <f>VLOOKUP(A859,policy!B:C,2,0)</f>
        <v>040000185359</v>
      </c>
      <c r="C859" s="46">
        <v>8800</v>
      </c>
      <c r="D859" s="81">
        <f t="shared" si="53"/>
        <v>8800</v>
      </c>
      <c r="E859" s="79" t="s">
        <v>3563</v>
      </c>
      <c r="F859" s="82" t="str">
        <f t="shared" si="52"/>
        <v>insert into ins_premium_det (premium_rcv_code,assorted_code, rec_amount,premium_rcv_detail_code,remaining_amt, payrec, mode_code,coinsurance_code,class_cd,it_remarks) values</v>
      </c>
      <c r="G859" s="83" t="str">
        <f t="shared" si="54"/>
        <v>('29Oct240071','040000185359','8800',(select max(to_number(i.premium_rcv_detail_code))+1
from ins_premium_det i),'8800','8800','02', '11000003','00','Request by Mr. Omair Ali 30-Aug-2024');</v>
      </c>
      <c r="H859" s="84" t="str">
        <f t="shared" si="55"/>
        <v>insert into ins_premium_det (premium_rcv_code,assorted_code, rec_amount,premium_rcv_detail_code,remaining_amt, payrec, mode_code,coinsurance_code,class_cd,it_remarks) values('29Oct240071','040000185359','8800',(select max(to_number(i.premium_rcv_detail_code))+1
from ins_premium_det i),'8800','8800','02', '11000003','00','Request by Mr. Omair Ali 30-Aug-2024');</v>
      </c>
    </row>
    <row r="860" spans="1:8" ht="105" x14ac:dyDescent="0.25">
      <c r="A860" t="s">
        <v>998</v>
      </c>
      <c r="B860" s="80" t="str">
        <f>VLOOKUP(A860,policy!B:C,2,0)</f>
        <v>040000185362</v>
      </c>
      <c r="C860" s="46">
        <v>16235</v>
      </c>
      <c r="D860" s="81">
        <f t="shared" si="53"/>
        <v>16235</v>
      </c>
      <c r="E860" s="79" t="s">
        <v>3563</v>
      </c>
      <c r="F860" s="82" t="str">
        <f t="shared" si="52"/>
        <v>insert into ins_premium_det (premium_rcv_code,assorted_code, rec_amount,premium_rcv_detail_code,remaining_amt, payrec, mode_code,coinsurance_code,class_cd,it_remarks) values</v>
      </c>
      <c r="G860" s="83" t="str">
        <f t="shared" si="54"/>
        <v>('29Oct240071','040000185362','16235',(select max(to_number(i.premium_rcv_detail_code))+1
from ins_premium_det i),'16235','16235','02', '11000003','00','Request by Mr. Omair Ali 30-Aug-2024');</v>
      </c>
      <c r="H860" s="84" t="str">
        <f t="shared" si="55"/>
        <v>insert into ins_premium_det (premium_rcv_code,assorted_code, rec_amount,premium_rcv_detail_code,remaining_amt, payrec, mode_code,coinsurance_code,class_cd,it_remarks) values('29Oct240071','040000185362','16235',(select max(to_number(i.premium_rcv_detail_code))+1
from ins_premium_det i),'16235','16235','02', '11000003','00','Request by Mr. Omair Ali 30-Aug-2024');</v>
      </c>
    </row>
    <row r="861" spans="1:8" ht="105" x14ac:dyDescent="0.25">
      <c r="A861" t="s">
        <v>999</v>
      </c>
      <c r="B861" s="80" t="str">
        <f>VLOOKUP(A861,policy!B:C,2,0)</f>
        <v>040000185364</v>
      </c>
      <c r="C861" s="46">
        <v>14960</v>
      </c>
      <c r="D861" s="81">
        <f t="shared" si="53"/>
        <v>14960</v>
      </c>
      <c r="E861" s="79" t="s">
        <v>3563</v>
      </c>
      <c r="F861" s="82" t="str">
        <f t="shared" si="52"/>
        <v>insert into ins_premium_det (premium_rcv_code,assorted_code, rec_amount,premium_rcv_detail_code,remaining_amt, payrec, mode_code,coinsurance_code,class_cd,it_remarks) values</v>
      </c>
      <c r="G861" s="83" t="str">
        <f t="shared" si="54"/>
        <v>('29Oct240071','040000185364','14960',(select max(to_number(i.premium_rcv_detail_code))+1
from ins_premium_det i),'14960','14960','02', '11000003','00','Request by Mr. Omair Ali 30-Aug-2024');</v>
      </c>
      <c r="H861" s="84" t="str">
        <f t="shared" si="55"/>
        <v>insert into ins_premium_det (premium_rcv_code,assorted_code, rec_amount,premium_rcv_detail_code,remaining_amt, payrec, mode_code,coinsurance_code,class_cd,it_remarks) values('29Oct240071','040000185364','14960',(select max(to_number(i.premium_rcv_detail_code))+1
from ins_premium_det i),'14960','14960','02', '11000003','00','Request by Mr. Omair Ali 30-Aug-2024');</v>
      </c>
    </row>
    <row r="862" spans="1:8" ht="105" x14ac:dyDescent="0.25">
      <c r="A862" t="s">
        <v>1000</v>
      </c>
      <c r="B862" s="80" t="str">
        <f>VLOOKUP(A862,policy!B:C,2,0)</f>
        <v>040000185365</v>
      </c>
      <c r="C862" s="46">
        <v>14960</v>
      </c>
      <c r="D862" s="81">
        <f t="shared" si="53"/>
        <v>14960</v>
      </c>
      <c r="E862" s="79" t="s">
        <v>3563</v>
      </c>
      <c r="F862" s="82" t="str">
        <f t="shared" si="52"/>
        <v>insert into ins_premium_det (premium_rcv_code,assorted_code, rec_amount,premium_rcv_detail_code,remaining_amt, payrec, mode_code,coinsurance_code,class_cd,it_remarks) values</v>
      </c>
      <c r="G862" s="83" t="str">
        <f t="shared" si="54"/>
        <v>('29Oct240071','040000185365','14960',(select max(to_number(i.premium_rcv_detail_code))+1
from ins_premium_det i),'14960','14960','02', '11000003','00','Request by Mr. Omair Ali 30-Aug-2024');</v>
      </c>
      <c r="H862" s="84" t="str">
        <f t="shared" si="55"/>
        <v>insert into ins_premium_det (premium_rcv_code,assorted_code, rec_amount,premium_rcv_detail_code,remaining_amt, payrec, mode_code,coinsurance_code,class_cd,it_remarks) values('29Oct240071','040000185365','14960',(select max(to_number(i.premium_rcv_detail_code))+1
from ins_premium_det i),'14960','14960','02', '11000003','00','Request by Mr. Omair Ali 30-Aug-2024');</v>
      </c>
    </row>
    <row r="863" spans="1:8" ht="105" x14ac:dyDescent="0.25">
      <c r="A863" t="s">
        <v>1001</v>
      </c>
      <c r="B863" s="80" t="str">
        <f>VLOOKUP(A863,policy!B:C,2,0)</f>
        <v>040000185369</v>
      </c>
      <c r="C863" s="46">
        <v>21208</v>
      </c>
      <c r="D863" s="81">
        <f t="shared" si="53"/>
        <v>21208</v>
      </c>
      <c r="E863" s="79" t="s">
        <v>3563</v>
      </c>
      <c r="F863" s="82" t="str">
        <f t="shared" si="52"/>
        <v>insert into ins_premium_det (premium_rcv_code,assorted_code, rec_amount,premium_rcv_detail_code,remaining_amt, payrec, mode_code,coinsurance_code,class_cd,it_remarks) values</v>
      </c>
      <c r="G863" s="83" t="str">
        <f t="shared" si="54"/>
        <v>('29Oct240071','040000185369','21208',(select max(to_number(i.premium_rcv_detail_code))+1
from ins_premium_det i),'21208','21208','02', '11000003','00','Request by Mr. Omair Ali 30-Aug-2024');</v>
      </c>
      <c r="H863" s="84" t="str">
        <f t="shared" si="55"/>
        <v>insert into ins_premium_det (premium_rcv_code,assorted_code, rec_amount,premium_rcv_detail_code,remaining_amt, payrec, mode_code,coinsurance_code,class_cd,it_remarks) values('29Oct240071','040000185369','21208',(select max(to_number(i.premium_rcv_detail_code))+1
from ins_premium_det i),'21208','21208','02', '11000003','00','Request by Mr. Omair Ali 30-Aug-2024');</v>
      </c>
    </row>
    <row r="864" spans="1:8" ht="105" x14ac:dyDescent="0.25">
      <c r="A864" t="s">
        <v>1002</v>
      </c>
      <c r="B864" s="80" t="str">
        <f>VLOOKUP(A864,policy!B:C,2,0)</f>
        <v>040000185380</v>
      </c>
      <c r="C864" s="46">
        <v>14960</v>
      </c>
      <c r="D864" s="81">
        <f t="shared" si="53"/>
        <v>14960</v>
      </c>
      <c r="E864" s="79" t="s">
        <v>3563</v>
      </c>
      <c r="F864" s="82" t="str">
        <f t="shared" si="52"/>
        <v>insert into ins_premium_det (premium_rcv_code,assorted_code, rec_amount,premium_rcv_detail_code,remaining_amt, payrec, mode_code,coinsurance_code,class_cd,it_remarks) values</v>
      </c>
      <c r="G864" s="83" t="str">
        <f t="shared" si="54"/>
        <v>('29Oct240071','040000185380','14960',(select max(to_number(i.premium_rcv_detail_code))+1
from ins_premium_det i),'14960','14960','02', '11000003','00','Request by Mr. Omair Ali 30-Aug-2024');</v>
      </c>
      <c r="H864" s="84" t="str">
        <f t="shared" si="55"/>
        <v>insert into ins_premium_det (premium_rcv_code,assorted_code, rec_amount,premium_rcv_detail_code,remaining_amt, payrec, mode_code,coinsurance_code,class_cd,it_remarks) values('29Oct240071','040000185380','14960',(select max(to_number(i.premium_rcv_detail_code))+1
from ins_premium_det i),'14960','14960','02', '11000003','00','Request by Mr. Omair Ali 30-Aug-2024');</v>
      </c>
    </row>
    <row r="865" spans="1:8" ht="105" x14ac:dyDescent="0.25">
      <c r="A865" t="s">
        <v>1003</v>
      </c>
      <c r="B865" s="80" t="str">
        <f>VLOOKUP(A865,policy!B:C,2,0)</f>
        <v>040000185381</v>
      </c>
      <c r="C865" s="46">
        <v>14960</v>
      </c>
      <c r="D865" s="81">
        <f t="shared" si="53"/>
        <v>14960</v>
      </c>
      <c r="E865" s="79" t="s">
        <v>3563</v>
      </c>
      <c r="F865" s="82" t="str">
        <f t="shared" si="52"/>
        <v>insert into ins_premium_det (premium_rcv_code,assorted_code, rec_amount,premium_rcv_detail_code,remaining_amt, payrec, mode_code,coinsurance_code,class_cd,it_remarks) values</v>
      </c>
      <c r="G865" s="83" t="str">
        <f t="shared" si="54"/>
        <v>('29Oct240071','040000185381','14960',(select max(to_number(i.premium_rcv_detail_code))+1
from ins_premium_det i),'14960','14960','02', '11000003','00','Request by Mr. Omair Ali 30-Aug-2024');</v>
      </c>
      <c r="H865" s="84" t="str">
        <f t="shared" si="55"/>
        <v>insert into ins_premium_det (premium_rcv_code,assorted_code, rec_amount,premium_rcv_detail_code,remaining_amt, payrec, mode_code,coinsurance_code,class_cd,it_remarks) values('29Oct240071','040000185381','14960',(select max(to_number(i.premium_rcv_detail_code))+1
from ins_premium_det i),'14960','14960','02', '11000003','00','Request by Mr. Omair Ali 30-Aug-2024');</v>
      </c>
    </row>
    <row r="866" spans="1:8" ht="105" x14ac:dyDescent="0.25">
      <c r="A866" t="s">
        <v>1004</v>
      </c>
      <c r="B866" s="80" t="str">
        <f>VLOOKUP(A866,policy!B:C,2,0)</f>
        <v>040000185383</v>
      </c>
      <c r="C866" s="46">
        <v>13675</v>
      </c>
      <c r="D866" s="81">
        <f t="shared" si="53"/>
        <v>13675</v>
      </c>
      <c r="E866" s="79" t="s">
        <v>3563</v>
      </c>
      <c r="F866" s="82" t="str">
        <f t="shared" si="52"/>
        <v>insert into ins_premium_det (premium_rcv_code,assorted_code, rec_amount,premium_rcv_detail_code,remaining_amt, payrec, mode_code,coinsurance_code,class_cd,it_remarks) values</v>
      </c>
      <c r="G866" s="83" t="str">
        <f t="shared" si="54"/>
        <v>('29Oct240071','040000185383','13675',(select max(to_number(i.premium_rcv_detail_code))+1
from ins_premium_det i),'13675','13675','02', '11000003','00','Request by Mr. Omair Ali 30-Aug-2024');</v>
      </c>
      <c r="H866" s="84" t="str">
        <f t="shared" si="55"/>
        <v>insert into ins_premium_det (premium_rcv_code,assorted_code, rec_amount,premium_rcv_detail_code,remaining_amt, payrec, mode_code,coinsurance_code,class_cd,it_remarks) values('29Oct240071','040000185383','13675',(select max(to_number(i.premium_rcv_detail_code))+1
from ins_premium_det i),'13675','13675','02', '11000003','00','Request by Mr. Omair Ali 30-Aug-2024');</v>
      </c>
    </row>
    <row r="867" spans="1:8" ht="105" x14ac:dyDescent="0.25">
      <c r="A867" t="s">
        <v>1005</v>
      </c>
      <c r="B867" s="80" t="str">
        <f>VLOOKUP(A867,policy!B:C,2,0)</f>
        <v>040000185384</v>
      </c>
      <c r="C867" s="46">
        <v>8800</v>
      </c>
      <c r="D867" s="81">
        <f t="shared" si="53"/>
        <v>8800</v>
      </c>
      <c r="E867" s="79" t="s">
        <v>3563</v>
      </c>
      <c r="F867" s="82" t="str">
        <f t="shared" si="52"/>
        <v>insert into ins_premium_det (premium_rcv_code,assorted_code, rec_amount,premium_rcv_detail_code,remaining_amt, payrec, mode_code,coinsurance_code,class_cd,it_remarks) values</v>
      </c>
      <c r="G867" s="83" t="str">
        <f t="shared" si="54"/>
        <v>('29Oct240071','040000185384','8800',(select max(to_number(i.premium_rcv_detail_code))+1
from ins_premium_det i),'8800','8800','02', '11000003','00','Request by Mr. Omair Ali 30-Aug-2024');</v>
      </c>
      <c r="H867" s="84" t="str">
        <f t="shared" si="55"/>
        <v>insert into ins_premium_det (premium_rcv_code,assorted_code, rec_amount,premium_rcv_detail_code,remaining_amt, payrec, mode_code,coinsurance_code,class_cd,it_remarks) values('29Oct240071','040000185384','8800',(select max(to_number(i.premium_rcv_detail_code))+1
from ins_premium_det i),'8800','8800','02', '11000003','00','Request by Mr. Omair Ali 30-Aug-2024');</v>
      </c>
    </row>
    <row r="868" spans="1:8" ht="105" x14ac:dyDescent="0.25">
      <c r="A868" t="s">
        <v>1006</v>
      </c>
      <c r="B868" s="80" t="str">
        <f>VLOOKUP(A868,policy!B:C,2,0)</f>
        <v>040000185386</v>
      </c>
      <c r="C868" s="46">
        <v>14960</v>
      </c>
      <c r="D868" s="81">
        <f t="shared" si="53"/>
        <v>14960</v>
      </c>
      <c r="E868" s="79" t="s">
        <v>3563</v>
      </c>
      <c r="F868" s="82" t="str">
        <f t="shared" si="52"/>
        <v>insert into ins_premium_det (premium_rcv_code,assorted_code, rec_amount,premium_rcv_detail_code,remaining_amt, payrec, mode_code,coinsurance_code,class_cd,it_remarks) values</v>
      </c>
      <c r="G868" s="83" t="str">
        <f t="shared" si="54"/>
        <v>('29Oct240071','040000185386','14960',(select max(to_number(i.premium_rcv_detail_code))+1
from ins_premium_det i),'14960','14960','02', '11000003','00','Request by Mr. Omair Ali 30-Aug-2024');</v>
      </c>
      <c r="H868" s="84" t="str">
        <f t="shared" si="55"/>
        <v>insert into ins_premium_det (premium_rcv_code,assorted_code, rec_amount,premium_rcv_detail_code,remaining_amt, payrec, mode_code,coinsurance_code,class_cd,it_remarks) values('29Oct240071','040000185386','14960',(select max(to_number(i.premium_rcv_detail_code))+1
from ins_premium_det i),'14960','14960','02', '11000003','00','Request by Mr. Omair Ali 30-Aug-2024');</v>
      </c>
    </row>
    <row r="869" spans="1:8" ht="105" x14ac:dyDescent="0.25">
      <c r="A869" t="s">
        <v>1007</v>
      </c>
      <c r="B869" s="80" t="str">
        <f>VLOOKUP(A869,policy!B:C,2,0)</f>
        <v>040000185391</v>
      </c>
      <c r="C869" s="46">
        <v>14960</v>
      </c>
      <c r="D869" s="81">
        <f t="shared" si="53"/>
        <v>14960</v>
      </c>
      <c r="E869" s="79" t="s">
        <v>3563</v>
      </c>
      <c r="F869" s="82" t="str">
        <f t="shared" si="52"/>
        <v>insert into ins_premium_det (premium_rcv_code,assorted_code, rec_amount,premium_rcv_detail_code,remaining_amt, payrec, mode_code,coinsurance_code,class_cd,it_remarks) values</v>
      </c>
      <c r="G869" s="83" t="str">
        <f t="shared" si="54"/>
        <v>('29Oct240071','040000185391','14960',(select max(to_number(i.premium_rcv_detail_code))+1
from ins_premium_det i),'14960','14960','02', '11000003','00','Request by Mr. Omair Ali 30-Aug-2024');</v>
      </c>
      <c r="H869" s="84" t="str">
        <f t="shared" si="55"/>
        <v>insert into ins_premium_det (premium_rcv_code,assorted_code, rec_amount,premium_rcv_detail_code,remaining_amt, payrec, mode_code,coinsurance_code,class_cd,it_remarks) values('29Oct240071','040000185391','14960',(select max(to_number(i.premium_rcv_detail_code))+1
from ins_premium_det i),'14960','14960','02', '11000003','00','Request by Mr. Omair Ali 30-Aug-2024');</v>
      </c>
    </row>
    <row r="870" spans="1:8" ht="105" x14ac:dyDescent="0.25">
      <c r="A870" t="s">
        <v>1008</v>
      </c>
      <c r="B870" s="80" t="str">
        <f>VLOOKUP(A870,policy!B:C,2,0)</f>
        <v>040000185392</v>
      </c>
      <c r="C870" s="46">
        <v>14960</v>
      </c>
      <c r="D870" s="81">
        <f t="shared" si="53"/>
        <v>14960</v>
      </c>
      <c r="E870" s="79" t="s">
        <v>3563</v>
      </c>
      <c r="F870" s="82" t="str">
        <f t="shared" si="52"/>
        <v>insert into ins_premium_det (premium_rcv_code,assorted_code, rec_amount,premium_rcv_detail_code,remaining_amt, payrec, mode_code,coinsurance_code,class_cd,it_remarks) values</v>
      </c>
      <c r="G870" s="83" t="str">
        <f t="shared" si="54"/>
        <v>('29Oct240071','040000185392','14960',(select max(to_number(i.premium_rcv_detail_code))+1
from ins_premium_det i),'14960','14960','02', '11000003','00','Request by Mr. Omair Ali 30-Aug-2024');</v>
      </c>
      <c r="H870" s="84" t="str">
        <f t="shared" si="55"/>
        <v>insert into ins_premium_det (premium_rcv_code,assorted_code, rec_amount,premium_rcv_detail_code,remaining_amt, payrec, mode_code,coinsurance_code,class_cd,it_remarks) values('29Oct240071','040000185392','14960',(select max(to_number(i.premium_rcv_detail_code))+1
from ins_premium_det i),'14960','14960','02', '11000003','00','Request by Mr. Omair Ali 30-Aug-2024');</v>
      </c>
    </row>
    <row r="871" spans="1:8" ht="105" x14ac:dyDescent="0.25">
      <c r="A871" t="s">
        <v>1009</v>
      </c>
      <c r="B871" s="80" t="str">
        <f>VLOOKUP(A871,policy!B:C,2,0)</f>
        <v>040000185395</v>
      </c>
      <c r="C871" s="46">
        <v>16235</v>
      </c>
      <c r="D871" s="81">
        <f t="shared" si="53"/>
        <v>16235</v>
      </c>
      <c r="E871" s="79" t="s">
        <v>3563</v>
      </c>
      <c r="F871" s="82" t="str">
        <f t="shared" si="52"/>
        <v>insert into ins_premium_det (premium_rcv_code,assorted_code, rec_amount,premium_rcv_detail_code,remaining_amt, payrec, mode_code,coinsurance_code,class_cd,it_remarks) values</v>
      </c>
      <c r="G871" s="83" t="str">
        <f t="shared" si="54"/>
        <v>('29Oct240071','040000185395','16235',(select max(to_number(i.premium_rcv_detail_code))+1
from ins_premium_det i),'16235','16235','02', '11000003','00','Request by Mr. Omair Ali 30-Aug-2024');</v>
      </c>
      <c r="H871" s="84" t="str">
        <f t="shared" si="55"/>
        <v>insert into ins_premium_det (premium_rcv_code,assorted_code, rec_amount,premium_rcv_detail_code,remaining_amt, payrec, mode_code,coinsurance_code,class_cd,it_remarks) values('29Oct240071','040000185395','16235',(select max(to_number(i.premium_rcv_detail_code))+1
from ins_premium_det i),'16235','16235','02', '11000003','00','Request by Mr. Omair Ali 30-Aug-2024');</v>
      </c>
    </row>
    <row r="872" spans="1:8" ht="105" x14ac:dyDescent="0.25">
      <c r="A872" t="s">
        <v>1010</v>
      </c>
      <c r="B872" s="80" t="str">
        <f>VLOOKUP(A872,policy!B:C,2,0)</f>
        <v>040000185396</v>
      </c>
      <c r="C872" s="46">
        <v>16235</v>
      </c>
      <c r="D872" s="81">
        <f t="shared" si="53"/>
        <v>16235</v>
      </c>
      <c r="E872" s="79" t="s">
        <v>3563</v>
      </c>
      <c r="F872" s="82" t="str">
        <f t="shared" si="52"/>
        <v>insert into ins_premium_det (premium_rcv_code,assorted_code, rec_amount,premium_rcv_detail_code,remaining_amt, payrec, mode_code,coinsurance_code,class_cd,it_remarks) values</v>
      </c>
      <c r="G872" s="83" t="str">
        <f t="shared" si="54"/>
        <v>('29Oct240071','040000185396','16235',(select max(to_number(i.premium_rcv_detail_code))+1
from ins_premium_det i),'16235','16235','02', '11000003','00','Request by Mr. Omair Ali 30-Aug-2024');</v>
      </c>
      <c r="H872" s="84" t="str">
        <f t="shared" si="55"/>
        <v>insert into ins_premium_det (premium_rcv_code,assorted_code, rec_amount,premium_rcv_detail_code,remaining_amt, payrec, mode_code,coinsurance_code,class_cd,it_remarks) values('29Oct240071','040000185396','16235',(select max(to_number(i.premium_rcv_detail_code))+1
from ins_premium_det i),'16235','16235','02', '11000003','00','Request by Mr. Omair Ali 30-Aug-2024');</v>
      </c>
    </row>
    <row r="873" spans="1:8" ht="105" x14ac:dyDescent="0.25">
      <c r="A873" t="s">
        <v>1011</v>
      </c>
      <c r="B873" s="80" t="str">
        <f>VLOOKUP(A873,policy!B:C,2,0)</f>
        <v>040000185400</v>
      </c>
      <c r="C873" s="46">
        <v>14960</v>
      </c>
      <c r="D873" s="81">
        <f t="shared" si="53"/>
        <v>14960</v>
      </c>
      <c r="E873" s="79" t="s">
        <v>3563</v>
      </c>
      <c r="F873" s="82" t="str">
        <f t="shared" si="52"/>
        <v>insert into ins_premium_det (premium_rcv_code,assorted_code, rec_amount,premium_rcv_detail_code,remaining_amt, payrec, mode_code,coinsurance_code,class_cd,it_remarks) values</v>
      </c>
      <c r="G873" s="83" t="str">
        <f t="shared" si="54"/>
        <v>('29Oct240071','040000185400','14960',(select max(to_number(i.premium_rcv_detail_code))+1
from ins_premium_det i),'14960','14960','02', '11000003','00','Request by Mr. Omair Ali 30-Aug-2024');</v>
      </c>
      <c r="H873" s="84" t="str">
        <f t="shared" si="55"/>
        <v>insert into ins_premium_det (premium_rcv_code,assorted_code, rec_amount,premium_rcv_detail_code,remaining_amt, payrec, mode_code,coinsurance_code,class_cd,it_remarks) values('29Oct240071','040000185400','14960',(select max(to_number(i.premium_rcv_detail_code))+1
from ins_premium_det i),'14960','14960','02', '11000003','00','Request by Mr. Omair Ali 30-Aug-2024');</v>
      </c>
    </row>
    <row r="874" spans="1:8" ht="105" x14ac:dyDescent="0.25">
      <c r="A874" t="s">
        <v>1012</v>
      </c>
      <c r="B874" s="80" t="str">
        <f>VLOOKUP(A874,policy!B:C,2,0)</f>
        <v>040000185402</v>
      </c>
      <c r="C874" s="46">
        <v>23248</v>
      </c>
      <c r="D874" s="81">
        <f t="shared" si="53"/>
        <v>23248</v>
      </c>
      <c r="E874" s="79" t="s">
        <v>3563</v>
      </c>
      <c r="F874" s="82" t="str">
        <f t="shared" si="52"/>
        <v>insert into ins_premium_det (premium_rcv_code,assorted_code, rec_amount,premium_rcv_detail_code,remaining_amt, payrec, mode_code,coinsurance_code,class_cd,it_remarks) values</v>
      </c>
      <c r="G874" s="83" t="str">
        <f t="shared" si="54"/>
        <v>('29Oct240071','040000185402','23248',(select max(to_number(i.premium_rcv_detail_code))+1
from ins_premium_det i),'23248','23248','02', '11000003','00','Request by Mr. Omair Ali 30-Aug-2024');</v>
      </c>
      <c r="H874" s="84" t="str">
        <f t="shared" si="55"/>
        <v>insert into ins_premium_det (premium_rcv_code,assorted_code, rec_amount,premium_rcv_detail_code,remaining_amt, payrec, mode_code,coinsurance_code,class_cd,it_remarks) values('29Oct240071','040000185402','23248',(select max(to_number(i.premium_rcv_detail_code))+1
from ins_premium_det i),'23248','23248','02', '11000003','00','Request by Mr. Omair Ali 30-Aug-2024');</v>
      </c>
    </row>
    <row r="875" spans="1:8" ht="105" x14ac:dyDescent="0.25">
      <c r="A875" t="s">
        <v>1013</v>
      </c>
      <c r="B875" s="80" t="str">
        <f>VLOOKUP(A875,policy!B:C,2,0)</f>
        <v>040000185403</v>
      </c>
      <c r="C875" s="46">
        <v>23248</v>
      </c>
      <c r="D875" s="81">
        <f t="shared" si="53"/>
        <v>23248</v>
      </c>
      <c r="E875" s="79" t="s">
        <v>3563</v>
      </c>
      <c r="F875" s="82" t="str">
        <f t="shared" si="52"/>
        <v>insert into ins_premium_det (premium_rcv_code,assorted_code, rec_amount,premium_rcv_detail_code,remaining_amt, payrec, mode_code,coinsurance_code,class_cd,it_remarks) values</v>
      </c>
      <c r="G875" s="83" t="str">
        <f t="shared" si="54"/>
        <v>('29Oct240071','040000185403','23248',(select max(to_number(i.premium_rcv_detail_code))+1
from ins_premium_det i),'23248','23248','02', '11000003','00','Request by Mr. Omair Ali 30-Aug-2024');</v>
      </c>
      <c r="H875" s="84" t="str">
        <f t="shared" si="55"/>
        <v>insert into ins_premium_det (premium_rcv_code,assorted_code, rec_amount,premium_rcv_detail_code,remaining_amt, payrec, mode_code,coinsurance_code,class_cd,it_remarks) values('29Oct240071','040000185403','23248',(select max(to_number(i.premium_rcv_detail_code))+1
from ins_premium_det i),'23248','23248','02', '11000003','00','Request by Mr. Omair Ali 30-Aug-2024');</v>
      </c>
    </row>
    <row r="876" spans="1:8" ht="105" x14ac:dyDescent="0.25">
      <c r="A876" t="s">
        <v>1014</v>
      </c>
      <c r="B876" s="80" t="str">
        <f>VLOOKUP(A876,policy!B:C,2,0)</f>
        <v>040000185404</v>
      </c>
      <c r="C876" s="46">
        <v>23248</v>
      </c>
      <c r="D876" s="81">
        <f t="shared" si="53"/>
        <v>23248</v>
      </c>
      <c r="E876" s="79" t="s">
        <v>3563</v>
      </c>
      <c r="F876" s="82" t="str">
        <f t="shared" si="52"/>
        <v>insert into ins_premium_det (premium_rcv_code,assorted_code, rec_amount,premium_rcv_detail_code,remaining_amt, payrec, mode_code,coinsurance_code,class_cd,it_remarks) values</v>
      </c>
      <c r="G876" s="83" t="str">
        <f t="shared" si="54"/>
        <v>('29Oct240071','040000185404','23248',(select max(to_number(i.premium_rcv_detail_code))+1
from ins_premium_det i),'23248','23248','02', '11000003','00','Request by Mr. Omair Ali 30-Aug-2024');</v>
      </c>
      <c r="H876" s="84" t="str">
        <f t="shared" si="55"/>
        <v>insert into ins_premium_det (premium_rcv_code,assorted_code, rec_amount,premium_rcv_detail_code,remaining_amt, payrec, mode_code,coinsurance_code,class_cd,it_remarks) values('29Oct240071','040000185404','23248',(select max(to_number(i.premium_rcv_detail_code))+1
from ins_premium_det i),'23248','23248','02', '11000003','00','Request by Mr. Omair Ali 30-Aug-2024');</v>
      </c>
    </row>
    <row r="877" spans="1:8" ht="105" x14ac:dyDescent="0.25">
      <c r="A877" t="s">
        <v>1015</v>
      </c>
      <c r="B877" s="80" t="str">
        <f>VLOOKUP(A877,policy!B:C,2,0)</f>
        <v>040000185405</v>
      </c>
      <c r="C877" s="46">
        <v>23248</v>
      </c>
      <c r="D877" s="81">
        <f t="shared" si="53"/>
        <v>23248</v>
      </c>
      <c r="E877" s="79" t="s">
        <v>3563</v>
      </c>
      <c r="F877" s="82" t="str">
        <f t="shared" si="52"/>
        <v>insert into ins_premium_det (premium_rcv_code,assorted_code, rec_amount,premium_rcv_detail_code,remaining_amt, payrec, mode_code,coinsurance_code,class_cd,it_remarks) values</v>
      </c>
      <c r="G877" s="83" t="str">
        <f t="shared" si="54"/>
        <v>('29Oct240071','040000185405','23248',(select max(to_number(i.premium_rcv_detail_code))+1
from ins_premium_det i),'23248','23248','02', '11000003','00','Request by Mr. Omair Ali 30-Aug-2024');</v>
      </c>
      <c r="H877" s="84" t="str">
        <f t="shared" si="55"/>
        <v>insert into ins_premium_det (premium_rcv_code,assorted_code, rec_amount,premium_rcv_detail_code,remaining_amt, payrec, mode_code,coinsurance_code,class_cd,it_remarks) values('29Oct240071','040000185405','23248',(select max(to_number(i.premium_rcv_detail_code))+1
from ins_premium_det i),'23248','23248','02', '11000003','00','Request by Mr. Omair Ali 30-Aug-2024');</v>
      </c>
    </row>
    <row r="878" spans="1:8" ht="105" x14ac:dyDescent="0.25">
      <c r="A878" t="s">
        <v>1016</v>
      </c>
      <c r="B878" s="80" t="str">
        <f>VLOOKUP(A878,policy!B:C,2,0)</f>
        <v>040000185406</v>
      </c>
      <c r="C878" s="46">
        <v>14960</v>
      </c>
      <c r="D878" s="81">
        <f t="shared" si="53"/>
        <v>14960</v>
      </c>
      <c r="E878" s="79" t="s">
        <v>3563</v>
      </c>
      <c r="F878" s="82" t="str">
        <f t="shared" si="52"/>
        <v>insert into ins_premium_det (premium_rcv_code,assorted_code, rec_amount,premium_rcv_detail_code,remaining_amt, payrec, mode_code,coinsurance_code,class_cd,it_remarks) values</v>
      </c>
      <c r="G878" s="83" t="str">
        <f t="shared" si="54"/>
        <v>('29Oct240071','040000185406','14960',(select max(to_number(i.premium_rcv_detail_code))+1
from ins_premium_det i),'14960','14960','02', '11000003','00','Request by Mr. Omair Ali 30-Aug-2024');</v>
      </c>
      <c r="H878" s="84" t="str">
        <f t="shared" si="55"/>
        <v>insert into ins_premium_det (premium_rcv_code,assorted_code, rec_amount,premium_rcv_detail_code,remaining_amt, payrec, mode_code,coinsurance_code,class_cd,it_remarks) values('29Oct240071','040000185406','14960',(select max(to_number(i.premium_rcv_detail_code))+1
from ins_premium_det i),'14960','14960','02', '11000003','00','Request by Mr. Omair Ali 30-Aug-2024');</v>
      </c>
    </row>
    <row r="879" spans="1:8" ht="105" x14ac:dyDescent="0.25">
      <c r="A879" t="s">
        <v>1017</v>
      </c>
      <c r="B879" s="80" t="str">
        <f>VLOOKUP(A879,policy!B:C,2,0)</f>
        <v>040000185407</v>
      </c>
      <c r="C879" s="46">
        <v>14960</v>
      </c>
      <c r="D879" s="81">
        <f t="shared" si="53"/>
        <v>14960</v>
      </c>
      <c r="E879" s="79" t="s">
        <v>3563</v>
      </c>
      <c r="F879" s="82" t="str">
        <f t="shared" si="52"/>
        <v>insert into ins_premium_det (premium_rcv_code,assorted_code, rec_amount,premium_rcv_detail_code,remaining_amt, payrec, mode_code,coinsurance_code,class_cd,it_remarks) values</v>
      </c>
      <c r="G879" s="83" t="str">
        <f t="shared" si="54"/>
        <v>('29Oct240071','040000185407','14960',(select max(to_number(i.premium_rcv_detail_code))+1
from ins_premium_det i),'14960','14960','02', '11000003','00','Request by Mr. Omair Ali 30-Aug-2024');</v>
      </c>
      <c r="H879" s="84" t="str">
        <f t="shared" si="55"/>
        <v>insert into ins_premium_det (premium_rcv_code,assorted_code, rec_amount,premium_rcv_detail_code,remaining_amt, payrec, mode_code,coinsurance_code,class_cd,it_remarks) values('29Oct240071','040000185407','14960',(select max(to_number(i.premium_rcv_detail_code))+1
from ins_premium_det i),'14960','14960','02', '11000003','00','Request by Mr. Omair Ali 30-Aug-2024');</v>
      </c>
    </row>
    <row r="880" spans="1:8" ht="105" x14ac:dyDescent="0.25">
      <c r="A880" t="s">
        <v>1018</v>
      </c>
      <c r="B880" s="80" t="str">
        <f>VLOOKUP(A880,policy!B:C,2,0)</f>
        <v>040000185408</v>
      </c>
      <c r="C880" s="46">
        <v>16235</v>
      </c>
      <c r="D880" s="81">
        <f t="shared" si="53"/>
        <v>16235</v>
      </c>
      <c r="E880" s="79" t="s">
        <v>3563</v>
      </c>
      <c r="F880" s="82" t="str">
        <f t="shared" si="52"/>
        <v>insert into ins_premium_det (premium_rcv_code,assorted_code, rec_amount,premium_rcv_detail_code,remaining_amt, payrec, mode_code,coinsurance_code,class_cd,it_remarks) values</v>
      </c>
      <c r="G880" s="83" t="str">
        <f t="shared" si="54"/>
        <v>('29Oct240071','040000185408','16235',(select max(to_number(i.premium_rcv_detail_code))+1
from ins_premium_det i),'16235','16235','02', '11000003','00','Request by Mr. Omair Ali 30-Aug-2024');</v>
      </c>
      <c r="H880" s="84" t="str">
        <f t="shared" si="55"/>
        <v>insert into ins_premium_det (premium_rcv_code,assorted_code, rec_amount,premium_rcv_detail_code,remaining_amt, payrec, mode_code,coinsurance_code,class_cd,it_remarks) values('29Oct240071','040000185408','16235',(select max(to_number(i.premium_rcv_detail_code))+1
from ins_premium_det i),'16235','16235','02', '11000003','00','Request by Mr. Omair Ali 30-Aug-2024');</v>
      </c>
    </row>
    <row r="881" spans="1:8" ht="105" x14ac:dyDescent="0.25">
      <c r="A881" t="s">
        <v>1019</v>
      </c>
      <c r="B881" s="80" t="str">
        <f>VLOOKUP(A881,policy!B:C,2,0)</f>
        <v>040000185409</v>
      </c>
      <c r="C881" s="46">
        <v>14960</v>
      </c>
      <c r="D881" s="81">
        <f t="shared" si="53"/>
        <v>14960</v>
      </c>
      <c r="E881" s="79" t="s">
        <v>3563</v>
      </c>
      <c r="F881" s="82" t="str">
        <f t="shared" si="52"/>
        <v>insert into ins_premium_det (premium_rcv_code,assorted_code, rec_amount,premium_rcv_detail_code,remaining_amt, payrec, mode_code,coinsurance_code,class_cd,it_remarks) values</v>
      </c>
      <c r="G881" s="83" t="str">
        <f t="shared" si="54"/>
        <v>('29Oct240071','040000185409','14960',(select max(to_number(i.premium_rcv_detail_code))+1
from ins_premium_det i),'14960','14960','02', '11000003','00','Request by Mr. Omair Ali 30-Aug-2024');</v>
      </c>
      <c r="H881" s="84" t="str">
        <f t="shared" si="55"/>
        <v>insert into ins_premium_det (premium_rcv_code,assorted_code, rec_amount,premium_rcv_detail_code,remaining_amt, payrec, mode_code,coinsurance_code,class_cd,it_remarks) values('29Oct240071','040000185409','14960',(select max(to_number(i.premium_rcv_detail_code))+1
from ins_premium_det i),'14960','14960','02', '11000003','00','Request by Mr. Omair Ali 30-Aug-2024');</v>
      </c>
    </row>
    <row r="882" spans="1:8" ht="105" x14ac:dyDescent="0.25">
      <c r="A882" t="s">
        <v>1020</v>
      </c>
      <c r="B882" s="80" t="str">
        <f>VLOOKUP(A882,policy!B:C,2,0)</f>
        <v>040000185410</v>
      </c>
      <c r="C882" s="46">
        <v>14960</v>
      </c>
      <c r="D882" s="81">
        <f t="shared" si="53"/>
        <v>14960</v>
      </c>
      <c r="E882" s="79" t="s">
        <v>3563</v>
      </c>
      <c r="F882" s="82" t="str">
        <f t="shared" si="52"/>
        <v>insert into ins_premium_det (premium_rcv_code,assorted_code, rec_amount,premium_rcv_detail_code,remaining_amt, payrec, mode_code,coinsurance_code,class_cd,it_remarks) values</v>
      </c>
      <c r="G882" s="83" t="str">
        <f t="shared" si="54"/>
        <v>('29Oct240071','040000185410','14960',(select max(to_number(i.premium_rcv_detail_code))+1
from ins_premium_det i),'14960','14960','02', '11000003','00','Request by Mr. Omair Ali 30-Aug-2024');</v>
      </c>
      <c r="H882" s="84" t="str">
        <f t="shared" si="55"/>
        <v>insert into ins_premium_det (premium_rcv_code,assorted_code, rec_amount,premium_rcv_detail_code,remaining_amt, payrec, mode_code,coinsurance_code,class_cd,it_remarks) values('29Oct240071','040000185410','14960',(select max(to_number(i.premium_rcv_detail_code))+1
from ins_premium_det i),'14960','14960','02', '11000003','00','Request by Mr. Omair Ali 30-Aug-2024');</v>
      </c>
    </row>
    <row r="883" spans="1:8" ht="105" x14ac:dyDescent="0.25">
      <c r="A883" t="s">
        <v>1021</v>
      </c>
      <c r="B883" s="80" t="str">
        <f>VLOOKUP(A883,policy!B:C,2,0)</f>
        <v>040000185411</v>
      </c>
      <c r="C883" s="46">
        <v>8800</v>
      </c>
      <c r="D883" s="81">
        <f t="shared" si="53"/>
        <v>8800</v>
      </c>
      <c r="E883" s="79" t="s">
        <v>3563</v>
      </c>
      <c r="F883" s="82" t="str">
        <f t="shared" si="52"/>
        <v>insert into ins_premium_det (premium_rcv_code,assorted_code, rec_amount,premium_rcv_detail_code,remaining_amt, payrec, mode_code,coinsurance_code,class_cd,it_remarks) values</v>
      </c>
      <c r="G883" s="83" t="str">
        <f t="shared" si="54"/>
        <v>('29Oct240071','040000185411','8800',(select max(to_number(i.premium_rcv_detail_code))+1
from ins_premium_det i),'8800','8800','02', '11000003','00','Request by Mr. Omair Ali 30-Aug-2024');</v>
      </c>
      <c r="H883" s="84" t="str">
        <f t="shared" si="55"/>
        <v>insert into ins_premium_det (premium_rcv_code,assorted_code, rec_amount,premium_rcv_detail_code,remaining_amt, payrec, mode_code,coinsurance_code,class_cd,it_remarks) values('29Oct240071','040000185411','8800',(select max(to_number(i.premium_rcv_detail_code))+1
from ins_premium_det i),'8800','8800','02', '11000003','00','Request by Mr. Omair Ali 30-Aug-2024');</v>
      </c>
    </row>
    <row r="884" spans="1:8" ht="105" x14ac:dyDescent="0.25">
      <c r="A884" t="s">
        <v>1022</v>
      </c>
      <c r="B884" s="80" t="str">
        <f>VLOOKUP(A884,policy!B:C,2,0)</f>
        <v>040000185412</v>
      </c>
      <c r="C884" s="46">
        <v>8800</v>
      </c>
      <c r="D884" s="81">
        <f t="shared" si="53"/>
        <v>8800</v>
      </c>
      <c r="E884" s="79" t="s">
        <v>3563</v>
      </c>
      <c r="F884" s="82" t="str">
        <f t="shared" si="52"/>
        <v>insert into ins_premium_det (premium_rcv_code,assorted_code, rec_amount,premium_rcv_detail_code,remaining_amt, payrec, mode_code,coinsurance_code,class_cd,it_remarks) values</v>
      </c>
      <c r="G884" s="83" t="str">
        <f t="shared" si="54"/>
        <v>('29Oct240071','040000185412','8800',(select max(to_number(i.premium_rcv_detail_code))+1
from ins_premium_det i),'8800','8800','02', '11000003','00','Request by Mr. Omair Ali 30-Aug-2024');</v>
      </c>
      <c r="H884" s="84" t="str">
        <f t="shared" si="55"/>
        <v>insert into ins_premium_det (premium_rcv_code,assorted_code, rec_amount,premium_rcv_detail_code,remaining_amt, payrec, mode_code,coinsurance_code,class_cd,it_remarks) values('29Oct240071','040000185412','8800',(select max(to_number(i.premium_rcv_detail_code))+1
from ins_premium_det i),'8800','8800','02', '11000003','00','Request by Mr. Omair Ali 30-Aug-2024');</v>
      </c>
    </row>
    <row r="885" spans="1:8" ht="105" x14ac:dyDescent="0.25">
      <c r="A885" t="s">
        <v>1023</v>
      </c>
      <c r="B885" s="80" t="str">
        <f>VLOOKUP(A885,policy!B:C,2,0)</f>
        <v>040000185413</v>
      </c>
      <c r="C885" s="46">
        <v>8800</v>
      </c>
      <c r="D885" s="81">
        <f t="shared" si="53"/>
        <v>8800</v>
      </c>
      <c r="E885" s="79" t="s">
        <v>3563</v>
      </c>
      <c r="F885" s="82" t="str">
        <f t="shared" si="52"/>
        <v>insert into ins_premium_det (premium_rcv_code,assorted_code, rec_amount,premium_rcv_detail_code,remaining_amt, payrec, mode_code,coinsurance_code,class_cd,it_remarks) values</v>
      </c>
      <c r="G885" s="83" t="str">
        <f t="shared" si="54"/>
        <v>('29Oct240071','040000185413','8800',(select max(to_number(i.premium_rcv_detail_code))+1
from ins_premium_det i),'8800','8800','02', '11000003','00','Request by Mr. Omair Ali 30-Aug-2024');</v>
      </c>
      <c r="H885" s="84" t="str">
        <f t="shared" si="55"/>
        <v>insert into ins_premium_det (premium_rcv_code,assorted_code, rec_amount,premium_rcv_detail_code,remaining_amt, payrec, mode_code,coinsurance_code,class_cd,it_remarks) values('29Oct240071','040000185413','8800',(select max(to_number(i.premium_rcv_detail_code))+1
from ins_premium_det i),'8800','8800','02', '11000003','00','Request by Mr. Omair Ali 30-Aug-2024');</v>
      </c>
    </row>
    <row r="886" spans="1:8" ht="105" x14ac:dyDescent="0.25">
      <c r="A886" t="s">
        <v>1024</v>
      </c>
      <c r="B886" s="80" t="str">
        <f>VLOOKUP(A886,policy!B:C,2,0)</f>
        <v>040000185414</v>
      </c>
      <c r="C886" s="46">
        <v>8800</v>
      </c>
      <c r="D886" s="81">
        <f t="shared" si="53"/>
        <v>8800</v>
      </c>
      <c r="E886" s="79" t="s">
        <v>3563</v>
      </c>
      <c r="F886" s="82" t="str">
        <f t="shared" si="52"/>
        <v>insert into ins_premium_det (premium_rcv_code,assorted_code, rec_amount,premium_rcv_detail_code,remaining_amt, payrec, mode_code,coinsurance_code,class_cd,it_remarks) values</v>
      </c>
      <c r="G886" s="83" t="str">
        <f t="shared" si="54"/>
        <v>('29Oct240071','040000185414','8800',(select max(to_number(i.premium_rcv_detail_code))+1
from ins_premium_det i),'8800','8800','02', '11000003','00','Request by Mr. Omair Ali 30-Aug-2024');</v>
      </c>
      <c r="H886" s="84" t="str">
        <f t="shared" si="55"/>
        <v>insert into ins_premium_det (premium_rcv_code,assorted_code, rec_amount,premium_rcv_detail_code,remaining_amt, payrec, mode_code,coinsurance_code,class_cd,it_remarks) values('29Oct240071','040000185414','8800',(select max(to_number(i.premium_rcv_detail_code))+1
from ins_premium_det i),'8800','8800','02', '11000003','00','Request by Mr. Omair Ali 30-Aug-2024');</v>
      </c>
    </row>
    <row r="887" spans="1:8" ht="105" x14ac:dyDescent="0.25">
      <c r="A887" t="s">
        <v>1025</v>
      </c>
      <c r="B887" s="80" t="str">
        <f>VLOOKUP(A887,policy!B:C,2,0)</f>
        <v>040000185415</v>
      </c>
      <c r="C887" s="46">
        <v>8800</v>
      </c>
      <c r="D887" s="81">
        <f t="shared" si="53"/>
        <v>8800</v>
      </c>
      <c r="E887" s="79" t="s">
        <v>3563</v>
      </c>
      <c r="F887" s="82" t="str">
        <f t="shared" si="52"/>
        <v>insert into ins_premium_det (premium_rcv_code,assorted_code, rec_amount,premium_rcv_detail_code,remaining_amt, payrec, mode_code,coinsurance_code,class_cd,it_remarks) values</v>
      </c>
      <c r="G887" s="83" t="str">
        <f t="shared" si="54"/>
        <v>('29Oct240071','040000185415','8800',(select max(to_number(i.premium_rcv_detail_code))+1
from ins_premium_det i),'8800','8800','02', '11000003','00','Request by Mr. Omair Ali 30-Aug-2024');</v>
      </c>
      <c r="H887" s="84" t="str">
        <f t="shared" si="55"/>
        <v>insert into ins_premium_det (premium_rcv_code,assorted_code, rec_amount,premium_rcv_detail_code,remaining_amt, payrec, mode_code,coinsurance_code,class_cd,it_remarks) values('29Oct240071','040000185415','8800',(select max(to_number(i.premium_rcv_detail_code))+1
from ins_premium_det i),'8800','8800','02', '11000003','00','Request by Mr. Omair Ali 30-Aug-2024');</v>
      </c>
    </row>
    <row r="888" spans="1:8" ht="105" x14ac:dyDescent="0.25">
      <c r="A888" t="s">
        <v>1026</v>
      </c>
      <c r="B888" s="80" t="str">
        <f>VLOOKUP(A888,policy!B:C,2,0)</f>
        <v>040000185416</v>
      </c>
      <c r="C888" s="46">
        <v>14960</v>
      </c>
      <c r="D888" s="81">
        <f t="shared" si="53"/>
        <v>14960</v>
      </c>
      <c r="E888" s="79" t="s">
        <v>3563</v>
      </c>
      <c r="F888" s="82" t="str">
        <f t="shared" si="52"/>
        <v>insert into ins_premium_det (premium_rcv_code,assorted_code, rec_amount,premium_rcv_detail_code,remaining_amt, payrec, mode_code,coinsurance_code,class_cd,it_remarks) values</v>
      </c>
      <c r="G888" s="83" t="str">
        <f t="shared" si="54"/>
        <v>('29Oct240071','040000185416','14960',(select max(to_number(i.premium_rcv_detail_code))+1
from ins_premium_det i),'14960','14960','02', '11000003','00','Request by Mr. Omair Ali 30-Aug-2024');</v>
      </c>
      <c r="H888" s="84" t="str">
        <f t="shared" si="55"/>
        <v>insert into ins_premium_det (premium_rcv_code,assorted_code, rec_amount,premium_rcv_detail_code,remaining_amt, payrec, mode_code,coinsurance_code,class_cd,it_remarks) values('29Oct240071','040000185416','14960',(select max(to_number(i.premium_rcv_detail_code))+1
from ins_premium_det i),'14960','14960','02', '11000003','00','Request by Mr. Omair Ali 30-Aug-2024');</v>
      </c>
    </row>
    <row r="889" spans="1:8" ht="105" x14ac:dyDescent="0.25">
      <c r="A889" t="s">
        <v>1027</v>
      </c>
      <c r="B889" s="80" t="str">
        <f>VLOOKUP(A889,policy!B:C,2,0)</f>
        <v>040000185418</v>
      </c>
      <c r="C889" s="46">
        <v>14960</v>
      </c>
      <c r="D889" s="81">
        <f t="shared" si="53"/>
        <v>14960</v>
      </c>
      <c r="E889" s="79" t="s">
        <v>3563</v>
      </c>
      <c r="F889" s="82" t="str">
        <f t="shared" si="52"/>
        <v>insert into ins_premium_det (premium_rcv_code,assorted_code, rec_amount,premium_rcv_detail_code,remaining_amt, payrec, mode_code,coinsurance_code,class_cd,it_remarks) values</v>
      </c>
      <c r="G889" s="83" t="str">
        <f t="shared" si="54"/>
        <v>('29Oct240071','040000185418','14960',(select max(to_number(i.premium_rcv_detail_code))+1
from ins_premium_det i),'14960','14960','02', '11000003','00','Request by Mr. Omair Ali 30-Aug-2024');</v>
      </c>
      <c r="H889" s="84" t="str">
        <f t="shared" si="55"/>
        <v>insert into ins_premium_det (premium_rcv_code,assorted_code, rec_amount,premium_rcv_detail_code,remaining_amt, payrec, mode_code,coinsurance_code,class_cd,it_remarks) values('29Oct240071','040000185418','14960',(select max(to_number(i.premium_rcv_detail_code))+1
from ins_premium_det i),'14960','14960','02', '11000003','00','Request by Mr. Omair Ali 30-Aug-2024');</v>
      </c>
    </row>
    <row r="890" spans="1:8" ht="105" x14ac:dyDescent="0.25">
      <c r="A890" t="s">
        <v>1027</v>
      </c>
      <c r="B890" s="80" t="str">
        <f>VLOOKUP(A890,policy!B:C,2,0)</f>
        <v>040000185418</v>
      </c>
      <c r="C890" s="46">
        <v>8800</v>
      </c>
      <c r="D890" s="81">
        <f t="shared" si="53"/>
        <v>8800</v>
      </c>
      <c r="E890" s="79" t="s">
        <v>3563</v>
      </c>
      <c r="F890" s="82" t="str">
        <f t="shared" si="52"/>
        <v>insert into ins_premium_det (premium_rcv_code,assorted_code, rec_amount,premium_rcv_detail_code,remaining_amt, payrec, mode_code,coinsurance_code,class_cd,it_remarks) values</v>
      </c>
      <c r="G890" s="83" t="str">
        <f t="shared" si="54"/>
        <v>('29Oct240071','040000185418','8800',(select max(to_number(i.premium_rcv_detail_code))+1
from ins_premium_det i),'8800','8800','02', '11000003','00','Request by Mr. Omair Ali 30-Aug-2024');</v>
      </c>
      <c r="H890" s="84" t="str">
        <f t="shared" si="55"/>
        <v>insert into ins_premium_det (premium_rcv_code,assorted_code, rec_amount,premium_rcv_detail_code,remaining_amt, payrec, mode_code,coinsurance_code,class_cd,it_remarks) values('29Oct240071','040000185418','8800',(select max(to_number(i.premium_rcv_detail_code))+1
from ins_premium_det i),'8800','8800','02', '11000003','00','Request by Mr. Omair Ali 30-Aug-2024');</v>
      </c>
    </row>
    <row r="891" spans="1:8" ht="105" x14ac:dyDescent="0.25">
      <c r="A891" t="s">
        <v>1028</v>
      </c>
      <c r="B891" s="80" t="str">
        <f>VLOOKUP(A891,policy!B:C,2,0)</f>
        <v>040000185419</v>
      </c>
      <c r="C891" s="46">
        <v>8800</v>
      </c>
      <c r="D891" s="81">
        <f t="shared" si="53"/>
        <v>8800</v>
      </c>
      <c r="E891" s="79" t="s">
        <v>3563</v>
      </c>
      <c r="F891" s="82" t="str">
        <f t="shared" si="52"/>
        <v>insert into ins_premium_det (premium_rcv_code,assorted_code, rec_amount,premium_rcv_detail_code,remaining_amt, payrec, mode_code,coinsurance_code,class_cd,it_remarks) values</v>
      </c>
      <c r="G891" s="83" t="str">
        <f t="shared" si="54"/>
        <v>('29Oct240071','040000185419','8800',(select max(to_number(i.premium_rcv_detail_code))+1
from ins_premium_det i),'8800','8800','02', '11000003','00','Request by Mr. Omair Ali 30-Aug-2024');</v>
      </c>
      <c r="H891" s="84" t="str">
        <f t="shared" si="55"/>
        <v>insert into ins_premium_det (premium_rcv_code,assorted_code, rec_amount,premium_rcv_detail_code,remaining_amt, payrec, mode_code,coinsurance_code,class_cd,it_remarks) values('29Oct240071','040000185419','8800',(select max(to_number(i.premium_rcv_detail_code))+1
from ins_premium_det i),'8800','8800','02', '11000003','00','Request by Mr. Omair Ali 30-Aug-2024');</v>
      </c>
    </row>
    <row r="892" spans="1:8" ht="105" x14ac:dyDescent="0.25">
      <c r="A892" t="s">
        <v>1029</v>
      </c>
      <c r="B892" s="80" t="str">
        <f>VLOOKUP(A892,policy!B:C,2,0)</f>
        <v>040000185420</v>
      </c>
      <c r="C892" s="46">
        <v>8800</v>
      </c>
      <c r="D892" s="81">
        <f t="shared" si="53"/>
        <v>8800</v>
      </c>
      <c r="E892" s="79" t="s">
        <v>3563</v>
      </c>
      <c r="F892" s="82" t="str">
        <f t="shared" si="52"/>
        <v>insert into ins_premium_det (premium_rcv_code,assorted_code, rec_amount,premium_rcv_detail_code,remaining_amt, payrec, mode_code,coinsurance_code,class_cd,it_remarks) values</v>
      </c>
      <c r="G892" s="83" t="str">
        <f t="shared" si="54"/>
        <v>('29Oct240071','040000185420','8800',(select max(to_number(i.premium_rcv_detail_code))+1
from ins_premium_det i),'8800','8800','02', '11000003','00','Request by Mr. Omair Ali 30-Aug-2024');</v>
      </c>
      <c r="H892" s="84" t="str">
        <f t="shared" si="55"/>
        <v>insert into ins_premium_det (premium_rcv_code,assorted_code, rec_amount,premium_rcv_detail_code,remaining_amt, payrec, mode_code,coinsurance_code,class_cd,it_remarks) values('29Oct240071','040000185420','8800',(select max(to_number(i.premium_rcv_detail_code))+1
from ins_premium_det i),'8800','8800','02', '11000003','00','Request by Mr. Omair Ali 30-Aug-2024');</v>
      </c>
    </row>
    <row r="893" spans="1:8" ht="105" x14ac:dyDescent="0.25">
      <c r="A893" t="s">
        <v>1030</v>
      </c>
      <c r="B893" s="80" t="str">
        <f>VLOOKUP(A893,policy!B:C,2,0)</f>
        <v>040000185421</v>
      </c>
      <c r="C893" s="46">
        <v>8800</v>
      </c>
      <c r="D893" s="81">
        <f t="shared" si="53"/>
        <v>8800</v>
      </c>
      <c r="E893" s="79" t="s">
        <v>3563</v>
      </c>
      <c r="F893" s="82" t="str">
        <f t="shared" si="52"/>
        <v>insert into ins_premium_det (premium_rcv_code,assorted_code, rec_amount,premium_rcv_detail_code,remaining_amt, payrec, mode_code,coinsurance_code,class_cd,it_remarks) values</v>
      </c>
      <c r="G893" s="83" t="str">
        <f t="shared" si="54"/>
        <v>('29Oct240071','040000185421','8800',(select max(to_number(i.premium_rcv_detail_code))+1
from ins_premium_det i),'8800','8800','02', '11000003','00','Request by Mr. Omair Ali 30-Aug-2024');</v>
      </c>
      <c r="H893" s="84" t="str">
        <f t="shared" si="55"/>
        <v>insert into ins_premium_det (premium_rcv_code,assorted_code, rec_amount,premium_rcv_detail_code,remaining_amt, payrec, mode_code,coinsurance_code,class_cd,it_remarks) values('29Oct240071','040000185421','8800',(select max(to_number(i.premium_rcv_detail_code))+1
from ins_premium_det i),'8800','8800','02', '11000003','00','Request by Mr. Omair Ali 30-Aug-2024');</v>
      </c>
    </row>
    <row r="894" spans="1:8" ht="105" x14ac:dyDescent="0.25">
      <c r="A894" t="s">
        <v>1031</v>
      </c>
      <c r="B894" s="80" t="str">
        <f>VLOOKUP(A894,policy!B:C,2,0)</f>
        <v>040000185422</v>
      </c>
      <c r="C894" s="46">
        <v>8800</v>
      </c>
      <c r="D894" s="81">
        <f t="shared" si="53"/>
        <v>8800</v>
      </c>
      <c r="E894" s="79" t="s">
        <v>3563</v>
      </c>
      <c r="F894" s="82" t="str">
        <f t="shared" si="52"/>
        <v>insert into ins_premium_det (premium_rcv_code,assorted_code, rec_amount,premium_rcv_detail_code,remaining_amt, payrec, mode_code,coinsurance_code,class_cd,it_remarks) values</v>
      </c>
      <c r="G894" s="83" t="str">
        <f t="shared" si="54"/>
        <v>('29Oct240071','040000185422','8800',(select max(to_number(i.premium_rcv_detail_code))+1
from ins_premium_det i),'8800','8800','02', '11000003','00','Request by Mr. Omair Ali 30-Aug-2024');</v>
      </c>
      <c r="H894" s="84" t="str">
        <f t="shared" si="55"/>
        <v>insert into ins_premium_det (premium_rcv_code,assorted_code, rec_amount,premium_rcv_detail_code,remaining_amt, payrec, mode_code,coinsurance_code,class_cd,it_remarks) values('29Oct240071','040000185422','8800',(select max(to_number(i.premium_rcv_detail_code))+1
from ins_premium_det i),'8800','8800','02', '11000003','00','Request by Mr. Omair Ali 30-Aug-2024');</v>
      </c>
    </row>
    <row r="895" spans="1:8" ht="105" x14ac:dyDescent="0.25">
      <c r="A895" t="s">
        <v>1032</v>
      </c>
      <c r="B895" s="80" t="str">
        <f>VLOOKUP(A895,policy!B:C,2,0)</f>
        <v>040000185423</v>
      </c>
      <c r="C895" s="46">
        <v>14960</v>
      </c>
      <c r="D895" s="81">
        <f t="shared" si="53"/>
        <v>14960</v>
      </c>
      <c r="E895" s="79" t="s">
        <v>3563</v>
      </c>
      <c r="F895" s="82" t="str">
        <f t="shared" si="52"/>
        <v>insert into ins_premium_det (premium_rcv_code,assorted_code, rec_amount,premium_rcv_detail_code,remaining_amt, payrec, mode_code,coinsurance_code,class_cd,it_remarks) values</v>
      </c>
      <c r="G895" s="83" t="str">
        <f t="shared" si="54"/>
        <v>('29Oct240071','040000185423','14960',(select max(to_number(i.premium_rcv_detail_code))+1
from ins_premium_det i),'14960','14960','02', '11000003','00','Request by Mr. Omair Ali 30-Aug-2024');</v>
      </c>
      <c r="H895" s="84" t="str">
        <f t="shared" si="55"/>
        <v>insert into ins_premium_det (premium_rcv_code,assorted_code, rec_amount,premium_rcv_detail_code,remaining_amt, payrec, mode_code,coinsurance_code,class_cd,it_remarks) values('29Oct240071','040000185423','14960',(select max(to_number(i.premium_rcv_detail_code))+1
from ins_premium_det i),'14960','14960','02', '11000003','00','Request by Mr. Omair Ali 30-Aug-2024');</v>
      </c>
    </row>
    <row r="896" spans="1:8" ht="105" x14ac:dyDescent="0.25">
      <c r="A896" t="s">
        <v>1033</v>
      </c>
      <c r="B896" s="80" t="str">
        <f>VLOOKUP(A896,policy!B:C,2,0)</f>
        <v>040000185424</v>
      </c>
      <c r="C896" s="46">
        <v>14960</v>
      </c>
      <c r="D896" s="81">
        <f t="shared" si="53"/>
        <v>14960</v>
      </c>
      <c r="E896" s="79" t="s">
        <v>3563</v>
      </c>
      <c r="F896" s="82" t="str">
        <f t="shared" si="52"/>
        <v>insert into ins_premium_det (premium_rcv_code,assorted_code, rec_amount,premium_rcv_detail_code,remaining_amt, payrec, mode_code,coinsurance_code,class_cd,it_remarks) values</v>
      </c>
      <c r="G896" s="83" t="str">
        <f t="shared" si="54"/>
        <v>('29Oct240071','040000185424','14960',(select max(to_number(i.premium_rcv_detail_code))+1
from ins_premium_det i),'14960','14960','02', '11000003','00','Request by Mr. Omair Ali 30-Aug-2024');</v>
      </c>
      <c r="H896" s="84" t="str">
        <f t="shared" si="55"/>
        <v>insert into ins_premium_det (premium_rcv_code,assorted_code, rec_amount,premium_rcv_detail_code,remaining_amt, payrec, mode_code,coinsurance_code,class_cd,it_remarks) values('29Oct240071','040000185424','14960',(select max(to_number(i.premium_rcv_detail_code))+1
from ins_premium_det i),'14960','14960','02', '11000003','00','Request by Mr. Omair Ali 30-Aug-2024');</v>
      </c>
    </row>
    <row r="897" spans="1:8" ht="105" x14ac:dyDescent="0.25">
      <c r="A897" t="s">
        <v>1034</v>
      </c>
      <c r="B897" s="80" t="str">
        <f>VLOOKUP(A897,policy!B:C,2,0)</f>
        <v>040000185425</v>
      </c>
      <c r="C897" s="46">
        <v>14960</v>
      </c>
      <c r="D897" s="81">
        <f t="shared" si="53"/>
        <v>14960</v>
      </c>
      <c r="E897" s="79" t="s">
        <v>3563</v>
      </c>
      <c r="F897" s="82" t="str">
        <f t="shared" si="52"/>
        <v>insert into ins_premium_det (premium_rcv_code,assorted_code, rec_amount,premium_rcv_detail_code,remaining_amt, payrec, mode_code,coinsurance_code,class_cd,it_remarks) values</v>
      </c>
      <c r="G897" s="83" t="str">
        <f t="shared" si="54"/>
        <v>('29Oct240071','040000185425','14960',(select max(to_number(i.premium_rcv_detail_code))+1
from ins_premium_det i),'14960','14960','02', '11000003','00','Request by Mr. Omair Ali 30-Aug-2024');</v>
      </c>
      <c r="H897" s="84" t="str">
        <f t="shared" si="55"/>
        <v>insert into ins_premium_det (premium_rcv_code,assorted_code, rec_amount,premium_rcv_detail_code,remaining_amt, payrec, mode_code,coinsurance_code,class_cd,it_remarks) values('29Oct240071','040000185425','14960',(select max(to_number(i.premium_rcv_detail_code))+1
from ins_premium_det i),'14960','14960','02', '11000003','00','Request by Mr. Omair Ali 30-Aug-2024');</v>
      </c>
    </row>
    <row r="898" spans="1:8" ht="105" x14ac:dyDescent="0.25">
      <c r="A898" t="s">
        <v>1035</v>
      </c>
      <c r="B898" s="80" t="str">
        <f>VLOOKUP(A898,policy!B:C,2,0)</f>
        <v>040000185426</v>
      </c>
      <c r="C898" s="46">
        <v>14960</v>
      </c>
      <c r="D898" s="81">
        <f t="shared" si="53"/>
        <v>14960</v>
      </c>
      <c r="E898" s="79" t="s">
        <v>3563</v>
      </c>
      <c r="F898" s="82" t="str">
        <f t="shared" ref="F898:F959" si="5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98" s="83" t="str">
        <f t="shared" si="54"/>
        <v>('29Oct240071','040000185426','14960',(select max(to_number(i.premium_rcv_detail_code))+1
from ins_premium_det i),'14960','14960','02', '11000003','00','Request by Mr. Omair Ali 30-Aug-2024');</v>
      </c>
      <c r="H898" s="84" t="str">
        <f t="shared" si="55"/>
        <v>insert into ins_premium_det (premium_rcv_code,assorted_code, rec_amount,premium_rcv_detail_code,remaining_amt, payrec, mode_code,coinsurance_code,class_cd,it_remarks) values('29Oct240071','040000185426','14960',(select max(to_number(i.premium_rcv_detail_code))+1
from ins_premium_det i),'14960','14960','02', '11000003','00','Request by Mr. Omair Ali 30-Aug-2024');</v>
      </c>
    </row>
    <row r="899" spans="1:8" ht="105" x14ac:dyDescent="0.25">
      <c r="A899" t="s">
        <v>1036</v>
      </c>
      <c r="B899" s="80" t="str">
        <f>VLOOKUP(A899,policy!B:C,2,0)</f>
        <v>040000185427</v>
      </c>
      <c r="C899" s="46">
        <v>14960</v>
      </c>
      <c r="D899" s="81">
        <f t="shared" ref="D899:D959" si="57">ROUND(C899,0)</f>
        <v>14960</v>
      </c>
      <c r="E899" s="79" t="s">
        <v>3563</v>
      </c>
      <c r="F899" s="82" t="str">
        <f t="shared" si="56"/>
        <v>insert into ins_premium_det (premium_rcv_code,assorted_code, rec_amount,premium_rcv_detail_code,remaining_amt, payrec, mode_code,coinsurance_code,class_cd,it_remarks) values</v>
      </c>
      <c r="G899" s="83" t="str">
        <f t="shared" ref="G899:G959" si="58">"('"&amp;E899&amp;"','"&amp;B899&amp;"','"&amp;D899&amp;"',(select max(to_number(i.premium_rcv_detail_code))+1
from ins_premium_det i),'"&amp;D899&amp;"','"&amp;D899&amp;"','02', '11000003','00','Request by Mr. Omair Ali 30-Aug-2024');"</f>
        <v>('29Oct240071','040000185427','14960',(select max(to_number(i.premium_rcv_detail_code))+1
from ins_premium_det i),'14960','14960','02', '11000003','00','Request by Mr. Omair Ali 30-Aug-2024');</v>
      </c>
      <c r="H899" s="84" t="str">
        <f t="shared" ref="H899:H959" si="59">F899&amp;G899</f>
        <v>insert into ins_premium_det (premium_rcv_code,assorted_code, rec_amount,premium_rcv_detail_code,remaining_amt, payrec, mode_code,coinsurance_code,class_cd,it_remarks) values('29Oct240071','040000185427','14960',(select max(to_number(i.premium_rcv_detail_code))+1
from ins_premium_det i),'14960','14960','02', '11000003','00','Request by Mr. Omair Ali 30-Aug-2024');</v>
      </c>
    </row>
    <row r="900" spans="1:8" ht="105" x14ac:dyDescent="0.25">
      <c r="A900" t="s">
        <v>1037</v>
      </c>
      <c r="B900" s="80" t="str">
        <f>VLOOKUP(A900,policy!B:C,2,0)</f>
        <v>040000185428</v>
      </c>
      <c r="C900" s="46">
        <v>14960</v>
      </c>
      <c r="D900" s="81">
        <f t="shared" si="57"/>
        <v>14960</v>
      </c>
      <c r="E900" s="79" t="s">
        <v>3563</v>
      </c>
      <c r="F900" s="82" t="str">
        <f t="shared" si="56"/>
        <v>insert into ins_premium_det (premium_rcv_code,assorted_code, rec_amount,premium_rcv_detail_code,remaining_amt, payrec, mode_code,coinsurance_code,class_cd,it_remarks) values</v>
      </c>
      <c r="G900" s="83" t="str">
        <f t="shared" si="58"/>
        <v>('29Oct240071','040000185428','14960',(select max(to_number(i.premium_rcv_detail_code))+1
from ins_premium_det i),'14960','14960','02', '11000003','00','Request by Mr. Omair Ali 30-Aug-2024');</v>
      </c>
      <c r="H900" s="84" t="str">
        <f t="shared" si="59"/>
        <v>insert into ins_premium_det (premium_rcv_code,assorted_code, rec_amount,premium_rcv_detail_code,remaining_amt, payrec, mode_code,coinsurance_code,class_cd,it_remarks) values('29Oct240071','040000185428','14960',(select max(to_number(i.premium_rcv_detail_code))+1
from ins_premium_det i),'14960','14960','02', '11000003','00','Request by Mr. Omair Ali 30-Aug-2024');</v>
      </c>
    </row>
    <row r="901" spans="1:8" ht="105" x14ac:dyDescent="0.25">
      <c r="A901" t="s">
        <v>1038</v>
      </c>
      <c r="B901" s="80" t="str">
        <f>VLOOKUP(A901,policy!B:C,2,0)</f>
        <v>040000185429</v>
      </c>
      <c r="C901" s="46">
        <v>14960</v>
      </c>
      <c r="D901" s="81">
        <f t="shared" si="57"/>
        <v>14960</v>
      </c>
      <c r="E901" s="79" t="s">
        <v>3563</v>
      </c>
      <c r="F901" s="82" t="str">
        <f t="shared" si="56"/>
        <v>insert into ins_premium_det (premium_rcv_code,assorted_code, rec_amount,premium_rcv_detail_code,remaining_amt, payrec, mode_code,coinsurance_code,class_cd,it_remarks) values</v>
      </c>
      <c r="G901" s="83" t="str">
        <f t="shared" si="58"/>
        <v>('29Oct240071','040000185429','14960',(select max(to_number(i.premium_rcv_detail_code))+1
from ins_premium_det i),'14960','14960','02', '11000003','00','Request by Mr. Omair Ali 30-Aug-2024');</v>
      </c>
      <c r="H901" s="84" t="str">
        <f t="shared" si="59"/>
        <v>insert into ins_premium_det (premium_rcv_code,assorted_code, rec_amount,premium_rcv_detail_code,remaining_amt, payrec, mode_code,coinsurance_code,class_cd,it_remarks) values('29Oct240071','040000185429','14960',(select max(to_number(i.premium_rcv_detail_code))+1
from ins_premium_det i),'14960','14960','02', '11000003','00','Request by Mr. Omair Ali 30-Aug-2024');</v>
      </c>
    </row>
    <row r="902" spans="1:8" ht="105" x14ac:dyDescent="0.25">
      <c r="A902" t="s">
        <v>1039</v>
      </c>
      <c r="B902" s="80" t="str">
        <f>VLOOKUP(A902,policy!B:C,2,0)</f>
        <v>040000185430</v>
      </c>
      <c r="C902" s="46">
        <v>23248</v>
      </c>
      <c r="D902" s="81">
        <f t="shared" si="57"/>
        <v>23248</v>
      </c>
      <c r="E902" s="79" t="s">
        <v>3563</v>
      </c>
      <c r="F902" s="82" t="str">
        <f t="shared" si="56"/>
        <v>insert into ins_premium_det (premium_rcv_code,assorted_code, rec_amount,premium_rcv_detail_code,remaining_amt, payrec, mode_code,coinsurance_code,class_cd,it_remarks) values</v>
      </c>
      <c r="G902" s="83" t="str">
        <f t="shared" si="58"/>
        <v>('29Oct240071','040000185430','23248',(select max(to_number(i.premium_rcv_detail_code))+1
from ins_premium_det i),'23248','23248','02', '11000003','00','Request by Mr. Omair Ali 30-Aug-2024');</v>
      </c>
      <c r="H902" s="84" t="str">
        <f t="shared" si="59"/>
        <v>insert into ins_premium_det (premium_rcv_code,assorted_code, rec_amount,premium_rcv_detail_code,remaining_amt, payrec, mode_code,coinsurance_code,class_cd,it_remarks) values('29Oct240071','040000185430','23248',(select max(to_number(i.premium_rcv_detail_code))+1
from ins_premium_det i),'23248','23248','02', '11000003','00','Request by Mr. Omair Ali 30-Aug-2024');</v>
      </c>
    </row>
    <row r="903" spans="1:8" ht="105" x14ac:dyDescent="0.25">
      <c r="A903" t="s">
        <v>1040</v>
      </c>
      <c r="B903" s="80" t="str">
        <f>VLOOKUP(A903,policy!B:C,2,0)</f>
        <v>040000185431</v>
      </c>
      <c r="C903" s="46">
        <v>14960</v>
      </c>
      <c r="D903" s="81">
        <f t="shared" si="57"/>
        <v>14960</v>
      </c>
      <c r="E903" s="79" t="s">
        <v>3563</v>
      </c>
      <c r="F903" s="82" t="str">
        <f t="shared" si="56"/>
        <v>insert into ins_premium_det (premium_rcv_code,assorted_code, rec_amount,premium_rcv_detail_code,remaining_amt, payrec, mode_code,coinsurance_code,class_cd,it_remarks) values</v>
      </c>
      <c r="G903" s="83" t="str">
        <f t="shared" si="58"/>
        <v>('29Oct240071','040000185431','14960',(select max(to_number(i.premium_rcv_detail_code))+1
from ins_premium_det i),'14960','14960','02', '11000003','00','Request by Mr. Omair Ali 30-Aug-2024');</v>
      </c>
      <c r="H903" s="84" t="str">
        <f t="shared" si="59"/>
        <v>insert into ins_premium_det (premium_rcv_code,assorted_code, rec_amount,premium_rcv_detail_code,remaining_amt, payrec, mode_code,coinsurance_code,class_cd,it_remarks) values('29Oct240071','040000185431','14960',(select max(to_number(i.premium_rcv_detail_code))+1
from ins_premium_det i),'14960','14960','02', '11000003','00','Request by Mr. Omair Ali 30-Aug-2024');</v>
      </c>
    </row>
    <row r="904" spans="1:8" ht="105" x14ac:dyDescent="0.25">
      <c r="A904" t="s">
        <v>1041</v>
      </c>
      <c r="B904" s="80" t="str">
        <f>VLOOKUP(A904,policy!B:C,2,0)</f>
        <v>040000185432</v>
      </c>
      <c r="C904" s="46">
        <v>14960</v>
      </c>
      <c r="D904" s="81">
        <f t="shared" si="57"/>
        <v>14960</v>
      </c>
      <c r="E904" s="79" t="s">
        <v>3563</v>
      </c>
      <c r="F904" s="82" t="str">
        <f t="shared" si="56"/>
        <v>insert into ins_premium_det (premium_rcv_code,assorted_code, rec_amount,premium_rcv_detail_code,remaining_amt, payrec, mode_code,coinsurance_code,class_cd,it_remarks) values</v>
      </c>
      <c r="G904" s="83" t="str">
        <f t="shared" si="58"/>
        <v>('29Oct240071','040000185432','14960',(select max(to_number(i.premium_rcv_detail_code))+1
from ins_premium_det i),'14960','14960','02', '11000003','00','Request by Mr. Omair Ali 30-Aug-2024');</v>
      </c>
      <c r="H904" s="84" t="str">
        <f t="shared" si="59"/>
        <v>insert into ins_premium_det (premium_rcv_code,assorted_code, rec_amount,premium_rcv_detail_code,remaining_amt, payrec, mode_code,coinsurance_code,class_cd,it_remarks) values('29Oct240071','040000185432','14960',(select max(to_number(i.premium_rcv_detail_code))+1
from ins_premium_det i),'14960','14960','02', '11000003','00','Request by Mr. Omair Ali 30-Aug-2024');</v>
      </c>
    </row>
    <row r="905" spans="1:8" ht="105" x14ac:dyDescent="0.25">
      <c r="A905" t="s">
        <v>1042</v>
      </c>
      <c r="B905" s="80" t="str">
        <f>VLOOKUP(A905,policy!B:C,2,0)</f>
        <v>040000185433</v>
      </c>
      <c r="C905" s="46">
        <v>16235</v>
      </c>
      <c r="D905" s="81">
        <f t="shared" si="57"/>
        <v>16235</v>
      </c>
      <c r="E905" s="79" t="s">
        <v>3563</v>
      </c>
      <c r="F905" s="82" t="str">
        <f t="shared" si="56"/>
        <v>insert into ins_premium_det (premium_rcv_code,assorted_code, rec_amount,premium_rcv_detail_code,remaining_amt, payrec, mode_code,coinsurance_code,class_cd,it_remarks) values</v>
      </c>
      <c r="G905" s="83" t="str">
        <f t="shared" si="58"/>
        <v>('29Oct240071','040000185433','16235',(select max(to_number(i.premium_rcv_detail_code))+1
from ins_premium_det i),'16235','16235','02', '11000003','00','Request by Mr. Omair Ali 30-Aug-2024');</v>
      </c>
      <c r="H905" s="84" t="str">
        <f t="shared" si="59"/>
        <v>insert into ins_premium_det (premium_rcv_code,assorted_code, rec_amount,premium_rcv_detail_code,remaining_amt, payrec, mode_code,coinsurance_code,class_cd,it_remarks) values('29Oct240071','040000185433','16235',(select max(to_number(i.premium_rcv_detail_code))+1
from ins_premium_det i),'16235','16235','02', '11000003','00','Request by Mr. Omair Ali 30-Aug-2024');</v>
      </c>
    </row>
    <row r="906" spans="1:8" ht="105" x14ac:dyDescent="0.25">
      <c r="A906" t="s">
        <v>1043</v>
      </c>
      <c r="B906" s="80" t="str">
        <f>VLOOKUP(A906,policy!B:C,2,0)</f>
        <v>040000185434</v>
      </c>
      <c r="C906" s="46">
        <v>23248</v>
      </c>
      <c r="D906" s="81">
        <f t="shared" si="57"/>
        <v>23248</v>
      </c>
      <c r="E906" s="79" t="s">
        <v>3563</v>
      </c>
      <c r="F906" s="82" t="str">
        <f t="shared" si="56"/>
        <v>insert into ins_premium_det (premium_rcv_code,assorted_code, rec_amount,premium_rcv_detail_code,remaining_amt, payrec, mode_code,coinsurance_code,class_cd,it_remarks) values</v>
      </c>
      <c r="G906" s="83" t="str">
        <f t="shared" si="58"/>
        <v>('29Oct240071','040000185434','23248',(select max(to_number(i.premium_rcv_detail_code))+1
from ins_premium_det i),'23248','23248','02', '11000003','00','Request by Mr. Omair Ali 30-Aug-2024');</v>
      </c>
      <c r="H906" s="84" t="str">
        <f t="shared" si="59"/>
        <v>insert into ins_premium_det (premium_rcv_code,assorted_code, rec_amount,premium_rcv_detail_code,remaining_amt, payrec, mode_code,coinsurance_code,class_cd,it_remarks) values('29Oct240071','040000185434','23248',(select max(to_number(i.premium_rcv_detail_code))+1
from ins_premium_det i),'23248','23248','02', '11000003','00','Request by Mr. Omair Ali 30-Aug-2024');</v>
      </c>
    </row>
    <row r="907" spans="1:8" ht="105" x14ac:dyDescent="0.25">
      <c r="A907" t="s">
        <v>1044</v>
      </c>
      <c r="B907" s="80" t="str">
        <f>VLOOKUP(A907,policy!B:C,2,0)</f>
        <v>040000185435</v>
      </c>
      <c r="C907" s="46">
        <v>23248</v>
      </c>
      <c r="D907" s="81">
        <f t="shared" si="57"/>
        <v>23248</v>
      </c>
      <c r="E907" s="79" t="s">
        <v>3563</v>
      </c>
      <c r="F907" s="82" t="str">
        <f t="shared" si="56"/>
        <v>insert into ins_premium_det (premium_rcv_code,assorted_code, rec_amount,premium_rcv_detail_code,remaining_amt, payrec, mode_code,coinsurance_code,class_cd,it_remarks) values</v>
      </c>
      <c r="G907" s="83" t="str">
        <f t="shared" si="58"/>
        <v>('29Oct240071','040000185435','23248',(select max(to_number(i.premium_rcv_detail_code))+1
from ins_premium_det i),'23248','23248','02', '11000003','00','Request by Mr. Omair Ali 30-Aug-2024');</v>
      </c>
      <c r="H907" s="84" t="str">
        <f t="shared" si="59"/>
        <v>insert into ins_premium_det (premium_rcv_code,assorted_code, rec_amount,premium_rcv_detail_code,remaining_amt, payrec, mode_code,coinsurance_code,class_cd,it_remarks) values('29Oct240071','040000185435','23248',(select max(to_number(i.premium_rcv_detail_code))+1
from ins_premium_det i),'23248','23248','02', '11000003','00','Request by Mr. Omair Ali 30-Aug-2024');</v>
      </c>
    </row>
    <row r="908" spans="1:8" ht="105" x14ac:dyDescent="0.25">
      <c r="A908" t="s">
        <v>1045</v>
      </c>
      <c r="B908" s="80" t="str">
        <f>VLOOKUP(A908,policy!B:C,2,0)</f>
        <v>040000185436</v>
      </c>
      <c r="C908" s="46">
        <v>16235</v>
      </c>
      <c r="D908" s="81">
        <f t="shared" si="57"/>
        <v>16235</v>
      </c>
      <c r="E908" s="79" t="s">
        <v>3563</v>
      </c>
      <c r="F908" s="82" t="str">
        <f t="shared" si="56"/>
        <v>insert into ins_premium_det (premium_rcv_code,assorted_code, rec_amount,premium_rcv_detail_code,remaining_amt, payrec, mode_code,coinsurance_code,class_cd,it_remarks) values</v>
      </c>
      <c r="G908" s="83" t="str">
        <f t="shared" si="58"/>
        <v>('29Oct240071','040000185436','16235',(select max(to_number(i.premium_rcv_detail_code))+1
from ins_premium_det i),'16235','16235','02', '11000003','00','Request by Mr. Omair Ali 30-Aug-2024');</v>
      </c>
      <c r="H908" s="84" t="str">
        <f t="shared" si="59"/>
        <v>insert into ins_premium_det (premium_rcv_code,assorted_code, rec_amount,premium_rcv_detail_code,remaining_amt, payrec, mode_code,coinsurance_code,class_cd,it_remarks) values('29Oct240071','040000185436','16235',(select max(to_number(i.premium_rcv_detail_code))+1
from ins_premium_det i),'16235','16235','02', '11000003','00','Request by Mr. Omair Ali 30-Aug-2024');</v>
      </c>
    </row>
    <row r="909" spans="1:8" ht="105" x14ac:dyDescent="0.25">
      <c r="A909" t="s">
        <v>1046</v>
      </c>
      <c r="B909" s="80" t="str">
        <f>VLOOKUP(A909,policy!B:C,2,0)</f>
        <v>040000185437</v>
      </c>
      <c r="C909" s="46">
        <v>16235</v>
      </c>
      <c r="D909" s="81">
        <f t="shared" si="57"/>
        <v>16235</v>
      </c>
      <c r="E909" s="79" t="s">
        <v>3563</v>
      </c>
      <c r="F909" s="82" t="str">
        <f t="shared" si="56"/>
        <v>insert into ins_premium_det (premium_rcv_code,assorted_code, rec_amount,premium_rcv_detail_code,remaining_amt, payrec, mode_code,coinsurance_code,class_cd,it_remarks) values</v>
      </c>
      <c r="G909" s="83" t="str">
        <f t="shared" si="58"/>
        <v>('29Oct240071','040000185437','16235',(select max(to_number(i.premium_rcv_detail_code))+1
from ins_premium_det i),'16235','16235','02', '11000003','00','Request by Mr. Omair Ali 30-Aug-2024');</v>
      </c>
      <c r="H909" s="84" t="str">
        <f t="shared" si="59"/>
        <v>insert into ins_premium_det (premium_rcv_code,assorted_code, rec_amount,premium_rcv_detail_code,remaining_amt, payrec, mode_code,coinsurance_code,class_cd,it_remarks) values('29Oct240071','040000185437','16235',(select max(to_number(i.premium_rcv_detail_code))+1
from ins_premium_det i),'16235','16235','02', '11000003','00','Request by Mr. Omair Ali 30-Aug-2024');</v>
      </c>
    </row>
    <row r="910" spans="1:8" ht="105" x14ac:dyDescent="0.25">
      <c r="A910" t="s">
        <v>1047</v>
      </c>
      <c r="B910" s="80" t="str">
        <f>VLOOKUP(A910,policy!B:C,2,0)</f>
        <v>040000185438</v>
      </c>
      <c r="C910" s="46">
        <v>16235</v>
      </c>
      <c r="D910" s="81">
        <f t="shared" si="57"/>
        <v>16235</v>
      </c>
      <c r="E910" s="79" t="s">
        <v>3563</v>
      </c>
      <c r="F910" s="82" t="str">
        <f t="shared" si="56"/>
        <v>insert into ins_premium_det (premium_rcv_code,assorted_code, rec_amount,premium_rcv_detail_code,remaining_amt, payrec, mode_code,coinsurance_code,class_cd,it_remarks) values</v>
      </c>
      <c r="G910" s="83" t="str">
        <f t="shared" si="58"/>
        <v>('29Oct240071','040000185438','16235',(select max(to_number(i.premium_rcv_detail_code))+1
from ins_premium_det i),'16235','16235','02', '11000003','00','Request by Mr. Omair Ali 30-Aug-2024');</v>
      </c>
      <c r="H910" s="84" t="str">
        <f t="shared" si="59"/>
        <v>insert into ins_premium_det (premium_rcv_code,assorted_code, rec_amount,premium_rcv_detail_code,remaining_amt, payrec, mode_code,coinsurance_code,class_cd,it_remarks) values('29Oct240071','040000185438','16235',(select max(to_number(i.premium_rcv_detail_code))+1
from ins_premium_det i),'16235','16235','02', '11000003','00','Request by Mr. Omair Ali 30-Aug-2024');</v>
      </c>
    </row>
    <row r="911" spans="1:8" ht="105" x14ac:dyDescent="0.25">
      <c r="A911" t="s">
        <v>1048</v>
      </c>
      <c r="B911" s="80" t="str">
        <f>VLOOKUP(A911,policy!B:C,2,0)</f>
        <v>040000185439</v>
      </c>
      <c r="C911" s="46">
        <v>16235</v>
      </c>
      <c r="D911" s="81">
        <f t="shared" si="57"/>
        <v>16235</v>
      </c>
      <c r="E911" s="79" t="s">
        <v>3563</v>
      </c>
      <c r="F911" s="82" t="str">
        <f t="shared" si="56"/>
        <v>insert into ins_premium_det (premium_rcv_code,assorted_code, rec_amount,premium_rcv_detail_code,remaining_amt, payrec, mode_code,coinsurance_code,class_cd,it_remarks) values</v>
      </c>
      <c r="G911" s="83" t="str">
        <f t="shared" si="58"/>
        <v>('29Oct240071','040000185439','16235',(select max(to_number(i.premium_rcv_detail_code))+1
from ins_premium_det i),'16235','16235','02', '11000003','00','Request by Mr. Omair Ali 30-Aug-2024');</v>
      </c>
      <c r="H911" s="84" t="str">
        <f t="shared" si="59"/>
        <v>insert into ins_premium_det (premium_rcv_code,assorted_code, rec_amount,premium_rcv_detail_code,remaining_amt, payrec, mode_code,coinsurance_code,class_cd,it_remarks) values('29Oct240071','040000185439','16235',(select max(to_number(i.premium_rcv_detail_code))+1
from ins_premium_det i),'16235','16235','02', '11000003','00','Request by Mr. Omair Ali 30-Aug-2024');</v>
      </c>
    </row>
    <row r="912" spans="1:8" ht="105" x14ac:dyDescent="0.25">
      <c r="A912" t="s">
        <v>1049</v>
      </c>
      <c r="B912" s="80" t="str">
        <f>VLOOKUP(A912,policy!B:C,2,0)</f>
        <v>040000185440</v>
      </c>
      <c r="C912" s="46">
        <v>14960</v>
      </c>
      <c r="D912" s="81">
        <f t="shared" si="57"/>
        <v>14960</v>
      </c>
      <c r="E912" s="79" t="s">
        <v>3563</v>
      </c>
      <c r="F912" s="82" t="str">
        <f t="shared" si="56"/>
        <v>insert into ins_premium_det (premium_rcv_code,assorted_code, rec_amount,premium_rcv_detail_code,remaining_amt, payrec, mode_code,coinsurance_code,class_cd,it_remarks) values</v>
      </c>
      <c r="G912" s="83" t="str">
        <f t="shared" si="58"/>
        <v>('29Oct240071','040000185440','14960',(select max(to_number(i.premium_rcv_detail_code))+1
from ins_premium_det i),'14960','14960','02', '11000003','00','Request by Mr. Omair Ali 30-Aug-2024');</v>
      </c>
      <c r="H912" s="84" t="str">
        <f t="shared" si="59"/>
        <v>insert into ins_premium_det (premium_rcv_code,assorted_code, rec_amount,premium_rcv_detail_code,remaining_amt, payrec, mode_code,coinsurance_code,class_cd,it_remarks) values('29Oct240071','040000185440','14960',(select max(to_number(i.premium_rcv_detail_code))+1
from ins_premium_det i),'14960','14960','02', '11000003','00','Request by Mr. Omair Ali 30-Aug-2024');</v>
      </c>
    </row>
    <row r="913" spans="1:8" ht="105" x14ac:dyDescent="0.25">
      <c r="A913" t="s">
        <v>1050</v>
      </c>
      <c r="B913" s="80" t="str">
        <f>VLOOKUP(A913,policy!B:C,2,0)</f>
        <v>040000185441</v>
      </c>
      <c r="C913" s="46">
        <v>14960</v>
      </c>
      <c r="D913" s="81">
        <f t="shared" si="57"/>
        <v>14960</v>
      </c>
      <c r="E913" s="79" t="s">
        <v>3563</v>
      </c>
      <c r="F913" s="82" t="str">
        <f t="shared" si="56"/>
        <v>insert into ins_premium_det (premium_rcv_code,assorted_code, rec_amount,premium_rcv_detail_code,remaining_amt, payrec, mode_code,coinsurance_code,class_cd,it_remarks) values</v>
      </c>
      <c r="G913" s="83" t="str">
        <f t="shared" si="58"/>
        <v>('29Oct240071','040000185441','14960',(select max(to_number(i.premium_rcv_detail_code))+1
from ins_premium_det i),'14960','14960','02', '11000003','00','Request by Mr. Omair Ali 30-Aug-2024');</v>
      </c>
      <c r="H913" s="84" t="str">
        <f t="shared" si="59"/>
        <v>insert into ins_premium_det (premium_rcv_code,assorted_code, rec_amount,premium_rcv_detail_code,remaining_amt, payrec, mode_code,coinsurance_code,class_cd,it_remarks) values('29Oct240071','040000185441','14960',(select max(to_number(i.premium_rcv_detail_code))+1
from ins_premium_det i),'14960','14960','02', '11000003','00','Request by Mr. Omair Ali 30-Aug-2024');</v>
      </c>
    </row>
    <row r="914" spans="1:8" ht="105" x14ac:dyDescent="0.25">
      <c r="A914" t="s">
        <v>1051</v>
      </c>
      <c r="B914" s="80" t="str">
        <f>VLOOKUP(A914,policy!B:C,2,0)</f>
        <v>040000185442</v>
      </c>
      <c r="C914" s="46">
        <v>14960</v>
      </c>
      <c r="D914" s="81">
        <f t="shared" si="57"/>
        <v>14960</v>
      </c>
      <c r="E914" s="79" t="s">
        <v>3563</v>
      </c>
      <c r="F914" s="82" t="str">
        <f t="shared" si="56"/>
        <v>insert into ins_premium_det (premium_rcv_code,assorted_code, rec_amount,premium_rcv_detail_code,remaining_amt, payrec, mode_code,coinsurance_code,class_cd,it_remarks) values</v>
      </c>
      <c r="G914" s="83" t="str">
        <f t="shared" si="58"/>
        <v>('29Oct240071','040000185442','14960',(select max(to_number(i.premium_rcv_detail_code))+1
from ins_premium_det i),'14960','14960','02', '11000003','00','Request by Mr. Omair Ali 30-Aug-2024');</v>
      </c>
      <c r="H914" s="84" t="str">
        <f t="shared" si="59"/>
        <v>insert into ins_premium_det (premium_rcv_code,assorted_code, rec_amount,premium_rcv_detail_code,remaining_amt, payrec, mode_code,coinsurance_code,class_cd,it_remarks) values('29Oct240071','040000185442','14960',(select max(to_number(i.premium_rcv_detail_code))+1
from ins_premium_det i),'14960','14960','02', '11000003','00','Request by Mr. Omair Ali 30-Aug-2024');</v>
      </c>
    </row>
    <row r="915" spans="1:8" ht="105" x14ac:dyDescent="0.25">
      <c r="A915" t="s">
        <v>1052</v>
      </c>
      <c r="B915" s="80" t="str">
        <f>VLOOKUP(A915,policy!B:C,2,0)</f>
        <v>040000185443</v>
      </c>
      <c r="C915" s="46">
        <v>14960</v>
      </c>
      <c r="D915" s="81">
        <f t="shared" si="57"/>
        <v>14960</v>
      </c>
      <c r="E915" s="79" t="s">
        <v>3563</v>
      </c>
      <c r="F915" s="82" t="str">
        <f t="shared" si="56"/>
        <v>insert into ins_premium_det (premium_rcv_code,assorted_code, rec_amount,premium_rcv_detail_code,remaining_amt, payrec, mode_code,coinsurance_code,class_cd,it_remarks) values</v>
      </c>
      <c r="G915" s="83" t="str">
        <f t="shared" si="58"/>
        <v>('29Oct240071','040000185443','14960',(select max(to_number(i.premium_rcv_detail_code))+1
from ins_premium_det i),'14960','14960','02', '11000003','00','Request by Mr. Omair Ali 30-Aug-2024');</v>
      </c>
      <c r="H915" s="84" t="str">
        <f t="shared" si="59"/>
        <v>insert into ins_premium_det (premium_rcv_code,assorted_code, rec_amount,premium_rcv_detail_code,remaining_amt, payrec, mode_code,coinsurance_code,class_cd,it_remarks) values('29Oct240071','040000185443','14960',(select max(to_number(i.premium_rcv_detail_code))+1
from ins_premium_det i),'14960','14960','02', '11000003','00','Request by Mr. Omair Ali 30-Aug-2024');</v>
      </c>
    </row>
    <row r="916" spans="1:8" ht="105" x14ac:dyDescent="0.25">
      <c r="A916" t="s">
        <v>1053</v>
      </c>
      <c r="B916" s="80" t="str">
        <f>VLOOKUP(A916,policy!B:C,2,0)</f>
        <v>040000185448</v>
      </c>
      <c r="C916" s="46">
        <v>23248</v>
      </c>
      <c r="D916" s="81">
        <f t="shared" si="57"/>
        <v>23248</v>
      </c>
      <c r="E916" s="79" t="s">
        <v>3563</v>
      </c>
      <c r="F916" s="82" t="str">
        <f t="shared" si="56"/>
        <v>insert into ins_premium_det (premium_rcv_code,assorted_code, rec_amount,premium_rcv_detail_code,remaining_amt, payrec, mode_code,coinsurance_code,class_cd,it_remarks) values</v>
      </c>
      <c r="G916" s="83" t="str">
        <f t="shared" si="58"/>
        <v>('29Oct240071','040000185448','23248',(select max(to_number(i.premium_rcv_detail_code))+1
from ins_premium_det i),'23248','23248','02', '11000003','00','Request by Mr. Omair Ali 30-Aug-2024');</v>
      </c>
      <c r="H916" s="84" t="str">
        <f t="shared" si="59"/>
        <v>insert into ins_premium_det (premium_rcv_code,assorted_code, rec_amount,premium_rcv_detail_code,remaining_amt, payrec, mode_code,coinsurance_code,class_cd,it_remarks) values('29Oct240071','040000185448','23248',(select max(to_number(i.premium_rcv_detail_code))+1
from ins_premium_det i),'23248','23248','02', '11000003','00','Request by Mr. Omair Ali 30-Aug-2024');</v>
      </c>
    </row>
    <row r="917" spans="1:8" ht="105" x14ac:dyDescent="0.25">
      <c r="A917" t="s">
        <v>1054</v>
      </c>
      <c r="B917" s="80" t="str">
        <f>VLOOKUP(A917,policy!B:C,2,0)</f>
        <v>040000185449</v>
      </c>
      <c r="C917" s="46">
        <v>23248</v>
      </c>
      <c r="D917" s="81">
        <f t="shared" si="57"/>
        <v>23248</v>
      </c>
      <c r="E917" s="79" t="s">
        <v>3563</v>
      </c>
      <c r="F917" s="82" t="str">
        <f t="shared" si="56"/>
        <v>insert into ins_premium_det (premium_rcv_code,assorted_code, rec_amount,premium_rcv_detail_code,remaining_amt, payrec, mode_code,coinsurance_code,class_cd,it_remarks) values</v>
      </c>
      <c r="G917" s="83" t="str">
        <f t="shared" si="58"/>
        <v>('29Oct240071','040000185449','23248',(select max(to_number(i.premium_rcv_detail_code))+1
from ins_premium_det i),'23248','23248','02', '11000003','00','Request by Mr. Omair Ali 30-Aug-2024');</v>
      </c>
      <c r="H917" s="84" t="str">
        <f t="shared" si="59"/>
        <v>insert into ins_premium_det (premium_rcv_code,assorted_code, rec_amount,premium_rcv_detail_code,remaining_amt, payrec, mode_code,coinsurance_code,class_cd,it_remarks) values('29Oct240071','040000185449','23248',(select max(to_number(i.premium_rcv_detail_code))+1
from ins_premium_det i),'23248','23248','02', '11000003','00','Request by Mr. Omair Ali 30-Aug-2024');</v>
      </c>
    </row>
    <row r="918" spans="1:8" ht="105" x14ac:dyDescent="0.25">
      <c r="A918" t="s">
        <v>1055</v>
      </c>
      <c r="B918" s="80" t="str">
        <f>VLOOKUP(A918,policy!B:C,2,0)</f>
        <v>040000185471</v>
      </c>
      <c r="C918" s="46">
        <v>14960</v>
      </c>
      <c r="D918" s="81">
        <f t="shared" si="57"/>
        <v>14960</v>
      </c>
      <c r="E918" s="79" t="s">
        <v>3563</v>
      </c>
      <c r="F918" s="82" t="str">
        <f t="shared" si="56"/>
        <v>insert into ins_premium_det (premium_rcv_code,assorted_code, rec_amount,premium_rcv_detail_code,remaining_amt, payrec, mode_code,coinsurance_code,class_cd,it_remarks) values</v>
      </c>
      <c r="G918" s="83" t="str">
        <f t="shared" si="58"/>
        <v>('29Oct240071','040000185471','14960',(select max(to_number(i.premium_rcv_detail_code))+1
from ins_premium_det i),'14960','14960','02', '11000003','00','Request by Mr. Omair Ali 30-Aug-2024');</v>
      </c>
      <c r="H918" s="84" t="str">
        <f t="shared" si="59"/>
        <v>insert into ins_premium_det (premium_rcv_code,assorted_code, rec_amount,premium_rcv_detail_code,remaining_amt, payrec, mode_code,coinsurance_code,class_cd,it_remarks) values('29Oct240071','040000185471','14960',(select max(to_number(i.premium_rcv_detail_code))+1
from ins_premium_det i),'14960','14960','02', '11000003','00','Request by Mr. Omair Ali 30-Aug-2024');</v>
      </c>
    </row>
    <row r="919" spans="1:8" ht="105" x14ac:dyDescent="0.25">
      <c r="A919" t="s">
        <v>1056</v>
      </c>
      <c r="B919" s="80" t="str">
        <f>VLOOKUP(A919,policy!B:C,2,0)</f>
        <v>040000185473</v>
      </c>
      <c r="C919" s="46">
        <v>9550</v>
      </c>
      <c r="D919" s="81">
        <f t="shared" si="57"/>
        <v>9550</v>
      </c>
      <c r="E919" s="79" t="s">
        <v>3563</v>
      </c>
      <c r="F919" s="82" t="str">
        <f t="shared" si="56"/>
        <v>insert into ins_premium_det (premium_rcv_code,assorted_code, rec_amount,premium_rcv_detail_code,remaining_amt, payrec, mode_code,coinsurance_code,class_cd,it_remarks) values</v>
      </c>
      <c r="G919" s="83" t="str">
        <f t="shared" si="58"/>
        <v>('29Oct240071','040000185473','9550',(select max(to_number(i.premium_rcv_detail_code))+1
from ins_premium_det i),'9550','9550','02', '11000003','00','Request by Mr. Omair Ali 30-Aug-2024');</v>
      </c>
      <c r="H919" s="84" t="str">
        <f t="shared" si="59"/>
        <v>insert into ins_premium_det (premium_rcv_code,assorted_code, rec_amount,premium_rcv_detail_code,remaining_amt, payrec, mode_code,coinsurance_code,class_cd,it_remarks) values('29Oct240071','040000185473','9550',(select max(to_number(i.premium_rcv_detail_code))+1
from ins_premium_det i),'9550','9550','02', '11000003','00','Request by Mr. Omair Ali 30-Aug-2024');</v>
      </c>
    </row>
    <row r="920" spans="1:8" ht="105" x14ac:dyDescent="0.25">
      <c r="A920" t="s">
        <v>1057</v>
      </c>
      <c r="B920" s="80" t="str">
        <f>VLOOKUP(A920,policy!B:C,2,0)</f>
        <v>040000185475</v>
      </c>
      <c r="C920" s="46">
        <v>13675</v>
      </c>
      <c r="D920" s="81">
        <f t="shared" si="57"/>
        <v>13675</v>
      </c>
      <c r="E920" s="79" t="s">
        <v>3563</v>
      </c>
      <c r="F920" s="82" t="str">
        <f t="shared" si="56"/>
        <v>insert into ins_premium_det (premium_rcv_code,assorted_code, rec_amount,premium_rcv_detail_code,remaining_amt, payrec, mode_code,coinsurance_code,class_cd,it_remarks) values</v>
      </c>
      <c r="G920" s="83" t="str">
        <f t="shared" si="58"/>
        <v>('29Oct240071','040000185475','13675',(select max(to_number(i.premium_rcv_detail_code))+1
from ins_premium_det i),'13675','13675','02', '11000003','00','Request by Mr. Omair Ali 30-Aug-2024');</v>
      </c>
      <c r="H920" s="84" t="str">
        <f t="shared" si="59"/>
        <v>insert into ins_premium_det (premium_rcv_code,assorted_code, rec_amount,premium_rcv_detail_code,remaining_amt, payrec, mode_code,coinsurance_code,class_cd,it_remarks) values('29Oct240071','040000185475','13675',(select max(to_number(i.premium_rcv_detail_code))+1
from ins_premium_det i),'13675','13675','02', '11000003','00','Request by Mr. Omair Ali 30-Aug-2024');</v>
      </c>
    </row>
    <row r="921" spans="1:8" ht="105" x14ac:dyDescent="0.25">
      <c r="A921" t="s">
        <v>1058</v>
      </c>
      <c r="B921" s="80" t="str">
        <f>VLOOKUP(A921,policy!B:C,2,0)</f>
        <v>040000185477</v>
      </c>
      <c r="C921" s="46">
        <v>9550</v>
      </c>
      <c r="D921" s="81">
        <f t="shared" si="57"/>
        <v>9550</v>
      </c>
      <c r="E921" s="79" t="s">
        <v>3563</v>
      </c>
      <c r="F921" s="82" t="str">
        <f t="shared" si="56"/>
        <v>insert into ins_premium_det (premium_rcv_code,assorted_code, rec_amount,premium_rcv_detail_code,remaining_amt, payrec, mode_code,coinsurance_code,class_cd,it_remarks) values</v>
      </c>
      <c r="G921" s="83" t="str">
        <f t="shared" si="58"/>
        <v>('29Oct240071','040000185477','9550',(select max(to_number(i.premium_rcv_detail_code))+1
from ins_premium_det i),'9550','9550','02', '11000003','00','Request by Mr. Omair Ali 30-Aug-2024');</v>
      </c>
      <c r="H921" s="84" t="str">
        <f t="shared" si="59"/>
        <v>insert into ins_premium_det (premium_rcv_code,assorted_code, rec_amount,premium_rcv_detail_code,remaining_amt, payrec, mode_code,coinsurance_code,class_cd,it_remarks) values('29Oct240071','040000185477','9550',(select max(to_number(i.premium_rcv_detail_code))+1
from ins_premium_det i),'9550','9550','02', '11000003','00','Request by Mr. Omair Ali 30-Aug-2024');</v>
      </c>
    </row>
    <row r="922" spans="1:8" ht="105" x14ac:dyDescent="0.25">
      <c r="A922" t="s">
        <v>1059</v>
      </c>
      <c r="B922" s="80" t="str">
        <f>VLOOKUP(A922,policy!B:C,2,0)</f>
        <v>040000185480</v>
      </c>
      <c r="C922" s="46">
        <v>13675</v>
      </c>
      <c r="D922" s="81">
        <f t="shared" si="57"/>
        <v>13675</v>
      </c>
      <c r="E922" s="79" t="s">
        <v>3563</v>
      </c>
      <c r="F922" s="82" t="str">
        <f t="shared" si="56"/>
        <v>insert into ins_premium_det (premium_rcv_code,assorted_code, rec_amount,premium_rcv_detail_code,remaining_amt, payrec, mode_code,coinsurance_code,class_cd,it_remarks) values</v>
      </c>
      <c r="G922" s="83" t="str">
        <f t="shared" si="58"/>
        <v>('29Oct240071','040000185480','13675',(select max(to_number(i.premium_rcv_detail_code))+1
from ins_premium_det i),'13675','13675','02', '11000003','00','Request by Mr. Omair Ali 30-Aug-2024');</v>
      </c>
      <c r="H922" s="84" t="str">
        <f t="shared" si="59"/>
        <v>insert into ins_premium_det (premium_rcv_code,assorted_code, rec_amount,premium_rcv_detail_code,remaining_amt, payrec, mode_code,coinsurance_code,class_cd,it_remarks) values('29Oct240071','040000185480','13675',(select max(to_number(i.premium_rcv_detail_code))+1
from ins_premium_det i),'13675','13675','02', '11000003','00','Request by Mr. Omair Ali 30-Aug-2024');</v>
      </c>
    </row>
    <row r="923" spans="1:8" ht="105" x14ac:dyDescent="0.25">
      <c r="A923" t="s">
        <v>1060</v>
      </c>
      <c r="B923" s="80" t="str">
        <f>VLOOKUP(A923,policy!B:C,2,0)</f>
        <v>040000185481</v>
      </c>
      <c r="C923" s="46">
        <v>9550</v>
      </c>
      <c r="D923" s="81">
        <f t="shared" si="57"/>
        <v>9550</v>
      </c>
      <c r="E923" s="79" t="s">
        <v>3563</v>
      </c>
      <c r="F923" s="82" t="str">
        <f t="shared" si="56"/>
        <v>insert into ins_premium_det (premium_rcv_code,assorted_code, rec_amount,premium_rcv_detail_code,remaining_amt, payrec, mode_code,coinsurance_code,class_cd,it_remarks) values</v>
      </c>
      <c r="G923" s="83" t="str">
        <f t="shared" si="58"/>
        <v>('29Oct240071','040000185481','9550',(select max(to_number(i.premium_rcv_detail_code))+1
from ins_premium_det i),'9550','9550','02', '11000003','00','Request by Mr. Omair Ali 30-Aug-2024');</v>
      </c>
      <c r="H923" s="84" t="str">
        <f t="shared" si="59"/>
        <v>insert into ins_premium_det (premium_rcv_code,assorted_code, rec_amount,premium_rcv_detail_code,remaining_amt, payrec, mode_code,coinsurance_code,class_cd,it_remarks) values('29Oct240071','040000185481','9550',(select max(to_number(i.premium_rcv_detail_code))+1
from ins_premium_det i),'9550','9550','02', '11000003','00','Request by Mr. Omair Ali 30-Aug-2024');</v>
      </c>
    </row>
    <row r="924" spans="1:8" ht="105" x14ac:dyDescent="0.25">
      <c r="A924" t="s">
        <v>1061</v>
      </c>
      <c r="B924" s="80" t="str">
        <f>VLOOKUP(A924,policy!B:C,2,0)</f>
        <v>040000185482</v>
      </c>
      <c r="C924" s="46">
        <v>9550</v>
      </c>
      <c r="D924" s="81">
        <f t="shared" si="57"/>
        <v>9550</v>
      </c>
      <c r="E924" s="79" t="s">
        <v>3563</v>
      </c>
      <c r="F924" s="82" t="str">
        <f t="shared" si="56"/>
        <v>insert into ins_premium_det (premium_rcv_code,assorted_code, rec_amount,premium_rcv_detail_code,remaining_amt, payrec, mode_code,coinsurance_code,class_cd,it_remarks) values</v>
      </c>
      <c r="G924" s="83" t="str">
        <f t="shared" si="58"/>
        <v>('29Oct240071','040000185482','9550',(select max(to_number(i.premium_rcv_detail_code))+1
from ins_premium_det i),'9550','9550','02', '11000003','00','Request by Mr. Omair Ali 30-Aug-2024');</v>
      </c>
      <c r="H924" s="84" t="str">
        <f t="shared" si="59"/>
        <v>insert into ins_premium_det (premium_rcv_code,assorted_code, rec_amount,premium_rcv_detail_code,remaining_amt, payrec, mode_code,coinsurance_code,class_cd,it_remarks) values('29Oct240071','040000185482','9550',(select max(to_number(i.premium_rcv_detail_code))+1
from ins_premium_det i),'9550','9550','02', '11000003','00','Request by Mr. Omair Ali 30-Aug-2024');</v>
      </c>
    </row>
    <row r="925" spans="1:8" ht="105" x14ac:dyDescent="0.25">
      <c r="A925" t="s">
        <v>1062</v>
      </c>
      <c r="B925" s="80" t="str">
        <f>VLOOKUP(A925,policy!B:C,2,0)</f>
        <v>040000185484</v>
      </c>
      <c r="C925" s="46">
        <v>8800</v>
      </c>
      <c r="D925" s="81">
        <f t="shared" si="57"/>
        <v>8800</v>
      </c>
      <c r="E925" s="79" t="s">
        <v>3563</v>
      </c>
      <c r="F925" s="82" t="str">
        <f t="shared" si="56"/>
        <v>insert into ins_premium_det (premium_rcv_code,assorted_code, rec_amount,premium_rcv_detail_code,remaining_amt, payrec, mode_code,coinsurance_code,class_cd,it_remarks) values</v>
      </c>
      <c r="G925" s="83" t="str">
        <f t="shared" si="58"/>
        <v>('29Oct240071','040000185484','8800',(select max(to_number(i.premium_rcv_detail_code))+1
from ins_premium_det i),'8800','8800','02', '11000003','00','Request by Mr. Omair Ali 30-Aug-2024');</v>
      </c>
      <c r="H925" s="84" t="str">
        <f t="shared" si="59"/>
        <v>insert into ins_premium_det (premium_rcv_code,assorted_code, rec_amount,premium_rcv_detail_code,remaining_amt, payrec, mode_code,coinsurance_code,class_cd,it_remarks) values('29Oct240071','040000185484','8800',(select max(to_number(i.premium_rcv_detail_code))+1
from ins_premium_det i),'8800','8800','02', '11000003','00','Request by Mr. Omair Ali 30-Aug-2024');</v>
      </c>
    </row>
    <row r="926" spans="1:8" ht="105" x14ac:dyDescent="0.25">
      <c r="A926" t="s">
        <v>1063</v>
      </c>
      <c r="B926" s="80" t="str">
        <f>VLOOKUP(A926,policy!B:C,2,0)</f>
        <v>040000185485</v>
      </c>
      <c r="C926" s="46">
        <v>9550</v>
      </c>
      <c r="D926" s="81">
        <f t="shared" si="57"/>
        <v>9550</v>
      </c>
      <c r="E926" s="79" t="s">
        <v>3563</v>
      </c>
      <c r="F926" s="82" t="str">
        <f t="shared" si="56"/>
        <v>insert into ins_premium_det (premium_rcv_code,assorted_code, rec_amount,premium_rcv_detail_code,remaining_amt, payrec, mode_code,coinsurance_code,class_cd,it_remarks) values</v>
      </c>
      <c r="G926" s="83" t="str">
        <f t="shared" si="58"/>
        <v>('29Oct240071','040000185485','9550',(select max(to_number(i.premium_rcv_detail_code))+1
from ins_premium_det i),'9550','9550','02', '11000003','00','Request by Mr. Omair Ali 30-Aug-2024');</v>
      </c>
      <c r="H926" s="84" t="str">
        <f t="shared" si="59"/>
        <v>insert into ins_premium_det (premium_rcv_code,assorted_code, rec_amount,premium_rcv_detail_code,remaining_amt, payrec, mode_code,coinsurance_code,class_cd,it_remarks) values('29Oct240071','040000185485','9550',(select max(to_number(i.premium_rcv_detail_code))+1
from ins_premium_det i),'9550','9550','02', '11000003','00','Request by Mr. Omair Ali 30-Aug-2024');</v>
      </c>
    </row>
    <row r="927" spans="1:8" ht="105" x14ac:dyDescent="0.25">
      <c r="A927" t="s">
        <v>1064</v>
      </c>
      <c r="B927" s="80" t="str">
        <f>VLOOKUP(A927,policy!B:C,2,0)</f>
        <v>040000185486</v>
      </c>
      <c r="C927" s="46">
        <v>9550</v>
      </c>
      <c r="D927" s="81">
        <f t="shared" si="57"/>
        <v>9550</v>
      </c>
      <c r="E927" s="79" t="s">
        <v>3563</v>
      </c>
      <c r="F927" s="82" t="str">
        <f t="shared" si="56"/>
        <v>insert into ins_premium_det (premium_rcv_code,assorted_code, rec_amount,premium_rcv_detail_code,remaining_amt, payrec, mode_code,coinsurance_code,class_cd,it_remarks) values</v>
      </c>
      <c r="G927" s="83" t="str">
        <f t="shared" si="58"/>
        <v>('29Oct240071','040000185486','9550',(select max(to_number(i.premium_rcv_detail_code))+1
from ins_premium_det i),'9550','9550','02', '11000003','00','Request by Mr. Omair Ali 30-Aug-2024');</v>
      </c>
      <c r="H927" s="84" t="str">
        <f t="shared" si="59"/>
        <v>insert into ins_premium_det (premium_rcv_code,assorted_code, rec_amount,premium_rcv_detail_code,remaining_amt, payrec, mode_code,coinsurance_code,class_cd,it_remarks) values('29Oct240071','040000185486','9550',(select max(to_number(i.premium_rcv_detail_code))+1
from ins_premium_det i),'9550','9550','02', '11000003','00','Request by Mr. Omair Ali 30-Aug-2024');</v>
      </c>
    </row>
    <row r="928" spans="1:8" ht="105" x14ac:dyDescent="0.25">
      <c r="A928" t="s">
        <v>1065</v>
      </c>
      <c r="B928" s="80" t="str">
        <f>VLOOKUP(A928,policy!B:C,2,0)</f>
        <v>040000185487</v>
      </c>
      <c r="C928" s="46">
        <v>9550</v>
      </c>
      <c r="D928" s="81">
        <f t="shared" si="57"/>
        <v>9550</v>
      </c>
      <c r="E928" s="79" t="s">
        <v>3563</v>
      </c>
      <c r="F928" s="82" t="str">
        <f t="shared" si="56"/>
        <v>insert into ins_premium_det (premium_rcv_code,assorted_code, rec_amount,premium_rcv_detail_code,remaining_amt, payrec, mode_code,coinsurance_code,class_cd,it_remarks) values</v>
      </c>
      <c r="G928" s="83" t="str">
        <f t="shared" si="58"/>
        <v>('29Oct240071','040000185487','9550',(select max(to_number(i.premium_rcv_detail_code))+1
from ins_premium_det i),'9550','9550','02', '11000003','00','Request by Mr. Omair Ali 30-Aug-2024');</v>
      </c>
      <c r="H928" s="84" t="str">
        <f t="shared" si="59"/>
        <v>insert into ins_premium_det (premium_rcv_code,assorted_code, rec_amount,premium_rcv_detail_code,remaining_amt, payrec, mode_code,coinsurance_code,class_cd,it_remarks) values('29Oct240071','040000185487','9550',(select max(to_number(i.premium_rcv_detail_code))+1
from ins_premium_det i),'9550','9550','02', '11000003','00','Request by Mr. Omair Ali 30-Aug-2024');</v>
      </c>
    </row>
    <row r="929" spans="1:8" ht="105" x14ac:dyDescent="0.25">
      <c r="A929" t="s">
        <v>1066</v>
      </c>
      <c r="B929" s="80" t="str">
        <f>VLOOKUP(A929,policy!B:C,2,0)</f>
        <v>040000185488</v>
      </c>
      <c r="C929" s="46">
        <v>8800</v>
      </c>
      <c r="D929" s="81">
        <f t="shared" si="57"/>
        <v>8800</v>
      </c>
      <c r="E929" s="79" t="s">
        <v>3563</v>
      </c>
      <c r="F929" s="82" t="str">
        <f t="shared" si="56"/>
        <v>insert into ins_premium_det (premium_rcv_code,assorted_code, rec_amount,premium_rcv_detail_code,remaining_amt, payrec, mode_code,coinsurance_code,class_cd,it_remarks) values</v>
      </c>
      <c r="G929" s="83" t="str">
        <f t="shared" si="58"/>
        <v>('29Oct240071','040000185488','8800',(select max(to_number(i.premium_rcv_detail_code))+1
from ins_premium_det i),'8800','8800','02', '11000003','00','Request by Mr. Omair Ali 30-Aug-2024');</v>
      </c>
      <c r="H929" s="84" t="str">
        <f t="shared" si="59"/>
        <v>insert into ins_premium_det (premium_rcv_code,assorted_code, rec_amount,premium_rcv_detail_code,remaining_amt, payrec, mode_code,coinsurance_code,class_cd,it_remarks) values('29Oct240071','040000185488','8800',(select max(to_number(i.premium_rcv_detail_code))+1
from ins_premium_det i),'8800','8800','02', '11000003','00','Request by Mr. Omair Ali 30-Aug-2024');</v>
      </c>
    </row>
    <row r="930" spans="1:8" ht="105" x14ac:dyDescent="0.25">
      <c r="A930" t="s">
        <v>1067</v>
      </c>
      <c r="B930" s="80" t="str">
        <f>VLOOKUP(A930,policy!B:C,2,0)</f>
        <v>040000185489</v>
      </c>
      <c r="C930" s="46">
        <v>9550</v>
      </c>
      <c r="D930" s="81">
        <f t="shared" si="57"/>
        <v>9550</v>
      </c>
      <c r="E930" s="79" t="s">
        <v>3563</v>
      </c>
      <c r="F930" s="82" t="str">
        <f t="shared" si="56"/>
        <v>insert into ins_premium_det (premium_rcv_code,assorted_code, rec_amount,premium_rcv_detail_code,remaining_amt, payrec, mode_code,coinsurance_code,class_cd,it_remarks) values</v>
      </c>
      <c r="G930" s="83" t="str">
        <f t="shared" si="58"/>
        <v>('29Oct240071','040000185489','9550',(select max(to_number(i.premium_rcv_detail_code))+1
from ins_premium_det i),'9550','9550','02', '11000003','00','Request by Mr. Omair Ali 30-Aug-2024');</v>
      </c>
      <c r="H930" s="84" t="str">
        <f t="shared" si="59"/>
        <v>insert into ins_premium_det (premium_rcv_code,assorted_code, rec_amount,premium_rcv_detail_code,remaining_amt, payrec, mode_code,coinsurance_code,class_cd,it_remarks) values('29Oct240071','040000185489','9550',(select max(to_number(i.premium_rcv_detail_code))+1
from ins_premium_det i),'9550','9550','02', '11000003','00','Request by Mr. Omair Ali 30-Aug-2024');</v>
      </c>
    </row>
    <row r="931" spans="1:8" ht="105" x14ac:dyDescent="0.25">
      <c r="A931" t="s">
        <v>1068</v>
      </c>
      <c r="B931" s="80" t="str">
        <f>VLOOKUP(A931,policy!B:C,2,0)</f>
        <v>040000185490</v>
      </c>
      <c r="C931" s="46">
        <v>12475</v>
      </c>
      <c r="D931" s="81">
        <f t="shared" si="57"/>
        <v>12475</v>
      </c>
      <c r="E931" s="79" t="s">
        <v>3563</v>
      </c>
      <c r="F931" s="82" t="str">
        <f t="shared" si="56"/>
        <v>insert into ins_premium_det (premium_rcv_code,assorted_code, rec_amount,premium_rcv_detail_code,remaining_amt, payrec, mode_code,coinsurance_code,class_cd,it_remarks) values</v>
      </c>
      <c r="G931" s="83" t="str">
        <f t="shared" si="58"/>
        <v>('29Oct240071','040000185490','12475',(select max(to_number(i.premium_rcv_detail_code))+1
from ins_premium_det i),'12475','12475','02', '11000003','00','Request by Mr. Omair Ali 30-Aug-2024');</v>
      </c>
      <c r="H931" s="84" t="str">
        <f t="shared" si="59"/>
        <v>insert into ins_premium_det (premium_rcv_code,assorted_code, rec_amount,premium_rcv_detail_code,remaining_amt, payrec, mode_code,coinsurance_code,class_cd,it_remarks) values('29Oct240071','040000185490','12475',(select max(to_number(i.premium_rcv_detail_code))+1
from ins_premium_det i),'12475','12475','02', '11000003','00','Request by Mr. Omair Ali 30-Aug-2024');</v>
      </c>
    </row>
    <row r="932" spans="1:8" ht="105" x14ac:dyDescent="0.25">
      <c r="A932" t="s">
        <v>1069</v>
      </c>
      <c r="B932" s="80" t="str">
        <f>VLOOKUP(A932,policy!B:C,2,0)</f>
        <v>040000185492</v>
      </c>
      <c r="C932" s="46">
        <v>9550</v>
      </c>
      <c r="D932" s="81">
        <f t="shared" si="57"/>
        <v>9550</v>
      </c>
      <c r="E932" s="79" t="s">
        <v>3563</v>
      </c>
      <c r="F932" s="82" t="str">
        <f t="shared" si="56"/>
        <v>insert into ins_premium_det (premium_rcv_code,assorted_code, rec_amount,premium_rcv_detail_code,remaining_amt, payrec, mode_code,coinsurance_code,class_cd,it_remarks) values</v>
      </c>
      <c r="G932" s="83" t="str">
        <f t="shared" si="58"/>
        <v>('29Oct240071','040000185492','9550',(select max(to_number(i.premium_rcv_detail_code))+1
from ins_premium_det i),'9550','9550','02', '11000003','00','Request by Mr. Omair Ali 30-Aug-2024');</v>
      </c>
      <c r="H932" s="84" t="str">
        <f t="shared" si="59"/>
        <v>insert into ins_premium_det (premium_rcv_code,assorted_code, rec_amount,premium_rcv_detail_code,remaining_amt, payrec, mode_code,coinsurance_code,class_cd,it_remarks) values('29Oct240071','040000185492','9550',(select max(to_number(i.premium_rcv_detail_code))+1
from ins_premium_det i),'9550','9550','02', '11000003','00','Request by Mr. Omair Ali 30-Aug-2024');</v>
      </c>
    </row>
    <row r="933" spans="1:8" ht="105" x14ac:dyDescent="0.25">
      <c r="A933" t="s">
        <v>1070</v>
      </c>
      <c r="B933" s="80" t="str">
        <f>VLOOKUP(A933,policy!B:C,2,0)</f>
        <v>040000185494</v>
      </c>
      <c r="C933" s="46">
        <v>9550</v>
      </c>
      <c r="D933" s="81">
        <f t="shared" si="57"/>
        <v>9550</v>
      </c>
      <c r="E933" s="79" t="s">
        <v>3563</v>
      </c>
      <c r="F933" s="82" t="str">
        <f t="shared" si="56"/>
        <v>insert into ins_premium_det (premium_rcv_code,assorted_code, rec_amount,premium_rcv_detail_code,remaining_amt, payrec, mode_code,coinsurance_code,class_cd,it_remarks) values</v>
      </c>
      <c r="G933" s="83" t="str">
        <f t="shared" si="58"/>
        <v>('29Oct240071','040000185494','9550',(select max(to_number(i.premium_rcv_detail_code))+1
from ins_premium_det i),'9550','9550','02', '11000003','00','Request by Mr. Omair Ali 30-Aug-2024');</v>
      </c>
      <c r="H933" s="84" t="str">
        <f t="shared" si="59"/>
        <v>insert into ins_premium_det (premium_rcv_code,assorted_code, rec_amount,premium_rcv_detail_code,remaining_amt, payrec, mode_code,coinsurance_code,class_cd,it_remarks) values('29Oct240071','040000185494','9550',(select max(to_number(i.premium_rcv_detail_code))+1
from ins_premium_det i),'9550','9550','02', '11000003','00','Request by Mr. Omair Ali 30-Aug-2024');</v>
      </c>
    </row>
    <row r="934" spans="1:8" ht="105" x14ac:dyDescent="0.25">
      <c r="A934" t="s">
        <v>1071</v>
      </c>
      <c r="B934" s="80" t="str">
        <f>VLOOKUP(A934,policy!B:C,2,0)</f>
        <v>040000185497</v>
      </c>
      <c r="C934" s="46">
        <v>12475</v>
      </c>
      <c r="D934" s="81">
        <f t="shared" si="57"/>
        <v>12475</v>
      </c>
      <c r="E934" s="79" t="s">
        <v>3563</v>
      </c>
      <c r="F934" s="82" t="str">
        <f t="shared" si="56"/>
        <v>insert into ins_premium_det (premium_rcv_code,assorted_code, rec_amount,premium_rcv_detail_code,remaining_amt, payrec, mode_code,coinsurance_code,class_cd,it_remarks) values</v>
      </c>
      <c r="G934" s="83" t="str">
        <f t="shared" si="58"/>
        <v>('29Oct240071','040000185497','12475',(select max(to_number(i.premium_rcv_detail_code))+1
from ins_premium_det i),'12475','12475','02', '11000003','00','Request by Mr. Omair Ali 30-Aug-2024');</v>
      </c>
      <c r="H934" s="84" t="str">
        <f t="shared" si="59"/>
        <v>insert into ins_premium_det (premium_rcv_code,assorted_code, rec_amount,premium_rcv_detail_code,remaining_amt, payrec, mode_code,coinsurance_code,class_cd,it_remarks) values('29Oct240071','040000185497','12475',(select max(to_number(i.premium_rcv_detail_code))+1
from ins_premium_det i),'12475','12475','02', '11000003','00','Request by Mr. Omair Ali 30-Aug-2024');</v>
      </c>
    </row>
    <row r="935" spans="1:8" ht="105" x14ac:dyDescent="0.25">
      <c r="A935" t="s">
        <v>1072</v>
      </c>
      <c r="B935" s="80" t="str">
        <f>VLOOKUP(A935,policy!B:C,2,0)</f>
        <v>040000185498</v>
      </c>
      <c r="C935" s="46">
        <v>8800</v>
      </c>
      <c r="D935" s="81">
        <f t="shared" si="57"/>
        <v>8800</v>
      </c>
      <c r="E935" s="79" t="s">
        <v>3563</v>
      </c>
      <c r="F935" s="82" t="str">
        <f t="shared" si="56"/>
        <v>insert into ins_premium_det (premium_rcv_code,assorted_code, rec_amount,premium_rcv_detail_code,remaining_amt, payrec, mode_code,coinsurance_code,class_cd,it_remarks) values</v>
      </c>
      <c r="G935" s="83" t="str">
        <f t="shared" si="58"/>
        <v>('29Oct240071','040000185498','8800',(select max(to_number(i.premium_rcv_detail_code))+1
from ins_premium_det i),'8800','8800','02', '11000003','00','Request by Mr. Omair Ali 30-Aug-2024');</v>
      </c>
      <c r="H935" s="84" t="str">
        <f t="shared" si="59"/>
        <v>insert into ins_premium_det (premium_rcv_code,assorted_code, rec_amount,premium_rcv_detail_code,remaining_amt, payrec, mode_code,coinsurance_code,class_cd,it_remarks) values('29Oct240071','040000185498','8800',(select max(to_number(i.premium_rcv_detail_code))+1
from ins_premium_det i),'8800','8800','02', '11000003','00','Request by Mr. Omair Ali 30-Aug-2024');</v>
      </c>
    </row>
    <row r="936" spans="1:8" ht="105" x14ac:dyDescent="0.25">
      <c r="A936" t="s">
        <v>1073</v>
      </c>
      <c r="B936" s="80" t="str">
        <f>VLOOKUP(A936,policy!B:C,2,0)</f>
        <v>040000185500</v>
      </c>
      <c r="C936" s="46">
        <v>9550</v>
      </c>
      <c r="D936" s="81">
        <f t="shared" si="57"/>
        <v>9550</v>
      </c>
      <c r="E936" s="79" t="s">
        <v>3563</v>
      </c>
      <c r="F936" s="82" t="str">
        <f t="shared" si="56"/>
        <v>insert into ins_premium_det (premium_rcv_code,assorted_code, rec_amount,premium_rcv_detail_code,remaining_amt, payrec, mode_code,coinsurance_code,class_cd,it_remarks) values</v>
      </c>
      <c r="G936" s="83" t="str">
        <f t="shared" si="58"/>
        <v>('29Oct240071','040000185500','9550',(select max(to_number(i.premium_rcv_detail_code))+1
from ins_premium_det i),'9550','9550','02', '11000003','00','Request by Mr. Omair Ali 30-Aug-2024');</v>
      </c>
      <c r="H936" s="84" t="str">
        <f t="shared" si="59"/>
        <v>insert into ins_premium_det (premium_rcv_code,assorted_code, rec_amount,premium_rcv_detail_code,remaining_amt, payrec, mode_code,coinsurance_code,class_cd,it_remarks) values('29Oct240071','040000185500','9550',(select max(to_number(i.premium_rcv_detail_code))+1
from ins_premium_det i),'9550','9550','02', '11000003','00','Request by Mr. Omair Ali 30-Aug-2024');</v>
      </c>
    </row>
    <row r="937" spans="1:8" ht="105" x14ac:dyDescent="0.25">
      <c r="A937" t="s">
        <v>1074</v>
      </c>
      <c r="B937" s="80" t="str">
        <f>VLOOKUP(A937,policy!B:C,2,0)</f>
        <v>040000185505</v>
      </c>
      <c r="C937" s="46">
        <v>21208</v>
      </c>
      <c r="D937" s="81">
        <f t="shared" si="57"/>
        <v>21208</v>
      </c>
      <c r="E937" s="79" t="s">
        <v>3563</v>
      </c>
      <c r="F937" s="82" t="str">
        <f t="shared" si="56"/>
        <v>insert into ins_premium_det (premium_rcv_code,assorted_code, rec_amount,premium_rcv_detail_code,remaining_amt, payrec, mode_code,coinsurance_code,class_cd,it_remarks) values</v>
      </c>
      <c r="G937" s="83" t="str">
        <f t="shared" si="58"/>
        <v>('29Oct240071','040000185505','21208',(select max(to_number(i.premium_rcv_detail_code))+1
from ins_premium_det i),'21208','21208','02', '11000003','00','Request by Mr. Omair Ali 30-Aug-2024');</v>
      </c>
      <c r="H937" s="84" t="str">
        <f t="shared" si="59"/>
        <v>insert into ins_premium_det (premium_rcv_code,assorted_code, rec_amount,premium_rcv_detail_code,remaining_amt, payrec, mode_code,coinsurance_code,class_cd,it_remarks) values('29Oct240071','040000185505','21208',(select max(to_number(i.premium_rcv_detail_code))+1
from ins_premium_det i),'21208','21208','02', '11000003','00','Request by Mr. Omair Ali 30-Aug-2024');</v>
      </c>
    </row>
    <row r="938" spans="1:8" ht="105" x14ac:dyDescent="0.25">
      <c r="A938" t="s">
        <v>1075</v>
      </c>
      <c r="B938" s="80" t="str">
        <f>VLOOKUP(A938,policy!B:C,2,0)</f>
        <v>040000185506</v>
      </c>
      <c r="C938" s="46">
        <v>21208</v>
      </c>
      <c r="D938" s="81">
        <f t="shared" si="57"/>
        <v>21208</v>
      </c>
      <c r="E938" s="79" t="s">
        <v>3563</v>
      </c>
      <c r="F938" s="82" t="str">
        <f t="shared" si="56"/>
        <v>insert into ins_premium_det (premium_rcv_code,assorted_code, rec_amount,premium_rcv_detail_code,remaining_amt, payrec, mode_code,coinsurance_code,class_cd,it_remarks) values</v>
      </c>
      <c r="G938" s="83" t="str">
        <f t="shared" si="58"/>
        <v>('29Oct240071','040000185506','21208',(select max(to_number(i.premium_rcv_detail_code))+1
from ins_premium_det i),'21208','21208','02', '11000003','00','Request by Mr. Omair Ali 30-Aug-2024');</v>
      </c>
      <c r="H938" s="84" t="str">
        <f t="shared" si="59"/>
        <v>insert into ins_premium_det (premium_rcv_code,assorted_code, rec_amount,premium_rcv_detail_code,remaining_amt, payrec, mode_code,coinsurance_code,class_cd,it_remarks) values('29Oct240071','040000185506','21208',(select max(to_number(i.premium_rcv_detail_code))+1
from ins_premium_det i),'21208','21208','02', '11000003','00','Request by Mr. Omair Ali 30-Aug-2024');</v>
      </c>
    </row>
    <row r="939" spans="1:8" ht="105" x14ac:dyDescent="0.25">
      <c r="A939" t="s">
        <v>1076</v>
      </c>
      <c r="B939" s="80" t="str">
        <f>VLOOKUP(A939,policy!B:C,2,0)</f>
        <v>040000185512</v>
      </c>
      <c r="C939" s="46">
        <v>23248</v>
      </c>
      <c r="D939" s="81">
        <f t="shared" si="57"/>
        <v>23248</v>
      </c>
      <c r="E939" s="79" t="s">
        <v>3563</v>
      </c>
      <c r="F939" s="82" t="str">
        <f t="shared" si="56"/>
        <v>insert into ins_premium_det (premium_rcv_code,assorted_code, rec_amount,premium_rcv_detail_code,remaining_amt, payrec, mode_code,coinsurance_code,class_cd,it_remarks) values</v>
      </c>
      <c r="G939" s="83" t="str">
        <f t="shared" si="58"/>
        <v>('29Oct240071','040000185512','23248',(select max(to_number(i.premium_rcv_detail_code))+1
from ins_premium_det i),'23248','23248','02', '11000003','00','Request by Mr. Omair Ali 30-Aug-2024');</v>
      </c>
      <c r="H939" s="84" t="str">
        <f t="shared" si="59"/>
        <v>insert into ins_premium_det (premium_rcv_code,assorted_code, rec_amount,premium_rcv_detail_code,remaining_amt, payrec, mode_code,coinsurance_code,class_cd,it_remarks) values('29Oct240071','040000185512','23248',(select max(to_number(i.premium_rcv_detail_code))+1
from ins_premium_det i),'23248','23248','02', '11000003','00','Request by Mr. Omair Ali 30-Aug-2024');</v>
      </c>
    </row>
    <row r="940" spans="1:8" ht="105" x14ac:dyDescent="0.25">
      <c r="A940" t="s">
        <v>1077</v>
      </c>
      <c r="B940" s="80" t="str">
        <f>VLOOKUP(A940,policy!B:C,2,0)</f>
        <v>040000185513</v>
      </c>
      <c r="C940" s="46">
        <v>23248</v>
      </c>
      <c r="D940" s="81">
        <f t="shared" si="57"/>
        <v>23248</v>
      </c>
      <c r="E940" s="79" t="s">
        <v>3563</v>
      </c>
      <c r="F940" s="82" t="str">
        <f t="shared" si="56"/>
        <v>insert into ins_premium_det (premium_rcv_code,assorted_code, rec_amount,premium_rcv_detail_code,remaining_amt, payrec, mode_code,coinsurance_code,class_cd,it_remarks) values</v>
      </c>
      <c r="G940" s="83" t="str">
        <f t="shared" si="58"/>
        <v>('29Oct240071','040000185513','23248',(select max(to_number(i.premium_rcv_detail_code))+1
from ins_premium_det i),'23248','23248','02', '11000003','00','Request by Mr. Omair Ali 30-Aug-2024');</v>
      </c>
      <c r="H940" s="84" t="str">
        <f t="shared" si="59"/>
        <v>insert into ins_premium_det (premium_rcv_code,assorted_code, rec_amount,premium_rcv_detail_code,remaining_amt, payrec, mode_code,coinsurance_code,class_cd,it_remarks) values('29Oct240071','040000185513','23248',(select max(to_number(i.premium_rcv_detail_code))+1
from ins_premium_det i),'23248','23248','02', '11000003','00','Request by Mr. Omair Ali 30-Aug-2024');</v>
      </c>
    </row>
    <row r="941" spans="1:8" ht="105" x14ac:dyDescent="0.25">
      <c r="A941" t="s">
        <v>1078</v>
      </c>
      <c r="B941" s="80" t="str">
        <f>VLOOKUP(A941,policy!B:C,2,0)</f>
        <v>040000185517</v>
      </c>
      <c r="C941" s="46">
        <v>21208</v>
      </c>
      <c r="D941" s="81">
        <f t="shared" si="57"/>
        <v>21208</v>
      </c>
      <c r="E941" s="79" t="s">
        <v>3563</v>
      </c>
      <c r="F941" s="82" t="str">
        <f t="shared" si="56"/>
        <v>insert into ins_premium_det (premium_rcv_code,assorted_code, rec_amount,premium_rcv_detail_code,remaining_amt, payrec, mode_code,coinsurance_code,class_cd,it_remarks) values</v>
      </c>
      <c r="G941" s="83" t="str">
        <f t="shared" si="58"/>
        <v>('29Oct240071','040000185517','21208',(select max(to_number(i.premium_rcv_detail_code))+1
from ins_premium_det i),'21208','21208','02', '11000003','00','Request by Mr. Omair Ali 30-Aug-2024');</v>
      </c>
      <c r="H941" s="84" t="str">
        <f t="shared" si="59"/>
        <v>insert into ins_premium_det (premium_rcv_code,assorted_code, rec_amount,premium_rcv_detail_code,remaining_amt, payrec, mode_code,coinsurance_code,class_cd,it_remarks) values('29Oct240071','040000185517','21208',(select max(to_number(i.premium_rcv_detail_code))+1
from ins_premium_det i),'21208','21208','02', '11000003','00','Request by Mr. Omair Ali 30-Aug-2024');</v>
      </c>
    </row>
    <row r="942" spans="1:8" ht="105" x14ac:dyDescent="0.25">
      <c r="A942" t="s">
        <v>1079</v>
      </c>
      <c r="B942" s="80" t="str">
        <f>VLOOKUP(A942,policy!B:C,2,0)</f>
        <v>040000185518</v>
      </c>
      <c r="C942" s="46">
        <v>21208</v>
      </c>
      <c r="D942" s="81">
        <f t="shared" si="57"/>
        <v>21208</v>
      </c>
      <c r="E942" s="79" t="s">
        <v>3563</v>
      </c>
      <c r="F942" s="82" t="str">
        <f t="shared" si="56"/>
        <v>insert into ins_premium_det (premium_rcv_code,assorted_code, rec_amount,premium_rcv_detail_code,remaining_amt, payrec, mode_code,coinsurance_code,class_cd,it_remarks) values</v>
      </c>
      <c r="G942" s="83" t="str">
        <f t="shared" si="58"/>
        <v>('29Oct240071','040000185518','21208',(select max(to_number(i.premium_rcv_detail_code))+1
from ins_premium_det i),'21208','21208','02', '11000003','00','Request by Mr. Omair Ali 30-Aug-2024');</v>
      </c>
      <c r="H942" s="84" t="str">
        <f t="shared" si="59"/>
        <v>insert into ins_premium_det (premium_rcv_code,assorted_code, rec_amount,premium_rcv_detail_code,remaining_amt, payrec, mode_code,coinsurance_code,class_cd,it_remarks) values('29Oct240071','040000185518','21208',(select max(to_number(i.premium_rcv_detail_code))+1
from ins_premium_det i),'21208','21208','02', '11000003','00','Request by Mr. Omair Ali 30-Aug-2024');</v>
      </c>
    </row>
    <row r="943" spans="1:8" ht="105" x14ac:dyDescent="0.25">
      <c r="A943" t="s">
        <v>1080</v>
      </c>
      <c r="B943" s="80" t="str">
        <f>VLOOKUP(A943,policy!B:C,2,0)</f>
        <v>040000185524</v>
      </c>
      <c r="C943" s="46">
        <v>13675</v>
      </c>
      <c r="D943" s="81">
        <f t="shared" si="57"/>
        <v>13675</v>
      </c>
      <c r="E943" s="79" t="s">
        <v>3563</v>
      </c>
      <c r="F943" s="82" t="str">
        <f t="shared" si="56"/>
        <v>insert into ins_premium_det (premium_rcv_code,assorted_code, rec_amount,premium_rcv_detail_code,remaining_amt, payrec, mode_code,coinsurance_code,class_cd,it_remarks) values</v>
      </c>
      <c r="G943" s="83" t="str">
        <f t="shared" si="58"/>
        <v>('29Oct240071','040000185524','13675',(select max(to_number(i.premium_rcv_detail_code))+1
from ins_premium_det i),'13675','13675','02', '11000003','00','Request by Mr. Omair Ali 30-Aug-2024');</v>
      </c>
      <c r="H943" s="84" t="str">
        <f t="shared" si="59"/>
        <v>insert into ins_premium_det (premium_rcv_code,assorted_code, rec_amount,premium_rcv_detail_code,remaining_amt, payrec, mode_code,coinsurance_code,class_cd,it_remarks) values('29Oct240071','040000185524','13675',(select max(to_number(i.premium_rcv_detail_code))+1
from ins_premium_det i),'13675','13675','02', '11000003','00','Request by Mr. Omair Ali 30-Aug-2024');</v>
      </c>
    </row>
    <row r="944" spans="1:8" ht="105" x14ac:dyDescent="0.25">
      <c r="A944" t="s">
        <v>1081</v>
      </c>
      <c r="B944" s="80" t="str">
        <f>VLOOKUP(A944,policy!B:C,2,0)</f>
        <v>040000185526</v>
      </c>
      <c r="C944" s="46">
        <v>14960</v>
      </c>
      <c r="D944" s="81">
        <f t="shared" si="57"/>
        <v>14960</v>
      </c>
      <c r="E944" s="79" t="s">
        <v>3563</v>
      </c>
      <c r="F944" s="82" t="str">
        <f t="shared" si="56"/>
        <v>insert into ins_premium_det (premium_rcv_code,assorted_code, rec_amount,premium_rcv_detail_code,remaining_amt, payrec, mode_code,coinsurance_code,class_cd,it_remarks) values</v>
      </c>
      <c r="G944" s="83" t="str">
        <f t="shared" si="58"/>
        <v>('29Oct240071','040000185526','14960',(select max(to_number(i.premium_rcv_detail_code))+1
from ins_premium_det i),'14960','14960','02', '11000003','00','Request by Mr. Omair Ali 30-Aug-2024');</v>
      </c>
      <c r="H944" s="84" t="str">
        <f t="shared" si="59"/>
        <v>insert into ins_premium_det (premium_rcv_code,assorted_code, rec_amount,premium_rcv_detail_code,remaining_amt, payrec, mode_code,coinsurance_code,class_cd,it_remarks) values('29Oct240071','040000185526','14960',(select max(to_number(i.premium_rcv_detail_code))+1
from ins_premium_det i),'14960','14960','02', '11000003','00','Request by Mr. Omair Ali 30-Aug-2024');</v>
      </c>
    </row>
    <row r="945" spans="1:8" ht="105" x14ac:dyDescent="0.25">
      <c r="A945" t="s">
        <v>1082</v>
      </c>
      <c r="B945" s="80" t="str">
        <f>VLOOKUP(A945,policy!B:C,2,0)</f>
        <v>040000185528</v>
      </c>
      <c r="C945" s="46">
        <v>14960</v>
      </c>
      <c r="D945" s="81">
        <f t="shared" si="57"/>
        <v>14960</v>
      </c>
      <c r="E945" s="79" t="s">
        <v>3563</v>
      </c>
      <c r="F945" s="82" t="str">
        <f t="shared" si="56"/>
        <v>insert into ins_premium_det (premium_rcv_code,assorted_code, rec_amount,premium_rcv_detail_code,remaining_amt, payrec, mode_code,coinsurance_code,class_cd,it_remarks) values</v>
      </c>
      <c r="G945" s="83" t="str">
        <f t="shared" si="58"/>
        <v>('29Oct240071','040000185528','14960',(select max(to_number(i.premium_rcv_detail_code))+1
from ins_premium_det i),'14960','14960','02', '11000003','00','Request by Mr. Omair Ali 30-Aug-2024');</v>
      </c>
      <c r="H945" s="84" t="str">
        <f t="shared" si="59"/>
        <v>insert into ins_premium_det (premium_rcv_code,assorted_code, rec_amount,premium_rcv_detail_code,remaining_amt, payrec, mode_code,coinsurance_code,class_cd,it_remarks) values('29Oct240071','040000185528','14960',(select max(to_number(i.premium_rcv_detail_code))+1
from ins_premium_det i),'14960','14960','02', '11000003','00','Request by Mr. Omair Ali 30-Aug-2024');</v>
      </c>
    </row>
    <row r="946" spans="1:8" ht="105" x14ac:dyDescent="0.25">
      <c r="A946" t="s">
        <v>1083</v>
      </c>
      <c r="B946" s="80" t="str">
        <f>VLOOKUP(A946,policy!B:C,2,0)</f>
        <v>040000185545</v>
      </c>
      <c r="C946" s="46">
        <v>14960</v>
      </c>
      <c r="D946" s="81">
        <f t="shared" si="57"/>
        <v>14960</v>
      </c>
      <c r="E946" s="79" t="s">
        <v>3563</v>
      </c>
      <c r="F946" s="82" t="str">
        <f t="shared" si="56"/>
        <v>insert into ins_premium_det (premium_rcv_code,assorted_code, rec_amount,premium_rcv_detail_code,remaining_amt, payrec, mode_code,coinsurance_code,class_cd,it_remarks) values</v>
      </c>
      <c r="G946" s="83" t="str">
        <f t="shared" si="58"/>
        <v>('29Oct240071','040000185545','14960',(select max(to_number(i.premium_rcv_detail_code))+1
from ins_premium_det i),'14960','14960','02', '11000003','00','Request by Mr. Omair Ali 30-Aug-2024');</v>
      </c>
      <c r="H946" s="84" t="str">
        <f t="shared" si="59"/>
        <v>insert into ins_premium_det (premium_rcv_code,assorted_code, rec_amount,premium_rcv_detail_code,remaining_amt, payrec, mode_code,coinsurance_code,class_cd,it_remarks) values('29Oct240071','040000185545','14960',(select max(to_number(i.premium_rcv_detail_code))+1
from ins_premium_det i),'14960','14960','02', '11000003','00','Request by Mr. Omair Ali 30-Aug-2024');</v>
      </c>
    </row>
    <row r="947" spans="1:8" ht="105" x14ac:dyDescent="0.25">
      <c r="A947" t="s">
        <v>1084</v>
      </c>
      <c r="B947" s="80" t="str">
        <f>VLOOKUP(A947,policy!B:C,2,0)</f>
        <v>040000185558</v>
      </c>
      <c r="C947" s="46">
        <v>14960</v>
      </c>
      <c r="D947" s="81">
        <f t="shared" si="57"/>
        <v>14960</v>
      </c>
      <c r="E947" s="79" t="s">
        <v>3563</v>
      </c>
      <c r="F947" s="82" t="str">
        <f t="shared" si="56"/>
        <v>insert into ins_premium_det (premium_rcv_code,assorted_code, rec_amount,premium_rcv_detail_code,remaining_amt, payrec, mode_code,coinsurance_code,class_cd,it_remarks) values</v>
      </c>
      <c r="G947" s="83" t="str">
        <f t="shared" si="58"/>
        <v>('29Oct240071','040000185558','14960',(select max(to_number(i.premium_rcv_detail_code))+1
from ins_premium_det i),'14960','14960','02', '11000003','00','Request by Mr. Omair Ali 30-Aug-2024');</v>
      </c>
      <c r="H947" s="84" t="str">
        <f t="shared" si="59"/>
        <v>insert into ins_premium_det (premium_rcv_code,assorted_code, rec_amount,premium_rcv_detail_code,remaining_amt, payrec, mode_code,coinsurance_code,class_cd,it_remarks) values('29Oct240071','040000185558','14960',(select max(to_number(i.premium_rcv_detail_code))+1
from ins_premium_det i),'14960','14960','02', '11000003','00','Request by Mr. Omair Ali 30-Aug-2024');</v>
      </c>
    </row>
    <row r="948" spans="1:8" ht="105" x14ac:dyDescent="0.25">
      <c r="A948" t="s">
        <v>1085</v>
      </c>
      <c r="B948" s="80" t="str">
        <f>VLOOKUP(A948,policy!B:C,2,0)</f>
        <v>040000185559</v>
      </c>
      <c r="C948" s="46">
        <v>14960</v>
      </c>
      <c r="D948" s="81">
        <f t="shared" si="57"/>
        <v>14960</v>
      </c>
      <c r="E948" s="79" t="s">
        <v>3563</v>
      </c>
      <c r="F948" s="82" t="str">
        <f t="shared" si="56"/>
        <v>insert into ins_premium_det (premium_rcv_code,assorted_code, rec_amount,premium_rcv_detail_code,remaining_amt, payrec, mode_code,coinsurance_code,class_cd,it_remarks) values</v>
      </c>
      <c r="G948" s="83" t="str">
        <f t="shared" si="58"/>
        <v>('29Oct240071','040000185559','14960',(select max(to_number(i.premium_rcv_detail_code))+1
from ins_premium_det i),'14960','14960','02', '11000003','00','Request by Mr. Omair Ali 30-Aug-2024');</v>
      </c>
      <c r="H948" s="84" t="str">
        <f t="shared" si="59"/>
        <v>insert into ins_premium_det (premium_rcv_code,assorted_code, rec_amount,premium_rcv_detail_code,remaining_amt, payrec, mode_code,coinsurance_code,class_cd,it_remarks) values('29Oct240071','040000185559','14960',(select max(to_number(i.premium_rcv_detail_code))+1
from ins_premium_det i),'14960','14960','02', '11000003','00','Request by Mr. Omair Ali 30-Aug-2024');</v>
      </c>
    </row>
    <row r="949" spans="1:8" ht="105" x14ac:dyDescent="0.25">
      <c r="A949" t="s">
        <v>1086</v>
      </c>
      <c r="B949" s="80" t="str">
        <f>VLOOKUP(A949,policy!B:C,2,0)</f>
        <v>040000185560</v>
      </c>
      <c r="C949" s="46">
        <v>14960</v>
      </c>
      <c r="D949" s="81">
        <f t="shared" si="57"/>
        <v>14960</v>
      </c>
      <c r="E949" s="79" t="s">
        <v>3563</v>
      </c>
      <c r="F949" s="82" t="str">
        <f t="shared" si="56"/>
        <v>insert into ins_premium_det (premium_rcv_code,assorted_code, rec_amount,premium_rcv_detail_code,remaining_amt, payrec, mode_code,coinsurance_code,class_cd,it_remarks) values</v>
      </c>
      <c r="G949" s="83" t="str">
        <f t="shared" si="58"/>
        <v>('29Oct240071','040000185560','14960',(select max(to_number(i.premium_rcv_detail_code))+1
from ins_premium_det i),'14960','14960','02', '11000003','00','Request by Mr. Omair Ali 30-Aug-2024');</v>
      </c>
      <c r="H949" s="84" t="str">
        <f t="shared" si="59"/>
        <v>insert into ins_premium_det (premium_rcv_code,assorted_code, rec_amount,premium_rcv_detail_code,remaining_amt, payrec, mode_code,coinsurance_code,class_cd,it_remarks) values('29Oct240071','040000185560','14960',(select max(to_number(i.premium_rcv_detail_code))+1
from ins_premium_det i),'14960','14960','02', '11000003','00','Request by Mr. Omair Ali 30-Aug-2024');</v>
      </c>
    </row>
    <row r="950" spans="1:8" ht="105" x14ac:dyDescent="0.25">
      <c r="A950" t="s">
        <v>1087</v>
      </c>
      <c r="B950" s="80" t="str">
        <f>VLOOKUP(A950,policy!B:C,2,0)</f>
        <v>040000185561</v>
      </c>
      <c r="C950" s="46">
        <v>16235</v>
      </c>
      <c r="D950" s="81">
        <f t="shared" si="57"/>
        <v>16235</v>
      </c>
      <c r="E950" s="79" t="s">
        <v>3563</v>
      </c>
      <c r="F950" s="82" t="str">
        <f t="shared" si="56"/>
        <v>insert into ins_premium_det (premium_rcv_code,assorted_code, rec_amount,premium_rcv_detail_code,remaining_amt, payrec, mode_code,coinsurance_code,class_cd,it_remarks) values</v>
      </c>
      <c r="G950" s="83" t="str">
        <f t="shared" si="58"/>
        <v>('29Oct240071','040000185561','16235',(select max(to_number(i.premium_rcv_detail_code))+1
from ins_premium_det i),'16235','16235','02', '11000003','00','Request by Mr. Omair Ali 30-Aug-2024');</v>
      </c>
      <c r="H950" s="84" t="str">
        <f t="shared" si="59"/>
        <v>insert into ins_premium_det (premium_rcv_code,assorted_code, rec_amount,premium_rcv_detail_code,remaining_amt, payrec, mode_code,coinsurance_code,class_cd,it_remarks) values('29Oct240071','040000185561','16235',(select max(to_number(i.premium_rcv_detail_code))+1
from ins_premium_det i),'16235','16235','02', '11000003','00','Request by Mr. Omair Ali 30-Aug-2024');</v>
      </c>
    </row>
    <row r="951" spans="1:8" ht="105" x14ac:dyDescent="0.25">
      <c r="A951" t="s">
        <v>1088</v>
      </c>
      <c r="B951" s="80" t="str">
        <f>VLOOKUP(A951,policy!B:C,2,0)</f>
        <v>040000185562</v>
      </c>
      <c r="C951" s="46">
        <v>14960</v>
      </c>
      <c r="D951" s="81">
        <f t="shared" si="57"/>
        <v>14960</v>
      </c>
      <c r="E951" s="79" t="s">
        <v>3563</v>
      </c>
      <c r="F951" s="82" t="str">
        <f t="shared" si="56"/>
        <v>insert into ins_premium_det (premium_rcv_code,assorted_code, rec_amount,premium_rcv_detail_code,remaining_amt, payrec, mode_code,coinsurance_code,class_cd,it_remarks) values</v>
      </c>
      <c r="G951" s="83" t="str">
        <f t="shared" si="58"/>
        <v>('29Oct240071','040000185562','14960',(select max(to_number(i.premium_rcv_detail_code))+1
from ins_premium_det i),'14960','14960','02', '11000003','00','Request by Mr. Omair Ali 30-Aug-2024');</v>
      </c>
      <c r="H951" s="84" t="str">
        <f t="shared" si="59"/>
        <v>insert into ins_premium_det (premium_rcv_code,assorted_code, rec_amount,premium_rcv_detail_code,remaining_amt, payrec, mode_code,coinsurance_code,class_cd,it_remarks) values('29Oct240071','040000185562','14960',(select max(to_number(i.premium_rcv_detail_code))+1
from ins_premium_det i),'14960','14960','02', '11000003','00','Request by Mr. Omair Ali 30-Aug-2024');</v>
      </c>
    </row>
    <row r="952" spans="1:8" ht="105" x14ac:dyDescent="0.25">
      <c r="A952" t="s">
        <v>1089</v>
      </c>
      <c r="B952" s="80" t="str">
        <f>VLOOKUP(A952,policy!B:C,2,0)</f>
        <v>040000185563</v>
      </c>
      <c r="C952" s="46">
        <v>14960</v>
      </c>
      <c r="D952" s="81">
        <f t="shared" si="57"/>
        <v>14960</v>
      </c>
      <c r="E952" s="79" t="s">
        <v>3563</v>
      </c>
      <c r="F952" s="82" t="str">
        <f t="shared" si="56"/>
        <v>insert into ins_premium_det (premium_rcv_code,assorted_code, rec_amount,premium_rcv_detail_code,remaining_amt, payrec, mode_code,coinsurance_code,class_cd,it_remarks) values</v>
      </c>
      <c r="G952" s="83" t="str">
        <f t="shared" si="58"/>
        <v>('29Oct240071','040000185563','14960',(select max(to_number(i.premium_rcv_detail_code))+1
from ins_premium_det i),'14960','14960','02', '11000003','00','Request by Mr. Omair Ali 30-Aug-2024');</v>
      </c>
      <c r="H952" s="84" t="str">
        <f t="shared" si="59"/>
        <v>insert into ins_premium_det (premium_rcv_code,assorted_code, rec_amount,premium_rcv_detail_code,remaining_amt, payrec, mode_code,coinsurance_code,class_cd,it_remarks) values('29Oct240071','040000185563','14960',(select max(to_number(i.premium_rcv_detail_code))+1
from ins_premium_det i),'14960','14960','02', '11000003','00','Request by Mr. Omair Ali 30-Aug-2024');</v>
      </c>
    </row>
    <row r="953" spans="1:8" ht="105" x14ac:dyDescent="0.25">
      <c r="A953" t="s">
        <v>1090</v>
      </c>
      <c r="B953" s="80" t="str">
        <f>VLOOKUP(A953,policy!B:C,2,0)</f>
        <v>040000185564</v>
      </c>
      <c r="C953" s="46">
        <v>16235</v>
      </c>
      <c r="D953" s="81">
        <f t="shared" si="57"/>
        <v>16235</v>
      </c>
      <c r="E953" s="79" t="s">
        <v>3563</v>
      </c>
      <c r="F953" s="82" t="str">
        <f t="shared" si="56"/>
        <v>insert into ins_premium_det (premium_rcv_code,assorted_code, rec_amount,premium_rcv_detail_code,remaining_amt, payrec, mode_code,coinsurance_code,class_cd,it_remarks) values</v>
      </c>
      <c r="G953" s="83" t="str">
        <f t="shared" si="58"/>
        <v>('29Oct240071','040000185564','16235',(select max(to_number(i.premium_rcv_detail_code))+1
from ins_premium_det i),'16235','16235','02', '11000003','00','Request by Mr. Omair Ali 30-Aug-2024');</v>
      </c>
      <c r="H953" s="84" t="str">
        <f t="shared" si="59"/>
        <v>insert into ins_premium_det (premium_rcv_code,assorted_code, rec_amount,premium_rcv_detail_code,remaining_amt, payrec, mode_code,coinsurance_code,class_cd,it_remarks) values('29Oct240071','040000185564','16235',(select max(to_number(i.premium_rcv_detail_code))+1
from ins_premium_det i),'16235','16235','02', '11000003','00','Request by Mr. Omair Ali 30-Aug-2024');</v>
      </c>
    </row>
    <row r="954" spans="1:8" ht="105" x14ac:dyDescent="0.25">
      <c r="A954" t="s">
        <v>1091</v>
      </c>
      <c r="B954" s="80" t="str">
        <f>VLOOKUP(A954,policy!B:C,2,0)</f>
        <v>040000185565</v>
      </c>
      <c r="C954" s="46">
        <v>16235</v>
      </c>
      <c r="D954" s="81">
        <f t="shared" si="57"/>
        <v>16235</v>
      </c>
      <c r="E954" s="79" t="s">
        <v>3563</v>
      </c>
      <c r="F954" s="82" t="str">
        <f t="shared" si="56"/>
        <v>insert into ins_premium_det (premium_rcv_code,assorted_code, rec_amount,premium_rcv_detail_code,remaining_amt, payrec, mode_code,coinsurance_code,class_cd,it_remarks) values</v>
      </c>
      <c r="G954" s="83" t="str">
        <f t="shared" si="58"/>
        <v>('29Oct240071','040000185565','16235',(select max(to_number(i.premium_rcv_detail_code))+1
from ins_premium_det i),'16235','16235','02', '11000003','00','Request by Mr. Omair Ali 30-Aug-2024');</v>
      </c>
      <c r="H954" s="84" t="str">
        <f t="shared" si="59"/>
        <v>insert into ins_premium_det (premium_rcv_code,assorted_code, rec_amount,premium_rcv_detail_code,remaining_amt, payrec, mode_code,coinsurance_code,class_cd,it_remarks) values('29Oct240071','040000185565','16235',(select max(to_number(i.premium_rcv_detail_code))+1
from ins_premium_det i),'16235','16235','02', '11000003','00','Request by Mr. Omair Ali 30-Aug-2024');</v>
      </c>
    </row>
    <row r="955" spans="1:8" ht="105" x14ac:dyDescent="0.25">
      <c r="A955" t="s">
        <v>1092</v>
      </c>
      <c r="B955" s="80" t="str">
        <f>VLOOKUP(A955,policy!B:C,2,0)</f>
        <v>040000185566</v>
      </c>
      <c r="C955" s="46">
        <v>14960</v>
      </c>
      <c r="D955" s="81">
        <f t="shared" si="57"/>
        <v>14960</v>
      </c>
      <c r="E955" s="79" t="s">
        <v>3563</v>
      </c>
      <c r="F955" s="82" t="str">
        <f t="shared" si="56"/>
        <v>insert into ins_premium_det (premium_rcv_code,assorted_code, rec_amount,premium_rcv_detail_code,remaining_amt, payrec, mode_code,coinsurance_code,class_cd,it_remarks) values</v>
      </c>
      <c r="G955" s="83" t="str">
        <f t="shared" si="58"/>
        <v>('29Oct240071','040000185566','14960',(select max(to_number(i.premium_rcv_detail_code))+1
from ins_premium_det i),'14960','14960','02', '11000003','00','Request by Mr. Omair Ali 30-Aug-2024');</v>
      </c>
      <c r="H955" s="84" t="str">
        <f t="shared" si="59"/>
        <v>insert into ins_premium_det (premium_rcv_code,assorted_code, rec_amount,premium_rcv_detail_code,remaining_amt, payrec, mode_code,coinsurance_code,class_cd,it_remarks) values('29Oct240071','040000185566','14960',(select max(to_number(i.premium_rcv_detail_code))+1
from ins_premium_det i),'14960','14960','02', '11000003','00','Request by Mr. Omair Ali 30-Aug-2024');</v>
      </c>
    </row>
    <row r="956" spans="1:8" ht="105" x14ac:dyDescent="0.25">
      <c r="A956" t="s">
        <v>1093</v>
      </c>
      <c r="B956" s="80" t="str">
        <f>VLOOKUP(A956,policy!B:C,2,0)</f>
        <v>040000185567</v>
      </c>
      <c r="C956" s="46">
        <v>23248</v>
      </c>
      <c r="D956" s="81">
        <f t="shared" si="57"/>
        <v>23248</v>
      </c>
      <c r="E956" s="79" t="s">
        <v>3563</v>
      </c>
      <c r="F956" s="82" t="str">
        <f t="shared" si="56"/>
        <v>insert into ins_premium_det (premium_rcv_code,assorted_code, rec_amount,premium_rcv_detail_code,remaining_amt, payrec, mode_code,coinsurance_code,class_cd,it_remarks) values</v>
      </c>
      <c r="G956" s="83" t="str">
        <f t="shared" si="58"/>
        <v>('29Oct240071','040000185567','23248',(select max(to_number(i.premium_rcv_detail_code))+1
from ins_premium_det i),'23248','23248','02', '11000003','00','Request by Mr. Omair Ali 30-Aug-2024');</v>
      </c>
      <c r="H956" s="84" t="str">
        <f t="shared" si="59"/>
        <v>insert into ins_premium_det (premium_rcv_code,assorted_code, rec_amount,premium_rcv_detail_code,remaining_amt, payrec, mode_code,coinsurance_code,class_cd,it_remarks) values('29Oct240071','040000185567','23248',(select max(to_number(i.premium_rcv_detail_code))+1
from ins_premium_det i),'23248','23248','02', '11000003','00','Request by Mr. Omair Ali 30-Aug-2024');</v>
      </c>
    </row>
    <row r="957" spans="1:8" ht="105" x14ac:dyDescent="0.25">
      <c r="A957" t="s">
        <v>1094</v>
      </c>
      <c r="B957" s="80" t="str">
        <f>VLOOKUP(A957,policy!B:C,2,0)</f>
        <v>040000185568</v>
      </c>
      <c r="C957" s="46">
        <v>23248</v>
      </c>
      <c r="D957" s="81">
        <f t="shared" si="57"/>
        <v>23248</v>
      </c>
      <c r="E957" s="79" t="s">
        <v>3563</v>
      </c>
      <c r="F957" s="82" t="str">
        <f t="shared" si="56"/>
        <v>insert into ins_premium_det (premium_rcv_code,assorted_code, rec_amount,premium_rcv_detail_code,remaining_amt, payrec, mode_code,coinsurance_code,class_cd,it_remarks) values</v>
      </c>
      <c r="G957" s="83" t="str">
        <f t="shared" si="58"/>
        <v>('29Oct240071','040000185568','23248',(select max(to_number(i.premium_rcv_detail_code))+1
from ins_premium_det i),'23248','23248','02', '11000003','00','Request by Mr. Omair Ali 30-Aug-2024');</v>
      </c>
      <c r="H957" s="84" t="str">
        <f t="shared" si="59"/>
        <v>insert into ins_premium_det (premium_rcv_code,assorted_code, rec_amount,premium_rcv_detail_code,remaining_amt, payrec, mode_code,coinsurance_code,class_cd,it_remarks) values('29Oct240071','040000185568','23248',(select max(to_number(i.premium_rcv_detail_code))+1
from ins_premium_det i),'23248','23248','02', '11000003','00','Request by Mr. Omair Ali 30-Aug-2024');</v>
      </c>
    </row>
    <row r="958" spans="1:8" ht="105" x14ac:dyDescent="0.25">
      <c r="A958" t="s">
        <v>1095</v>
      </c>
      <c r="B958" s="80" t="str">
        <f>VLOOKUP(A958,policy!B:C,2,0)</f>
        <v>040000185569</v>
      </c>
      <c r="C958" s="46">
        <v>14960</v>
      </c>
      <c r="D958" s="81">
        <f t="shared" si="57"/>
        <v>14960</v>
      </c>
      <c r="E958" s="79" t="s">
        <v>3563</v>
      </c>
      <c r="F958" s="82" t="str">
        <f t="shared" si="56"/>
        <v>insert into ins_premium_det (premium_rcv_code,assorted_code, rec_amount,premium_rcv_detail_code,remaining_amt, payrec, mode_code,coinsurance_code,class_cd,it_remarks) values</v>
      </c>
      <c r="G958" s="83" t="str">
        <f t="shared" si="58"/>
        <v>('29Oct240071','040000185569','14960',(select max(to_number(i.premium_rcv_detail_code))+1
from ins_premium_det i),'14960','14960','02', '11000003','00','Request by Mr. Omair Ali 30-Aug-2024');</v>
      </c>
      <c r="H958" s="84" t="str">
        <f t="shared" si="59"/>
        <v>insert into ins_premium_det (premium_rcv_code,assorted_code, rec_amount,premium_rcv_detail_code,remaining_amt, payrec, mode_code,coinsurance_code,class_cd,it_remarks) values('29Oct240071','040000185569','14960',(select max(to_number(i.premium_rcv_detail_code))+1
from ins_premium_det i),'14960','14960','02', '11000003','00','Request by Mr. Omair Ali 30-Aug-2024');</v>
      </c>
    </row>
    <row r="959" spans="1:8" ht="105" x14ac:dyDescent="0.25">
      <c r="A959" t="s">
        <v>1096</v>
      </c>
      <c r="B959" s="80" t="str">
        <f>VLOOKUP(A959,policy!B:C,2,0)</f>
        <v>040000185570</v>
      </c>
      <c r="C959" s="46">
        <v>23062</v>
      </c>
      <c r="D959" s="81">
        <f t="shared" si="57"/>
        <v>23062</v>
      </c>
      <c r="E959" s="79" t="s">
        <v>3563</v>
      </c>
      <c r="F959" s="82" t="str">
        <f t="shared" si="56"/>
        <v>insert into ins_premium_det (premium_rcv_code,assorted_code, rec_amount,premium_rcv_detail_code,remaining_amt, payrec, mode_code,coinsurance_code,class_cd,it_remarks) values</v>
      </c>
      <c r="G959" s="83" t="str">
        <f t="shared" si="58"/>
        <v>('29Oct240071','040000185570','23062',(select max(to_number(i.premium_rcv_detail_code))+1
from ins_premium_det i),'23062','23062','02', '11000003','00','Request by Mr. Omair Ali 30-Aug-2024');</v>
      </c>
      <c r="H959" s="84" t="str">
        <f t="shared" si="59"/>
        <v>insert into ins_premium_det (premium_rcv_code,assorted_code, rec_amount,premium_rcv_detail_code,remaining_amt, payrec, mode_code,coinsurance_code,class_cd,it_remarks) values('29Oct240071','040000185570','23062',(select max(to_number(i.premium_rcv_detail_code))+1
from ins_premium_det i),'23062','23062','02', '11000003','00','Request by Mr. Omair Ali 30-Aug-2024');</v>
      </c>
    </row>
    <row r="961" spans="4:4" x14ac:dyDescent="0.25">
      <c r="D961" s="85">
        <f>SUM(D2:D959)</f>
        <v>12797755</v>
      </c>
    </row>
  </sheetData>
  <conditionalFormatting sqref="A1">
    <cfRule type="duplicateValues" dxfId="3" priority="1"/>
  </conditionalFormatting>
  <conditionalFormatting sqref="A2:B2 B3:B959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BCC7-5266-47EF-A23C-CDCA8FA074A5}">
  <dimension ref="A1:E958"/>
  <sheetViews>
    <sheetView workbookViewId="0">
      <selection activeCell="C12" sqref="C12"/>
    </sheetView>
  </sheetViews>
  <sheetFormatPr defaultRowHeight="15" x14ac:dyDescent="0.25"/>
  <cols>
    <col min="1" max="1" width="39.85546875" bestFit="1" customWidth="1"/>
  </cols>
  <sheetData>
    <row r="1" spans="1:5" x14ac:dyDescent="0.25">
      <c r="A1" t="s">
        <v>140</v>
      </c>
      <c r="B1" t="s">
        <v>2596</v>
      </c>
      <c r="D1">
        <v>96539</v>
      </c>
      <c r="E1" t="str">
        <f>"ia.assorted_string like '%"&amp;D1&amp;B1&amp;"%' or"</f>
        <v>ia.assorted_string like '%96539-09-2024%' or</v>
      </c>
    </row>
    <row r="2" spans="1:5" x14ac:dyDescent="0.25">
      <c r="A2" t="s">
        <v>141</v>
      </c>
      <c r="B2" t="s">
        <v>2596</v>
      </c>
      <c r="D2">
        <v>96540</v>
      </c>
      <c r="E2" t="str">
        <f t="shared" ref="E2:E65" si="0">"ia.assorted_string like '%"&amp;D2&amp;B2&amp;"%' or"</f>
        <v>ia.assorted_string like '%96540-09-2024%' or</v>
      </c>
    </row>
    <row r="3" spans="1:5" x14ac:dyDescent="0.25">
      <c r="A3" t="s">
        <v>142</v>
      </c>
      <c r="B3" t="s">
        <v>2596</v>
      </c>
      <c r="D3">
        <v>96541</v>
      </c>
      <c r="E3" t="str">
        <f t="shared" si="0"/>
        <v>ia.assorted_string like '%96541-09-2024%' or</v>
      </c>
    </row>
    <row r="4" spans="1:5" x14ac:dyDescent="0.25">
      <c r="A4" t="s">
        <v>143</v>
      </c>
      <c r="B4" t="s">
        <v>2596</v>
      </c>
      <c r="D4">
        <v>96550</v>
      </c>
      <c r="E4" t="str">
        <f t="shared" si="0"/>
        <v>ia.assorted_string like '%96550-09-2024%' or</v>
      </c>
    </row>
    <row r="5" spans="1:5" x14ac:dyDescent="0.25">
      <c r="A5" t="s">
        <v>144</v>
      </c>
      <c r="B5" t="s">
        <v>2596</v>
      </c>
      <c r="D5">
        <v>96551</v>
      </c>
      <c r="E5" t="str">
        <f t="shared" si="0"/>
        <v>ia.assorted_string like '%96551-09-2024%' or</v>
      </c>
    </row>
    <row r="6" spans="1:5" x14ac:dyDescent="0.25">
      <c r="A6" t="s">
        <v>145</v>
      </c>
      <c r="B6" t="s">
        <v>2596</v>
      </c>
      <c r="D6">
        <v>96553</v>
      </c>
      <c r="E6" t="str">
        <f t="shared" si="0"/>
        <v>ia.assorted_string like '%96553-09-2024%' or</v>
      </c>
    </row>
    <row r="7" spans="1:5" x14ac:dyDescent="0.25">
      <c r="A7" t="s">
        <v>146</v>
      </c>
      <c r="B7" t="s">
        <v>2596</v>
      </c>
      <c r="D7">
        <v>96560</v>
      </c>
      <c r="E7" t="str">
        <f t="shared" si="0"/>
        <v>ia.assorted_string like '%96560-09-2024%' or</v>
      </c>
    </row>
    <row r="8" spans="1:5" x14ac:dyDescent="0.25">
      <c r="A8" t="s">
        <v>147</v>
      </c>
      <c r="B8" t="s">
        <v>2596</v>
      </c>
      <c r="D8">
        <v>96581</v>
      </c>
      <c r="E8" t="str">
        <f t="shared" si="0"/>
        <v>ia.assorted_string like '%96581-09-2024%' or</v>
      </c>
    </row>
    <row r="9" spans="1:5" x14ac:dyDescent="0.25">
      <c r="A9" t="s">
        <v>148</v>
      </c>
      <c r="B9" t="s">
        <v>2596</v>
      </c>
      <c r="D9">
        <v>96585</v>
      </c>
      <c r="E9" t="str">
        <f t="shared" si="0"/>
        <v>ia.assorted_string like '%96585-09-2024%' or</v>
      </c>
    </row>
    <row r="10" spans="1:5" x14ac:dyDescent="0.25">
      <c r="A10" t="s">
        <v>149</v>
      </c>
      <c r="B10" t="s">
        <v>2596</v>
      </c>
      <c r="D10">
        <v>96587</v>
      </c>
      <c r="E10" t="str">
        <f t="shared" si="0"/>
        <v>ia.assorted_string like '%96587-09-2024%' or</v>
      </c>
    </row>
    <row r="11" spans="1:5" x14ac:dyDescent="0.25">
      <c r="A11" t="s">
        <v>150</v>
      </c>
      <c r="B11" t="s">
        <v>2596</v>
      </c>
      <c r="D11">
        <v>96589</v>
      </c>
      <c r="E11" t="str">
        <f t="shared" si="0"/>
        <v>ia.assorted_string like '%96589-09-2024%' or</v>
      </c>
    </row>
    <row r="12" spans="1:5" x14ac:dyDescent="0.25">
      <c r="A12" t="s">
        <v>151</v>
      </c>
      <c r="B12" t="s">
        <v>2596</v>
      </c>
      <c r="D12">
        <v>96590</v>
      </c>
      <c r="E12" t="str">
        <f t="shared" si="0"/>
        <v>ia.assorted_string like '%96590-09-2024%' or</v>
      </c>
    </row>
    <row r="13" spans="1:5" x14ac:dyDescent="0.25">
      <c r="A13" t="s">
        <v>152</v>
      </c>
      <c r="B13" t="s">
        <v>2596</v>
      </c>
      <c r="D13">
        <v>96611</v>
      </c>
      <c r="E13" t="str">
        <f t="shared" si="0"/>
        <v>ia.assorted_string like '%96611-09-2024%' or</v>
      </c>
    </row>
    <row r="14" spans="1:5" x14ac:dyDescent="0.25">
      <c r="A14" t="s">
        <v>153</v>
      </c>
      <c r="B14" t="s">
        <v>2596</v>
      </c>
      <c r="D14">
        <v>96612</v>
      </c>
      <c r="E14" t="str">
        <f t="shared" si="0"/>
        <v>ia.assorted_string like '%96612-09-2024%' or</v>
      </c>
    </row>
    <row r="15" spans="1:5" x14ac:dyDescent="0.25">
      <c r="A15" t="s">
        <v>154</v>
      </c>
      <c r="B15" t="s">
        <v>2596</v>
      </c>
      <c r="D15">
        <v>96613</v>
      </c>
      <c r="E15" t="str">
        <f t="shared" si="0"/>
        <v>ia.assorted_string like '%96613-09-2024%' or</v>
      </c>
    </row>
    <row r="16" spans="1:5" x14ac:dyDescent="0.25">
      <c r="A16" t="s">
        <v>155</v>
      </c>
      <c r="B16" t="s">
        <v>2596</v>
      </c>
      <c r="D16">
        <v>96626</v>
      </c>
      <c r="E16" t="str">
        <f t="shared" si="0"/>
        <v>ia.assorted_string like '%96626-09-2024%' or</v>
      </c>
    </row>
    <row r="17" spans="1:5" x14ac:dyDescent="0.25">
      <c r="A17" t="s">
        <v>156</v>
      </c>
      <c r="B17" t="s">
        <v>2596</v>
      </c>
      <c r="D17">
        <v>96630</v>
      </c>
      <c r="E17" t="str">
        <f t="shared" si="0"/>
        <v>ia.assorted_string like '%96630-09-2024%' or</v>
      </c>
    </row>
    <row r="18" spans="1:5" x14ac:dyDescent="0.25">
      <c r="A18" t="s">
        <v>157</v>
      </c>
      <c r="B18" t="s">
        <v>2596</v>
      </c>
      <c r="D18">
        <v>96636</v>
      </c>
      <c r="E18" t="str">
        <f t="shared" si="0"/>
        <v>ia.assorted_string like '%96636-09-2024%' or</v>
      </c>
    </row>
    <row r="19" spans="1:5" x14ac:dyDescent="0.25">
      <c r="A19" t="s">
        <v>158</v>
      </c>
      <c r="B19" t="s">
        <v>2596</v>
      </c>
      <c r="D19">
        <v>96642</v>
      </c>
      <c r="E19" t="str">
        <f t="shared" si="0"/>
        <v>ia.assorted_string like '%96642-09-2024%' or</v>
      </c>
    </row>
    <row r="20" spans="1:5" x14ac:dyDescent="0.25">
      <c r="A20" t="s">
        <v>159</v>
      </c>
      <c r="B20" t="s">
        <v>2596</v>
      </c>
      <c r="D20">
        <v>96651</v>
      </c>
      <c r="E20" t="str">
        <f t="shared" si="0"/>
        <v>ia.assorted_string like '%96651-09-2024%' or</v>
      </c>
    </row>
    <row r="21" spans="1:5" x14ac:dyDescent="0.25">
      <c r="A21" t="s">
        <v>160</v>
      </c>
      <c r="B21" t="s">
        <v>2596</v>
      </c>
      <c r="D21">
        <v>96659</v>
      </c>
      <c r="E21" t="str">
        <f t="shared" si="0"/>
        <v>ia.assorted_string like '%96659-09-2024%' or</v>
      </c>
    </row>
    <row r="22" spans="1:5" x14ac:dyDescent="0.25">
      <c r="A22" t="s">
        <v>161</v>
      </c>
      <c r="B22" t="s">
        <v>2596</v>
      </c>
      <c r="D22">
        <v>96671</v>
      </c>
      <c r="E22" t="str">
        <f t="shared" si="0"/>
        <v>ia.assorted_string like '%96671-09-2024%' or</v>
      </c>
    </row>
    <row r="23" spans="1:5" x14ac:dyDescent="0.25">
      <c r="A23" t="s">
        <v>162</v>
      </c>
      <c r="B23" t="s">
        <v>2596</v>
      </c>
      <c r="D23">
        <v>96673</v>
      </c>
      <c r="E23" t="str">
        <f t="shared" si="0"/>
        <v>ia.assorted_string like '%96673-09-2024%' or</v>
      </c>
    </row>
    <row r="24" spans="1:5" x14ac:dyDescent="0.25">
      <c r="A24" t="s">
        <v>163</v>
      </c>
      <c r="B24" t="s">
        <v>2596</v>
      </c>
      <c r="D24">
        <v>96679</v>
      </c>
      <c r="E24" t="str">
        <f t="shared" si="0"/>
        <v>ia.assorted_string like '%96679-09-2024%' or</v>
      </c>
    </row>
    <row r="25" spans="1:5" x14ac:dyDescent="0.25">
      <c r="A25" t="s">
        <v>164</v>
      </c>
      <c r="B25" t="s">
        <v>2596</v>
      </c>
      <c r="D25">
        <v>96693</v>
      </c>
      <c r="E25" t="str">
        <f t="shared" si="0"/>
        <v>ia.assorted_string like '%96693-09-2024%' or</v>
      </c>
    </row>
    <row r="26" spans="1:5" x14ac:dyDescent="0.25">
      <c r="A26" t="s">
        <v>165</v>
      </c>
      <c r="B26" t="s">
        <v>2596</v>
      </c>
      <c r="D26">
        <v>96694</v>
      </c>
      <c r="E26" t="str">
        <f t="shared" si="0"/>
        <v>ia.assorted_string like '%96694-09-2024%' or</v>
      </c>
    </row>
    <row r="27" spans="1:5" x14ac:dyDescent="0.25">
      <c r="A27" t="s">
        <v>166</v>
      </c>
      <c r="B27" t="s">
        <v>2596</v>
      </c>
      <c r="D27">
        <v>96695</v>
      </c>
      <c r="E27" t="str">
        <f t="shared" si="0"/>
        <v>ia.assorted_string like '%96695-09-2024%' or</v>
      </c>
    </row>
    <row r="28" spans="1:5" x14ac:dyDescent="0.25">
      <c r="A28" t="s">
        <v>167</v>
      </c>
      <c r="B28" t="s">
        <v>2596</v>
      </c>
      <c r="D28">
        <v>96696</v>
      </c>
      <c r="E28" t="str">
        <f t="shared" si="0"/>
        <v>ia.assorted_string like '%96696-09-2024%' or</v>
      </c>
    </row>
    <row r="29" spans="1:5" x14ac:dyDescent="0.25">
      <c r="A29" t="s">
        <v>168</v>
      </c>
      <c r="B29" t="s">
        <v>2596</v>
      </c>
      <c r="D29">
        <v>96697</v>
      </c>
      <c r="E29" t="str">
        <f t="shared" si="0"/>
        <v>ia.assorted_string like '%96697-09-2024%' or</v>
      </c>
    </row>
    <row r="30" spans="1:5" x14ac:dyDescent="0.25">
      <c r="A30" t="s">
        <v>169</v>
      </c>
      <c r="B30" t="s">
        <v>2596</v>
      </c>
      <c r="D30">
        <v>96703</v>
      </c>
      <c r="E30" t="str">
        <f t="shared" si="0"/>
        <v>ia.assorted_string like '%96703-09-2024%' or</v>
      </c>
    </row>
    <row r="31" spans="1:5" x14ac:dyDescent="0.25">
      <c r="A31" t="s">
        <v>170</v>
      </c>
      <c r="B31" t="s">
        <v>2596</v>
      </c>
      <c r="D31">
        <v>96704</v>
      </c>
      <c r="E31" t="str">
        <f t="shared" si="0"/>
        <v>ia.assorted_string like '%96704-09-2024%' or</v>
      </c>
    </row>
    <row r="32" spans="1:5" x14ac:dyDescent="0.25">
      <c r="A32" t="s">
        <v>171</v>
      </c>
      <c r="B32" t="s">
        <v>2596</v>
      </c>
      <c r="D32">
        <v>96705</v>
      </c>
      <c r="E32" t="str">
        <f t="shared" si="0"/>
        <v>ia.assorted_string like '%96705-09-2024%' or</v>
      </c>
    </row>
    <row r="33" spans="1:5" x14ac:dyDescent="0.25">
      <c r="A33" t="s">
        <v>172</v>
      </c>
      <c r="B33" t="s">
        <v>2596</v>
      </c>
      <c r="D33">
        <v>96706</v>
      </c>
      <c r="E33" t="str">
        <f t="shared" si="0"/>
        <v>ia.assorted_string like '%96706-09-2024%' or</v>
      </c>
    </row>
    <row r="34" spans="1:5" x14ac:dyDescent="0.25">
      <c r="A34" t="s">
        <v>173</v>
      </c>
      <c r="B34" t="s">
        <v>2596</v>
      </c>
      <c r="D34">
        <v>96707</v>
      </c>
      <c r="E34" t="str">
        <f t="shared" si="0"/>
        <v>ia.assorted_string like '%96707-09-2024%' or</v>
      </c>
    </row>
    <row r="35" spans="1:5" x14ac:dyDescent="0.25">
      <c r="A35" t="s">
        <v>174</v>
      </c>
      <c r="B35" t="s">
        <v>2596</v>
      </c>
      <c r="D35">
        <v>96708</v>
      </c>
      <c r="E35" t="str">
        <f t="shared" si="0"/>
        <v>ia.assorted_string like '%96708-09-2024%' or</v>
      </c>
    </row>
    <row r="36" spans="1:5" x14ac:dyDescent="0.25">
      <c r="A36" t="s">
        <v>175</v>
      </c>
      <c r="B36" t="s">
        <v>2596</v>
      </c>
      <c r="D36">
        <v>96732</v>
      </c>
      <c r="E36" t="str">
        <f t="shared" si="0"/>
        <v>ia.assorted_string like '%96732-09-2024%' or</v>
      </c>
    </row>
    <row r="37" spans="1:5" x14ac:dyDescent="0.25">
      <c r="A37" t="s">
        <v>176</v>
      </c>
      <c r="B37" t="s">
        <v>2596</v>
      </c>
      <c r="D37">
        <v>96734</v>
      </c>
      <c r="E37" t="str">
        <f t="shared" si="0"/>
        <v>ia.assorted_string like '%96734-09-2024%' or</v>
      </c>
    </row>
    <row r="38" spans="1:5" x14ac:dyDescent="0.25">
      <c r="A38" t="s">
        <v>177</v>
      </c>
      <c r="B38" t="s">
        <v>2596</v>
      </c>
      <c r="D38">
        <v>96735</v>
      </c>
      <c r="E38" t="str">
        <f t="shared" si="0"/>
        <v>ia.assorted_string like '%96735-09-2024%' or</v>
      </c>
    </row>
    <row r="39" spans="1:5" x14ac:dyDescent="0.25">
      <c r="A39" t="s">
        <v>178</v>
      </c>
      <c r="B39" t="s">
        <v>2596</v>
      </c>
      <c r="D39">
        <v>96736</v>
      </c>
      <c r="E39" t="str">
        <f t="shared" si="0"/>
        <v>ia.assorted_string like '%96736-09-2024%' or</v>
      </c>
    </row>
    <row r="40" spans="1:5" x14ac:dyDescent="0.25">
      <c r="A40" t="s">
        <v>179</v>
      </c>
      <c r="B40" t="s">
        <v>2596</v>
      </c>
      <c r="D40">
        <v>96737</v>
      </c>
      <c r="E40" t="str">
        <f t="shared" si="0"/>
        <v>ia.assorted_string like '%96737-09-2024%' or</v>
      </c>
    </row>
    <row r="41" spans="1:5" x14ac:dyDescent="0.25">
      <c r="A41" t="s">
        <v>180</v>
      </c>
      <c r="B41" t="s">
        <v>2596</v>
      </c>
      <c r="D41">
        <v>96738</v>
      </c>
      <c r="E41" t="str">
        <f t="shared" si="0"/>
        <v>ia.assorted_string like '%96738-09-2024%' or</v>
      </c>
    </row>
    <row r="42" spans="1:5" x14ac:dyDescent="0.25">
      <c r="A42" t="s">
        <v>181</v>
      </c>
      <c r="B42" t="s">
        <v>2596</v>
      </c>
      <c r="D42">
        <v>96739</v>
      </c>
      <c r="E42" t="str">
        <f t="shared" si="0"/>
        <v>ia.assorted_string like '%96739-09-2024%' or</v>
      </c>
    </row>
    <row r="43" spans="1:5" x14ac:dyDescent="0.25">
      <c r="A43" t="s">
        <v>182</v>
      </c>
      <c r="B43" t="s">
        <v>2596</v>
      </c>
      <c r="D43">
        <v>96740</v>
      </c>
      <c r="E43" t="str">
        <f t="shared" si="0"/>
        <v>ia.assorted_string like '%96740-09-2024%' or</v>
      </c>
    </row>
    <row r="44" spans="1:5" x14ac:dyDescent="0.25">
      <c r="A44" t="s">
        <v>183</v>
      </c>
      <c r="B44" t="s">
        <v>2596</v>
      </c>
      <c r="D44">
        <v>96741</v>
      </c>
      <c r="E44" t="str">
        <f t="shared" si="0"/>
        <v>ia.assorted_string like '%96741-09-2024%' or</v>
      </c>
    </row>
    <row r="45" spans="1:5" x14ac:dyDescent="0.25">
      <c r="A45" t="s">
        <v>184</v>
      </c>
      <c r="B45" t="s">
        <v>2596</v>
      </c>
      <c r="D45">
        <v>96742</v>
      </c>
      <c r="E45" t="str">
        <f t="shared" si="0"/>
        <v>ia.assorted_string like '%96742-09-2024%' or</v>
      </c>
    </row>
    <row r="46" spans="1:5" x14ac:dyDescent="0.25">
      <c r="A46" t="s">
        <v>185</v>
      </c>
      <c r="B46" t="s">
        <v>2596</v>
      </c>
      <c r="D46">
        <v>96743</v>
      </c>
      <c r="E46" t="str">
        <f t="shared" si="0"/>
        <v>ia.assorted_string like '%96743-09-2024%' or</v>
      </c>
    </row>
    <row r="47" spans="1:5" x14ac:dyDescent="0.25">
      <c r="A47" t="s">
        <v>186</v>
      </c>
      <c r="B47" t="s">
        <v>2596</v>
      </c>
      <c r="D47">
        <v>96744</v>
      </c>
      <c r="E47" t="str">
        <f t="shared" si="0"/>
        <v>ia.assorted_string like '%96744-09-2024%' or</v>
      </c>
    </row>
    <row r="48" spans="1:5" x14ac:dyDescent="0.25">
      <c r="A48" t="s">
        <v>187</v>
      </c>
      <c r="B48" t="s">
        <v>2596</v>
      </c>
      <c r="D48">
        <v>96745</v>
      </c>
      <c r="E48" t="str">
        <f t="shared" si="0"/>
        <v>ia.assorted_string like '%96745-09-2024%' or</v>
      </c>
    </row>
    <row r="49" spans="1:5" x14ac:dyDescent="0.25">
      <c r="A49" t="s">
        <v>188</v>
      </c>
      <c r="B49" t="s">
        <v>2596</v>
      </c>
      <c r="D49">
        <v>96747</v>
      </c>
      <c r="E49" t="str">
        <f t="shared" si="0"/>
        <v>ia.assorted_string like '%96747-09-2024%' or</v>
      </c>
    </row>
    <row r="50" spans="1:5" x14ac:dyDescent="0.25">
      <c r="A50" t="s">
        <v>189</v>
      </c>
      <c r="B50" t="s">
        <v>2596</v>
      </c>
      <c r="D50">
        <v>96749</v>
      </c>
      <c r="E50" t="str">
        <f t="shared" si="0"/>
        <v>ia.assorted_string like '%96749-09-2024%' or</v>
      </c>
    </row>
    <row r="51" spans="1:5" x14ac:dyDescent="0.25">
      <c r="A51" t="s">
        <v>190</v>
      </c>
      <c r="B51" t="s">
        <v>2596</v>
      </c>
      <c r="D51">
        <v>96750</v>
      </c>
      <c r="E51" t="str">
        <f t="shared" si="0"/>
        <v>ia.assorted_string like '%96750-09-2024%' or</v>
      </c>
    </row>
    <row r="52" spans="1:5" x14ac:dyDescent="0.25">
      <c r="A52" t="s">
        <v>191</v>
      </c>
      <c r="B52" t="s">
        <v>2596</v>
      </c>
      <c r="D52">
        <v>96751</v>
      </c>
      <c r="E52" t="str">
        <f t="shared" si="0"/>
        <v>ia.assorted_string like '%96751-09-2024%' or</v>
      </c>
    </row>
    <row r="53" spans="1:5" x14ac:dyDescent="0.25">
      <c r="A53" t="s">
        <v>192</v>
      </c>
      <c r="B53" t="s">
        <v>2596</v>
      </c>
      <c r="D53">
        <v>96752</v>
      </c>
      <c r="E53" t="str">
        <f t="shared" si="0"/>
        <v>ia.assorted_string like '%96752-09-2024%' or</v>
      </c>
    </row>
    <row r="54" spans="1:5" x14ac:dyDescent="0.25">
      <c r="A54" t="s">
        <v>193</v>
      </c>
      <c r="B54" t="s">
        <v>2596</v>
      </c>
      <c r="D54">
        <v>96754</v>
      </c>
      <c r="E54" t="str">
        <f t="shared" si="0"/>
        <v>ia.assorted_string like '%96754-09-2024%' or</v>
      </c>
    </row>
    <row r="55" spans="1:5" x14ac:dyDescent="0.25">
      <c r="A55" t="s">
        <v>194</v>
      </c>
      <c r="B55" t="s">
        <v>2596</v>
      </c>
      <c r="D55">
        <v>96764</v>
      </c>
      <c r="E55" t="str">
        <f t="shared" si="0"/>
        <v>ia.assorted_string like '%96764-09-2024%' or</v>
      </c>
    </row>
    <row r="56" spans="1:5" x14ac:dyDescent="0.25">
      <c r="A56" t="s">
        <v>195</v>
      </c>
      <c r="B56" t="s">
        <v>2596</v>
      </c>
      <c r="D56">
        <v>96766</v>
      </c>
      <c r="E56" t="str">
        <f t="shared" si="0"/>
        <v>ia.assorted_string like '%96766-09-2024%' or</v>
      </c>
    </row>
    <row r="57" spans="1:5" x14ac:dyDescent="0.25">
      <c r="A57" t="s">
        <v>196</v>
      </c>
      <c r="B57" t="s">
        <v>2596</v>
      </c>
      <c r="D57">
        <v>96770</v>
      </c>
      <c r="E57" t="str">
        <f t="shared" si="0"/>
        <v>ia.assorted_string like '%96770-09-2024%' or</v>
      </c>
    </row>
    <row r="58" spans="1:5" x14ac:dyDescent="0.25">
      <c r="A58" t="s">
        <v>197</v>
      </c>
      <c r="B58" t="s">
        <v>2596</v>
      </c>
      <c r="D58">
        <v>96773</v>
      </c>
      <c r="E58" t="str">
        <f t="shared" si="0"/>
        <v>ia.assorted_string like '%96773-09-2024%' or</v>
      </c>
    </row>
    <row r="59" spans="1:5" x14ac:dyDescent="0.25">
      <c r="A59" t="s">
        <v>198</v>
      </c>
      <c r="B59" t="s">
        <v>2596</v>
      </c>
      <c r="D59">
        <v>96774</v>
      </c>
      <c r="E59" t="str">
        <f t="shared" si="0"/>
        <v>ia.assorted_string like '%96774-09-2024%' or</v>
      </c>
    </row>
    <row r="60" spans="1:5" x14ac:dyDescent="0.25">
      <c r="A60" t="s">
        <v>199</v>
      </c>
      <c r="B60" t="s">
        <v>2596</v>
      </c>
      <c r="D60">
        <v>96775</v>
      </c>
      <c r="E60" t="str">
        <f t="shared" si="0"/>
        <v>ia.assorted_string like '%96775-09-2024%' or</v>
      </c>
    </row>
    <row r="61" spans="1:5" x14ac:dyDescent="0.25">
      <c r="A61" t="s">
        <v>200</v>
      </c>
      <c r="B61" t="s">
        <v>2596</v>
      </c>
      <c r="D61">
        <v>96776</v>
      </c>
      <c r="E61" t="str">
        <f t="shared" si="0"/>
        <v>ia.assorted_string like '%96776-09-2024%' or</v>
      </c>
    </row>
    <row r="62" spans="1:5" x14ac:dyDescent="0.25">
      <c r="A62" t="s">
        <v>201</v>
      </c>
      <c r="B62" t="s">
        <v>2596</v>
      </c>
      <c r="D62">
        <v>96777</v>
      </c>
      <c r="E62" t="str">
        <f t="shared" si="0"/>
        <v>ia.assorted_string like '%96777-09-2024%' or</v>
      </c>
    </row>
    <row r="63" spans="1:5" x14ac:dyDescent="0.25">
      <c r="A63" t="s">
        <v>202</v>
      </c>
      <c r="B63" t="s">
        <v>2596</v>
      </c>
      <c r="D63">
        <v>96778</v>
      </c>
      <c r="E63" t="str">
        <f t="shared" si="0"/>
        <v>ia.assorted_string like '%96778-09-2024%' or</v>
      </c>
    </row>
    <row r="64" spans="1:5" x14ac:dyDescent="0.25">
      <c r="A64" t="s">
        <v>203</v>
      </c>
      <c r="B64" t="s">
        <v>2596</v>
      </c>
      <c r="D64">
        <v>96788</v>
      </c>
      <c r="E64" t="str">
        <f t="shared" si="0"/>
        <v>ia.assorted_string like '%96788-09-2024%' or</v>
      </c>
    </row>
    <row r="65" spans="1:5" x14ac:dyDescent="0.25">
      <c r="A65" t="s">
        <v>204</v>
      </c>
      <c r="B65" t="s">
        <v>2596</v>
      </c>
      <c r="D65">
        <v>96802</v>
      </c>
      <c r="E65" t="str">
        <f t="shared" si="0"/>
        <v>ia.assorted_string like '%96802-09-2024%' or</v>
      </c>
    </row>
    <row r="66" spans="1:5" x14ac:dyDescent="0.25">
      <c r="A66" t="s">
        <v>205</v>
      </c>
      <c r="B66" t="s">
        <v>2596</v>
      </c>
      <c r="D66">
        <v>96803</v>
      </c>
      <c r="E66" t="str">
        <f t="shared" ref="E66:E129" si="1">"ia.assorted_string like '%"&amp;D66&amp;B66&amp;"%' or"</f>
        <v>ia.assorted_string like '%96803-09-2024%' or</v>
      </c>
    </row>
    <row r="67" spans="1:5" x14ac:dyDescent="0.25">
      <c r="A67" t="s">
        <v>206</v>
      </c>
      <c r="B67" t="s">
        <v>2596</v>
      </c>
      <c r="D67">
        <v>96805</v>
      </c>
      <c r="E67" t="str">
        <f t="shared" si="1"/>
        <v>ia.assorted_string like '%96805-09-2024%' or</v>
      </c>
    </row>
    <row r="68" spans="1:5" x14ac:dyDescent="0.25">
      <c r="A68" t="s">
        <v>207</v>
      </c>
      <c r="B68" t="s">
        <v>2596</v>
      </c>
      <c r="D68">
        <v>96817</v>
      </c>
      <c r="E68" t="str">
        <f t="shared" si="1"/>
        <v>ia.assorted_string like '%96817-09-2024%' or</v>
      </c>
    </row>
    <row r="69" spans="1:5" x14ac:dyDescent="0.25">
      <c r="A69" t="s">
        <v>208</v>
      </c>
      <c r="B69" t="s">
        <v>2596</v>
      </c>
      <c r="D69">
        <v>96819</v>
      </c>
      <c r="E69" t="str">
        <f t="shared" si="1"/>
        <v>ia.assorted_string like '%96819-09-2024%' or</v>
      </c>
    </row>
    <row r="70" spans="1:5" x14ac:dyDescent="0.25">
      <c r="A70" t="s">
        <v>209</v>
      </c>
      <c r="B70" t="s">
        <v>2596</v>
      </c>
      <c r="D70">
        <v>96820</v>
      </c>
      <c r="E70" t="str">
        <f t="shared" si="1"/>
        <v>ia.assorted_string like '%96820-09-2024%' or</v>
      </c>
    </row>
    <row r="71" spans="1:5" x14ac:dyDescent="0.25">
      <c r="A71" t="s">
        <v>210</v>
      </c>
      <c r="B71" t="s">
        <v>2596</v>
      </c>
      <c r="D71">
        <v>96821</v>
      </c>
      <c r="E71" t="str">
        <f t="shared" si="1"/>
        <v>ia.assorted_string like '%96821-09-2024%' or</v>
      </c>
    </row>
    <row r="72" spans="1:5" x14ac:dyDescent="0.25">
      <c r="A72" t="s">
        <v>211</v>
      </c>
      <c r="B72" t="s">
        <v>2596</v>
      </c>
      <c r="D72">
        <v>96822</v>
      </c>
      <c r="E72" t="str">
        <f t="shared" si="1"/>
        <v>ia.assorted_string like '%96822-09-2024%' or</v>
      </c>
    </row>
    <row r="73" spans="1:5" x14ac:dyDescent="0.25">
      <c r="A73" t="s">
        <v>212</v>
      </c>
      <c r="B73" t="s">
        <v>2596</v>
      </c>
      <c r="D73">
        <v>96823</v>
      </c>
      <c r="E73" t="str">
        <f t="shared" si="1"/>
        <v>ia.assorted_string like '%96823-09-2024%' or</v>
      </c>
    </row>
    <row r="74" spans="1:5" x14ac:dyDescent="0.25">
      <c r="A74" t="s">
        <v>213</v>
      </c>
      <c r="B74" t="s">
        <v>2596</v>
      </c>
      <c r="D74">
        <v>96825</v>
      </c>
      <c r="E74" t="str">
        <f t="shared" si="1"/>
        <v>ia.assorted_string like '%96825-09-2024%' or</v>
      </c>
    </row>
    <row r="75" spans="1:5" x14ac:dyDescent="0.25">
      <c r="A75" t="s">
        <v>214</v>
      </c>
      <c r="B75" t="s">
        <v>2596</v>
      </c>
      <c r="D75">
        <v>96828</v>
      </c>
      <c r="E75" t="str">
        <f t="shared" si="1"/>
        <v>ia.assorted_string like '%96828-09-2024%' or</v>
      </c>
    </row>
    <row r="76" spans="1:5" x14ac:dyDescent="0.25">
      <c r="A76" t="s">
        <v>215</v>
      </c>
      <c r="B76" t="s">
        <v>2596</v>
      </c>
      <c r="D76">
        <v>96829</v>
      </c>
      <c r="E76" t="str">
        <f t="shared" si="1"/>
        <v>ia.assorted_string like '%96829-09-2024%' or</v>
      </c>
    </row>
    <row r="77" spans="1:5" x14ac:dyDescent="0.25">
      <c r="A77" t="s">
        <v>216</v>
      </c>
      <c r="B77" t="s">
        <v>2596</v>
      </c>
      <c r="D77">
        <v>96830</v>
      </c>
      <c r="E77" t="str">
        <f t="shared" si="1"/>
        <v>ia.assorted_string like '%96830-09-2024%' or</v>
      </c>
    </row>
    <row r="78" spans="1:5" x14ac:dyDescent="0.25">
      <c r="A78" t="s">
        <v>217</v>
      </c>
      <c r="B78" t="s">
        <v>2596</v>
      </c>
      <c r="D78">
        <v>96831</v>
      </c>
      <c r="E78" t="str">
        <f t="shared" si="1"/>
        <v>ia.assorted_string like '%96831-09-2024%' or</v>
      </c>
    </row>
    <row r="79" spans="1:5" x14ac:dyDescent="0.25">
      <c r="A79" t="s">
        <v>218</v>
      </c>
      <c r="B79" t="s">
        <v>2596</v>
      </c>
      <c r="D79">
        <v>96833</v>
      </c>
      <c r="E79" t="str">
        <f t="shared" si="1"/>
        <v>ia.assorted_string like '%96833-09-2024%' or</v>
      </c>
    </row>
    <row r="80" spans="1:5" x14ac:dyDescent="0.25">
      <c r="A80" t="s">
        <v>219</v>
      </c>
      <c r="B80" t="s">
        <v>2596</v>
      </c>
      <c r="D80">
        <v>96834</v>
      </c>
      <c r="E80" t="str">
        <f t="shared" si="1"/>
        <v>ia.assorted_string like '%96834-09-2024%' or</v>
      </c>
    </row>
    <row r="81" spans="1:5" x14ac:dyDescent="0.25">
      <c r="A81" t="s">
        <v>220</v>
      </c>
      <c r="B81" t="s">
        <v>2596</v>
      </c>
      <c r="D81">
        <v>96835</v>
      </c>
      <c r="E81" t="str">
        <f t="shared" si="1"/>
        <v>ia.assorted_string like '%96835-09-2024%' or</v>
      </c>
    </row>
    <row r="82" spans="1:5" x14ac:dyDescent="0.25">
      <c r="A82" t="s">
        <v>221</v>
      </c>
      <c r="B82" t="s">
        <v>2596</v>
      </c>
      <c r="D82">
        <v>96836</v>
      </c>
      <c r="E82" t="str">
        <f t="shared" si="1"/>
        <v>ia.assorted_string like '%96836-09-2024%' or</v>
      </c>
    </row>
    <row r="83" spans="1:5" x14ac:dyDescent="0.25">
      <c r="A83" t="s">
        <v>222</v>
      </c>
      <c r="B83" t="s">
        <v>2596</v>
      </c>
      <c r="D83">
        <v>96838</v>
      </c>
      <c r="E83" t="str">
        <f t="shared" si="1"/>
        <v>ia.assorted_string like '%96838-09-2024%' or</v>
      </c>
    </row>
    <row r="84" spans="1:5" x14ac:dyDescent="0.25">
      <c r="A84" t="s">
        <v>223</v>
      </c>
      <c r="B84" t="s">
        <v>2596</v>
      </c>
      <c r="D84">
        <v>96839</v>
      </c>
      <c r="E84" t="str">
        <f t="shared" si="1"/>
        <v>ia.assorted_string like '%96839-09-2024%' or</v>
      </c>
    </row>
    <row r="85" spans="1:5" x14ac:dyDescent="0.25">
      <c r="A85" t="s">
        <v>224</v>
      </c>
      <c r="B85" t="s">
        <v>2596</v>
      </c>
      <c r="D85">
        <v>96851</v>
      </c>
      <c r="E85" t="str">
        <f t="shared" si="1"/>
        <v>ia.assorted_string like '%96851-09-2024%' or</v>
      </c>
    </row>
    <row r="86" spans="1:5" x14ac:dyDescent="0.25">
      <c r="A86" t="s">
        <v>225</v>
      </c>
      <c r="B86" t="s">
        <v>2596</v>
      </c>
      <c r="D86">
        <v>96852</v>
      </c>
      <c r="E86" t="str">
        <f t="shared" si="1"/>
        <v>ia.assorted_string like '%96852-09-2024%' or</v>
      </c>
    </row>
    <row r="87" spans="1:5" x14ac:dyDescent="0.25">
      <c r="A87" t="s">
        <v>226</v>
      </c>
      <c r="B87" t="s">
        <v>2596</v>
      </c>
      <c r="D87">
        <v>96857</v>
      </c>
      <c r="E87" t="str">
        <f t="shared" si="1"/>
        <v>ia.assorted_string like '%96857-09-2024%' or</v>
      </c>
    </row>
    <row r="88" spans="1:5" x14ac:dyDescent="0.25">
      <c r="A88" t="s">
        <v>227</v>
      </c>
      <c r="B88" t="s">
        <v>2596</v>
      </c>
      <c r="D88">
        <v>96858</v>
      </c>
      <c r="E88" t="str">
        <f t="shared" si="1"/>
        <v>ia.assorted_string like '%96858-09-2024%' or</v>
      </c>
    </row>
    <row r="89" spans="1:5" x14ac:dyDescent="0.25">
      <c r="A89" t="s">
        <v>228</v>
      </c>
      <c r="B89" t="s">
        <v>2596</v>
      </c>
      <c r="D89">
        <v>96879</v>
      </c>
      <c r="E89" t="str">
        <f t="shared" si="1"/>
        <v>ia.assorted_string like '%96879-09-2024%' or</v>
      </c>
    </row>
    <row r="90" spans="1:5" x14ac:dyDescent="0.25">
      <c r="A90" t="s">
        <v>229</v>
      </c>
      <c r="B90" t="s">
        <v>2596</v>
      </c>
      <c r="D90">
        <v>96880</v>
      </c>
      <c r="E90" t="str">
        <f t="shared" si="1"/>
        <v>ia.assorted_string like '%96880-09-2024%' or</v>
      </c>
    </row>
    <row r="91" spans="1:5" x14ac:dyDescent="0.25">
      <c r="A91" t="s">
        <v>230</v>
      </c>
      <c r="B91" t="s">
        <v>2596</v>
      </c>
      <c r="D91">
        <v>96884</v>
      </c>
      <c r="E91" t="str">
        <f t="shared" si="1"/>
        <v>ia.assorted_string like '%96884-09-2024%' or</v>
      </c>
    </row>
    <row r="92" spans="1:5" x14ac:dyDescent="0.25">
      <c r="A92" t="s">
        <v>231</v>
      </c>
      <c r="B92" t="s">
        <v>2596</v>
      </c>
      <c r="D92">
        <v>96890</v>
      </c>
      <c r="E92" t="str">
        <f t="shared" si="1"/>
        <v>ia.assorted_string like '%96890-09-2024%' or</v>
      </c>
    </row>
    <row r="93" spans="1:5" x14ac:dyDescent="0.25">
      <c r="A93" t="s">
        <v>232</v>
      </c>
      <c r="B93" t="s">
        <v>2596</v>
      </c>
      <c r="D93">
        <v>96891</v>
      </c>
      <c r="E93" t="str">
        <f t="shared" si="1"/>
        <v>ia.assorted_string like '%96891-09-2024%' or</v>
      </c>
    </row>
    <row r="94" spans="1:5" x14ac:dyDescent="0.25">
      <c r="A94" t="s">
        <v>233</v>
      </c>
      <c r="B94" t="s">
        <v>2596</v>
      </c>
      <c r="D94">
        <v>96893</v>
      </c>
      <c r="E94" t="str">
        <f t="shared" si="1"/>
        <v>ia.assorted_string like '%96893-09-2024%' or</v>
      </c>
    </row>
    <row r="95" spans="1:5" x14ac:dyDescent="0.25">
      <c r="A95" t="s">
        <v>234</v>
      </c>
      <c r="B95" t="s">
        <v>2596</v>
      </c>
      <c r="D95">
        <v>96895</v>
      </c>
      <c r="E95" t="str">
        <f t="shared" si="1"/>
        <v>ia.assorted_string like '%96895-09-2024%' or</v>
      </c>
    </row>
    <row r="96" spans="1:5" x14ac:dyDescent="0.25">
      <c r="A96" t="s">
        <v>235</v>
      </c>
      <c r="B96" t="s">
        <v>2596</v>
      </c>
      <c r="D96">
        <v>96896</v>
      </c>
      <c r="E96" t="str">
        <f t="shared" si="1"/>
        <v>ia.assorted_string like '%96896-09-2024%' or</v>
      </c>
    </row>
    <row r="97" spans="1:5" x14ac:dyDescent="0.25">
      <c r="A97" t="s">
        <v>236</v>
      </c>
      <c r="B97" t="s">
        <v>2596</v>
      </c>
      <c r="D97">
        <v>96897</v>
      </c>
      <c r="E97" t="str">
        <f t="shared" si="1"/>
        <v>ia.assorted_string like '%96897-09-2024%' or</v>
      </c>
    </row>
    <row r="98" spans="1:5" x14ac:dyDescent="0.25">
      <c r="A98" t="s">
        <v>237</v>
      </c>
      <c r="B98" t="s">
        <v>2596</v>
      </c>
      <c r="D98">
        <v>96898</v>
      </c>
      <c r="E98" t="str">
        <f t="shared" si="1"/>
        <v>ia.assorted_string like '%96898-09-2024%' or</v>
      </c>
    </row>
    <row r="99" spans="1:5" x14ac:dyDescent="0.25">
      <c r="A99" t="s">
        <v>238</v>
      </c>
      <c r="B99" t="s">
        <v>2596</v>
      </c>
      <c r="D99">
        <v>96901</v>
      </c>
      <c r="E99" t="str">
        <f t="shared" si="1"/>
        <v>ia.assorted_string like '%96901-09-2024%' or</v>
      </c>
    </row>
    <row r="100" spans="1:5" x14ac:dyDescent="0.25">
      <c r="A100" t="s">
        <v>239</v>
      </c>
      <c r="B100" t="s">
        <v>2596</v>
      </c>
      <c r="D100">
        <v>96902</v>
      </c>
      <c r="E100" t="str">
        <f t="shared" si="1"/>
        <v>ia.assorted_string like '%96902-09-2024%' or</v>
      </c>
    </row>
    <row r="101" spans="1:5" x14ac:dyDescent="0.25">
      <c r="A101" t="s">
        <v>240</v>
      </c>
      <c r="B101" t="s">
        <v>2596</v>
      </c>
      <c r="D101">
        <v>96903</v>
      </c>
      <c r="E101" t="str">
        <f t="shared" si="1"/>
        <v>ia.assorted_string like '%96903-09-2024%' or</v>
      </c>
    </row>
    <row r="102" spans="1:5" x14ac:dyDescent="0.25">
      <c r="A102" t="s">
        <v>241</v>
      </c>
      <c r="B102" t="s">
        <v>2596</v>
      </c>
      <c r="D102">
        <v>96904</v>
      </c>
      <c r="E102" t="str">
        <f t="shared" si="1"/>
        <v>ia.assorted_string like '%96904-09-2024%' or</v>
      </c>
    </row>
    <row r="103" spans="1:5" x14ac:dyDescent="0.25">
      <c r="A103" t="s">
        <v>242</v>
      </c>
      <c r="B103" t="s">
        <v>2596</v>
      </c>
      <c r="D103">
        <v>96905</v>
      </c>
      <c r="E103" t="str">
        <f t="shared" si="1"/>
        <v>ia.assorted_string like '%96905-09-2024%' or</v>
      </c>
    </row>
    <row r="104" spans="1:5" x14ac:dyDescent="0.25">
      <c r="A104" t="s">
        <v>243</v>
      </c>
      <c r="B104" t="s">
        <v>2596</v>
      </c>
      <c r="D104">
        <v>96906</v>
      </c>
      <c r="E104" t="str">
        <f t="shared" si="1"/>
        <v>ia.assorted_string like '%96906-09-2024%' or</v>
      </c>
    </row>
    <row r="105" spans="1:5" x14ac:dyDescent="0.25">
      <c r="A105" t="s">
        <v>244</v>
      </c>
      <c r="B105" t="s">
        <v>2596</v>
      </c>
      <c r="D105">
        <v>96907</v>
      </c>
      <c r="E105" t="str">
        <f t="shared" si="1"/>
        <v>ia.assorted_string like '%96907-09-2024%' or</v>
      </c>
    </row>
    <row r="106" spans="1:5" x14ac:dyDescent="0.25">
      <c r="A106" t="s">
        <v>245</v>
      </c>
      <c r="B106" t="s">
        <v>2596</v>
      </c>
      <c r="D106">
        <v>96908</v>
      </c>
      <c r="E106" t="str">
        <f t="shared" si="1"/>
        <v>ia.assorted_string like '%96908-09-2024%' or</v>
      </c>
    </row>
    <row r="107" spans="1:5" x14ac:dyDescent="0.25">
      <c r="A107" t="s">
        <v>246</v>
      </c>
      <c r="B107" t="s">
        <v>2596</v>
      </c>
      <c r="D107">
        <v>96918</v>
      </c>
      <c r="E107" t="str">
        <f t="shared" si="1"/>
        <v>ia.assorted_string like '%96918-09-2024%' or</v>
      </c>
    </row>
    <row r="108" spans="1:5" x14ac:dyDescent="0.25">
      <c r="A108" t="s">
        <v>247</v>
      </c>
      <c r="B108" t="s">
        <v>2596</v>
      </c>
      <c r="D108">
        <v>96920</v>
      </c>
      <c r="E108" t="str">
        <f t="shared" si="1"/>
        <v>ia.assorted_string like '%96920-09-2024%' or</v>
      </c>
    </row>
    <row r="109" spans="1:5" x14ac:dyDescent="0.25">
      <c r="A109" t="s">
        <v>248</v>
      </c>
      <c r="B109" t="s">
        <v>2596</v>
      </c>
      <c r="D109">
        <v>96921</v>
      </c>
      <c r="E109" t="str">
        <f t="shared" si="1"/>
        <v>ia.assorted_string like '%96921-09-2024%' or</v>
      </c>
    </row>
    <row r="110" spans="1:5" x14ac:dyDescent="0.25">
      <c r="A110" t="s">
        <v>249</v>
      </c>
      <c r="B110" t="s">
        <v>2596</v>
      </c>
      <c r="D110">
        <v>96922</v>
      </c>
      <c r="E110" t="str">
        <f t="shared" si="1"/>
        <v>ia.assorted_string like '%96922-09-2024%' or</v>
      </c>
    </row>
    <row r="111" spans="1:5" x14ac:dyDescent="0.25">
      <c r="A111" t="s">
        <v>250</v>
      </c>
      <c r="B111" t="s">
        <v>2596</v>
      </c>
      <c r="D111">
        <v>96929</v>
      </c>
      <c r="E111" t="str">
        <f t="shared" si="1"/>
        <v>ia.assorted_string like '%96929-09-2024%' or</v>
      </c>
    </row>
    <row r="112" spans="1:5" x14ac:dyDescent="0.25">
      <c r="A112" t="s">
        <v>251</v>
      </c>
      <c r="B112" t="s">
        <v>2596</v>
      </c>
      <c r="D112">
        <v>96931</v>
      </c>
      <c r="E112" t="str">
        <f t="shared" si="1"/>
        <v>ia.assorted_string like '%96931-09-2024%' or</v>
      </c>
    </row>
    <row r="113" spans="1:5" x14ac:dyDescent="0.25">
      <c r="A113" t="s">
        <v>252</v>
      </c>
      <c r="B113" t="s">
        <v>2596</v>
      </c>
      <c r="D113">
        <v>96936</v>
      </c>
      <c r="E113" t="str">
        <f t="shared" si="1"/>
        <v>ia.assorted_string like '%96936-09-2024%' or</v>
      </c>
    </row>
    <row r="114" spans="1:5" x14ac:dyDescent="0.25">
      <c r="A114" t="s">
        <v>253</v>
      </c>
      <c r="B114" t="s">
        <v>2596</v>
      </c>
      <c r="D114">
        <v>96938</v>
      </c>
      <c r="E114" t="str">
        <f t="shared" si="1"/>
        <v>ia.assorted_string like '%96938-09-2024%' or</v>
      </c>
    </row>
    <row r="115" spans="1:5" x14ac:dyDescent="0.25">
      <c r="A115" t="s">
        <v>254</v>
      </c>
      <c r="B115" t="s">
        <v>2596</v>
      </c>
      <c r="D115">
        <v>96939</v>
      </c>
      <c r="E115" t="str">
        <f t="shared" si="1"/>
        <v>ia.assorted_string like '%96939-09-2024%' or</v>
      </c>
    </row>
    <row r="116" spans="1:5" x14ac:dyDescent="0.25">
      <c r="A116" t="s">
        <v>255</v>
      </c>
      <c r="B116" t="s">
        <v>2596</v>
      </c>
      <c r="D116">
        <v>96940</v>
      </c>
      <c r="E116" t="str">
        <f t="shared" si="1"/>
        <v>ia.assorted_string like '%96940-09-2024%' or</v>
      </c>
    </row>
    <row r="117" spans="1:5" x14ac:dyDescent="0.25">
      <c r="A117" t="s">
        <v>256</v>
      </c>
      <c r="B117" t="s">
        <v>2596</v>
      </c>
      <c r="D117">
        <v>96941</v>
      </c>
      <c r="E117" t="str">
        <f t="shared" si="1"/>
        <v>ia.assorted_string like '%96941-09-2024%' or</v>
      </c>
    </row>
    <row r="118" spans="1:5" x14ac:dyDescent="0.25">
      <c r="A118" t="s">
        <v>257</v>
      </c>
      <c r="B118" t="s">
        <v>2596</v>
      </c>
      <c r="D118">
        <v>96942</v>
      </c>
      <c r="E118" t="str">
        <f t="shared" si="1"/>
        <v>ia.assorted_string like '%96942-09-2024%' or</v>
      </c>
    </row>
    <row r="119" spans="1:5" x14ac:dyDescent="0.25">
      <c r="A119" t="s">
        <v>258</v>
      </c>
      <c r="B119" t="s">
        <v>2596</v>
      </c>
      <c r="D119">
        <v>96943</v>
      </c>
      <c r="E119" t="str">
        <f t="shared" si="1"/>
        <v>ia.assorted_string like '%96943-09-2024%' or</v>
      </c>
    </row>
    <row r="120" spans="1:5" x14ac:dyDescent="0.25">
      <c r="A120" t="s">
        <v>259</v>
      </c>
      <c r="B120" t="s">
        <v>2596</v>
      </c>
      <c r="D120">
        <v>96944</v>
      </c>
      <c r="E120" t="str">
        <f t="shared" si="1"/>
        <v>ia.assorted_string like '%96944-09-2024%' or</v>
      </c>
    </row>
    <row r="121" spans="1:5" x14ac:dyDescent="0.25">
      <c r="A121" t="s">
        <v>260</v>
      </c>
      <c r="B121" t="s">
        <v>2596</v>
      </c>
      <c r="D121">
        <v>96947</v>
      </c>
      <c r="E121" t="str">
        <f t="shared" si="1"/>
        <v>ia.assorted_string like '%96947-09-2024%' or</v>
      </c>
    </row>
    <row r="122" spans="1:5" x14ac:dyDescent="0.25">
      <c r="A122" t="s">
        <v>261</v>
      </c>
      <c r="B122" t="s">
        <v>2596</v>
      </c>
      <c r="D122">
        <v>96950</v>
      </c>
      <c r="E122" t="str">
        <f t="shared" si="1"/>
        <v>ia.assorted_string like '%96950-09-2024%' or</v>
      </c>
    </row>
    <row r="123" spans="1:5" x14ac:dyDescent="0.25">
      <c r="A123" t="s">
        <v>262</v>
      </c>
      <c r="B123" t="s">
        <v>2596</v>
      </c>
      <c r="D123">
        <v>96951</v>
      </c>
      <c r="E123" t="str">
        <f t="shared" si="1"/>
        <v>ia.assorted_string like '%96951-09-2024%' or</v>
      </c>
    </row>
    <row r="124" spans="1:5" x14ac:dyDescent="0.25">
      <c r="A124" t="s">
        <v>263</v>
      </c>
      <c r="B124" t="s">
        <v>2596</v>
      </c>
      <c r="D124">
        <v>96953</v>
      </c>
      <c r="E124" t="str">
        <f t="shared" si="1"/>
        <v>ia.assorted_string like '%96953-09-2024%' or</v>
      </c>
    </row>
    <row r="125" spans="1:5" x14ac:dyDescent="0.25">
      <c r="A125" t="s">
        <v>264</v>
      </c>
      <c r="B125" t="s">
        <v>2596</v>
      </c>
      <c r="D125">
        <v>96956</v>
      </c>
      <c r="E125" t="str">
        <f t="shared" si="1"/>
        <v>ia.assorted_string like '%96956-09-2024%' or</v>
      </c>
    </row>
    <row r="126" spans="1:5" x14ac:dyDescent="0.25">
      <c r="A126" t="s">
        <v>265</v>
      </c>
      <c r="B126" t="s">
        <v>2596</v>
      </c>
      <c r="D126">
        <v>96969</v>
      </c>
      <c r="E126" t="str">
        <f t="shared" si="1"/>
        <v>ia.assorted_string like '%96969-09-2024%' or</v>
      </c>
    </row>
    <row r="127" spans="1:5" x14ac:dyDescent="0.25">
      <c r="A127" t="s">
        <v>266</v>
      </c>
      <c r="B127" t="s">
        <v>2596</v>
      </c>
      <c r="D127">
        <v>96970</v>
      </c>
      <c r="E127" t="str">
        <f t="shared" si="1"/>
        <v>ia.assorted_string like '%96970-09-2024%' or</v>
      </c>
    </row>
    <row r="128" spans="1:5" x14ac:dyDescent="0.25">
      <c r="A128" t="s">
        <v>267</v>
      </c>
      <c r="B128" t="s">
        <v>2596</v>
      </c>
      <c r="D128">
        <v>96972</v>
      </c>
      <c r="E128" t="str">
        <f t="shared" si="1"/>
        <v>ia.assorted_string like '%96972-09-2024%' or</v>
      </c>
    </row>
    <row r="129" spans="1:5" x14ac:dyDescent="0.25">
      <c r="A129" t="s">
        <v>268</v>
      </c>
      <c r="B129" t="s">
        <v>2596</v>
      </c>
      <c r="D129">
        <v>96973</v>
      </c>
      <c r="E129" t="str">
        <f t="shared" si="1"/>
        <v>ia.assorted_string like '%96973-09-2024%' or</v>
      </c>
    </row>
    <row r="130" spans="1:5" x14ac:dyDescent="0.25">
      <c r="A130" t="s">
        <v>269</v>
      </c>
      <c r="B130" t="s">
        <v>2596</v>
      </c>
      <c r="D130">
        <v>96974</v>
      </c>
      <c r="E130" t="str">
        <f t="shared" ref="E130:E193" si="2">"ia.assorted_string like '%"&amp;D130&amp;B130&amp;"%' or"</f>
        <v>ia.assorted_string like '%96974-09-2024%' or</v>
      </c>
    </row>
    <row r="131" spans="1:5" x14ac:dyDescent="0.25">
      <c r="A131" t="s">
        <v>270</v>
      </c>
      <c r="B131" t="s">
        <v>2596</v>
      </c>
      <c r="D131">
        <v>96985</v>
      </c>
      <c r="E131" t="str">
        <f t="shared" si="2"/>
        <v>ia.assorted_string like '%96985-09-2024%' or</v>
      </c>
    </row>
    <row r="132" spans="1:5" x14ac:dyDescent="0.25">
      <c r="A132" t="s">
        <v>271</v>
      </c>
      <c r="B132" t="s">
        <v>2596</v>
      </c>
      <c r="D132">
        <v>96988</v>
      </c>
      <c r="E132" t="str">
        <f t="shared" si="2"/>
        <v>ia.assorted_string like '%96988-09-2024%' or</v>
      </c>
    </row>
    <row r="133" spans="1:5" x14ac:dyDescent="0.25">
      <c r="A133" t="s">
        <v>272</v>
      </c>
      <c r="B133" t="s">
        <v>2596</v>
      </c>
      <c r="D133">
        <v>96989</v>
      </c>
      <c r="E133" t="str">
        <f t="shared" si="2"/>
        <v>ia.assorted_string like '%96989-09-2024%' or</v>
      </c>
    </row>
    <row r="134" spans="1:5" x14ac:dyDescent="0.25">
      <c r="A134" t="s">
        <v>273</v>
      </c>
      <c r="B134" t="s">
        <v>2596</v>
      </c>
      <c r="D134">
        <v>97006</v>
      </c>
      <c r="E134" t="str">
        <f t="shared" si="2"/>
        <v>ia.assorted_string like '%97006-09-2024%' or</v>
      </c>
    </row>
    <row r="135" spans="1:5" x14ac:dyDescent="0.25">
      <c r="A135" t="s">
        <v>274</v>
      </c>
      <c r="B135" t="s">
        <v>2596</v>
      </c>
      <c r="D135">
        <v>97008</v>
      </c>
      <c r="E135" t="str">
        <f t="shared" si="2"/>
        <v>ia.assorted_string like '%97008-09-2024%' or</v>
      </c>
    </row>
    <row r="136" spans="1:5" x14ac:dyDescent="0.25">
      <c r="A136" t="s">
        <v>275</v>
      </c>
      <c r="B136" t="s">
        <v>2596</v>
      </c>
      <c r="D136">
        <v>97009</v>
      </c>
      <c r="E136" t="str">
        <f t="shared" si="2"/>
        <v>ia.assorted_string like '%97009-09-2024%' or</v>
      </c>
    </row>
    <row r="137" spans="1:5" x14ac:dyDescent="0.25">
      <c r="A137" t="s">
        <v>276</v>
      </c>
      <c r="B137" t="s">
        <v>2596</v>
      </c>
      <c r="D137">
        <v>97010</v>
      </c>
      <c r="E137" t="str">
        <f t="shared" si="2"/>
        <v>ia.assorted_string like '%97010-09-2024%' or</v>
      </c>
    </row>
    <row r="138" spans="1:5" x14ac:dyDescent="0.25">
      <c r="A138" t="s">
        <v>277</v>
      </c>
      <c r="B138" t="s">
        <v>2596</v>
      </c>
      <c r="D138">
        <v>97016</v>
      </c>
      <c r="E138" t="str">
        <f t="shared" si="2"/>
        <v>ia.assorted_string like '%97016-09-2024%' or</v>
      </c>
    </row>
    <row r="139" spans="1:5" x14ac:dyDescent="0.25">
      <c r="A139" t="s">
        <v>278</v>
      </c>
      <c r="B139" t="s">
        <v>2596</v>
      </c>
      <c r="D139">
        <v>97023</v>
      </c>
      <c r="E139" t="str">
        <f t="shared" si="2"/>
        <v>ia.assorted_string like '%97023-09-2024%' or</v>
      </c>
    </row>
    <row r="140" spans="1:5" x14ac:dyDescent="0.25">
      <c r="A140" t="s">
        <v>279</v>
      </c>
      <c r="B140" t="s">
        <v>2596</v>
      </c>
      <c r="D140">
        <v>97024</v>
      </c>
      <c r="E140" t="str">
        <f t="shared" si="2"/>
        <v>ia.assorted_string like '%97024-09-2024%' or</v>
      </c>
    </row>
    <row r="141" spans="1:5" x14ac:dyDescent="0.25">
      <c r="A141" t="s">
        <v>280</v>
      </c>
      <c r="B141" t="s">
        <v>2596</v>
      </c>
      <c r="D141">
        <v>97025</v>
      </c>
      <c r="E141" t="str">
        <f t="shared" si="2"/>
        <v>ia.assorted_string like '%97025-09-2024%' or</v>
      </c>
    </row>
    <row r="142" spans="1:5" x14ac:dyDescent="0.25">
      <c r="A142" t="s">
        <v>281</v>
      </c>
      <c r="B142" t="s">
        <v>2596</v>
      </c>
      <c r="D142">
        <v>97026</v>
      </c>
      <c r="E142" t="str">
        <f t="shared" si="2"/>
        <v>ia.assorted_string like '%97026-09-2024%' or</v>
      </c>
    </row>
    <row r="143" spans="1:5" x14ac:dyDescent="0.25">
      <c r="A143" t="s">
        <v>282</v>
      </c>
      <c r="B143" t="s">
        <v>2596</v>
      </c>
      <c r="D143">
        <v>97027</v>
      </c>
      <c r="E143" t="str">
        <f t="shared" si="2"/>
        <v>ia.assorted_string like '%97027-09-2024%' or</v>
      </c>
    </row>
    <row r="144" spans="1:5" x14ac:dyDescent="0.25">
      <c r="A144" t="s">
        <v>283</v>
      </c>
      <c r="B144" t="s">
        <v>2596</v>
      </c>
      <c r="D144">
        <v>97028</v>
      </c>
      <c r="E144" t="str">
        <f t="shared" si="2"/>
        <v>ia.assorted_string like '%97028-09-2024%' or</v>
      </c>
    </row>
    <row r="145" spans="1:5" x14ac:dyDescent="0.25">
      <c r="A145" t="s">
        <v>284</v>
      </c>
      <c r="B145" t="s">
        <v>2596</v>
      </c>
      <c r="D145">
        <v>97029</v>
      </c>
      <c r="E145" t="str">
        <f t="shared" si="2"/>
        <v>ia.assorted_string like '%97029-09-2024%' or</v>
      </c>
    </row>
    <row r="146" spans="1:5" x14ac:dyDescent="0.25">
      <c r="A146" t="s">
        <v>285</v>
      </c>
      <c r="B146" t="s">
        <v>2596</v>
      </c>
      <c r="D146">
        <v>97030</v>
      </c>
      <c r="E146" t="str">
        <f t="shared" si="2"/>
        <v>ia.assorted_string like '%97030-09-2024%' or</v>
      </c>
    </row>
    <row r="147" spans="1:5" x14ac:dyDescent="0.25">
      <c r="A147" t="s">
        <v>286</v>
      </c>
      <c r="B147" t="s">
        <v>2596</v>
      </c>
      <c r="D147">
        <v>97031</v>
      </c>
      <c r="E147" t="str">
        <f t="shared" si="2"/>
        <v>ia.assorted_string like '%97031-09-2024%' or</v>
      </c>
    </row>
    <row r="148" spans="1:5" x14ac:dyDescent="0.25">
      <c r="A148" t="s">
        <v>287</v>
      </c>
      <c r="B148" t="s">
        <v>2596</v>
      </c>
      <c r="D148">
        <v>97034</v>
      </c>
      <c r="E148" t="str">
        <f t="shared" si="2"/>
        <v>ia.assorted_string like '%97034-09-2024%' or</v>
      </c>
    </row>
    <row r="149" spans="1:5" x14ac:dyDescent="0.25">
      <c r="A149" t="s">
        <v>288</v>
      </c>
      <c r="B149" t="s">
        <v>2596</v>
      </c>
      <c r="D149">
        <v>97035</v>
      </c>
      <c r="E149" t="str">
        <f t="shared" si="2"/>
        <v>ia.assorted_string like '%97035-09-2024%' or</v>
      </c>
    </row>
    <row r="150" spans="1:5" x14ac:dyDescent="0.25">
      <c r="A150" t="s">
        <v>289</v>
      </c>
      <c r="B150" t="s">
        <v>2596</v>
      </c>
      <c r="D150">
        <v>97039</v>
      </c>
      <c r="E150" t="str">
        <f t="shared" si="2"/>
        <v>ia.assorted_string like '%97039-09-2024%' or</v>
      </c>
    </row>
    <row r="151" spans="1:5" x14ac:dyDescent="0.25">
      <c r="A151" t="s">
        <v>290</v>
      </c>
      <c r="B151" t="s">
        <v>2596</v>
      </c>
      <c r="D151">
        <v>97043</v>
      </c>
      <c r="E151" t="str">
        <f t="shared" si="2"/>
        <v>ia.assorted_string like '%97043-09-2024%' or</v>
      </c>
    </row>
    <row r="152" spans="1:5" x14ac:dyDescent="0.25">
      <c r="A152" t="s">
        <v>291</v>
      </c>
      <c r="B152" t="s">
        <v>2596</v>
      </c>
      <c r="D152">
        <v>97044</v>
      </c>
      <c r="E152" t="str">
        <f t="shared" si="2"/>
        <v>ia.assorted_string like '%97044-09-2024%' or</v>
      </c>
    </row>
    <row r="153" spans="1:5" x14ac:dyDescent="0.25">
      <c r="A153" t="s">
        <v>292</v>
      </c>
      <c r="B153" t="s">
        <v>2596</v>
      </c>
      <c r="D153">
        <v>97049</v>
      </c>
      <c r="E153" t="str">
        <f t="shared" si="2"/>
        <v>ia.assorted_string like '%97049-09-2024%' or</v>
      </c>
    </row>
    <row r="154" spans="1:5" x14ac:dyDescent="0.25">
      <c r="A154" t="s">
        <v>293</v>
      </c>
      <c r="B154" t="s">
        <v>2596</v>
      </c>
      <c r="D154">
        <v>97051</v>
      </c>
      <c r="E154" t="str">
        <f t="shared" si="2"/>
        <v>ia.assorted_string like '%97051-09-2024%' or</v>
      </c>
    </row>
    <row r="155" spans="1:5" x14ac:dyDescent="0.25">
      <c r="A155" t="s">
        <v>294</v>
      </c>
      <c r="B155" t="s">
        <v>2596</v>
      </c>
      <c r="D155">
        <v>97053</v>
      </c>
      <c r="E155" t="str">
        <f t="shared" si="2"/>
        <v>ia.assorted_string like '%97053-09-2024%' or</v>
      </c>
    </row>
    <row r="156" spans="1:5" x14ac:dyDescent="0.25">
      <c r="A156" t="s">
        <v>295</v>
      </c>
      <c r="B156" t="s">
        <v>2596</v>
      </c>
      <c r="D156">
        <v>97054</v>
      </c>
      <c r="E156" t="str">
        <f t="shared" si="2"/>
        <v>ia.assorted_string like '%97054-09-2024%' or</v>
      </c>
    </row>
    <row r="157" spans="1:5" x14ac:dyDescent="0.25">
      <c r="A157" t="s">
        <v>296</v>
      </c>
      <c r="B157" t="s">
        <v>2596</v>
      </c>
      <c r="D157">
        <v>97057</v>
      </c>
      <c r="E157" t="str">
        <f t="shared" si="2"/>
        <v>ia.assorted_string like '%97057-09-2024%' or</v>
      </c>
    </row>
    <row r="158" spans="1:5" x14ac:dyDescent="0.25">
      <c r="A158" t="s">
        <v>297</v>
      </c>
      <c r="B158" t="s">
        <v>2596</v>
      </c>
      <c r="D158">
        <v>97058</v>
      </c>
      <c r="E158" t="str">
        <f t="shared" si="2"/>
        <v>ia.assorted_string like '%97058-09-2024%' or</v>
      </c>
    </row>
    <row r="159" spans="1:5" x14ac:dyDescent="0.25">
      <c r="A159" t="s">
        <v>298</v>
      </c>
      <c r="B159" t="s">
        <v>2596</v>
      </c>
      <c r="D159">
        <v>97064</v>
      </c>
      <c r="E159" t="str">
        <f t="shared" si="2"/>
        <v>ia.assorted_string like '%97064-09-2024%' or</v>
      </c>
    </row>
    <row r="160" spans="1:5" x14ac:dyDescent="0.25">
      <c r="A160" t="s">
        <v>299</v>
      </c>
      <c r="B160" t="s">
        <v>2596</v>
      </c>
      <c r="D160">
        <v>97065</v>
      </c>
      <c r="E160" t="str">
        <f t="shared" si="2"/>
        <v>ia.assorted_string like '%97065-09-2024%' or</v>
      </c>
    </row>
    <row r="161" spans="1:5" x14ac:dyDescent="0.25">
      <c r="A161" t="s">
        <v>300</v>
      </c>
      <c r="B161" t="s">
        <v>2596</v>
      </c>
      <c r="D161">
        <v>97066</v>
      </c>
      <c r="E161" t="str">
        <f t="shared" si="2"/>
        <v>ia.assorted_string like '%97066-09-2024%' or</v>
      </c>
    </row>
    <row r="162" spans="1:5" x14ac:dyDescent="0.25">
      <c r="A162" t="s">
        <v>301</v>
      </c>
      <c r="B162" t="s">
        <v>2596</v>
      </c>
      <c r="D162">
        <v>97069</v>
      </c>
      <c r="E162" t="str">
        <f t="shared" si="2"/>
        <v>ia.assorted_string like '%97069-09-2024%' or</v>
      </c>
    </row>
    <row r="163" spans="1:5" x14ac:dyDescent="0.25">
      <c r="A163" t="s">
        <v>302</v>
      </c>
      <c r="B163" t="s">
        <v>2596</v>
      </c>
      <c r="D163">
        <v>97073</v>
      </c>
      <c r="E163" t="str">
        <f t="shared" si="2"/>
        <v>ia.assorted_string like '%97073-09-2024%' or</v>
      </c>
    </row>
    <row r="164" spans="1:5" x14ac:dyDescent="0.25">
      <c r="A164" t="s">
        <v>303</v>
      </c>
      <c r="B164" t="s">
        <v>2596</v>
      </c>
      <c r="D164">
        <v>97076</v>
      </c>
      <c r="E164" t="str">
        <f t="shared" si="2"/>
        <v>ia.assorted_string like '%97076-09-2024%' or</v>
      </c>
    </row>
    <row r="165" spans="1:5" x14ac:dyDescent="0.25">
      <c r="A165" t="s">
        <v>304</v>
      </c>
      <c r="B165" t="s">
        <v>2596</v>
      </c>
      <c r="D165">
        <v>97077</v>
      </c>
      <c r="E165" t="str">
        <f t="shared" si="2"/>
        <v>ia.assorted_string like '%97077-09-2024%' or</v>
      </c>
    </row>
    <row r="166" spans="1:5" x14ac:dyDescent="0.25">
      <c r="A166" t="s">
        <v>305</v>
      </c>
      <c r="B166" t="s">
        <v>2596</v>
      </c>
      <c r="D166">
        <v>97078</v>
      </c>
      <c r="E166" t="str">
        <f t="shared" si="2"/>
        <v>ia.assorted_string like '%97078-09-2024%' or</v>
      </c>
    </row>
    <row r="167" spans="1:5" x14ac:dyDescent="0.25">
      <c r="A167" t="s">
        <v>306</v>
      </c>
      <c r="B167" t="s">
        <v>2596</v>
      </c>
      <c r="D167">
        <v>97081</v>
      </c>
      <c r="E167" t="str">
        <f t="shared" si="2"/>
        <v>ia.assorted_string like '%97081-09-2024%' or</v>
      </c>
    </row>
    <row r="168" spans="1:5" x14ac:dyDescent="0.25">
      <c r="A168" t="s">
        <v>307</v>
      </c>
      <c r="B168" t="s">
        <v>2596</v>
      </c>
      <c r="D168">
        <v>97083</v>
      </c>
      <c r="E168" t="str">
        <f t="shared" si="2"/>
        <v>ia.assorted_string like '%97083-09-2024%' or</v>
      </c>
    </row>
    <row r="169" spans="1:5" x14ac:dyDescent="0.25">
      <c r="A169" t="s">
        <v>308</v>
      </c>
      <c r="B169" t="s">
        <v>2596</v>
      </c>
      <c r="D169">
        <v>97084</v>
      </c>
      <c r="E169" t="str">
        <f t="shared" si="2"/>
        <v>ia.assorted_string like '%97084-09-2024%' or</v>
      </c>
    </row>
    <row r="170" spans="1:5" x14ac:dyDescent="0.25">
      <c r="A170" t="s">
        <v>309</v>
      </c>
      <c r="B170" t="s">
        <v>2596</v>
      </c>
      <c r="D170">
        <v>97085</v>
      </c>
      <c r="E170" t="str">
        <f t="shared" si="2"/>
        <v>ia.assorted_string like '%97085-09-2024%' or</v>
      </c>
    </row>
    <row r="171" spans="1:5" x14ac:dyDescent="0.25">
      <c r="A171" t="s">
        <v>310</v>
      </c>
      <c r="B171" t="s">
        <v>2596</v>
      </c>
      <c r="D171">
        <v>97086</v>
      </c>
      <c r="E171" t="str">
        <f t="shared" si="2"/>
        <v>ia.assorted_string like '%97086-09-2024%' or</v>
      </c>
    </row>
    <row r="172" spans="1:5" x14ac:dyDescent="0.25">
      <c r="A172" t="s">
        <v>311</v>
      </c>
      <c r="B172" t="s">
        <v>2596</v>
      </c>
      <c r="D172">
        <v>97087</v>
      </c>
      <c r="E172" t="str">
        <f t="shared" si="2"/>
        <v>ia.assorted_string like '%97087-09-2024%' or</v>
      </c>
    </row>
    <row r="173" spans="1:5" x14ac:dyDescent="0.25">
      <c r="A173" t="s">
        <v>312</v>
      </c>
      <c r="B173" t="s">
        <v>2596</v>
      </c>
      <c r="D173">
        <v>97090</v>
      </c>
      <c r="E173" t="str">
        <f t="shared" si="2"/>
        <v>ia.assorted_string like '%97090-09-2024%' or</v>
      </c>
    </row>
    <row r="174" spans="1:5" x14ac:dyDescent="0.25">
      <c r="A174" t="s">
        <v>313</v>
      </c>
      <c r="B174" t="s">
        <v>2596</v>
      </c>
      <c r="D174">
        <v>97091</v>
      </c>
      <c r="E174" t="str">
        <f t="shared" si="2"/>
        <v>ia.assorted_string like '%97091-09-2024%' or</v>
      </c>
    </row>
    <row r="175" spans="1:5" x14ac:dyDescent="0.25">
      <c r="A175" t="s">
        <v>314</v>
      </c>
      <c r="B175" t="s">
        <v>2596</v>
      </c>
      <c r="D175">
        <v>97092</v>
      </c>
      <c r="E175" t="str">
        <f t="shared" si="2"/>
        <v>ia.assorted_string like '%97092-09-2024%' or</v>
      </c>
    </row>
    <row r="176" spans="1:5" x14ac:dyDescent="0.25">
      <c r="A176" t="s">
        <v>315</v>
      </c>
      <c r="B176" t="s">
        <v>2596</v>
      </c>
      <c r="D176">
        <v>97093</v>
      </c>
      <c r="E176" t="str">
        <f t="shared" si="2"/>
        <v>ia.assorted_string like '%97093-09-2024%' or</v>
      </c>
    </row>
    <row r="177" spans="1:5" x14ac:dyDescent="0.25">
      <c r="A177" t="s">
        <v>316</v>
      </c>
      <c r="B177" t="s">
        <v>2596</v>
      </c>
      <c r="D177">
        <v>97094</v>
      </c>
      <c r="E177" t="str">
        <f t="shared" si="2"/>
        <v>ia.assorted_string like '%97094-09-2024%' or</v>
      </c>
    </row>
    <row r="178" spans="1:5" x14ac:dyDescent="0.25">
      <c r="A178" t="s">
        <v>317</v>
      </c>
      <c r="B178" t="s">
        <v>2596</v>
      </c>
      <c r="D178">
        <v>97095</v>
      </c>
      <c r="E178" t="str">
        <f t="shared" si="2"/>
        <v>ia.assorted_string like '%97095-09-2024%' or</v>
      </c>
    </row>
    <row r="179" spans="1:5" x14ac:dyDescent="0.25">
      <c r="A179" t="s">
        <v>318</v>
      </c>
      <c r="B179" t="s">
        <v>2596</v>
      </c>
      <c r="D179">
        <v>97096</v>
      </c>
      <c r="E179" t="str">
        <f t="shared" si="2"/>
        <v>ia.assorted_string like '%97096-09-2024%' or</v>
      </c>
    </row>
    <row r="180" spans="1:5" x14ac:dyDescent="0.25">
      <c r="A180" t="s">
        <v>319</v>
      </c>
      <c r="B180" t="s">
        <v>2596</v>
      </c>
      <c r="D180">
        <v>97097</v>
      </c>
      <c r="E180" t="str">
        <f t="shared" si="2"/>
        <v>ia.assorted_string like '%97097-09-2024%' or</v>
      </c>
    </row>
    <row r="181" spans="1:5" x14ac:dyDescent="0.25">
      <c r="A181" t="s">
        <v>320</v>
      </c>
      <c r="B181" t="s">
        <v>2596</v>
      </c>
      <c r="D181">
        <v>97098</v>
      </c>
      <c r="E181" t="str">
        <f t="shared" si="2"/>
        <v>ia.assorted_string like '%97098-09-2024%' or</v>
      </c>
    </row>
    <row r="182" spans="1:5" x14ac:dyDescent="0.25">
      <c r="A182" t="s">
        <v>321</v>
      </c>
      <c r="B182" t="s">
        <v>2596</v>
      </c>
      <c r="D182">
        <v>97099</v>
      </c>
      <c r="E182" t="str">
        <f t="shared" si="2"/>
        <v>ia.assorted_string like '%97099-09-2024%' or</v>
      </c>
    </row>
    <row r="183" spans="1:5" x14ac:dyDescent="0.25">
      <c r="A183" t="s">
        <v>322</v>
      </c>
      <c r="B183" t="s">
        <v>2596</v>
      </c>
      <c r="D183">
        <v>97100</v>
      </c>
      <c r="E183" t="str">
        <f t="shared" si="2"/>
        <v>ia.assorted_string like '%97100-09-2024%' or</v>
      </c>
    </row>
    <row r="184" spans="1:5" x14ac:dyDescent="0.25">
      <c r="A184" t="s">
        <v>323</v>
      </c>
      <c r="B184" t="s">
        <v>2596</v>
      </c>
      <c r="D184">
        <v>97101</v>
      </c>
      <c r="E184" t="str">
        <f t="shared" si="2"/>
        <v>ia.assorted_string like '%97101-09-2024%' or</v>
      </c>
    </row>
    <row r="185" spans="1:5" x14ac:dyDescent="0.25">
      <c r="A185" t="s">
        <v>324</v>
      </c>
      <c r="B185" t="s">
        <v>2596</v>
      </c>
      <c r="D185">
        <v>97102</v>
      </c>
      <c r="E185" t="str">
        <f t="shared" si="2"/>
        <v>ia.assorted_string like '%97102-09-2024%' or</v>
      </c>
    </row>
    <row r="186" spans="1:5" x14ac:dyDescent="0.25">
      <c r="A186" t="s">
        <v>325</v>
      </c>
      <c r="B186" t="s">
        <v>2596</v>
      </c>
      <c r="D186">
        <v>97109</v>
      </c>
      <c r="E186" t="str">
        <f t="shared" si="2"/>
        <v>ia.assorted_string like '%97109-09-2024%' or</v>
      </c>
    </row>
    <row r="187" spans="1:5" x14ac:dyDescent="0.25">
      <c r="A187" t="s">
        <v>326</v>
      </c>
      <c r="B187" t="s">
        <v>2596</v>
      </c>
      <c r="D187">
        <v>97115</v>
      </c>
      <c r="E187" t="str">
        <f t="shared" si="2"/>
        <v>ia.assorted_string like '%97115-09-2024%' or</v>
      </c>
    </row>
    <row r="188" spans="1:5" x14ac:dyDescent="0.25">
      <c r="A188" t="s">
        <v>327</v>
      </c>
      <c r="B188" t="s">
        <v>2596</v>
      </c>
      <c r="D188">
        <v>97116</v>
      </c>
      <c r="E188" t="str">
        <f t="shared" si="2"/>
        <v>ia.assorted_string like '%97116-09-2024%' or</v>
      </c>
    </row>
    <row r="189" spans="1:5" x14ac:dyDescent="0.25">
      <c r="A189" t="s">
        <v>328</v>
      </c>
      <c r="B189" t="s">
        <v>2596</v>
      </c>
      <c r="D189">
        <v>97119</v>
      </c>
      <c r="E189" t="str">
        <f t="shared" si="2"/>
        <v>ia.assorted_string like '%97119-09-2024%' or</v>
      </c>
    </row>
    <row r="190" spans="1:5" x14ac:dyDescent="0.25">
      <c r="A190" t="s">
        <v>329</v>
      </c>
      <c r="B190" t="s">
        <v>2596</v>
      </c>
      <c r="D190">
        <v>97127</v>
      </c>
      <c r="E190" t="str">
        <f t="shared" si="2"/>
        <v>ia.assorted_string like '%97127-09-2024%' or</v>
      </c>
    </row>
    <row r="191" spans="1:5" x14ac:dyDescent="0.25">
      <c r="A191" t="s">
        <v>330</v>
      </c>
      <c r="B191" t="s">
        <v>2596</v>
      </c>
      <c r="D191">
        <v>97131</v>
      </c>
      <c r="E191" t="str">
        <f t="shared" si="2"/>
        <v>ia.assorted_string like '%97131-09-2024%' or</v>
      </c>
    </row>
    <row r="192" spans="1:5" x14ac:dyDescent="0.25">
      <c r="A192" t="s">
        <v>331</v>
      </c>
      <c r="B192" t="s">
        <v>2596</v>
      </c>
      <c r="D192">
        <v>97132</v>
      </c>
      <c r="E192" t="str">
        <f t="shared" si="2"/>
        <v>ia.assorted_string like '%97132-09-2024%' or</v>
      </c>
    </row>
    <row r="193" spans="1:5" x14ac:dyDescent="0.25">
      <c r="A193" t="s">
        <v>332</v>
      </c>
      <c r="B193" t="s">
        <v>2596</v>
      </c>
      <c r="D193">
        <v>97133</v>
      </c>
      <c r="E193" t="str">
        <f t="shared" si="2"/>
        <v>ia.assorted_string like '%97133-09-2024%' or</v>
      </c>
    </row>
    <row r="194" spans="1:5" x14ac:dyDescent="0.25">
      <c r="A194" t="s">
        <v>333</v>
      </c>
      <c r="B194" t="s">
        <v>2596</v>
      </c>
      <c r="D194">
        <v>97139</v>
      </c>
      <c r="E194" t="str">
        <f t="shared" ref="E194:E257" si="3">"ia.assorted_string like '%"&amp;D194&amp;B194&amp;"%' or"</f>
        <v>ia.assorted_string like '%97139-09-2024%' or</v>
      </c>
    </row>
    <row r="195" spans="1:5" x14ac:dyDescent="0.25">
      <c r="A195" t="s">
        <v>334</v>
      </c>
      <c r="B195" t="s">
        <v>2596</v>
      </c>
      <c r="D195">
        <v>97140</v>
      </c>
      <c r="E195" t="str">
        <f t="shared" si="3"/>
        <v>ia.assorted_string like '%97140-09-2024%' or</v>
      </c>
    </row>
    <row r="196" spans="1:5" x14ac:dyDescent="0.25">
      <c r="A196" t="s">
        <v>335</v>
      </c>
      <c r="B196" t="s">
        <v>2596</v>
      </c>
      <c r="D196">
        <v>97142</v>
      </c>
      <c r="E196" t="str">
        <f t="shared" si="3"/>
        <v>ia.assorted_string like '%97142-09-2024%' or</v>
      </c>
    </row>
    <row r="197" spans="1:5" x14ac:dyDescent="0.25">
      <c r="A197" t="s">
        <v>336</v>
      </c>
      <c r="B197" t="s">
        <v>2596</v>
      </c>
      <c r="D197">
        <v>97143</v>
      </c>
      <c r="E197" t="str">
        <f t="shared" si="3"/>
        <v>ia.assorted_string like '%97143-09-2024%' or</v>
      </c>
    </row>
    <row r="198" spans="1:5" x14ac:dyDescent="0.25">
      <c r="A198" t="s">
        <v>337</v>
      </c>
      <c r="B198" t="s">
        <v>2596</v>
      </c>
      <c r="D198">
        <v>97144</v>
      </c>
      <c r="E198" t="str">
        <f t="shared" si="3"/>
        <v>ia.assorted_string like '%97144-09-2024%' or</v>
      </c>
    </row>
    <row r="199" spans="1:5" x14ac:dyDescent="0.25">
      <c r="A199" t="s">
        <v>338</v>
      </c>
      <c r="B199" t="s">
        <v>2596</v>
      </c>
      <c r="D199">
        <v>97145</v>
      </c>
      <c r="E199" t="str">
        <f t="shared" si="3"/>
        <v>ia.assorted_string like '%97145-09-2024%' or</v>
      </c>
    </row>
    <row r="200" spans="1:5" x14ac:dyDescent="0.25">
      <c r="A200" t="s">
        <v>339</v>
      </c>
      <c r="B200" t="s">
        <v>2596</v>
      </c>
      <c r="D200">
        <v>97146</v>
      </c>
      <c r="E200" t="str">
        <f t="shared" si="3"/>
        <v>ia.assorted_string like '%97146-09-2024%' or</v>
      </c>
    </row>
    <row r="201" spans="1:5" x14ac:dyDescent="0.25">
      <c r="A201" t="s">
        <v>340</v>
      </c>
      <c r="B201" t="s">
        <v>2596</v>
      </c>
      <c r="D201">
        <v>97151</v>
      </c>
      <c r="E201" t="str">
        <f t="shared" si="3"/>
        <v>ia.assorted_string like '%97151-09-2024%' or</v>
      </c>
    </row>
    <row r="202" spans="1:5" x14ac:dyDescent="0.25">
      <c r="A202" t="s">
        <v>341</v>
      </c>
      <c r="B202" t="s">
        <v>2596</v>
      </c>
      <c r="D202">
        <v>97157</v>
      </c>
      <c r="E202" t="str">
        <f t="shared" si="3"/>
        <v>ia.assorted_string like '%97157-09-2024%' or</v>
      </c>
    </row>
    <row r="203" spans="1:5" x14ac:dyDescent="0.25">
      <c r="A203" t="s">
        <v>342</v>
      </c>
      <c r="B203" t="s">
        <v>2596</v>
      </c>
      <c r="D203">
        <v>97159</v>
      </c>
      <c r="E203" t="str">
        <f t="shared" si="3"/>
        <v>ia.assorted_string like '%97159-09-2024%' or</v>
      </c>
    </row>
    <row r="204" spans="1:5" x14ac:dyDescent="0.25">
      <c r="A204" t="s">
        <v>343</v>
      </c>
      <c r="B204" t="s">
        <v>2596</v>
      </c>
      <c r="D204">
        <v>97161</v>
      </c>
      <c r="E204" t="str">
        <f t="shared" si="3"/>
        <v>ia.assorted_string like '%97161-09-2024%' or</v>
      </c>
    </row>
    <row r="205" spans="1:5" x14ac:dyDescent="0.25">
      <c r="A205" t="s">
        <v>344</v>
      </c>
      <c r="B205" t="s">
        <v>2596</v>
      </c>
      <c r="D205">
        <v>97163</v>
      </c>
      <c r="E205" t="str">
        <f t="shared" si="3"/>
        <v>ia.assorted_string like '%97163-09-2024%' or</v>
      </c>
    </row>
    <row r="206" spans="1:5" x14ac:dyDescent="0.25">
      <c r="A206" t="s">
        <v>345</v>
      </c>
      <c r="B206" t="s">
        <v>2596</v>
      </c>
      <c r="D206">
        <v>97164</v>
      </c>
      <c r="E206" t="str">
        <f t="shared" si="3"/>
        <v>ia.assorted_string like '%97164-09-2024%' or</v>
      </c>
    </row>
    <row r="207" spans="1:5" x14ac:dyDescent="0.25">
      <c r="A207" t="s">
        <v>346</v>
      </c>
      <c r="B207" t="s">
        <v>2596</v>
      </c>
      <c r="D207">
        <v>97166</v>
      </c>
      <c r="E207" t="str">
        <f t="shared" si="3"/>
        <v>ia.assorted_string like '%97166-09-2024%' or</v>
      </c>
    </row>
    <row r="208" spans="1:5" x14ac:dyDescent="0.25">
      <c r="A208" t="s">
        <v>347</v>
      </c>
      <c r="B208" t="s">
        <v>2596</v>
      </c>
      <c r="D208">
        <v>97168</v>
      </c>
      <c r="E208" t="str">
        <f t="shared" si="3"/>
        <v>ia.assorted_string like '%97168-09-2024%' or</v>
      </c>
    </row>
    <row r="209" spans="1:5" x14ac:dyDescent="0.25">
      <c r="A209" t="s">
        <v>348</v>
      </c>
      <c r="B209" t="s">
        <v>2596</v>
      </c>
      <c r="D209">
        <v>97172</v>
      </c>
      <c r="E209" t="str">
        <f t="shared" si="3"/>
        <v>ia.assorted_string like '%97172-09-2024%' or</v>
      </c>
    </row>
    <row r="210" spans="1:5" x14ac:dyDescent="0.25">
      <c r="A210" t="s">
        <v>349</v>
      </c>
      <c r="B210" t="s">
        <v>2596</v>
      </c>
      <c r="D210">
        <v>97173</v>
      </c>
      <c r="E210" t="str">
        <f t="shared" si="3"/>
        <v>ia.assorted_string like '%97173-09-2024%' or</v>
      </c>
    </row>
    <row r="211" spans="1:5" x14ac:dyDescent="0.25">
      <c r="A211" t="s">
        <v>350</v>
      </c>
      <c r="B211" t="s">
        <v>2596</v>
      </c>
      <c r="D211">
        <v>97174</v>
      </c>
      <c r="E211" t="str">
        <f t="shared" si="3"/>
        <v>ia.assorted_string like '%97174-09-2024%' or</v>
      </c>
    </row>
    <row r="212" spans="1:5" x14ac:dyDescent="0.25">
      <c r="A212" t="s">
        <v>351</v>
      </c>
      <c r="B212" t="s">
        <v>2596</v>
      </c>
      <c r="D212">
        <v>97185</v>
      </c>
      <c r="E212" t="str">
        <f t="shared" si="3"/>
        <v>ia.assorted_string like '%97185-09-2024%' or</v>
      </c>
    </row>
    <row r="213" spans="1:5" x14ac:dyDescent="0.25">
      <c r="A213" t="s">
        <v>352</v>
      </c>
      <c r="B213" t="s">
        <v>2596</v>
      </c>
      <c r="D213">
        <v>97186</v>
      </c>
      <c r="E213" t="str">
        <f t="shared" si="3"/>
        <v>ia.assorted_string like '%97186-09-2024%' or</v>
      </c>
    </row>
    <row r="214" spans="1:5" x14ac:dyDescent="0.25">
      <c r="A214" t="s">
        <v>353</v>
      </c>
      <c r="B214" t="s">
        <v>2596</v>
      </c>
      <c r="D214">
        <v>97189</v>
      </c>
      <c r="E214" t="str">
        <f t="shared" si="3"/>
        <v>ia.assorted_string like '%97189-09-2024%' or</v>
      </c>
    </row>
    <row r="215" spans="1:5" x14ac:dyDescent="0.25">
      <c r="A215" t="s">
        <v>354</v>
      </c>
      <c r="B215" t="s">
        <v>2596</v>
      </c>
      <c r="D215">
        <v>97190</v>
      </c>
      <c r="E215" t="str">
        <f t="shared" si="3"/>
        <v>ia.assorted_string like '%97190-09-2024%' or</v>
      </c>
    </row>
    <row r="216" spans="1:5" x14ac:dyDescent="0.25">
      <c r="A216" t="s">
        <v>355</v>
      </c>
      <c r="B216" t="s">
        <v>2596</v>
      </c>
      <c r="D216">
        <v>97200</v>
      </c>
      <c r="E216" t="str">
        <f t="shared" si="3"/>
        <v>ia.assorted_string like '%97200-09-2024%' or</v>
      </c>
    </row>
    <row r="217" spans="1:5" x14ac:dyDescent="0.25">
      <c r="A217" t="s">
        <v>356</v>
      </c>
      <c r="B217" t="s">
        <v>2596</v>
      </c>
      <c r="D217">
        <v>97201</v>
      </c>
      <c r="E217" t="str">
        <f t="shared" si="3"/>
        <v>ia.assorted_string like '%97201-09-2024%' or</v>
      </c>
    </row>
    <row r="218" spans="1:5" x14ac:dyDescent="0.25">
      <c r="A218" t="s">
        <v>357</v>
      </c>
      <c r="B218" t="s">
        <v>2596</v>
      </c>
      <c r="D218">
        <v>97202</v>
      </c>
      <c r="E218" t="str">
        <f t="shared" si="3"/>
        <v>ia.assorted_string like '%97202-09-2024%' or</v>
      </c>
    </row>
    <row r="219" spans="1:5" x14ac:dyDescent="0.25">
      <c r="A219" t="s">
        <v>358</v>
      </c>
      <c r="B219" t="s">
        <v>2596</v>
      </c>
      <c r="D219">
        <v>97203</v>
      </c>
      <c r="E219" t="str">
        <f t="shared" si="3"/>
        <v>ia.assorted_string like '%97203-09-2024%' or</v>
      </c>
    </row>
    <row r="220" spans="1:5" x14ac:dyDescent="0.25">
      <c r="A220" t="s">
        <v>359</v>
      </c>
      <c r="B220" t="s">
        <v>2596</v>
      </c>
      <c r="D220">
        <v>97204</v>
      </c>
      <c r="E220" t="str">
        <f t="shared" si="3"/>
        <v>ia.assorted_string like '%97204-09-2024%' or</v>
      </c>
    </row>
    <row r="221" spans="1:5" x14ac:dyDescent="0.25">
      <c r="A221" t="s">
        <v>360</v>
      </c>
      <c r="B221" t="s">
        <v>2596</v>
      </c>
      <c r="D221">
        <v>97205</v>
      </c>
      <c r="E221" t="str">
        <f t="shared" si="3"/>
        <v>ia.assorted_string like '%97205-09-2024%' or</v>
      </c>
    </row>
    <row r="222" spans="1:5" x14ac:dyDescent="0.25">
      <c r="A222" t="s">
        <v>361</v>
      </c>
      <c r="B222" t="s">
        <v>2596</v>
      </c>
      <c r="D222">
        <v>97206</v>
      </c>
      <c r="E222" t="str">
        <f t="shared" si="3"/>
        <v>ia.assorted_string like '%97206-09-2024%' or</v>
      </c>
    </row>
    <row r="223" spans="1:5" x14ac:dyDescent="0.25">
      <c r="A223" t="s">
        <v>362</v>
      </c>
      <c r="B223" t="s">
        <v>2596</v>
      </c>
      <c r="D223">
        <v>97207</v>
      </c>
      <c r="E223" t="str">
        <f t="shared" si="3"/>
        <v>ia.assorted_string like '%97207-09-2024%' or</v>
      </c>
    </row>
    <row r="224" spans="1:5" x14ac:dyDescent="0.25">
      <c r="A224" t="s">
        <v>363</v>
      </c>
      <c r="B224" t="s">
        <v>2596</v>
      </c>
      <c r="D224">
        <v>97209</v>
      </c>
      <c r="E224" t="str">
        <f t="shared" si="3"/>
        <v>ia.assorted_string like '%97209-09-2024%' or</v>
      </c>
    </row>
    <row r="225" spans="1:5" x14ac:dyDescent="0.25">
      <c r="A225" t="s">
        <v>364</v>
      </c>
      <c r="B225" t="s">
        <v>2596</v>
      </c>
      <c r="D225">
        <v>97211</v>
      </c>
      <c r="E225" t="str">
        <f t="shared" si="3"/>
        <v>ia.assorted_string like '%97211-09-2024%' or</v>
      </c>
    </row>
    <row r="226" spans="1:5" x14ac:dyDescent="0.25">
      <c r="A226" t="s">
        <v>365</v>
      </c>
      <c r="B226" t="s">
        <v>2596</v>
      </c>
      <c r="D226">
        <v>97213</v>
      </c>
      <c r="E226" t="str">
        <f t="shared" si="3"/>
        <v>ia.assorted_string like '%97213-09-2024%' or</v>
      </c>
    </row>
    <row r="227" spans="1:5" x14ac:dyDescent="0.25">
      <c r="A227" t="s">
        <v>366</v>
      </c>
      <c r="B227" t="s">
        <v>2596</v>
      </c>
      <c r="D227">
        <v>97217</v>
      </c>
      <c r="E227" t="str">
        <f t="shared" si="3"/>
        <v>ia.assorted_string like '%97217-09-2024%' or</v>
      </c>
    </row>
    <row r="228" spans="1:5" x14ac:dyDescent="0.25">
      <c r="A228" t="s">
        <v>367</v>
      </c>
      <c r="B228" t="s">
        <v>2596</v>
      </c>
      <c r="D228">
        <v>97218</v>
      </c>
      <c r="E228" t="str">
        <f t="shared" si="3"/>
        <v>ia.assorted_string like '%97218-09-2024%' or</v>
      </c>
    </row>
    <row r="229" spans="1:5" x14ac:dyDescent="0.25">
      <c r="A229" t="s">
        <v>368</v>
      </c>
      <c r="B229" t="s">
        <v>2596</v>
      </c>
      <c r="D229">
        <v>97220</v>
      </c>
      <c r="E229" t="str">
        <f t="shared" si="3"/>
        <v>ia.assorted_string like '%97220-09-2024%' or</v>
      </c>
    </row>
    <row r="230" spans="1:5" x14ac:dyDescent="0.25">
      <c r="A230" t="s">
        <v>369</v>
      </c>
      <c r="B230" t="s">
        <v>2596</v>
      </c>
      <c r="D230">
        <v>97223</v>
      </c>
      <c r="E230" t="str">
        <f t="shared" si="3"/>
        <v>ia.assorted_string like '%97223-09-2024%' or</v>
      </c>
    </row>
    <row r="231" spans="1:5" x14ac:dyDescent="0.25">
      <c r="A231" t="s">
        <v>370</v>
      </c>
      <c r="B231" t="s">
        <v>2596</v>
      </c>
      <c r="D231">
        <v>97225</v>
      </c>
      <c r="E231" t="str">
        <f t="shared" si="3"/>
        <v>ia.assorted_string like '%97225-09-2024%' or</v>
      </c>
    </row>
    <row r="232" spans="1:5" x14ac:dyDescent="0.25">
      <c r="A232" t="s">
        <v>371</v>
      </c>
      <c r="B232" t="s">
        <v>2596</v>
      </c>
      <c r="D232">
        <v>97229</v>
      </c>
      <c r="E232" t="str">
        <f t="shared" si="3"/>
        <v>ia.assorted_string like '%97229-09-2024%' or</v>
      </c>
    </row>
    <row r="233" spans="1:5" x14ac:dyDescent="0.25">
      <c r="A233" t="s">
        <v>372</v>
      </c>
      <c r="B233" t="s">
        <v>2596</v>
      </c>
      <c r="D233">
        <v>97230</v>
      </c>
      <c r="E233" t="str">
        <f t="shared" si="3"/>
        <v>ia.assorted_string like '%97230-09-2024%' or</v>
      </c>
    </row>
    <row r="234" spans="1:5" x14ac:dyDescent="0.25">
      <c r="A234" t="s">
        <v>373</v>
      </c>
      <c r="B234" t="s">
        <v>2596</v>
      </c>
      <c r="D234">
        <v>97231</v>
      </c>
      <c r="E234" t="str">
        <f t="shared" si="3"/>
        <v>ia.assorted_string like '%97231-09-2024%' or</v>
      </c>
    </row>
    <row r="235" spans="1:5" x14ac:dyDescent="0.25">
      <c r="A235" t="s">
        <v>374</v>
      </c>
      <c r="B235" t="s">
        <v>2596</v>
      </c>
      <c r="D235">
        <v>97234</v>
      </c>
      <c r="E235" t="str">
        <f t="shared" si="3"/>
        <v>ia.assorted_string like '%97234-09-2024%' or</v>
      </c>
    </row>
    <row r="236" spans="1:5" x14ac:dyDescent="0.25">
      <c r="A236" t="s">
        <v>375</v>
      </c>
      <c r="B236" t="s">
        <v>2596</v>
      </c>
      <c r="D236">
        <v>97235</v>
      </c>
      <c r="E236" t="str">
        <f t="shared" si="3"/>
        <v>ia.assorted_string like '%97235-09-2024%' or</v>
      </c>
    </row>
    <row r="237" spans="1:5" x14ac:dyDescent="0.25">
      <c r="A237" t="s">
        <v>376</v>
      </c>
      <c r="B237" t="s">
        <v>2596</v>
      </c>
      <c r="D237">
        <v>97237</v>
      </c>
      <c r="E237" t="str">
        <f t="shared" si="3"/>
        <v>ia.assorted_string like '%97237-09-2024%' or</v>
      </c>
    </row>
    <row r="238" spans="1:5" x14ac:dyDescent="0.25">
      <c r="A238" t="s">
        <v>377</v>
      </c>
      <c r="B238" t="s">
        <v>2596</v>
      </c>
      <c r="D238">
        <v>97238</v>
      </c>
      <c r="E238" t="str">
        <f t="shared" si="3"/>
        <v>ia.assorted_string like '%97238-09-2024%' or</v>
      </c>
    </row>
    <row r="239" spans="1:5" x14ac:dyDescent="0.25">
      <c r="A239" t="s">
        <v>378</v>
      </c>
      <c r="B239" t="s">
        <v>2596</v>
      </c>
      <c r="D239">
        <v>97240</v>
      </c>
      <c r="E239" t="str">
        <f t="shared" si="3"/>
        <v>ia.assorted_string like '%97240-09-2024%' or</v>
      </c>
    </row>
    <row r="240" spans="1:5" x14ac:dyDescent="0.25">
      <c r="A240" t="s">
        <v>379</v>
      </c>
      <c r="B240" t="s">
        <v>2596</v>
      </c>
      <c r="D240">
        <v>97241</v>
      </c>
      <c r="E240" t="str">
        <f t="shared" si="3"/>
        <v>ia.assorted_string like '%97241-09-2024%' or</v>
      </c>
    </row>
    <row r="241" spans="1:5" x14ac:dyDescent="0.25">
      <c r="A241" t="s">
        <v>380</v>
      </c>
      <c r="B241" t="s">
        <v>2596</v>
      </c>
      <c r="D241">
        <v>97247</v>
      </c>
      <c r="E241" t="str">
        <f t="shared" si="3"/>
        <v>ia.assorted_string like '%97247-09-2024%' or</v>
      </c>
    </row>
    <row r="242" spans="1:5" x14ac:dyDescent="0.25">
      <c r="A242" t="s">
        <v>381</v>
      </c>
      <c r="B242" t="s">
        <v>2596</v>
      </c>
      <c r="D242">
        <v>97248</v>
      </c>
      <c r="E242" t="str">
        <f t="shared" si="3"/>
        <v>ia.assorted_string like '%97248-09-2024%' or</v>
      </c>
    </row>
    <row r="243" spans="1:5" x14ac:dyDescent="0.25">
      <c r="A243" t="s">
        <v>382</v>
      </c>
      <c r="B243" t="s">
        <v>2596</v>
      </c>
      <c r="D243">
        <v>97249</v>
      </c>
      <c r="E243" t="str">
        <f t="shared" si="3"/>
        <v>ia.assorted_string like '%97249-09-2024%' or</v>
      </c>
    </row>
    <row r="244" spans="1:5" x14ac:dyDescent="0.25">
      <c r="A244" t="s">
        <v>383</v>
      </c>
      <c r="B244" t="s">
        <v>2596</v>
      </c>
      <c r="D244">
        <v>97250</v>
      </c>
      <c r="E244" t="str">
        <f t="shared" si="3"/>
        <v>ia.assorted_string like '%97250-09-2024%' or</v>
      </c>
    </row>
    <row r="245" spans="1:5" x14ac:dyDescent="0.25">
      <c r="A245" t="s">
        <v>384</v>
      </c>
      <c r="B245" t="s">
        <v>2596</v>
      </c>
      <c r="D245">
        <v>97251</v>
      </c>
      <c r="E245" t="str">
        <f t="shared" si="3"/>
        <v>ia.assorted_string like '%97251-09-2024%' or</v>
      </c>
    </row>
    <row r="246" spans="1:5" x14ac:dyDescent="0.25">
      <c r="A246" t="s">
        <v>385</v>
      </c>
      <c r="B246" t="s">
        <v>2596</v>
      </c>
      <c r="D246">
        <v>97252</v>
      </c>
      <c r="E246" t="str">
        <f t="shared" si="3"/>
        <v>ia.assorted_string like '%97252-09-2024%' or</v>
      </c>
    </row>
    <row r="247" spans="1:5" x14ac:dyDescent="0.25">
      <c r="A247" t="s">
        <v>386</v>
      </c>
      <c r="B247" t="s">
        <v>2596</v>
      </c>
      <c r="D247">
        <v>97253</v>
      </c>
      <c r="E247" t="str">
        <f t="shared" si="3"/>
        <v>ia.assorted_string like '%97253-09-2024%' or</v>
      </c>
    </row>
    <row r="248" spans="1:5" x14ac:dyDescent="0.25">
      <c r="A248" t="s">
        <v>387</v>
      </c>
      <c r="B248" t="s">
        <v>2596</v>
      </c>
      <c r="D248">
        <v>97254</v>
      </c>
      <c r="E248" t="str">
        <f t="shared" si="3"/>
        <v>ia.assorted_string like '%97254-09-2024%' or</v>
      </c>
    </row>
    <row r="249" spans="1:5" x14ac:dyDescent="0.25">
      <c r="A249" t="s">
        <v>388</v>
      </c>
      <c r="B249" t="s">
        <v>2596</v>
      </c>
      <c r="D249">
        <v>97255</v>
      </c>
      <c r="E249" t="str">
        <f t="shared" si="3"/>
        <v>ia.assorted_string like '%97255-09-2024%' or</v>
      </c>
    </row>
    <row r="250" spans="1:5" x14ac:dyDescent="0.25">
      <c r="A250" t="s">
        <v>389</v>
      </c>
      <c r="B250" t="s">
        <v>2596</v>
      </c>
      <c r="D250">
        <v>97256</v>
      </c>
      <c r="E250" t="str">
        <f t="shared" si="3"/>
        <v>ia.assorted_string like '%97256-09-2024%' or</v>
      </c>
    </row>
    <row r="251" spans="1:5" x14ac:dyDescent="0.25">
      <c r="A251" t="s">
        <v>390</v>
      </c>
      <c r="B251" t="s">
        <v>2596</v>
      </c>
      <c r="D251">
        <v>97257</v>
      </c>
      <c r="E251" t="str">
        <f t="shared" si="3"/>
        <v>ia.assorted_string like '%97257-09-2024%' or</v>
      </c>
    </row>
    <row r="252" spans="1:5" x14ac:dyDescent="0.25">
      <c r="A252" t="s">
        <v>391</v>
      </c>
      <c r="B252" t="s">
        <v>2596</v>
      </c>
      <c r="D252">
        <v>97258</v>
      </c>
      <c r="E252" t="str">
        <f t="shared" si="3"/>
        <v>ia.assorted_string like '%97258-09-2024%' or</v>
      </c>
    </row>
    <row r="253" spans="1:5" x14ac:dyDescent="0.25">
      <c r="A253" t="s">
        <v>392</v>
      </c>
      <c r="B253" t="s">
        <v>2596</v>
      </c>
      <c r="D253">
        <v>97259</v>
      </c>
      <c r="E253" t="str">
        <f t="shared" si="3"/>
        <v>ia.assorted_string like '%97259-09-2024%' or</v>
      </c>
    </row>
    <row r="254" spans="1:5" x14ac:dyDescent="0.25">
      <c r="A254" t="s">
        <v>393</v>
      </c>
      <c r="B254" t="s">
        <v>2596</v>
      </c>
      <c r="D254">
        <v>97260</v>
      </c>
      <c r="E254" t="str">
        <f t="shared" si="3"/>
        <v>ia.assorted_string like '%97260-09-2024%' or</v>
      </c>
    </row>
    <row r="255" spans="1:5" x14ac:dyDescent="0.25">
      <c r="A255" t="s">
        <v>394</v>
      </c>
      <c r="B255" t="s">
        <v>2596</v>
      </c>
      <c r="D255">
        <v>97261</v>
      </c>
      <c r="E255" t="str">
        <f t="shared" si="3"/>
        <v>ia.assorted_string like '%97261-09-2024%' or</v>
      </c>
    </row>
    <row r="256" spans="1:5" x14ac:dyDescent="0.25">
      <c r="A256" t="s">
        <v>395</v>
      </c>
      <c r="B256" t="s">
        <v>2596</v>
      </c>
      <c r="D256">
        <v>97262</v>
      </c>
      <c r="E256" t="str">
        <f t="shared" si="3"/>
        <v>ia.assorted_string like '%97262-09-2024%' or</v>
      </c>
    </row>
    <row r="257" spans="1:5" x14ac:dyDescent="0.25">
      <c r="A257" t="s">
        <v>396</v>
      </c>
      <c r="B257" t="s">
        <v>2596</v>
      </c>
      <c r="D257">
        <v>97263</v>
      </c>
      <c r="E257" t="str">
        <f t="shared" si="3"/>
        <v>ia.assorted_string like '%97263-09-2024%' or</v>
      </c>
    </row>
    <row r="258" spans="1:5" x14ac:dyDescent="0.25">
      <c r="A258" t="s">
        <v>397</v>
      </c>
      <c r="B258" t="s">
        <v>2596</v>
      </c>
      <c r="D258">
        <v>97264</v>
      </c>
      <c r="E258" t="str">
        <f t="shared" ref="E258:E321" si="4">"ia.assorted_string like '%"&amp;D258&amp;B258&amp;"%' or"</f>
        <v>ia.assorted_string like '%97264-09-2024%' or</v>
      </c>
    </row>
    <row r="259" spans="1:5" x14ac:dyDescent="0.25">
      <c r="A259" t="s">
        <v>398</v>
      </c>
      <c r="B259" t="s">
        <v>2596</v>
      </c>
      <c r="D259">
        <v>97265</v>
      </c>
      <c r="E259" t="str">
        <f t="shared" si="4"/>
        <v>ia.assorted_string like '%97265-09-2024%' or</v>
      </c>
    </row>
    <row r="260" spans="1:5" x14ac:dyDescent="0.25">
      <c r="A260" t="s">
        <v>399</v>
      </c>
      <c r="B260" t="s">
        <v>2596</v>
      </c>
      <c r="D260">
        <v>97266</v>
      </c>
      <c r="E260" t="str">
        <f t="shared" si="4"/>
        <v>ia.assorted_string like '%97266-09-2024%' or</v>
      </c>
    </row>
    <row r="261" spans="1:5" x14ac:dyDescent="0.25">
      <c r="A261" t="s">
        <v>400</v>
      </c>
      <c r="B261" t="s">
        <v>2596</v>
      </c>
      <c r="D261">
        <v>97273</v>
      </c>
      <c r="E261" t="str">
        <f t="shared" si="4"/>
        <v>ia.assorted_string like '%97273-09-2024%' or</v>
      </c>
    </row>
    <row r="262" spans="1:5" x14ac:dyDescent="0.25">
      <c r="A262" t="s">
        <v>401</v>
      </c>
      <c r="B262" t="s">
        <v>2596</v>
      </c>
      <c r="D262">
        <v>97274</v>
      </c>
      <c r="E262" t="str">
        <f t="shared" si="4"/>
        <v>ia.assorted_string like '%97274-09-2024%' or</v>
      </c>
    </row>
    <row r="263" spans="1:5" x14ac:dyDescent="0.25">
      <c r="A263" t="s">
        <v>402</v>
      </c>
      <c r="B263" t="s">
        <v>2596</v>
      </c>
      <c r="D263">
        <v>97283</v>
      </c>
      <c r="E263" t="str">
        <f t="shared" si="4"/>
        <v>ia.assorted_string like '%97283-09-2024%' or</v>
      </c>
    </row>
    <row r="264" spans="1:5" x14ac:dyDescent="0.25">
      <c r="A264" t="s">
        <v>403</v>
      </c>
      <c r="B264" t="s">
        <v>2596</v>
      </c>
      <c r="D264">
        <v>97292</v>
      </c>
      <c r="E264" t="str">
        <f t="shared" si="4"/>
        <v>ia.assorted_string like '%97292-09-2024%' or</v>
      </c>
    </row>
    <row r="265" spans="1:5" x14ac:dyDescent="0.25">
      <c r="A265" t="s">
        <v>404</v>
      </c>
      <c r="B265" t="s">
        <v>2596</v>
      </c>
      <c r="D265">
        <v>97293</v>
      </c>
      <c r="E265" t="str">
        <f t="shared" si="4"/>
        <v>ia.assorted_string like '%97293-09-2024%' or</v>
      </c>
    </row>
    <row r="266" spans="1:5" x14ac:dyDescent="0.25">
      <c r="A266" t="s">
        <v>405</v>
      </c>
      <c r="B266" t="s">
        <v>2596</v>
      </c>
      <c r="D266">
        <v>97294</v>
      </c>
      <c r="E266" t="str">
        <f t="shared" si="4"/>
        <v>ia.assorted_string like '%97294-09-2024%' or</v>
      </c>
    </row>
    <row r="267" spans="1:5" x14ac:dyDescent="0.25">
      <c r="A267" t="s">
        <v>406</v>
      </c>
      <c r="B267" t="s">
        <v>2596</v>
      </c>
      <c r="D267">
        <v>97295</v>
      </c>
      <c r="E267" t="str">
        <f t="shared" si="4"/>
        <v>ia.assorted_string like '%97295-09-2024%' or</v>
      </c>
    </row>
    <row r="268" spans="1:5" x14ac:dyDescent="0.25">
      <c r="A268" t="s">
        <v>407</v>
      </c>
      <c r="B268" t="s">
        <v>2596</v>
      </c>
      <c r="D268">
        <v>97304</v>
      </c>
      <c r="E268" t="str">
        <f t="shared" si="4"/>
        <v>ia.assorted_string like '%97304-09-2024%' or</v>
      </c>
    </row>
    <row r="269" spans="1:5" x14ac:dyDescent="0.25">
      <c r="A269" t="s">
        <v>408</v>
      </c>
      <c r="B269" t="s">
        <v>2596</v>
      </c>
      <c r="D269">
        <v>97305</v>
      </c>
      <c r="E269" t="str">
        <f t="shared" si="4"/>
        <v>ia.assorted_string like '%97305-09-2024%' or</v>
      </c>
    </row>
    <row r="270" spans="1:5" x14ac:dyDescent="0.25">
      <c r="A270" t="s">
        <v>409</v>
      </c>
      <c r="B270" t="s">
        <v>2596</v>
      </c>
      <c r="D270">
        <v>97312</v>
      </c>
      <c r="E270" t="str">
        <f t="shared" si="4"/>
        <v>ia.assorted_string like '%97312-09-2024%' or</v>
      </c>
    </row>
    <row r="271" spans="1:5" x14ac:dyDescent="0.25">
      <c r="A271" t="s">
        <v>410</v>
      </c>
      <c r="B271" t="s">
        <v>2596</v>
      </c>
      <c r="D271">
        <v>97313</v>
      </c>
      <c r="E271" t="str">
        <f t="shared" si="4"/>
        <v>ia.assorted_string like '%97313-09-2024%' or</v>
      </c>
    </row>
    <row r="272" spans="1:5" x14ac:dyDescent="0.25">
      <c r="A272" t="s">
        <v>411</v>
      </c>
      <c r="B272" t="s">
        <v>2596</v>
      </c>
      <c r="D272">
        <v>97314</v>
      </c>
      <c r="E272" t="str">
        <f t="shared" si="4"/>
        <v>ia.assorted_string like '%97314-09-2024%' or</v>
      </c>
    </row>
    <row r="273" spans="1:5" x14ac:dyDescent="0.25">
      <c r="A273" t="s">
        <v>412</v>
      </c>
      <c r="B273" t="s">
        <v>2596</v>
      </c>
      <c r="D273">
        <v>97315</v>
      </c>
      <c r="E273" t="str">
        <f t="shared" si="4"/>
        <v>ia.assorted_string like '%97315-09-2024%' or</v>
      </c>
    </row>
    <row r="274" spans="1:5" x14ac:dyDescent="0.25">
      <c r="A274" t="s">
        <v>413</v>
      </c>
      <c r="B274" t="s">
        <v>2596</v>
      </c>
      <c r="D274">
        <v>97316</v>
      </c>
      <c r="E274" t="str">
        <f t="shared" si="4"/>
        <v>ia.assorted_string like '%97316-09-2024%' or</v>
      </c>
    </row>
    <row r="275" spans="1:5" x14ac:dyDescent="0.25">
      <c r="A275" t="s">
        <v>414</v>
      </c>
      <c r="B275" t="s">
        <v>2596</v>
      </c>
      <c r="D275">
        <v>97318</v>
      </c>
      <c r="E275" t="str">
        <f t="shared" si="4"/>
        <v>ia.assorted_string like '%97318-09-2024%' or</v>
      </c>
    </row>
    <row r="276" spans="1:5" x14ac:dyDescent="0.25">
      <c r="A276" t="s">
        <v>415</v>
      </c>
      <c r="B276" t="s">
        <v>2596</v>
      </c>
      <c r="D276">
        <v>97319</v>
      </c>
      <c r="E276" t="str">
        <f t="shared" si="4"/>
        <v>ia.assorted_string like '%97319-09-2024%' or</v>
      </c>
    </row>
    <row r="277" spans="1:5" x14ac:dyDescent="0.25">
      <c r="A277" t="s">
        <v>416</v>
      </c>
      <c r="B277" t="s">
        <v>2596</v>
      </c>
      <c r="D277">
        <v>97320</v>
      </c>
      <c r="E277" t="str">
        <f t="shared" si="4"/>
        <v>ia.assorted_string like '%97320-09-2024%' or</v>
      </c>
    </row>
    <row r="278" spans="1:5" x14ac:dyDescent="0.25">
      <c r="A278" t="s">
        <v>417</v>
      </c>
      <c r="B278" t="s">
        <v>2596</v>
      </c>
      <c r="D278">
        <v>97322</v>
      </c>
      <c r="E278" t="str">
        <f t="shared" si="4"/>
        <v>ia.assorted_string like '%97322-09-2024%' or</v>
      </c>
    </row>
    <row r="279" spans="1:5" x14ac:dyDescent="0.25">
      <c r="A279" t="s">
        <v>418</v>
      </c>
      <c r="B279" t="s">
        <v>2596</v>
      </c>
      <c r="D279">
        <v>97323</v>
      </c>
      <c r="E279" t="str">
        <f t="shared" si="4"/>
        <v>ia.assorted_string like '%97323-09-2024%' or</v>
      </c>
    </row>
    <row r="280" spans="1:5" x14ac:dyDescent="0.25">
      <c r="A280" t="s">
        <v>419</v>
      </c>
      <c r="B280" t="s">
        <v>2596</v>
      </c>
      <c r="D280">
        <v>97324</v>
      </c>
      <c r="E280" t="str">
        <f t="shared" si="4"/>
        <v>ia.assorted_string like '%97324-09-2024%' or</v>
      </c>
    </row>
    <row r="281" spans="1:5" x14ac:dyDescent="0.25">
      <c r="A281" t="s">
        <v>420</v>
      </c>
      <c r="B281" t="s">
        <v>2596</v>
      </c>
      <c r="D281">
        <v>97325</v>
      </c>
      <c r="E281" t="str">
        <f t="shared" si="4"/>
        <v>ia.assorted_string like '%97325-09-2024%' or</v>
      </c>
    </row>
    <row r="282" spans="1:5" x14ac:dyDescent="0.25">
      <c r="A282" t="s">
        <v>421</v>
      </c>
      <c r="B282" t="s">
        <v>2596</v>
      </c>
      <c r="D282">
        <v>97327</v>
      </c>
      <c r="E282" t="str">
        <f t="shared" si="4"/>
        <v>ia.assorted_string like '%97327-09-2024%' or</v>
      </c>
    </row>
    <row r="283" spans="1:5" x14ac:dyDescent="0.25">
      <c r="A283" t="s">
        <v>422</v>
      </c>
      <c r="B283" t="s">
        <v>2596</v>
      </c>
      <c r="D283">
        <v>97328</v>
      </c>
      <c r="E283" t="str">
        <f t="shared" si="4"/>
        <v>ia.assorted_string like '%97328-09-2024%' or</v>
      </c>
    </row>
    <row r="284" spans="1:5" x14ac:dyDescent="0.25">
      <c r="A284" t="s">
        <v>423</v>
      </c>
      <c r="B284" t="s">
        <v>2596</v>
      </c>
      <c r="D284">
        <v>97330</v>
      </c>
      <c r="E284" t="str">
        <f t="shared" si="4"/>
        <v>ia.assorted_string like '%97330-09-2024%' or</v>
      </c>
    </row>
    <row r="285" spans="1:5" x14ac:dyDescent="0.25">
      <c r="A285" t="s">
        <v>424</v>
      </c>
      <c r="B285" t="s">
        <v>2596</v>
      </c>
      <c r="D285">
        <v>97331</v>
      </c>
      <c r="E285" t="str">
        <f t="shared" si="4"/>
        <v>ia.assorted_string like '%97331-09-2024%' or</v>
      </c>
    </row>
    <row r="286" spans="1:5" x14ac:dyDescent="0.25">
      <c r="A286" t="s">
        <v>425</v>
      </c>
      <c r="B286" t="s">
        <v>2596</v>
      </c>
      <c r="D286">
        <v>97333</v>
      </c>
      <c r="E286" t="str">
        <f t="shared" si="4"/>
        <v>ia.assorted_string like '%97333-09-2024%' or</v>
      </c>
    </row>
    <row r="287" spans="1:5" x14ac:dyDescent="0.25">
      <c r="A287" t="s">
        <v>426</v>
      </c>
      <c r="B287" t="s">
        <v>2596</v>
      </c>
      <c r="D287">
        <v>97334</v>
      </c>
      <c r="E287" t="str">
        <f t="shared" si="4"/>
        <v>ia.assorted_string like '%97334-09-2024%' or</v>
      </c>
    </row>
    <row r="288" spans="1:5" x14ac:dyDescent="0.25">
      <c r="A288" t="s">
        <v>427</v>
      </c>
      <c r="B288" t="s">
        <v>2596</v>
      </c>
      <c r="D288">
        <v>97335</v>
      </c>
      <c r="E288" t="str">
        <f t="shared" si="4"/>
        <v>ia.assorted_string like '%97335-09-2024%' or</v>
      </c>
    </row>
    <row r="289" spans="1:5" x14ac:dyDescent="0.25">
      <c r="A289" t="s">
        <v>428</v>
      </c>
      <c r="B289" t="s">
        <v>2596</v>
      </c>
      <c r="D289">
        <v>97336</v>
      </c>
      <c r="E289" t="str">
        <f t="shared" si="4"/>
        <v>ia.assorted_string like '%97336-09-2024%' or</v>
      </c>
    </row>
    <row r="290" spans="1:5" x14ac:dyDescent="0.25">
      <c r="A290" t="s">
        <v>429</v>
      </c>
      <c r="B290" t="s">
        <v>2596</v>
      </c>
      <c r="D290">
        <v>97338</v>
      </c>
      <c r="E290" t="str">
        <f t="shared" si="4"/>
        <v>ia.assorted_string like '%97338-09-2024%' or</v>
      </c>
    </row>
    <row r="291" spans="1:5" x14ac:dyDescent="0.25">
      <c r="A291" t="s">
        <v>430</v>
      </c>
      <c r="B291" t="s">
        <v>2596</v>
      </c>
      <c r="D291">
        <v>97339</v>
      </c>
      <c r="E291" t="str">
        <f t="shared" si="4"/>
        <v>ia.assorted_string like '%97339-09-2024%' or</v>
      </c>
    </row>
    <row r="292" spans="1:5" x14ac:dyDescent="0.25">
      <c r="A292" t="s">
        <v>431</v>
      </c>
      <c r="B292" t="s">
        <v>2596</v>
      </c>
      <c r="D292">
        <v>97340</v>
      </c>
      <c r="E292" t="str">
        <f t="shared" si="4"/>
        <v>ia.assorted_string like '%97340-09-2024%' or</v>
      </c>
    </row>
    <row r="293" spans="1:5" x14ac:dyDescent="0.25">
      <c r="A293" t="s">
        <v>432</v>
      </c>
      <c r="B293" t="s">
        <v>2596</v>
      </c>
      <c r="D293">
        <v>97341</v>
      </c>
      <c r="E293" t="str">
        <f t="shared" si="4"/>
        <v>ia.assorted_string like '%97341-09-2024%' or</v>
      </c>
    </row>
    <row r="294" spans="1:5" x14ac:dyDescent="0.25">
      <c r="A294" t="s">
        <v>433</v>
      </c>
      <c r="B294" t="s">
        <v>2596</v>
      </c>
      <c r="D294">
        <v>97342</v>
      </c>
      <c r="E294" t="str">
        <f t="shared" si="4"/>
        <v>ia.assorted_string like '%97342-09-2024%' or</v>
      </c>
    </row>
    <row r="295" spans="1:5" x14ac:dyDescent="0.25">
      <c r="A295" t="s">
        <v>434</v>
      </c>
      <c r="B295" t="s">
        <v>2596</v>
      </c>
      <c r="D295">
        <v>97343</v>
      </c>
      <c r="E295" t="str">
        <f t="shared" si="4"/>
        <v>ia.assorted_string like '%97343-09-2024%' or</v>
      </c>
    </row>
    <row r="296" spans="1:5" x14ac:dyDescent="0.25">
      <c r="A296" t="s">
        <v>435</v>
      </c>
      <c r="B296" t="s">
        <v>2596</v>
      </c>
      <c r="D296">
        <v>97344</v>
      </c>
      <c r="E296" t="str">
        <f t="shared" si="4"/>
        <v>ia.assorted_string like '%97344-09-2024%' or</v>
      </c>
    </row>
    <row r="297" spans="1:5" x14ac:dyDescent="0.25">
      <c r="A297" t="s">
        <v>436</v>
      </c>
      <c r="B297" t="s">
        <v>2596</v>
      </c>
      <c r="D297">
        <v>97345</v>
      </c>
      <c r="E297" t="str">
        <f t="shared" si="4"/>
        <v>ia.assorted_string like '%97345-09-2024%' or</v>
      </c>
    </row>
    <row r="298" spans="1:5" x14ac:dyDescent="0.25">
      <c r="A298" t="s">
        <v>437</v>
      </c>
      <c r="B298" t="s">
        <v>2596</v>
      </c>
      <c r="D298">
        <v>97346</v>
      </c>
      <c r="E298" t="str">
        <f t="shared" si="4"/>
        <v>ia.assorted_string like '%97346-09-2024%' or</v>
      </c>
    </row>
    <row r="299" spans="1:5" x14ac:dyDescent="0.25">
      <c r="A299" t="s">
        <v>438</v>
      </c>
      <c r="B299" t="s">
        <v>2596</v>
      </c>
      <c r="D299">
        <v>97347</v>
      </c>
      <c r="E299" t="str">
        <f t="shared" si="4"/>
        <v>ia.assorted_string like '%97347-09-2024%' or</v>
      </c>
    </row>
    <row r="300" spans="1:5" x14ac:dyDescent="0.25">
      <c r="A300" t="s">
        <v>439</v>
      </c>
      <c r="B300" t="s">
        <v>2596</v>
      </c>
      <c r="D300">
        <v>97348</v>
      </c>
      <c r="E300" t="str">
        <f t="shared" si="4"/>
        <v>ia.assorted_string like '%97348-09-2024%' or</v>
      </c>
    </row>
    <row r="301" spans="1:5" x14ac:dyDescent="0.25">
      <c r="A301" t="s">
        <v>440</v>
      </c>
      <c r="B301" t="s">
        <v>2596</v>
      </c>
      <c r="D301">
        <v>97349</v>
      </c>
      <c r="E301" t="str">
        <f t="shared" si="4"/>
        <v>ia.assorted_string like '%97349-09-2024%' or</v>
      </c>
    </row>
    <row r="302" spans="1:5" x14ac:dyDescent="0.25">
      <c r="A302" t="s">
        <v>441</v>
      </c>
      <c r="B302" t="s">
        <v>2596</v>
      </c>
      <c r="D302">
        <v>97350</v>
      </c>
      <c r="E302" t="str">
        <f t="shared" si="4"/>
        <v>ia.assorted_string like '%97350-09-2024%' or</v>
      </c>
    </row>
    <row r="303" spans="1:5" x14ac:dyDescent="0.25">
      <c r="A303" t="s">
        <v>442</v>
      </c>
      <c r="B303" t="s">
        <v>2596</v>
      </c>
      <c r="D303">
        <v>97351</v>
      </c>
      <c r="E303" t="str">
        <f t="shared" si="4"/>
        <v>ia.assorted_string like '%97351-09-2024%' or</v>
      </c>
    </row>
    <row r="304" spans="1:5" x14ac:dyDescent="0.25">
      <c r="A304" t="s">
        <v>443</v>
      </c>
      <c r="B304" t="s">
        <v>2596</v>
      </c>
      <c r="D304">
        <v>97352</v>
      </c>
      <c r="E304" t="str">
        <f t="shared" si="4"/>
        <v>ia.assorted_string like '%97352-09-2024%' or</v>
      </c>
    </row>
    <row r="305" spans="1:5" x14ac:dyDescent="0.25">
      <c r="A305" t="s">
        <v>444</v>
      </c>
      <c r="B305" t="s">
        <v>2596</v>
      </c>
      <c r="D305">
        <v>97353</v>
      </c>
      <c r="E305" t="str">
        <f t="shared" si="4"/>
        <v>ia.assorted_string like '%97353-09-2024%' or</v>
      </c>
    </row>
    <row r="306" spans="1:5" x14ac:dyDescent="0.25">
      <c r="A306" t="s">
        <v>445</v>
      </c>
      <c r="B306" t="s">
        <v>2596</v>
      </c>
      <c r="D306">
        <v>97354</v>
      </c>
      <c r="E306" t="str">
        <f t="shared" si="4"/>
        <v>ia.assorted_string like '%97354-09-2024%' or</v>
      </c>
    </row>
    <row r="307" spans="1:5" x14ac:dyDescent="0.25">
      <c r="A307" t="s">
        <v>446</v>
      </c>
      <c r="B307" t="s">
        <v>2596</v>
      </c>
      <c r="D307">
        <v>97355</v>
      </c>
      <c r="E307" t="str">
        <f t="shared" si="4"/>
        <v>ia.assorted_string like '%97355-09-2024%' or</v>
      </c>
    </row>
    <row r="308" spans="1:5" x14ac:dyDescent="0.25">
      <c r="A308" t="s">
        <v>447</v>
      </c>
      <c r="B308" t="s">
        <v>2596</v>
      </c>
      <c r="D308">
        <v>97357</v>
      </c>
      <c r="E308" t="str">
        <f t="shared" si="4"/>
        <v>ia.assorted_string like '%97357-09-2024%' or</v>
      </c>
    </row>
    <row r="309" spans="1:5" x14ac:dyDescent="0.25">
      <c r="A309" t="s">
        <v>448</v>
      </c>
      <c r="B309" t="s">
        <v>2596</v>
      </c>
      <c r="D309">
        <v>97358</v>
      </c>
      <c r="E309" t="str">
        <f t="shared" si="4"/>
        <v>ia.assorted_string like '%97358-09-2024%' or</v>
      </c>
    </row>
    <row r="310" spans="1:5" x14ac:dyDescent="0.25">
      <c r="A310" t="s">
        <v>449</v>
      </c>
      <c r="B310" t="s">
        <v>2596</v>
      </c>
      <c r="D310">
        <v>97361</v>
      </c>
      <c r="E310" t="str">
        <f t="shared" si="4"/>
        <v>ia.assorted_string like '%97361-09-2024%' or</v>
      </c>
    </row>
    <row r="311" spans="1:5" x14ac:dyDescent="0.25">
      <c r="A311" t="s">
        <v>450</v>
      </c>
      <c r="B311" t="s">
        <v>2596</v>
      </c>
      <c r="D311">
        <v>97362</v>
      </c>
      <c r="E311" t="str">
        <f t="shared" si="4"/>
        <v>ia.assorted_string like '%97362-09-2024%' or</v>
      </c>
    </row>
    <row r="312" spans="1:5" x14ac:dyDescent="0.25">
      <c r="A312" t="s">
        <v>451</v>
      </c>
      <c r="B312" t="s">
        <v>2596</v>
      </c>
      <c r="D312">
        <v>97363</v>
      </c>
      <c r="E312" t="str">
        <f t="shared" si="4"/>
        <v>ia.assorted_string like '%97363-09-2024%' or</v>
      </c>
    </row>
    <row r="313" spans="1:5" x14ac:dyDescent="0.25">
      <c r="A313" t="s">
        <v>452</v>
      </c>
      <c r="B313" t="s">
        <v>2596</v>
      </c>
      <c r="D313">
        <v>97364</v>
      </c>
      <c r="E313" t="str">
        <f t="shared" si="4"/>
        <v>ia.assorted_string like '%97364-09-2024%' or</v>
      </c>
    </row>
    <row r="314" spans="1:5" x14ac:dyDescent="0.25">
      <c r="A314" t="s">
        <v>453</v>
      </c>
      <c r="B314" t="s">
        <v>2596</v>
      </c>
      <c r="D314">
        <v>97365</v>
      </c>
      <c r="E314" t="str">
        <f t="shared" si="4"/>
        <v>ia.assorted_string like '%97365-09-2024%' or</v>
      </c>
    </row>
    <row r="315" spans="1:5" x14ac:dyDescent="0.25">
      <c r="A315" t="s">
        <v>454</v>
      </c>
      <c r="B315" t="s">
        <v>2596</v>
      </c>
      <c r="D315">
        <v>97366</v>
      </c>
      <c r="E315" t="str">
        <f t="shared" si="4"/>
        <v>ia.assorted_string like '%97366-09-2024%' or</v>
      </c>
    </row>
    <row r="316" spans="1:5" x14ac:dyDescent="0.25">
      <c r="A316" t="s">
        <v>455</v>
      </c>
      <c r="B316" t="s">
        <v>2596</v>
      </c>
      <c r="D316">
        <v>97368</v>
      </c>
      <c r="E316" t="str">
        <f t="shared" si="4"/>
        <v>ia.assorted_string like '%97368-09-2024%' or</v>
      </c>
    </row>
    <row r="317" spans="1:5" x14ac:dyDescent="0.25">
      <c r="A317" t="s">
        <v>456</v>
      </c>
      <c r="B317" t="s">
        <v>2596</v>
      </c>
      <c r="D317">
        <v>97369</v>
      </c>
      <c r="E317" t="str">
        <f t="shared" si="4"/>
        <v>ia.assorted_string like '%97369-09-2024%' or</v>
      </c>
    </row>
    <row r="318" spans="1:5" x14ac:dyDescent="0.25">
      <c r="A318" t="s">
        <v>457</v>
      </c>
      <c r="B318" t="s">
        <v>2596</v>
      </c>
      <c r="D318">
        <v>97370</v>
      </c>
      <c r="E318" t="str">
        <f t="shared" si="4"/>
        <v>ia.assorted_string like '%97370-09-2024%' or</v>
      </c>
    </row>
    <row r="319" spans="1:5" x14ac:dyDescent="0.25">
      <c r="A319" t="s">
        <v>458</v>
      </c>
      <c r="B319" t="s">
        <v>2596</v>
      </c>
      <c r="D319">
        <v>97371</v>
      </c>
      <c r="E319" t="str">
        <f t="shared" si="4"/>
        <v>ia.assorted_string like '%97371-09-2024%' or</v>
      </c>
    </row>
    <row r="320" spans="1:5" x14ac:dyDescent="0.25">
      <c r="A320" t="s">
        <v>459</v>
      </c>
      <c r="B320" t="s">
        <v>2596</v>
      </c>
      <c r="D320">
        <v>97372</v>
      </c>
      <c r="E320" t="str">
        <f t="shared" si="4"/>
        <v>ia.assorted_string like '%97372-09-2024%' or</v>
      </c>
    </row>
    <row r="321" spans="1:5" x14ac:dyDescent="0.25">
      <c r="A321" t="s">
        <v>460</v>
      </c>
      <c r="B321" t="s">
        <v>2596</v>
      </c>
      <c r="D321">
        <v>97373</v>
      </c>
      <c r="E321" t="str">
        <f t="shared" si="4"/>
        <v>ia.assorted_string like '%97373-09-2024%' or</v>
      </c>
    </row>
    <row r="322" spans="1:5" x14ac:dyDescent="0.25">
      <c r="A322" t="s">
        <v>461</v>
      </c>
      <c r="B322" t="s">
        <v>2596</v>
      </c>
      <c r="D322">
        <v>97374</v>
      </c>
      <c r="E322" t="str">
        <f t="shared" ref="E322:E385" si="5">"ia.assorted_string like '%"&amp;D322&amp;B322&amp;"%' or"</f>
        <v>ia.assorted_string like '%97374-09-2024%' or</v>
      </c>
    </row>
    <row r="323" spans="1:5" x14ac:dyDescent="0.25">
      <c r="A323" t="s">
        <v>462</v>
      </c>
      <c r="B323" t="s">
        <v>2596</v>
      </c>
      <c r="D323">
        <v>97376</v>
      </c>
      <c r="E323" t="str">
        <f t="shared" si="5"/>
        <v>ia.assorted_string like '%97376-09-2024%' or</v>
      </c>
    </row>
    <row r="324" spans="1:5" x14ac:dyDescent="0.25">
      <c r="A324" t="s">
        <v>463</v>
      </c>
      <c r="B324" t="s">
        <v>2596</v>
      </c>
      <c r="D324">
        <v>97377</v>
      </c>
      <c r="E324" t="str">
        <f t="shared" si="5"/>
        <v>ia.assorted_string like '%97377-09-2024%' or</v>
      </c>
    </row>
    <row r="325" spans="1:5" x14ac:dyDescent="0.25">
      <c r="A325" t="s">
        <v>464</v>
      </c>
      <c r="B325" t="s">
        <v>2596</v>
      </c>
      <c r="D325">
        <v>97378</v>
      </c>
      <c r="E325" t="str">
        <f t="shared" si="5"/>
        <v>ia.assorted_string like '%97378-09-2024%' or</v>
      </c>
    </row>
    <row r="326" spans="1:5" x14ac:dyDescent="0.25">
      <c r="A326" t="s">
        <v>465</v>
      </c>
      <c r="B326" t="s">
        <v>2596</v>
      </c>
      <c r="D326">
        <v>97379</v>
      </c>
      <c r="E326" t="str">
        <f t="shared" si="5"/>
        <v>ia.assorted_string like '%97379-09-2024%' or</v>
      </c>
    </row>
    <row r="327" spans="1:5" x14ac:dyDescent="0.25">
      <c r="A327" t="s">
        <v>466</v>
      </c>
      <c r="B327" t="s">
        <v>2596</v>
      </c>
      <c r="D327">
        <v>97380</v>
      </c>
      <c r="E327" t="str">
        <f t="shared" si="5"/>
        <v>ia.assorted_string like '%97380-09-2024%' or</v>
      </c>
    </row>
    <row r="328" spans="1:5" x14ac:dyDescent="0.25">
      <c r="A328" t="s">
        <v>467</v>
      </c>
      <c r="B328" t="s">
        <v>2596</v>
      </c>
      <c r="D328">
        <v>97381</v>
      </c>
      <c r="E328" t="str">
        <f t="shared" si="5"/>
        <v>ia.assorted_string like '%97381-09-2024%' or</v>
      </c>
    </row>
    <row r="329" spans="1:5" x14ac:dyDescent="0.25">
      <c r="A329" t="s">
        <v>468</v>
      </c>
      <c r="B329" t="s">
        <v>2596</v>
      </c>
      <c r="D329">
        <v>97382</v>
      </c>
      <c r="E329" t="str">
        <f t="shared" si="5"/>
        <v>ia.assorted_string like '%97382-09-2024%' or</v>
      </c>
    </row>
    <row r="330" spans="1:5" x14ac:dyDescent="0.25">
      <c r="A330" t="s">
        <v>469</v>
      </c>
      <c r="B330" t="s">
        <v>2596</v>
      </c>
      <c r="D330">
        <v>97383</v>
      </c>
      <c r="E330" t="str">
        <f t="shared" si="5"/>
        <v>ia.assorted_string like '%97383-09-2024%' or</v>
      </c>
    </row>
    <row r="331" spans="1:5" x14ac:dyDescent="0.25">
      <c r="A331" t="s">
        <v>470</v>
      </c>
      <c r="B331" t="s">
        <v>2596</v>
      </c>
      <c r="D331">
        <v>97384</v>
      </c>
      <c r="E331" t="str">
        <f t="shared" si="5"/>
        <v>ia.assorted_string like '%97384-09-2024%' or</v>
      </c>
    </row>
    <row r="332" spans="1:5" x14ac:dyDescent="0.25">
      <c r="A332" t="s">
        <v>471</v>
      </c>
      <c r="B332" t="s">
        <v>2596</v>
      </c>
      <c r="D332">
        <v>97385</v>
      </c>
      <c r="E332" t="str">
        <f t="shared" si="5"/>
        <v>ia.assorted_string like '%97385-09-2024%' or</v>
      </c>
    </row>
    <row r="333" spans="1:5" x14ac:dyDescent="0.25">
      <c r="A333" t="s">
        <v>472</v>
      </c>
      <c r="B333" t="s">
        <v>2596</v>
      </c>
      <c r="D333">
        <v>97386</v>
      </c>
      <c r="E333" t="str">
        <f t="shared" si="5"/>
        <v>ia.assorted_string like '%97386-09-2024%' or</v>
      </c>
    </row>
    <row r="334" spans="1:5" x14ac:dyDescent="0.25">
      <c r="A334" t="s">
        <v>473</v>
      </c>
      <c r="B334" t="s">
        <v>2596</v>
      </c>
      <c r="D334">
        <v>97387</v>
      </c>
      <c r="E334" t="str">
        <f t="shared" si="5"/>
        <v>ia.assorted_string like '%97387-09-2024%' or</v>
      </c>
    </row>
    <row r="335" spans="1:5" x14ac:dyDescent="0.25">
      <c r="A335" t="s">
        <v>474</v>
      </c>
      <c r="B335" t="s">
        <v>2596</v>
      </c>
      <c r="D335">
        <v>97388</v>
      </c>
      <c r="E335" t="str">
        <f t="shared" si="5"/>
        <v>ia.assorted_string like '%97388-09-2024%' or</v>
      </c>
    </row>
    <row r="336" spans="1:5" x14ac:dyDescent="0.25">
      <c r="A336" t="s">
        <v>475</v>
      </c>
      <c r="B336" t="s">
        <v>2596</v>
      </c>
      <c r="D336">
        <v>97389</v>
      </c>
      <c r="E336" t="str">
        <f t="shared" si="5"/>
        <v>ia.assorted_string like '%97389-09-2024%' or</v>
      </c>
    </row>
    <row r="337" spans="1:5" x14ac:dyDescent="0.25">
      <c r="A337" t="s">
        <v>476</v>
      </c>
      <c r="B337" t="s">
        <v>2596</v>
      </c>
      <c r="D337">
        <v>97390</v>
      </c>
      <c r="E337" t="str">
        <f t="shared" si="5"/>
        <v>ia.assorted_string like '%97390-09-2024%' or</v>
      </c>
    </row>
    <row r="338" spans="1:5" x14ac:dyDescent="0.25">
      <c r="A338" t="s">
        <v>477</v>
      </c>
      <c r="B338" t="s">
        <v>2596</v>
      </c>
      <c r="D338">
        <v>97391</v>
      </c>
      <c r="E338" t="str">
        <f t="shared" si="5"/>
        <v>ia.assorted_string like '%97391-09-2024%' or</v>
      </c>
    </row>
    <row r="339" spans="1:5" x14ac:dyDescent="0.25">
      <c r="A339" t="s">
        <v>478</v>
      </c>
      <c r="B339" t="s">
        <v>2596</v>
      </c>
      <c r="D339">
        <v>97392</v>
      </c>
      <c r="E339" t="str">
        <f t="shared" si="5"/>
        <v>ia.assorted_string like '%97392-09-2024%' or</v>
      </c>
    </row>
    <row r="340" spans="1:5" x14ac:dyDescent="0.25">
      <c r="A340" t="s">
        <v>479</v>
      </c>
      <c r="B340" t="s">
        <v>2596</v>
      </c>
      <c r="D340">
        <v>97393</v>
      </c>
      <c r="E340" t="str">
        <f t="shared" si="5"/>
        <v>ia.assorted_string like '%97393-09-2024%' or</v>
      </c>
    </row>
    <row r="341" spans="1:5" x14ac:dyDescent="0.25">
      <c r="A341" t="s">
        <v>480</v>
      </c>
      <c r="B341" t="s">
        <v>2596</v>
      </c>
      <c r="D341">
        <v>97394</v>
      </c>
      <c r="E341" t="str">
        <f t="shared" si="5"/>
        <v>ia.assorted_string like '%97394-09-2024%' or</v>
      </c>
    </row>
    <row r="342" spans="1:5" x14ac:dyDescent="0.25">
      <c r="A342" t="s">
        <v>481</v>
      </c>
      <c r="B342" t="s">
        <v>2596</v>
      </c>
      <c r="D342">
        <v>97395</v>
      </c>
      <c r="E342" t="str">
        <f t="shared" si="5"/>
        <v>ia.assorted_string like '%97395-09-2024%' or</v>
      </c>
    </row>
    <row r="343" spans="1:5" x14ac:dyDescent="0.25">
      <c r="A343" t="s">
        <v>482</v>
      </c>
      <c r="B343" t="s">
        <v>2596</v>
      </c>
      <c r="D343">
        <v>97445</v>
      </c>
      <c r="E343" t="str">
        <f t="shared" si="5"/>
        <v>ia.assorted_string like '%97445-09-2024%' or</v>
      </c>
    </row>
    <row r="344" spans="1:5" x14ac:dyDescent="0.25">
      <c r="A344" t="s">
        <v>483</v>
      </c>
      <c r="B344" t="s">
        <v>2596</v>
      </c>
      <c r="D344">
        <v>97450</v>
      </c>
      <c r="E344" t="str">
        <f t="shared" si="5"/>
        <v>ia.assorted_string like '%97450-09-2024%' or</v>
      </c>
    </row>
    <row r="345" spans="1:5" x14ac:dyDescent="0.25">
      <c r="A345" t="s">
        <v>484</v>
      </c>
      <c r="B345" t="s">
        <v>2596</v>
      </c>
      <c r="D345">
        <v>97452</v>
      </c>
      <c r="E345" t="str">
        <f t="shared" si="5"/>
        <v>ia.assorted_string like '%97452-09-2024%' or</v>
      </c>
    </row>
    <row r="346" spans="1:5" x14ac:dyDescent="0.25">
      <c r="A346" t="s">
        <v>485</v>
      </c>
      <c r="B346" t="s">
        <v>2596</v>
      </c>
      <c r="D346">
        <v>97454</v>
      </c>
      <c r="E346" t="str">
        <f t="shared" si="5"/>
        <v>ia.assorted_string like '%97454-09-2024%' or</v>
      </c>
    </row>
    <row r="347" spans="1:5" x14ac:dyDescent="0.25">
      <c r="A347" t="s">
        <v>486</v>
      </c>
      <c r="B347" t="s">
        <v>2596</v>
      </c>
      <c r="D347">
        <v>97456</v>
      </c>
      <c r="E347" t="str">
        <f t="shared" si="5"/>
        <v>ia.assorted_string like '%97456-09-2024%' or</v>
      </c>
    </row>
    <row r="348" spans="1:5" x14ac:dyDescent="0.25">
      <c r="A348" t="s">
        <v>487</v>
      </c>
      <c r="B348" t="s">
        <v>2596</v>
      </c>
      <c r="D348">
        <v>97457</v>
      </c>
      <c r="E348" t="str">
        <f t="shared" si="5"/>
        <v>ia.assorted_string like '%97457-09-2024%' or</v>
      </c>
    </row>
    <row r="349" spans="1:5" x14ac:dyDescent="0.25">
      <c r="A349" t="s">
        <v>488</v>
      </c>
      <c r="B349" t="s">
        <v>2596</v>
      </c>
      <c r="D349">
        <v>97463</v>
      </c>
      <c r="E349" t="str">
        <f t="shared" si="5"/>
        <v>ia.assorted_string like '%97463-09-2024%' or</v>
      </c>
    </row>
    <row r="350" spans="1:5" x14ac:dyDescent="0.25">
      <c r="A350" t="s">
        <v>489</v>
      </c>
      <c r="B350" t="s">
        <v>2596</v>
      </c>
      <c r="D350">
        <v>97466</v>
      </c>
      <c r="E350" t="str">
        <f t="shared" si="5"/>
        <v>ia.assorted_string like '%97466-09-2024%' or</v>
      </c>
    </row>
    <row r="351" spans="1:5" x14ac:dyDescent="0.25">
      <c r="A351" t="s">
        <v>490</v>
      </c>
      <c r="B351" t="s">
        <v>2596</v>
      </c>
      <c r="D351">
        <v>97468</v>
      </c>
      <c r="E351" t="str">
        <f t="shared" si="5"/>
        <v>ia.assorted_string like '%97468-09-2024%' or</v>
      </c>
    </row>
    <row r="352" spans="1:5" x14ac:dyDescent="0.25">
      <c r="A352" t="s">
        <v>491</v>
      </c>
      <c r="B352" t="s">
        <v>2596</v>
      </c>
      <c r="D352">
        <v>97469</v>
      </c>
      <c r="E352" t="str">
        <f t="shared" si="5"/>
        <v>ia.assorted_string like '%97469-09-2024%' or</v>
      </c>
    </row>
    <row r="353" spans="1:5" x14ac:dyDescent="0.25">
      <c r="A353" t="s">
        <v>492</v>
      </c>
      <c r="B353" t="s">
        <v>2596</v>
      </c>
      <c r="D353">
        <v>97470</v>
      </c>
      <c r="E353" t="str">
        <f t="shared" si="5"/>
        <v>ia.assorted_string like '%97470-09-2024%' or</v>
      </c>
    </row>
    <row r="354" spans="1:5" x14ac:dyDescent="0.25">
      <c r="A354" t="s">
        <v>493</v>
      </c>
      <c r="B354" t="s">
        <v>2596</v>
      </c>
      <c r="D354">
        <v>97477</v>
      </c>
      <c r="E354" t="str">
        <f t="shared" si="5"/>
        <v>ia.assorted_string like '%97477-09-2024%' or</v>
      </c>
    </row>
    <row r="355" spans="1:5" x14ac:dyDescent="0.25">
      <c r="A355" t="s">
        <v>494</v>
      </c>
      <c r="B355" t="s">
        <v>2596</v>
      </c>
      <c r="D355">
        <v>97478</v>
      </c>
      <c r="E355" t="str">
        <f t="shared" si="5"/>
        <v>ia.assorted_string like '%97478-09-2024%' or</v>
      </c>
    </row>
    <row r="356" spans="1:5" x14ac:dyDescent="0.25">
      <c r="A356" t="s">
        <v>495</v>
      </c>
      <c r="B356" t="s">
        <v>2596</v>
      </c>
      <c r="D356">
        <v>97479</v>
      </c>
      <c r="E356" t="str">
        <f t="shared" si="5"/>
        <v>ia.assorted_string like '%97479-09-2024%' or</v>
      </c>
    </row>
    <row r="357" spans="1:5" x14ac:dyDescent="0.25">
      <c r="A357" t="s">
        <v>496</v>
      </c>
      <c r="B357" t="s">
        <v>2596</v>
      </c>
      <c r="D357">
        <v>97480</v>
      </c>
      <c r="E357" t="str">
        <f t="shared" si="5"/>
        <v>ia.assorted_string like '%97480-09-2024%' or</v>
      </c>
    </row>
    <row r="358" spans="1:5" x14ac:dyDescent="0.25">
      <c r="A358" t="s">
        <v>497</v>
      </c>
      <c r="B358" t="s">
        <v>2596</v>
      </c>
      <c r="D358">
        <v>97483</v>
      </c>
      <c r="E358" t="str">
        <f t="shared" si="5"/>
        <v>ia.assorted_string like '%97483-09-2024%' or</v>
      </c>
    </row>
    <row r="359" spans="1:5" x14ac:dyDescent="0.25">
      <c r="A359" t="s">
        <v>498</v>
      </c>
      <c r="B359" t="s">
        <v>2596</v>
      </c>
      <c r="D359">
        <v>97487</v>
      </c>
      <c r="E359" t="str">
        <f t="shared" si="5"/>
        <v>ia.assorted_string like '%97487-09-2024%' or</v>
      </c>
    </row>
    <row r="360" spans="1:5" x14ac:dyDescent="0.25">
      <c r="A360" t="s">
        <v>499</v>
      </c>
      <c r="B360" t="s">
        <v>2596</v>
      </c>
      <c r="D360">
        <v>97501</v>
      </c>
      <c r="E360" t="str">
        <f t="shared" si="5"/>
        <v>ia.assorted_string like '%97501-09-2024%' or</v>
      </c>
    </row>
    <row r="361" spans="1:5" x14ac:dyDescent="0.25">
      <c r="A361" t="s">
        <v>500</v>
      </c>
      <c r="B361" t="s">
        <v>2596</v>
      </c>
      <c r="D361">
        <v>97502</v>
      </c>
      <c r="E361" t="str">
        <f t="shared" si="5"/>
        <v>ia.assorted_string like '%97502-09-2024%' or</v>
      </c>
    </row>
    <row r="362" spans="1:5" x14ac:dyDescent="0.25">
      <c r="A362" t="s">
        <v>501</v>
      </c>
      <c r="B362" t="s">
        <v>2596</v>
      </c>
      <c r="D362">
        <v>97503</v>
      </c>
      <c r="E362" t="str">
        <f t="shared" si="5"/>
        <v>ia.assorted_string like '%97503-09-2024%' or</v>
      </c>
    </row>
    <row r="363" spans="1:5" x14ac:dyDescent="0.25">
      <c r="A363" t="s">
        <v>502</v>
      </c>
      <c r="B363" t="s">
        <v>2596</v>
      </c>
      <c r="D363">
        <v>97510</v>
      </c>
      <c r="E363" t="str">
        <f t="shared" si="5"/>
        <v>ia.assorted_string like '%97510-09-2024%' or</v>
      </c>
    </row>
    <row r="364" spans="1:5" x14ac:dyDescent="0.25">
      <c r="A364" t="s">
        <v>503</v>
      </c>
      <c r="B364" t="s">
        <v>2596</v>
      </c>
      <c r="D364">
        <v>97511</v>
      </c>
      <c r="E364" t="str">
        <f t="shared" si="5"/>
        <v>ia.assorted_string like '%97511-09-2024%' or</v>
      </c>
    </row>
    <row r="365" spans="1:5" x14ac:dyDescent="0.25">
      <c r="A365" t="s">
        <v>504</v>
      </c>
      <c r="B365" t="s">
        <v>2596</v>
      </c>
      <c r="D365">
        <v>97513</v>
      </c>
      <c r="E365" t="str">
        <f t="shared" si="5"/>
        <v>ia.assorted_string like '%97513-09-2024%' or</v>
      </c>
    </row>
    <row r="366" spans="1:5" x14ac:dyDescent="0.25">
      <c r="A366" t="s">
        <v>505</v>
      </c>
      <c r="B366" t="s">
        <v>2596</v>
      </c>
      <c r="D366">
        <v>97524</v>
      </c>
      <c r="E366" t="str">
        <f t="shared" si="5"/>
        <v>ia.assorted_string like '%97524-09-2024%' or</v>
      </c>
    </row>
    <row r="367" spans="1:5" x14ac:dyDescent="0.25">
      <c r="A367" t="s">
        <v>506</v>
      </c>
      <c r="B367" t="s">
        <v>2596</v>
      </c>
      <c r="D367">
        <v>97526</v>
      </c>
      <c r="E367" t="str">
        <f t="shared" si="5"/>
        <v>ia.assorted_string like '%97526-09-2024%' or</v>
      </c>
    </row>
    <row r="368" spans="1:5" x14ac:dyDescent="0.25">
      <c r="A368" t="s">
        <v>507</v>
      </c>
      <c r="B368" t="s">
        <v>2596</v>
      </c>
      <c r="D368">
        <v>97527</v>
      </c>
      <c r="E368" t="str">
        <f t="shared" si="5"/>
        <v>ia.assorted_string like '%97527-09-2024%' or</v>
      </c>
    </row>
    <row r="369" spans="1:5" x14ac:dyDescent="0.25">
      <c r="A369" t="s">
        <v>508</v>
      </c>
      <c r="B369" t="s">
        <v>2596</v>
      </c>
      <c r="D369">
        <v>97530</v>
      </c>
      <c r="E369" t="str">
        <f t="shared" si="5"/>
        <v>ia.assorted_string like '%97530-09-2024%' or</v>
      </c>
    </row>
    <row r="370" spans="1:5" x14ac:dyDescent="0.25">
      <c r="A370" t="s">
        <v>509</v>
      </c>
      <c r="B370" t="s">
        <v>2596</v>
      </c>
      <c r="D370">
        <v>97543</v>
      </c>
      <c r="E370" t="str">
        <f t="shared" si="5"/>
        <v>ia.assorted_string like '%97543-09-2024%' or</v>
      </c>
    </row>
    <row r="371" spans="1:5" x14ac:dyDescent="0.25">
      <c r="A371" t="s">
        <v>510</v>
      </c>
      <c r="B371" t="s">
        <v>2596</v>
      </c>
      <c r="D371">
        <v>97544</v>
      </c>
      <c r="E371" t="str">
        <f t="shared" si="5"/>
        <v>ia.assorted_string like '%97544-09-2024%' or</v>
      </c>
    </row>
    <row r="372" spans="1:5" x14ac:dyDescent="0.25">
      <c r="A372" t="s">
        <v>511</v>
      </c>
      <c r="B372" t="s">
        <v>2596</v>
      </c>
      <c r="D372">
        <v>97546</v>
      </c>
      <c r="E372" t="str">
        <f t="shared" si="5"/>
        <v>ia.assorted_string like '%97546-09-2024%' or</v>
      </c>
    </row>
    <row r="373" spans="1:5" x14ac:dyDescent="0.25">
      <c r="A373" t="s">
        <v>512</v>
      </c>
      <c r="B373" t="s">
        <v>2596</v>
      </c>
      <c r="D373">
        <v>97550</v>
      </c>
      <c r="E373" t="str">
        <f t="shared" si="5"/>
        <v>ia.assorted_string like '%97550-09-2024%' or</v>
      </c>
    </row>
    <row r="374" spans="1:5" x14ac:dyDescent="0.25">
      <c r="A374" t="s">
        <v>513</v>
      </c>
      <c r="B374" t="s">
        <v>2596</v>
      </c>
      <c r="D374">
        <v>97551</v>
      </c>
      <c r="E374" t="str">
        <f t="shared" si="5"/>
        <v>ia.assorted_string like '%97551-09-2024%' or</v>
      </c>
    </row>
    <row r="375" spans="1:5" x14ac:dyDescent="0.25">
      <c r="A375" t="s">
        <v>514</v>
      </c>
      <c r="B375" t="s">
        <v>2596</v>
      </c>
      <c r="D375">
        <v>97552</v>
      </c>
      <c r="E375" t="str">
        <f t="shared" si="5"/>
        <v>ia.assorted_string like '%97552-09-2024%' or</v>
      </c>
    </row>
    <row r="376" spans="1:5" x14ac:dyDescent="0.25">
      <c r="A376" t="s">
        <v>515</v>
      </c>
      <c r="B376" t="s">
        <v>2596</v>
      </c>
      <c r="D376">
        <v>97553</v>
      </c>
      <c r="E376" t="str">
        <f t="shared" si="5"/>
        <v>ia.assorted_string like '%97553-09-2024%' or</v>
      </c>
    </row>
    <row r="377" spans="1:5" x14ac:dyDescent="0.25">
      <c r="A377" t="s">
        <v>516</v>
      </c>
      <c r="B377" t="s">
        <v>2596</v>
      </c>
      <c r="D377">
        <v>97554</v>
      </c>
      <c r="E377" t="str">
        <f t="shared" si="5"/>
        <v>ia.assorted_string like '%97554-09-2024%' or</v>
      </c>
    </row>
    <row r="378" spans="1:5" x14ac:dyDescent="0.25">
      <c r="A378" t="s">
        <v>517</v>
      </c>
      <c r="B378" t="s">
        <v>2596</v>
      </c>
      <c r="D378">
        <v>97570</v>
      </c>
      <c r="E378" t="str">
        <f t="shared" si="5"/>
        <v>ia.assorted_string like '%97570-09-2024%' or</v>
      </c>
    </row>
    <row r="379" spans="1:5" x14ac:dyDescent="0.25">
      <c r="A379" t="s">
        <v>518</v>
      </c>
      <c r="B379" t="s">
        <v>2596</v>
      </c>
      <c r="D379">
        <v>97573</v>
      </c>
      <c r="E379" t="str">
        <f t="shared" si="5"/>
        <v>ia.assorted_string like '%97573-09-2024%' or</v>
      </c>
    </row>
    <row r="380" spans="1:5" x14ac:dyDescent="0.25">
      <c r="A380" t="s">
        <v>519</v>
      </c>
      <c r="B380" t="s">
        <v>2596</v>
      </c>
      <c r="D380">
        <v>97581</v>
      </c>
      <c r="E380" t="str">
        <f t="shared" si="5"/>
        <v>ia.assorted_string like '%97581-09-2024%' or</v>
      </c>
    </row>
    <row r="381" spans="1:5" x14ac:dyDescent="0.25">
      <c r="A381" t="s">
        <v>520</v>
      </c>
      <c r="B381" t="s">
        <v>2596</v>
      </c>
      <c r="D381">
        <v>97583</v>
      </c>
      <c r="E381" t="str">
        <f t="shared" si="5"/>
        <v>ia.assorted_string like '%97583-09-2024%' or</v>
      </c>
    </row>
    <row r="382" spans="1:5" x14ac:dyDescent="0.25">
      <c r="A382" t="s">
        <v>521</v>
      </c>
      <c r="B382" t="s">
        <v>2596</v>
      </c>
      <c r="D382">
        <v>97584</v>
      </c>
      <c r="E382" t="str">
        <f t="shared" si="5"/>
        <v>ia.assorted_string like '%97584-09-2024%' or</v>
      </c>
    </row>
    <row r="383" spans="1:5" x14ac:dyDescent="0.25">
      <c r="A383" t="s">
        <v>522</v>
      </c>
      <c r="B383" t="s">
        <v>2596</v>
      </c>
      <c r="D383">
        <v>97586</v>
      </c>
      <c r="E383" t="str">
        <f t="shared" si="5"/>
        <v>ia.assorted_string like '%97586-09-2024%' or</v>
      </c>
    </row>
    <row r="384" spans="1:5" x14ac:dyDescent="0.25">
      <c r="A384" t="s">
        <v>523</v>
      </c>
      <c r="B384" t="s">
        <v>2596</v>
      </c>
      <c r="D384">
        <v>97587</v>
      </c>
      <c r="E384" t="str">
        <f t="shared" si="5"/>
        <v>ia.assorted_string like '%97587-09-2024%' or</v>
      </c>
    </row>
    <row r="385" spans="1:5" x14ac:dyDescent="0.25">
      <c r="A385" t="s">
        <v>524</v>
      </c>
      <c r="B385" t="s">
        <v>2596</v>
      </c>
      <c r="D385">
        <v>97589</v>
      </c>
      <c r="E385" t="str">
        <f t="shared" si="5"/>
        <v>ia.assorted_string like '%97589-09-2024%' or</v>
      </c>
    </row>
    <row r="386" spans="1:5" x14ac:dyDescent="0.25">
      <c r="A386" t="s">
        <v>525</v>
      </c>
      <c r="B386" t="s">
        <v>2596</v>
      </c>
      <c r="D386">
        <v>97591</v>
      </c>
      <c r="E386" t="str">
        <f t="shared" ref="E386:E449" si="6">"ia.assorted_string like '%"&amp;D386&amp;B386&amp;"%' or"</f>
        <v>ia.assorted_string like '%97591-09-2024%' or</v>
      </c>
    </row>
    <row r="387" spans="1:5" x14ac:dyDescent="0.25">
      <c r="A387" t="s">
        <v>526</v>
      </c>
      <c r="B387" t="s">
        <v>2596</v>
      </c>
      <c r="D387">
        <v>97595</v>
      </c>
      <c r="E387" t="str">
        <f t="shared" si="6"/>
        <v>ia.assorted_string like '%97595-09-2024%' or</v>
      </c>
    </row>
    <row r="388" spans="1:5" x14ac:dyDescent="0.25">
      <c r="A388" t="s">
        <v>527</v>
      </c>
      <c r="B388" t="s">
        <v>2596</v>
      </c>
      <c r="D388">
        <v>97603</v>
      </c>
      <c r="E388" t="str">
        <f t="shared" si="6"/>
        <v>ia.assorted_string like '%97603-09-2024%' or</v>
      </c>
    </row>
    <row r="389" spans="1:5" x14ac:dyDescent="0.25">
      <c r="A389" t="s">
        <v>528</v>
      </c>
      <c r="B389" t="s">
        <v>2596</v>
      </c>
      <c r="D389">
        <v>97604</v>
      </c>
      <c r="E389" t="str">
        <f t="shared" si="6"/>
        <v>ia.assorted_string like '%97604-09-2024%' or</v>
      </c>
    </row>
    <row r="390" spans="1:5" x14ac:dyDescent="0.25">
      <c r="A390" t="s">
        <v>529</v>
      </c>
      <c r="B390" t="s">
        <v>2596</v>
      </c>
      <c r="D390">
        <v>97610</v>
      </c>
      <c r="E390" t="str">
        <f t="shared" si="6"/>
        <v>ia.assorted_string like '%97610-09-2024%' or</v>
      </c>
    </row>
    <row r="391" spans="1:5" x14ac:dyDescent="0.25">
      <c r="A391" t="s">
        <v>530</v>
      </c>
      <c r="B391" t="s">
        <v>2596</v>
      </c>
      <c r="D391">
        <v>97612</v>
      </c>
      <c r="E391" t="str">
        <f t="shared" si="6"/>
        <v>ia.assorted_string like '%97612-09-2024%' or</v>
      </c>
    </row>
    <row r="392" spans="1:5" x14ac:dyDescent="0.25">
      <c r="A392" t="s">
        <v>531</v>
      </c>
      <c r="B392" t="s">
        <v>2596</v>
      </c>
      <c r="D392">
        <v>97613</v>
      </c>
      <c r="E392" t="str">
        <f t="shared" si="6"/>
        <v>ia.assorted_string like '%97613-09-2024%' or</v>
      </c>
    </row>
    <row r="393" spans="1:5" x14ac:dyDescent="0.25">
      <c r="A393" t="s">
        <v>532</v>
      </c>
      <c r="B393" t="s">
        <v>2596</v>
      </c>
      <c r="D393">
        <v>97615</v>
      </c>
      <c r="E393" t="str">
        <f t="shared" si="6"/>
        <v>ia.assorted_string like '%97615-09-2024%' or</v>
      </c>
    </row>
    <row r="394" spans="1:5" x14ac:dyDescent="0.25">
      <c r="A394" t="s">
        <v>533</v>
      </c>
      <c r="B394" t="s">
        <v>2596</v>
      </c>
      <c r="D394">
        <v>97616</v>
      </c>
      <c r="E394" t="str">
        <f t="shared" si="6"/>
        <v>ia.assorted_string like '%97616-09-2024%' or</v>
      </c>
    </row>
    <row r="395" spans="1:5" x14ac:dyDescent="0.25">
      <c r="A395" t="s">
        <v>534</v>
      </c>
      <c r="B395" t="s">
        <v>2596</v>
      </c>
      <c r="D395">
        <v>97617</v>
      </c>
      <c r="E395" t="str">
        <f t="shared" si="6"/>
        <v>ia.assorted_string like '%97617-09-2024%' or</v>
      </c>
    </row>
    <row r="396" spans="1:5" x14ac:dyDescent="0.25">
      <c r="A396" t="s">
        <v>535</v>
      </c>
      <c r="B396" t="s">
        <v>2596</v>
      </c>
      <c r="D396">
        <v>97619</v>
      </c>
      <c r="E396" t="str">
        <f t="shared" si="6"/>
        <v>ia.assorted_string like '%97619-09-2024%' or</v>
      </c>
    </row>
    <row r="397" spans="1:5" x14ac:dyDescent="0.25">
      <c r="A397" t="s">
        <v>536</v>
      </c>
      <c r="B397" t="s">
        <v>2596</v>
      </c>
      <c r="D397">
        <v>97620</v>
      </c>
      <c r="E397" t="str">
        <f t="shared" si="6"/>
        <v>ia.assorted_string like '%97620-09-2024%' or</v>
      </c>
    </row>
    <row r="398" spans="1:5" x14ac:dyDescent="0.25">
      <c r="A398" t="s">
        <v>537</v>
      </c>
      <c r="B398" t="s">
        <v>2596</v>
      </c>
      <c r="D398">
        <v>97621</v>
      </c>
      <c r="E398" t="str">
        <f t="shared" si="6"/>
        <v>ia.assorted_string like '%97621-09-2024%' or</v>
      </c>
    </row>
    <row r="399" spans="1:5" x14ac:dyDescent="0.25">
      <c r="A399" t="s">
        <v>538</v>
      </c>
      <c r="B399" t="s">
        <v>2596</v>
      </c>
      <c r="D399">
        <v>97623</v>
      </c>
      <c r="E399" t="str">
        <f t="shared" si="6"/>
        <v>ia.assorted_string like '%97623-09-2024%' or</v>
      </c>
    </row>
    <row r="400" spans="1:5" x14ac:dyDescent="0.25">
      <c r="A400" t="s">
        <v>539</v>
      </c>
      <c r="B400" t="s">
        <v>2596</v>
      </c>
      <c r="D400">
        <v>97624</v>
      </c>
      <c r="E400" t="str">
        <f t="shared" si="6"/>
        <v>ia.assorted_string like '%97624-09-2024%' or</v>
      </c>
    </row>
    <row r="401" spans="1:5" x14ac:dyDescent="0.25">
      <c r="A401" t="s">
        <v>540</v>
      </c>
      <c r="B401" t="s">
        <v>2596</v>
      </c>
      <c r="D401">
        <v>97625</v>
      </c>
      <c r="E401" t="str">
        <f t="shared" si="6"/>
        <v>ia.assorted_string like '%97625-09-2024%' or</v>
      </c>
    </row>
    <row r="402" spans="1:5" x14ac:dyDescent="0.25">
      <c r="A402" t="s">
        <v>541</v>
      </c>
      <c r="B402" t="s">
        <v>2596</v>
      </c>
      <c r="D402">
        <v>97626</v>
      </c>
      <c r="E402" t="str">
        <f t="shared" si="6"/>
        <v>ia.assorted_string like '%97626-09-2024%' or</v>
      </c>
    </row>
    <row r="403" spans="1:5" x14ac:dyDescent="0.25">
      <c r="A403" t="s">
        <v>542</v>
      </c>
      <c r="B403" t="s">
        <v>2596</v>
      </c>
      <c r="D403">
        <v>97633</v>
      </c>
      <c r="E403" t="str">
        <f t="shared" si="6"/>
        <v>ia.assorted_string like '%97633-09-2024%' or</v>
      </c>
    </row>
    <row r="404" spans="1:5" x14ac:dyDescent="0.25">
      <c r="A404" t="s">
        <v>543</v>
      </c>
      <c r="B404" t="s">
        <v>2596</v>
      </c>
      <c r="D404">
        <v>97636</v>
      </c>
      <c r="E404" t="str">
        <f t="shared" si="6"/>
        <v>ia.assorted_string like '%97636-09-2024%' or</v>
      </c>
    </row>
    <row r="405" spans="1:5" x14ac:dyDescent="0.25">
      <c r="A405" t="s">
        <v>544</v>
      </c>
      <c r="B405" t="s">
        <v>2596</v>
      </c>
      <c r="D405">
        <v>97638</v>
      </c>
      <c r="E405" t="str">
        <f t="shared" si="6"/>
        <v>ia.assorted_string like '%97638-09-2024%' or</v>
      </c>
    </row>
    <row r="406" spans="1:5" x14ac:dyDescent="0.25">
      <c r="A406" t="s">
        <v>545</v>
      </c>
      <c r="B406" t="s">
        <v>2596</v>
      </c>
      <c r="D406">
        <v>97639</v>
      </c>
      <c r="E406" t="str">
        <f t="shared" si="6"/>
        <v>ia.assorted_string like '%97639-09-2024%' or</v>
      </c>
    </row>
    <row r="407" spans="1:5" x14ac:dyDescent="0.25">
      <c r="A407" t="s">
        <v>546</v>
      </c>
      <c r="B407" t="s">
        <v>2596</v>
      </c>
      <c r="D407">
        <v>97641</v>
      </c>
      <c r="E407" t="str">
        <f t="shared" si="6"/>
        <v>ia.assorted_string like '%97641-09-2024%' or</v>
      </c>
    </row>
    <row r="408" spans="1:5" x14ac:dyDescent="0.25">
      <c r="A408" t="s">
        <v>547</v>
      </c>
      <c r="B408" t="s">
        <v>2596</v>
      </c>
      <c r="D408">
        <v>97642</v>
      </c>
      <c r="E408" t="str">
        <f t="shared" si="6"/>
        <v>ia.assorted_string like '%97642-09-2024%' or</v>
      </c>
    </row>
    <row r="409" spans="1:5" x14ac:dyDescent="0.25">
      <c r="A409" t="s">
        <v>548</v>
      </c>
      <c r="B409" t="s">
        <v>2596</v>
      </c>
      <c r="D409">
        <v>97644</v>
      </c>
      <c r="E409" t="str">
        <f t="shared" si="6"/>
        <v>ia.assorted_string like '%97644-09-2024%' or</v>
      </c>
    </row>
    <row r="410" spans="1:5" x14ac:dyDescent="0.25">
      <c r="A410" t="s">
        <v>549</v>
      </c>
      <c r="B410" t="s">
        <v>2596</v>
      </c>
      <c r="D410">
        <v>97645</v>
      </c>
      <c r="E410" t="str">
        <f t="shared" si="6"/>
        <v>ia.assorted_string like '%97645-09-2024%' or</v>
      </c>
    </row>
    <row r="411" spans="1:5" x14ac:dyDescent="0.25">
      <c r="A411" t="s">
        <v>550</v>
      </c>
      <c r="B411" t="s">
        <v>2596</v>
      </c>
      <c r="D411">
        <v>97647</v>
      </c>
      <c r="E411" t="str">
        <f t="shared" si="6"/>
        <v>ia.assorted_string like '%97647-09-2024%' or</v>
      </c>
    </row>
    <row r="412" spans="1:5" x14ac:dyDescent="0.25">
      <c r="A412" t="s">
        <v>551</v>
      </c>
      <c r="B412" t="s">
        <v>2596</v>
      </c>
      <c r="D412">
        <v>97648</v>
      </c>
      <c r="E412" t="str">
        <f t="shared" si="6"/>
        <v>ia.assorted_string like '%97648-09-2024%' or</v>
      </c>
    </row>
    <row r="413" spans="1:5" x14ac:dyDescent="0.25">
      <c r="A413" t="s">
        <v>552</v>
      </c>
      <c r="B413" t="s">
        <v>2596</v>
      </c>
      <c r="D413">
        <v>97650</v>
      </c>
      <c r="E413" t="str">
        <f t="shared" si="6"/>
        <v>ia.assorted_string like '%97650-09-2024%' or</v>
      </c>
    </row>
    <row r="414" spans="1:5" x14ac:dyDescent="0.25">
      <c r="A414" t="s">
        <v>553</v>
      </c>
      <c r="B414" t="s">
        <v>2596</v>
      </c>
      <c r="D414">
        <v>97651</v>
      </c>
      <c r="E414" t="str">
        <f t="shared" si="6"/>
        <v>ia.assorted_string like '%97651-09-2024%' or</v>
      </c>
    </row>
    <row r="415" spans="1:5" x14ac:dyDescent="0.25">
      <c r="A415" t="s">
        <v>554</v>
      </c>
      <c r="B415" t="s">
        <v>2596</v>
      </c>
      <c r="D415">
        <v>97652</v>
      </c>
      <c r="E415" t="str">
        <f t="shared" si="6"/>
        <v>ia.assorted_string like '%97652-09-2024%' or</v>
      </c>
    </row>
    <row r="416" spans="1:5" x14ac:dyDescent="0.25">
      <c r="A416" t="s">
        <v>555</v>
      </c>
      <c r="B416" t="s">
        <v>2596</v>
      </c>
      <c r="D416">
        <v>97653</v>
      </c>
      <c r="E416" t="str">
        <f t="shared" si="6"/>
        <v>ia.assorted_string like '%97653-09-2024%' or</v>
      </c>
    </row>
    <row r="417" spans="1:5" x14ac:dyDescent="0.25">
      <c r="A417" t="s">
        <v>556</v>
      </c>
      <c r="B417" t="s">
        <v>2596</v>
      </c>
      <c r="D417">
        <v>97654</v>
      </c>
      <c r="E417" t="str">
        <f t="shared" si="6"/>
        <v>ia.assorted_string like '%97654-09-2024%' or</v>
      </c>
    </row>
    <row r="418" spans="1:5" x14ac:dyDescent="0.25">
      <c r="A418" t="s">
        <v>557</v>
      </c>
      <c r="B418" t="s">
        <v>2596</v>
      </c>
      <c r="D418">
        <v>97655</v>
      </c>
      <c r="E418" t="str">
        <f t="shared" si="6"/>
        <v>ia.assorted_string like '%97655-09-2024%' or</v>
      </c>
    </row>
    <row r="419" spans="1:5" x14ac:dyDescent="0.25">
      <c r="A419" t="s">
        <v>558</v>
      </c>
      <c r="B419" t="s">
        <v>2596</v>
      </c>
      <c r="D419">
        <v>97659</v>
      </c>
      <c r="E419" t="str">
        <f t="shared" si="6"/>
        <v>ia.assorted_string like '%97659-09-2024%' or</v>
      </c>
    </row>
    <row r="420" spans="1:5" x14ac:dyDescent="0.25">
      <c r="A420" t="s">
        <v>559</v>
      </c>
      <c r="B420" t="s">
        <v>2596</v>
      </c>
      <c r="D420">
        <v>97662</v>
      </c>
      <c r="E420" t="str">
        <f t="shared" si="6"/>
        <v>ia.assorted_string like '%97662-09-2024%' or</v>
      </c>
    </row>
    <row r="421" spans="1:5" x14ac:dyDescent="0.25">
      <c r="A421" t="s">
        <v>560</v>
      </c>
      <c r="B421" t="s">
        <v>2596</v>
      </c>
      <c r="D421">
        <v>97663</v>
      </c>
      <c r="E421" t="str">
        <f t="shared" si="6"/>
        <v>ia.assorted_string like '%97663-09-2024%' or</v>
      </c>
    </row>
    <row r="422" spans="1:5" x14ac:dyDescent="0.25">
      <c r="A422" t="s">
        <v>561</v>
      </c>
      <c r="B422" t="s">
        <v>2596</v>
      </c>
      <c r="D422">
        <v>97667</v>
      </c>
      <c r="E422" t="str">
        <f t="shared" si="6"/>
        <v>ia.assorted_string like '%97667-09-2024%' or</v>
      </c>
    </row>
    <row r="423" spans="1:5" x14ac:dyDescent="0.25">
      <c r="A423" t="s">
        <v>562</v>
      </c>
      <c r="B423" t="s">
        <v>2596</v>
      </c>
      <c r="D423">
        <v>97671</v>
      </c>
      <c r="E423" t="str">
        <f t="shared" si="6"/>
        <v>ia.assorted_string like '%97671-09-2024%' or</v>
      </c>
    </row>
    <row r="424" spans="1:5" x14ac:dyDescent="0.25">
      <c r="A424" t="s">
        <v>563</v>
      </c>
      <c r="B424" t="s">
        <v>2596</v>
      </c>
      <c r="D424">
        <v>97672</v>
      </c>
      <c r="E424" t="str">
        <f t="shared" si="6"/>
        <v>ia.assorted_string like '%97672-09-2024%' or</v>
      </c>
    </row>
    <row r="425" spans="1:5" x14ac:dyDescent="0.25">
      <c r="A425" t="s">
        <v>564</v>
      </c>
      <c r="B425" t="s">
        <v>2596</v>
      </c>
      <c r="D425">
        <v>97673</v>
      </c>
      <c r="E425" t="str">
        <f t="shared" si="6"/>
        <v>ia.assorted_string like '%97673-09-2024%' or</v>
      </c>
    </row>
    <row r="426" spans="1:5" x14ac:dyDescent="0.25">
      <c r="A426" t="s">
        <v>565</v>
      </c>
      <c r="B426" t="s">
        <v>2596</v>
      </c>
      <c r="D426">
        <v>97674</v>
      </c>
      <c r="E426" t="str">
        <f t="shared" si="6"/>
        <v>ia.assorted_string like '%97674-09-2024%' or</v>
      </c>
    </row>
    <row r="427" spans="1:5" x14ac:dyDescent="0.25">
      <c r="A427" t="s">
        <v>566</v>
      </c>
      <c r="B427" t="s">
        <v>2596</v>
      </c>
      <c r="D427">
        <v>97695</v>
      </c>
      <c r="E427" t="str">
        <f t="shared" si="6"/>
        <v>ia.assorted_string like '%97695-09-2024%' or</v>
      </c>
    </row>
    <row r="428" spans="1:5" x14ac:dyDescent="0.25">
      <c r="A428" t="s">
        <v>567</v>
      </c>
      <c r="B428" t="s">
        <v>2596</v>
      </c>
      <c r="D428">
        <v>97696</v>
      </c>
      <c r="E428" t="str">
        <f t="shared" si="6"/>
        <v>ia.assorted_string like '%97696-09-2024%' or</v>
      </c>
    </row>
    <row r="429" spans="1:5" x14ac:dyDescent="0.25">
      <c r="A429" t="s">
        <v>568</v>
      </c>
      <c r="B429" t="s">
        <v>2596</v>
      </c>
      <c r="D429">
        <v>97698</v>
      </c>
      <c r="E429" t="str">
        <f t="shared" si="6"/>
        <v>ia.assorted_string like '%97698-09-2024%' or</v>
      </c>
    </row>
    <row r="430" spans="1:5" x14ac:dyDescent="0.25">
      <c r="A430" t="s">
        <v>569</v>
      </c>
      <c r="B430" t="s">
        <v>2596</v>
      </c>
      <c r="D430">
        <v>97699</v>
      </c>
      <c r="E430" t="str">
        <f t="shared" si="6"/>
        <v>ia.assorted_string like '%97699-09-2024%' or</v>
      </c>
    </row>
    <row r="431" spans="1:5" x14ac:dyDescent="0.25">
      <c r="A431" t="s">
        <v>570</v>
      </c>
      <c r="B431" t="s">
        <v>2596</v>
      </c>
      <c r="D431">
        <v>97701</v>
      </c>
      <c r="E431" t="str">
        <f t="shared" si="6"/>
        <v>ia.assorted_string like '%97701-09-2024%' or</v>
      </c>
    </row>
    <row r="432" spans="1:5" x14ac:dyDescent="0.25">
      <c r="A432" t="s">
        <v>571</v>
      </c>
      <c r="B432" t="s">
        <v>2596</v>
      </c>
      <c r="D432">
        <v>97703</v>
      </c>
      <c r="E432" t="str">
        <f t="shared" si="6"/>
        <v>ia.assorted_string like '%97703-09-2024%' or</v>
      </c>
    </row>
    <row r="433" spans="1:5" x14ac:dyDescent="0.25">
      <c r="A433" t="s">
        <v>572</v>
      </c>
      <c r="B433" t="s">
        <v>2596</v>
      </c>
      <c r="D433">
        <v>97704</v>
      </c>
      <c r="E433" t="str">
        <f t="shared" si="6"/>
        <v>ia.assorted_string like '%97704-09-2024%' or</v>
      </c>
    </row>
    <row r="434" spans="1:5" x14ac:dyDescent="0.25">
      <c r="A434" t="s">
        <v>573</v>
      </c>
      <c r="B434" t="s">
        <v>2596</v>
      </c>
      <c r="D434">
        <v>97705</v>
      </c>
      <c r="E434" t="str">
        <f t="shared" si="6"/>
        <v>ia.assorted_string like '%97705-09-2024%' or</v>
      </c>
    </row>
    <row r="435" spans="1:5" x14ac:dyDescent="0.25">
      <c r="A435" t="s">
        <v>574</v>
      </c>
      <c r="B435" t="s">
        <v>2596</v>
      </c>
      <c r="D435">
        <v>97707</v>
      </c>
      <c r="E435" t="str">
        <f t="shared" si="6"/>
        <v>ia.assorted_string like '%97707-09-2024%' or</v>
      </c>
    </row>
    <row r="436" spans="1:5" x14ac:dyDescent="0.25">
      <c r="A436" t="s">
        <v>575</v>
      </c>
      <c r="B436" t="s">
        <v>2596</v>
      </c>
      <c r="D436">
        <v>97708</v>
      </c>
      <c r="E436" t="str">
        <f t="shared" si="6"/>
        <v>ia.assorted_string like '%97708-09-2024%' or</v>
      </c>
    </row>
    <row r="437" spans="1:5" x14ac:dyDescent="0.25">
      <c r="A437" t="s">
        <v>576</v>
      </c>
      <c r="B437" t="s">
        <v>2596</v>
      </c>
      <c r="D437">
        <v>97709</v>
      </c>
      <c r="E437" t="str">
        <f t="shared" si="6"/>
        <v>ia.assorted_string like '%97709-09-2024%' or</v>
      </c>
    </row>
    <row r="438" spans="1:5" x14ac:dyDescent="0.25">
      <c r="A438" t="s">
        <v>577</v>
      </c>
      <c r="B438" t="s">
        <v>2596</v>
      </c>
      <c r="D438">
        <v>97710</v>
      </c>
      <c r="E438" t="str">
        <f t="shared" si="6"/>
        <v>ia.assorted_string like '%97710-09-2024%' or</v>
      </c>
    </row>
    <row r="439" spans="1:5" x14ac:dyDescent="0.25">
      <c r="A439" t="s">
        <v>578</v>
      </c>
      <c r="B439" t="s">
        <v>2596</v>
      </c>
      <c r="D439">
        <v>97712</v>
      </c>
      <c r="E439" t="str">
        <f t="shared" si="6"/>
        <v>ia.assorted_string like '%97712-09-2024%' or</v>
      </c>
    </row>
    <row r="440" spans="1:5" x14ac:dyDescent="0.25">
      <c r="A440" t="s">
        <v>579</v>
      </c>
      <c r="B440" t="s">
        <v>2596</v>
      </c>
      <c r="D440">
        <v>97713</v>
      </c>
      <c r="E440" t="str">
        <f t="shared" si="6"/>
        <v>ia.assorted_string like '%97713-09-2024%' or</v>
      </c>
    </row>
    <row r="441" spans="1:5" x14ac:dyDescent="0.25">
      <c r="A441" t="s">
        <v>580</v>
      </c>
      <c r="B441" t="s">
        <v>2596</v>
      </c>
      <c r="D441">
        <v>97714</v>
      </c>
      <c r="E441" t="str">
        <f t="shared" si="6"/>
        <v>ia.assorted_string like '%97714-09-2024%' or</v>
      </c>
    </row>
    <row r="442" spans="1:5" x14ac:dyDescent="0.25">
      <c r="A442" t="s">
        <v>581</v>
      </c>
      <c r="B442" t="s">
        <v>2596</v>
      </c>
      <c r="D442">
        <v>97715</v>
      </c>
      <c r="E442" t="str">
        <f t="shared" si="6"/>
        <v>ia.assorted_string like '%97715-09-2024%' or</v>
      </c>
    </row>
    <row r="443" spans="1:5" x14ac:dyDescent="0.25">
      <c r="A443" t="s">
        <v>582</v>
      </c>
      <c r="B443" t="s">
        <v>2596</v>
      </c>
      <c r="D443">
        <v>97717</v>
      </c>
      <c r="E443" t="str">
        <f t="shared" si="6"/>
        <v>ia.assorted_string like '%97717-09-2024%' or</v>
      </c>
    </row>
    <row r="444" spans="1:5" x14ac:dyDescent="0.25">
      <c r="A444" t="s">
        <v>583</v>
      </c>
      <c r="B444" t="s">
        <v>2596</v>
      </c>
      <c r="D444">
        <v>97718</v>
      </c>
      <c r="E444" t="str">
        <f t="shared" si="6"/>
        <v>ia.assorted_string like '%97718-09-2024%' or</v>
      </c>
    </row>
    <row r="445" spans="1:5" x14ac:dyDescent="0.25">
      <c r="A445" t="s">
        <v>584</v>
      </c>
      <c r="B445" t="s">
        <v>2596</v>
      </c>
      <c r="D445">
        <v>97719</v>
      </c>
      <c r="E445" t="str">
        <f t="shared" si="6"/>
        <v>ia.assorted_string like '%97719-09-2024%' or</v>
      </c>
    </row>
    <row r="446" spans="1:5" x14ac:dyDescent="0.25">
      <c r="A446" t="s">
        <v>585</v>
      </c>
      <c r="B446" t="s">
        <v>2596</v>
      </c>
      <c r="D446">
        <v>97720</v>
      </c>
      <c r="E446" t="str">
        <f t="shared" si="6"/>
        <v>ia.assorted_string like '%97720-09-2024%' or</v>
      </c>
    </row>
    <row r="447" spans="1:5" x14ac:dyDescent="0.25">
      <c r="A447" t="s">
        <v>586</v>
      </c>
      <c r="B447" t="s">
        <v>2596</v>
      </c>
      <c r="D447">
        <v>97721</v>
      </c>
      <c r="E447" t="str">
        <f t="shared" si="6"/>
        <v>ia.assorted_string like '%97721-09-2024%' or</v>
      </c>
    </row>
    <row r="448" spans="1:5" x14ac:dyDescent="0.25">
      <c r="A448" t="s">
        <v>587</v>
      </c>
      <c r="B448" t="s">
        <v>2596</v>
      </c>
      <c r="D448">
        <v>97723</v>
      </c>
      <c r="E448" t="str">
        <f t="shared" si="6"/>
        <v>ia.assorted_string like '%97723-09-2024%' or</v>
      </c>
    </row>
    <row r="449" spans="1:5" x14ac:dyDescent="0.25">
      <c r="A449" t="s">
        <v>588</v>
      </c>
      <c r="B449" t="s">
        <v>2596</v>
      </c>
      <c r="D449">
        <v>97724</v>
      </c>
      <c r="E449" t="str">
        <f t="shared" si="6"/>
        <v>ia.assorted_string like '%97724-09-2024%' or</v>
      </c>
    </row>
    <row r="450" spans="1:5" x14ac:dyDescent="0.25">
      <c r="A450" t="s">
        <v>589</v>
      </c>
      <c r="B450" t="s">
        <v>2596</v>
      </c>
      <c r="D450">
        <v>97727</v>
      </c>
      <c r="E450" t="str">
        <f t="shared" ref="E450:E513" si="7">"ia.assorted_string like '%"&amp;D450&amp;B450&amp;"%' or"</f>
        <v>ia.assorted_string like '%97727-09-2024%' or</v>
      </c>
    </row>
    <row r="451" spans="1:5" x14ac:dyDescent="0.25">
      <c r="A451" t="s">
        <v>590</v>
      </c>
      <c r="B451" t="s">
        <v>2596</v>
      </c>
      <c r="D451">
        <v>97728</v>
      </c>
      <c r="E451" t="str">
        <f t="shared" si="7"/>
        <v>ia.assorted_string like '%97728-09-2024%' or</v>
      </c>
    </row>
    <row r="452" spans="1:5" x14ac:dyDescent="0.25">
      <c r="A452" t="s">
        <v>591</v>
      </c>
      <c r="B452" t="s">
        <v>2596</v>
      </c>
      <c r="D452">
        <v>97729</v>
      </c>
      <c r="E452" t="str">
        <f t="shared" si="7"/>
        <v>ia.assorted_string like '%97729-09-2024%' or</v>
      </c>
    </row>
    <row r="453" spans="1:5" x14ac:dyDescent="0.25">
      <c r="A453" t="s">
        <v>592</v>
      </c>
      <c r="B453" t="s">
        <v>2596</v>
      </c>
      <c r="D453">
        <v>97730</v>
      </c>
      <c r="E453" t="str">
        <f t="shared" si="7"/>
        <v>ia.assorted_string like '%97730-09-2024%' or</v>
      </c>
    </row>
    <row r="454" spans="1:5" x14ac:dyDescent="0.25">
      <c r="A454" t="s">
        <v>593</v>
      </c>
      <c r="B454" t="s">
        <v>2596</v>
      </c>
      <c r="D454">
        <v>97731</v>
      </c>
      <c r="E454" t="str">
        <f t="shared" si="7"/>
        <v>ia.assorted_string like '%97731-09-2024%' or</v>
      </c>
    </row>
    <row r="455" spans="1:5" x14ac:dyDescent="0.25">
      <c r="A455" t="s">
        <v>594</v>
      </c>
      <c r="B455" t="s">
        <v>2596</v>
      </c>
      <c r="D455">
        <v>97732</v>
      </c>
      <c r="E455" t="str">
        <f t="shared" si="7"/>
        <v>ia.assorted_string like '%97732-09-2024%' or</v>
      </c>
    </row>
    <row r="456" spans="1:5" x14ac:dyDescent="0.25">
      <c r="A456" t="s">
        <v>595</v>
      </c>
      <c r="B456" t="s">
        <v>2596</v>
      </c>
      <c r="D456">
        <v>97734</v>
      </c>
      <c r="E456" t="str">
        <f t="shared" si="7"/>
        <v>ia.assorted_string like '%97734-09-2024%' or</v>
      </c>
    </row>
    <row r="457" spans="1:5" x14ac:dyDescent="0.25">
      <c r="A457" t="s">
        <v>596</v>
      </c>
      <c r="B457" t="s">
        <v>2596</v>
      </c>
      <c r="D457">
        <v>97735</v>
      </c>
      <c r="E457" t="str">
        <f t="shared" si="7"/>
        <v>ia.assorted_string like '%97735-09-2024%' or</v>
      </c>
    </row>
    <row r="458" spans="1:5" x14ac:dyDescent="0.25">
      <c r="A458" t="s">
        <v>597</v>
      </c>
      <c r="B458" t="s">
        <v>2596</v>
      </c>
      <c r="D458">
        <v>97736</v>
      </c>
      <c r="E458" t="str">
        <f t="shared" si="7"/>
        <v>ia.assorted_string like '%97736-09-2024%' or</v>
      </c>
    </row>
    <row r="459" spans="1:5" x14ac:dyDescent="0.25">
      <c r="A459" t="s">
        <v>598</v>
      </c>
      <c r="B459" t="s">
        <v>2596</v>
      </c>
      <c r="D459">
        <v>97737</v>
      </c>
      <c r="E459" t="str">
        <f t="shared" si="7"/>
        <v>ia.assorted_string like '%97737-09-2024%' or</v>
      </c>
    </row>
    <row r="460" spans="1:5" x14ac:dyDescent="0.25">
      <c r="A460" t="s">
        <v>599</v>
      </c>
      <c r="B460" t="s">
        <v>2596</v>
      </c>
      <c r="D460">
        <v>97744</v>
      </c>
      <c r="E460" t="str">
        <f t="shared" si="7"/>
        <v>ia.assorted_string like '%97744-09-2024%' or</v>
      </c>
    </row>
    <row r="461" spans="1:5" x14ac:dyDescent="0.25">
      <c r="A461" t="s">
        <v>600</v>
      </c>
      <c r="B461" t="s">
        <v>2596</v>
      </c>
      <c r="D461">
        <v>97750</v>
      </c>
      <c r="E461" t="str">
        <f t="shared" si="7"/>
        <v>ia.assorted_string like '%97750-09-2024%' or</v>
      </c>
    </row>
    <row r="462" spans="1:5" x14ac:dyDescent="0.25">
      <c r="A462" t="s">
        <v>601</v>
      </c>
      <c r="B462" t="s">
        <v>2596</v>
      </c>
      <c r="D462">
        <v>97751</v>
      </c>
      <c r="E462" t="str">
        <f t="shared" si="7"/>
        <v>ia.assorted_string like '%97751-09-2024%' or</v>
      </c>
    </row>
    <row r="463" spans="1:5" x14ac:dyDescent="0.25">
      <c r="A463" t="s">
        <v>602</v>
      </c>
      <c r="B463" t="s">
        <v>2596</v>
      </c>
      <c r="D463">
        <v>97754</v>
      </c>
      <c r="E463" t="str">
        <f t="shared" si="7"/>
        <v>ia.assorted_string like '%97754-09-2024%' or</v>
      </c>
    </row>
    <row r="464" spans="1:5" x14ac:dyDescent="0.25">
      <c r="A464" t="s">
        <v>603</v>
      </c>
      <c r="B464" t="s">
        <v>2596</v>
      </c>
      <c r="D464">
        <v>97758</v>
      </c>
      <c r="E464" t="str">
        <f t="shared" si="7"/>
        <v>ia.assorted_string like '%97758-09-2024%' or</v>
      </c>
    </row>
    <row r="465" spans="1:5" x14ac:dyDescent="0.25">
      <c r="A465" t="s">
        <v>604</v>
      </c>
      <c r="B465" t="s">
        <v>2596</v>
      </c>
      <c r="D465">
        <v>97759</v>
      </c>
      <c r="E465" t="str">
        <f t="shared" si="7"/>
        <v>ia.assorted_string like '%97759-09-2024%' or</v>
      </c>
    </row>
    <row r="466" spans="1:5" x14ac:dyDescent="0.25">
      <c r="A466" t="s">
        <v>605</v>
      </c>
      <c r="B466" t="s">
        <v>2596</v>
      </c>
      <c r="D466">
        <v>97760</v>
      </c>
      <c r="E466" t="str">
        <f t="shared" si="7"/>
        <v>ia.assorted_string like '%97760-09-2024%' or</v>
      </c>
    </row>
    <row r="467" spans="1:5" x14ac:dyDescent="0.25">
      <c r="A467" t="s">
        <v>606</v>
      </c>
      <c r="B467" t="s">
        <v>2596</v>
      </c>
      <c r="D467">
        <v>97762</v>
      </c>
      <c r="E467" t="str">
        <f t="shared" si="7"/>
        <v>ia.assorted_string like '%97762-09-2024%' or</v>
      </c>
    </row>
    <row r="468" spans="1:5" x14ac:dyDescent="0.25">
      <c r="A468" t="s">
        <v>607</v>
      </c>
      <c r="B468" t="s">
        <v>2596</v>
      </c>
      <c r="D468">
        <v>97765</v>
      </c>
      <c r="E468" t="str">
        <f t="shared" si="7"/>
        <v>ia.assorted_string like '%97765-09-2024%' or</v>
      </c>
    </row>
    <row r="469" spans="1:5" x14ac:dyDescent="0.25">
      <c r="A469" t="s">
        <v>608</v>
      </c>
      <c r="B469" t="s">
        <v>2596</v>
      </c>
      <c r="D469">
        <v>97766</v>
      </c>
      <c r="E469" t="str">
        <f t="shared" si="7"/>
        <v>ia.assorted_string like '%97766-09-2024%' or</v>
      </c>
    </row>
    <row r="470" spans="1:5" x14ac:dyDescent="0.25">
      <c r="A470" t="s">
        <v>609</v>
      </c>
      <c r="B470" t="s">
        <v>2596</v>
      </c>
      <c r="D470">
        <v>97767</v>
      </c>
      <c r="E470" t="str">
        <f t="shared" si="7"/>
        <v>ia.assorted_string like '%97767-09-2024%' or</v>
      </c>
    </row>
    <row r="471" spans="1:5" x14ac:dyDescent="0.25">
      <c r="A471" t="s">
        <v>610</v>
      </c>
      <c r="B471" t="s">
        <v>2596</v>
      </c>
      <c r="D471">
        <v>97771</v>
      </c>
      <c r="E471" t="str">
        <f t="shared" si="7"/>
        <v>ia.assorted_string like '%97771-09-2024%' or</v>
      </c>
    </row>
    <row r="472" spans="1:5" x14ac:dyDescent="0.25">
      <c r="A472" t="s">
        <v>611</v>
      </c>
      <c r="B472" t="s">
        <v>2596</v>
      </c>
      <c r="D472">
        <v>97772</v>
      </c>
      <c r="E472" t="str">
        <f t="shared" si="7"/>
        <v>ia.assorted_string like '%97772-09-2024%' or</v>
      </c>
    </row>
    <row r="473" spans="1:5" x14ac:dyDescent="0.25">
      <c r="A473" t="s">
        <v>612</v>
      </c>
      <c r="B473" t="s">
        <v>2596</v>
      </c>
      <c r="D473">
        <v>97773</v>
      </c>
      <c r="E473" t="str">
        <f t="shared" si="7"/>
        <v>ia.assorted_string like '%97773-09-2024%' or</v>
      </c>
    </row>
    <row r="474" spans="1:5" x14ac:dyDescent="0.25">
      <c r="A474" t="s">
        <v>613</v>
      </c>
      <c r="B474" t="s">
        <v>2596</v>
      </c>
      <c r="D474">
        <v>97774</v>
      </c>
      <c r="E474" t="str">
        <f t="shared" si="7"/>
        <v>ia.assorted_string like '%97774-09-2024%' or</v>
      </c>
    </row>
    <row r="475" spans="1:5" x14ac:dyDescent="0.25">
      <c r="A475" t="s">
        <v>614</v>
      </c>
      <c r="B475" t="s">
        <v>2596</v>
      </c>
      <c r="D475">
        <v>97775</v>
      </c>
      <c r="E475" t="str">
        <f t="shared" si="7"/>
        <v>ia.assorted_string like '%97775-09-2024%' or</v>
      </c>
    </row>
    <row r="476" spans="1:5" x14ac:dyDescent="0.25">
      <c r="A476" t="s">
        <v>615</v>
      </c>
      <c r="B476" t="s">
        <v>2596</v>
      </c>
      <c r="D476">
        <v>97776</v>
      </c>
      <c r="E476" t="str">
        <f t="shared" si="7"/>
        <v>ia.assorted_string like '%97776-09-2024%' or</v>
      </c>
    </row>
    <row r="477" spans="1:5" x14ac:dyDescent="0.25">
      <c r="A477" t="s">
        <v>616</v>
      </c>
      <c r="B477" t="s">
        <v>2596</v>
      </c>
      <c r="D477">
        <v>97777</v>
      </c>
      <c r="E477" t="str">
        <f t="shared" si="7"/>
        <v>ia.assorted_string like '%97777-09-2024%' or</v>
      </c>
    </row>
    <row r="478" spans="1:5" x14ac:dyDescent="0.25">
      <c r="A478" t="s">
        <v>617</v>
      </c>
      <c r="B478" t="s">
        <v>2596</v>
      </c>
      <c r="D478">
        <v>97778</v>
      </c>
      <c r="E478" t="str">
        <f t="shared" si="7"/>
        <v>ia.assorted_string like '%97778-09-2024%' or</v>
      </c>
    </row>
    <row r="479" spans="1:5" x14ac:dyDescent="0.25">
      <c r="A479" t="s">
        <v>618</v>
      </c>
      <c r="B479" t="s">
        <v>2596</v>
      </c>
      <c r="D479">
        <v>97779</v>
      </c>
      <c r="E479" t="str">
        <f t="shared" si="7"/>
        <v>ia.assorted_string like '%97779-09-2024%' or</v>
      </c>
    </row>
    <row r="480" spans="1:5" x14ac:dyDescent="0.25">
      <c r="A480" t="s">
        <v>619</v>
      </c>
      <c r="B480" t="s">
        <v>2596</v>
      </c>
      <c r="D480">
        <v>97780</v>
      </c>
      <c r="E480" t="str">
        <f t="shared" si="7"/>
        <v>ia.assorted_string like '%97780-09-2024%' or</v>
      </c>
    </row>
    <row r="481" spans="1:5" x14ac:dyDescent="0.25">
      <c r="A481" t="s">
        <v>620</v>
      </c>
      <c r="B481" t="s">
        <v>2596</v>
      </c>
      <c r="D481">
        <v>97781</v>
      </c>
      <c r="E481" t="str">
        <f t="shared" si="7"/>
        <v>ia.assorted_string like '%97781-09-2024%' or</v>
      </c>
    </row>
    <row r="482" spans="1:5" x14ac:dyDescent="0.25">
      <c r="A482" t="s">
        <v>621</v>
      </c>
      <c r="B482" t="s">
        <v>2596</v>
      </c>
      <c r="D482">
        <v>97782</v>
      </c>
      <c r="E482" t="str">
        <f t="shared" si="7"/>
        <v>ia.assorted_string like '%97782-09-2024%' or</v>
      </c>
    </row>
    <row r="483" spans="1:5" x14ac:dyDescent="0.25">
      <c r="A483" t="s">
        <v>622</v>
      </c>
      <c r="B483" t="s">
        <v>2596</v>
      </c>
      <c r="D483">
        <v>97783</v>
      </c>
      <c r="E483" t="str">
        <f t="shared" si="7"/>
        <v>ia.assorted_string like '%97783-09-2024%' or</v>
      </c>
    </row>
    <row r="484" spans="1:5" x14ac:dyDescent="0.25">
      <c r="A484" t="s">
        <v>623</v>
      </c>
      <c r="B484" t="s">
        <v>2596</v>
      </c>
      <c r="D484">
        <v>97784</v>
      </c>
      <c r="E484" t="str">
        <f t="shared" si="7"/>
        <v>ia.assorted_string like '%97784-09-2024%' or</v>
      </c>
    </row>
    <row r="485" spans="1:5" x14ac:dyDescent="0.25">
      <c r="A485" t="s">
        <v>624</v>
      </c>
      <c r="B485" t="s">
        <v>2596</v>
      </c>
      <c r="D485">
        <v>97785</v>
      </c>
      <c r="E485" t="str">
        <f t="shared" si="7"/>
        <v>ia.assorted_string like '%97785-09-2024%' or</v>
      </c>
    </row>
    <row r="486" spans="1:5" x14ac:dyDescent="0.25">
      <c r="A486" t="s">
        <v>625</v>
      </c>
      <c r="B486" t="s">
        <v>2596</v>
      </c>
      <c r="D486">
        <v>97786</v>
      </c>
      <c r="E486" t="str">
        <f t="shared" si="7"/>
        <v>ia.assorted_string like '%97786-09-2024%' or</v>
      </c>
    </row>
    <row r="487" spans="1:5" x14ac:dyDescent="0.25">
      <c r="A487" t="s">
        <v>626</v>
      </c>
      <c r="B487" t="s">
        <v>2596</v>
      </c>
      <c r="D487">
        <v>97787</v>
      </c>
      <c r="E487" t="str">
        <f t="shared" si="7"/>
        <v>ia.assorted_string like '%97787-09-2024%' or</v>
      </c>
    </row>
    <row r="488" spans="1:5" x14ac:dyDescent="0.25">
      <c r="A488" t="s">
        <v>627</v>
      </c>
      <c r="B488" t="s">
        <v>2596</v>
      </c>
      <c r="D488">
        <v>97788</v>
      </c>
      <c r="E488" t="str">
        <f t="shared" si="7"/>
        <v>ia.assorted_string like '%97788-09-2024%' or</v>
      </c>
    </row>
    <row r="489" spans="1:5" x14ac:dyDescent="0.25">
      <c r="A489" t="s">
        <v>628</v>
      </c>
      <c r="B489" t="s">
        <v>2596</v>
      </c>
      <c r="D489">
        <v>97789</v>
      </c>
      <c r="E489" t="str">
        <f t="shared" si="7"/>
        <v>ia.assorted_string like '%97789-09-2024%' or</v>
      </c>
    </row>
    <row r="490" spans="1:5" x14ac:dyDescent="0.25">
      <c r="A490" t="s">
        <v>629</v>
      </c>
      <c r="B490" t="s">
        <v>2596</v>
      </c>
      <c r="D490">
        <v>97790</v>
      </c>
      <c r="E490" t="str">
        <f t="shared" si="7"/>
        <v>ia.assorted_string like '%97790-09-2024%' or</v>
      </c>
    </row>
    <row r="491" spans="1:5" x14ac:dyDescent="0.25">
      <c r="A491" t="s">
        <v>630</v>
      </c>
      <c r="B491" t="s">
        <v>2596</v>
      </c>
      <c r="D491">
        <v>97791</v>
      </c>
      <c r="E491" t="str">
        <f t="shared" si="7"/>
        <v>ia.assorted_string like '%97791-09-2024%' or</v>
      </c>
    </row>
    <row r="492" spans="1:5" x14ac:dyDescent="0.25">
      <c r="A492" t="s">
        <v>631</v>
      </c>
      <c r="B492" t="s">
        <v>2596</v>
      </c>
      <c r="D492">
        <v>97792</v>
      </c>
      <c r="E492" t="str">
        <f t="shared" si="7"/>
        <v>ia.assorted_string like '%97792-09-2024%' or</v>
      </c>
    </row>
    <row r="493" spans="1:5" x14ac:dyDescent="0.25">
      <c r="A493" t="s">
        <v>632</v>
      </c>
      <c r="B493" t="s">
        <v>2596</v>
      </c>
      <c r="D493">
        <v>97793</v>
      </c>
      <c r="E493" t="str">
        <f t="shared" si="7"/>
        <v>ia.assorted_string like '%97793-09-2024%' or</v>
      </c>
    </row>
    <row r="494" spans="1:5" x14ac:dyDescent="0.25">
      <c r="A494" t="s">
        <v>633</v>
      </c>
      <c r="B494" t="s">
        <v>2596</v>
      </c>
      <c r="D494">
        <v>97794</v>
      </c>
      <c r="E494" t="str">
        <f t="shared" si="7"/>
        <v>ia.assorted_string like '%97794-09-2024%' or</v>
      </c>
    </row>
    <row r="495" spans="1:5" x14ac:dyDescent="0.25">
      <c r="A495" t="s">
        <v>634</v>
      </c>
      <c r="B495" t="s">
        <v>2596</v>
      </c>
      <c r="D495">
        <v>97799</v>
      </c>
      <c r="E495" t="str">
        <f t="shared" si="7"/>
        <v>ia.assorted_string like '%97799-09-2024%' or</v>
      </c>
    </row>
    <row r="496" spans="1:5" x14ac:dyDescent="0.25">
      <c r="A496" t="s">
        <v>635</v>
      </c>
      <c r="B496" t="s">
        <v>2596</v>
      </c>
      <c r="D496">
        <v>97800</v>
      </c>
      <c r="E496" t="str">
        <f t="shared" si="7"/>
        <v>ia.assorted_string like '%97800-09-2024%' or</v>
      </c>
    </row>
    <row r="497" spans="1:5" x14ac:dyDescent="0.25">
      <c r="A497" t="s">
        <v>636</v>
      </c>
      <c r="B497" t="s">
        <v>2596</v>
      </c>
      <c r="D497">
        <v>97801</v>
      </c>
      <c r="E497" t="str">
        <f t="shared" si="7"/>
        <v>ia.assorted_string like '%97801-09-2024%' or</v>
      </c>
    </row>
    <row r="498" spans="1:5" x14ac:dyDescent="0.25">
      <c r="A498" t="s">
        <v>637</v>
      </c>
      <c r="B498" t="s">
        <v>2596</v>
      </c>
      <c r="D498">
        <v>97804</v>
      </c>
      <c r="E498" t="str">
        <f t="shared" si="7"/>
        <v>ia.assorted_string like '%97804-09-2024%' or</v>
      </c>
    </row>
    <row r="499" spans="1:5" x14ac:dyDescent="0.25">
      <c r="A499" t="s">
        <v>638</v>
      </c>
      <c r="B499" t="s">
        <v>2596</v>
      </c>
      <c r="D499">
        <v>97806</v>
      </c>
      <c r="E499" t="str">
        <f t="shared" si="7"/>
        <v>ia.assorted_string like '%97806-09-2024%' or</v>
      </c>
    </row>
    <row r="500" spans="1:5" x14ac:dyDescent="0.25">
      <c r="A500" t="s">
        <v>639</v>
      </c>
      <c r="B500" t="s">
        <v>2596</v>
      </c>
      <c r="D500">
        <v>97807</v>
      </c>
      <c r="E500" t="str">
        <f t="shared" si="7"/>
        <v>ia.assorted_string like '%97807-09-2024%' or</v>
      </c>
    </row>
    <row r="501" spans="1:5" x14ac:dyDescent="0.25">
      <c r="A501" t="s">
        <v>640</v>
      </c>
      <c r="B501" t="s">
        <v>2596</v>
      </c>
      <c r="D501">
        <v>97808</v>
      </c>
      <c r="E501" t="str">
        <f t="shared" si="7"/>
        <v>ia.assorted_string like '%97808-09-2024%' or</v>
      </c>
    </row>
    <row r="502" spans="1:5" x14ac:dyDescent="0.25">
      <c r="A502" t="s">
        <v>641</v>
      </c>
      <c r="B502" t="s">
        <v>2596</v>
      </c>
      <c r="D502">
        <v>97809</v>
      </c>
      <c r="E502" t="str">
        <f t="shared" si="7"/>
        <v>ia.assorted_string like '%97809-09-2024%' or</v>
      </c>
    </row>
    <row r="503" spans="1:5" x14ac:dyDescent="0.25">
      <c r="A503" t="s">
        <v>642</v>
      </c>
      <c r="B503" t="s">
        <v>2596</v>
      </c>
      <c r="D503">
        <v>97810</v>
      </c>
      <c r="E503" t="str">
        <f t="shared" si="7"/>
        <v>ia.assorted_string like '%97810-09-2024%' or</v>
      </c>
    </row>
    <row r="504" spans="1:5" x14ac:dyDescent="0.25">
      <c r="A504" t="s">
        <v>643</v>
      </c>
      <c r="B504" t="s">
        <v>2596</v>
      </c>
      <c r="D504">
        <v>97811</v>
      </c>
      <c r="E504" t="str">
        <f t="shared" si="7"/>
        <v>ia.assorted_string like '%97811-09-2024%' or</v>
      </c>
    </row>
    <row r="505" spans="1:5" x14ac:dyDescent="0.25">
      <c r="A505" t="s">
        <v>644</v>
      </c>
      <c r="B505" t="s">
        <v>2596</v>
      </c>
      <c r="D505">
        <v>97812</v>
      </c>
      <c r="E505" t="str">
        <f t="shared" si="7"/>
        <v>ia.assorted_string like '%97812-09-2024%' or</v>
      </c>
    </row>
    <row r="506" spans="1:5" x14ac:dyDescent="0.25">
      <c r="A506" t="s">
        <v>645</v>
      </c>
      <c r="B506" t="s">
        <v>2596</v>
      </c>
      <c r="D506">
        <v>97817</v>
      </c>
      <c r="E506" t="str">
        <f t="shared" si="7"/>
        <v>ia.assorted_string like '%97817-09-2024%' or</v>
      </c>
    </row>
    <row r="507" spans="1:5" x14ac:dyDescent="0.25">
      <c r="A507" t="s">
        <v>646</v>
      </c>
      <c r="B507" t="s">
        <v>2596</v>
      </c>
      <c r="D507">
        <v>97819</v>
      </c>
      <c r="E507" t="str">
        <f t="shared" si="7"/>
        <v>ia.assorted_string like '%97819-09-2024%' or</v>
      </c>
    </row>
    <row r="508" spans="1:5" x14ac:dyDescent="0.25">
      <c r="A508" t="s">
        <v>647</v>
      </c>
      <c r="B508" t="s">
        <v>2596</v>
      </c>
      <c r="D508">
        <v>97820</v>
      </c>
      <c r="E508" t="str">
        <f t="shared" si="7"/>
        <v>ia.assorted_string like '%97820-09-2024%' or</v>
      </c>
    </row>
    <row r="509" spans="1:5" x14ac:dyDescent="0.25">
      <c r="A509" t="s">
        <v>648</v>
      </c>
      <c r="B509" t="s">
        <v>2596</v>
      </c>
      <c r="D509">
        <v>97822</v>
      </c>
      <c r="E509" t="str">
        <f t="shared" si="7"/>
        <v>ia.assorted_string like '%97822-09-2024%' or</v>
      </c>
    </row>
    <row r="510" spans="1:5" x14ac:dyDescent="0.25">
      <c r="A510" t="s">
        <v>649</v>
      </c>
      <c r="B510" t="s">
        <v>2596</v>
      </c>
      <c r="D510">
        <v>97825</v>
      </c>
      <c r="E510" t="str">
        <f t="shared" si="7"/>
        <v>ia.assorted_string like '%97825-09-2024%' or</v>
      </c>
    </row>
    <row r="511" spans="1:5" x14ac:dyDescent="0.25">
      <c r="A511" t="s">
        <v>650</v>
      </c>
      <c r="B511" t="s">
        <v>2596</v>
      </c>
      <c r="D511">
        <v>97827</v>
      </c>
      <c r="E511" t="str">
        <f t="shared" si="7"/>
        <v>ia.assorted_string like '%97827-09-2024%' or</v>
      </c>
    </row>
    <row r="512" spans="1:5" x14ac:dyDescent="0.25">
      <c r="A512" t="s">
        <v>651</v>
      </c>
      <c r="B512" t="s">
        <v>2596</v>
      </c>
      <c r="D512">
        <v>97828</v>
      </c>
      <c r="E512" t="str">
        <f t="shared" si="7"/>
        <v>ia.assorted_string like '%97828-09-2024%' or</v>
      </c>
    </row>
    <row r="513" spans="1:5" x14ac:dyDescent="0.25">
      <c r="A513" t="s">
        <v>652</v>
      </c>
      <c r="B513" t="s">
        <v>2596</v>
      </c>
      <c r="D513">
        <v>97832</v>
      </c>
      <c r="E513" t="str">
        <f t="shared" si="7"/>
        <v>ia.assorted_string like '%97832-09-2024%' or</v>
      </c>
    </row>
    <row r="514" spans="1:5" x14ac:dyDescent="0.25">
      <c r="A514" t="s">
        <v>653</v>
      </c>
      <c r="B514" t="s">
        <v>2596</v>
      </c>
      <c r="D514">
        <v>97833</v>
      </c>
      <c r="E514" t="str">
        <f t="shared" ref="E514:E577" si="8">"ia.assorted_string like '%"&amp;D514&amp;B514&amp;"%' or"</f>
        <v>ia.assorted_string like '%97833-09-2024%' or</v>
      </c>
    </row>
    <row r="515" spans="1:5" x14ac:dyDescent="0.25">
      <c r="A515" t="s">
        <v>654</v>
      </c>
      <c r="B515" t="s">
        <v>2596</v>
      </c>
      <c r="D515">
        <v>97838</v>
      </c>
      <c r="E515" t="str">
        <f t="shared" si="8"/>
        <v>ia.assorted_string like '%97838-09-2024%' or</v>
      </c>
    </row>
    <row r="516" spans="1:5" x14ac:dyDescent="0.25">
      <c r="A516" t="s">
        <v>655</v>
      </c>
      <c r="B516" t="s">
        <v>2596</v>
      </c>
      <c r="D516">
        <v>97840</v>
      </c>
      <c r="E516" t="str">
        <f t="shared" si="8"/>
        <v>ia.assorted_string like '%97840-09-2024%' or</v>
      </c>
    </row>
    <row r="517" spans="1:5" x14ac:dyDescent="0.25">
      <c r="A517" t="s">
        <v>656</v>
      </c>
      <c r="B517" t="s">
        <v>2596</v>
      </c>
      <c r="D517">
        <v>97841</v>
      </c>
      <c r="E517" t="str">
        <f t="shared" si="8"/>
        <v>ia.assorted_string like '%97841-09-2024%' or</v>
      </c>
    </row>
    <row r="518" spans="1:5" x14ac:dyDescent="0.25">
      <c r="A518" t="s">
        <v>657</v>
      </c>
      <c r="B518" t="s">
        <v>2596</v>
      </c>
      <c r="D518">
        <v>97842</v>
      </c>
      <c r="E518" t="str">
        <f t="shared" si="8"/>
        <v>ia.assorted_string like '%97842-09-2024%' or</v>
      </c>
    </row>
    <row r="519" spans="1:5" x14ac:dyDescent="0.25">
      <c r="A519" t="s">
        <v>658</v>
      </c>
      <c r="B519" t="s">
        <v>2596</v>
      </c>
      <c r="D519">
        <v>97844</v>
      </c>
      <c r="E519" t="str">
        <f t="shared" si="8"/>
        <v>ia.assorted_string like '%97844-09-2024%' or</v>
      </c>
    </row>
    <row r="520" spans="1:5" x14ac:dyDescent="0.25">
      <c r="A520" t="s">
        <v>659</v>
      </c>
      <c r="B520" t="s">
        <v>2596</v>
      </c>
      <c r="D520">
        <v>97848</v>
      </c>
      <c r="E520" t="str">
        <f t="shared" si="8"/>
        <v>ia.assorted_string like '%97848-09-2024%' or</v>
      </c>
    </row>
    <row r="521" spans="1:5" x14ac:dyDescent="0.25">
      <c r="A521" t="s">
        <v>660</v>
      </c>
      <c r="B521" t="s">
        <v>2596</v>
      </c>
      <c r="D521">
        <v>97853</v>
      </c>
      <c r="E521" t="str">
        <f t="shared" si="8"/>
        <v>ia.assorted_string like '%97853-09-2024%' or</v>
      </c>
    </row>
    <row r="522" spans="1:5" x14ac:dyDescent="0.25">
      <c r="A522" t="s">
        <v>661</v>
      </c>
      <c r="B522" t="s">
        <v>2596</v>
      </c>
      <c r="D522">
        <v>97857</v>
      </c>
      <c r="E522" t="str">
        <f t="shared" si="8"/>
        <v>ia.assorted_string like '%97857-09-2024%' or</v>
      </c>
    </row>
    <row r="523" spans="1:5" x14ac:dyDescent="0.25">
      <c r="A523" t="s">
        <v>662</v>
      </c>
      <c r="B523" t="s">
        <v>2596</v>
      </c>
      <c r="D523">
        <v>97859</v>
      </c>
      <c r="E523" t="str">
        <f t="shared" si="8"/>
        <v>ia.assorted_string like '%97859-09-2024%' or</v>
      </c>
    </row>
    <row r="524" spans="1:5" x14ac:dyDescent="0.25">
      <c r="A524" t="s">
        <v>663</v>
      </c>
      <c r="B524" t="s">
        <v>2596</v>
      </c>
      <c r="D524">
        <v>97860</v>
      </c>
      <c r="E524" t="str">
        <f t="shared" si="8"/>
        <v>ia.assorted_string like '%97860-09-2024%' or</v>
      </c>
    </row>
    <row r="525" spans="1:5" x14ac:dyDescent="0.25">
      <c r="A525" t="s">
        <v>664</v>
      </c>
      <c r="B525" t="s">
        <v>2596</v>
      </c>
      <c r="D525">
        <v>97861</v>
      </c>
      <c r="E525" t="str">
        <f t="shared" si="8"/>
        <v>ia.assorted_string like '%97861-09-2024%' or</v>
      </c>
    </row>
    <row r="526" spans="1:5" x14ac:dyDescent="0.25">
      <c r="A526" t="s">
        <v>665</v>
      </c>
      <c r="B526" t="s">
        <v>2596</v>
      </c>
      <c r="D526">
        <v>97862</v>
      </c>
      <c r="E526" t="str">
        <f t="shared" si="8"/>
        <v>ia.assorted_string like '%97862-09-2024%' or</v>
      </c>
    </row>
    <row r="527" spans="1:5" x14ac:dyDescent="0.25">
      <c r="A527" t="s">
        <v>666</v>
      </c>
      <c r="B527" t="s">
        <v>2596</v>
      </c>
      <c r="D527">
        <v>97863</v>
      </c>
      <c r="E527" t="str">
        <f t="shared" si="8"/>
        <v>ia.assorted_string like '%97863-09-2024%' or</v>
      </c>
    </row>
    <row r="528" spans="1:5" x14ac:dyDescent="0.25">
      <c r="A528" t="s">
        <v>667</v>
      </c>
      <c r="B528" t="s">
        <v>2596</v>
      </c>
      <c r="D528">
        <v>97867</v>
      </c>
      <c r="E528" t="str">
        <f t="shared" si="8"/>
        <v>ia.assorted_string like '%97867-09-2024%' or</v>
      </c>
    </row>
    <row r="529" spans="1:5" x14ac:dyDescent="0.25">
      <c r="A529" t="s">
        <v>668</v>
      </c>
      <c r="B529" t="s">
        <v>2596</v>
      </c>
      <c r="D529">
        <v>97868</v>
      </c>
      <c r="E529" t="str">
        <f t="shared" si="8"/>
        <v>ia.assorted_string like '%97868-09-2024%' or</v>
      </c>
    </row>
    <row r="530" spans="1:5" x14ac:dyDescent="0.25">
      <c r="A530" t="s">
        <v>669</v>
      </c>
      <c r="B530" t="s">
        <v>2596</v>
      </c>
      <c r="D530">
        <v>97869</v>
      </c>
      <c r="E530" t="str">
        <f t="shared" si="8"/>
        <v>ia.assorted_string like '%97869-09-2024%' or</v>
      </c>
    </row>
    <row r="531" spans="1:5" x14ac:dyDescent="0.25">
      <c r="A531" t="s">
        <v>670</v>
      </c>
      <c r="B531" t="s">
        <v>2596</v>
      </c>
      <c r="D531">
        <v>97872</v>
      </c>
      <c r="E531" t="str">
        <f t="shared" si="8"/>
        <v>ia.assorted_string like '%97872-09-2024%' or</v>
      </c>
    </row>
    <row r="532" spans="1:5" x14ac:dyDescent="0.25">
      <c r="A532" t="s">
        <v>671</v>
      </c>
      <c r="B532" t="s">
        <v>2596</v>
      </c>
      <c r="D532">
        <v>97873</v>
      </c>
      <c r="E532" t="str">
        <f t="shared" si="8"/>
        <v>ia.assorted_string like '%97873-09-2024%' or</v>
      </c>
    </row>
    <row r="533" spans="1:5" x14ac:dyDescent="0.25">
      <c r="A533" t="s">
        <v>672</v>
      </c>
      <c r="B533" t="s">
        <v>2596</v>
      </c>
      <c r="D533">
        <v>97876</v>
      </c>
      <c r="E533" t="str">
        <f t="shared" si="8"/>
        <v>ia.assorted_string like '%97876-09-2024%' or</v>
      </c>
    </row>
    <row r="534" spans="1:5" x14ac:dyDescent="0.25">
      <c r="A534" t="s">
        <v>673</v>
      </c>
      <c r="B534" t="s">
        <v>2596</v>
      </c>
      <c r="D534">
        <v>97878</v>
      </c>
      <c r="E534" t="str">
        <f t="shared" si="8"/>
        <v>ia.assorted_string like '%97878-09-2024%' or</v>
      </c>
    </row>
    <row r="535" spans="1:5" x14ac:dyDescent="0.25">
      <c r="A535" t="s">
        <v>674</v>
      </c>
      <c r="B535" t="s">
        <v>2596</v>
      </c>
      <c r="D535">
        <v>97882</v>
      </c>
      <c r="E535" t="str">
        <f t="shared" si="8"/>
        <v>ia.assorted_string like '%97882-09-2024%' or</v>
      </c>
    </row>
    <row r="536" spans="1:5" x14ac:dyDescent="0.25">
      <c r="A536" t="s">
        <v>675</v>
      </c>
      <c r="B536" t="s">
        <v>2596</v>
      </c>
      <c r="D536">
        <v>97883</v>
      </c>
      <c r="E536" t="str">
        <f t="shared" si="8"/>
        <v>ia.assorted_string like '%97883-09-2024%' or</v>
      </c>
    </row>
    <row r="537" spans="1:5" x14ac:dyDescent="0.25">
      <c r="A537" t="s">
        <v>676</v>
      </c>
      <c r="B537" t="s">
        <v>2596</v>
      </c>
      <c r="D537">
        <v>97885</v>
      </c>
      <c r="E537" t="str">
        <f t="shared" si="8"/>
        <v>ia.assorted_string like '%97885-09-2024%' or</v>
      </c>
    </row>
    <row r="538" spans="1:5" x14ac:dyDescent="0.25">
      <c r="A538" t="s">
        <v>677</v>
      </c>
      <c r="B538" t="s">
        <v>2596</v>
      </c>
      <c r="D538">
        <v>97886</v>
      </c>
      <c r="E538" t="str">
        <f t="shared" si="8"/>
        <v>ia.assorted_string like '%97886-09-2024%' or</v>
      </c>
    </row>
    <row r="539" spans="1:5" x14ac:dyDescent="0.25">
      <c r="A539" t="s">
        <v>678</v>
      </c>
      <c r="B539" t="s">
        <v>2596</v>
      </c>
      <c r="D539">
        <v>97887</v>
      </c>
      <c r="E539" t="str">
        <f t="shared" si="8"/>
        <v>ia.assorted_string like '%97887-09-2024%' or</v>
      </c>
    </row>
    <row r="540" spans="1:5" x14ac:dyDescent="0.25">
      <c r="A540" t="s">
        <v>679</v>
      </c>
      <c r="B540" t="s">
        <v>2596</v>
      </c>
      <c r="D540">
        <v>97888</v>
      </c>
      <c r="E540" t="str">
        <f t="shared" si="8"/>
        <v>ia.assorted_string like '%97888-09-2024%' or</v>
      </c>
    </row>
    <row r="541" spans="1:5" x14ac:dyDescent="0.25">
      <c r="A541" t="s">
        <v>680</v>
      </c>
      <c r="B541" t="s">
        <v>2596</v>
      </c>
      <c r="D541">
        <v>97889</v>
      </c>
      <c r="E541" t="str">
        <f t="shared" si="8"/>
        <v>ia.assorted_string like '%97889-09-2024%' or</v>
      </c>
    </row>
    <row r="542" spans="1:5" x14ac:dyDescent="0.25">
      <c r="A542" t="s">
        <v>681</v>
      </c>
      <c r="B542" t="s">
        <v>2596</v>
      </c>
      <c r="D542">
        <v>97891</v>
      </c>
      <c r="E542" t="str">
        <f t="shared" si="8"/>
        <v>ia.assorted_string like '%97891-09-2024%' or</v>
      </c>
    </row>
    <row r="543" spans="1:5" x14ac:dyDescent="0.25">
      <c r="A543" t="s">
        <v>682</v>
      </c>
      <c r="B543" t="s">
        <v>2596</v>
      </c>
      <c r="D543">
        <v>97892</v>
      </c>
      <c r="E543" t="str">
        <f t="shared" si="8"/>
        <v>ia.assorted_string like '%97892-09-2024%' or</v>
      </c>
    </row>
    <row r="544" spans="1:5" x14ac:dyDescent="0.25">
      <c r="A544" t="s">
        <v>683</v>
      </c>
      <c r="B544" t="s">
        <v>2596</v>
      </c>
      <c r="D544">
        <v>97893</v>
      </c>
      <c r="E544" t="str">
        <f t="shared" si="8"/>
        <v>ia.assorted_string like '%97893-09-2024%' or</v>
      </c>
    </row>
    <row r="545" spans="1:5" x14ac:dyDescent="0.25">
      <c r="A545" t="s">
        <v>684</v>
      </c>
      <c r="B545" t="s">
        <v>2596</v>
      </c>
      <c r="D545">
        <v>97894</v>
      </c>
      <c r="E545" t="str">
        <f t="shared" si="8"/>
        <v>ia.assorted_string like '%97894-09-2024%' or</v>
      </c>
    </row>
    <row r="546" spans="1:5" x14ac:dyDescent="0.25">
      <c r="A546" t="s">
        <v>685</v>
      </c>
      <c r="B546" t="s">
        <v>2596</v>
      </c>
      <c r="D546">
        <v>97895</v>
      </c>
      <c r="E546" t="str">
        <f t="shared" si="8"/>
        <v>ia.assorted_string like '%97895-09-2024%' or</v>
      </c>
    </row>
    <row r="547" spans="1:5" x14ac:dyDescent="0.25">
      <c r="A547" t="s">
        <v>686</v>
      </c>
      <c r="B547" t="s">
        <v>2596</v>
      </c>
      <c r="D547">
        <v>97896</v>
      </c>
      <c r="E547" t="str">
        <f t="shared" si="8"/>
        <v>ia.assorted_string like '%97896-09-2024%' or</v>
      </c>
    </row>
    <row r="548" spans="1:5" x14ac:dyDescent="0.25">
      <c r="A548" t="s">
        <v>687</v>
      </c>
      <c r="B548" t="s">
        <v>2596</v>
      </c>
      <c r="D548">
        <v>97897</v>
      </c>
      <c r="E548" t="str">
        <f t="shared" si="8"/>
        <v>ia.assorted_string like '%97897-09-2024%' or</v>
      </c>
    </row>
    <row r="549" spans="1:5" x14ac:dyDescent="0.25">
      <c r="A549" t="s">
        <v>688</v>
      </c>
      <c r="B549" t="s">
        <v>2596</v>
      </c>
      <c r="D549">
        <v>97898</v>
      </c>
      <c r="E549" t="str">
        <f t="shared" si="8"/>
        <v>ia.assorted_string like '%97898-09-2024%' or</v>
      </c>
    </row>
    <row r="550" spans="1:5" x14ac:dyDescent="0.25">
      <c r="A550" t="s">
        <v>689</v>
      </c>
      <c r="B550" t="s">
        <v>2596</v>
      </c>
      <c r="D550">
        <v>97901</v>
      </c>
      <c r="E550" t="str">
        <f t="shared" si="8"/>
        <v>ia.assorted_string like '%97901-09-2024%' or</v>
      </c>
    </row>
    <row r="551" spans="1:5" x14ac:dyDescent="0.25">
      <c r="A551" t="s">
        <v>690</v>
      </c>
      <c r="B551" t="s">
        <v>2596</v>
      </c>
      <c r="D551">
        <v>97903</v>
      </c>
      <c r="E551" t="str">
        <f t="shared" si="8"/>
        <v>ia.assorted_string like '%97903-09-2024%' or</v>
      </c>
    </row>
    <row r="552" spans="1:5" x14ac:dyDescent="0.25">
      <c r="A552" t="s">
        <v>691</v>
      </c>
      <c r="B552" t="s">
        <v>2596</v>
      </c>
      <c r="D552">
        <v>97906</v>
      </c>
      <c r="E552" t="str">
        <f t="shared" si="8"/>
        <v>ia.assorted_string like '%97906-09-2024%' or</v>
      </c>
    </row>
    <row r="553" spans="1:5" x14ac:dyDescent="0.25">
      <c r="A553" t="s">
        <v>692</v>
      </c>
      <c r="B553" t="s">
        <v>2596</v>
      </c>
      <c r="D553">
        <v>97907</v>
      </c>
      <c r="E553" t="str">
        <f t="shared" si="8"/>
        <v>ia.assorted_string like '%97907-09-2024%' or</v>
      </c>
    </row>
    <row r="554" spans="1:5" x14ac:dyDescent="0.25">
      <c r="A554" t="s">
        <v>693</v>
      </c>
      <c r="B554" t="s">
        <v>2596</v>
      </c>
      <c r="D554">
        <v>97908</v>
      </c>
      <c r="E554" t="str">
        <f t="shared" si="8"/>
        <v>ia.assorted_string like '%97908-09-2024%' or</v>
      </c>
    </row>
    <row r="555" spans="1:5" x14ac:dyDescent="0.25">
      <c r="A555" t="s">
        <v>694</v>
      </c>
      <c r="B555" t="s">
        <v>2596</v>
      </c>
      <c r="D555">
        <v>97909</v>
      </c>
      <c r="E555" t="str">
        <f t="shared" si="8"/>
        <v>ia.assorted_string like '%97909-09-2024%' or</v>
      </c>
    </row>
    <row r="556" spans="1:5" x14ac:dyDescent="0.25">
      <c r="A556" t="s">
        <v>695</v>
      </c>
      <c r="B556" t="s">
        <v>2596</v>
      </c>
      <c r="D556">
        <v>97910</v>
      </c>
      <c r="E556" t="str">
        <f t="shared" si="8"/>
        <v>ia.assorted_string like '%97910-09-2024%' or</v>
      </c>
    </row>
    <row r="557" spans="1:5" x14ac:dyDescent="0.25">
      <c r="A557" t="s">
        <v>696</v>
      </c>
      <c r="B557" t="s">
        <v>2596</v>
      </c>
      <c r="D557">
        <v>97912</v>
      </c>
      <c r="E557" t="str">
        <f t="shared" si="8"/>
        <v>ia.assorted_string like '%97912-09-2024%' or</v>
      </c>
    </row>
    <row r="558" spans="1:5" x14ac:dyDescent="0.25">
      <c r="A558" t="s">
        <v>697</v>
      </c>
      <c r="B558" t="s">
        <v>2596</v>
      </c>
      <c r="D558">
        <v>97917</v>
      </c>
      <c r="E558" t="str">
        <f t="shared" si="8"/>
        <v>ia.assorted_string like '%97917-09-2024%' or</v>
      </c>
    </row>
    <row r="559" spans="1:5" x14ac:dyDescent="0.25">
      <c r="A559" t="s">
        <v>698</v>
      </c>
      <c r="B559" t="s">
        <v>2596</v>
      </c>
      <c r="D559">
        <v>97918</v>
      </c>
      <c r="E559" t="str">
        <f t="shared" si="8"/>
        <v>ia.assorted_string like '%97918-09-2024%' or</v>
      </c>
    </row>
    <row r="560" spans="1:5" x14ac:dyDescent="0.25">
      <c r="A560" t="s">
        <v>699</v>
      </c>
      <c r="B560" t="s">
        <v>2596</v>
      </c>
      <c r="D560">
        <v>97921</v>
      </c>
      <c r="E560" t="str">
        <f t="shared" si="8"/>
        <v>ia.assorted_string like '%97921-09-2024%' or</v>
      </c>
    </row>
    <row r="561" spans="1:5" x14ac:dyDescent="0.25">
      <c r="A561" t="s">
        <v>700</v>
      </c>
      <c r="B561" t="s">
        <v>2596</v>
      </c>
      <c r="D561">
        <v>97922</v>
      </c>
      <c r="E561" t="str">
        <f t="shared" si="8"/>
        <v>ia.assorted_string like '%97922-09-2024%' or</v>
      </c>
    </row>
    <row r="562" spans="1:5" x14ac:dyDescent="0.25">
      <c r="A562" t="s">
        <v>701</v>
      </c>
      <c r="B562" t="s">
        <v>2596</v>
      </c>
      <c r="D562">
        <v>97923</v>
      </c>
      <c r="E562" t="str">
        <f t="shared" si="8"/>
        <v>ia.assorted_string like '%97923-09-2024%' or</v>
      </c>
    </row>
    <row r="563" spans="1:5" x14ac:dyDescent="0.25">
      <c r="A563" t="s">
        <v>702</v>
      </c>
      <c r="B563" t="s">
        <v>2596</v>
      </c>
      <c r="D563">
        <v>97924</v>
      </c>
      <c r="E563" t="str">
        <f t="shared" si="8"/>
        <v>ia.assorted_string like '%97924-09-2024%' or</v>
      </c>
    </row>
    <row r="564" spans="1:5" x14ac:dyDescent="0.25">
      <c r="A564" t="s">
        <v>703</v>
      </c>
      <c r="B564" t="s">
        <v>2596</v>
      </c>
      <c r="D564">
        <v>97925</v>
      </c>
      <c r="E564" t="str">
        <f t="shared" si="8"/>
        <v>ia.assorted_string like '%97925-09-2024%' or</v>
      </c>
    </row>
    <row r="565" spans="1:5" x14ac:dyDescent="0.25">
      <c r="A565" t="s">
        <v>704</v>
      </c>
      <c r="B565" t="s">
        <v>2596</v>
      </c>
      <c r="D565">
        <v>97926</v>
      </c>
      <c r="E565" t="str">
        <f t="shared" si="8"/>
        <v>ia.assorted_string like '%97926-09-2024%' or</v>
      </c>
    </row>
    <row r="566" spans="1:5" x14ac:dyDescent="0.25">
      <c r="A566" t="s">
        <v>705</v>
      </c>
      <c r="B566" t="s">
        <v>2596</v>
      </c>
      <c r="D566">
        <v>97927</v>
      </c>
      <c r="E566" t="str">
        <f t="shared" si="8"/>
        <v>ia.assorted_string like '%97927-09-2024%' or</v>
      </c>
    </row>
    <row r="567" spans="1:5" x14ac:dyDescent="0.25">
      <c r="A567" t="s">
        <v>706</v>
      </c>
      <c r="B567" t="s">
        <v>2596</v>
      </c>
      <c r="D567">
        <v>97928</v>
      </c>
      <c r="E567" t="str">
        <f t="shared" si="8"/>
        <v>ia.assorted_string like '%97928-09-2024%' or</v>
      </c>
    </row>
    <row r="568" spans="1:5" x14ac:dyDescent="0.25">
      <c r="A568" t="s">
        <v>707</v>
      </c>
      <c r="B568" t="s">
        <v>2596</v>
      </c>
      <c r="D568">
        <v>97929</v>
      </c>
      <c r="E568" t="str">
        <f t="shared" si="8"/>
        <v>ia.assorted_string like '%97929-09-2024%' or</v>
      </c>
    </row>
    <row r="569" spans="1:5" x14ac:dyDescent="0.25">
      <c r="A569" t="s">
        <v>708</v>
      </c>
      <c r="B569" t="s">
        <v>2596</v>
      </c>
      <c r="D569">
        <v>97930</v>
      </c>
      <c r="E569" t="str">
        <f t="shared" si="8"/>
        <v>ia.assorted_string like '%97930-09-2024%' or</v>
      </c>
    </row>
    <row r="570" spans="1:5" x14ac:dyDescent="0.25">
      <c r="A570" t="s">
        <v>709</v>
      </c>
      <c r="B570" t="s">
        <v>2596</v>
      </c>
      <c r="D570">
        <v>97931</v>
      </c>
      <c r="E570" t="str">
        <f t="shared" si="8"/>
        <v>ia.assorted_string like '%97931-09-2024%' or</v>
      </c>
    </row>
    <row r="571" spans="1:5" x14ac:dyDescent="0.25">
      <c r="A571" t="s">
        <v>710</v>
      </c>
      <c r="B571" t="s">
        <v>2596</v>
      </c>
      <c r="D571">
        <v>97932</v>
      </c>
      <c r="E571" t="str">
        <f t="shared" si="8"/>
        <v>ia.assorted_string like '%97932-09-2024%' or</v>
      </c>
    </row>
    <row r="572" spans="1:5" x14ac:dyDescent="0.25">
      <c r="A572" t="s">
        <v>711</v>
      </c>
      <c r="B572" t="s">
        <v>2596</v>
      </c>
      <c r="D572">
        <v>97933</v>
      </c>
      <c r="E572" t="str">
        <f t="shared" si="8"/>
        <v>ia.assorted_string like '%97933-09-2024%' or</v>
      </c>
    </row>
    <row r="573" spans="1:5" x14ac:dyDescent="0.25">
      <c r="A573" t="s">
        <v>712</v>
      </c>
      <c r="B573" t="s">
        <v>2596</v>
      </c>
      <c r="D573">
        <v>97934</v>
      </c>
      <c r="E573" t="str">
        <f t="shared" si="8"/>
        <v>ia.assorted_string like '%97934-09-2024%' or</v>
      </c>
    </row>
    <row r="574" spans="1:5" x14ac:dyDescent="0.25">
      <c r="A574" t="s">
        <v>713</v>
      </c>
      <c r="B574" t="s">
        <v>2596</v>
      </c>
      <c r="D574">
        <v>97936</v>
      </c>
      <c r="E574" t="str">
        <f t="shared" si="8"/>
        <v>ia.assorted_string like '%97936-09-2024%' or</v>
      </c>
    </row>
    <row r="575" spans="1:5" x14ac:dyDescent="0.25">
      <c r="A575" t="s">
        <v>714</v>
      </c>
      <c r="B575" t="s">
        <v>2596</v>
      </c>
      <c r="D575">
        <v>97937</v>
      </c>
      <c r="E575" t="str">
        <f t="shared" si="8"/>
        <v>ia.assorted_string like '%97937-09-2024%' or</v>
      </c>
    </row>
    <row r="576" spans="1:5" x14ac:dyDescent="0.25">
      <c r="A576" t="s">
        <v>715</v>
      </c>
      <c r="B576" t="s">
        <v>2596</v>
      </c>
      <c r="D576">
        <v>97938</v>
      </c>
      <c r="E576" t="str">
        <f t="shared" si="8"/>
        <v>ia.assorted_string like '%97938-09-2024%' or</v>
      </c>
    </row>
    <row r="577" spans="1:5" x14ac:dyDescent="0.25">
      <c r="A577" t="s">
        <v>716</v>
      </c>
      <c r="B577" t="s">
        <v>2596</v>
      </c>
      <c r="D577">
        <v>97939</v>
      </c>
      <c r="E577" t="str">
        <f t="shared" si="8"/>
        <v>ia.assorted_string like '%97939-09-2024%' or</v>
      </c>
    </row>
    <row r="578" spans="1:5" x14ac:dyDescent="0.25">
      <c r="A578" t="s">
        <v>717</v>
      </c>
      <c r="B578" t="s">
        <v>2596</v>
      </c>
      <c r="D578">
        <v>97940</v>
      </c>
      <c r="E578" t="str">
        <f t="shared" ref="E578:E641" si="9">"ia.assorted_string like '%"&amp;D578&amp;B578&amp;"%' or"</f>
        <v>ia.assorted_string like '%97940-09-2024%' or</v>
      </c>
    </row>
    <row r="579" spans="1:5" x14ac:dyDescent="0.25">
      <c r="A579" t="s">
        <v>718</v>
      </c>
      <c r="B579" t="s">
        <v>2596</v>
      </c>
      <c r="D579">
        <v>97941</v>
      </c>
      <c r="E579" t="str">
        <f t="shared" si="9"/>
        <v>ia.assorted_string like '%97941-09-2024%' or</v>
      </c>
    </row>
    <row r="580" spans="1:5" x14ac:dyDescent="0.25">
      <c r="A580" t="s">
        <v>719</v>
      </c>
      <c r="B580" t="s">
        <v>2596</v>
      </c>
      <c r="D580">
        <v>97942</v>
      </c>
      <c r="E580" t="str">
        <f t="shared" si="9"/>
        <v>ia.assorted_string like '%97942-09-2024%' or</v>
      </c>
    </row>
    <row r="581" spans="1:5" x14ac:dyDescent="0.25">
      <c r="A581" t="s">
        <v>720</v>
      </c>
      <c r="B581" t="s">
        <v>2596</v>
      </c>
      <c r="D581">
        <v>97943</v>
      </c>
      <c r="E581" t="str">
        <f t="shared" si="9"/>
        <v>ia.assorted_string like '%97943-09-2024%' or</v>
      </c>
    </row>
    <row r="582" spans="1:5" x14ac:dyDescent="0.25">
      <c r="A582" t="s">
        <v>721</v>
      </c>
      <c r="B582" t="s">
        <v>2596</v>
      </c>
      <c r="D582">
        <v>97944</v>
      </c>
      <c r="E582" t="str">
        <f t="shared" si="9"/>
        <v>ia.assorted_string like '%97944-09-2024%' or</v>
      </c>
    </row>
    <row r="583" spans="1:5" x14ac:dyDescent="0.25">
      <c r="A583" t="s">
        <v>722</v>
      </c>
      <c r="B583" t="s">
        <v>2596</v>
      </c>
      <c r="D583">
        <v>97945</v>
      </c>
      <c r="E583" t="str">
        <f t="shared" si="9"/>
        <v>ia.assorted_string like '%97945-09-2024%' or</v>
      </c>
    </row>
    <row r="584" spans="1:5" x14ac:dyDescent="0.25">
      <c r="A584" t="s">
        <v>723</v>
      </c>
      <c r="B584" t="s">
        <v>2596</v>
      </c>
      <c r="D584">
        <v>97946</v>
      </c>
      <c r="E584" t="str">
        <f t="shared" si="9"/>
        <v>ia.assorted_string like '%97946-09-2024%' or</v>
      </c>
    </row>
    <row r="585" spans="1:5" x14ac:dyDescent="0.25">
      <c r="A585" t="s">
        <v>724</v>
      </c>
      <c r="B585" t="s">
        <v>2596</v>
      </c>
      <c r="D585">
        <v>97947</v>
      </c>
      <c r="E585" t="str">
        <f t="shared" si="9"/>
        <v>ia.assorted_string like '%97947-09-2024%' or</v>
      </c>
    </row>
    <row r="586" spans="1:5" x14ac:dyDescent="0.25">
      <c r="A586" t="s">
        <v>725</v>
      </c>
      <c r="B586" t="s">
        <v>2596</v>
      </c>
      <c r="D586">
        <v>97948</v>
      </c>
      <c r="E586" t="str">
        <f t="shared" si="9"/>
        <v>ia.assorted_string like '%97948-09-2024%' or</v>
      </c>
    </row>
    <row r="587" spans="1:5" x14ac:dyDescent="0.25">
      <c r="A587" t="s">
        <v>726</v>
      </c>
      <c r="B587" t="s">
        <v>2596</v>
      </c>
      <c r="D587">
        <v>97949</v>
      </c>
      <c r="E587" t="str">
        <f t="shared" si="9"/>
        <v>ia.assorted_string like '%97949-09-2024%' or</v>
      </c>
    </row>
    <row r="588" spans="1:5" x14ac:dyDescent="0.25">
      <c r="A588" t="s">
        <v>727</v>
      </c>
      <c r="B588" t="s">
        <v>2596</v>
      </c>
      <c r="D588">
        <v>97950</v>
      </c>
      <c r="E588" t="str">
        <f t="shared" si="9"/>
        <v>ia.assorted_string like '%97950-09-2024%' or</v>
      </c>
    </row>
    <row r="589" spans="1:5" x14ac:dyDescent="0.25">
      <c r="A589" t="s">
        <v>728</v>
      </c>
      <c r="B589" t="s">
        <v>2596</v>
      </c>
      <c r="D589">
        <v>97951</v>
      </c>
      <c r="E589" t="str">
        <f t="shared" si="9"/>
        <v>ia.assorted_string like '%97951-09-2024%' or</v>
      </c>
    </row>
    <row r="590" spans="1:5" x14ac:dyDescent="0.25">
      <c r="A590" t="s">
        <v>729</v>
      </c>
      <c r="B590" t="s">
        <v>2596</v>
      </c>
      <c r="D590">
        <v>97952</v>
      </c>
      <c r="E590" t="str">
        <f t="shared" si="9"/>
        <v>ia.assorted_string like '%97952-09-2024%' or</v>
      </c>
    </row>
    <row r="591" spans="1:5" x14ac:dyDescent="0.25">
      <c r="A591" t="s">
        <v>730</v>
      </c>
      <c r="B591" t="s">
        <v>2596</v>
      </c>
      <c r="D591">
        <v>97953</v>
      </c>
      <c r="E591" t="str">
        <f t="shared" si="9"/>
        <v>ia.assorted_string like '%97953-09-2024%' or</v>
      </c>
    </row>
    <row r="592" spans="1:5" x14ac:dyDescent="0.25">
      <c r="A592" t="s">
        <v>731</v>
      </c>
      <c r="B592" t="s">
        <v>2596</v>
      </c>
      <c r="D592">
        <v>97954</v>
      </c>
      <c r="E592" t="str">
        <f t="shared" si="9"/>
        <v>ia.assorted_string like '%97954-09-2024%' or</v>
      </c>
    </row>
    <row r="593" spans="1:5" x14ac:dyDescent="0.25">
      <c r="A593" t="s">
        <v>732</v>
      </c>
      <c r="B593" t="s">
        <v>2596</v>
      </c>
      <c r="D593">
        <v>97955</v>
      </c>
      <c r="E593" t="str">
        <f t="shared" si="9"/>
        <v>ia.assorted_string like '%97955-09-2024%' or</v>
      </c>
    </row>
    <row r="594" spans="1:5" x14ac:dyDescent="0.25">
      <c r="A594" t="s">
        <v>733</v>
      </c>
      <c r="B594" t="s">
        <v>2596</v>
      </c>
      <c r="D594">
        <v>97956</v>
      </c>
      <c r="E594" t="str">
        <f t="shared" si="9"/>
        <v>ia.assorted_string like '%97956-09-2024%' or</v>
      </c>
    </row>
    <row r="595" spans="1:5" x14ac:dyDescent="0.25">
      <c r="A595" t="s">
        <v>734</v>
      </c>
      <c r="B595" t="s">
        <v>2596</v>
      </c>
      <c r="D595">
        <v>97957</v>
      </c>
      <c r="E595" t="str">
        <f t="shared" si="9"/>
        <v>ia.assorted_string like '%97957-09-2024%' or</v>
      </c>
    </row>
    <row r="596" spans="1:5" x14ac:dyDescent="0.25">
      <c r="A596" t="s">
        <v>735</v>
      </c>
      <c r="B596" t="s">
        <v>2596</v>
      </c>
      <c r="D596">
        <v>97958</v>
      </c>
      <c r="E596" t="str">
        <f t="shared" si="9"/>
        <v>ia.assorted_string like '%97958-09-2024%' or</v>
      </c>
    </row>
    <row r="597" spans="1:5" x14ac:dyDescent="0.25">
      <c r="A597" t="s">
        <v>736</v>
      </c>
      <c r="B597" t="s">
        <v>2596</v>
      </c>
      <c r="D597">
        <v>97959</v>
      </c>
      <c r="E597" t="str">
        <f t="shared" si="9"/>
        <v>ia.assorted_string like '%97959-09-2024%' or</v>
      </c>
    </row>
    <row r="598" spans="1:5" x14ac:dyDescent="0.25">
      <c r="A598" t="s">
        <v>737</v>
      </c>
      <c r="B598" t="s">
        <v>2596</v>
      </c>
      <c r="D598">
        <v>97960</v>
      </c>
      <c r="E598" t="str">
        <f t="shared" si="9"/>
        <v>ia.assorted_string like '%97960-09-2024%' or</v>
      </c>
    </row>
    <row r="599" spans="1:5" x14ac:dyDescent="0.25">
      <c r="A599" t="s">
        <v>738</v>
      </c>
      <c r="B599" t="s">
        <v>2596</v>
      </c>
      <c r="D599">
        <v>97961</v>
      </c>
      <c r="E599" t="str">
        <f t="shared" si="9"/>
        <v>ia.assorted_string like '%97961-09-2024%' or</v>
      </c>
    </row>
    <row r="600" spans="1:5" x14ac:dyDescent="0.25">
      <c r="A600" t="s">
        <v>739</v>
      </c>
      <c r="B600" t="s">
        <v>2596</v>
      </c>
      <c r="D600">
        <v>97962</v>
      </c>
      <c r="E600" t="str">
        <f t="shared" si="9"/>
        <v>ia.assorted_string like '%97962-09-2024%' or</v>
      </c>
    </row>
    <row r="601" spans="1:5" x14ac:dyDescent="0.25">
      <c r="A601" t="s">
        <v>740</v>
      </c>
      <c r="B601" t="s">
        <v>2596</v>
      </c>
      <c r="D601">
        <v>97963</v>
      </c>
      <c r="E601" t="str">
        <f t="shared" si="9"/>
        <v>ia.assorted_string like '%97963-09-2024%' or</v>
      </c>
    </row>
    <row r="602" spans="1:5" x14ac:dyDescent="0.25">
      <c r="A602" t="s">
        <v>741</v>
      </c>
      <c r="B602" t="s">
        <v>2596</v>
      </c>
      <c r="D602">
        <v>97964</v>
      </c>
      <c r="E602" t="str">
        <f t="shared" si="9"/>
        <v>ia.assorted_string like '%97964-09-2024%' or</v>
      </c>
    </row>
    <row r="603" spans="1:5" x14ac:dyDescent="0.25">
      <c r="A603" t="s">
        <v>742</v>
      </c>
      <c r="B603" t="s">
        <v>2596</v>
      </c>
      <c r="D603">
        <v>97965</v>
      </c>
      <c r="E603" t="str">
        <f t="shared" si="9"/>
        <v>ia.assorted_string like '%97965-09-2024%' or</v>
      </c>
    </row>
    <row r="604" spans="1:5" x14ac:dyDescent="0.25">
      <c r="A604" t="s">
        <v>743</v>
      </c>
      <c r="B604" t="s">
        <v>2596</v>
      </c>
      <c r="D604">
        <v>97966</v>
      </c>
      <c r="E604" t="str">
        <f t="shared" si="9"/>
        <v>ia.assorted_string like '%97966-09-2024%' or</v>
      </c>
    </row>
    <row r="605" spans="1:5" x14ac:dyDescent="0.25">
      <c r="A605" t="s">
        <v>744</v>
      </c>
      <c r="B605" t="s">
        <v>2596</v>
      </c>
      <c r="D605">
        <v>97967</v>
      </c>
      <c r="E605" t="str">
        <f t="shared" si="9"/>
        <v>ia.assorted_string like '%97967-09-2024%' or</v>
      </c>
    </row>
    <row r="606" spans="1:5" x14ac:dyDescent="0.25">
      <c r="A606" t="s">
        <v>745</v>
      </c>
      <c r="B606" t="s">
        <v>2596</v>
      </c>
      <c r="D606">
        <v>97968</v>
      </c>
      <c r="E606" t="str">
        <f t="shared" si="9"/>
        <v>ia.assorted_string like '%97968-09-2024%' or</v>
      </c>
    </row>
    <row r="607" spans="1:5" x14ac:dyDescent="0.25">
      <c r="A607" t="s">
        <v>746</v>
      </c>
      <c r="B607" t="s">
        <v>2596</v>
      </c>
      <c r="D607">
        <v>97971</v>
      </c>
      <c r="E607" t="str">
        <f t="shared" si="9"/>
        <v>ia.assorted_string like '%97971-09-2024%' or</v>
      </c>
    </row>
    <row r="608" spans="1:5" x14ac:dyDescent="0.25">
      <c r="A608" t="s">
        <v>747</v>
      </c>
      <c r="B608" t="s">
        <v>2596</v>
      </c>
      <c r="D608">
        <v>97972</v>
      </c>
      <c r="E608" t="str">
        <f t="shared" si="9"/>
        <v>ia.assorted_string like '%97972-09-2024%' or</v>
      </c>
    </row>
    <row r="609" spans="1:5" x14ac:dyDescent="0.25">
      <c r="A609" t="s">
        <v>748</v>
      </c>
      <c r="B609" t="s">
        <v>2596</v>
      </c>
      <c r="D609">
        <v>97986</v>
      </c>
      <c r="E609" t="str">
        <f t="shared" si="9"/>
        <v>ia.assorted_string like '%97986-09-2024%' or</v>
      </c>
    </row>
    <row r="610" spans="1:5" x14ac:dyDescent="0.25">
      <c r="A610" t="s">
        <v>749</v>
      </c>
      <c r="B610" t="s">
        <v>2596</v>
      </c>
      <c r="D610">
        <v>97989</v>
      </c>
      <c r="E610" t="str">
        <f t="shared" si="9"/>
        <v>ia.assorted_string like '%97989-09-2024%' or</v>
      </c>
    </row>
    <row r="611" spans="1:5" x14ac:dyDescent="0.25">
      <c r="A611" t="s">
        <v>750</v>
      </c>
      <c r="B611" t="s">
        <v>2596</v>
      </c>
      <c r="D611">
        <v>97990</v>
      </c>
      <c r="E611" t="str">
        <f t="shared" si="9"/>
        <v>ia.assorted_string like '%97990-09-2024%' or</v>
      </c>
    </row>
    <row r="612" spans="1:5" x14ac:dyDescent="0.25">
      <c r="A612" t="s">
        <v>751</v>
      </c>
      <c r="B612" t="s">
        <v>2596</v>
      </c>
      <c r="D612">
        <v>97998</v>
      </c>
      <c r="E612" t="str">
        <f t="shared" si="9"/>
        <v>ia.assorted_string like '%97998-09-2024%' or</v>
      </c>
    </row>
    <row r="613" spans="1:5" x14ac:dyDescent="0.25">
      <c r="A613" t="s">
        <v>752</v>
      </c>
      <c r="B613" t="s">
        <v>2596</v>
      </c>
      <c r="D613">
        <v>98005</v>
      </c>
      <c r="E613" t="str">
        <f t="shared" si="9"/>
        <v>ia.assorted_string like '%98005-09-2024%' or</v>
      </c>
    </row>
    <row r="614" spans="1:5" x14ac:dyDescent="0.25">
      <c r="A614" t="s">
        <v>753</v>
      </c>
      <c r="B614" t="s">
        <v>2596</v>
      </c>
      <c r="D614">
        <v>98007</v>
      </c>
      <c r="E614" t="str">
        <f t="shared" si="9"/>
        <v>ia.assorted_string like '%98007-09-2024%' or</v>
      </c>
    </row>
    <row r="615" spans="1:5" x14ac:dyDescent="0.25">
      <c r="A615" t="s">
        <v>754</v>
      </c>
      <c r="B615" t="s">
        <v>2596</v>
      </c>
      <c r="D615">
        <v>98008</v>
      </c>
      <c r="E615" t="str">
        <f t="shared" si="9"/>
        <v>ia.assorted_string like '%98008-09-2024%' or</v>
      </c>
    </row>
    <row r="616" spans="1:5" x14ac:dyDescent="0.25">
      <c r="A616" t="s">
        <v>755</v>
      </c>
      <c r="B616" t="s">
        <v>2596</v>
      </c>
      <c r="D616">
        <v>98010</v>
      </c>
      <c r="E616" t="str">
        <f t="shared" si="9"/>
        <v>ia.assorted_string like '%98010-09-2024%' or</v>
      </c>
    </row>
    <row r="617" spans="1:5" x14ac:dyDescent="0.25">
      <c r="A617" t="s">
        <v>756</v>
      </c>
      <c r="B617" t="s">
        <v>2596</v>
      </c>
      <c r="D617">
        <v>98013</v>
      </c>
      <c r="E617" t="str">
        <f t="shared" si="9"/>
        <v>ia.assorted_string like '%98013-09-2024%' or</v>
      </c>
    </row>
    <row r="618" spans="1:5" x14ac:dyDescent="0.25">
      <c r="A618" t="s">
        <v>757</v>
      </c>
      <c r="B618" t="s">
        <v>2596</v>
      </c>
      <c r="D618">
        <v>98016</v>
      </c>
      <c r="E618" t="str">
        <f t="shared" si="9"/>
        <v>ia.assorted_string like '%98016-09-2024%' or</v>
      </c>
    </row>
    <row r="619" spans="1:5" x14ac:dyDescent="0.25">
      <c r="A619" t="s">
        <v>758</v>
      </c>
      <c r="B619" t="s">
        <v>2596</v>
      </c>
      <c r="D619">
        <v>98019</v>
      </c>
      <c r="E619" t="str">
        <f t="shared" si="9"/>
        <v>ia.assorted_string like '%98019-09-2024%' or</v>
      </c>
    </row>
    <row r="620" spans="1:5" x14ac:dyDescent="0.25">
      <c r="A620" t="s">
        <v>759</v>
      </c>
      <c r="B620" t="s">
        <v>2596</v>
      </c>
      <c r="D620">
        <v>98022</v>
      </c>
      <c r="E620" t="str">
        <f t="shared" si="9"/>
        <v>ia.assorted_string like '%98022-09-2024%' or</v>
      </c>
    </row>
    <row r="621" spans="1:5" x14ac:dyDescent="0.25">
      <c r="A621" t="s">
        <v>760</v>
      </c>
      <c r="B621" t="s">
        <v>2596</v>
      </c>
      <c r="D621">
        <v>98023</v>
      </c>
      <c r="E621" t="str">
        <f t="shared" si="9"/>
        <v>ia.assorted_string like '%98023-09-2024%' or</v>
      </c>
    </row>
    <row r="622" spans="1:5" x14ac:dyDescent="0.25">
      <c r="A622" t="s">
        <v>761</v>
      </c>
      <c r="B622" t="s">
        <v>2596</v>
      </c>
      <c r="D622">
        <v>98024</v>
      </c>
      <c r="E622" t="str">
        <f t="shared" si="9"/>
        <v>ia.assorted_string like '%98024-09-2024%' or</v>
      </c>
    </row>
    <row r="623" spans="1:5" x14ac:dyDescent="0.25">
      <c r="A623" t="s">
        <v>762</v>
      </c>
      <c r="B623" t="s">
        <v>2596</v>
      </c>
      <c r="D623">
        <v>98025</v>
      </c>
      <c r="E623" t="str">
        <f t="shared" si="9"/>
        <v>ia.assorted_string like '%98025-09-2024%' or</v>
      </c>
    </row>
    <row r="624" spans="1:5" x14ac:dyDescent="0.25">
      <c r="A624" t="s">
        <v>763</v>
      </c>
      <c r="B624" t="s">
        <v>2596</v>
      </c>
      <c r="D624">
        <v>98027</v>
      </c>
      <c r="E624" t="str">
        <f t="shared" si="9"/>
        <v>ia.assorted_string like '%98027-09-2024%' or</v>
      </c>
    </row>
    <row r="625" spans="1:5" x14ac:dyDescent="0.25">
      <c r="A625" t="s">
        <v>764</v>
      </c>
      <c r="B625" t="s">
        <v>2596</v>
      </c>
      <c r="D625">
        <v>98030</v>
      </c>
      <c r="E625" t="str">
        <f t="shared" si="9"/>
        <v>ia.assorted_string like '%98030-09-2024%' or</v>
      </c>
    </row>
    <row r="626" spans="1:5" x14ac:dyDescent="0.25">
      <c r="A626" t="s">
        <v>765</v>
      </c>
      <c r="B626" t="s">
        <v>2596</v>
      </c>
      <c r="D626">
        <v>98031</v>
      </c>
      <c r="E626" t="str">
        <f t="shared" si="9"/>
        <v>ia.assorted_string like '%98031-09-2024%' or</v>
      </c>
    </row>
    <row r="627" spans="1:5" x14ac:dyDescent="0.25">
      <c r="A627" t="s">
        <v>766</v>
      </c>
      <c r="B627" t="s">
        <v>2596</v>
      </c>
      <c r="D627">
        <v>98033</v>
      </c>
      <c r="E627" t="str">
        <f t="shared" si="9"/>
        <v>ia.assorted_string like '%98033-09-2024%' or</v>
      </c>
    </row>
    <row r="628" spans="1:5" x14ac:dyDescent="0.25">
      <c r="A628" t="s">
        <v>767</v>
      </c>
      <c r="B628" t="s">
        <v>2596</v>
      </c>
      <c r="D628">
        <v>98034</v>
      </c>
      <c r="E628" t="str">
        <f t="shared" si="9"/>
        <v>ia.assorted_string like '%98034-09-2024%' or</v>
      </c>
    </row>
    <row r="629" spans="1:5" x14ac:dyDescent="0.25">
      <c r="A629" t="s">
        <v>768</v>
      </c>
      <c r="B629" t="s">
        <v>2596</v>
      </c>
      <c r="D629">
        <v>98035</v>
      </c>
      <c r="E629" t="str">
        <f t="shared" si="9"/>
        <v>ia.assorted_string like '%98035-09-2024%' or</v>
      </c>
    </row>
    <row r="630" spans="1:5" x14ac:dyDescent="0.25">
      <c r="A630" t="s">
        <v>769</v>
      </c>
      <c r="B630" t="s">
        <v>2596</v>
      </c>
      <c r="D630">
        <v>98038</v>
      </c>
      <c r="E630" t="str">
        <f t="shared" si="9"/>
        <v>ia.assorted_string like '%98038-09-2024%' or</v>
      </c>
    </row>
    <row r="631" spans="1:5" x14ac:dyDescent="0.25">
      <c r="A631" t="s">
        <v>770</v>
      </c>
      <c r="B631" t="s">
        <v>2596</v>
      </c>
      <c r="D631">
        <v>98042</v>
      </c>
      <c r="E631" t="str">
        <f t="shared" si="9"/>
        <v>ia.assorted_string like '%98042-09-2024%' or</v>
      </c>
    </row>
    <row r="632" spans="1:5" x14ac:dyDescent="0.25">
      <c r="A632" t="s">
        <v>771</v>
      </c>
      <c r="B632" t="s">
        <v>2596</v>
      </c>
      <c r="D632">
        <v>98043</v>
      </c>
      <c r="E632" t="str">
        <f t="shared" si="9"/>
        <v>ia.assorted_string like '%98043-09-2024%' or</v>
      </c>
    </row>
    <row r="633" spans="1:5" x14ac:dyDescent="0.25">
      <c r="A633" t="s">
        <v>772</v>
      </c>
      <c r="B633" t="s">
        <v>2596</v>
      </c>
      <c r="D633">
        <v>98045</v>
      </c>
      <c r="E633" t="str">
        <f t="shared" si="9"/>
        <v>ia.assorted_string like '%98045-09-2024%' or</v>
      </c>
    </row>
    <row r="634" spans="1:5" x14ac:dyDescent="0.25">
      <c r="A634" t="s">
        <v>773</v>
      </c>
      <c r="B634" t="s">
        <v>2596</v>
      </c>
      <c r="D634">
        <v>98046</v>
      </c>
      <c r="E634" t="str">
        <f t="shared" si="9"/>
        <v>ia.assorted_string like '%98046-09-2024%' or</v>
      </c>
    </row>
    <row r="635" spans="1:5" x14ac:dyDescent="0.25">
      <c r="A635" t="s">
        <v>774</v>
      </c>
      <c r="B635" t="s">
        <v>2596</v>
      </c>
      <c r="D635">
        <v>98048</v>
      </c>
      <c r="E635" t="str">
        <f t="shared" si="9"/>
        <v>ia.assorted_string like '%98048-09-2024%' or</v>
      </c>
    </row>
    <row r="636" spans="1:5" x14ac:dyDescent="0.25">
      <c r="A636" t="s">
        <v>775</v>
      </c>
      <c r="B636" t="s">
        <v>2596</v>
      </c>
      <c r="D636">
        <v>98049</v>
      </c>
      <c r="E636" t="str">
        <f t="shared" si="9"/>
        <v>ia.assorted_string like '%98049-09-2024%' or</v>
      </c>
    </row>
    <row r="637" spans="1:5" x14ac:dyDescent="0.25">
      <c r="A637" t="s">
        <v>776</v>
      </c>
      <c r="B637" t="s">
        <v>2596</v>
      </c>
      <c r="D637">
        <v>98051</v>
      </c>
      <c r="E637" t="str">
        <f t="shared" si="9"/>
        <v>ia.assorted_string like '%98051-09-2024%' or</v>
      </c>
    </row>
    <row r="638" spans="1:5" x14ac:dyDescent="0.25">
      <c r="A638" t="s">
        <v>777</v>
      </c>
      <c r="B638" t="s">
        <v>2596</v>
      </c>
      <c r="D638">
        <v>98053</v>
      </c>
      <c r="E638" t="str">
        <f t="shared" si="9"/>
        <v>ia.assorted_string like '%98053-09-2024%' or</v>
      </c>
    </row>
    <row r="639" spans="1:5" x14ac:dyDescent="0.25">
      <c r="A639" t="s">
        <v>778</v>
      </c>
      <c r="B639" t="s">
        <v>2596</v>
      </c>
      <c r="D639">
        <v>98054</v>
      </c>
      <c r="E639" t="str">
        <f t="shared" si="9"/>
        <v>ia.assorted_string like '%98054-09-2024%' or</v>
      </c>
    </row>
    <row r="640" spans="1:5" x14ac:dyDescent="0.25">
      <c r="A640" t="s">
        <v>779</v>
      </c>
      <c r="B640" t="s">
        <v>2596</v>
      </c>
      <c r="D640">
        <v>98055</v>
      </c>
      <c r="E640" t="str">
        <f t="shared" si="9"/>
        <v>ia.assorted_string like '%98055-09-2024%' or</v>
      </c>
    </row>
    <row r="641" spans="1:5" x14ac:dyDescent="0.25">
      <c r="A641" t="s">
        <v>780</v>
      </c>
      <c r="B641" t="s">
        <v>2596</v>
      </c>
      <c r="D641">
        <v>98058</v>
      </c>
      <c r="E641" t="str">
        <f t="shared" si="9"/>
        <v>ia.assorted_string like '%98058-09-2024%' or</v>
      </c>
    </row>
    <row r="642" spans="1:5" x14ac:dyDescent="0.25">
      <c r="A642" t="s">
        <v>781</v>
      </c>
      <c r="B642" t="s">
        <v>2596</v>
      </c>
      <c r="D642">
        <v>98059</v>
      </c>
      <c r="E642" t="str">
        <f t="shared" ref="E642:E705" si="10">"ia.assorted_string like '%"&amp;D642&amp;B642&amp;"%' or"</f>
        <v>ia.assorted_string like '%98059-09-2024%' or</v>
      </c>
    </row>
    <row r="643" spans="1:5" x14ac:dyDescent="0.25">
      <c r="A643" t="s">
        <v>782</v>
      </c>
      <c r="B643" t="s">
        <v>2596</v>
      </c>
      <c r="D643">
        <v>98060</v>
      </c>
      <c r="E643" t="str">
        <f t="shared" si="10"/>
        <v>ia.assorted_string like '%98060-09-2024%' or</v>
      </c>
    </row>
    <row r="644" spans="1:5" x14ac:dyDescent="0.25">
      <c r="A644" t="s">
        <v>783</v>
      </c>
      <c r="B644" t="s">
        <v>2596</v>
      </c>
      <c r="D644">
        <v>98062</v>
      </c>
      <c r="E644" t="str">
        <f t="shared" si="10"/>
        <v>ia.assorted_string like '%98062-09-2024%' or</v>
      </c>
    </row>
    <row r="645" spans="1:5" x14ac:dyDescent="0.25">
      <c r="A645" t="s">
        <v>784</v>
      </c>
      <c r="B645" t="s">
        <v>2596</v>
      </c>
      <c r="D645">
        <v>98064</v>
      </c>
      <c r="E645" t="str">
        <f t="shared" si="10"/>
        <v>ia.assorted_string like '%98064-09-2024%' or</v>
      </c>
    </row>
    <row r="646" spans="1:5" x14ac:dyDescent="0.25">
      <c r="A646" t="s">
        <v>785</v>
      </c>
      <c r="B646" t="s">
        <v>2596</v>
      </c>
      <c r="D646">
        <v>98066</v>
      </c>
      <c r="E646" t="str">
        <f t="shared" si="10"/>
        <v>ia.assorted_string like '%98066-09-2024%' or</v>
      </c>
    </row>
    <row r="647" spans="1:5" x14ac:dyDescent="0.25">
      <c r="A647" t="s">
        <v>786</v>
      </c>
      <c r="B647" t="s">
        <v>2596</v>
      </c>
      <c r="D647">
        <v>98068</v>
      </c>
      <c r="E647" t="str">
        <f t="shared" si="10"/>
        <v>ia.assorted_string like '%98068-09-2024%' or</v>
      </c>
    </row>
    <row r="648" spans="1:5" x14ac:dyDescent="0.25">
      <c r="A648" t="s">
        <v>787</v>
      </c>
      <c r="B648" t="s">
        <v>2596</v>
      </c>
      <c r="D648">
        <v>98070</v>
      </c>
      <c r="E648" t="str">
        <f t="shared" si="10"/>
        <v>ia.assorted_string like '%98070-09-2024%' or</v>
      </c>
    </row>
    <row r="649" spans="1:5" x14ac:dyDescent="0.25">
      <c r="A649" t="s">
        <v>788</v>
      </c>
      <c r="B649" t="s">
        <v>2596</v>
      </c>
      <c r="D649">
        <v>98081</v>
      </c>
      <c r="E649" t="str">
        <f t="shared" si="10"/>
        <v>ia.assorted_string like '%98081-09-2024%' or</v>
      </c>
    </row>
    <row r="650" spans="1:5" x14ac:dyDescent="0.25">
      <c r="A650" t="s">
        <v>789</v>
      </c>
      <c r="B650" t="s">
        <v>2596</v>
      </c>
      <c r="D650">
        <v>98082</v>
      </c>
      <c r="E650" t="str">
        <f t="shared" si="10"/>
        <v>ia.assorted_string like '%98082-09-2024%' or</v>
      </c>
    </row>
    <row r="651" spans="1:5" x14ac:dyDescent="0.25">
      <c r="A651" t="s">
        <v>790</v>
      </c>
      <c r="B651" t="s">
        <v>2596</v>
      </c>
      <c r="D651">
        <v>98089</v>
      </c>
      <c r="E651" t="str">
        <f t="shared" si="10"/>
        <v>ia.assorted_string like '%98089-09-2024%' or</v>
      </c>
    </row>
    <row r="652" spans="1:5" x14ac:dyDescent="0.25">
      <c r="A652" t="s">
        <v>791</v>
      </c>
      <c r="B652" t="s">
        <v>2596</v>
      </c>
      <c r="D652">
        <v>98090</v>
      </c>
      <c r="E652" t="str">
        <f t="shared" si="10"/>
        <v>ia.assorted_string like '%98090-09-2024%' or</v>
      </c>
    </row>
    <row r="653" spans="1:5" x14ac:dyDescent="0.25">
      <c r="A653" t="s">
        <v>792</v>
      </c>
      <c r="B653" t="s">
        <v>2596</v>
      </c>
      <c r="D653">
        <v>98091</v>
      </c>
      <c r="E653" t="str">
        <f t="shared" si="10"/>
        <v>ia.assorted_string like '%98091-09-2024%' or</v>
      </c>
    </row>
    <row r="654" spans="1:5" x14ac:dyDescent="0.25">
      <c r="A654" t="s">
        <v>793</v>
      </c>
      <c r="B654" t="s">
        <v>2596</v>
      </c>
      <c r="D654">
        <v>98092</v>
      </c>
      <c r="E654" t="str">
        <f t="shared" si="10"/>
        <v>ia.assorted_string like '%98092-09-2024%' or</v>
      </c>
    </row>
    <row r="655" spans="1:5" x14ac:dyDescent="0.25">
      <c r="A655" t="s">
        <v>794</v>
      </c>
      <c r="B655" t="s">
        <v>2596</v>
      </c>
      <c r="D655">
        <v>98093</v>
      </c>
      <c r="E655" t="str">
        <f t="shared" si="10"/>
        <v>ia.assorted_string like '%98093-09-2024%' or</v>
      </c>
    </row>
    <row r="656" spans="1:5" x14ac:dyDescent="0.25">
      <c r="A656" t="s">
        <v>795</v>
      </c>
      <c r="B656" t="s">
        <v>2596</v>
      </c>
      <c r="D656">
        <v>98094</v>
      </c>
      <c r="E656" t="str">
        <f t="shared" si="10"/>
        <v>ia.assorted_string like '%98094-09-2024%' or</v>
      </c>
    </row>
    <row r="657" spans="1:5" x14ac:dyDescent="0.25">
      <c r="A657" t="s">
        <v>796</v>
      </c>
      <c r="B657" t="s">
        <v>2596</v>
      </c>
      <c r="D657">
        <v>98095</v>
      </c>
      <c r="E657" t="str">
        <f t="shared" si="10"/>
        <v>ia.assorted_string like '%98095-09-2024%' or</v>
      </c>
    </row>
    <row r="658" spans="1:5" x14ac:dyDescent="0.25">
      <c r="A658" t="s">
        <v>797</v>
      </c>
      <c r="B658" t="s">
        <v>2596</v>
      </c>
      <c r="D658">
        <v>98096</v>
      </c>
      <c r="E658" t="str">
        <f t="shared" si="10"/>
        <v>ia.assorted_string like '%98096-09-2024%' or</v>
      </c>
    </row>
    <row r="659" spans="1:5" x14ac:dyDescent="0.25">
      <c r="A659" t="s">
        <v>798</v>
      </c>
      <c r="B659" t="s">
        <v>2596</v>
      </c>
      <c r="D659">
        <v>98117</v>
      </c>
      <c r="E659" t="str">
        <f t="shared" si="10"/>
        <v>ia.assorted_string like '%98117-09-2024%' or</v>
      </c>
    </row>
    <row r="660" spans="1:5" x14ac:dyDescent="0.25">
      <c r="A660" t="s">
        <v>799</v>
      </c>
      <c r="B660" t="s">
        <v>2596</v>
      </c>
      <c r="D660">
        <v>98123</v>
      </c>
      <c r="E660" t="str">
        <f t="shared" si="10"/>
        <v>ia.assorted_string like '%98123-09-2024%' or</v>
      </c>
    </row>
    <row r="661" spans="1:5" x14ac:dyDescent="0.25">
      <c r="A661" t="s">
        <v>800</v>
      </c>
      <c r="B661" t="s">
        <v>2596</v>
      </c>
      <c r="D661">
        <v>98125</v>
      </c>
      <c r="E661" t="str">
        <f t="shared" si="10"/>
        <v>ia.assorted_string like '%98125-09-2024%' or</v>
      </c>
    </row>
    <row r="662" spans="1:5" x14ac:dyDescent="0.25">
      <c r="A662" t="s">
        <v>801</v>
      </c>
      <c r="B662" t="s">
        <v>2596</v>
      </c>
      <c r="D662">
        <v>98126</v>
      </c>
      <c r="E662" t="str">
        <f t="shared" si="10"/>
        <v>ia.assorted_string like '%98126-09-2024%' or</v>
      </c>
    </row>
    <row r="663" spans="1:5" x14ac:dyDescent="0.25">
      <c r="A663" t="s">
        <v>802</v>
      </c>
      <c r="B663" t="s">
        <v>2596</v>
      </c>
      <c r="D663">
        <v>98127</v>
      </c>
      <c r="E663" t="str">
        <f t="shared" si="10"/>
        <v>ia.assorted_string like '%98127-09-2024%' or</v>
      </c>
    </row>
    <row r="664" spans="1:5" x14ac:dyDescent="0.25">
      <c r="A664" t="s">
        <v>803</v>
      </c>
      <c r="B664" t="s">
        <v>2596</v>
      </c>
      <c r="D664">
        <v>98128</v>
      </c>
      <c r="E664" t="str">
        <f t="shared" si="10"/>
        <v>ia.assorted_string like '%98128-09-2024%' or</v>
      </c>
    </row>
    <row r="665" spans="1:5" x14ac:dyDescent="0.25">
      <c r="A665" t="s">
        <v>804</v>
      </c>
      <c r="B665" t="s">
        <v>2596</v>
      </c>
      <c r="D665">
        <v>98129</v>
      </c>
      <c r="E665" t="str">
        <f t="shared" si="10"/>
        <v>ia.assorted_string like '%98129-09-2024%' or</v>
      </c>
    </row>
    <row r="666" spans="1:5" x14ac:dyDescent="0.25">
      <c r="A666" t="s">
        <v>805</v>
      </c>
      <c r="B666" t="s">
        <v>2596</v>
      </c>
      <c r="D666">
        <v>98131</v>
      </c>
      <c r="E666" t="str">
        <f t="shared" si="10"/>
        <v>ia.assorted_string like '%98131-09-2024%' or</v>
      </c>
    </row>
    <row r="667" spans="1:5" x14ac:dyDescent="0.25">
      <c r="A667" t="s">
        <v>806</v>
      </c>
      <c r="B667" t="s">
        <v>2596</v>
      </c>
      <c r="D667">
        <v>98132</v>
      </c>
      <c r="E667" t="str">
        <f t="shared" si="10"/>
        <v>ia.assorted_string like '%98132-09-2024%' or</v>
      </c>
    </row>
    <row r="668" spans="1:5" x14ac:dyDescent="0.25">
      <c r="A668" t="s">
        <v>807</v>
      </c>
      <c r="B668" t="s">
        <v>2596</v>
      </c>
      <c r="D668">
        <v>98134</v>
      </c>
      <c r="E668" t="str">
        <f t="shared" si="10"/>
        <v>ia.assorted_string like '%98134-09-2024%' or</v>
      </c>
    </row>
    <row r="669" spans="1:5" x14ac:dyDescent="0.25">
      <c r="A669" t="s">
        <v>808</v>
      </c>
      <c r="B669" t="s">
        <v>2596</v>
      </c>
      <c r="D669">
        <v>98135</v>
      </c>
      <c r="E669" t="str">
        <f t="shared" si="10"/>
        <v>ia.assorted_string like '%98135-09-2024%' or</v>
      </c>
    </row>
    <row r="670" spans="1:5" x14ac:dyDescent="0.25">
      <c r="A670" t="s">
        <v>809</v>
      </c>
      <c r="B670" t="s">
        <v>2596</v>
      </c>
      <c r="D670">
        <v>98138</v>
      </c>
      <c r="E670" t="str">
        <f t="shared" si="10"/>
        <v>ia.assorted_string like '%98138-09-2024%' or</v>
      </c>
    </row>
    <row r="671" spans="1:5" x14ac:dyDescent="0.25">
      <c r="A671" t="s">
        <v>810</v>
      </c>
      <c r="B671" t="s">
        <v>2596</v>
      </c>
      <c r="D671">
        <v>98141</v>
      </c>
      <c r="E671" t="str">
        <f t="shared" si="10"/>
        <v>ia.assorted_string like '%98141-09-2024%' or</v>
      </c>
    </row>
    <row r="672" spans="1:5" x14ac:dyDescent="0.25">
      <c r="A672" t="s">
        <v>811</v>
      </c>
      <c r="B672" t="s">
        <v>2596</v>
      </c>
      <c r="D672">
        <v>98143</v>
      </c>
      <c r="E672" t="str">
        <f t="shared" si="10"/>
        <v>ia.assorted_string like '%98143-09-2024%' or</v>
      </c>
    </row>
    <row r="673" spans="1:5" x14ac:dyDescent="0.25">
      <c r="A673" t="s">
        <v>812</v>
      </c>
      <c r="B673" t="s">
        <v>2596</v>
      </c>
      <c r="D673">
        <v>98145</v>
      </c>
      <c r="E673" t="str">
        <f t="shared" si="10"/>
        <v>ia.assorted_string like '%98145-09-2024%' or</v>
      </c>
    </row>
    <row r="674" spans="1:5" x14ac:dyDescent="0.25">
      <c r="A674" t="s">
        <v>813</v>
      </c>
      <c r="B674" t="s">
        <v>2596</v>
      </c>
      <c r="D674">
        <v>98146</v>
      </c>
      <c r="E674" t="str">
        <f t="shared" si="10"/>
        <v>ia.assorted_string like '%98146-09-2024%' or</v>
      </c>
    </row>
    <row r="675" spans="1:5" x14ac:dyDescent="0.25">
      <c r="A675" t="s">
        <v>814</v>
      </c>
      <c r="B675" t="s">
        <v>2596</v>
      </c>
      <c r="D675">
        <v>98147</v>
      </c>
      <c r="E675" t="str">
        <f t="shared" si="10"/>
        <v>ia.assorted_string like '%98147-09-2024%' or</v>
      </c>
    </row>
    <row r="676" spans="1:5" x14ac:dyDescent="0.25">
      <c r="A676" t="s">
        <v>815</v>
      </c>
      <c r="B676" t="s">
        <v>2596</v>
      </c>
      <c r="D676">
        <v>98148</v>
      </c>
      <c r="E676" t="str">
        <f t="shared" si="10"/>
        <v>ia.assorted_string like '%98148-09-2024%' or</v>
      </c>
    </row>
    <row r="677" spans="1:5" x14ac:dyDescent="0.25">
      <c r="A677" t="s">
        <v>816</v>
      </c>
      <c r="B677" t="s">
        <v>2596</v>
      </c>
      <c r="D677">
        <v>98150</v>
      </c>
      <c r="E677" t="str">
        <f t="shared" si="10"/>
        <v>ia.assorted_string like '%98150-09-2024%' or</v>
      </c>
    </row>
    <row r="678" spans="1:5" x14ac:dyDescent="0.25">
      <c r="A678" t="s">
        <v>817</v>
      </c>
      <c r="B678" t="s">
        <v>2596</v>
      </c>
      <c r="D678">
        <v>98151</v>
      </c>
      <c r="E678" t="str">
        <f t="shared" si="10"/>
        <v>ia.assorted_string like '%98151-09-2024%' or</v>
      </c>
    </row>
    <row r="679" spans="1:5" x14ac:dyDescent="0.25">
      <c r="A679" t="s">
        <v>818</v>
      </c>
      <c r="B679" t="s">
        <v>2596</v>
      </c>
      <c r="D679">
        <v>98152</v>
      </c>
      <c r="E679" t="str">
        <f t="shared" si="10"/>
        <v>ia.assorted_string like '%98152-09-2024%' or</v>
      </c>
    </row>
    <row r="680" spans="1:5" x14ac:dyDescent="0.25">
      <c r="A680" t="s">
        <v>819</v>
      </c>
      <c r="B680" t="s">
        <v>2596</v>
      </c>
      <c r="D680">
        <v>98153</v>
      </c>
      <c r="E680" t="str">
        <f t="shared" si="10"/>
        <v>ia.assorted_string like '%98153-09-2024%' or</v>
      </c>
    </row>
    <row r="681" spans="1:5" x14ac:dyDescent="0.25">
      <c r="A681" t="s">
        <v>820</v>
      </c>
      <c r="B681" t="s">
        <v>2596</v>
      </c>
      <c r="D681">
        <v>98154</v>
      </c>
      <c r="E681" t="str">
        <f t="shared" si="10"/>
        <v>ia.assorted_string like '%98154-09-2024%' or</v>
      </c>
    </row>
    <row r="682" spans="1:5" x14ac:dyDescent="0.25">
      <c r="A682" t="s">
        <v>821</v>
      </c>
      <c r="B682" t="s">
        <v>2596</v>
      </c>
      <c r="D682">
        <v>98155</v>
      </c>
      <c r="E682" t="str">
        <f t="shared" si="10"/>
        <v>ia.assorted_string like '%98155-09-2024%' or</v>
      </c>
    </row>
    <row r="683" spans="1:5" x14ac:dyDescent="0.25">
      <c r="A683" t="s">
        <v>822</v>
      </c>
      <c r="B683" t="s">
        <v>2596</v>
      </c>
      <c r="D683">
        <v>98156</v>
      </c>
      <c r="E683" t="str">
        <f t="shared" si="10"/>
        <v>ia.assorted_string like '%98156-09-2024%' or</v>
      </c>
    </row>
    <row r="684" spans="1:5" x14ac:dyDescent="0.25">
      <c r="A684" t="s">
        <v>823</v>
      </c>
      <c r="B684" t="s">
        <v>2596</v>
      </c>
      <c r="D684">
        <v>98157</v>
      </c>
      <c r="E684" t="str">
        <f t="shared" si="10"/>
        <v>ia.assorted_string like '%98157-09-2024%' or</v>
      </c>
    </row>
    <row r="685" spans="1:5" x14ac:dyDescent="0.25">
      <c r="A685" t="s">
        <v>824</v>
      </c>
      <c r="B685" t="s">
        <v>2596</v>
      </c>
      <c r="D685">
        <v>98159</v>
      </c>
      <c r="E685" t="str">
        <f t="shared" si="10"/>
        <v>ia.assorted_string like '%98159-09-2024%' or</v>
      </c>
    </row>
    <row r="686" spans="1:5" x14ac:dyDescent="0.25">
      <c r="A686" t="s">
        <v>825</v>
      </c>
      <c r="B686" t="s">
        <v>2596</v>
      </c>
      <c r="D686">
        <v>98160</v>
      </c>
      <c r="E686" t="str">
        <f t="shared" si="10"/>
        <v>ia.assorted_string like '%98160-09-2024%' or</v>
      </c>
    </row>
    <row r="687" spans="1:5" x14ac:dyDescent="0.25">
      <c r="A687" t="s">
        <v>826</v>
      </c>
      <c r="B687" t="s">
        <v>2596</v>
      </c>
      <c r="D687">
        <v>98161</v>
      </c>
      <c r="E687" t="str">
        <f t="shared" si="10"/>
        <v>ia.assorted_string like '%98161-09-2024%' or</v>
      </c>
    </row>
    <row r="688" spans="1:5" x14ac:dyDescent="0.25">
      <c r="A688" t="s">
        <v>827</v>
      </c>
      <c r="B688" t="s">
        <v>2596</v>
      </c>
      <c r="D688">
        <v>98163</v>
      </c>
      <c r="E688" t="str">
        <f t="shared" si="10"/>
        <v>ia.assorted_string like '%98163-09-2024%' or</v>
      </c>
    </row>
    <row r="689" spans="1:5" x14ac:dyDescent="0.25">
      <c r="A689" t="s">
        <v>828</v>
      </c>
      <c r="B689" t="s">
        <v>2596</v>
      </c>
      <c r="D689">
        <v>98166</v>
      </c>
      <c r="E689" t="str">
        <f t="shared" si="10"/>
        <v>ia.assorted_string like '%98166-09-2024%' or</v>
      </c>
    </row>
    <row r="690" spans="1:5" x14ac:dyDescent="0.25">
      <c r="A690" t="s">
        <v>829</v>
      </c>
      <c r="B690" t="s">
        <v>2596</v>
      </c>
      <c r="D690">
        <v>98169</v>
      </c>
      <c r="E690" t="str">
        <f t="shared" si="10"/>
        <v>ia.assorted_string like '%98169-09-2024%' or</v>
      </c>
    </row>
    <row r="691" spans="1:5" x14ac:dyDescent="0.25">
      <c r="A691" t="s">
        <v>830</v>
      </c>
      <c r="B691" t="s">
        <v>2596</v>
      </c>
      <c r="D691">
        <v>98179</v>
      </c>
      <c r="E691" t="str">
        <f t="shared" si="10"/>
        <v>ia.assorted_string like '%98179-09-2024%' or</v>
      </c>
    </row>
    <row r="692" spans="1:5" x14ac:dyDescent="0.25">
      <c r="A692" t="s">
        <v>831</v>
      </c>
      <c r="B692" t="s">
        <v>2596</v>
      </c>
      <c r="D692">
        <v>98180</v>
      </c>
      <c r="E692" t="str">
        <f t="shared" si="10"/>
        <v>ia.assorted_string like '%98180-09-2024%' or</v>
      </c>
    </row>
    <row r="693" spans="1:5" x14ac:dyDescent="0.25">
      <c r="A693" t="s">
        <v>832</v>
      </c>
      <c r="B693" t="s">
        <v>2596</v>
      </c>
      <c r="D693">
        <v>98181</v>
      </c>
      <c r="E693" t="str">
        <f t="shared" si="10"/>
        <v>ia.assorted_string like '%98181-09-2024%' or</v>
      </c>
    </row>
    <row r="694" spans="1:5" x14ac:dyDescent="0.25">
      <c r="A694" t="s">
        <v>833</v>
      </c>
      <c r="B694" t="s">
        <v>2596</v>
      </c>
      <c r="D694">
        <v>98184</v>
      </c>
      <c r="E694" t="str">
        <f t="shared" si="10"/>
        <v>ia.assorted_string like '%98184-09-2024%' or</v>
      </c>
    </row>
    <row r="695" spans="1:5" x14ac:dyDescent="0.25">
      <c r="A695" t="s">
        <v>834</v>
      </c>
      <c r="B695" t="s">
        <v>2596</v>
      </c>
      <c r="D695">
        <v>98185</v>
      </c>
      <c r="E695" t="str">
        <f t="shared" si="10"/>
        <v>ia.assorted_string like '%98185-09-2024%' or</v>
      </c>
    </row>
    <row r="696" spans="1:5" x14ac:dyDescent="0.25">
      <c r="A696" t="s">
        <v>835</v>
      </c>
      <c r="B696" t="s">
        <v>2596</v>
      </c>
      <c r="D696">
        <v>98187</v>
      </c>
      <c r="E696" t="str">
        <f t="shared" si="10"/>
        <v>ia.assorted_string like '%98187-09-2024%' or</v>
      </c>
    </row>
    <row r="697" spans="1:5" x14ac:dyDescent="0.25">
      <c r="A697" t="s">
        <v>836</v>
      </c>
      <c r="B697" t="s">
        <v>2596</v>
      </c>
      <c r="D697">
        <v>98188</v>
      </c>
      <c r="E697" t="str">
        <f t="shared" si="10"/>
        <v>ia.assorted_string like '%98188-09-2024%' or</v>
      </c>
    </row>
    <row r="698" spans="1:5" x14ac:dyDescent="0.25">
      <c r="A698" t="s">
        <v>837</v>
      </c>
      <c r="B698" t="s">
        <v>2596</v>
      </c>
      <c r="D698">
        <v>98189</v>
      </c>
      <c r="E698" t="str">
        <f t="shared" si="10"/>
        <v>ia.assorted_string like '%98189-09-2024%' or</v>
      </c>
    </row>
    <row r="699" spans="1:5" x14ac:dyDescent="0.25">
      <c r="A699" t="s">
        <v>838</v>
      </c>
      <c r="B699" t="s">
        <v>2596</v>
      </c>
      <c r="D699">
        <v>98190</v>
      </c>
      <c r="E699" t="str">
        <f t="shared" si="10"/>
        <v>ia.assorted_string like '%98190-09-2024%' or</v>
      </c>
    </row>
    <row r="700" spans="1:5" x14ac:dyDescent="0.25">
      <c r="A700" t="s">
        <v>839</v>
      </c>
      <c r="B700" t="s">
        <v>2596</v>
      </c>
      <c r="D700">
        <v>98191</v>
      </c>
      <c r="E700" t="str">
        <f t="shared" si="10"/>
        <v>ia.assorted_string like '%98191-09-2024%' or</v>
      </c>
    </row>
    <row r="701" spans="1:5" x14ac:dyDescent="0.25">
      <c r="A701" t="s">
        <v>840</v>
      </c>
      <c r="B701" t="s">
        <v>2596</v>
      </c>
      <c r="D701">
        <v>98205</v>
      </c>
      <c r="E701" t="str">
        <f t="shared" si="10"/>
        <v>ia.assorted_string like '%98205-09-2024%' or</v>
      </c>
    </row>
    <row r="702" spans="1:5" x14ac:dyDescent="0.25">
      <c r="A702" t="s">
        <v>841</v>
      </c>
      <c r="B702" t="s">
        <v>2596</v>
      </c>
      <c r="D702">
        <v>98206</v>
      </c>
      <c r="E702" t="str">
        <f t="shared" si="10"/>
        <v>ia.assorted_string like '%98206-09-2024%' or</v>
      </c>
    </row>
    <row r="703" spans="1:5" x14ac:dyDescent="0.25">
      <c r="A703" t="s">
        <v>842</v>
      </c>
      <c r="B703" t="s">
        <v>2596</v>
      </c>
      <c r="D703">
        <v>98207</v>
      </c>
      <c r="E703" t="str">
        <f t="shared" si="10"/>
        <v>ia.assorted_string like '%98207-09-2024%' or</v>
      </c>
    </row>
    <row r="704" spans="1:5" x14ac:dyDescent="0.25">
      <c r="A704" t="s">
        <v>843</v>
      </c>
      <c r="B704" t="s">
        <v>2596</v>
      </c>
      <c r="D704">
        <v>98208</v>
      </c>
      <c r="E704" t="str">
        <f t="shared" si="10"/>
        <v>ia.assorted_string like '%98208-09-2024%' or</v>
      </c>
    </row>
    <row r="705" spans="1:5" x14ac:dyDescent="0.25">
      <c r="A705" t="s">
        <v>844</v>
      </c>
      <c r="B705" t="s">
        <v>2596</v>
      </c>
      <c r="D705">
        <v>98210</v>
      </c>
      <c r="E705" t="str">
        <f t="shared" si="10"/>
        <v>ia.assorted_string like '%98210-09-2024%' or</v>
      </c>
    </row>
    <row r="706" spans="1:5" x14ac:dyDescent="0.25">
      <c r="A706" t="s">
        <v>845</v>
      </c>
      <c r="B706" t="s">
        <v>2596</v>
      </c>
      <c r="D706">
        <v>98214</v>
      </c>
      <c r="E706" t="str">
        <f t="shared" ref="E706:E769" si="11">"ia.assorted_string like '%"&amp;D706&amp;B706&amp;"%' or"</f>
        <v>ia.assorted_string like '%98214-09-2024%' or</v>
      </c>
    </row>
    <row r="707" spans="1:5" x14ac:dyDescent="0.25">
      <c r="A707" t="s">
        <v>846</v>
      </c>
      <c r="B707" t="s">
        <v>2596</v>
      </c>
      <c r="D707">
        <v>98215</v>
      </c>
      <c r="E707" t="str">
        <f t="shared" si="11"/>
        <v>ia.assorted_string like '%98215-09-2024%' or</v>
      </c>
    </row>
    <row r="708" spans="1:5" x14ac:dyDescent="0.25">
      <c r="A708" t="s">
        <v>847</v>
      </c>
      <c r="B708" t="s">
        <v>2596</v>
      </c>
      <c r="D708">
        <v>98221</v>
      </c>
      <c r="E708" t="str">
        <f t="shared" si="11"/>
        <v>ia.assorted_string like '%98221-09-2024%' or</v>
      </c>
    </row>
    <row r="709" spans="1:5" x14ac:dyDescent="0.25">
      <c r="A709" t="s">
        <v>848</v>
      </c>
      <c r="B709" t="s">
        <v>2596</v>
      </c>
      <c r="D709">
        <v>98230</v>
      </c>
      <c r="E709" t="str">
        <f t="shared" si="11"/>
        <v>ia.assorted_string like '%98230-09-2024%' or</v>
      </c>
    </row>
    <row r="710" spans="1:5" x14ac:dyDescent="0.25">
      <c r="A710" t="s">
        <v>849</v>
      </c>
      <c r="B710" t="s">
        <v>2596</v>
      </c>
      <c r="D710">
        <v>98231</v>
      </c>
      <c r="E710" t="str">
        <f t="shared" si="11"/>
        <v>ia.assorted_string like '%98231-09-2024%' or</v>
      </c>
    </row>
    <row r="711" spans="1:5" x14ac:dyDescent="0.25">
      <c r="A711" t="s">
        <v>850</v>
      </c>
      <c r="B711" t="s">
        <v>2596</v>
      </c>
      <c r="D711">
        <v>98235</v>
      </c>
      <c r="E711" t="str">
        <f t="shared" si="11"/>
        <v>ia.assorted_string like '%98235-09-2024%' or</v>
      </c>
    </row>
    <row r="712" spans="1:5" x14ac:dyDescent="0.25">
      <c r="A712" t="s">
        <v>851</v>
      </c>
      <c r="B712" t="s">
        <v>2596</v>
      </c>
      <c r="D712">
        <v>98236</v>
      </c>
      <c r="E712" t="str">
        <f t="shared" si="11"/>
        <v>ia.assorted_string like '%98236-09-2024%' or</v>
      </c>
    </row>
    <row r="713" spans="1:5" x14ac:dyDescent="0.25">
      <c r="A713" t="s">
        <v>852</v>
      </c>
      <c r="B713" t="s">
        <v>2596</v>
      </c>
      <c r="D713">
        <v>98237</v>
      </c>
      <c r="E713" t="str">
        <f t="shared" si="11"/>
        <v>ia.assorted_string like '%98237-09-2024%' or</v>
      </c>
    </row>
    <row r="714" spans="1:5" x14ac:dyDescent="0.25">
      <c r="A714" t="s">
        <v>853</v>
      </c>
      <c r="B714" t="s">
        <v>2596</v>
      </c>
      <c r="D714">
        <v>98238</v>
      </c>
      <c r="E714" t="str">
        <f t="shared" si="11"/>
        <v>ia.assorted_string like '%98238-09-2024%' or</v>
      </c>
    </row>
    <row r="715" spans="1:5" x14ac:dyDescent="0.25">
      <c r="A715" t="s">
        <v>854</v>
      </c>
      <c r="B715" t="s">
        <v>2596</v>
      </c>
      <c r="D715">
        <v>98239</v>
      </c>
      <c r="E715" t="str">
        <f t="shared" si="11"/>
        <v>ia.assorted_string like '%98239-09-2024%' or</v>
      </c>
    </row>
    <row r="716" spans="1:5" x14ac:dyDescent="0.25">
      <c r="A716" t="s">
        <v>855</v>
      </c>
      <c r="B716" t="s">
        <v>2596</v>
      </c>
      <c r="D716">
        <v>98240</v>
      </c>
      <c r="E716" t="str">
        <f t="shared" si="11"/>
        <v>ia.assorted_string like '%98240-09-2024%' or</v>
      </c>
    </row>
    <row r="717" spans="1:5" x14ac:dyDescent="0.25">
      <c r="A717" t="s">
        <v>856</v>
      </c>
      <c r="B717" t="s">
        <v>2596</v>
      </c>
      <c r="D717">
        <v>98241</v>
      </c>
      <c r="E717" t="str">
        <f t="shared" si="11"/>
        <v>ia.assorted_string like '%98241-09-2024%' or</v>
      </c>
    </row>
    <row r="718" spans="1:5" x14ac:dyDescent="0.25">
      <c r="A718" t="s">
        <v>857</v>
      </c>
      <c r="B718" t="s">
        <v>2596</v>
      </c>
      <c r="D718">
        <v>98247</v>
      </c>
      <c r="E718" t="str">
        <f t="shared" si="11"/>
        <v>ia.assorted_string like '%98247-09-2024%' or</v>
      </c>
    </row>
    <row r="719" spans="1:5" x14ac:dyDescent="0.25">
      <c r="A719" t="s">
        <v>858</v>
      </c>
      <c r="B719" t="s">
        <v>2596</v>
      </c>
      <c r="D719">
        <v>98248</v>
      </c>
      <c r="E719" t="str">
        <f t="shared" si="11"/>
        <v>ia.assorted_string like '%98248-09-2024%' or</v>
      </c>
    </row>
    <row r="720" spans="1:5" x14ac:dyDescent="0.25">
      <c r="A720" t="s">
        <v>859</v>
      </c>
      <c r="B720" t="s">
        <v>2596</v>
      </c>
      <c r="D720">
        <v>98251</v>
      </c>
      <c r="E720" t="str">
        <f t="shared" si="11"/>
        <v>ia.assorted_string like '%98251-09-2024%' or</v>
      </c>
    </row>
    <row r="721" spans="1:5" x14ac:dyDescent="0.25">
      <c r="A721" t="s">
        <v>860</v>
      </c>
      <c r="B721" t="s">
        <v>2596</v>
      </c>
      <c r="D721">
        <v>98255</v>
      </c>
      <c r="E721" t="str">
        <f t="shared" si="11"/>
        <v>ia.assorted_string like '%98255-09-2024%' or</v>
      </c>
    </row>
    <row r="722" spans="1:5" x14ac:dyDescent="0.25">
      <c r="A722" t="s">
        <v>861</v>
      </c>
      <c r="B722" t="s">
        <v>2596</v>
      </c>
      <c r="D722">
        <v>98257</v>
      </c>
      <c r="E722" t="str">
        <f t="shared" si="11"/>
        <v>ia.assorted_string like '%98257-09-2024%' or</v>
      </c>
    </row>
    <row r="723" spans="1:5" x14ac:dyDescent="0.25">
      <c r="A723" t="s">
        <v>862</v>
      </c>
      <c r="B723" t="s">
        <v>2596</v>
      </c>
      <c r="D723">
        <v>98258</v>
      </c>
      <c r="E723" t="str">
        <f t="shared" si="11"/>
        <v>ia.assorted_string like '%98258-09-2024%' or</v>
      </c>
    </row>
    <row r="724" spans="1:5" x14ac:dyDescent="0.25">
      <c r="A724" t="s">
        <v>863</v>
      </c>
      <c r="B724" t="s">
        <v>2596</v>
      </c>
      <c r="D724">
        <v>98262</v>
      </c>
      <c r="E724" t="str">
        <f t="shared" si="11"/>
        <v>ia.assorted_string like '%98262-09-2024%' or</v>
      </c>
    </row>
    <row r="725" spans="1:5" x14ac:dyDescent="0.25">
      <c r="A725" t="s">
        <v>864</v>
      </c>
      <c r="B725" t="s">
        <v>2596</v>
      </c>
      <c r="D725">
        <v>98264</v>
      </c>
      <c r="E725" t="str">
        <f t="shared" si="11"/>
        <v>ia.assorted_string like '%98264-09-2024%' or</v>
      </c>
    </row>
    <row r="726" spans="1:5" x14ac:dyDescent="0.25">
      <c r="A726" t="s">
        <v>865</v>
      </c>
      <c r="B726" t="s">
        <v>2596</v>
      </c>
      <c r="D726">
        <v>98272</v>
      </c>
      <c r="E726" t="str">
        <f t="shared" si="11"/>
        <v>ia.assorted_string like '%98272-09-2024%' or</v>
      </c>
    </row>
    <row r="727" spans="1:5" x14ac:dyDescent="0.25">
      <c r="A727" t="s">
        <v>866</v>
      </c>
      <c r="B727" t="s">
        <v>2596</v>
      </c>
      <c r="D727">
        <v>98274</v>
      </c>
      <c r="E727" t="str">
        <f t="shared" si="11"/>
        <v>ia.assorted_string like '%98274-09-2024%' or</v>
      </c>
    </row>
    <row r="728" spans="1:5" x14ac:dyDescent="0.25">
      <c r="A728" t="s">
        <v>867</v>
      </c>
      <c r="B728" t="s">
        <v>2596</v>
      </c>
      <c r="D728">
        <v>98276</v>
      </c>
      <c r="E728" t="str">
        <f t="shared" si="11"/>
        <v>ia.assorted_string like '%98276-09-2024%' or</v>
      </c>
    </row>
    <row r="729" spans="1:5" x14ac:dyDescent="0.25">
      <c r="A729" t="s">
        <v>868</v>
      </c>
      <c r="B729" t="s">
        <v>2596</v>
      </c>
      <c r="D729">
        <v>98280</v>
      </c>
      <c r="E729" t="str">
        <f t="shared" si="11"/>
        <v>ia.assorted_string like '%98280-09-2024%' or</v>
      </c>
    </row>
    <row r="730" spans="1:5" x14ac:dyDescent="0.25">
      <c r="A730" t="s">
        <v>869</v>
      </c>
      <c r="B730" t="s">
        <v>2596</v>
      </c>
      <c r="D730">
        <v>98281</v>
      </c>
      <c r="E730" t="str">
        <f t="shared" si="11"/>
        <v>ia.assorted_string like '%98281-09-2024%' or</v>
      </c>
    </row>
    <row r="731" spans="1:5" x14ac:dyDescent="0.25">
      <c r="A731" t="s">
        <v>870</v>
      </c>
      <c r="B731" t="s">
        <v>2596</v>
      </c>
      <c r="D731">
        <v>98284</v>
      </c>
      <c r="E731" t="str">
        <f t="shared" si="11"/>
        <v>ia.assorted_string like '%98284-09-2024%' or</v>
      </c>
    </row>
    <row r="732" spans="1:5" x14ac:dyDescent="0.25">
      <c r="A732" t="s">
        <v>871</v>
      </c>
      <c r="B732" t="s">
        <v>2596</v>
      </c>
      <c r="D732">
        <v>98285</v>
      </c>
      <c r="E732" t="str">
        <f t="shared" si="11"/>
        <v>ia.assorted_string like '%98285-09-2024%' or</v>
      </c>
    </row>
    <row r="733" spans="1:5" x14ac:dyDescent="0.25">
      <c r="A733" t="s">
        <v>872</v>
      </c>
      <c r="B733" t="s">
        <v>2596</v>
      </c>
      <c r="D733">
        <v>98287</v>
      </c>
      <c r="E733" t="str">
        <f t="shared" si="11"/>
        <v>ia.assorted_string like '%98287-09-2024%' or</v>
      </c>
    </row>
    <row r="734" spans="1:5" x14ac:dyDescent="0.25">
      <c r="A734" t="s">
        <v>873</v>
      </c>
      <c r="B734" t="s">
        <v>2596</v>
      </c>
      <c r="D734">
        <v>98288</v>
      </c>
      <c r="E734" t="str">
        <f t="shared" si="11"/>
        <v>ia.assorted_string like '%98288-09-2024%' or</v>
      </c>
    </row>
    <row r="735" spans="1:5" x14ac:dyDescent="0.25">
      <c r="A735" t="s">
        <v>874</v>
      </c>
      <c r="B735" t="s">
        <v>2596</v>
      </c>
      <c r="D735">
        <v>98289</v>
      </c>
      <c r="E735" t="str">
        <f t="shared" si="11"/>
        <v>ia.assorted_string like '%98289-09-2024%' or</v>
      </c>
    </row>
    <row r="736" spans="1:5" x14ac:dyDescent="0.25">
      <c r="A736" t="s">
        <v>875</v>
      </c>
      <c r="B736" t="s">
        <v>2596</v>
      </c>
      <c r="D736">
        <v>98290</v>
      </c>
      <c r="E736" t="str">
        <f t="shared" si="11"/>
        <v>ia.assorted_string like '%98290-09-2024%' or</v>
      </c>
    </row>
    <row r="737" spans="1:5" x14ac:dyDescent="0.25">
      <c r="A737" t="s">
        <v>876</v>
      </c>
      <c r="B737" t="s">
        <v>2596</v>
      </c>
      <c r="D737">
        <v>98292</v>
      </c>
      <c r="E737" t="str">
        <f t="shared" si="11"/>
        <v>ia.assorted_string like '%98292-09-2024%' or</v>
      </c>
    </row>
    <row r="738" spans="1:5" x14ac:dyDescent="0.25">
      <c r="A738" t="s">
        <v>877</v>
      </c>
      <c r="B738" t="s">
        <v>2596</v>
      </c>
      <c r="D738">
        <v>98293</v>
      </c>
      <c r="E738" t="str">
        <f t="shared" si="11"/>
        <v>ia.assorted_string like '%98293-09-2024%' or</v>
      </c>
    </row>
    <row r="739" spans="1:5" x14ac:dyDescent="0.25">
      <c r="A739" t="s">
        <v>878</v>
      </c>
      <c r="B739" t="s">
        <v>2596</v>
      </c>
      <c r="D739">
        <v>98297</v>
      </c>
      <c r="E739" t="str">
        <f t="shared" si="11"/>
        <v>ia.assorted_string like '%98297-09-2024%' or</v>
      </c>
    </row>
    <row r="740" spans="1:5" x14ac:dyDescent="0.25">
      <c r="A740" t="s">
        <v>879</v>
      </c>
      <c r="B740" t="s">
        <v>2596</v>
      </c>
      <c r="D740">
        <v>98307</v>
      </c>
      <c r="E740" t="str">
        <f t="shared" si="11"/>
        <v>ia.assorted_string like '%98307-09-2024%' or</v>
      </c>
    </row>
    <row r="741" spans="1:5" x14ac:dyDescent="0.25">
      <c r="A741" t="s">
        <v>880</v>
      </c>
      <c r="B741" t="s">
        <v>2596</v>
      </c>
      <c r="D741">
        <v>98310</v>
      </c>
      <c r="E741" t="str">
        <f t="shared" si="11"/>
        <v>ia.assorted_string like '%98310-09-2024%' or</v>
      </c>
    </row>
    <row r="742" spans="1:5" x14ac:dyDescent="0.25">
      <c r="A742" t="s">
        <v>881</v>
      </c>
      <c r="B742" t="s">
        <v>2596</v>
      </c>
      <c r="D742">
        <v>98311</v>
      </c>
      <c r="E742" t="str">
        <f t="shared" si="11"/>
        <v>ia.assorted_string like '%98311-09-2024%' or</v>
      </c>
    </row>
    <row r="743" spans="1:5" x14ac:dyDescent="0.25">
      <c r="A743" t="s">
        <v>882</v>
      </c>
      <c r="B743" t="s">
        <v>2596</v>
      </c>
      <c r="D743">
        <v>98312</v>
      </c>
      <c r="E743" t="str">
        <f t="shared" si="11"/>
        <v>ia.assorted_string like '%98312-09-2024%' or</v>
      </c>
    </row>
    <row r="744" spans="1:5" x14ac:dyDescent="0.25">
      <c r="A744" t="s">
        <v>883</v>
      </c>
      <c r="B744" t="s">
        <v>2596</v>
      </c>
      <c r="D744">
        <v>98313</v>
      </c>
      <c r="E744" t="str">
        <f t="shared" si="11"/>
        <v>ia.assorted_string like '%98313-09-2024%' or</v>
      </c>
    </row>
    <row r="745" spans="1:5" x14ac:dyDescent="0.25">
      <c r="A745" t="s">
        <v>884</v>
      </c>
      <c r="B745" t="s">
        <v>2596</v>
      </c>
      <c r="D745">
        <v>98314</v>
      </c>
      <c r="E745" t="str">
        <f t="shared" si="11"/>
        <v>ia.assorted_string like '%98314-09-2024%' or</v>
      </c>
    </row>
    <row r="746" spans="1:5" x14ac:dyDescent="0.25">
      <c r="A746" t="s">
        <v>885</v>
      </c>
      <c r="B746" t="s">
        <v>2596</v>
      </c>
      <c r="D746">
        <v>98315</v>
      </c>
      <c r="E746" t="str">
        <f t="shared" si="11"/>
        <v>ia.assorted_string like '%98315-09-2024%' or</v>
      </c>
    </row>
    <row r="747" spans="1:5" x14ac:dyDescent="0.25">
      <c r="A747" t="s">
        <v>886</v>
      </c>
      <c r="B747" t="s">
        <v>2596</v>
      </c>
      <c r="D747">
        <v>98316</v>
      </c>
      <c r="E747" t="str">
        <f t="shared" si="11"/>
        <v>ia.assorted_string like '%98316-09-2024%' or</v>
      </c>
    </row>
    <row r="748" spans="1:5" x14ac:dyDescent="0.25">
      <c r="A748" t="s">
        <v>887</v>
      </c>
      <c r="B748" t="s">
        <v>2596</v>
      </c>
      <c r="D748">
        <v>98317</v>
      </c>
      <c r="E748" t="str">
        <f t="shared" si="11"/>
        <v>ia.assorted_string like '%98317-09-2024%' or</v>
      </c>
    </row>
    <row r="749" spans="1:5" x14ac:dyDescent="0.25">
      <c r="A749" t="s">
        <v>888</v>
      </c>
      <c r="B749" t="s">
        <v>2596</v>
      </c>
      <c r="D749">
        <v>98323</v>
      </c>
      <c r="E749" t="str">
        <f t="shared" si="11"/>
        <v>ia.assorted_string like '%98323-09-2024%' or</v>
      </c>
    </row>
    <row r="750" spans="1:5" x14ac:dyDescent="0.25">
      <c r="A750" t="s">
        <v>889</v>
      </c>
      <c r="B750" t="s">
        <v>2596</v>
      </c>
      <c r="D750">
        <v>98331</v>
      </c>
      <c r="E750" t="str">
        <f t="shared" si="11"/>
        <v>ia.assorted_string like '%98331-09-2024%' or</v>
      </c>
    </row>
    <row r="751" spans="1:5" x14ac:dyDescent="0.25">
      <c r="A751" t="s">
        <v>890</v>
      </c>
      <c r="B751" t="s">
        <v>2596</v>
      </c>
      <c r="D751">
        <v>98340</v>
      </c>
      <c r="E751" t="str">
        <f t="shared" si="11"/>
        <v>ia.assorted_string like '%98340-09-2024%' or</v>
      </c>
    </row>
    <row r="752" spans="1:5" x14ac:dyDescent="0.25">
      <c r="A752" t="s">
        <v>891</v>
      </c>
      <c r="B752" t="s">
        <v>2596</v>
      </c>
      <c r="D752">
        <v>98342</v>
      </c>
      <c r="E752" t="str">
        <f t="shared" si="11"/>
        <v>ia.assorted_string like '%98342-09-2024%' or</v>
      </c>
    </row>
    <row r="753" spans="1:5" x14ac:dyDescent="0.25">
      <c r="A753" t="s">
        <v>892</v>
      </c>
      <c r="B753" t="s">
        <v>2596</v>
      </c>
      <c r="D753">
        <v>98343</v>
      </c>
      <c r="E753" t="str">
        <f t="shared" si="11"/>
        <v>ia.assorted_string like '%98343-09-2024%' or</v>
      </c>
    </row>
    <row r="754" spans="1:5" x14ac:dyDescent="0.25">
      <c r="A754" t="s">
        <v>893</v>
      </c>
      <c r="B754" t="s">
        <v>2596</v>
      </c>
      <c r="D754">
        <v>98344</v>
      </c>
      <c r="E754" t="str">
        <f t="shared" si="11"/>
        <v>ia.assorted_string like '%98344-09-2024%' or</v>
      </c>
    </row>
    <row r="755" spans="1:5" x14ac:dyDescent="0.25">
      <c r="A755" t="s">
        <v>894</v>
      </c>
      <c r="B755" t="s">
        <v>2596</v>
      </c>
      <c r="D755">
        <v>98345</v>
      </c>
      <c r="E755" t="str">
        <f t="shared" si="11"/>
        <v>ia.assorted_string like '%98345-09-2024%' or</v>
      </c>
    </row>
    <row r="756" spans="1:5" x14ac:dyDescent="0.25">
      <c r="A756" t="s">
        <v>895</v>
      </c>
      <c r="B756" t="s">
        <v>2596</v>
      </c>
      <c r="D756">
        <v>98346</v>
      </c>
      <c r="E756" t="str">
        <f t="shared" si="11"/>
        <v>ia.assorted_string like '%98346-09-2024%' or</v>
      </c>
    </row>
    <row r="757" spans="1:5" x14ac:dyDescent="0.25">
      <c r="A757" t="s">
        <v>896</v>
      </c>
      <c r="B757" t="s">
        <v>2596</v>
      </c>
      <c r="D757">
        <v>98347</v>
      </c>
      <c r="E757" t="str">
        <f t="shared" si="11"/>
        <v>ia.assorted_string like '%98347-09-2024%' or</v>
      </c>
    </row>
    <row r="758" spans="1:5" x14ac:dyDescent="0.25">
      <c r="A758" t="s">
        <v>897</v>
      </c>
      <c r="B758" t="s">
        <v>2596</v>
      </c>
      <c r="D758">
        <v>98348</v>
      </c>
      <c r="E758" t="str">
        <f t="shared" si="11"/>
        <v>ia.assorted_string like '%98348-09-2024%' or</v>
      </c>
    </row>
    <row r="759" spans="1:5" x14ac:dyDescent="0.25">
      <c r="A759" t="s">
        <v>898</v>
      </c>
      <c r="B759" t="s">
        <v>2596</v>
      </c>
      <c r="D759">
        <v>98350</v>
      </c>
      <c r="E759" t="str">
        <f t="shared" si="11"/>
        <v>ia.assorted_string like '%98350-09-2024%' or</v>
      </c>
    </row>
    <row r="760" spans="1:5" x14ac:dyDescent="0.25">
      <c r="A760" t="s">
        <v>899</v>
      </c>
      <c r="B760" t="s">
        <v>2596</v>
      </c>
      <c r="D760">
        <v>98351</v>
      </c>
      <c r="E760" t="str">
        <f t="shared" si="11"/>
        <v>ia.assorted_string like '%98351-09-2024%' or</v>
      </c>
    </row>
    <row r="761" spans="1:5" x14ac:dyDescent="0.25">
      <c r="A761" t="s">
        <v>900</v>
      </c>
      <c r="B761" t="s">
        <v>2596</v>
      </c>
      <c r="D761">
        <v>98352</v>
      </c>
      <c r="E761" t="str">
        <f t="shared" si="11"/>
        <v>ia.assorted_string like '%98352-09-2024%' or</v>
      </c>
    </row>
    <row r="762" spans="1:5" x14ac:dyDescent="0.25">
      <c r="A762" t="s">
        <v>901</v>
      </c>
      <c r="B762" t="s">
        <v>2596</v>
      </c>
      <c r="D762">
        <v>98353</v>
      </c>
      <c r="E762" t="str">
        <f t="shared" si="11"/>
        <v>ia.assorted_string like '%98353-09-2024%' or</v>
      </c>
    </row>
    <row r="763" spans="1:5" x14ac:dyDescent="0.25">
      <c r="A763" t="s">
        <v>902</v>
      </c>
      <c r="B763" t="s">
        <v>2596</v>
      </c>
      <c r="D763">
        <v>98354</v>
      </c>
      <c r="E763" t="str">
        <f t="shared" si="11"/>
        <v>ia.assorted_string like '%98354-09-2024%' or</v>
      </c>
    </row>
    <row r="764" spans="1:5" x14ac:dyDescent="0.25">
      <c r="A764" t="s">
        <v>903</v>
      </c>
      <c r="B764" t="s">
        <v>2596</v>
      </c>
      <c r="D764">
        <v>98355</v>
      </c>
      <c r="E764" t="str">
        <f t="shared" si="11"/>
        <v>ia.assorted_string like '%98355-09-2024%' or</v>
      </c>
    </row>
    <row r="765" spans="1:5" x14ac:dyDescent="0.25">
      <c r="A765" t="s">
        <v>904</v>
      </c>
      <c r="B765" t="s">
        <v>2596</v>
      </c>
      <c r="D765">
        <v>98358</v>
      </c>
      <c r="E765" t="str">
        <f t="shared" si="11"/>
        <v>ia.assorted_string like '%98358-09-2024%' or</v>
      </c>
    </row>
    <row r="766" spans="1:5" x14ac:dyDescent="0.25">
      <c r="A766" t="s">
        <v>905</v>
      </c>
      <c r="B766" t="s">
        <v>2596</v>
      </c>
      <c r="D766">
        <v>98359</v>
      </c>
      <c r="E766" t="str">
        <f t="shared" si="11"/>
        <v>ia.assorted_string like '%98359-09-2024%' or</v>
      </c>
    </row>
    <row r="767" spans="1:5" x14ac:dyDescent="0.25">
      <c r="A767" t="s">
        <v>906</v>
      </c>
      <c r="B767" t="s">
        <v>2596</v>
      </c>
      <c r="D767">
        <v>98360</v>
      </c>
      <c r="E767" t="str">
        <f t="shared" si="11"/>
        <v>ia.assorted_string like '%98360-09-2024%' or</v>
      </c>
    </row>
    <row r="768" spans="1:5" x14ac:dyDescent="0.25">
      <c r="A768" t="s">
        <v>907</v>
      </c>
      <c r="B768" t="s">
        <v>2596</v>
      </c>
      <c r="D768">
        <v>98361</v>
      </c>
      <c r="E768" t="str">
        <f t="shared" si="11"/>
        <v>ia.assorted_string like '%98361-09-2024%' or</v>
      </c>
    </row>
    <row r="769" spans="1:5" x14ac:dyDescent="0.25">
      <c r="A769" t="s">
        <v>908</v>
      </c>
      <c r="B769" t="s">
        <v>2596</v>
      </c>
      <c r="D769">
        <v>98364</v>
      </c>
      <c r="E769" t="str">
        <f t="shared" si="11"/>
        <v>ia.assorted_string like '%98364-09-2024%' or</v>
      </c>
    </row>
    <row r="770" spans="1:5" x14ac:dyDescent="0.25">
      <c r="A770" t="s">
        <v>909</v>
      </c>
      <c r="B770" t="s">
        <v>2596</v>
      </c>
      <c r="D770">
        <v>98365</v>
      </c>
      <c r="E770" t="str">
        <f t="shared" ref="E770:E833" si="12">"ia.assorted_string like '%"&amp;D770&amp;B770&amp;"%' or"</f>
        <v>ia.assorted_string like '%98365-09-2024%' or</v>
      </c>
    </row>
    <row r="771" spans="1:5" x14ac:dyDescent="0.25">
      <c r="A771" t="s">
        <v>910</v>
      </c>
      <c r="B771" t="s">
        <v>2596</v>
      </c>
      <c r="D771">
        <v>98366</v>
      </c>
      <c r="E771" t="str">
        <f t="shared" si="12"/>
        <v>ia.assorted_string like '%98366-09-2024%' or</v>
      </c>
    </row>
    <row r="772" spans="1:5" x14ac:dyDescent="0.25">
      <c r="A772" t="s">
        <v>911</v>
      </c>
      <c r="B772" t="s">
        <v>2596</v>
      </c>
      <c r="D772">
        <v>98367</v>
      </c>
      <c r="E772" t="str">
        <f t="shared" si="12"/>
        <v>ia.assorted_string like '%98367-09-2024%' or</v>
      </c>
    </row>
    <row r="773" spans="1:5" x14ac:dyDescent="0.25">
      <c r="A773" t="s">
        <v>912</v>
      </c>
      <c r="B773" t="s">
        <v>2596</v>
      </c>
      <c r="D773">
        <v>98368</v>
      </c>
      <c r="E773" t="str">
        <f t="shared" si="12"/>
        <v>ia.assorted_string like '%98368-09-2024%' or</v>
      </c>
    </row>
    <row r="774" spans="1:5" x14ac:dyDescent="0.25">
      <c r="A774" t="s">
        <v>913</v>
      </c>
      <c r="B774" t="s">
        <v>2596</v>
      </c>
      <c r="D774">
        <v>98369</v>
      </c>
      <c r="E774" t="str">
        <f t="shared" si="12"/>
        <v>ia.assorted_string like '%98369-09-2024%' or</v>
      </c>
    </row>
    <row r="775" spans="1:5" x14ac:dyDescent="0.25">
      <c r="A775" t="s">
        <v>914</v>
      </c>
      <c r="B775" t="s">
        <v>2596</v>
      </c>
      <c r="D775">
        <v>98370</v>
      </c>
      <c r="E775" t="str">
        <f t="shared" si="12"/>
        <v>ia.assorted_string like '%98370-09-2024%' or</v>
      </c>
    </row>
    <row r="776" spans="1:5" x14ac:dyDescent="0.25">
      <c r="A776" t="s">
        <v>915</v>
      </c>
      <c r="B776" t="s">
        <v>2596</v>
      </c>
      <c r="D776">
        <v>98373</v>
      </c>
      <c r="E776" t="str">
        <f t="shared" si="12"/>
        <v>ia.assorted_string like '%98373-09-2024%' or</v>
      </c>
    </row>
    <row r="777" spans="1:5" x14ac:dyDescent="0.25">
      <c r="A777" t="s">
        <v>916</v>
      </c>
      <c r="B777" t="s">
        <v>2596</v>
      </c>
      <c r="D777">
        <v>98375</v>
      </c>
      <c r="E777" t="str">
        <f t="shared" si="12"/>
        <v>ia.assorted_string like '%98375-09-2024%' or</v>
      </c>
    </row>
    <row r="778" spans="1:5" x14ac:dyDescent="0.25">
      <c r="A778" t="s">
        <v>917</v>
      </c>
      <c r="B778" t="s">
        <v>2596</v>
      </c>
      <c r="D778">
        <v>98376</v>
      </c>
      <c r="E778" t="str">
        <f t="shared" si="12"/>
        <v>ia.assorted_string like '%98376-09-2024%' or</v>
      </c>
    </row>
    <row r="779" spans="1:5" x14ac:dyDescent="0.25">
      <c r="A779" t="s">
        <v>918</v>
      </c>
      <c r="B779" t="s">
        <v>2596</v>
      </c>
      <c r="D779">
        <v>98378</v>
      </c>
      <c r="E779" t="str">
        <f t="shared" si="12"/>
        <v>ia.assorted_string like '%98378-09-2024%' or</v>
      </c>
    </row>
    <row r="780" spans="1:5" x14ac:dyDescent="0.25">
      <c r="A780" t="s">
        <v>919</v>
      </c>
      <c r="B780" t="s">
        <v>2596</v>
      </c>
      <c r="D780">
        <v>98379</v>
      </c>
      <c r="E780" t="str">
        <f t="shared" si="12"/>
        <v>ia.assorted_string like '%98379-09-2024%' or</v>
      </c>
    </row>
    <row r="781" spans="1:5" x14ac:dyDescent="0.25">
      <c r="A781" t="s">
        <v>920</v>
      </c>
      <c r="B781" t="s">
        <v>2596</v>
      </c>
      <c r="D781">
        <v>98380</v>
      </c>
      <c r="E781" t="str">
        <f t="shared" si="12"/>
        <v>ia.assorted_string like '%98380-09-2024%' or</v>
      </c>
    </row>
    <row r="782" spans="1:5" x14ac:dyDescent="0.25">
      <c r="A782" t="s">
        <v>921</v>
      </c>
      <c r="B782" t="s">
        <v>2596</v>
      </c>
      <c r="D782">
        <v>98381</v>
      </c>
      <c r="E782" t="str">
        <f t="shared" si="12"/>
        <v>ia.assorted_string like '%98381-09-2024%' or</v>
      </c>
    </row>
    <row r="783" spans="1:5" x14ac:dyDescent="0.25">
      <c r="A783" t="s">
        <v>922</v>
      </c>
      <c r="B783" t="s">
        <v>2596</v>
      </c>
      <c r="D783">
        <v>98383</v>
      </c>
      <c r="E783" t="str">
        <f t="shared" si="12"/>
        <v>ia.assorted_string like '%98383-09-2024%' or</v>
      </c>
    </row>
    <row r="784" spans="1:5" x14ac:dyDescent="0.25">
      <c r="A784" t="s">
        <v>923</v>
      </c>
      <c r="B784" t="s">
        <v>2596</v>
      </c>
      <c r="D784">
        <v>98384</v>
      </c>
      <c r="E784" t="str">
        <f t="shared" si="12"/>
        <v>ia.assorted_string like '%98384-09-2024%' or</v>
      </c>
    </row>
    <row r="785" spans="1:5" x14ac:dyDescent="0.25">
      <c r="A785" t="s">
        <v>924</v>
      </c>
      <c r="B785" t="s">
        <v>2596</v>
      </c>
      <c r="D785">
        <v>98385</v>
      </c>
      <c r="E785" t="str">
        <f t="shared" si="12"/>
        <v>ia.assorted_string like '%98385-09-2024%' or</v>
      </c>
    </row>
    <row r="786" spans="1:5" x14ac:dyDescent="0.25">
      <c r="A786" t="s">
        <v>925</v>
      </c>
      <c r="B786" t="s">
        <v>2596</v>
      </c>
      <c r="D786">
        <v>98386</v>
      </c>
      <c r="E786" t="str">
        <f t="shared" si="12"/>
        <v>ia.assorted_string like '%98386-09-2024%' or</v>
      </c>
    </row>
    <row r="787" spans="1:5" x14ac:dyDescent="0.25">
      <c r="A787" t="s">
        <v>926</v>
      </c>
      <c r="B787" t="s">
        <v>2596</v>
      </c>
      <c r="D787">
        <v>98387</v>
      </c>
      <c r="E787" t="str">
        <f t="shared" si="12"/>
        <v>ia.assorted_string like '%98387-09-2024%' or</v>
      </c>
    </row>
    <row r="788" spans="1:5" x14ac:dyDescent="0.25">
      <c r="A788" t="s">
        <v>927</v>
      </c>
      <c r="B788" t="s">
        <v>2596</v>
      </c>
      <c r="D788">
        <v>98389</v>
      </c>
      <c r="E788" t="str">
        <f t="shared" si="12"/>
        <v>ia.assorted_string like '%98389-09-2024%' or</v>
      </c>
    </row>
    <row r="789" spans="1:5" x14ac:dyDescent="0.25">
      <c r="A789" t="s">
        <v>928</v>
      </c>
      <c r="B789" t="s">
        <v>2596</v>
      </c>
      <c r="D789">
        <v>98395</v>
      </c>
      <c r="E789" t="str">
        <f t="shared" si="12"/>
        <v>ia.assorted_string like '%98395-09-2024%' or</v>
      </c>
    </row>
    <row r="790" spans="1:5" x14ac:dyDescent="0.25">
      <c r="A790" t="s">
        <v>929</v>
      </c>
      <c r="B790" t="s">
        <v>2596</v>
      </c>
      <c r="D790">
        <v>98396</v>
      </c>
      <c r="E790" t="str">
        <f t="shared" si="12"/>
        <v>ia.assorted_string like '%98396-09-2024%' or</v>
      </c>
    </row>
    <row r="791" spans="1:5" x14ac:dyDescent="0.25">
      <c r="A791" t="s">
        <v>930</v>
      </c>
      <c r="B791" t="s">
        <v>2596</v>
      </c>
      <c r="D791">
        <v>98401</v>
      </c>
      <c r="E791" t="str">
        <f t="shared" si="12"/>
        <v>ia.assorted_string like '%98401-09-2024%' or</v>
      </c>
    </row>
    <row r="792" spans="1:5" x14ac:dyDescent="0.25">
      <c r="A792" t="s">
        <v>931</v>
      </c>
      <c r="B792" t="s">
        <v>2596</v>
      </c>
      <c r="D792">
        <v>98410</v>
      </c>
      <c r="E792" t="str">
        <f t="shared" si="12"/>
        <v>ia.assorted_string like '%98410-09-2024%' or</v>
      </c>
    </row>
    <row r="793" spans="1:5" x14ac:dyDescent="0.25">
      <c r="A793" t="s">
        <v>932</v>
      </c>
      <c r="B793" t="s">
        <v>2596</v>
      </c>
      <c r="D793">
        <v>98411</v>
      </c>
      <c r="E793" t="str">
        <f t="shared" si="12"/>
        <v>ia.assorted_string like '%98411-09-2024%' or</v>
      </c>
    </row>
    <row r="794" spans="1:5" x14ac:dyDescent="0.25">
      <c r="A794" t="s">
        <v>933</v>
      </c>
      <c r="B794" t="s">
        <v>2596</v>
      </c>
      <c r="D794">
        <v>98412</v>
      </c>
      <c r="E794" t="str">
        <f t="shared" si="12"/>
        <v>ia.assorted_string like '%98412-09-2024%' or</v>
      </c>
    </row>
    <row r="795" spans="1:5" x14ac:dyDescent="0.25">
      <c r="A795" t="s">
        <v>934</v>
      </c>
      <c r="B795" t="s">
        <v>2596</v>
      </c>
      <c r="D795">
        <v>98413</v>
      </c>
      <c r="E795" t="str">
        <f t="shared" si="12"/>
        <v>ia.assorted_string like '%98413-09-2024%' or</v>
      </c>
    </row>
    <row r="796" spans="1:5" x14ac:dyDescent="0.25">
      <c r="A796" t="s">
        <v>935</v>
      </c>
      <c r="B796" t="s">
        <v>2596</v>
      </c>
      <c r="D796">
        <v>98414</v>
      </c>
      <c r="E796" t="str">
        <f t="shared" si="12"/>
        <v>ia.assorted_string like '%98414-09-2024%' or</v>
      </c>
    </row>
    <row r="797" spans="1:5" x14ac:dyDescent="0.25">
      <c r="A797" t="s">
        <v>936</v>
      </c>
      <c r="B797" t="s">
        <v>2596</v>
      </c>
      <c r="D797">
        <v>98415</v>
      </c>
      <c r="E797" t="str">
        <f t="shared" si="12"/>
        <v>ia.assorted_string like '%98415-09-2024%' or</v>
      </c>
    </row>
    <row r="798" spans="1:5" x14ac:dyDescent="0.25">
      <c r="A798" t="s">
        <v>937</v>
      </c>
      <c r="B798" t="s">
        <v>2596</v>
      </c>
      <c r="D798">
        <v>98416</v>
      </c>
      <c r="E798" t="str">
        <f t="shared" si="12"/>
        <v>ia.assorted_string like '%98416-09-2024%' or</v>
      </c>
    </row>
    <row r="799" spans="1:5" x14ac:dyDescent="0.25">
      <c r="A799" t="s">
        <v>938</v>
      </c>
      <c r="B799" t="s">
        <v>2596</v>
      </c>
      <c r="D799">
        <v>98418</v>
      </c>
      <c r="E799" t="str">
        <f t="shared" si="12"/>
        <v>ia.assorted_string like '%98418-09-2024%' or</v>
      </c>
    </row>
    <row r="800" spans="1:5" x14ac:dyDescent="0.25">
      <c r="A800" t="s">
        <v>939</v>
      </c>
      <c r="B800" t="s">
        <v>2596</v>
      </c>
      <c r="D800">
        <v>98419</v>
      </c>
      <c r="E800" t="str">
        <f t="shared" si="12"/>
        <v>ia.assorted_string like '%98419-09-2024%' or</v>
      </c>
    </row>
    <row r="801" spans="1:5" x14ac:dyDescent="0.25">
      <c r="A801" t="s">
        <v>940</v>
      </c>
      <c r="B801" t="s">
        <v>2596</v>
      </c>
      <c r="D801">
        <v>98420</v>
      </c>
      <c r="E801" t="str">
        <f t="shared" si="12"/>
        <v>ia.assorted_string like '%98420-09-2024%' or</v>
      </c>
    </row>
    <row r="802" spans="1:5" x14ac:dyDescent="0.25">
      <c r="A802" t="s">
        <v>941</v>
      </c>
      <c r="B802" t="s">
        <v>2596</v>
      </c>
      <c r="D802">
        <v>98422</v>
      </c>
      <c r="E802" t="str">
        <f t="shared" si="12"/>
        <v>ia.assorted_string like '%98422-09-2024%' or</v>
      </c>
    </row>
    <row r="803" spans="1:5" x14ac:dyDescent="0.25">
      <c r="A803" t="s">
        <v>942</v>
      </c>
      <c r="B803" t="s">
        <v>2596</v>
      </c>
      <c r="D803">
        <v>98423</v>
      </c>
      <c r="E803" t="str">
        <f t="shared" si="12"/>
        <v>ia.assorted_string like '%98423-09-2024%' or</v>
      </c>
    </row>
    <row r="804" spans="1:5" x14ac:dyDescent="0.25">
      <c r="A804" t="s">
        <v>943</v>
      </c>
      <c r="B804" t="s">
        <v>2596</v>
      </c>
      <c r="D804">
        <v>98424</v>
      </c>
      <c r="E804" t="str">
        <f t="shared" si="12"/>
        <v>ia.assorted_string like '%98424-09-2024%' or</v>
      </c>
    </row>
    <row r="805" spans="1:5" x14ac:dyDescent="0.25">
      <c r="A805" t="s">
        <v>944</v>
      </c>
      <c r="B805" t="s">
        <v>2596</v>
      </c>
      <c r="D805">
        <v>98425</v>
      </c>
      <c r="E805" t="str">
        <f t="shared" si="12"/>
        <v>ia.assorted_string like '%98425-09-2024%' or</v>
      </c>
    </row>
    <row r="806" spans="1:5" x14ac:dyDescent="0.25">
      <c r="A806" t="s">
        <v>945</v>
      </c>
      <c r="B806" t="s">
        <v>2596</v>
      </c>
      <c r="D806">
        <v>98427</v>
      </c>
      <c r="E806" t="str">
        <f t="shared" si="12"/>
        <v>ia.assorted_string like '%98427-09-2024%' or</v>
      </c>
    </row>
    <row r="807" spans="1:5" x14ac:dyDescent="0.25">
      <c r="A807" t="s">
        <v>946</v>
      </c>
      <c r="B807" t="s">
        <v>2596</v>
      </c>
      <c r="D807">
        <v>98428</v>
      </c>
      <c r="E807" t="str">
        <f t="shared" si="12"/>
        <v>ia.assorted_string like '%98428-09-2024%' or</v>
      </c>
    </row>
    <row r="808" spans="1:5" x14ac:dyDescent="0.25">
      <c r="A808" t="s">
        <v>947</v>
      </c>
      <c r="B808" t="s">
        <v>2596</v>
      </c>
      <c r="D808">
        <v>98429</v>
      </c>
      <c r="E808" t="str">
        <f t="shared" si="12"/>
        <v>ia.assorted_string like '%98429-09-2024%' or</v>
      </c>
    </row>
    <row r="809" spans="1:5" x14ac:dyDescent="0.25">
      <c r="A809" t="s">
        <v>948</v>
      </c>
      <c r="B809" t="s">
        <v>2596</v>
      </c>
      <c r="D809">
        <v>98430</v>
      </c>
      <c r="E809" t="str">
        <f t="shared" si="12"/>
        <v>ia.assorted_string like '%98430-09-2024%' or</v>
      </c>
    </row>
    <row r="810" spans="1:5" x14ac:dyDescent="0.25">
      <c r="A810" t="s">
        <v>949</v>
      </c>
      <c r="B810" t="s">
        <v>2596</v>
      </c>
      <c r="D810">
        <v>98431</v>
      </c>
      <c r="E810" t="str">
        <f t="shared" si="12"/>
        <v>ia.assorted_string like '%98431-09-2024%' or</v>
      </c>
    </row>
    <row r="811" spans="1:5" x14ac:dyDescent="0.25">
      <c r="A811" t="s">
        <v>950</v>
      </c>
      <c r="B811" t="s">
        <v>2596</v>
      </c>
      <c r="D811">
        <v>98432</v>
      </c>
      <c r="E811" t="str">
        <f t="shared" si="12"/>
        <v>ia.assorted_string like '%98432-09-2024%' or</v>
      </c>
    </row>
    <row r="812" spans="1:5" x14ac:dyDescent="0.25">
      <c r="A812" t="s">
        <v>951</v>
      </c>
      <c r="B812" t="s">
        <v>2596</v>
      </c>
      <c r="D812">
        <v>98433</v>
      </c>
      <c r="E812" t="str">
        <f t="shared" si="12"/>
        <v>ia.assorted_string like '%98433-09-2024%' or</v>
      </c>
    </row>
    <row r="813" spans="1:5" x14ac:dyDescent="0.25">
      <c r="A813" t="s">
        <v>952</v>
      </c>
      <c r="B813" t="s">
        <v>2596</v>
      </c>
      <c r="D813">
        <v>98434</v>
      </c>
      <c r="E813" t="str">
        <f t="shared" si="12"/>
        <v>ia.assorted_string like '%98434-09-2024%' or</v>
      </c>
    </row>
    <row r="814" spans="1:5" x14ac:dyDescent="0.25">
      <c r="A814" t="s">
        <v>953</v>
      </c>
      <c r="B814" t="s">
        <v>2596</v>
      </c>
      <c r="D814">
        <v>98435</v>
      </c>
      <c r="E814" t="str">
        <f t="shared" si="12"/>
        <v>ia.assorted_string like '%98435-09-2024%' or</v>
      </c>
    </row>
    <row r="815" spans="1:5" x14ac:dyDescent="0.25">
      <c r="A815" t="s">
        <v>954</v>
      </c>
      <c r="B815" t="s">
        <v>2596</v>
      </c>
      <c r="D815">
        <v>98436</v>
      </c>
      <c r="E815" t="str">
        <f t="shared" si="12"/>
        <v>ia.assorted_string like '%98436-09-2024%' or</v>
      </c>
    </row>
    <row r="816" spans="1:5" x14ac:dyDescent="0.25">
      <c r="A816" t="s">
        <v>955</v>
      </c>
      <c r="B816" t="s">
        <v>2596</v>
      </c>
      <c r="D816">
        <v>98437</v>
      </c>
      <c r="E816" t="str">
        <f t="shared" si="12"/>
        <v>ia.assorted_string like '%98437-09-2024%' or</v>
      </c>
    </row>
    <row r="817" spans="1:5" x14ac:dyDescent="0.25">
      <c r="A817" t="s">
        <v>956</v>
      </c>
      <c r="B817" t="s">
        <v>2596</v>
      </c>
      <c r="D817">
        <v>98438</v>
      </c>
      <c r="E817" t="str">
        <f t="shared" si="12"/>
        <v>ia.assorted_string like '%98438-09-2024%' or</v>
      </c>
    </row>
    <row r="818" spans="1:5" x14ac:dyDescent="0.25">
      <c r="A818" t="s">
        <v>957</v>
      </c>
      <c r="B818" t="s">
        <v>2596</v>
      </c>
      <c r="D818">
        <v>98439</v>
      </c>
      <c r="E818" t="str">
        <f t="shared" si="12"/>
        <v>ia.assorted_string like '%98439-09-2024%' or</v>
      </c>
    </row>
    <row r="819" spans="1:5" x14ac:dyDescent="0.25">
      <c r="A819" t="s">
        <v>958</v>
      </c>
      <c r="B819" t="s">
        <v>2596</v>
      </c>
      <c r="D819">
        <v>98440</v>
      </c>
      <c r="E819" t="str">
        <f t="shared" si="12"/>
        <v>ia.assorted_string like '%98440-09-2024%' or</v>
      </c>
    </row>
    <row r="820" spans="1:5" x14ac:dyDescent="0.25">
      <c r="A820" t="s">
        <v>959</v>
      </c>
      <c r="B820" t="s">
        <v>2596</v>
      </c>
      <c r="D820">
        <v>98441</v>
      </c>
      <c r="E820" t="str">
        <f t="shared" si="12"/>
        <v>ia.assorted_string like '%98441-09-2024%' or</v>
      </c>
    </row>
    <row r="821" spans="1:5" x14ac:dyDescent="0.25">
      <c r="A821" t="s">
        <v>960</v>
      </c>
      <c r="B821" t="s">
        <v>2596</v>
      </c>
      <c r="D821">
        <v>98442</v>
      </c>
      <c r="E821" t="str">
        <f t="shared" si="12"/>
        <v>ia.assorted_string like '%98442-09-2024%' or</v>
      </c>
    </row>
    <row r="822" spans="1:5" x14ac:dyDescent="0.25">
      <c r="A822" t="s">
        <v>961</v>
      </c>
      <c r="B822" t="s">
        <v>2596</v>
      </c>
      <c r="D822">
        <v>98443</v>
      </c>
      <c r="E822" t="str">
        <f t="shared" si="12"/>
        <v>ia.assorted_string like '%98443-09-2024%' or</v>
      </c>
    </row>
    <row r="823" spans="1:5" x14ac:dyDescent="0.25">
      <c r="A823" t="s">
        <v>962</v>
      </c>
      <c r="B823" t="s">
        <v>2596</v>
      </c>
      <c r="D823">
        <v>98444</v>
      </c>
      <c r="E823" t="str">
        <f t="shared" si="12"/>
        <v>ia.assorted_string like '%98444-09-2024%' or</v>
      </c>
    </row>
    <row r="824" spans="1:5" x14ac:dyDescent="0.25">
      <c r="A824" t="s">
        <v>963</v>
      </c>
      <c r="B824" t="s">
        <v>2596</v>
      </c>
      <c r="D824">
        <v>98445</v>
      </c>
      <c r="E824" t="str">
        <f t="shared" si="12"/>
        <v>ia.assorted_string like '%98445-09-2024%' or</v>
      </c>
    </row>
    <row r="825" spans="1:5" x14ac:dyDescent="0.25">
      <c r="A825" t="s">
        <v>964</v>
      </c>
      <c r="B825" t="s">
        <v>2596</v>
      </c>
      <c r="D825">
        <v>98446</v>
      </c>
      <c r="E825" t="str">
        <f t="shared" si="12"/>
        <v>ia.assorted_string like '%98446-09-2024%' or</v>
      </c>
    </row>
    <row r="826" spans="1:5" x14ac:dyDescent="0.25">
      <c r="A826" t="s">
        <v>965</v>
      </c>
      <c r="B826" t="s">
        <v>2596</v>
      </c>
      <c r="D826">
        <v>98447</v>
      </c>
      <c r="E826" t="str">
        <f t="shared" si="12"/>
        <v>ia.assorted_string like '%98447-09-2024%' or</v>
      </c>
    </row>
    <row r="827" spans="1:5" x14ac:dyDescent="0.25">
      <c r="A827" t="s">
        <v>966</v>
      </c>
      <c r="B827" t="s">
        <v>2596</v>
      </c>
      <c r="D827">
        <v>98448</v>
      </c>
      <c r="E827" t="str">
        <f t="shared" si="12"/>
        <v>ia.assorted_string like '%98448-09-2024%' or</v>
      </c>
    </row>
    <row r="828" spans="1:5" x14ac:dyDescent="0.25">
      <c r="A828" t="s">
        <v>967</v>
      </c>
      <c r="B828" t="s">
        <v>2596</v>
      </c>
      <c r="D828">
        <v>98449</v>
      </c>
      <c r="E828" t="str">
        <f t="shared" si="12"/>
        <v>ia.assorted_string like '%98449-09-2024%' or</v>
      </c>
    </row>
    <row r="829" spans="1:5" x14ac:dyDescent="0.25">
      <c r="A829" t="s">
        <v>968</v>
      </c>
      <c r="B829" t="s">
        <v>2596</v>
      </c>
      <c r="D829">
        <v>98450</v>
      </c>
      <c r="E829" t="str">
        <f t="shared" si="12"/>
        <v>ia.assorted_string like '%98450-09-2024%' or</v>
      </c>
    </row>
    <row r="830" spans="1:5" x14ac:dyDescent="0.25">
      <c r="A830" t="s">
        <v>969</v>
      </c>
      <c r="B830" t="s">
        <v>2596</v>
      </c>
      <c r="D830">
        <v>98451</v>
      </c>
      <c r="E830" t="str">
        <f t="shared" si="12"/>
        <v>ia.assorted_string like '%98451-09-2024%' or</v>
      </c>
    </row>
    <row r="831" spans="1:5" x14ac:dyDescent="0.25">
      <c r="A831" t="s">
        <v>970</v>
      </c>
      <c r="B831" t="s">
        <v>2596</v>
      </c>
      <c r="D831">
        <v>98452</v>
      </c>
      <c r="E831" t="str">
        <f t="shared" si="12"/>
        <v>ia.assorted_string like '%98452-09-2024%' or</v>
      </c>
    </row>
    <row r="832" spans="1:5" x14ac:dyDescent="0.25">
      <c r="A832" t="s">
        <v>971</v>
      </c>
      <c r="B832" t="s">
        <v>2596</v>
      </c>
      <c r="D832">
        <v>98473</v>
      </c>
      <c r="E832" t="str">
        <f t="shared" si="12"/>
        <v>ia.assorted_string like '%98473-09-2024%' or</v>
      </c>
    </row>
    <row r="833" spans="1:5" x14ac:dyDescent="0.25">
      <c r="A833" t="s">
        <v>972</v>
      </c>
      <c r="B833" t="s">
        <v>2596</v>
      </c>
      <c r="D833">
        <v>98474</v>
      </c>
      <c r="E833" t="str">
        <f t="shared" si="12"/>
        <v>ia.assorted_string like '%98474-09-2024%' or</v>
      </c>
    </row>
    <row r="834" spans="1:5" x14ac:dyDescent="0.25">
      <c r="A834" t="s">
        <v>973</v>
      </c>
      <c r="B834" t="s">
        <v>2596</v>
      </c>
      <c r="D834">
        <v>98485</v>
      </c>
      <c r="E834" t="str">
        <f t="shared" ref="E834:E897" si="13">"ia.assorted_string like '%"&amp;D834&amp;B834&amp;"%' or"</f>
        <v>ia.assorted_string like '%98485-09-2024%' or</v>
      </c>
    </row>
    <row r="835" spans="1:5" x14ac:dyDescent="0.25">
      <c r="A835" t="s">
        <v>974</v>
      </c>
      <c r="B835" t="s">
        <v>2596</v>
      </c>
      <c r="D835">
        <v>98486</v>
      </c>
      <c r="E835" t="str">
        <f t="shared" si="13"/>
        <v>ia.assorted_string like '%98486-09-2024%' or</v>
      </c>
    </row>
    <row r="836" spans="1:5" x14ac:dyDescent="0.25">
      <c r="A836" t="s">
        <v>975</v>
      </c>
      <c r="B836" t="s">
        <v>2596</v>
      </c>
      <c r="D836">
        <v>98487</v>
      </c>
      <c r="E836" t="str">
        <f t="shared" si="13"/>
        <v>ia.assorted_string like '%98487-09-2024%' or</v>
      </c>
    </row>
    <row r="837" spans="1:5" x14ac:dyDescent="0.25">
      <c r="A837" t="s">
        <v>976</v>
      </c>
      <c r="B837" t="s">
        <v>2596</v>
      </c>
      <c r="D837">
        <v>98488</v>
      </c>
      <c r="E837" t="str">
        <f t="shared" si="13"/>
        <v>ia.assorted_string like '%98488-09-2024%' or</v>
      </c>
    </row>
    <row r="838" spans="1:5" x14ac:dyDescent="0.25">
      <c r="A838" t="s">
        <v>977</v>
      </c>
      <c r="B838" t="s">
        <v>2596</v>
      </c>
      <c r="D838">
        <v>98489</v>
      </c>
      <c r="E838" t="str">
        <f t="shared" si="13"/>
        <v>ia.assorted_string like '%98489-09-2024%' or</v>
      </c>
    </row>
    <row r="839" spans="1:5" x14ac:dyDescent="0.25">
      <c r="A839" t="s">
        <v>978</v>
      </c>
      <c r="B839" t="s">
        <v>2596</v>
      </c>
      <c r="D839">
        <v>98490</v>
      </c>
      <c r="E839" t="str">
        <f t="shared" si="13"/>
        <v>ia.assorted_string like '%98490-09-2024%' or</v>
      </c>
    </row>
    <row r="840" spans="1:5" x14ac:dyDescent="0.25">
      <c r="A840" t="s">
        <v>979</v>
      </c>
      <c r="B840" t="s">
        <v>2596</v>
      </c>
      <c r="D840">
        <v>98491</v>
      </c>
      <c r="E840" t="str">
        <f t="shared" si="13"/>
        <v>ia.assorted_string like '%98491-09-2024%' or</v>
      </c>
    </row>
    <row r="841" spans="1:5" x14ac:dyDescent="0.25">
      <c r="A841" t="s">
        <v>980</v>
      </c>
      <c r="B841" t="s">
        <v>2596</v>
      </c>
      <c r="D841">
        <v>98492</v>
      </c>
      <c r="E841" t="str">
        <f t="shared" si="13"/>
        <v>ia.assorted_string like '%98492-09-2024%' or</v>
      </c>
    </row>
    <row r="842" spans="1:5" x14ac:dyDescent="0.25">
      <c r="A842" t="s">
        <v>981</v>
      </c>
      <c r="B842" t="s">
        <v>2596</v>
      </c>
      <c r="D842">
        <v>98493</v>
      </c>
      <c r="E842" t="str">
        <f t="shared" si="13"/>
        <v>ia.assorted_string like '%98493-09-2024%' or</v>
      </c>
    </row>
    <row r="843" spans="1:5" x14ac:dyDescent="0.25">
      <c r="A843" t="s">
        <v>982</v>
      </c>
      <c r="B843" t="s">
        <v>2596</v>
      </c>
      <c r="D843">
        <v>98494</v>
      </c>
      <c r="E843" t="str">
        <f t="shared" si="13"/>
        <v>ia.assorted_string like '%98494-09-2024%' or</v>
      </c>
    </row>
    <row r="844" spans="1:5" x14ac:dyDescent="0.25">
      <c r="A844" t="s">
        <v>983</v>
      </c>
      <c r="B844" t="s">
        <v>2596</v>
      </c>
      <c r="D844">
        <v>98495</v>
      </c>
      <c r="E844" t="str">
        <f t="shared" si="13"/>
        <v>ia.assorted_string like '%98495-09-2024%' or</v>
      </c>
    </row>
    <row r="845" spans="1:5" x14ac:dyDescent="0.25">
      <c r="A845" t="s">
        <v>984</v>
      </c>
      <c r="B845" t="s">
        <v>2596</v>
      </c>
      <c r="D845">
        <v>98496</v>
      </c>
      <c r="E845" t="str">
        <f t="shared" si="13"/>
        <v>ia.assorted_string like '%98496-09-2024%' or</v>
      </c>
    </row>
    <row r="846" spans="1:5" x14ac:dyDescent="0.25">
      <c r="A846" t="s">
        <v>985</v>
      </c>
      <c r="B846" t="s">
        <v>2596</v>
      </c>
      <c r="D846">
        <v>98497</v>
      </c>
      <c r="E846" t="str">
        <f t="shared" si="13"/>
        <v>ia.assorted_string like '%98497-09-2024%' or</v>
      </c>
    </row>
    <row r="847" spans="1:5" x14ac:dyDescent="0.25">
      <c r="A847" t="s">
        <v>986</v>
      </c>
      <c r="B847" t="s">
        <v>2596</v>
      </c>
      <c r="D847">
        <v>98498</v>
      </c>
      <c r="E847" t="str">
        <f t="shared" si="13"/>
        <v>ia.assorted_string like '%98498-09-2024%' or</v>
      </c>
    </row>
    <row r="848" spans="1:5" x14ac:dyDescent="0.25">
      <c r="A848" t="s">
        <v>987</v>
      </c>
      <c r="B848" t="s">
        <v>2596</v>
      </c>
      <c r="D848">
        <v>98499</v>
      </c>
      <c r="E848" t="str">
        <f t="shared" si="13"/>
        <v>ia.assorted_string like '%98499-09-2024%' or</v>
      </c>
    </row>
    <row r="849" spans="1:5" x14ac:dyDescent="0.25">
      <c r="A849" t="s">
        <v>988</v>
      </c>
      <c r="B849" t="s">
        <v>2596</v>
      </c>
      <c r="D849">
        <v>98500</v>
      </c>
      <c r="E849" t="str">
        <f t="shared" si="13"/>
        <v>ia.assorted_string like '%98500-09-2024%' or</v>
      </c>
    </row>
    <row r="850" spans="1:5" x14ac:dyDescent="0.25">
      <c r="A850" t="s">
        <v>989</v>
      </c>
      <c r="B850" t="s">
        <v>2596</v>
      </c>
      <c r="D850">
        <v>98501</v>
      </c>
      <c r="E850" t="str">
        <f t="shared" si="13"/>
        <v>ia.assorted_string like '%98501-09-2024%' or</v>
      </c>
    </row>
    <row r="851" spans="1:5" x14ac:dyDescent="0.25">
      <c r="A851" t="s">
        <v>990</v>
      </c>
      <c r="B851" t="s">
        <v>2596</v>
      </c>
      <c r="D851">
        <v>98502</v>
      </c>
      <c r="E851" t="str">
        <f t="shared" si="13"/>
        <v>ia.assorted_string like '%98502-09-2024%' or</v>
      </c>
    </row>
    <row r="852" spans="1:5" x14ac:dyDescent="0.25">
      <c r="A852" t="s">
        <v>991</v>
      </c>
      <c r="B852" t="s">
        <v>2596</v>
      </c>
      <c r="D852">
        <v>98505</v>
      </c>
      <c r="E852" t="str">
        <f t="shared" si="13"/>
        <v>ia.assorted_string like '%98505-09-2024%' or</v>
      </c>
    </row>
    <row r="853" spans="1:5" x14ac:dyDescent="0.25">
      <c r="A853" t="s">
        <v>992</v>
      </c>
      <c r="B853" t="s">
        <v>2596</v>
      </c>
      <c r="D853">
        <v>98506</v>
      </c>
      <c r="E853" t="str">
        <f t="shared" si="13"/>
        <v>ia.assorted_string like '%98506-09-2024%' or</v>
      </c>
    </row>
    <row r="854" spans="1:5" x14ac:dyDescent="0.25">
      <c r="A854" t="s">
        <v>993</v>
      </c>
      <c r="B854" t="s">
        <v>2596</v>
      </c>
      <c r="D854">
        <v>98508</v>
      </c>
      <c r="E854" t="str">
        <f t="shared" si="13"/>
        <v>ia.assorted_string like '%98508-09-2024%' or</v>
      </c>
    </row>
    <row r="855" spans="1:5" x14ac:dyDescent="0.25">
      <c r="A855" t="s">
        <v>994</v>
      </c>
      <c r="B855" t="s">
        <v>2596</v>
      </c>
      <c r="D855">
        <v>98512</v>
      </c>
      <c r="E855" t="str">
        <f t="shared" si="13"/>
        <v>ia.assorted_string like '%98512-09-2024%' or</v>
      </c>
    </row>
    <row r="856" spans="1:5" x14ac:dyDescent="0.25">
      <c r="A856" t="s">
        <v>995</v>
      </c>
      <c r="B856" t="s">
        <v>2596</v>
      </c>
      <c r="D856">
        <v>98513</v>
      </c>
      <c r="E856" t="str">
        <f t="shared" si="13"/>
        <v>ia.assorted_string like '%98513-09-2024%' or</v>
      </c>
    </row>
    <row r="857" spans="1:5" x14ac:dyDescent="0.25">
      <c r="A857" t="s">
        <v>996</v>
      </c>
      <c r="B857" t="s">
        <v>2596</v>
      </c>
      <c r="D857">
        <v>98514</v>
      </c>
      <c r="E857" t="str">
        <f t="shared" si="13"/>
        <v>ia.assorted_string like '%98514-09-2024%' or</v>
      </c>
    </row>
    <row r="858" spans="1:5" x14ac:dyDescent="0.25">
      <c r="A858" t="s">
        <v>997</v>
      </c>
      <c r="B858" t="s">
        <v>2596</v>
      </c>
      <c r="D858">
        <v>98516</v>
      </c>
      <c r="E858" t="str">
        <f t="shared" si="13"/>
        <v>ia.assorted_string like '%98516-09-2024%' or</v>
      </c>
    </row>
    <row r="859" spans="1:5" x14ac:dyDescent="0.25">
      <c r="A859" t="s">
        <v>998</v>
      </c>
      <c r="B859" t="s">
        <v>2596</v>
      </c>
      <c r="D859">
        <v>98518</v>
      </c>
      <c r="E859" t="str">
        <f t="shared" si="13"/>
        <v>ia.assorted_string like '%98518-09-2024%' or</v>
      </c>
    </row>
    <row r="860" spans="1:5" x14ac:dyDescent="0.25">
      <c r="A860" t="s">
        <v>999</v>
      </c>
      <c r="B860" t="s">
        <v>2596</v>
      </c>
      <c r="D860">
        <v>98520</v>
      </c>
      <c r="E860" t="str">
        <f t="shared" si="13"/>
        <v>ia.assorted_string like '%98520-09-2024%' or</v>
      </c>
    </row>
    <row r="861" spans="1:5" x14ac:dyDescent="0.25">
      <c r="A861" t="s">
        <v>1000</v>
      </c>
      <c r="B861" t="s">
        <v>2596</v>
      </c>
      <c r="D861">
        <v>98521</v>
      </c>
      <c r="E861" t="str">
        <f t="shared" si="13"/>
        <v>ia.assorted_string like '%98521-09-2024%' or</v>
      </c>
    </row>
    <row r="862" spans="1:5" x14ac:dyDescent="0.25">
      <c r="A862" t="s">
        <v>1001</v>
      </c>
      <c r="B862" t="s">
        <v>2596</v>
      </c>
      <c r="D862">
        <v>98525</v>
      </c>
      <c r="E862" t="str">
        <f t="shared" si="13"/>
        <v>ia.assorted_string like '%98525-09-2024%' or</v>
      </c>
    </row>
    <row r="863" spans="1:5" x14ac:dyDescent="0.25">
      <c r="A863" t="s">
        <v>1002</v>
      </c>
      <c r="B863" t="s">
        <v>2596</v>
      </c>
      <c r="D863">
        <v>98533</v>
      </c>
      <c r="E863" t="str">
        <f t="shared" si="13"/>
        <v>ia.assorted_string like '%98533-09-2024%' or</v>
      </c>
    </row>
    <row r="864" spans="1:5" x14ac:dyDescent="0.25">
      <c r="A864" t="s">
        <v>1003</v>
      </c>
      <c r="B864" t="s">
        <v>2596</v>
      </c>
      <c r="D864">
        <v>98534</v>
      </c>
      <c r="E864" t="str">
        <f t="shared" si="13"/>
        <v>ia.assorted_string like '%98534-09-2024%' or</v>
      </c>
    </row>
    <row r="865" spans="1:5" x14ac:dyDescent="0.25">
      <c r="A865" t="s">
        <v>1004</v>
      </c>
      <c r="B865" t="s">
        <v>2596</v>
      </c>
      <c r="D865">
        <v>98536</v>
      </c>
      <c r="E865" t="str">
        <f t="shared" si="13"/>
        <v>ia.assorted_string like '%98536-09-2024%' or</v>
      </c>
    </row>
    <row r="866" spans="1:5" x14ac:dyDescent="0.25">
      <c r="A866" t="s">
        <v>1005</v>
      </c>
      <c r="B866" t="s">
        <v>2596</v>
      </c>
      <c r="D866">
        <v>98537</v>
      </c>
      <c r="E866" t="str">
        <f t="shared" si="13"/>
        <v>ia.assorted_string like '%98537-09-2024%' or</v>
      </c>
    </row>
    <row r="867" spans="1:5" x14ac:dyDescent="0.25">
      <c r="A867" t="s">
        <v>1006</v>
      </c>
      <c r="B867" t="s">
        <v>2596</v>
      </c>
      <c r="D867">
        <v>98539</v>
      </c>
      <c r="E867" t="str">
        <f t="shared" si="13"/>
        <v>ia.assorted_string like '%98539-09-2024%' or</v>
      </c>
    </row>
    <row r="868" spans="1:5" x14ac:dyDescent="0.25">
      <c r="A868" t="s">
        <v>1007</v>
      </c>
      <c r="B868" t="s">
        <v>2596</v>
      </c>
      <c r="D868">
        <v>98544</v>
      </c>
      <c r="E868" t="str">
        <f t="shared" si="13"/>
        <v>ia.assorted_string like '%98544-09-2024%' or</v>
      </c>
    </row>
    <row r="869" spans="1:5" x14ac:dyDescent="0.25">
      <c r="A869" t="s">
        <v>1008</v>
      </c>
      <c r="B869" t="s">
        <v>2596</v>
      </c>
      <c r="D869">
        <v>98545</v>
      </c>
      <c r="E869" t="str">
        <f t="shared" si="13"/>
        <v>ia.assorted_string like '%98545-09-2024%' or</v>
      </c>
    </row>
    <row r="870" spans="1:5" x14ac:dyDescent="0.25">
      <c r="A870" t="s">
        <v>1009</v>
      </c>
      <c r="B870" t="s">
        <v>2596</v>
      </c>
      <c r="D870">
        <v>98548</v>
      </c>
      <c r="E870" t="str">
        <f t="shared" si="13"/>
        <v>ia.assorted_string like '%98548-09-2024%' or</v>
      </c>
    </row>
    <row r="871" spans="1:5" x14ac:dyDescent="0.25">
      <c r="A871" t="s">
        <v>1010</v>
      </c>
      <c r="B871" t="s">
        <v>2596</v>
      </c>
      <c r="D871">
        <v>98549</v>
      </c>
      <c r="E871" t="str">
        <f t="shared" si="13"/>
        <v>ia.assorted_string like '%98549-09-2024%' or</v>
      </c>
    </row>
    <row r="872" spans="1:5" x14ac:dyDescent="0.25">
      <c r="A872" t="s">
        <v>1011</v>
      </c>
      <c r="B872" t="s">
        <v>2596</v>
      </c>
      <c r="D872">
        <v>98553</v>
      </c>
      <c r="E872" t="str">
        <f t="shared" si="13"/>
        <v>ia.assorted_string like '%98553-09-2024%' or</v>
      </c>
    </row>
    <row r="873" spans="1:5" x14ac:dyDescent="0.25">
      <c r="A873" t="s">
        <v>1012</v>
      </c>
      <c r="B873" t="s">
        <v>2596</v>
      </c>
      <c r="D873">
        <v>98555</v>
      </c>
      <c r="E873" t="str">
        <f t="shared" si="13"/>
        <v>ia.assorted_string like '%98555-09-2024%' or</v>
      </c>
    </row>
    <row r="874" spans="1:5" x14ac:dyDescent="0.25">
      <c r="A874" t="s">
        <v>1013</v>
      </c>
      <c r="B874" t="s">
        <v>2596</v>
      </c>
      <c r="D874">
        <v>98556</v>
      </c>
      <c r="E874" t="str">
        <f t="shared" si="13"/>
        <v>ia.assorted_string like '%98556-09-2024%' or</v>
      </c>
    </row>
    <row r="875" spans="1:5" x14ac:dyDescent="0.25">
      <c r="A875" t="s">
        <v>1014</v>
      </c>
      <c r="B875" t="s">
        <v>2596</v>
      </c>
      <c r="D875">
        <v>98557</v>
      </c>
      <c r="E875" t="str">
        <f t="shared" si="13"/>
        <v>ia.assorted_string like '%98557-09-2024%' or</v>
      </c>
    </row>
    <row r="876" spans="1:5" x14ac:dyDescent="0.25">
      <c r="A876" t="s">
        <v>1015</v>
      </c>
      <c r="B876" t="s">
        <v>2596</v>
      </c>
      <c r="D876">
        <v>98558</v>
      </c>
      <c r="E876" t="str">
        <f t="shared" si="13"/>
        <v>ia.assorted_string like '%98558-09-2024%' or</v>
      </c>
    </row>
    <row r="877" spans="1:5" x14ac:dyDescent="0.25">
      <c r="A877" t="s">
        <v>1016</v>
      </c>
      <c r="B877" t="s">
        <v>2596</v>
      </c>
      <c r="D877">
        <v>98559</v>
      </c>
      <c r="E877" t="str">
        <f t="shared" si="13"/>
        <v>ia.assorted_string like '%98559-09-2024%' or</v>
      </c>
    </row>
    <row r="878" spans="1:5" x14ac:dyDescent="0.25">
      <c r="A878" t="s">
        <v>1017</v>
      </c>
      <c r="B878" t="s">
        <v>2596</v>
      </c>
      <c r="D878">
        <v>98560</v>
      </c>
      <c r="E878" t="str">
        <f t="shared" si="13"/>
        <v>ia.assorted_string like '%98560-09-2024%' or</v>
      </c>
    </row>
    <row r="879" spans="1:5" x14ac:dyDescent="0.25">
      <c r="A879" t="s">
        <v>1018</v>
      </c>
      <c r="B879" t="s">
        <v>2596</v>
      </c>
      <c r="D879">
        <v>98561</v>
      </c>
      <c r="E879" t="str">
        <f t="shared" si="13"/>
        <v>ia.assorted_string like '%98561-09-2024%' or</v>
      </c>
    </row>
    <row r="880" spans="1:5" x14ac:dyDescent="0.25">
      <c r="A880" t="s">
        <v>1019</v>
      </c>
      <c r="B880" t="s">
        <v>2596</v>
      </c>
      <c r="D880">
        <v>98562</v>
      </c>
      <c r="E880" t="str">
        <f t="shared" si="13"/>
        <v>ia.assorted_string like '%98562-09-2024%' or</v>
      </c>
    </row>
    <row r="881" spans="1:5" x14ac:dyDescent="0.25">
      <c r="A881" t="s">
        <v>1020</v>
      </c>
      <c r="B881" t="s">
        <v>2596</v>
      </c>
      <c r="D881">
        <v>98563</v>
      </c>
      <c r="E881" t="str">
        <f t="shared" si="13"/>
        <v>ia.assorted_string like '%98563-09-2024%' or</v>
      </c>
    </row>
    <row r="882" spans="1:5" x14ac:dyDescent="0.25">
      <c r="A882" t="s">
        <v>1021</v>
      </c>
      <c r="B882" t="s">
        <v>2596</v>
      </c>
      <c r="D882">
        <v>98564</v>
      </c>
      <c r="E882" t="str">
        <f t="shared" si="13"/>
        <v>ia.assorted_string like '%98564-09-2024%' or</v>
      </c>
    </row>
    <row r="883" spans="1:5" x14ac:dyDescent="0.25">
      <c r="A883" t="s">
        <v>1022</v>
      </c>
      <c r="B883" t="s">
        <v>2596</v>
      </c>
      <c r="D883">
        <v>98565</v>
      </c>
      <c r="E883" t="str">
        <f t="shared" si="13"/>
        <v>ia.assorted_string like '%98565-09-2024%' or</v>
      </c>
    </row>
    <row r="884" spans="1:5" x14ac:dyDescent="0.25">
      <c r="A884" t="s">
        <v>1023</v>
      </c>
      <c r="B884" t="s">
        <v>2596</v>
      </c>
      <c r="D884">
        <v>98566</v>
      </c>
      <c r="E884" t="str">
        <f t="shared" si="13"/>
        <v>ia.assorted_string like '%98566-09-2024%' or</v>
      </c>
    </row>
    <row r="885" spans="1:5" x14ac:dyDescent="0.25">
      <c r="A885" t="s">
        <v>1024</v>
      </c>
      <c r="B885" t="s">
        <v>2596</v>
      </c>
      <c r="D885">
        <v>98567</v>
      </c>
      <c r="E885" t="str">
        <f t="shared" si="13"/>
        <v>ia.assorted_string like '%98567-09-2024%' or</v>
      </c>
    </row>
    <row r="886" spans="1:5" x14ac:dyDescent="0.25">
      <c r="A886" t="s">
        <v>1025</v>
      </c>
      <c r="B886" t="s">
        <v>2596</v>
      </c>
      <c r="D886">
        <v>98568</v>
      </c>
      <c r="E886" t="str">
        <f t="shared" si="13"/>
        <v>ia.assorted_string like '%98568-09-2024%' or</v>
      </c>
    </row>
    <row r="887" spans="1:5" x14ac:dyDescent="0.25">
      <c r="A887" t="s">
        <v>1026</v>
      </c>
      <c r="B887" t="s">
        <v>2596</v>
      </c>
      <c r="D887">
        <v>98569</v>
      </c>
      <c r="E887" t="str">
        <f t="shared" si="13"/>
        <v>ia.assorted_string like '%98569-09-2024%' or</v>
      </c>
    </row>
    <row r="888" spans="1:5" x14ac:dyDescent="0.25">
      <c r="A888" t="s">
        <v>1027</v>
      </c>
      <c r="B888" t="s">
        <v>2596</v>
      </c>
      <c r="D888">
        <v>98570</v>
      </c>
      <c r="E888" t="str">
        <f t="shared" si="13"/>
        <v>ia.assorted_string like '%98570-09-2024%' or</v>
      </c>
    </row>
    <row r="889" spans="1:5" x14ac:dyDescent="0.25">
      <c r="A889" t="s">
        <v>1027</v>
      </c>
      <c r="B889" t="s">
        <v>2596</v>
      </c>
      <c r="D889">
        <v>98570</v>
      </c>
      <c r="E889" t="str">
        <f t="shared" si="13"/>
        <v>ia.assorted_string like '%98570-09-2024%' or</v>
      </c>
    </row>
    <row r="890" spans="1:5" x14ac:dyDescent="0.25">
      <c r="A890" t="s">
        <v>1028</v>
      </c>
      <c r="B890" t="s">
        <v>2596</v>
      </c>
      <c r="D890">
        <v>98571</v>
      </c>
      <c r="E890" t="str">
        <f t="shared" si="13"/>
        <v>ia.assorted_string like '%98571-09-2024%' or</v>
      </c>
    </row>
    <row r="891" spans="1:5" x14ac:dyDescent="0.25">
      <c r="A891" t="s">
        <v>1029</v>
      </c>
      <c r="B891" t="s">
        <v>2596</v>
      </c>
      <c r="D891">
        <v>98572</v>
      </c>
      <c r="E891" t="str">
        <f t="shared" si="13"/>
        <v>ia.assorted_string like '%98572-09-2024%' or</v>
      </c>
    </row>
    <row r="892" spans="1:5" x14ac:dyDescent="0.25">
      <c r="A892" t="s">
        <v>1030</v>
      </c>
      <c r="B892" t="s">
        <v>2596</v>
      </c>
      <c r="D892">
        <v>98573</v>
      </c>
      <c r="E892" t="str">
        <f t="shared" si="13"/>
        <v>ia.assorted_string like '%98573-09-2024%' or</v>
      </c>
    </row>
    <row r="893" spans="1:5" x14ac:dyDescent="0.25">
      <c r="A893" t="s">
        <v>1031</v>
      </c>
      <c r="B893" t="s">
        <v>2596</v>
      </c>
      <c r="D893">
        <v>98574</v>
      </c>
      <c r="E893" t="str">
        <f t="shared" si="13"/>
        <v>ia.assorted_string like '%98574-09-2024%' or</v>
      </c>
    </row>
    <row r="894" spans="1:5" x14ac:dyDescent="0.25">
      <c r="A894" t="s">
        <v>1032</v>
      </c>
      <c r="B894" t="s">
        <v>2596</v>
      </c>
      <c r="D894">
        <v>98575</v>
      </c>
      <c r="E894" t="str">
        <f t="shared" si="13"/>
        <v>ia.assorted_string like '%98575-09-2024%' or</v>
      </c>
    </row>
    <row r="895" spans="1:5" x14ac:dyDescent="0.25">
      <c r="A895" t="s">
        <v>1033</v>
      </c>
      <c r="B895" t="s">
        <v>2596</v>
      </c>
      <c r="D895">
        <v>98576</v>
      </c>
      <c r="E895" t="str">
        <f t="shared" si="13"/>
        <v>ia.assorted_string like '%98576-09-2024%' or</v>
      </c>
    </row>
    <row r="896" spans="1:5" x14ac:dyDescent="0.25">
      <c r="A896" t="s">
        <v>1034</v>
      </c>
      <c r="B896" t="s">
        <v>2596</v>
      </c>
      <c r="D896">
        <v>98577</v>
      </c>
      <c r="E896" t="str">
        <f t="shared" si="13"/>
        <v>ia.assorted_string like '%98577-09-2024%' or</v>
      </c>
    </row>
    <row r="897" spans="1:5" x14ac:dyDescent="0.25">
      <c r="A897" t="s">
        <v>1035</v>
      </c>
      <c r="B897" t="s">
        <v>2596</v>
      </c>
      <c r="D897">
        <v>98578</v>
      </c>
      <c r="E897" t="str">
        <f t="shared" si="13"/>
        <v>ia.assorted_string like '%98578-09-2024%' or</v>
      </c>
    </row>
    <row r="898" spans="1:5" x14ac:dyDescent="0.25">
      <c r="A898" t="s">
        <v>1036</v>
      </c>
      <c r="B898" t="s">
        <v>2596</v>
      </c>
      <c r="D898">
        <v>98579</v>
      </c>
      <c r="E898" t="str">
        <f t="shared" ref="E898:E958" si="14">"ia.assorted_string like '%"&amp;D898&amp;B898&amp;"%' or"</f>
        <v>ia.assorted_string like '%98579-09-2024%' or</v>
      </c>
    </row>
    <row r="899" spans="1:5" x14ac:dyDescent="0.25">
      <c r="A899" t="s">
        <v>1037</v>
      </c>
      <c r="B899" t="s">
        <v>2596</v>
      </c>
      <c r="D899">
        <v>98580</v>
      </c>
      <c r="E899" t="str">
        <f t="shared" si="14"/>
        <v>ia.assorted_string like '%98580-09-2024%' or</v>
      </c>
    </row>
    <row r="900" spans="1:5" x14ac:dyDescent="0.25">
      <c r="A900" t="s">
        <v>1038</v>
      </c>
      <c r="B900" t="s">
        <v>2596</v>
      </c>
      <c r="D900">
        <v>98581</v>
      </c>
      <c r="E900" t="str">
        <f t="shared" si="14"/>
        <v>ia.assorted_string like '%98581-09-2024%' or</v>
      </c>
    </row>
    <row r="901" spans="1:5" x14ac:dyDescent="0.25">
      <c r="A901" t="s">
        <v>1039</v>
      </c>
      <c r="B901" t="s">
        <v>2596</v>
      </c>
      <c r="D901">
        <v>98582</v>
      </c>
      <c r="E901" t="str">
        <f t="shared" si="14"/>
        <v>ia.assorted_string like '%98582-09-2024%' or</v>
      </c>
    </row>
    <row r="902" spans="1:5" x14ac:dyDescent="0.25">
      <c r="A902" t="s">
        <v>1040</v>
      </c>
      <c r="B902" t="s">
        <v>2596</v>
      </c>
      <c r="D902">
        <v>98583</v>
      </c>
      <c r="E902" t="str">
        <f t="shared" si="14"/>
        <v>ia.assorted_string like '%98583-09-2024%' or</v>
      </c>
    </row>
    <row r="903" spans="1:5" x14ac:dyDescent="0.25">
      <c r="A903" t="s">
        <v>1041</v>
      </c>
      <c r="B903" t="s">
        <v>2596</v>
      </c>
      <c r="D903">
        <v>98584</v>
      </c>
      <c r="E903" t="str">
        <f t="shared" si="14"/>
        <v>ia.assorted_string like '%98584-09-2024%' or</v>
      </c>
    </row>
    <row r="904" spans="1:5" x14ac:dyDescent="0.25">
      <c r="A904" t="s">
        <v>1042</v>
      </c>
      <c r="B904" t="s">
        <v>2596</v>
      </c>
      <c r="D904">
        <v>98585</v>
      </c>
      <c r="E904" t="str">
        <f t="shared" si="14"/>
        <v>ia.assorted_string like '%98585-09-2024%' or</v>
      </c>
    </row>
    <row r="905" spans="1:5" x14ac:dyDescent="0.25">
      <c r="A905" t="s">
        <v>1043</v>
      </c>
      <c r="B905" t="s">
        <v>2596</v>
      </c>
      <c r="D905">
        <v>98586</v>
      </c>
      <c r="E905" t="str">
        <f t="shared" si="14"/>
        <v>ia.assorted_string like '%98586-09-2024%' or</v>
      </c>
    </row>
    <row r="906" spans="1:5" x14ac:dyDescent="0.25">
      <c r="A906" t="s">
        <v>1044</v>
      </c>
      <c r="B906" t="s">
        <v>2596</v>
      </c>
      <c r="D906">
        <v>98587</v>
      </c>
      <c r="E906" t="str">
        <f t="shared" si="14"/>
        <v>ia.assorted_string like '%98587-09-2024%' or</v>
      </c>
    </row>
    <row r="907" spans="1:5" x14ac:dyDescent="0.25">
      <c r="A907" t="s">
        <v>1045</v>
      </c>
      <c r="B907" t="s">
        <v>2596</v>
      </c>
      <c r="D907">
        <v>98588</v>
      </c>
      <c r="E907" t="str">
        <f t="shared" si="14"/>
        <v>ia.assorted_string like '%98588-09-2024%' or</v>
      </c>
    </row>
    <row r="908" spans="1:5" x14ac:dyDescent="0.25">
      <c r="A908" t="s">
        <v>1046</v>
      </c>
      <c r="B908" t="s">
        <v>2596</v>
      </c>
      <c r="D908">
        <v>98589</v>
      </c>
      <c r="E908" t="str">
        <f t="shared" si="14"/>
        <v>ia.assorted_string like '%98589-09-2024%' or</v>
      </c>
    </row>
    <row r="909" spans="1:5" x14ac:dyDescent="0.25">
      <c r="A909" t="s">
        <v>1047</v>
      </c>
      <c r="B909" t="s">
        <v>2596</v>
      </c>
      <c r="D909">
        <v>98590</v>
      </c>
      <c r="E909" t="str">
        <f t="shared" si="14"/>
        <v>ia.assorted_string like '%98590-09-2024%' or</v>
      </c>
    </row>
    <row r="910" spans="1:5" x14ac:dyDescent="0.25">
      <c r="A910" t="s">
        <v>1048</v>
      </c>
      <c r="B910" t="s">
        <v>2596</v>
      </c>
      <c r="D910">
        <v>98591</v>
      </c>
      <c r="E910" t="str">
        <f t="shared" si="14"/>
        <v>ia.assorted_string like '%98591-09-2024%' or</v>
      </c>
    </row>
    <row r="911" spans="1:5" x14ac:dyDescent="0.25">
      <c r="A911" t="s">
        <v>1049</v>
      </c>
      <c r="B911" t="s">
        <v>2596</v>
      </c>
      <c r="D911">
        <v>98592</v>
      </c>
      <c r="E911" t="str">
        <f t="shared" si="14"/>
        <v>ia.assorted_string like '%98592-09-2024%' or</v>
      </c>
    </row>
    <row r="912" spans="1:5" x14ac:dyDescent="0.25">
      <c r="A912" t="s">
        <v>1050</v>
      </c>
      <c r="B912" t="s">
        <v>2596</v>
      </c>
      <c r="D912">
        <v>98593</v>
      </c>
      <c r="E912" t="str">
        <f t="shared" si="14"/>
        <v>ia.assorted_string like '%98593-09-2024%' or</v>
      </c>
    </row>
    <row r="913" spans="1:5" x14ac:dyDescent="0.25">
      <c r="A913" t="s">
        <v>1051</v>
      </c>
      <c r="B913" t="s">
        <v>2596</v>
      </c>
      <c r="D913">
        <v>98594</v>
      </c>
      <c r="E913" t="str">
        <f t="shared" si="14"/>
        <v>ia.assorted_string like '%98594-09-2024%' or</v>
      </c>
    </row>
    <row r="914" spans="1:5" x14ac:dyDescent="0.25">
      <c r="A914" t="s">
        <v>1052</v>
      </c>
      <c r="B914" t="s">
        <v>2596</v>
      </c>
      <c r="D914">
        <v>98595</v>
      </c>
      <c r="E914" t="str">
        <f t="shared" si="14"/>
        <v>ia.assorted_string like '%98595-09-2024%' or</v>
      </c>
    </row>
    <row r="915" spans="1:5" x14ac:dyDescent="0.25">
      <c r="A915" t="s">
        <v>1053</v>
      </c>
      <c r="B915" t="s">
        <v>2596</v>
      </c>
      <c r="D915">
        <v>98598</v>
      </c>
      <c r="E915" t="str">
        <f t="shared" si="14"/>
        <v>ia.assorted_string like '%98598-09-2024%' or</v>
      </c>
    </row>
    <row r="916" spans="1:5" x14ac:dyDescent="0.25">
      <c r="A916" t="s">
        <v>1054</v>
      </c>
      <c r="B916" t="s">
        <v>2596</v>
      </c>
      <c r="D916">
        <v>98599</v>
      </c>
      <c r="E916" t="str">
        <f t="shared" si="14"/>
        <v>ia.assorted_string like '%98599-09-2024%' or</v>
      </c>
    </row>
    <row r="917" spans="1:5" x14ac:dyDescent="0.25">
      <c r="A917" t="s">
        <v>1055</v>
      </c>
      <c r="B917" t="s">
        <v>2596</v>
      </c>
      <c r="D917">
        <v>98618</v>
      </c>
      <c r="E917" t="str">
        <f t="shared" si="14"/>
        <v>ia.assorted_string like '%98618-09-2024%' or</v>
      </c>
    </row>
    <row r="918" spans="1:5" x14ac:dyDescent="0.25">
      <c r="A918" t="s">
        <v>1056</v>
      </c>
      <c r="B918" t="s">
        <v>2596</v>
      </c>
      <c r="D918">
        <v>98619</v>
      </c>
      <c r="E918" t="str">
        <f t="shared" si="14"/>
        <v>ia.assorted_string like '%98619-09-2024%' or</v>
      </c>
    </row>
    <row r="919" spans="1:5" x14ac:dyDescent="0.25">
      <c r="A919" t="s">
        <v>1057</v>
      </c>
      <c r="B919" t="s">
        <v>2596</v>
      </c>
      <c r="D919">
        <v>98621</v>
      </c>
      <c r="E919" t="str">
        <f t="shared" si="14"/>
        <v>ia.assorted_string like '%98621-09-2024%' or</v>
      </c>
    </row>
    <row r="920" spans="1:5" x14ac:dyDescent="0.25">
      <c r="A920" t="s">
        <v>1058</v>
      </c>
      <c r="B920" t="s">
        <v>2596</v>
      </c>
      <c r="D920">
        <v>98623</v>
      </c>
      <c r="E920" t="str">
        <f t="shared" si="14"/>
        <v>ia.assorted_string like '%98623-09-2024%' or</v>
      </c>
    </row>
    <row r="921" spans="1:5" x14ac:dyDescent="0.25">
      <c r="A921" t="s">
        <v>1059</v>
      </c>
      <c r="B921" t="s">
        <v>2596</v>
      </c>
      <c r="D921">
        <v>98626</v>
      </c>
      <c r="E921" t="str">
        <f t="shared" si="14"/>
        <v>ia.assorted_string like '%98626-09-2024%' or</v>
      </c>
    </row>
    <row r="922" spans="1:5" x14ac:dyDescent="0.25">
      <c r="A922" t="s">
        <v>1060</v>
      </c>
      <c r="B922" t="s">
        <v>2596</v>
      </c>
      <c r="D922">
        <v>98627</v>
      </c>
      <c r="E922" t="str">
        <f t="shared" si="14"/>
        <v>ia.assorted_string like '%98627-09-2024%' or</v>
      </c>
    </row>
    <row r="923" spans="1:5" x14ac:dyDescent="0.25">
      <c r="A923" t="s">
        <v>1061</v>
      </c>
      <c r="B923" t="s">
        <v>2596</v>
      </c>
      <c r="D923">
        <v>98628</v>
      </c>
      <c r="E923" t="str">
        <f t="shared" si="14"/>
        <v>ia.assorted_string like '%98628-09-2024%' or</v>
      </c>
    </row>
    <row r="924" spans="1:5" x14ac:dyDescent="0.25">
      <c r="A924" t="s">
        <v>1062</v>
      </c>
      <c r="B924" t="s">
        <v>2596</v>
      </c>
      <c r="D924">
        <v>98630</v>
      </c>
      <c r="E924" t="str">
        <f t="shared" si="14"/>
        <v>ia.assorted_string like '%98630-09-2024%' or</v>
      </c>
    </row>
    <row r="925" spans="1:5" x14ac:dyDescent="0.25">
      <c r="A925" t="s">
        <v>1063</v>
      </c>
      <c r="B925" t="s">
        <v>2596</v>
      </c>
      <c r="D925">
        <v>98631</v>
      </c>
      <c r="E925" t="str">
        <f t="shared" si="14"/>
        <v>ia.assorted_string like '%98631-09-2024%' or</v>
      </c>
    </row>
    <row r="926" spans="1:5" x14ac:dyDescent="0.25">
      <c r="A926" t="s">
        <v>1064</v>
      </c>
      <c r="B926" t="s">
        <v>2596</v>
      </c>
      <c r="D926">
        <v>98632</v>
      </c>
      <c r="E926" t="str">
        <f t="shared" si="14"/>
        <v>ia.assorted_string like '%98632-09-2024%' or</v>
      </c>
    </row>
    <row r="927" spans="1:5" x14ac:dyDescent="0.25">
      <c r="A927" t="s">
        <v>1065</v>
      </c>
      <c r="B927" t="s">
        <v>2596</v>
      </c>
      <c r="D927">
        <v>98633</v>
      </c>
      <c r="E927" t="str">
        <f t="shared" si="14"/>
        <v>ia.assorted_string like '%98633-09-2024%' or</v>
      </c>
    </row>
    <row r="928" spans="1:5" x14ac:dyDescent="0.25">
      <c r="A928" t="s">
        <v>1066</v>
      </c>
      <c r="B928" t="s">
        <v>2596</v>
      </c>
      <c r="D928">
        <v>98634</v>
      </c>
      <c r="E928" t="str">
        <f t="shared" si="14"/>
        <v>ia.assorted_string like '%98634-09-2024%' or</v>
      </c>
    </row>
    <row r="929" spans="1:5" x14ac:dyDescent="0.25">
      <c r="A929" t="s">
        <v>1067</v>
      </c>
      <c r="B929" t="s">
        <v>2596</v>
      </c>
      <c r="D929">
        <v>98635</v>
      </c>
      <c r="E929" t="str">
        <f t="shared" si="14"/>
        <v>ia.assorted_string like '%98635-09-2024%' or</v>
      </c>
    </row>
    <row r="930" spans="1:5" x14ac:dyDescent="0.25">
      <c r="A930" t="s">
        <v>1068</v>
      </c>
      <c r="B930" t="s">
        <v>2596</v>
      </c>
      <c r="D930">
        <v>98636</v>
      </c>
      <c r="E930" t="str">
        <f t="shared" si="14"/>
        <v>ia.assorted_string like '%98636-09-2024%' or</v>
      </c>
    </row>
    <row r="931" spans="1:5" x14ac:dyDescent="0.25">
      <c r="A931" t="s">
        <v>1069</v>
      </c>
      <c r="B931" t="s">
        <v>2596</v>
      </c>
      <c r="D931">
        <v>98638</v>
      </c>
      <c r="E931" t="str">
        <f t="shared" si="14"/>
        <v>ia.assorted_string like '%98638-09-2024%' or</v>
      </c>
    </row>
    <row r="932" spans="1:5" x14ac:dyDescent="0.25">
      <c r="A932" t="s">
        <v>1070</v>
      </c>
      <c r="B932" t="s">
        <v>2596</v>
      </c>
      <c r="D932">
        <v>98640</v>
      </c>
      <c r="E932" t="str">
        <f t="shared" si="14"/>
        <v>ia.assorted_string like '%98640-09-2024%' or</v>
      </c>
    </row>
    <row r="933" spans="1:5" x14ac:dyDescent="0.25">
      <c r="A933" t="s">
        <v>1071</v>
      </c>
      <c r="B933" t="s">
        <v>2596</v>
      </c>
      <c r="D933">
        <v>98642</v>
      </c>
      <c r="E933" t="str">
        <f t="shared" si="14"/>
        <v>ia.assorted_string like '%98642-09-2024%' or</v>
      </c>
    </row>
    <row r="934" spans="1:5" x14ac:dyDescent="0.25">
      <c r="A934" t="s">
        <v>1072</v>
      </c>
      <c r="B934" t="s">
        <v>2596</v>
      </c>
      <c r="D934">
        <v>98643</v>
      </c>
      <c r="E934" t="str">
        <f t="shared" si="14"/>
        <v>ia.assorted_string like '%98643-09-2024%' or</v>
      </c>
    </row>
    <row r="935" spans="1:5" x14ac:dyDescent="0.25">
      <c r="A935" t="s">
        <v>1073</v>
      </c>
      <c r="B935" t="s">
        <v>2596</v>
      </c>
      <c r="D935">
        <v>98645</v>
      </c>
      <c r="E935" t="str">
        <f t="shared" si="14"/>
        <v>ia.assorted_string like '%98645-09-2024%' or</v>
      </c>
    </row>
    <row r="936" spans="1:5" x14ac:dyDescent="0.25">
      <c r="A936" t="s">
        <v>1074</v>
      </c>
      <c r="B936" t="s">
        <v>2596</v>
      </c>
      <c r="D936">
        <v>98650</v>
      </c>
      <c r="E936" t="str">
        <f t="shared" si="14"/>
        <v>ia.assorted_string like '%98650-09-2024%' or</v>
      </c>
    </row>
    <row r="937" spans="1:5" x14ac:dyDescent="0.25">
      <c r="A937" t="s">
        <v>1075</v>
      </c>
      <c r="B937" t="s">
        <v>2596</v>
      </c>
      <c r="D937">
        <v>98651</v>
      </c>
      <c r="E937" t="str">
        <f t="shared" si="14"/>
        <v>ia.assorted_string like '%98651-09-2024%' or</v>
      </c>
    </row>
    <row r="938" spans="1:5" x14ac:dyDescent="0.25">
      <c r="A938" t="s">
        <v>1076</v>
      </c>
      <c r="B938" t="s">
        <v>2596</v>
      </c>
      <c r="D938">
        <v>98657</v>
      </c>
      <c r="E938" t="str">
        <f t="shared" si="14"/>
        <v>ia.assorted_string like '%98657-09-2024%' or</v>
      </c>
    </row>
    <row r="939" spans="1:5" x14ac:dyDescent="0.25">
      <c r="A939" t="s">
        <v>1077</v>
      </c>
      <c r="B939" t="s">
        <v>2596</v>
      </c>
      <c r="D939">
        <v>98658</v>
      </c>
      <c r="E939" t="str">
        <f t="shared" si="14"/>
        <v>ia.assorted_string like '%98658-09-2024%' or</v>
      </c>
    </row>
    <row r="940" spans="1:5" x14ac:dyDescent="0.25">
      <c r="A940" t="s">
        <v>1078</v>
      </c>
      <c r="B940" t="s">
        <v>2596</v>
      </c>
      <c r="D940">
        <v>98661</v>
      </c>
      <c r="E940" t="str">
        <f t="shared" si="14"/>
        <v>ia.assorted_string like '%98661-09-2024%' or</v>
      </c>
    </row>
    <row r="941" spans="1:5" x14ac:dyDescent="0.25">
      <c r="A941" t="s">
        <v>1079</v>
      </c>
      <c r="B941" t="s">
        <v>2596</v>
      </c>
      <c r="D941">
        <v>98662</v>
      </c>
      <c r="E941" t="str">
        <f t="shared" si="14"/>
        <v>ia.assorted_string like '%98662-09-2024%' or</v>
      </c>
    </row>
    <row r="942" spans="1:5" x14ac:dyDescent="0.25">
      <c r="A942" t="s">
        <v>1080</v>
      </c>
      <c r="B942" t="s">
        <v>2596</v>
      </c>
      <c r="D942">
        <v>98666</v>
      </c>
      <c r="E942" t="str">
        <f t="shared" si="14"/>
        <v>ia.assorted_string like '%98666-09-2024%' or</v>
      </c>
    </row>
    <row r="943" spans="1:5" x14ac:dyDescent="0.25">
      <c r="A943" t="s">
        <v>1081</v>
      </c>
      <c r="B943" t="s">
        <v>2596</v>
      </c>
      <c r="D943">
        <v>98668</v>
      </c>
      <c r="E943" t="str">
        <f t="shared" si="14"/>
        <v>ia.assorted_string like '%98668-09-2024%' or</v>
      </c>
    </row>
    <row r="944" spans="1:5" x14ac:dyDescent="0.25">
      <c r="A944" t="s">
        <v>1082</v>
      </c>
      <c r="B944" t="s">
        <v>2596</v>
      </c>
      <c r="D944">
        <v>98669</v>
      </c>
      <c r="E944" t="str">
        <f t="shared" si="14"/>
        <v>ia.assorted_string like '%98669-09-2024%' or</v>
      </c>
    </row>
    <row r="945" spans="1:5" x14ac:dyDescent="0.25">
      <c r="A945" t="s">
        <v>1083</v>
      </c>
      <c r="B945" t="s">
        <v>2596</v>
      </c>
      <c r="D945">
        <v>98686</v>
      </c>
      <c r="E945" t="str">
        <f t="shared" si="14"/>
        <v>ia.assorted_string like '%98686-09-2024%' or</v>
      </c>
    </row>
    <row r="946" spans="1:5" x14ac:dyDescent="0.25">
      <c r="A946" t="s">
        <v>1084</v>
      </c>
      <c r="B946" t="s">
        <v>2596</v>
      </c>
      <c r="D946">
        <v>98698</v>
      </c>
      <c r="E946" t="str">
        <f t="shared" si="14"/>
        <v>ia.assorted_string like '%98698-09-2024%' or</v>
      </c>
    </row>
    <row r="947" spans="1:5" x14ac:dyDescent="0.25">
      <c r="A947" t="s">
        <v>1085</v>
      </c>
      <c r="B947" t="s">
        <v>2596</v>
      </c>
      <c r="D947">
        <v>98699</v>
      </c>
      <c r="E947" t="str">
        <f t="shared" si="14"/>
        <v>ia.assorted_string like '%98699-09-2024%' or</v>
      </c>
    </row>
    <row r="948" spans="1:5" x14ac:dyDescent="0.25">
      <c r="A948" t="s">
        <v>1086</v>
      </c>
      <c r="B948" t="s">
        <v>2596</v>
      </c>
      <c r="D948">
        <v>98700</v>
      </c>
      <c r="E948" t="str">
        <f t="shared" si="14"/>
        <v>ia.assorted_string like '%98700-09-2024%' or</v>
      </c>
    </row>
    <row r="949" spans="1:5" x14ac:dyDescent="0.25">
      <c r="A949" t="s">
        <v>1087</v>
      </c>
      <c r="B949" t="s">
        <v>2596</v>
      </c>
      <c r="D949">
        <v>98701</v>
      </c>
      <c r="E949" t="str">
        <f t="shared" si="14"/>
        <v>ia.assorted_string like '%98701-09-2024%' or</v>
      </c>
    </row>
    <row r="950" spans="1:5" x14ac:dyDescent="0.25">
      <c r="A950" t="s">
        <v>1088</v>
      </c>
      <c r="B950" t="s">
        <v>2596</v>
      </c>
      <c r="D950">
        <v>98702</v>
      </c>
      <c r="E950" t="str">
        <f t="shared" si="14"/>
        <v>ia.assorted_string like '%98702-09-2024%' or</v>
      </c>
    </row>
    <row r="951" spans="1:5" x14ac:dyDescent="0.25">
      <c r="A951" t="s">
        <v>1089</v>
      </c>
      <c r="B951" t="s">
        <v>2596</v>
      </c>
      <c r="D951">
        <v>98703</v>
      </c>
      <c r="E951" t="str">
        <f t="shared" si="14"/>
        <v>ia.assorted_string like '%98703-09-2024%' or</v>
      </c>
    </row>
    <row r="952" spans="1:5" x14ac:dyDescent="0.25">
      <c r="A952" t="s">
        <v>1090</v>
      </c>
      <c r="B952" t="s">
        <v>2596</v>
      </c>
      <c r="D952">
        <v>98704</v>
      </c>
      <c r="E952" t="str">
        <f t="shared" si="14"/>
        <v>ia.assorted_string like '%98704-09-2024%' or</v>
      </c>
    </row>
    <row r="953" spans="1:5" x14ac:dyDescent="0.25">
      <c r="A953" t="s">
        <v>1091</v>
      </c>
      <c r="B953" t="s">
        <v>2596</v>
      </c>
      <c r="D953">
        <v>98705</v>
      </c>
      <c r="E953" t="str">
        <f t="shared" si="14"/>
        <v>ia.assorted_string like '%98705-09-2024%' or</v>
      </c>
    </row>
    <row r="954" spans="1:5" x14ac:dyDescent="0.25">
      <c r="A954" t="s">
        <v>1092</v>
      </c>
      <c r="B954" t="s">
        <v>2596</v>
      </c>
      <c r="D954">
        <v>98706</v>
      </c>
      <c r="E954" t="str">
        <f t="shared" si="14"/>
        <v>ia.assorted_string like '%98706-09-2024%' or</v>
      </c>
    </row>
    <row r="955" spans="1:5" x14ac:dyDescent="0.25">
      <c r="A955" t="s">
        <v>1093</v>
      </c>
      <c r="B955" t="s">
        <v>2596</v>
      </c>
      <c r="D955">
        <v>98707</v>
      </c>
      <c r="E955" t="str">
        <f t="shared" si="14"/>
        <v>ia.assorted_string like '%98707-09-2024%' or</v>
      </c>
    </row>
    <row r="956" spans="1:5" x14ac:dyDescent="0.25">
      <c r="A956" t="s">
        <v>1094</v>
      </c>
      <c r="B956" t="s">
        <v>2596</v>
      </c>
      <c r="D956">
        <v>98708</v>
      </c>
      <c r="E956" t="str">
        <f t="shared" si="14"/>
        <v>ia.assorted_string like '%98708-09-2024%' or</v>
      </c>
    </row>
    <row r="957" spans="1:5" x14ac:dyDescent="0.25">
      <c r="A957" t="s">
        <v>1095</v>
      </c>
      <c r="B957" t="s">
        <v>2596</v>
      </c>
      <c r="D957">
        <v>98709</v>
      </c>
      <c r="E957" t="str">
        <f t="shared" si="14"/>
        <v>ia.assorted_string like '%98709-09-2024%' or</v>
      </c>
    </row>
    <row r="958" spans="1:5" x14ac:dyDescent="0.25">
      <c r="A958" t="s">
        <v>1096</v>
      </c>
      <c r="B958" t="s">
        <v>2596</v>
      </c>
      <c r="D958">
        <v>98710</v>
      </c>
      <c r="E958" t="str">
        <f t="shared" si="14"/>
        <v>ia.assorted_string like '%98710-09-2024%' or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BACF-65F4-4FEC-A6B3-3F1704503370}">
  <dimension ref="A1:C960"/>
  <sheetViews>
    <sheetView workbookViewId="0">
      <selection activeCell="E9" sqref="E9"/>
    </sheetView>
  </sheetViews>
  <sheetFormatPr defaultColWidth="7.85546875" defaultRowHeight="15" x14ac:dyDescent="0.25"/>
  <cols>
    <col min="1" max="1" width="3.140625" customWidth="1"/>
    <col min="2" max="2" width="32.85546875" customWidth="1"/>
    <col min="3" max="3" width="13.85546875" customWidth="1"/>
  </cols>
  <sheetData>
    <row r="1" spans="1:3" s="76" customFormat="1" ht="12" x14ac:dyDescent="0.2">
      <c r="A1" s="76" t="s">
        <v>2597</v>
      </c>
      <c r="B1" s="76" t="s">
        <v>2598</v>
      </c>
      <c r="C1" s="76" t="s">
        <v>2599</v>
      </c>
    </row>
    <row r="2" spans="1:3" x14ac:dyDescent="0.25">
      <c r="A2">
        <v>1</v>
      </c>
      <c r="B2" t="s">
        <v>612</v>
      </c>
      <c r="C2" t="s">
        <v>2600</v>
      </c>
    </row>
    <row r="3" spans="1:3" x14ac:dyDescent="0.25">
      <c r="A3">
        <v>2</v>
      </c>
      <c r="B3" t="s">
        <v>1055</v>
      </c>
      <c r="C3" t="s">
        <v>2601</v>
      </c>
    </row>
    <row r="4" spans="1:3" x14ac:dyDescent="0.25">
      <c r="A4">
        <v>3</v>
      </c>
      <c r="B4" t="s">
        <v>918</v>
      </c>
      <c r="C4" t="s">
        <v>2602</v>
      </c>
    </row>
    <row r="5" spans="1:3" x14ac:dyDescent="0.25">
      <c r="A5">
        <v>4</v>
      </c>
      <c r="B5" t="s">
        <v>919</v>
      </c>
      <c r="C5" t="s">
        <v>2603</v>
      </c>
    </row>
    <row r="6" spans="1:3" x14ac:dyDescent="0.25">
      <c r="A6">
        <v>5</v>
      </c>
      <c r="B6" t="s">
        <v>148</v>
      </c>
      <c r="C6" t="s">
        <v>2604</v>
      </c>
    </row>
    <row r="7" spans="1:3" x14ac:dyDescent="0.25">
      <c r="A7">
        <v>6</v>
      </c>
      <c r="B7" t="s">
        <v>149</v>
      </c>
      <c r="C7" t="s">
        <v>2605</v>
      </c>
    </row>
    <row r="8" spans="1:3" x14ac:dyDescent="0.25">
      <c r="A8">
        <v>7</v>
      </c>
      <c r="B8" t="s">
        <v>483</v>
      </c>
      <c r="C8" t="s">
        <v>2606</v>
      </c>
    </row>
    <row r="9" spans="1:3" x14ac:dyDescent="0.25">
      <c r="A9">
        <v>8</v>
      </c>
      <c r="B9" t="s">
        <v>637</v>
      </c>
      <c r="C9" t="s">
        <v>2607</v>
      </c>
    </row>
    <row r="10" spans="1:3" x14ac:dyDescent="0.25">
      <c r="A10">
        <v>9</v>
      </c>
      <c r="B10" t="s">
        <v>158</v>
      </c>
      <c r="C10" t="s">
        <v>2608</v>
      </c>
    </row>
    <row r="11" spans="1:3" x14ac:dyDescent="0.25">
      <c r="A11">
        <v>10</v>
      </c>
      <c r="B11" t="s">
        <v>610</v>
      </c>
      <c r="C11" t="s">
        <v>2609</v>
      </c>
    </row>
    <row r="12" spans="1:3" x14ac:dyDescent="0.25">
      <c r="A12">
        <v>11</v>
      </c>
      <c r="B12" t="s">
        <v>611</v>
      </c>
      <c r="C12" t="s">
        <v>2610</v>
      </c>
    </row>
    <row r="13" spans="1:3" x14ac:dyDescent="0.25">
      <c r="A13">
        <v>12</v>
      </c>
      <c r="B13" t="s">
        <v>152</v>
      </c>
      <c r="C13" t="s">
        <v>2611</v>
      </c>
    </row>
    <row r="14" spans="1:3" x14ac:dyDescent="0.25">
      <c r="A14">
        <v>13</v>
      </c>
      <c r="B14" t="s">
        <v>285</v>
      </c>
      <c r="C14" t="s">
        <v>2612</v>
      </c>
    </row>
    <row r="15" spans="1:3" x14ac:dyDescent="0.25">
      <c r="A15">
        <v>14</v>
      </c>
      <c r="B15" t="s">
        <v>147</v>
      </c>
      <c r="C15" t="s">
        <v>2613</v>
      </c>
    </row>
    <row r="16" spans="1:3" x14ac:dyDescent="0.25">
      <c r="A16">
        <v>15</v>
      </c>
      <c r="B16" t="s">
        <v>769</v>
      </c>
      <c r="C16" t="s">
        <v>2614</v>
      </c>
    </row>
    <row r="17" spans="1:3" x14ac:dyDescent="0.25">
      <c r="A17">
        <v>16</v>
      </c>
      <c r="B17" t="s">
        <v>280</v>
      </c>
      <c r="C17" t="s">
        <v>2615</v>
      </c>
    </row>
    <row r="18" spans="1:3" x14ac:dyDescent="0.25">
      <c r="A18">
        <v>17</v>
      </c>
      <c r="B18" t="s">
        <v>281</v>
      </c>
      <c r="C18" t="s">
        <v>2616</v>
      </c>
    </row>
    <row r="19" spans="1:3" x14ac:dyDescent="0.25">
      <c r="A19">
        <v>18</v>
      </c>
      <c r="B19" t="s">
        <v>255</v>
      </c>
      <c r="C19" t="s">
        <v>2617</v>
      </c>
    </row>
    <row r="20" spans="1:3" x14ac:dyDescent="0.25">
      <c r="A20">
        <v>19</v>
      </c>
      <c r="B20" t="s">
        <v>326</v>
      </c>
      <c r="C20" t="s">
        <v>2618</v>
      </c>
    </row>
    <row r="21" spans="1:3" x14ac:dyDescent="0.25">
      <c r="A21">
        <v>20</v>
      </c>
      <c r="B21" t="s">
        <v>371</v>
      </c>
      <c r="C21" t="s">
        <v>2619</v>
      </c>
    </row>
    <row r="22" spans="1:3" x14ac:dyDescent="0.25">
      <c r="A22">
        <v>21</v>
      </c>
      <c r="B22" t="s">
        <v>372</v>
      </c>
      <c r="C22" t="s">
        <v>2620</v>
      </c>
    </row>
    <row r="23" spans="1:3" x14ac:dyDescent="0.25">
      <c r="A23">
        <v>22</v>
      </c>
      <c r="B23" t="s">
        <v>388</v>
      </c>
      <c r="C23" t="s">
        <v>2621</v>
      </c>
    </row>
    <row r="24" spans="1:3" x14ac:dyDescent="0.25">
      <c r="A24">
        <v>23</v>
      </c>
      <c r="B24" t="s">
        <v>389</v>
      </c>
      <c r="C24" t="s">
        <v>2622</v>
      </c>
    </row>
    <row r="25" spans="1:3" x14ac:dyDescent="0.25">
      <c r="A25">
        <v>24</v>
      </c>
      <c r="B25" t="s">
        <v>390</v>
      </c>
      <c r="C25" t="s">
        <v>2623</v>
      </c>
    </row>
    <row r="26" spans="1:3" x14ac:dyDescent="0.25">
      <c r="A26">
        <v>25</v>
      </c>
      <c r="B26" t="s">
        <v>391</v>
      </c>
      <c r="C26" t="s">
        <v>2624</v>
      </c>
    </row>
    <row r="27" spans="1:3" x14ac:dyDescent="0.25">
      <c r="A27">
        <v>26</v>
      </c>
      <c r="B27" t="s">
        <v>416</v>
      </c>
      <c r="C27" t="s">
        <v>2625</v>
      </c>
    </row>
    <row r="28" spans="1:3" x14ac:dyDescent="0.25">
      <c r="A28">
        <v>27</v>
      </c>
      <c r="B28" t="s">
        <v>417</v>
      </c>
      <c r="C28" t="s">
        <v>2626</v>
      </c>
    </row>
    <row r="29" spans="1:3" x14ac:dyDescent="0.25">
      <c r="A29">
        <v>28</v>
      </c>
      <c r="B29" t="s">
        <v>419</v>
      </c>
      <c r="C29" t="s">
        <v>2627</v>
      </c>
    </row>
    <row r="30" spans="1:3" x14ac:dyDescent="0.25">
      <c r="A30">
        <v>29</v>
      </c>
      <c r="B30" t="s">
        <v>420</v>
      </c>
      <c r="C30" t="s">
        <v>2628</v>
      </c>
    </row>
    <row r="31" spans="1:3" x14ac:dyDescent="0.25">
      <c r="A31">
        <v>30</v>
      </c>
      <c r="B31" t="s">
        <v>495</v>
      </c>
      <c r="C31" t="s">
        <v>2629</v>
      </c>
    </row>
    <row r="32" spans="1:3" x14ac:dyDescent="0.25">
      <c r="A32">
        <v>31</v>
      </c>
      <c r="B32" t="s">
        <v>496</v>
      </c>
      <c r="C32" t="s">
        <v>2630</v>
      </c>
    </row>
    <row r="33" spans="1:3" x14ac:dyDescent="0.25">
      <c r="A33">
        <v>32</v>
      </c>
      <c r="B33" t="s">
        <v>622</v>
      </c>
      <c r="C33" t="s">
        <v>2631</v>
      </c>
    </row>
    <row r="34" spans="1:3" x14ac:dyDescent="0.25">
      <c r="A34">
        <v>33</v>
      </c>
      <c r="B34" t="s">
        <v>623</v>
      </c>
      <c r="C34" t="s">
        <v>2632</v>
      </c>
    </row>
    <row r="35" spans="1:3" x14ac:dyDescent="0.25">
      <c r="A35">
        <v>34</v>
      </c>
      <c r="B35" t="s">
        <v>624</v>
      </c>
      <c r="C35" t="s">
        <v>2633</v>
      </c>
    </row>
    <row r="36" spans="1:3" x14ac:dyDescent="0.25">
      <c r="A36">
        <v>35</v>
      </c>
      <c r="B36" t="s">
        <v>625</v>
      </c>
      <c r="C36" t="s">
        <v>2634</v>
      </c>
    </row>
    <row r="37" spans="1:3" x14ac:dyDescent="0.25">
      <c r="A37">
        <v>36</v>
      </c>
      <c r="B37" t="s">
        <v>246</v>
      </c>
      <c r="C37" t="s">
        <v>2635</v>
      </c>
    </row>
    <row r="38" spans="1:3" x14ac:dyDescent="0.25">
      <c r="A38">
        <v>37</v>
      </c>
      <c r="B38" t="s">
        <v>799</v>
      </c>
      <c r="C38" t="s">
        <v>2636</v>
      </c>
    </row>
    <row r="39" spans="1:3" x14ac:dyDescent="0.25">
      <c r="A39">
        <v>38</v>
      </c>
      <c r="B39" t="s">
        <v>800</v>
      </c>
      <c r="C39" t="s">
        <v>2637</v>
      </c>
    </row>
    <row r="40" spans="1:3" x14ac:dyDescent="0.25">
      <c r="A40">
        <v>39</v>
      </c>
      <c r="B40" t="s">
        <v>805</v>
      </c>
      <c r="C40" t="s">
        <v>2638</v>
      </c>
    </row>
    <row r="41" spans="1:3" x14ac:dyDescent="0.25">
      <c r="A41">
        <v>40</v>
      </c>
      <c r="B41" t="s">
        <v>806</v>
      </c>
      <c r="C41" t="s">
        <v>2639</v>
      </c>
    </row>
    <row r="42" spans="1:3" x14ac:dyDescent="0.25">
      <c r="A42">
        <v>41</v>
      </c>
      <c r="B42" t="s">
        <v>752</v>
      </c>
      <c r="C42" t="s">
        <v>2640</v>
      </c>
    </row>
    <row r="43" spans="1:3" x14ac:dyDescent="0.25">
      <c r="A43">
        <v>42</v>
      </c>
      <c r="B43" t="s">
        <v>754</v>
      </c>
      <c r="C43" t="s">
        <v>2641</v>
      </c>
    </row>
    <row r="44" spans="1:3" x14ac:dyDescent="0.25">
      <c r="A44">
        <v>43</v>
      </c>
      <c r="B44" t="s">
        <v>755</v>
      </c>
      <c r="C44" t="s">
        <v>2642</v>
      </c>
    </row>
    <row r="45" spans="1:3" x14ac:dyDescent="0.25">
      <c r="A45">
        <v>44</v>
      </c>
      <c r="B45" t="s">
        <v>756</v>
      </c>
      <c r="C45" t="s">
        <v>2643</v>
      </c>
    </row>
    <row r="46" spans="1:3" x14ac:dyDescent="0.25">
      <c r="A46">
        <v>45</v>
      </c>
      <c r="B46" t="s">
        <v>757</v>
      </c>
      <c r="C46" t="s">
        <v>2644</v>
      </c>
    </row>
    <row r="47" spans="1:3" x14ac:dyDescent="0.25">
      <c r="A47">
        <v>46</v>
      </c>
      <c r="B47" t="s">
        <v>791</v>
      </c>
      <c r="C47" t="s">
        <v>2645</v>
      </c>
    </row>
    <row r="48" spans="1:3" x14ac:dyDescent="0.25">
      <c r="A48">
        <v>47</v>
      </c>
      <c r="B48" t="s">
        <v>792</v>
      </c>
      <c r="C48" t="s">
        <v>2646</v>
      </c>
    </row>
    <row r="49" spans="1:3" x14ac:dyDescent="0.25">
      <c r="A49">
        <v>48</v>
      </c>
      <c r="B49" t="s">
        <v>879</v>
      </c>
      <c r="C49" t="s">
        <v>2647</v>
      </c>
    </row>
    <row r="50" spans="1:3" x14ac:dyDescent="0.25">
      <c r="A50">
        <v>49</v>
      </c>
      <c r="B50" t="s">
        <v>277</v>
      </c>
      <c r="C50" t="s">
        <v>2648</v>
      </c>
    </row>
    <row r="51" spans="1:3" x14ac:dyDescent="0.25">
      <c r="A51">
        <v>50</v>
      </c>
      <c r="B51" t="s">
        <v>264</v>
      </c>
      <c r="C51" t="s">
        <v>2649</v>
      </c>
    </row>
    <row r="52" spans="1:3" x14ac:dyDescent="0.25">
      <c r="A52">
        <v>51</v>
      </c>
      <c r="B52" t="s">
        <v>379</v>
      </c>
      <c r="C52" t="s">
        <v>2650</v>
      </c>
    </row>
    <row r="53" spans="1:3" x14ac:dyDescent="0.25">
      <c r="A53">
        <v>52</v>
      </c>
      <c r="B53" t="s">
        <v>587</v>
      </c>
      <c r="C53" t="s">
        <v>2651</v>
      </c>
    </row>
    <row r="54" spans="1:3" x14ac:dyDescent="0.25">
      <c r="A54">
        <v>53</v>
      </c>
      <c r="B54" t="s">
        <v>592</v>
      </c>
      <c r="C54" t="s">
        <v>2652</v>
      </c>
    </row>
    <row r="55" spans="1:3" x14ac:dyDescent="0.25">
      <c r="A55">
        <v>54</v>
      </c>
      <c r="B55" t="s">
        <v>594</v>
      </c>
      <c r="C55" t="s">
        <v>2653</v>
      </c>
    </row>
    <row r="56" spans="1:3" x14ac:dyDescent="0.25">
      <c r="A56">
        <v>55</v>
      </c>
      <c r="B56" t="s">
        <v>789</v>
      </c>
      <c r="C56" t="s">
        <v>2654</v>
      </c>
    </row>
    <row r="57" spans="1:3" x14ac:dyDescent="0.25">
      <c r="A57">
        <v>56</v>
      </c>
      <c r="B57" t="s">
        <v>744</v>
      </c>
      <c r="C57" t="s">
        <v>2655</v>
      </c>
    </row>
    <row r="58" spans="1:3" x14ac:dyDescent="0.25">
      <c r="A58">
        <v>57</v>
      </c>
      <c r="B58" t="s">
        <v>745</v>
      </c>
      <c r="C58" t="s">
        <v>2656</v>
      </c>
    </row>
    <row r="59" spans="1:3" x14ac:dyDescent="0.25">
      <c r="A59">
        <v>58</v>
      </c>
      <c r="B59" t="s">
        <v>409</v>
      </c>
      <c r="C59" t="s">
        <v>2657</v>
      </c>
    </row>
    <row r="60" spans="1:3" x14ac:dyDescent="0.25">
      <c r="A60">
        <v>59</v>
      </c>
      <c r="B60" t="s">
        <v>1056</v>
      </c>
      <c r="C60" t="s">
        <v>2658</v>
      </c>
    </row>
    <row r="61" spans="1:3" x14ac:dyDescent="0.25">
      <c r="A61">
        <v>60</v>
      </c>
      <c r="B61" t="s">
        <v>1058</v>
      </c>
      <c r="C61" t="s">
        <v>2659</v>
      </c>
    </row>
    <row r="62" spans="1:3" x14ac:dyDescent="0.25">
      <c r="A62">
        <v>61</v>
      </c>
      <c r="B62" t="s">
        <v>269</v>
      </c>
      <c r="C62" t="s">
        <v>2660</v>
      </c>
    </row>
    <row r="63" spans="1:3" x14ac:dyDescent="0.25">
      <c r="A63">
        <v>62</v>
      </c>
      <c r="B63" t="s">
        <v>234</v>
      </c>
      <c r="C63" t="s">
        <v>2661</v>
      </c>
    </row>
    <row r="64" spans="1:3" x14ac:dyDescent="0.25">
      <c r="A64">
        <v>63</v>
      </c>
      <c r="B64" t="s">
        <v>235</v>
      </c>
      <c r="C64" t="s">
        <v>2662</v>
      </c>
    </row>
    <row r="65" spans="1:3" x14ac:dyDescent="0.25">
      <c r="A65">
        <v>64</v>
      </c>
      <c r="B65" t="s">
        <v>236</v>
      </c>
      <c r="C65" t="s">
        <v>2663</v>
      </c>
    </row>
    <row r="66" spans="1:3" x14ac:dyDescent="0.25">
      <c r="A66">
        <v>65</v>
      </c>
      <c r="B66" t="s">
        <v>237</v>
      </c>
      <c r="C66" t="s">
        <v>2664</v>
      </c>
    </row>
    <row r="67" spans="1:3" x14ac:dyDescent="0.25">
      <c r="A67">
        <v>66</v>
      </c>
      <c r="B67" t="s">
        <v>282</v>
      </c>
      <c r="C67" t="s">
        <v>2665</v>
      </c>
    </row>
    <row r="68" spans="1:3" x14ac:dyDescent="0.25">
      <c r="A68">
        <v>67</v>
      </c>
      <c r="B68" t="s">
        <v>283</v>
      </c>
      <c r="C68" t="s">
        <v>2666</v>
      </c>
    </row>
    <row r="69" spans="1:3" x14ac:dyDescent="0.25">
      <c r="A69">
        <v>68</v>
      </c>
      <c r="B69" t="s">
        <v>986</v>
      </c>
      <c r="C69" t="s">
        <v>2667</v>
      </c>
    </row>
    <row r="70" spans="1:3" x14ac:dyDescent="0.25">
      <c r="A70">
        <v>69</v>
      </c>
      <c r="B70" t="s">
        <v>987</v>
      </c>
      <c r="C70" t="s">
        <v>2668</v>
      </c>
    </row>
    <row r="71" spans="1:3" x14ac:dyDescent="0.25">
      <c r="A71">
        <v>70</v>
      </c>
      <c r="B71" t="s">
        <v>300</v>
      </c>
      <c r="C71" t="s">
        <v>2669</v>
      </c>
    </row>
    <row r="72" spans="1:3" x14ac:dyDescent="0.25">
      <c r="A72">
        <v>71</v>
      </c>
      <c r="B72" t="s">
        <v>342</v>
      </c>
      <c r="C72" t="s">
        <v>2670</v>
      </c>
    </row>
    <row r="73" spans="1:3" x14ac:dyDescent="0.25">
      <c r="A73">
        <v>72</v>
      </c>
      <c r="B73" t="s">
        <v>344</v>
      </c>
      <c r="C73" t="s">
        <v>2671</v>
      </c>
    </row>
    <row r="74" spans="1:3" x14ac:dyDescent="0.25">
      <c r="A74">
        <v>73</v>
      </c>
      <c r="B74" t="s">
        <v>157</v>
      </c>
      <c r="C74" t="s">
        <v>2672</v>
      </c>
    </row>
    <row r="75" spans="1:3" x14ac:dyDescent="0.25">
      <c r="A75">
        <v>74</v>
      </c>
      <c r="B75" t="s">
        <v>1027</v>
      </c>
      <c r="C75" t="s">
        <v>2673</v>
      </c>
    </row>
    <row r="76" spans="1:3" x14ac:dyDescent="0.25">
      <c r="A76">
        <v>75</v>
      </c>
      <c r="B76" t="s">
        <v>655</v>
      </c>
      <c r="C76" t="s">
        <v>2674</v>
      </c>
    </row>
    <row r="77" spans="1:3" x14ac:dyDescent="0.25">
      <c r="A77">
        <v>76</v>
      </c>
      <c r="B77" t="s">
        <v>656</v>
      </c>
      <c r="C77" t="s">
        <v>2675</v>
      </c>
    </row>
    <row r="78" spans="1:3" x14ac:dyDescent="0.25">
      <c r="A78">
        <v>77</v>
      </c>
      <c r="B78" t="s">
        <v>657</v>
      </c>
      <c r="C78" t="s">
        <v>2676</v>
      </c>
    </row>
    <row r="79" spans="1:3" x14ac:dyDescent="0.25">
      <c r="A79">
        <v>78</v>
      </c>
      <c r="B79" t="s">
        <v>984</v>
      </c>
      <c r="C79" t="s">
        <v>2677</v>
      </c>
    </row>
    <row r="80" spans="1:3" x14ac:dyDescent="0.25">
      <c r="A80">
        <v>79</v>
      </c>
      <c r="B80" t="s">
        <v>985</v>
      </c>
      <c r="C80" t="s">
        <v>2678</v>
      </c>
    </row>
    <row r="81" spans="1:3" x14ac:dyDescent="0.25">
      <c r="A81">
        <v>80</v>
      </c>
      <c r="B81" t="s">
        <v>1012</v>
      </c>
      <c r="C81" t="s">
        <v>2679</v>
      </c>
    </row>
    <row r="82" spans="1:3" x14ac:dyDescent="0.25">
      <c r="A82">
        <v>81</v>
      </c>
      <c r="B82" t="s">
        <v>1013</v>
      </c>
      <c r="C82" t="s">
        <v>2680</v>
      </c>
    </row>
    <row r="83" spans="1:3" x14ac:dyDescent="0.25">
      <c r="A83">
        <v>82</v>
      </c>
      <c r="B83" t="s">
        <v>1014</v>
      </c>
      <c r="C83" t="s">
        <v>2681</v>
      </c>
    </row>
    <row r="84" spans="1:3" x14ac:dyDescent="0.25">
      <c r="A84">
        <v>83</v>
      </c>
      <c r="B84" t="s">
        <v>1015</v>
      </c>
      <c r="C84" t="s">
        <v>2682</v>
      </c>
    </row>
    <row r="85" spans="1:3" x14ac:dyDescent="0.25">
      <c r="A85">
        <v>84</v>
      </c>
      <c r="B85" t="s">
        <v>573</v>
      </c>
      <c r="C85" t="s">
        <v>2683</v>
      </c>
    </row>
    <row r="86" spans="1:3" x14ac:dyDescent="0.25">
      <c r="A86">
        <v>85</v>
      </c>
      <c r="B86" t="s">
        <v>790</v>
      </c>
      <c r="C86" t="s">
        <v>2684</v>
      </c>
    </row>
    <row r="87" spans="1:3" x14ac:dyDescent="0.25">
      <c r="A87">
        <v>86</v>
      </c>
      <c r="B87" t="s">
        <v>355</v>
      </c>
      <c r="C87" t="s">
        <v>2685</v>
      </c>
    </row>
    <row r="88" spans="1:3" x14ac:dyDescent="0.25">
      <c r="A88">
        <v>87</v>
      </c>
      <c r="B88" t="s">
        <v>356</v>
      </c>
      <c r="C88" t="s">
        <v>2686</v>
      </c>
    </row>
    <row r="89" spans="1:3" x14ac:dyDescent="0.25">
      <c r="A89">
        <v>88</v>
      </c>
      <c r="B89" t="s">
        <v>816</v>
      </c>
      <c r="C89" t="s">
        <v>2687</v>
      </c>
    </row>
    <row r="90" spans="1:3" x14ac:dyDescent="0.25">
      <c r="A90">
        <v>89</v>
      </c>
      <c r="B90" t="s">
        <v>817</v>
      </c>
      <c r="C90" t="s">
        <v>2688</v>
      </c>
    </row>
    <row r="91" spans="1:3" x14ac:dyDescent="0.25">
      <c r="A91">
        <v>90</v>
      </c>
      <c r="B91" t="s">
        <v>818</v>
      </c>
      <c r="C91" t="s">
        <v>2689</v>
      </c>
    </row>
    <row r="92" spans="1:3" x14ac:dyDescent="0.25">
      <c r="A92">
        <v>91</v>
      </c>
      <c r="B92" t="s">
        <v>930</v>
      </c>
      <c r="C92" t="s">
        <v>2690</v>
      </c>
    </row>
    <row r="93" spans="1:3" x14ac:dyDescent="0.25">
      <c r="A93">
        <v>92</v>
      </c>
      <c r="B93" t="s">
        <v>493</v>
      </c>
      <c r="C93" t="s">
        <v>2691</v>
      </c>
    </row>
    <row r="94" spans="1:3" x14ac:dyDescent="0.25">
      <c r="A94">
        <v>93</v>
      </c>
      <c r="B94" t="s">
        <v>494</v>
      </c>
      <c r="C94" t="s">
        <v>2692</v>
      </c>
    </row>
    <row r="95" spans="1:3" x14ac:dyDescent="0.25">
      <c r="A95">
        <v>94</v>
      </c>
      <c r="B95" t="s">
        <v>539</v>
      </c>
      <c r="C95" t="s">
        <v>2693</v>
      </c>
    </row>
    <row r="96" spans="1:3" x14ac:dyDescent="0.25">
      <c r="A96">
        <v>95</v>
      </c>
      <c r="B96" t="s">
        <v>457</v>
      </c>
      <c r="C96" t="s">
        <v>2694</v>
      </c>
    </row>
    <row r="97" spans="1:3" x14ac:dyDescent="0.25">
      <c r="A97">
        <v>96</v>
      </c>
      <c r="B97" t="s">
        <v>843</v>
      </c>
      <c r="C97" t="s">
        <v>2695</v>
      </c>
    </row>
    <row r="98" spans="1:3" x14ac:dyDescent="0.25">
      <c r="A98">
        <v>97</v>
      </c>
      <c r="B98" t="s">
        <v>845</v>
      </c>
      <c r="C98" t="s">
        <v>2696</v>
      </c>
    </row>
    <row r="99" spans="1:3" x14ac:dyDescent="0.25">
      <c r="A99">
        <v>98</v>
      </c>
      <c r="B99" t="s">
        <v>846</v>
      </c>
      <c r="C99" t="s">
        <v>2697</v>
      </c>
    </row>
    <row r="100" spans="1:3" x14ac:dyDescent="0.25">
      <c r="A100">
        <v>99</v>
      </c>
      <c r="B100" t="s">
        <v>847</v>
      </c>
      <c r="C100" t="s">
        <v>2698</v>
      </c>
    </row>
    <row r="101" spans="1:3" x14ac:dyDescent="0.25">
      <c r="A101">
        <v>100</v>
      </c>
      <c r="B101" t="s">
        <v>482</v>
      </c>
      <c r="C101" t="s">
        <v>2699</v>
      </c>
    </row>
    <row r="102" spans="1:3" x14ac:dyDescent="0.25">
      <c r="A102">
        <v>101</v>
      </c>
      <c r="B102" t="s">
        <v>596</v>
      </c>
      <c r="C102" t="s">
        <v>2700</v>
      </c>
    </row>
    <row r="103" spans="1:3" x14ac:dyDescent="0.25">
      <c r="A103">
        <v>102</v>
      </c>
      <c r="B103" t="s">
        <v>597</v>
      </c>
      <c r="C103" t="s">
        <v>2701</v>
      </c>
    </row>
    <row r="104" spans="1:3" x14ac:dyDescent="0.25">
      <c r="A104">
        <v>103</v>
      </c>
      <c r="B104" t="s">
        <v>598</v>
      </c>
      <c r="C104" t="s">
        <v>2702</v>
      </c>
    </row>
    <row r="105" spans="1:3" x14ac:dyDescent="0.25">
      <c r="A105">
        <v>104</v>
      </c>
      <c r="B105" t="s">
        <v>928</v>
      </c>
      <c r="C105" t="s">
        <v>2703</v>
      </c>
    </row>
    <row r="106" spans="1:3" x14ac:dyDescent="0.25">
      <c r="A106">
        <v>105</v>
      </c>
      <c r="B106" t="s">
        <v>929</v>
      </c>
      <c r="C106" t="s">
        <v>2704</v>
      </c>
    </row>
    <row r="107" spans="1:3" x14ac:dyDescent="0.25">
      <c r="A107">
        <v>106</v>
      </c>
      <c r="B107" t="s">
        <v>569</v>
      </c>
      <c r="C107" t="s">
        <v>2705</v>
      </c>
    </row>
    <row r="108" spans="1:3" x14ac:dyDescent="0.25">
      <c r="A108">
        <v>107</v>
      </c>
      <c r="B108" t="s">
        <v>570</v>
      </c>
      <c r="C108" t="s">
        <v>2706</v>
      </c>
    </row>
    <row r="109" spans="1:3" x14ac:dyDescent="0.25">
      <c r="A109">
        <v>108</v>
      </c>
      <c r="B109" t="s">
        <v>572</v>
      </c>
      <c r="C109" t="s">
        <v>2707</v>
      </c>
    </row>
    <row r="110" spans="1:3" x14ac:dyDescent="0.25">
      <c r="A110">
        <v>109</v>
      </c>
      <c r="B110" t="s">
        <v>485</v>
      </c>
      <c r="C110" t="s">
        <v>2708</v>
      </c>
    </row>
    <row r="111" spans="1:3" x14ac:dyDescent="0.25">
      <c r="A111">
        <v>110</v>
      </c>
      <c r="B111" t="s">
        <v>906</v>
      </c>
      <c r="C111" t="s">
        <v>2709</v>
      </c>
    </row>
    <row r="112" spans="1:3" x14ac:dyDescent="0.25">
      <c r="A112">
        <v>111</v>
      </c>
      <c r="B112" t="s">
        <v>907</v>
      </c>
      <c r="C112" t="s">
        <v>2710</v>
      </c>
    </row>
    <row r="113" spans="1:3" x14ac:dyDescent="0.25">
      <c r="A113">
        <v>112</v>
      </c>
      <c r="B113" t="s">
        <v>910</v>
      </c>
      <c r="C113" t="s">
        <v>2711</v>
      </c>
    </row>
    <row r="114" spans="1:3" x14ac:dyDescent="0.25">
      <c r="A114">
        <v>113</v>
      </c>
      <c r="B114" t="s">
        <v>911</v>
      </c>
      <c r="C114" t="s">
        <v>2712</v>
      </c>
    </row>
    <row r="115" spans="1:3" x14ac:dyDescent="0.25">
      <c r="A115">
        <v>114</v>
      </c>
      <c r="B115" t="s">
        <v>912</v>
      </c>
      <c r="C115" t="s">
        <v>2713</v>
      </c>
    </row>
    <row r="116" spans="1:3" x14ac:dyDescent="0.25">
      <c r="A116">
        <v>115</v>
      </c>
      <c r="B116" t="s">
        <v>914</v>
      </c>
      <c r="C116" t="s">
        <v>2714</v>
      </c>
    </row>
    <row r="117" spans="1:3" x14ac:dyDescent="0.25">
      <c r="A117">
        <v>116</v>
      </c>
      <c r="B117" t="s">
        <v>502</v>
      </c>
      <c r="C117" t="s">
        <v>2715</v>
      </c>
    </row>
    <row r="118" spans="1:3" x14ac:dyDescent="0.25">
      <c r="A118">
        <v>117</v>
      </c>
      <c r="B118" t="s">
        <v>503</v>
      </c>
      <c r="C118" t="s">
        <v>2716</v>
      </c>
    </row>
    <row r="119" spans="1:3" x14ac:dyDescent="0.25">
      <c r="A119">
        <v>118</v>
      </c>
      <c r="B119" t="s">
        <v>505</v>
      </c>
      <c r="C119" t="s">
        <v>2717</v>
      </c>
    </row>
    <row r="120" spans="1:3" x14ac:dyDescent="0.25">
      <c r="A120">
        <v>119</v>
      </c>
      <c r="B120" t="s">
        <v>506</v>
      </c>
      <c r="C120" t="s">
        <v>2718</v>
      </c>
    </row>
    <row r="121" spans="1:3" x14ac:dyDescent="0.25">
      <c r="A121">
        <v>120</v>
      </c>
      <c r="B121" t="s">
        <v>507</v>
      </c>
      <c r="C121" t="s">
        <v>2719</v>
      </c>
    </row>
    <row r="122" spans="1:3" x14ac:dyDescent="0.25">
      <c r="A122">
        <v>121</v>
      </c>
      <c r="B122" t="s">
        <v>508</v>
      </c>
      <c r="C122" t="s">
        <v>2720</v>
      </c>
    </row>
    <row r="123" spans="1:3" x14ac:dyDescent="0.25">
      <c r="A123">
        <v>122</v>
      </c>
      <c r="B123" t="s">
        <v>515</v>
      </c>
      <c r="C123" t="s">
        <v>2721</v>
      </c>
    </row>
    <row r="124" spans="1:3" x14ac:dyDescent="0.25">
      <c r="A124">
        <v>123</v>
      </c>
      <c r="B124" t="s">
        <v>609</v>
      </c>
      <c r="C124" t="s">
        <v>2722</v>
      </c>
    </row>
    <row r="125" spans="1:3" x14ac:dyDescent="0.25">
      <c r="A125">
        <v>124</v>
      </c>
      <c r="B125" t="s">
        <v>197</v>
      </c>
      <c r="C125" t="s">
        <v>2723</v>
      </c>
    </row>
    <row r="126" spans="1:3" x14ac:dyDescent="0.25">
      <c r="A126">
        <v>125</v>
      </c>
      <c r="B126" t="s">
        <v>200</v>
      </c>
      <c r="C126" t="s">
        <v>2724</v>
      </c>
    </row>
    <row r="127" spans="1:3" x14ac:dyDescent="0.25">
      <c r="A127">
        <v>126</v>
      </c>
      <c r="B127" t="s">
        <v>202</v>
      </c>
      <c r="C127" t="s">
        <v>2725</v>
      </c>
    </row>
    <row r="128" spans="1:3" x14ac:dyDescent="0.25">
      <c r="A128">
        <v>127</v>
      </c>
      <c r="B128" t="s">
        <v>1039</v>
      </c>
      <c r="C128" t="s">
        <v>2726</v>
      </c>
    </row>
    <row r="129" spans="1:3" x14ac:dyDescent="0.25">
      <c r="A129">
        <v>128</v>
      </c>
      <c r="B129" t="s">
        <v>1040</v>
      </c>
      <c r="C129" t="s">
        <v>2727</v>
      </c>
    </row>
    <row r="130" spans="1:3" x14ac:dyDescent="0.25">
      <c r="A130">
        <v>129</v>
      </c>
      <c r="B130" t="s">
        <v>1041</v>
      </c>
      <c r="C130" t="s">
        <v>2728</v>
      </c>
    </row>
    <row r="131" spans="1:3" x14ac:dyDescent="0.25">
      <c r="A131">
        <v>130</v>
      </c>
      <c r="B131" t="s">
        <v>203</v>
      </c>
      <c r="C131" t="s">
        <v>2729</v>
      </c>
    </row>
    <row r="132" spans="1:3" x14ac:dyDescent="0.25">
      <c r="A132">
        <v>131</v>
      </c>
      <c r="B132" t="s">
        <v>164</v>
      </c>
      <c r="C132" t="s">
        <v>2730</v>
      </c>
    </row>
    <row r="133" spans="1:3" x14ac:dyDescent="0.25">
      <c r="A133">
        <v>132</v>
      </c>
      <c r="B133" t="s">
        <v>165</v>
      </c>
      <c r="C133" t="s">
        <v>2731</v>
      </c>
    </row>
    <row r="134" spans="1:3" x14ac:dyDescent="0.25">
      <c r="A134">
        <v>133</v>
      </c>
      <c r="B134" t="s">
        <v>166</v>
      </c>
      <c r="C134" t="s">
        <v>2732</v>
      </c>
    </row>
    <row r="135" spans="1:3" x14ac:dyDescent="0.25">
      <c r="A135">
        <v>134</v>
      </c>
      <c r="B135" t="s">
        <v>167</v>
      </c>
      <c r="C135" t="s">
        <v>2733</v>
      </c>
    </row>
    <row r="136" spans="1:3" x14ac:dyDescent="0.25">
      <c r="A136">
        <v>135</v>
      </c>
      <c r="B136" t="s">
        <v>168</v>
      </c>
      <c r="C136" t="s">
        <v>2734</v>
      </c>
    </row>
    <row r="137" spans="1:3" x14ac:dyDescent="0.25">
      <c r="A137">
        <v>136</v>
      </c>
      <c r="B137" t="s">
        <v>204</v>
      </c>
      <c r="C137" t="s">
        <v>2735</v>
      </c>
    </row>
    <row r="138" spans="1:3" x14ac:dyDescent="0.25">
      <c r="A138">
        <v>137</v>
      </c>
      <c r="B138" t="s">
        <v>205</v>
      </c>
      <c r="C138" t="s">
        <v>2736</v>
      </c>
    </row>
    <row r="139" spans="1:3" x14ac:dyDescent="0.25">
      <c r="A139">
        <v>138</v>
      </c>
      <c r="B139" t="s">
        <v>381</v>
      </c>
      <c r="C139" t="s">
        <v>2737</v>
      </c>
    </row>
    <row r="140" spans="1:3" x14ac:dyDescent="0.25">
      <c r="A140">
        <v>139</v>
      </c>
      <c r="B140" t="s">
        <v>383</v>
      </c>
      <c r="C140" t="s">
        <v>2738</v>
      </c>
    </row>
    <row r="141" spans="1:3" x14ac:dyDescent="0.25">
      <c r="A141">
        <v>140</v>
      </c>
      <c r="B141" t="s">
        <v>219</v>
      </c>
      <c r="C141" t="s">
        <v>2739</v>
      </c>
    </row>
    <row r="142" spans="1:3" x14ac:dyDescent="0.25">
      <c r="A142">
        <v>141</v>
      </c>
      <c r="B142" t="s">
        <v>221</v>
      </c>
      <c r="C142" t="s">
        <v>2740</v>
      </c>
    </row>
    <row r="143" spans="1:3" x14ac:dyDescent="0.25">
      <c r="A143">
        <v>142</v>
      </c>
      <c r="B143" t="s">
        <v>254</v>
      </c>
      <c r="C143" t="s">
        <v>2741</v>
      </c>
    </row>
    <row r="144" spans="1:3" x14ac:dyDescent="0.25">
      <c r="A144">
        <v>143</v>
      </c>
      <c r="B144" t="s">
        <v>256</v>
      </c>
      <c r="C144" t="s">
        <v>2742</v>
      </c>
    </row>
    <row r="145" spans="1:3" x14ac:dyDescent="0.25">
      <c r="A145">
        <v>144</v>
      </c>
      <c r="B145" t="s">
        <v>257</v>
      </c>
      <c r="C145" t="s">
        <v>2743</v>
      </c>
    </row>
    <row r="146" spans="1:3" x14ac:dyDescent="0.25">
      <c r="A146">
        <v>145</v>
      </c>
      <c r="B146" t="s">
        <v>526</v>
      </c>
      <c r="C146" t="s">
        <v>2744</v>
      </c>
    </row>
    <row r="147" spans="1:3" x14ac:dyDescent="0.25">
      <c r="A147">
        <v>146</v>
      </c>
      <c r="B147" t="s">
        <v>1009</v>
      </c>
      <c r="C147" t="s">
        <v>2745</v>
      </c>
    </row>
    <row r="148" spans="1:3" x14ac:dyDescent="0.25">
      <c r="A148">
        <v>147</v>
      </c>
      <c r="B148" t="s">
        <v>1010</v>
      </c>
      <c r="C148" t="s">
        <v>2746</v>
      </c>
    </row>
    <row r="149" spans="1:3" x14ac:dyDescent="0.25">
      <c r="A149">
        <v>148</v>
      </c>
      <c r="B149" t="s">
        <v>292</v>
      </c>
      <c r="C149" t="s">
        <v>2747</v>
      </c>
    </row>
    <row r="150" spans="1:3" x14ac:dyDescent="0.25">
      <c r="A150">
        <v>149</v>
      </c>
      <c r="B150" t="s">
        <v>581</v>
      </c>
      <c r="C150" t="s">
        <v>2748</v>
      </c>
    </row>
    <row r="151" spans="1:3" x14ac:dyDescent="0.25">
      <c r="A151">
        <v>150</v>
      </c>
      <c r="B151" t="s">
        <v>583</v>
      </c>
      <c r="C151" t="s">
        <v>2749</v>
      </c>
    </row>
    <row r="152" spans="1:3" x14ac:dyDescent="0.25">
      <c r="A152">
        <v>151</v>
      </c>
      <c r="B152" t="s">
        <v>584</v>
      </c>
      <c r="C152" t="s">
        <v>2750</v>
      </c>
    </row>
    <row r="153" spans="1:3" x14ac:dyDescent="0.25">
      <c r="A153">
        <v>152</v>
      </c>
      <c r="B153" t="s">
        <v>585</v>
      </c>
      <c r="C153" t="s">
        <v>2751</v>
      </c>
    </row>
    <row r="154" spans="1:3" x14ac:dyDescent="0.25">
      <c r="A154">
        <v>153</v>
      </c>
      <c r="B154" t="s">
        <v>588</v>
      </c>
      <c r="C154" t="s">
        <v>2752</v>
      </c>
    </row>
    <row r="155" spans="1:3" x14ac:dyDescent="0.25">
      <c r="A155">
        <v>154</v>
      </c>
      <c r="B155" t="s">
        <v>591</v>
      </c>
      <c r="C155" t="s">
        <v>2753</v>
      </c>
    </row>
    <row r="156" spans="1:3" x14ac:dyDescent="0.25">
      <c r="A156">
        <v>155</v>
      </c>
      <c r="B156" t="s">
        <v>593</v>
      </c>
      <c r="C156" t="s">
        <v>2754</v>
      </c>
    </row>
    <row r="157" spans="1:3" x14ac:dyDescent="0.25">
      <c r="A157">
        <v>156</v>
      </c>
      <c r="B157" t="s">
        <v>595</v>
      </c>
      <c r="C157" t="s">
        <v>2755</v>
      </c>
    </row>
    <row r="158" spans="1:3" x14ac:dyDescent="0.25">
      <c r="A158">
        <v>157</v>
      </c>
      <c r="B158" t="s">
        <v>525</v>
      </c>
      <c r="C158" t="s">
        <v>2756</v>
      </c>
    </row>
    <row r="159" spans="1:3" x14ac:dyDescent="0.25">
      <c r="A159">
        <v>158</v>
      </c>
      <c r="B159" t="s">
        <v>561</v>
      </c>
      <c r="C159" t="s">
        <v>2757</v>
      </c>
    </row>
    <row r="160" spans="1:3" x14ac:dyDescent="0.25">
      <c r="A160">
        <v>159</v>
      </c>
      <c r="B160" t="s">
        <v>680</v>
      </c>
      <c r="C160" t="s">
        <v>2758</v>
      </c>
    </row>
    <row r="161" spans="1:3" x14ac:dyDescent="0.25">
      <c r="A161">
        <v>160</v>
      </c>
      <c r="B161" t="s">
        <v>681</v>
      </c>
      <c r="C161" t="s">
        <v>2759</v>
      </c>
    </row>
    <row r="162" spans="1:3" x14ac:dyDescent="0.25">
      <c r="A162">
        <v>161</v>
      </c>
      <c r="B162" t="s">
        <v>764</v>
      </c>
      <c r="C162" t="s">
        <v>2760</v>
      </c>
    </row>
    <row r="163" spans="1:3" x14ac:dyDescent="0.25">
      <c r="A163">
        <v>162</v>
      </c>
      <c r="B163" t="s">
        <v>765</v>
      </c>
      <c r="C163" t="s">
        <v>2761</v>
      </c>
    </row>
    <row r="164" spans="1:3" x14ac:dyDescent="0.25">
      <c r="A164">
        <v>163</v>
      </c>
      <c r="B164" t="s">
        <v>766</v>
      </c>
      <c r="C164" t="s">
        <v>2762</v>
      </c>
    </row>
    <row r="165" spans="1:3" x14ac:dyDescent="0.25">
      <c r="A165">
        <v>164</v>
      </c>
      <c r="B165" t="s">
        <v>767</v>
      </c>
      <c r="C165" t="s">
        <v>2763</v>
      </c>
    </row>
    <row r="166" spans="1:3" x14ac:dyDescent="0.25">
      <c r="A166">
        <v>165</v>
      </c>
      <c r="B166" t="s">
        <v>768</v>
      </c>
      <c r="C166" t="s">
        <v>2764</v>
      </c>
    </row>
    <row r="167" spans="1:3" x14ac:dyDescent="0.25">
      <c r="A167">
        <v>166</v>
      </c>
      <c r="B167" t="s">
        <v>774</v>
      </c>
      <c r="C167" t="s">
        <v>2765</v>
      </c>
    </row>
    <row r="168" spans="1:3" x14ac:dyDescent="0.25">
      <c r="A168">
        <v>167</v>
      </c>
      <c r="B168" t="s">
        <v>778</v>
      </c>
      <c r="C168" t="s">
        <v>2766</v>
      </c>
    </row>
    <row r="169" spans="1:3" x14ac:dyDescent="0.25">
      <c r="A169">
        <v>168</v>
      </c>
      <c r="B169" t="s">
        <v>780</v>
      </c>
      <c r="C169" t="s">
        <v>2767</v>
      </c>
    </row>
    <row r="170" spans="1:3" x14ac:dyDescent="0.25">
      <c r="A170">
        <v>169</v>
      </c>
      <c r="B170" t="s">
        <v>977</v>
      </c>
      <c r="C170" t="s">
        <v>2768</v>
      </c>
    </row>
    <row r="171" spans="1:3" x14ac:dyDescent="0.25">
      <c r="A171">
        <v>170</v>
      </c>
      <c r="B171" t="s">
        <v>614</v>
      </c>
      <c r="C171" t="s">
        <v>2769</v>
      </c>
    </row>
    <row r="172" spans="1:3" x14ac:dyDescent="0.25">
      <c r="A172">
        <v>171</v>
      </c>
      <c r="B172" t="s">
        <v>615</v>
      </c>
      <c r="C172" t="s">
        <v>2770</v>
      </c>
    </row>
    <row r="173" spans="1:3" x14ac:dyDescent="0.25">
      <c r="A173">
        <v>172</v>
      </c>
      <c r="B173" t="s">
        <v>617</v>
      </c>
      <c r="C173" t="s">
        <v>2771</v>
      </c>
    </row>
    <row r="174" spans="1:3" x14ac:dyDescent="0.25">
      <c r="A174">
        <v>173</v>
      </c>
      <c r="B174" t="s">
        <v>619</v>
      </c>
      <c r="C174" t="s">
        <v>2772</v>
      </c>
    </row>
    <row r="175" spans="1:3" x14ac:dyDescent="0.25">
      <c r="A175">
        <v>174</v>
      </c>
      <c r="B175" t="s">
        <v>620</v>
      </c>
      <c r="C175" t="s">
        <v>2773</v>
      </c>
    </row>
    <row r="176" spans="1:3" x14ac:dyDescent="0.25">
      <c r="A176">
        <v>175</v>
      </c>
      <c r="B176" t="s">
        <v>621</v>
      </c>
      <c r="C176" t="s">
        <v>2774</v>
      </c>
    </row>
    <row r="177" spans="1:3" x14ac:dyDescent="0.25">
      <c r="A177">
        <v>176</v>
      </c>
      <c r="B177" t="s">
        <v>784</v>
      </c>
      <c r="C177" t="s">
        <v>2775</v>
      </c>
    </row>
    <row r="178" spans="1:3" x14ac:dyDescent="0.25">
      <c r="A178">
        <v>177</v>
      </c>
      <c r="B178" t="s">
        <v>786</v>
      </c>
      <c r="C178" t="s">
        <v>2776</v>
      </c>
    </row>
    <row r="179" spans="1:3" x14ac:dyDescent="0.25">
      <c r="A179">
        <v>178</v>
      </c>
      <c r="B179" t="s">
        <v>499</v>
      </c>
      <c r="C179" t="s">
        <v>2777</v>
      </c>
    </row>
    <row r="180" spans="1:3" x14ac:dyDescent="0.25">
      <c r="A180">
        <v>179</v>
      </c>
      <c r="B180" t="s">
        <v>500</v>
      </c>
      <c r="C180" t="s">
        <v>2778</v>
      </c>
    </row>
    <row r="181" spans="1:3" x14ac:dyDescent="0.25">
      <c r="A181">
        <v>180</v>
      </c>
      <c r="B181" t="s">
        <v>501</v>
      </c>
      <c r="C181" t="s">
        <v>2779</v>
      </c>
    </row>
    <row r="182" spans="1:3" x14ac:dyDescent="0.25">
      <c r="A182">
        <v>181</v>
      </c>
      <c r="B182" t="s">
        <v>542</v>
      </c>
      <c r="C182" t="s">
        <v>2780</v>
      </c>
    </row>
    <row r="183" spans="1:3" x14ac:dyDescent="0.25">
      <c r="A183">
        <v>182</v>
      </c>
      <c r="B183" t="s">
        <v>1094</v>
      </c>
      <c r="C183" t="s">
        <v>2781</v>
      </c>
    </row>
    <row r="184" spans="1:3" x14ac:dyDescent="0.25">
      <c r="A184">
        <v>183</v>
      </c>
      <c r="B184" t="s">
        <v>1096</v>
      </c>
      <c r="C184" t="s">
        <v>2782</v>
      </c>
    </row>
    <row r="185" spans="1:3" x14ac:dyDescent="0.25">
      <c r="A185">
        <v>184</v>
      </c>
      <c r="B185" t="s">
        <v>673</v>
      </c>
      <c r="C185" t="s">
        <v>2783</v>
      </c>
    </row>
    <row r="186" spans="1:3" x14ac:dyDescent="0.25">
      <c r="A186">
        <v>185</v>
      </c>
      <c r="B186" t="s">
        <v>718</v>
      </c>
      <c r="C186" t="s">
        <v>2784</v>
      </c>
    </row>
    <row r="187" spans="1:3" x14ac:dyDescent="0.25">
      <c r="A187">
        <v>186</v>
      </c>
      <c r="B187" t="s">
        <v>719</v>
      </c>
      <c r="C187" t="s">
        <v>2785</v>
      </c>
    </row>
    <row r="188" spans="1:3" x14ac:dyDescent="0.25">
      <c r="A188">
        <v>187</v>
      </c>
      <c r="B188" t="s">
        <v>720</v>
      </c>
      <c r="C188" t="s">
        <v>2786</v>
      </c>
    </row>
    <row r="189" spans="1:3" x14ac:dyDescent="0.25">
      <c r="A189">
        <v>188</v>
      </c>
      <c r="B189" t="s">
        <v>721</v>
      </c>
      <c r="C189" t="s">
        <v>2787</v>
      </c>
    </row>
    <row r="190" spans="1:3" x14ac:dyDescent="0.25">
      <c r="A190">
        <v>189</v>
      </c>
      <c r="B190" t="s">
        <v>991</v>
      </c>
      <c r="C190" t="s">
        <v>2788</v>
      </c>
    </row>
    <row r="191" spans="1:3" x14ac:dyDescent="0.25">
      <c r="A191">
        <v>190</v>
      </c>
      <c r="B191" t="s">
        <v>528</v>
      </c>
      <c r="C191" t="s">
        <v>2789</v>
      </c>
    </row>
    <row r="192" spans="1:3" x14ac:dyDescent="0.25">
      <c r="A192">
        <v>191</v>
      </c>
      <c r="B192" t="s">
        <v>274</v>
      </c>
      <c r="C192" t="s">
        <v>2790</v>
      </c>
    </row>
    <row r="193" spans="1:3" x14ac:dyDescent="0.25">
      <c r="A193">
        <v>192</v>
      </c>
      <c r="B193" t="s">
        <v>275</v>
      </c>
      <c r="C193" t="s">
        <v>2791</v>
      </c>
    </row>
    <row r="194" spans="1:3" x14ac:dyDescent="0.25">
      <c r="A194">
        <v>193</v>
      </c>
      <c r="B194" t="s">
        <v>176</v>
      </c>
      <c r="C194" t="s">
        <v>2792</v>
      </c>
    </row>
    <row r="195" spans="1:3" x14ac:dyDescent="0.25">
      <c r="A195">
        <v>194</v>
      </c>
      <c r="B195" t="s">
        <v>191</v>
      </c>
      <c r="C195" t="s">
        <v>2793</v>
      </c>
    </row>
    <row r="196" spans="1:3" x14ac:dyDescent="0.25">
      <c r="A196">
        <v>195</v>
      </c>
      <c r="B196" t="s">
        <v>198</v>
      </c>
      <c r="C196" t="s">
        <v>2794</v>
      </c>
    </row>
    <row r="197" spans="1:3" x14ac:dyDescent="0.25">
      <c r="A197">
        <v>196</v>
      </c>
      <c r="B197" t="s">
        <v>199</v>
      </c>
      <c r="C197" t="s">
        <v>2795</v>
      </c>
    </row>
    <row r="198" spans="1:3" x14ac:dyDescent="0.25">
      <c r="A198">
        <v>197</v>
      </c>
      <c r="B198" t="s">
        <v>201</v>
      </c>
      <c r="C198" t="s">
        <v>2796</v>
      </c>
    </row>
    <row r="199" spans="1:3" x14ac:dyDescent="0.25">
      <c r="A199">
        <v>198</v>
      </c>
      <c r="B199" t="s">
        <v>226</v>
      </c>
      <c r="C199" t="s">
        <v>2797</v>
      </c>
    </row>
    <row r="200" spans="1:3" x14ac:dyDescent="0.25">
      <c r="A200">
        <v>199</v>
      </c>
      <c r="B200" t="s">
        <v>227</v>
      </c>
      <c r="C200" t="s">
        <v>2798</v>
      </c>
    </row>
    <row r="201" spans="1:3" x14ac:dyDescent="0.25">
      <c r="A201">
        <v>200</v>
      </c>
      <c r="B201" t="s">
        <v>244</v>
      </c>
      <c r="C201" t="s">
        <v>2799</v>
      </c>
    </row>
    <row r="202" spans="1:3" x14ac:dyDescent="0.25">
      <c r="A202">
        <v>201</v>
      </c>
      <c r="B202" t="s">
        <v>153</v>
      </c>
      <c r="C202" t="s">
        <v>2800</v>
      </c>
    </row>
    <row r="203" spans="1:3" x14ac:dyDescent="0.25">
      <c r="A203">
        <v>202</v>
      </c>
      <c r="B203" t="s">
        <v>154</v>
      </c>
      <c r="C203" t="s">
        <v>2801</v>
      </c>
    </row>
    <row r="204" spans="1:3" x14ac:dyDescent="0.25">
      <c r="A204">
        <v>203</v>
      </c>
      <c r="B204" t="s">
        <v>233</v>
      </c>
      <c r="C204" t="s">
        <v>2802</v>
      </c>
    </row>
    <row r="205" spans="1:3" x14ac:dyDescent="0.25">
      <c r="A205">
        <v>204</v>
      </c>
      <c r="B205" t="s">
        <v>351</v>
      </c>
      <c r="C205" t="s">
        <v>2803</v>
      </c>
    </row>
    <row r="206" spans="1:3" x14ac:dyDescent="0.25">
      <c r="A206">
        <v>205</v>
      </c>
      <c r="B206" t="s">
        <v>352</v>
      </c>
      <c r="C206" t="s">
        <v>2804</v>
      </c>
    </row>
    <row r="207" spans="1:3" x14ac:dyDescent="0.25">
      <c r="A207">
        <v>206</v>
      </c>
      <c r="B207" t="s">
        <v>1059</v>
      </c>
      <c r="C207" t="s">
        <v>2805</v>
      </c>
    </row>
    <row r="208" spans="1:3" x14ac:dyDescent="0.25">
      <c r="A208">
        <v>207</v>
      </c>
      <c r="B208" t="s">
        <v>1061</v>
      </c>
      <c r="C208" t="s">
        <v>2806</v>
      </c>
    </row>
    <row r="209" spans="1:3" x14ac:dyDescent="0.25">
      <c r="A209">
        <v>208</v>
      </c>
      <c r="B209" t="s">
        <v>1062</v>
      </c>
      <c r="C209" t="s">
        <v>2807</v>
      </c>
    </row>
    <row r="210" spans="1:3" x14ac:dyDescent="0.25">
      <c r="A210">
        <v>209</v>
      </c>
      <c r="B210" t="s">
        <v>1064</v>
      </c>
      <c r="C210" t="s">
        <v>2808</v>
      </c>
    </row>
    <row r="211" spans="1:3" x14ac:dyDescent="0.25">
      <c r="A211">
        <v>210</v>
      </c>
      <c r="B211" t="s">
        <v>520</v>
      </c>
      <c r="C211" t="s">
        <v>2809</v>
      </c>
    </row>
    <row r="212" spans="1:3" x14ac:dyDescent="0.25">
      <c r="A212">
        <v>211</v>
      </c>
      <c r="B212" t="s">
        <v>521</v>
      </c>
      <c r="C212" t="s">
        <v>2810</v>
      </c>
    </row>
    <row r="213" spans="1:3" x14ac:dyDescent="0.25">
      <c r="A213">
        <v>212</v>
      </c>
      <c r="B213" t="s">
        <v>668</v>
      </c>
      <c r="C213" t="s">
        <v>2811</v>
      </c>
    </row>
    <row r="214" spans="1:3" x14ac:dyDescent="0.25">
      <c r="A214">
        <v>213</v>
      </c>
      <c r="B214" t="s">
        <v>669</v>
      </c>
      <c r="C214" t="s">
        <v>2812</v>
      </c>
    </row>
    <row r="215" spans="1:3" x14ac:dyDescent="0.25">
      <c r="A215">
        <v>214</v>
      </c>
      <c r="B215" t="s">
        <v>693</v>
      </c>
      <c r="C215" t="s">
        <v>2813</v>
      </c>
    </row>
    <row r="216" spans="1:3" x14ac:dyDescent="0.25">
      <c r="A216">
        <v>215</v>
      </c>
      <c r="B216" t="s">
        <v>1078</v>
      </c>
      <c r="C216" t="s">
        <v>2814</v>
      </c>
    </row>
    <row r="217" spans="1:3" x14ac:dyDescent="0.25">
      <c r="A217">
        <v>216</v>
      </c>
      <c r="B217" t="s">
        <v>1079</v>
      </c>
      <c r="C217" t="s">
        <v>2815</v>
      </c>
    </row>
    <row r="218" spans="1:3" x14ac:dyDescent="0.25">
      <c r="A218">
        <v>217</v>
      </c>
      <c r="B218" t="s">
        <v>997</v>
      </c>
      <c r="C218" t="s">
        <v>2816</v>
      </c>
    </row>
    <row r="219" spans="1:3" x14ac:dyDescent="0.25">
      <c r="A219">
        <v>218</v>
      </c>
      <c r="B219" t="s">
        <v>194</v>
      </c>
      <c r="C219" t="s">
        <v>2817</v>
      </c>
    </row>
    <row r="220" spans="1:3" x14ac:dyDescent="0.25">
      <c r="A220">
        <v>219</v>
      </c>
      <c r="B220" t="s">
        <v>278</v>
      </c>
      <c r="C220" t="s">
        <v>2818</v>
      </c>
    </row>
    <row r="221" spans="1:3" x14ac:dyDescent="0.25">
      <c r="A221">
        <v>220</v>
      </c>
      <c r="B221" t="s">
        <v>279</v>
      </c>
      <c r="C221" t="s">
        <v>2819</v>
      </c>
    </row>
    <row r="222" spans="1:3" x14ac:dyDescent="0.25">
      <c r="A222">
        <v>221</v>
      </c>
      <c r="B222" t="s">
        <v>945</v>
      </c>
      <c r="C222" t="s">
        <v>2820</v>
      </c>
    </row>
    <row r="223" spans="1:3" x14ac:dyDescent="0.25">
      <c r="A223">
        <v>222</v>
      </c>
      <c r="B223" t="s">
        <v>946</v>
      </c>
      <c r="C223" t="s">
        <v>2821</v>
      </c>
    </row>
    <row r="224" spans="1:3" x14ac:dyDescent="0.25">
      <c r="A224">
        <v>223</v>
      </c>
      <c r="B224" t="s">
        <v>948</v>
      </c>
      <c r="C224" t="s">
        <v>2822</v>
      </c>
    </row>
    <row r="225" spans="1:3" x14ac:dyDescent="0.25">
      <c r="A225">
        <v>224</v>
      </c>
      <c r="B225" t="s">
        <v>206</v>
      </c>
      <c r="C225" t="s">
        <v>2823</v>
      </c>
    </row>
    <row r="226" spans="1:3" x14ac:dyDescent="0.25">
      <c r="A226">
        <v>225</v>
      </c>
      <c r="B226" t="s">
        <v>988</v>
      </c>
      <c r="C226" t="s">
        <v>2824</v>
      </c>
    </row>
    <row r="227" spans="1:3" x14ac:dyDescent="0.25">
      <c r="A227">
        <v>226</v>
      </c>
      <c r="B227" t="s">
        <v>989</v>
      </c>
      <c r="C227" t="s">
        <v>2825</v>
      </c>
    </row>
    <row r="228" spans="1:3" x14ac:dyDescent="0.25">
      <c r="A228">
        <v>227</v>
      </c>
      <c r="B228" t="s">
        <v>317</v>
      </c>
      <c r="C228" t="s">
        <v>2826</v>
      </c>
    </row>
    <row r="229" spans="1:3" x14ac:dyDescent="0.25">
      <c r="A229">
        <v>228</v>
      </c>
      <c r="B229" t="s">
        <v>318</v>
      </c>
      <c r="C229" t="s">
        <v>2827</v>
      </c>
    </row>
    <row r="230" spans="1:3" x14ac:dyDescent="0.25">
      <c r="A230">
        <v>229</v>
      </c>
      <c r="B230" t="s">
        <v>320</v>
      </c>
      <c r="C230" t="s">
        <v>2828</v>
      </c>
    </row>
    <row r="231" spans="1:3" x14ac:dyDescent="0.25">
      <c r="A231">
        <v>230</v>
      </c>
      <c r="B231" t="s">
        <v>365</v>
      </c>
      <c r="C231" t="s">
        <v>2829</v>
      </c>
    </row>
    <row r="232" spans="1:3" x14ac:dyDescent="0.25">
      <c r="A232">
        <v>231</v>
      </c>
      <c r="B232" t="s">
        <v>366</v>
      </c>
      <c r="C232" t="s">
        <v>2830</v>
      </c>
    </row>
    <row r="233" spans="1:3" x14ac:dyDescent="0.25">
      <c r="A233">
        <v>232</v>
      </c>
      <c r="B233" t="s">
        <v>426</v>
      </c>
      <c r="C233" t="s">
        <v>2831</v>
      </c>
    </row>
    <row r="234" spans="1:3" x14ac:dyDescent="0.25">
      <c r="A234">
        <v>233</v>
      </c>
      <c r="B234" t="s">
        <v>1057</v>
      </c>
      <c r="C234" t="s">
        <v>2832</v>
      </c>
    </row>
    <row r="235" spans="1:3" x14ac:dyDescent="0.25">
      <c r="A235">
        <v>234</v>
      </c>
      <c r="B235" t="s">
        <v>990</v>
      </c>
      <c r="C235" t="s">
        <v>2833</v>
      </c>
    </row>
    <row r="236" spans="1:3" x14ac:dyDescent="0.25">
      <c r="A236">
        <v>235</v>
      </c>
      <c r="B236" t="s">
        <v>992</v>
      </c>
      <c r="C236" t="s">
        <v>2834</v>
      </c>
    </row>
    <row r="237" spans="1:3" x14ac:dyDescent="0.25">
      <c r="A237">
        <v>236</v>
      </c>
      <c r="B237" t="s">
        <v>994</v>
      </c>
      <c r="C237" t="s">
        <v>2835</v>
      </c>
    </row>
    <row r="238" spans="1:3" x14ac:dyDescent="0.25">
      <c r="A238">
        <v>237</v>
      </c>
      <c r="B238" t="s">
        <v>261</v>
      </c>
      <c r="C238" t="s">
        <v>2836</v>
      </c>
    </row>
    <row r="239" spans="1:3" x14ac:dyDescent="0.25">
      <c r="A239">
        <v>238</v>
      </c>
      <c r="B239" t="s">
        <v>1050</v>
      </c>
      <c r="C239" t="s">
        <v>2837</v>
      </c>
    </row>
    <row r="240" spans="1:3" x14ac:dyDescent="0.25">
      <c r="A240">
        <v>239</v>
      </c>
      <c r="B240" t="s">
        <v>1051</v>
      </c>
      <c r="C240" t="s">
        <v>2838</v>
      </c>
    </row>
    <row r="241" spans="1:3" x14ac:dyDescent="0.25">
      <c r="A241">
        <v>240</v>
      </c>
      <c r="B241" t="s">
        <v>1052</v>
      </c>
      <c r="C241" t="s">
        <v>2839</v>
      </c>
    </row>
    <row r="242" spans="1:3" x14ac:dyDescent="0.25">
      <c r="A242">
        <v>241</v>
      </c>
      <c r="B242" t="s">
        <v>270</v>
      </c>
      <c r="C242" t="s">
        <v>2840</v>
      </c>
    </row>
    <row r="243" spans="1:3" x14ac:dyDescent="0.25">
      <c r="A243">
        <v>242</v>
      </c>
      <c r="B243" t="s">
        <v>179</v>
      </c>
      <c r="C243" t="s">
        <v>2841</v>
      </c>
    </row>
    <row r="244" spans="1:3" x14ac:dyDescent="0.25">
      <c r="A244">
        <v>243</v>
      </c>
      <c r="B244" t="s">
        <v>181</v>
      </c>
      <c r="C244" t="s">
        <v>2842</v>
      </c>
    </row>
    <row r="245" spans="1:3" x14ac:dyDescent="0.25">
      <c r="A245">
        <v>244</v>
      </c>
      <c r="B245" t="s">
        <v>189</v>
      </c>
      <c r="C245" t="s">
        <v>2843</v>
      </c>
    </row>
    <row r="246" spans="1:3" x14ac:dyDescent="0.25">
      <c r="A246">
        <v>245</v>
      </c>
      <c r="B246" t="s">
        <v>190</v>
      </c>
      <c r="C246" t="s">
        <v>2844</v>
      </c>
    </row>
    <row r="247" spans="1:3" x14ac:dyDescent="0.25">
      <c r="A247">
        <v>246</v>
      </c>
      <c r="B247" t="s">
        <v>192</v>
      </c>
      <c r="C247" t="s">
        <v>2845</v>
      </c>
    </row>
    <row r="248" spans="1:3" x14ac:dyDescent="0.25">
      <c r="A248">
        <v>247</v>
      </c>
      <c r="B248" t="s">
        <v>534</v>
      </c>
      <c r="C248" t="s">
        <v>2846</v>
      </c>
    </row>
    <row r="249" spans="1:3" x14ac:dyDescent="0.25">
      <c r="A249">
        <v>248</v>
      </c>
      <c r="B249" t="s">
        <v>231</v>
      </c>
      <c r="C249" t="s">
        <v>2847</v>
      </c>
    </row>
    <row r="250" spans="1:3" x14ac:dyDescent="0.25">
      <c r="A250">
        <v>249</v>
      </c>
      <c r="B250" t="s">
        <v>232</v>
      </c>
      <c r="C250" t="s">
        <v>2848</v>
      </c>
    </row>
    <row r="251" spans="1:3" x14ac:dyDescent="0.25">
      <c r="A251">
        <v>250</v>
      </c>
      <c r="B251" t="s">
        <v>156</v>
      </c>
      <c r="C251" t="s">
        <v>2849</v>
      </c>
    </row>
    <row r="252" spans="1:3" x14ac:dyDescent="0.25">
      <c r="A252">
        <v>251</v>
      </c>
      <c r="B252" t="s">
        <v>556</v>
      </c>
      <c r="C252" t="s">
        <v>2850</v>
      </c>
    </row>
    <row r="253" spans="1:3" x14ac:dyDescent="0.25">
      <c r="A253">
        <v>252</v>
      </c>
      <c r="B253" t="s">
        <v>558</v>
      </c>
      <c r="C253" t="s">
        <v>2851</v>
      </c>
    </row>
    <row r="254" spans="1:3" x14ac:dyDescent="0.25">
      <c r="A254">
        <v>253</v>
      </c>
      <c r="B254" t="s">
        <v>560</v>
      </c>
      <c r="C254" t="s">
        <v>2852</v>
      </c>
    </row>
    <row r="255" spans="1:3" x14ac:dyDescent="0.25">
      <c r="A255">
        <v>254</v>
      </c>
      <c r="B255" t="s">
        <v>362</v>
      </c>
      <c r="C255" t="s">
        <v>2853</v>
      </c>
    </row>
    <row r="256" spans="1:3" x14ac:dyDescent="0.25">
      <c r="A256">
        <v>255</v>
      </c>
      <c r="B256" t="s">
        <v>368</v>
      </c>
      <c r="C256" t="s">
        <v>2854</v>
      </c>
    </row>
    <row r="257" spans="1:3" x14ac:dyDescent="0.25">
      <c r="A257">
        <v>256</v>
      </c>
      <c r="B257" t="s">
        <v>373</v>
      </c>
      <c r="C257" t="s">
        <v>2855</v>
      </c>
    </row>
    <row r="258" spans="1:3" x14ac:dyDescent="0.25">
      <c r="A258">
        <v>257</v>
      </c>
      <c r="B258" t="s">
        <v>380</v>
      </c>
      <c r="C258" t="s">
        <v>2856</v>
      </c>
    </row>
    <row r="259" spans="1:3" x14ac:dyDescent="0.25">
      <c r="A259">
        <v>258</v>
      </c>
      <c r="B259" t="s">
        <v>382</v>
      </c>
      <c r="C259" t="s">
        <v>2857</v>
      </c>
    </row>
    <row r="260" spans="1:3" x14ac:dyDescent="0.25">
      <c r="A260">
        <v>259</v>
      </c>
      <c r="B260" t="s">
        <v>387</v>
      </c>
      <c r="C260" t="s">
        <v>2858</v>
      </c>
    </row>
    <row r="261" spans="1:3" x14ac:dyDescent="0.25">
      <c r="A261">
        <v>260</v>
      </c>
      <c r="B261" t="s">
        <v>392</v>
      </c>
      <c r="C261" t="s">
        <v>2859</v>
      </c>
    </row>
    <row r="262" spans="1:3" x14ac:dyDescent="0.25">
      <c r="A262">
        <v>261</v>
      </c>
      <c r="B262" t="s">
        <v>393</v>
      </c>
      <c r="C262" t="s">
        <v>2860</v>
      </c>
    </row>
    <row r="263" spans="1:3" x14ac:dyDescent="0.25">
      <c r="A263">
        <v>262</v>
      </c>
      <c r="B263" t="s">
        <v>394</v>
      </c>
      <c r="C263" t="s">
        <v>2861</v>
      </c>
    </row>
    <row r="264" spans="1:3" x14ac:dyDescent="0.25">
      <c r="A264">
        <v>263</v>
      </c>
      <c r="B264" t="s">
        <v>395</v>
      </c>
      <c r="C264" t="s">
        <v>2862</v>
      </c>
    </row>
    <row r="265" spans="1:3" x14ac:dyDescent="0.25">
      <c r="A265">
        <v>264</v>
      </c>
      <c r="B265" t="s">
        <v>396</v>
      </c>
      <c r="C265" t="s">
        <v>2863</v>
      </c>
    </row>
    <row r="266" spans="1:3" x14ac:dyDescent="0.25">
      <c r="A266">
        <v>265</v>
      </c>
      <c r="B266" t="s">
        <v>397</v>
      </c>
      <c r="C266" t="s">
        <v>2864</v>
      </c>
    </row>
    <row r="267" spans="1:3" x14ac:dyDescent="0.25">
      <c r="A267">
        <v>266</v>
      </c>
      <c r="B267" t="s">
        <v>398</v>
      </c>
      <c r="C267" t="s">
        <v>2865</v>
      </c>
    </row>
    <row r="268" spans="1:3" x14ac:dyDescent="0.25">
      <c r="A268">
        <v>267</v>
      </c>
      <c r="B268" t="s">
        <v>399</v>
      </c>
      <c r="C268" t="s">
        <v>2866</v>
      </c>
    </row>
    <row r="269" spans="1:3" x14ac:dyDescent="0.25">
      <c r="A269">
        <v>268</v>
      </c>
      <c r="B269" t="s">
        <v>702</v>
      </c>
      <c r="C269" t="s">
        <v>2867</v>
      </c>
    </row>
    <row r="270" spans="1:3" x14ac:dyDescent="0.25">
      <c r="A270">
        <v>269</v>
      </c>
      <c r="B270" t="s">
        <v>703</v>
      </c>
      <c r="C270" t="s">
        <v>2868</v>
      </c>
    </row>
    <row r="271" spans="1:3" x14ac:dyDescent="0.25">
      <c r="A271">
        <v>270</v>
      </c>
      <c r="B271" t="s">
        <v>704</v>
      </c>
      <c r="C271" t="s">
        <v>2869</v>
      </c>
    </row>
    <row r="272" spans="1:3" x14ac:dyDescent="0.25">
      <c r="A272">
        <v>271</v>
      </c>
      <c r="B272" t="s">
        <v>705</v>
      </c>
      <c r="C272" t="s">
        <v>2870</v>
      </c>
    </row>
    <row r="273" spans="1:3" x14ac:dyDescent="0.25">
      <c r="A273">
        <v>272</v>
      </c>
      <c r="B273" t="s">
        <v>706</v>
      </c>
      <c r="C273" t="s">
        <v>2871</v>
      </c>
    </row>
    <row r="274" spans="1:3" x14ac:dyDescent="0.25">
      <c r="A274">
        <v>273</v>
      </c>
      <c r="B274" t="s">
        <v>707</v>
      </c>
      <c r="C274" t="s">
        <v>2872</v>
      </c>
    </row>
    <row r="275" spans="1:3" x14ac:dyDescent="0.25">
      <c r="A275">
        <v>274</v>
      </c>
      <c r="B275" t="s">
        <v>710</v>
      </c>
      <c r="C275" t="s">
        <v>2873</v>
      </c>
    </row>
    <row r="276" spans="1:3" x14ac:dyDescent="0.25">
      <c r="A276">
        <v>275</v>
      </c>
      <c r="B276" t="s">
        <v>711</v>
      </c>
      <c r="C276" t="s">
        <v>2874</v>
      </c>
    </row>
    <row r="277" spans="1:3" x14ac:dyDescent="0.25">
      <c r="A277">
        <v>276</v>
      </c>
      <c r="B277" t="s">
        <v>712</v>
      </c>
      <c r="C277" t="s">
        <v>2875</v>
      </c>
    </row>
    <row r="278" spans="1:3" x14ac:dyDescent="0.25">
      <c r="A278">
        <v>277</v>
      </c>
      <c r="B278" t="s">
        <v>788</v>
      </c>
      <c r="C278" t="s">
        <v>2876</v>
      </c>
    </row>
    <row r="279" spans="1:3" x14ac:dyDescent="0.25">
      <c r="A279">
        <v>278</v>
      </c>
      <c r="B279" t="s">
        <v>901</v>
      </c>
      <c r="C279" t="s">
        <v>2877</v>
      </c>
    </row>
    <row r="280" spans="1:3" x14ac:dyDescent="0.25">
      <c r="A280">
        <v>279</v>
      </c>
      <c r="B280" t="s">
        <v>995</v>
      </c>
      <c r="C280" t="s">
        <v>2878</v>
      </c>
    </row>
    <row r="281" spans="1:3" x14ac:dyDescent="0.25">
      <c r="A281">
        <v>280</v>
      </c>
      <c r="B281" t="s">
        <v>306</v>
      </c>
      <c r="C281" t="s">
        <v>2879</v>
      </c>
    </row>
    <row r="282" spans="1:3" x14ac:dyDescent="0.25">
      <c r="A282">
        <v>281</v>
      </c>
      <c r="B282" t="s">
        <v>440</v>
      </c>
      <c r="C282" t="s">
        <v>2880</v>
      </c>
    </row>
    <row r="283" spans="1:3" x14ac:dyDescent="0.25">
      <c r="A283">
        <v>282</v>
      </c>
      <c r="B283" t="s">
        <v>441</v>
      </c>
      <c r="C283" t="s">
        <v>2881</v>
      </c>
    </row>
    <row r="284" spans="1:3" x14ac:dyDescent="0.25">
      <c r="A284">
        <v>283</v>
      </c>
      <c r="B284" t="s">
        <v>442</v>
      </c>
      <c r="C284" t="s">
        <v>2882</v>
      </c>
    </row>
    <row r="285" spans="1:3" x14ac:dyDescent="0.25">
      <c r="A285">
        <v>284</v>
      </c>
      <c r="B285" t="s">
        <v>443</v>
      </c>
      <c r="C285" t="s">
        <v>2883</v>
      </c>
    </row>
    <row r="286" spans="1:3" x14ac:dyDescent="0.25">
      <c r="A286">
        <v>285</v>
      </c>
      <c r="B286" t="s">
        <v>445</v>
      </c>
      <c r="C286" t="s">
        <v>2884</v>
      </c>
    </row>
    <row r="287" spans="1:3" x14ac:dyDescent="0.25">
      <c r="A287">
        <v>286</v>
      </c>
      <c r="B287" t="s">
        <v>446</v>
      </c>
      <c r="C287" t="s">
        <v>2885</v>
      </c>
    </row>
    <row r="288" spans="1:3" x14ac:dyDescent="0.25">
      <c r="A288">
        <v>287</v>
      </c>
      <c r="B288" t="s">
        <v>775</v>
      </c>
      <c r="C288" t="s">
        <v>2886</v>
      </c>
    </row>
    <row r="289" spans="1:3" x14ac:dyDescent="0.25">
      <c r="A289">
        <v>288</v>
      </c>
      <c r="B289" t="s">
        <v>776</v>
      </c>
      <c r="C289" t="s">
        <v>2887</v>
      </c>
    </row>
    <row r="290" spans="1:3" x14ac:dyDescent="0.25">
      <c r="A290">
        <v>289</v>
      </c>
      <c r="B290" t="s">
        <v>779</v>
      </c>
      <c r="C290" t="s">
        <v>2888</v>
      </c>
    </row>
    <row r="291" spans="1:3" x14ac:dyDescent="0.25">
      <c r="A291">
        <v>290</v>
      </c>
      <c r="B291" t="s">
        <v>782</v>
      </c>
      <c r="C291" t="s">
        <v>2889</v>
      </c>
    </row>
    <row r="292" spans="1:3" x14ac:dyDescent="0.25">
      <c r="A292">
        <v>291</v>
      </c>
      <c r="B292" t="s">
        <v>811</v>
      </c>
      <c r="C292" t="s">
        <v>2890</v>
      </c>
    </row>
    <row r="293" spans="1:3" x14ac:dyDescent="0.25">
      <c r="A293">
        <v>292</v>
      </c>
      <c r="B293" t="s">
        <v>812</v>
      </c>
      <c r="C293" t="s">
        <v>2891</v>
      </c>
    </row>
    <row r="294" spans="1:3" x14ac:dyDescent="0.25">
      <c r="A294">
        <v>293</v>
      </c>
      <c r="B294" t="s">
        <v>823</v>
      </c>
      <c r="C294" t="s">
        <v>2892</v>
      </c>
    </row>
    <row r="295" spans="1:3" x14ac:dyDescent="0.25">
      <c r="A295">
        <v>294</v>
      </c>
      <c r="B295" t="s">
        <v>824</v>
      </c>
      <c r="C295" t="s">
        <v>2893</v>
      </c>
    </row>
    <row r="296" spans="1:3" x14ac:dyDescent="0.25">
      <c r="A296">
        <v>295</v>
      </c>
      <c r="B296" t="s">
        <v>827</v>
      </c>
      <c r="C296" t="s">
        <v>2894</v>
      </c>
    </row>
    <row r="297" spans="1:3" x14ac:dyDescent="0.25">
      <c r="A297">
        <v>296</v>
      </c>
      <c r="B297" t="s">
        <v>828</v>
      </c>
      <c r="C297" t="s">
        <v>2895</v>
      </c>
    </row>
    <row r="298" spans="1:3" x14ac:dyDescent="0.25">
      <c r="A298">
        <v>297</v>
      </c>
      <c r="B298" t="s">
        <v>498</v>
      </c>
      <c r="C298" t="s">
        <v>2896</v>
      </c>
    </row>
    <row r="299" spans="1:3" x14ac:dyDescent="0.25">
      <c r="A299">
        <v>298</v>
      </c>
      <c r="B299" t="s">
        <v>837</v>
      </c>
      <c r="C299" t="s">
        <v>2897</v>
      </c>
    </row>
    <row r="300" spans="1:3" x14ac:dyDescent="0.25">
      <c r="A300">
        <v>299</v>
      </c>
      <c r="B300" t="s">
        <v>798</v>
      </c>
      <c r="C300" t="s">
        <v>2898</v>
      </c>
    </row>
    <row r="301" spans="1:3" x14ac:dyDescent="0.25">
      <c r="A301">
        <v>300</v>
      </c>
      <c r="B301" t="s">
        <v>859</v>
      </c>
      <c r="C301" t="s">
        <v>2899</v>
      </c>
    </row>
    <row r="302" spans="1:3" x14ac:dyDescent="0.25">
      <c r="A302">
        <v>301</v>
      </c>
      <c r="B302" t="s">
        <v>1043</v>
      </c>
      <c r="C302" t="s">
        <v>2900</v>
      </c>
    </row>
    <row r="303" spans="1:3" x14ac:dyDescent="0.25">
      <c r="A303">
        <v>302</v>
      </c>
      <c r="B303" t="s">
        <v>1021</v>
      </c>
      <c r="C303" t="s">
        <v>2901</v>
      </c>
    </row>
    <row r="304" spans="1:3" x14ac:dyDescent="0.25">
      <c r="A304">
        <v>303</v>
      </c>
      <c r="B304" t="s">
        <v>1022</v>
      </c>
      <c r="C304" t="s">
        <v>2902</v>
      </c>
    </row>
    <row r="305" spans="1:3" x14ac:dyDescent="0.25">
      <c r="A305">
        <v>304</v>
      </c>
      <c r="B305" t="s">
        <v>293</v>
      </c>
      <c r="C305" t="s">
        <v>2903</v>
      </c>
    </row>
    <row r="306" spans="1:3" x14ac:dyDescent="0.25">
      <c r="A306">
        <v>305</v>
      </c>
      <c r="B306" t="s">
        <v>294</v>
      </c>
      <c r="C306" t="s">
        <v>2904</v>
      </c>
    </row>
    <row r="307" spans="1:3" x14ac:dyDescent="0.25">
      <c r="A307">
        <v>306</v>
      </c>
      <c r="B307" t="s">
        <v>295</v>
      </c>
      <c r="C307" t="s">
        <v>2905</v>
      </c>
    </row>
    <row r="308" spans="1:3" x14ac:dyDescent="0.25">
      <c r="A308">
        <v>307</v>
      </c>
      <c r="B308" t="s">
        <v>296</v>
      </c>
      <c r="C308" t="s">
        <v>2906</v>
      </c>
    </row>
    <row r="309" spans="1:3" x14ac:dyDescent="0.25">
      <c r="A309">
        <v>308</v>
      </c>
      <c r="B309" t="s">
        <v>297</v>
      </c>
      <c r="C309" t="s">
        <v>2907</v>
      </c>
    </row>
    <row r="310" spans="1:3" x14ac:dyDescent="0.25">
      <c r="A310">
        <v>309</v>
      </c>
      <c r="B310" t="s">
        <v>298</v>
      </c>
      <c r="C310" t="s">
        <v>2908</v>
      </c>
    </row>
    <row r="311" spans="1:3" x14ac:dyDescent="0.25">
      <c r="A311">
        <v>310</v>
      </c>
      <c r="B311" t="s">
        <v>299</v>
      </c>
      <c r="C311" t="s">
        <v>2909</v>
      </c>
    </row>
    <row r="312" spans="1:3" x14ac:dyDescent="0.25">
      <c r="A312">
        <v>311</v>
      </c>
      <c r="B312" t="s">
        <v>301</v>
      </c>
      <c r="C312" t="s">
        <v>2910</v>
      </c>
    </row>
    <row r="313" spans="1:3" x14ac:dyDescent="0.25">
      <c r="A313">
        <v>312</v>
      </c>
      <c r="B313" t="s">
        <v>571</v>
      </c>
      <c r="C313" t="s">
        <v>2911</v>
      </c>
    </row>
    <row r="314" spans="1:3" x14ac:dyDescent="0.25">
      <c r="A314">
        <v>313</v>
      </c>
      <c r="B314" t="s">
        <v>1044</v>
      </c>
      <c r="C314" t="s">
        <v>2912</v>
      </c>
    </row>
    <row r="315" spans="1:3" x14ac:dyDescent="0.25">
      <c r="A315">
        <v>314</v>
      </c>
      <c r="B315" t="s">
        <v>1047</v>
      </c>
      <c r="C315" t="s">
        <v>2913</v>
      </c>
    </row>
    <row r="316" spans="1:3" x14ac:dyDescent="0.25">
      <c r="A316">
        <v>315</v>
      </c>
      <c r="B316" t="s">
        <v>1048</v>
      </c>
      <c r="C316" t="s">
        <v>2914</v>
      </c>
    </row>
    <row r="317" spans="1:3" x14ac:dyDescent="0.25">
      <c r="A317">
        <v>316</v>
      </c>
      <c r="B317" t="s">
        <v>1049</v>
      </c>
      <c r="C317" t="s">
        <v>2915</v>
      </c>
    </row>
    <row r="318" spans="1:3" x14ac:dyDescent="0.25">
      <c r="A318">
        <v>317</v>
      </c>
      <c r="B318" t="s">
        <v>276</v>
      </c>
      <c r="C318" t="s">
        <v>2916</v>
      </c>
    </row>
    <row r="319" spans="1:3" x14ac:dyDescent="0.25">
      <c r="A319">
        <v>318</v>
      </c>
      <c r="B319" t="s">
        <v>543</v>
      </c>
      <c r="C319" t="s">
        <v>2917</v>
      </c>
    </row>
    <row r="320" spans="1:3" x14ac:dyDescent="0.25">
      <c r="A320">
        <v>319</v>
      </c>
      <c r="B320" t="s">
        <v>548</v>
      </c>
      <c r="C320" t="s">
        <v>2918</v>
      </c>
    </row>
    <row r="321" spans="1:3" x14ac:dyDescent="0.25">
      <c r="A321">
        <v>320</v>
      </c>
      <c r="B321" t="s">
        <v>549</v>
      </c>
      <c r="C321" t="s">
        <v>2919</v>
      </c>
    </row>
    <row r="322" spans="1:3" x14ac:dyDescent="0.25">
      <c r="A322">
        <v>321</v>
      </c>
      <c r="B322" t="s">
        <v>550</v>
      </c>
      <c r="C322" t="s">
        <v>2920</v>
      </c>
    </row>
    <row r="323" spans="1:3" x14ac:dyDescent="0.25">
      <c r="A323">
        <v>322</v>
      </c>
      <c r="B323" t="s">
        <v>555</v>
      </c>
      <c r="C323" t="s">
        <v>2921</v>
      </c>
    </row>
    <row r="324" spans="1:3" x14ac:dyDescent="0.25">
      <c r="A324">
        <v>323</v>
      </c>
      <c r="B324" t="s">
        <v>557</v>
      </c>
      <c r="C324" t="s">
        <v>2922</v>
      </c>
    </row>
    <row r="325" spans="1:3" x14ac:dyDescent="0.25">
      <c r="A325">
        <v>324</v>
      </c>
      <c r="B325" t="s">
        <v>160</v>
      </c>
      <c r="C325" t="s">
        <v>2923</v>
      </c>
    </row>
    <row r="326" spans="1:3" x14ac:dyDescent="0.25">
      <c r="A326">
        <v>325</v>
      </c>
      <c r="B326" t="s">
        <v>177</v>
      </c>
      <c r="C326" t="s">
        <v>2924</v>
      </c>
    </row>
    <row r="327" spans="1:3" x14ac:dyDescent="0.25">
      <c r="A327">
        <v>326</v>
      </c>
      <c r="B327" t="s">
        <v>182</v>
      </c>
      <c r="C327" t="s">
        <v>2925</v>
      </c>
    </row>
    <row r="328" spans="1:3" x14ac:dyDescent="0.25">
      <c r="A328">
        <v>327</v>
      </c>
      <c r="B328" t="s">
        <v>183</v>
      </c>
      <c r="C328" t="s">
        <v>2926</v>
      </c>
    </row>
    <row r="329" spans="1:3" x14ac:dyDescent="0.25">
      <c r="A329">
        <v>328</v>
      </c>
      <c r="B329" t="s">
        <v>184</v>
      </c>
      <c r="C329" t="s">
        <v>2927</v>
      </c>
    </row>
    <row r="330" spans="1:3" x14ac:dyDescent="0.25">
      <c r="A330">
        <v>329</v>
      </c>
      <c r="B330" t="s">
        <v>185</v>
      </c>
      <c r="C330" t="s">
        <v>2928</v>
      </c>
    </row>
    <row r="331" spans="1:3" x14ac:dyDescent="0.25">
      <c r="A331">
        <v>330</v>
      </c>
      <c r="B331" t="s">
        <v>186</v>
      </c>
      <c r="C331" t="s">
        <v>2929</v>
      </c>
    </row>
    <row r="332" spans="1:3" x14ac:dyDescent="0.25">
      <c r="A332">
        <v>331</v>
      </c>
      <c r="B332" t="s">
        <v>188</v>
      </c>
      <c r="C332" t="s">
        <v>2930</v>
      </c>
    </row>
    <row r="333" spans="1:3" x14ac:dyDescent="0.25">
      <c r="A333">
        <v>332</v>
      </c>
      <c r="B333" t="s">
        <v>377</v>
      </c>
      <c r="C333" t="s">
        <v>2931</v>
      </c>
    </row>
    <row r="334" spans="1:3" x14ac:dyDescent="0.25">
      <c r="A334">
        <v>333</v>
      </c>
      <c r="B334" t="s">
        <v>1019</v>
      </c>
      <c r="C334" t="s">
        <v>2932</v>
      </c>
    </row>
    <row r="335" spans="1:3" x14ac:dyDescent="0.25">
      <c r="A335">
        <v>334</v>
      </c>
      <c r="B335" t="s">
        <v>1020</v>
      </c>
      <c r="C335" t="s">
        <v>2933</v>
      </c>
    </row>
    <row r="336" spans="1:3" x14ac:dyDescent="0.25">
      <c r="A336">
        <v>335</v>
      </c>
      <c r="B336" t="s">
        <v>466</v>
      </c>
      <c r="C336" t="s">
        <v>2934</v>
      </c>
    </row>
    <row r="337" spans="1:3" x14ac:dyDescent="0.25">
      <c r="A337">
        <v>336</v>
      </c>
      <c r="B337" t="s">
        <v>467</v>
      </c>
      <c r="C337" t="s">
        <v>2935</v>
      </c>
    </row>
    <row r="338" spans="1:3" x14ac:dyDescent="0.25">
      <c r="A338">
        <v>337</v>
      </c>
      <c r="B338" t="s">
        <v>468</v>
      </c>
      <c r="C338" t="s">
        <v>2936</v>
      </c>
    </row>
    <row r="339" spans="1:3" x14ac:dyDescent="0.25">
      <c r="A339">
        <v>338</v>
      </c>
      <c r="B339" t="s">
        <v>469</v>
      </c>
      <c r="C339" t="s">
        <v>2937</v>
      </c>
    </row>
    <row r="340" spans="1:3" x14ac:dyDescent="0.25">
      <c r="A340">
        <v>339</v>
      </c>
      <c r="B340" t="s">
        <v>470</v>
      </c>
      <c r="C340" t="s">
        <v>2938</v>
      </c>
    </row>
    <row r="341" spans="1:3" x14ac:dyDescent="0.25">
      <c r="A341">
        <v>340</v>
      </c>
      <c r="B341" t="s">
        <v>471</v>
      </c>
      <c r="C341" t="s">
        <v>2939</v>
      </c>
    </row>
    <row r="342" spans="1:3" x14ac:dyDescent="0.25">
      <c r="A342">
        <v>341</v>
      </c>
      <c r="B342" t="s">
        <v>473</v>
      </c>
      <c r="C342" t="s">
        <v>2940</v>
      </c>
    </row>
    <row r="343" spans="1:3" x14ac:dyDescent="0.25">
      <c r="A343">
        <v>342</v>
      </c>
      <c r="B343" t="s">
        <v>486</v>
      </c>
      <c r="C343" t="s">
        <v>2941</v>
      </c>
    </row>
    <row r="344" spans="1:3" x14ac:dyDescent="0.25">
      <c r="A344">
        <v>343</v>
      </c>
      <c r="B344" t="s">
        <v>497</v>
      </c>
      <c r="C344" t="s">
        <v>2942</v>
      </c>
    </row>
    <row r="345" spans="1:3" x14ac:dyDescent="0.25">
      <c r="A345">
        <v>344</v>
      </c>
      <c r="B345" t="s">
        <v>286</v>
      </c>
      <c r="C345" t="s">
        <v>2943</v>
      </c>
    </row>
    <row r="346" spans="1:3" x14ac:dyDescent="0.25">
      <c r="A346">
        <v>345</v>
      </c>
      <c r="B346" t="s">
        <v>474</v>
      </c>
      <c r="C346" t="s">
        <v>2944</v>
      </c>
    </row>
    <row r="347" spans="1:3" x14ac:dyDescent="0.25">
      <c r="A347">
        <v>346</v>
      </c>
      <c r="B347" t="s">
        <v>222</v>
      </c>
      <c r="C347" t="s">
        <v>2945</v>
      </c>
    </row>
    <row r="348" spans="1:3" x14ac:dyDescent="0.25">
      <c r="A348">
        <v>347</v>
      </c>
      <c r="B348" t="s">
        <v>223</v>
      </c>
      <c r="C348" t="s">
        <v>2946</v>
      </c>
    </row>
    <row r="349" spans="1:3" x14ac:dyDescent="0.25">
      <c r="A349">
        <v>348</v>
      </c>
      <c r="B349" t="s">
        <v>475</v>
      </c>
      <c r="C349" t="s">
        <v>2947</v>
      </c>
    </row>
    <row r="350" spans="1:3" x14ac:dyDescent="0.25">
      <c r="A350">
        <v>349</v>
      </c>
      <c r="B350" t="s">
        <v>476</v>
      </c>
      <c r="C350" t="s">
        <v>2948</v>
      </c>
    </row>
    <row r="351" spans="1:3" x14ac:dyDescent="0.25">
      <c r="A351">
        <v>350</v>
      </c>
      <c r="B351" t="s">
        <v>477</v>
      </c>
      <c r="C351" t="s">
        <v>2949</v>
      </c>
    </row>
    <row r="352" spans="1:3" x14ac:dyDescent="0.25">
      <c r="A352">
        <v>351</v>
      </c>
      <c r="B352" t="s">
        <v>478</v>
      </c>
      <c r="C352" t="s">
        <v>2950</v>
      </c>
    </row>
    <row r="353" spans="1:3" x14ac:dyDescent="0.25">
      <c r="A353">
        <v>352</v>
      </c>
      <c r="B353" t="s">
        <v>479</v>
      </c>
      <c r="C353" t="s">
        <v>2951</v>
      </c>
    </row>
    <row r="354" spans="1:3" x14ac:dyDescent="0.25">
      <c r="A354">
        <v>353</v>
      </c>
      <c r="B354" t="s">
        <v>480</v>
      </c>
      <c r="C354" t="s">
        <v>2952</v>
      </c>
    </row>
    <row r="355" spans="1:3" x14ac:dyDescent="0.25">
      <c r="A355">
        <v>354</v>
      </c>
      <c r="B355" t="s">
        <v>481</v>
      </c>
      <c r="C355" t="s">
        <v>2953</v>
      </c>
    </row>
    <row r="356" spans="1:3" x14ac:dyDescent="0.25">
      <c r="A356">
        <v>355</v>
      </c>
      <c r="B356" t="s">
        <v>529</v>
      </c>
      <c r="C356" t="s">
        <v>2954</v>
      </c>
    </row>
    <row r="357" spans="1:3" x14ac:dyDescent="0.25">
      <c r="A357">
        <v>356</v>
      </c>
      <c r="B357" t="s">
        <v>530</v>
      </c>
      <c r="C357" t="s">
        <v>2955</v>
      </c>
    </row>
    <row r="358" spans="1:3" x14ac:dyDescent="0.25">
      <c r="A358">
        <v>357</v>
      </c>
      <c r="B358" t="s">
        <v>531</v>
      </c>
      <c r="C358" t="s">
        <v>2956</v>
      </c>
    </row>
    <row r="359" spans="1:3" x14ac:dyDescent="0.25">
      <c r="A359">
        <v>358</v>
      </c>
      <c r="B359" t="s">
        <v>533</v>
      </c>
      <c r="C359" t="s">
        <v>2957</v>
      </c>
    </row>
    <row r="360" spans="1:3" x14ac:dyDescent="0.25">
      <c r="A360">
        <v>359</v>
      </c>
      <c r="B360" t="s">
        <v>536</v>
      </c>
      <c r="C360" t="s">
        <v>2958</v>
      </c>
    </row>
    <row r="361" spans="1:3" x14ac:dyDescent="0.25">
      <c r="A361">
        <v>360</v>
      </c>
      <c r="B361" t="s">
        <v>375</v>
      </c>
      <c r="C361" t="s">
        <v>2959</v>
      </c>
    </row>
    <row r="362" spans="1:3" x14ac:dyDescent="0.25">
      <c r="A362">
        <v>361</v>
      </c>
      <c r="B362" t="s">
        <v>871</v>
      </c>
      <c r="C362" t="s">
        <v>2960</v>
      </c>
    </row>
    <row r="363" spans="1:3" x14ac:dyDescent="0.25">
      <c r="A363">
        <v>362</v>
      </c>
      <c r="B363" t="s">
        <v>875</v>
      </c>
      <c r="C363" t="s">
        <v>2961</v>
      </c>
    </row>
    <row r="364" spans="1:3" x14ac:dyDescent="0.25">
      <c r="A364">
        <v>363</v>
      </c>
      <c r="B364" t="s">
        <v>516</v>
      </c>
      <c r="C364" t="s">
        <v>2962</v>
      </c>
    </row>
    <row r="365" spans="1:3" x14ac:dyDescent="0.25">
      <c r="A365">
        <v>364</v>
      </c>
      <c r="B365" t="s">
        <v>613</v>
      </c>
      <c r="C365" t="s">
        <v>2963</v>
      </c>
    </row>
    <row r="366" spans="1:3" x14ac:dyDescent="0.25">
      <c r="A366">
        <v>365</v>
      </c>
      <c r="B366" t="s">
        <v>688</v>
      </c>
      <c r="C366" t="s">
        <v>2964</v>
      </c>
    </row>
    <row r="367" spans="1:3" x14ac:dyDescent="0.25">
      <c r="A367">
        <v>366</v>
      </c>
      <c r="B367" t="s">
        <v>193</v>
      </c>
      <c r="C367" t="s">
        <v>2965</v>
      </c>
    </row>
    <row r="368" spans="1:3" x14ac:dyDescent="0.25">
      <c r="A368">
        <v>367</v>
      </c>
      <c r="B368" t="s">
        <v>1002</v>
      </c>
      <c r="C368" t="s">
        <v>2966</v>
      </c>
    </row>
    <row r="369" spans="1:3" x14ac:dyDescent="0.25">
      <c r="A369">
        <v>368</v>
      </c>
      <c r="B369" t="s">
        <v>1069</v>
      </c>
      <c r="C369" t="s">
        <v>2967</v>
      </c>
    </row>
    <row r="370" spans="1:3" x14ac:dyDescent="0.25">
      <c r="A370">
        <v>369</v>
      </c>
      <c r="B370" t="s">
        <v>1072</v>
      </c>
      <c r="C370" t="s">
        <v>2968</v>
      </c>
    </row>
    <row r="371" spans="1:3" x14ac:dyDescent="0.25">
      <c r="A371">
        <v>370</v>
      </c>
      <c r="B371" t="s">
        <v>304</v>
      </c>
      <c r="C371" t="s">
        <v>2969</v>
      </c>
    </row>
    <row r="372" spans="1:3" x14ac:dyDescent="0.25">
      <c r="A372">
        <v>371</v>
      </c>
      <c r="B372" t="s">
        <v>305</v>
      </c>
      <c r="C372" t="s">
        <v>2970</v>
      </c>
    </row>
    <row r="373" spans="1:3" x14ac:dyDescent="0.25">
      <c r="A373">
        <v>372</v>
      </c>
      <c r="B373" t="s">
        <v>753</v>
      </c>
      <c r="C373" t="s">
        <v>2971</v>
      </c>
    </row>
    <row r="374" spans="1:3" x14ac:dyDescent="0.25">
      <c r="A374">
        <v>373</v>
      </c>
      <c r="B374" t="s">
        <v>889</v>
      </c>
      <c r="C374" t="s">
        <v>2972</v>
      </c>
    </row>
    <row r="375" spans="1:3" x14ac:dyDescent="0.25">
      <c r="A375">
        <v>374</v>
      </c>
      <c r="B375" t="s">
        <v>1003</v>
      </c>
      <c r="C375" t="s">
        <v>2973</v>
      </c>
    </row>
    <row r="376" spans="1:3" x14ac:dyDescent="0.25">
      <c r="A376">
        <v>375</v>
      </c>
      <c r="B376" t="s">
        <v>913</v>
      </c>
      <c r="C376" t="s">
        <v>2974</v>
      </c>
    </row>
    <row r="377" spans="1:3" x14ac:dyDescent="0.25">
      <c r="A377">
        <v>376</v>
      </c>
      <c r="B377" t="s">
        <v>263</v>
      </c>
      <c r="C377" t="s">
        <v>2975</v>
      </c>
    </row>
    <row r="378" spans="1:3" x14ac:dyDescent="0.25">
      <c r="A378">
        <v>377</v>
      </c>
      <c r="B378" t="s">
        <v>334</v>
      </c>
      <c r="C378" t="s">
        <v>2976</v>
      </c>
    </row>
    <row r="379" spans="1:3" x14ac:dyDescent="0.25">
      <c r="A379">
        <v>378</v>
      </c>
      <c r="B379" t="s">
        <v>996</v>
      </c>
      <c r="C379" t="s">
        <v>2977</v>
      </c>
    </row>
    <row r="380" spans="1:3" x14ac:dyDescent="0.25">
      <c r="A380">
        <v>379</v>
      </c>
      <c r="B380" t="s">
        <v>999</v>
      </c>
      <c r="C380" t="s">
        <v>2978</v>
      </c>
    </row>
    <row r="381" spans="1:3" x14ac:dyDescent="0.25">
      <c r="A381">
        <v>380</v>
      </c>
      <c r="B381" t="s">
        <v>1000</v>
      </c>
      <c r="C381" t="s">
        <v>2979</v>
      </c>
    </row>
    <row r="382" spans="1:3" x14ac:dyDescent="0.25">
      <c r="A382">
        <v>381</v>
      </c>
      <c r="B382" t="s">
        <v>330</v>
      </c>
      <c r="C382" t="s">
        <v>2980</v>
      </c>
    </row>
    <row r="383" spans="1:3" x14ac:dyDescent="0.25">
      <c r="A383">
        <v>382</v>
      </c>
      <c r="B383" t="s">
        <v>331</v>
      </c>
      <c r="C383" t="s">
        <v>2981</v>
      </c>
    </row>
    <row r="384" spans="1:3" x14ac:dyDescent="0.25">
      <c r="A384">
        <v>383</v>
      </c>
      <c r="B384" t="s">
        <v>262</v>
      </c>
      <c r="C384" t="s">
        <v>2982</v>
      </c>
    </row>
    <row r="385" spans="1:3" x14ac:dyDescent="0.25">
      <c r="A385">
        <v>384</v>
      </c>
      <c r="B385" t="s">
        <v>376</v>
      </c>
      <c r="C385" t="s">
        <v>2983</v>
      </c>
    </row>
    <row r="386" spans="1:3" x14ac:dyDescent="0.25">
      <c r="A386">
        <v>385</v>
      </c>
      <c r="B386" t="s">
        <v>378</v>
      </c>
      <c r="C386" t="s">
        <v>2984</v>
      </c>
    </row>
    <row r="387" spans="1:3" x14ac:dyDescent="0.25">
      <c r="A387">
        <v>386</v>
      </c>
      <c r="B387" t="s">
        <v>866</v>
      </c>
      <c r="C387" t="s">
        <v>2985</v>
      </c>
    </row>
    <row r="388" spans="1:3" x14ac:dyDescent="0.25">
      <c r="A388">
        <v>387</v>
      </c>
      <c r="B388" t="s">
        <v>1090</v>
      </c>
      <c r="C388" t="s">
        <v>2986</v>
      </c>
    </row>
    <row r="389" spans="1:3" x14ac:dyDescent="0.25">
      <c r="A389">
        <v>388</v>
      </c>
      <c r="B389" t="s">
        <v>1091</v>
      </c>
      <c r="C389" t="s">
        <v>2987</v>
      </c>
    </row>
    <row r="390" spans="1:3" x14ac:dyDescent="0.25">
      <c r="A390">
        <v>389</v>
      </c>
      <c r="B390" t="s">
        <v>616</v>
      </c>
      <c r="C390" t="s">
        <v>2988</v>
      </c>
    </row>
    <row r="391" spans="1:3" x14ac:dyDescent="0.25">
      <c r="A391">
        <v>390</v>
      </c>
      <c r="B391" t="s">
        <v>618</v>
      </c>
      <c r="C391" t="s">
        <v>2989</v>
      </c>
    </row>
    <row r="392" spans="1:3" x14ac:dyDescent="0.25">
      <c r="A392">
        <v>391</v>
      </c>
      <c r="B392" t="s">
        <v>667</v>
      </c>
      <c r="C392" t="s">
        <v>2990</v>
      </c>
    </row>
    <row r="393" spans="1:3" x14ac:dyDescent="0.25">
      <c r="A393">
        <v>392</v>
      </c>
      <c r="B393" t="s">
        <v>670</v>
      </c>
      <c r="C393" t="s">
        <v>2991</v>
      </c>
    </row>
    <row r="394" spans="1:3" x14ac:dyDescent="0.25">
      <c r="A394">
        <v>393</v>
      </c>
      <c r="B394" t="s">
        <v>671</v>
      </c>
      <c r="C394" t="s">
        <v>2992</v>
      </c>
    </row>
    <row r="395" spans="1:3" x14ac:dyDescent="0.25">
      <c r="A395">
        <v>394</v>
      </c>
      <c r="B395" t="s">
        <v>699</v>
      </c>
      <c r="C395" t="s">
        <v>2993</v>
      </c>
    </row>
    <row r="396" spans="1:3" x14ac:dyDescent="0.25">
      <c r="A396">
        <v>395</v>
      </c>
      <c r="B396" t="s">
        <v>163</v>
      </c>
      <c r="C396" t="s">
        <v>2994</v>
      </c>
    </row>
    <row r="397" spans="1:3" x14ac:dyDescent="0.25">
      <c r="A397">
        <v>396</v>
      </c>
      <c r="B397" t="s">
        <v>993</v>
      </c>
      <c r="C397" t="s">
        <v>2995</v>
      </c>
    </row>
    <row r="398" spans="1:3" x14ac:dyDescent="0.25">
      <c r="A398">
        <v>397</v>
      </c>
      <c r="B398" t="s">
        <v>938</v>
      </c>
      <c r="C398" t="s">
        <v>2996</v>
      </c>
    </row>
    <row r="399" spans="1:3" x14ac:dyDescent="0.25">
      <c r="A399">
        <v>398</v>
      </c>
      <c r="B399" t="s">
        <v>978</v>
      </c>
      <c r="C399" t="s">
        <v>2997</v>
      </c>
    </row>
    <row r="400" spans="1:3" x14ac:dyDescent="0.25">
      <c r="A400">
        <v>399</v>
      </c>
      <c r="B400" t="s">
        <v>979</v>
      </c>
      <c r="C400" t="s">
        <v>2998</v>
      </c>
    </row>
    <row r="401" spans="1:3" x14ac:dyDescent="0.25">
      <c r="A401">
        <v>400</v>
      </c>
      <c r="B401" t="s">
        <v>980</v>
      </c>
      <c r="C401" t="s">
        <v>2999</v>
      </c>
    </row>
    <row r="402" spans="1:3" x14ac:dyDescent="0.25">
      <c r="A402">
        <v>401</v>
      </c>
      <c r="B402" t="s">
        <v>781</v>
      </c>
      <c r="C402" t="s">
        <v>3000</v>
      </c>
    </row>
    <row r="403" spans="1:3" x14ac:dyDescent="0.25">
      <c r="A403">
        <v>402</v>
      </c>
      <c r="B403" t="s">
        <v>783</v>
      </c>
      <c r="C403" t="s">
        <v>3001</v>
      </c>
    </row>
    <row r="404" spans="1:3" x14ac:dyDescent="0.25">
      <c r="A404">
        <v>403</v>
      </c>
      <c r="B404" t="s">
        <v>785</v>
      </c>
      <c r="C404" t="s">
        <v>3002</v>
      </c>
    </row>
    <row r="405" spans="1:3" x14ac:dyDescent="0.25">
      <c r="A405">
        <v>404</v>
      </c>
      <c r="B405" t="s">
        <v>787</v>
      </c>
      <c r="C405" t="s">
        <v>3003</v>
      </c>
    </row>
    <row r="406" spans="1:3" x14ac:dyDescent="0.25">
      <c r="A406">
        <v>405</v>
      </c>
      <c r="B406" t="s">
        <v>309</v>
      </c>
      <c r="C406" t="s">
        <v>3004</v>
      </c>
    </row>
    <row r="407" spans="1:3" x14ac:dyDescent="0.25">
      <c r="A407">
        <v>406</v>
      </c>
      <c r="B407" t="s">
        <v>310</v>
      </c>
      <c r="C407" t="s">
        <v>3005</v>
      </c>
    </row>
    <row r="408" spans="1:3" x14ac:dyDescent="0.25">
      <c r="A408">
        <v>407</v>
      </c>
      <c r="B408" t="s">
        <v>590</v>
      </c>
      <c r="C408" t="s">
        <v>3006</v>
      </c>
    </row>
    <row r="409" spans="1:3" x14ac:dyDescent="0.25">
      <c r="A409">
        <v>408</v>
      </c>
      <c r="B409" t="s">
        <v>869</v>
      </c>
      <c r="C409" t="s">
        <v>3007</v>
      </c>
    </row>
    <row r="410" spans="1:3" x14ac:dyDescent="0.25">
      <c r="A410">
        <v>409</v>
      </c>
      <c r="B410" t="s">
        <v>890</v>
      </c>
      <c r="C410" t="s">
        <v>3008</v>
      </c>
    </row>
    <row r="411" spans="1:3" x14ac:dyDescent="0.25">
      <c r="A411">
        <v>410</v>
      </c>
      <c r="B411" t="s">
        <v>1087</v>
      </c>
      <c r="C411" t="s">
        <v>3009</v>
      </c>
    </row>
    <row r="412" spans="1:3" x14ac:dyDescent="0.25">
      <c r="A412">
        <v>411</v>
      </c>
      <c r="B412" t="s">
        <v>1088</v>
      </c>
      <c r="C412" t="s">
        <v>3010</v>
      </c>
    </row>
    <row r="413" spans="1:3" x14ac:dyDescent="0.25">
      <c r="A413">
        <v>412</v>
      </c>
      <c r="B413" t="s">
        <v>1089</v>
      </c>
      <c r="C413" t="s">
        <v>3011</v>
      </c>
    </row>
    <row r="414" spans="1:3" x14ac:dyDescent="0.25">
      <c r="A414">
        <v>413</v>
      </c>
      <c r="B414" t="s">
        <v>178</v>
      </c>
      <c r="C414" t="s">
        <v>3012</v>
      </c>
    </row>
    <row r="415" spans="1:3" x14ac:dyDescent="0.25">
      <c r="A415">
        <v>414</v>
      </c>
      <c r="B415" t="s">
        <v>1066</v>
      </c>
      <c r="C415" t="s">
        <v>3013</v>
      </c>
    </row>
    <row r="416" spans="1:3" x14ac:dyDescent="0.25">
      <c r="A416">
        <v>415</v>
      </c>
      <c r="B416" t="s">
        <v>403</v>
      </c>
      <c r="C416" t="s">
        <v>3014</v>
      </c>
    </row>
    <row r="417" spans="1:3" x14ac:dyDescent="0.25">
      <c r="A417">
        <v>416</v>
      </c>
      <c r="B417" t="s">
        <v>404</v>
      </c>
      <c r="C417" t="s">
        <v>3015</v>
      </c>
    </row>
    <row r="418" spans="1:3" x14ac:dyDescent="0.25">
      <c r="A418">
        <v>417</v>
      </c>
      <c r="B418" t="s">
        <v>405</v>
      </c>
      <c r="C418" t="s">
        <v>3016</v>
      </c>
    </row>
    <row r="419" spans="1:3" x14ac:dyDescent="0.25">
      <c r="A419">
        <v>418</v>
      </c>
      <c r="B419" t="s">
        <v>406</v>
      </c>
      <c r="C419" t="s">
        <v>3017</v>
      </c>
    </row>
    <row r="420" spans="1:3" x14ac:dyDescent="0.25">
      <c r="A420">
        <v>419</v>
      </c>
      <c r="B420" t="s">
        <v>431</v>
      </c>
      <c r="C420" t="s">
        <v>3018</v>
      </c>
    </row>
    <row r="421" spans="1:3" x14ac:dyDescent="0.25">
      <c r="A421">
        <v>420</v>
      </c>
      <c r="B421" t="s">
        <v>432</v>
      </c>
      <c r="C421" t="s">
        <v>3019</v>
      </c>
    </row>
    <row r="422" spans="1:3" x14ac:dyDescent="0.25">
      <c r="A422">
        <v>421</v>
      </c>
      <c r="B422" t="s">
        <v>634</v>
      </c>
      <c r="C422" t="s">
        <v>3020</v>
      </c>
    </row>
    <row r="423" spans="1:3" x14ac:dyDescent="0.25">
      <c r="A423">
        <v>422</v>
      </c>
      <c r="B423" t="s">
        <v>742</v>
      </c>
      <c r="C423" t="s">
        <v>3021</v>
      </c>
    </row>
    <row r="424" spans="1:3" x14ac:dyDescent="0.25">
      <c r="A424">
        <v>423</v>
      </c>
      <c r="B424" t="s">
        <v>743</v>
      </c>
      <c r="C424" t="s">
        <v>3022</v>
      </c>
    </row>
    <row r="425" spans="1:3" x14ac:dyDescent="0.25">
      <c r="A425">
        <v>424</v>
      </c>
      <c r="B425" t="s">
        <v>258</v>
      </c>
      <c r="C425" t="s">
        <v>3023</v>
      </c>
    </row>
    <row r="426" spans="1:3" x14ac:dyDescent="0.25">
      <c r="A426">
        <v>425</v>
      </c>
      <c r="B426" t="s">
        <v>433</v>
      </c>
      <c r="C426" t="s">
        <v>3024</v>
      </c>
    </row>
    <row r="427" spans="1:3" x14ac:dyDescent="0.25">
      <c r="A427">
        <v>426</v>
      </c>
      <c r="B427" t="s">
        <v>434</v>
      </c>
      <c r="C427" t="s">
        <v>3025</v>
      </c>
    </row>
    <row r="428" spans="1:3" x14ac:dyDescent="0.25">
      <c r="A428">
        <v>427</v>
      </c>
      <c r="B428" t="s">
        <v>927</v>
      </c>
      <c r="C428" t="s">
        <v>3026</v>
      </c>
    </row>
    <row r="429" spans="1:3" x14ac:dyDescent="0.25">
      <c r="A429">
        <v>428</v>
      </c>
      <c r="B429" t="s">
        <v>146</v>
      </c>
      <c r="C429" t="s">
        <v>3027</v>
      </c>
    </row>
    <row r="430" spans="1:3" x14ac:dyDescent="0.25">
      <c r="A430">
        <v>429</v>
      </c>
      <c r="B430" t="s">
        <v>882</v>
      </c>
      <c r="C430" t="s">
        <v>3028</v>
      </c>
    </row>
    <row r="431" spans="1:3" x14ac:dyDescent="0.25">
      <c r="A431">
        <v>430</v>
      </c>
      <c r="B431" t="s">
        <v>883</v>
      </c>
      <c r="C431" t="s">
        <v>3029</v>
      </c>
    </row>
    <row r="432" spans="1:3" x14ac:dyDescent="0.25">
      <c r="A432">
        <v>431</v>
      </c>
      <c r="B432" t="s">
        <v>1083</v>
      </c>
      <c r="C432" t="s">
        <v>3030</v>
      </c>
    </row>
    <row r="433" spans="1:3" x14ac:dyDescent="0.25">
      <c r="A433">
        <v>432</v>
      </c>
      <c r="B433" t="s">
        <v>1084</v>
      </c>
      <c r="C433" t="s">
        <v>3031</v>
      </c>
    </row>
    <row r="434" spans="1:3" x14ac:dyDescent="0.25">
      <c r="A434">
        <v>433</v>
      </c>
      <c r="B434" t="s">
        <v>1085</v>
      </c>
      <c r="C434" t="s">
        <v>3032</v>
      </c>
    </row>
    <row r="435" spans="1:3" x14ac:dyDescent="0.25">
      <c r="A435">
        <v>434</v>
      </c>
      <c r="B435" t="s">
        <v>346</v>
      </c>
      <c r="C435" t="s">
        <v>3033</v>
      </c>
    </row>
    <row r="436" spans="1:3" x14ac:dyDescent="0.25">
      <c r="A436">
        <v>435</v>
      </c>
      <c r="B436" t="s">
        <v>538</v>
      </c>
      <c r="C436" t="s">
        <v>3034</v>
      </c>
    </row>
    <row r="437" spans="1:3" x14ac:dyDescent="0.25">
      <c r="A437">
        <v>436</v>
      </c>
      <c r="B437" t="s">
        <v>746</v>
      </c>
      <c r="C437" t="s">
        <v>3035</v>
      </c>
    </row>
    <row r="438" spans="1:3" x14ac:dyDescent="0.25">
      <c r="A438">
        <v>437</v>
      </c>
      <c r="B438" t="s">
        <v>747</v>
      </c>
      <c r="C438" t="s">
        <v>3036</v>
      </c>
    </row>
    <row r="439" spans="1:3" x14ac:dyDescent="0.25">
      <c r="A439">
        <v>438</v>
      </c>
      <c r="B439" t="s">
        <v>797</v>
      </c>
      <c r="C439" t="s">
        <v>3037</v>
      </c>
    </row>
    <row r="440" spans="1:3" x14ac:dyDescent="0.25">
      <c r="A440">
        <v>439</v>
      </c>
      <c r="B440" t="s">
        <v>1029</v>
      </c>
      <c r="C440" t="s">
        <v>3038</v>
      </c>
    </row>
    <row r="441" spans="1:3" x14ac:dyDescent="0.25">
      <c r="A441">
        <v>440</v>
      </c>
      <c r="B441" t="s">
        <v>1063</v>
      </c>
      <c r="C441" t="s">
        <v>3039</v>
      </c>
    </row>
    <row r="442" spans="1:3" x14ac:dyDescent="0.25">
      <c r="A442">
        <v>441</v>
      </c>
      <c r="B442" t="s">
        <v>1065</v>
      </c>
      <c r="C442" t="s">
        <v>3040</v>
      </c>
    </row>
    <row r="443" spans="1:3" x14ac:dyDescent="0.25">
      <c r="A443">
        <v>442</v>
      </c>
      <c r="B443" t="s">
        <v>1067</v>
      </c>
      <c r="C443" t="s">
        <v>3041</v>
      </c>
    </row>
    <row r="444" spans="1:3" x14ac:dyDescent="0.25">
      <c r="A444">
        <v>443</v>
      </c>
      <c r="B444" t="s">
        <v>1093</v>
      </c>
      <c r="C444" t="s">
        <v>3042</v>
      </c>
    </row>
    <row r="445" spans="1:3" x14ac:dyDescent="0.25">
      <c r="A445">
        <v>444</v>
      </c>
      <c r="B445" t="s">
        <v>932</v>
      </c>
      <c r="C445" t="s">
        <v>3043</v>
      </c>
    </row>
    <row r="446" spans="1:3" x14ac:dyDescent="0.25">
      <c r="A446">
        <v>445</v>
      </c>
      <c r="B446" t="s">
        <v>933</v>
      </c>
      <c r="C446" t="s">
        <v>3044</v>
      </c>
    </row>
    <row r="447" spans="1:3" x14ac:dyDescent="0.25">
      <c r="A447">
        <v>446</v>
      </c>
      <c r="B447" t="s">
        <v>934</v>
      </c>
      <c r="C447" t="s">
        <v>3045</v>
      </c>
    </row>
    <row r="448" spans="1:3" x14ac:dyDescent="0.25">
      <c r="A448">
        <v>447</v>
      </c>
      <c r="B448" t="s">
        <v>935</v>
      </c>
      <c r="C448" t="s">
        <v>3046</v>
      </c>
    </row>
    <row r="449" spans="1:3" x14ac:dyDescent="0.25">
      <c r="A449">
        <v>448</v>
      </c>
      <c r="B449" t="s">
        <v>936</v>
      </c>
      <c r="C449" t="s">
        <v>3047</v>
      </c>
    </row>
    <row r="450" spans="1:3" x14ac:dyDescent="0.25">
      <c r="A450">
        <v>449</v>
      </c>
      <c r="B450" t="s">
        <v>937</v>
      </c>
      <c r="C450" t="s">
        <v>3048</v>
      </c>
    </row>
    <row r="451" spans="1:3" x14ac:dyDescent="0.25">
      <c r="A451">
        <v>450</v>
      </c>
      <c r="B451" t="s">
        <v>939</v>
      </c>
      <c r="C451" t="s">
        <v>3049</v>
      </c>
    </row>
    <row r="452" spans="1:3" x14ac:dyDescent="0.25">
      <c r="A452">
        <v>451</v>
      </c>
      <c r="B452" t="s">
        <v>864</v>
      </c>
      <c r="C452" t="s">
        <v>3050</v>
      </c>
    </row>
    <row r="453" spans="1:3" x14ac:dyDescent="0.25">
      <c r="A453">
        <v>452</v>
      </c>
      <c r="B453" t="s">
        <v>974</v>
      </c>
      <c r="C453" t="s">
        <v>3051</v>
      </c>
    </row>
    <row r="454" spans="1:3" x14ac:dyDescent="0.25">
      <c r="A454">
        <v>453</v>
      </c>
      <c r="B454" t="s">
        <v>1016</v>
      </c>
      <c r="C454" t="s">
        <v>3052</v>
      </c>
    </row>
    <row r="455" spans="1:3" x14ac:dyDescent="0.25">
      <c r="A455">
        <v>454</v>
      </c>
      <c r="B455" t="s">
        <v>1017</v>
      </c>
      <c r="C455" t="s">
        <v>3053</v>
      </c>
    </row>
    <row r="456" spans="1:3" x14ac:dyDescent="0.25">
      <c r="A456">
        <v>455</v>
      </c>
      <c r="B456" t="s">
        <v>329</v>
      </c>
      <c r="C456" t="s">
        <v>3054</v>
      </c>
    </row>
    <row r="457" spans="1:3" x14ac:dyDescent="0.25">
      <c r="A457">
        <v>456</v>
      </c>
      <c r="B457" t="s">
        <v>771</v>
      </c>
      <c r="C457" t="s">
        <v>3055</v>
      </c>
    </row>
    <row r="458" spans="1:3" x14ac:dyDescent="0.25">
      <c r="A458">
        <v>457</v>
      </c>
      <c r="B458" t="s">
        <v>772</v>
      </c>
      <c r="C458" t="s">
        <v>3056</v>
      </c>
    </row>
    <row r="459" spans="1:3" x14ac:dyDescent="0.25">
      <c r="A459">
        <v>458</v>
      </c>
      <c r="B459" t="s">
        <v>773</v>
      </c>
      <c r="C459" t="s">
        <v>3057</v>
      </c>
    </row>
    <row r="460" spans="1:3" x14ac:dyDescent="0.25">
      <c r="A460">
        <v>459</v>
      </c>
      <c r="B460" t="s">
        <v>777</v>
      </c>
      <c r="C460" t="s">
        <v>3058</v>
      </c>
    </row>
    <row r="461" spans="1:3" x14ac:dyDescent="0.25">
      <c r="A461">
        <v>460</v>
      </c>
      <c r="B461" t="s">
        <v>940</v>
      </c>
      <c r="C461" t="s">
        <v>3059</v>
      </c>
    </row>
    <row r="462" spans="1:3" x14ac:dyDescent="0.25">
      <c r="A462">
        <v>461</v>
      </c>
      <c r="B462" t="s">
        <v>942</v>
      </c>
      <c r="C462" t="s">
        <v>3060</v>
      </c>
    </row>
    <row r="463" spans="1:3" x14ac:dyDescent="0.25">
      <c r="A463">
        <v>462</v>
      </c>
      <c r="B463" t="s">
        <v>1092</v>
      </c>
      <c r="C463" t="s">
        <v>3061</v>
      </c>
    </row>
    <row r="464" spans="1:3" x14ac:dyDescent="0.25">
      <c r="A464">
        <v>463</v>
      </c>
      <c r="B464" t="s">
        <v>916</v>
      </c>
      <c r="C464" t="s">
        <v>3062</v>
      </c>
    </row>
    <row r="465" spans="1:3" x14ac:dyDescent="0.25">
      <c r="A465">
        <v>464</v>
      </c>
      <c r="B465" t="s">
        <v>917</v>
      </c>
      <c r="C465" t="s">
        <v>3063</v>
      </c>
    </row>
    <row r="466" spans="1:3" x14ac:dyDescent="0.25">
      <c r="A466">
        <v>465</v>
      </c>
      <c r="B466" t="s">
        <v>920</v>
      </c>
      <c r="C466" t="s">
        <v>3064</v>
      </c>
    </row>
    <row r="467" spans="1:3" x14ac:dyDescent="0.25">
      <c r="A467">
        <v>466</v>
      </c>
      <c r="B467" t="s">
        <v>169</v>
      </c>
      <c r="C467" t="s">
        <v>3065</v>
      </c>
    </row>
    <row r="468" spans="1:3" x14ac:dyDescent="0.25">
      <c r="A468">
        <v>467</v>
      </c>
      <c r="B468" t="s">
        <v>195</v>
      </c>
      <c r="C468" t="s">
        <v>3066</v>
      </c>
    </row>
    <row r="469" spans="1:3" x14ac:dyDescent="0.25">
      <c r="A469">
        <v>468</v>
      </c>
      <c r="B469" t="s">
        <v>460</v>
      </c>
      <c r="C469" t="s">
        <v>3067</v>
      </c>
    </row>
    <row r="470" spans="1:3" x14ac:dyDescent="0.25">
      <c r="A470">
        <v>469</v>
      </c>
      <c r="B470" t="s">
        <v>461</v>
      </c>
      <c r="C470" t="s">
        <v>3068</v>
      </c>
    </row>
    <row r="471" spans="1:3" x14ac:dyDescent="0.25">
      <c r="A471">
        <v>470</v>
      </c>
      <c r="B471" t="s">
        <v>517</v>
      </c>
      <c r="C471" t="s">
        <v>3069</v>
      </c>
    </row>
    <row r="472" spans="1:3" x14ac:dyDescent="0.25">
      <c r="A472">
        <v>471</v>
      </c>
      <c r="B472" t="s">
        <v>813</v>
      </c>
      <c r="C472" t="s">
        <v>3070</v>
      </c>
    </row>
    <row r="473" spans="1:3" x14ac:dyDescent="0.25">
      <c r="A473">
        <v>472</v>
      </c>
      <c r="B473" t="s">
        <v>814</v>
      </c>
      <c r="C473" t="s">
        <v>3071</v>
      </c>
    </row>
    <row r="474" spans="1:3" x14ac:dyDescent="0.25">
      <c r="A474">
        <v>473</v>
      </c>
      <c r="B474" t="s">
        <v>820</v>
      </c>
      <c r="C474" t="s">
        <v>3072</v>
      </c>
    </row>
    <row r="475" spans="1:3" x14ac:dyDescent="0.25">
      <c r="A475">
        <v>474</v>
      </c>
      <c r="B475" t="s">
        <v>821</v>
      </c>
      <c r="C475" t="s">
        <v>3073</v>
      </c>
    </row>
    <row r="476" spans="1:3" x14ac:dyDescent="0.25">
      <c r="A476">
        <v>475</v>
      </c>
      <c r="B476" t="s">
        <v>829</v>
      </c>
      <c r="C476" t="s">
        <v>3074</v>
      </c>
    </row>
    <row r="477" spans="1:3" x14ac:dyDescent="0.25">
      <c r="A477">
        <v>476</v>
      </c>
      <c r="B477" t="s">
        <v>832</v>
      </c>
      <c r="C477" t="s">
        <v>3075</v>
      </c>
    </row>
    <row r="478" spans="1:3" x14ac:dyDescent="0.25">
      <c r="A478">
        <v>477</v>
      </c>
      <c r="B478" t="s">
        <v>1023</v>
      </c>
      <c r="C478" t="s">
        <v>3076</v>
      </c>
    </row>
    <row r="479" spans="1:3" x14ac:dyDescent="0.25">
      <c r="A479">
        <v>478</v>
      </c>
      <c r="B479" t="s">
        <v>1024</v>
      </c>
      <c r="C479" t="s">
        <v>3077</v>
      </c>
    </row>
    <row r="480" spans="1:3" x14ac:dyDescent="0.25">
      <c r="A480">
        <v>479</v>
      </c>
      <c r="B480" t="s">
        <v>1025</v>
      </c>
      <c r="C480" t="s">
        <v>3078</v>
      </c>
    </row>
    <row r="481" spans="1:3" x14ac:dyDescent="0.25">
      <c r="A481">
        <v>480</v>
      </c>
      <c r="B481" t="s">
        <v>196</v>
      </c>
      <c r="C481" t="s">
        <v>3079</v>
      </c>
    </row>
    <row r="482" spans="1:3" x14ac:dyDescent="0.25">
      <c r="A482">
        <v>481</v>
      </c>
      <c r="B482" t="s">
        <v>870</v>
      </c>
      <c r="C482" t="s">
        <v>3080</v>
      </c>
    </row>
    <row r="483" spans="1:3" x14ac:dyDescent="0.25">
      <c r="A483">
        <v>482</v>
      </c>
      <c r="B483" t="s">
        <v>872</v>
      </c>
      <c r="C483" t="s">
        <v>3081</v>
      </c>
    </row>
    <row r="484" spans="1:3" x14ac:dyDescent="0.25">
      <c r="A484">
        <v>483</v>
      </c>
      <c r="B484" t="s">
        <v>873</v>
      </c>
      <c r="C484" t="s">
        <v>3082</v>
      </c>
    </row>
    <row r="485" spans="1:3" x14ac:dyDescent="0.25">
      <c r="A485">
        <v>484</v>
      </c>
      <c r="B485" t="s">
        <v>874</v>
      </c>
      <c r="C485" t="s">
        <v>3083</v>
      </c>
    </row>
    <row r="486" spans="1:3" x14ac:dyDescent="0.25">
      <c r="A486">
        <v>485</v>
      </c>
      <c r="B486" t="s">
        <v>876</v>
      </c>
      <c r="C486" t="s">
        <v>3084</v>
      </c>
    </row>
    <row r="487" spans="1:3" x14ac:dyDescent="0.25">
      <c r="A487">
        <v>486</v>
      </c>
      <c r="B487" t="s">
        <v>877</v>
      </c>
      <c r="C487" t="s">
        <v>3085</v>
      </c>
    </row>
    <row r="488" spans="1:3" x14ac:dyDescent="0.25">
      <c r="A488">
        <v>487</v>
      </c>
      <c r="B488" t="s">
        <v>224</v>
      </c>
      <c r="C488" t="s">
        <v>3086</v>
      </c>
    </row>
    <row r="489" spans="1:3" x14ac:dyDescent="0.25">
      <c r="A489">
        <v>488</v>
      </c>
      <c r="B489" t="s">
        <v>568</v>
      </c>
      <c r="C489" t="s">
        <v>3087</v>
      </c>
    </row>
    <row r="490" spans="1:3" x14ac:dyDescent="0.25">
      <c r="A490">
        <v>489</v>
      </c>
      <c r="B490" t="s">
        <v>359</v>
      </c>
      <c r="C490" t="s">
        <v>3088</v>
      </c>
    </row>
    <row r="491" spans="1:3" x14ac:dyDescent="0.25">
      <c r="A491">
        <v>490</v>
      </c>
      <c r="B491" t="s">
        <v>360</v>
      </c>
      <c r="C491" t="s">
        <v>3089</v>
      </c>
    </row>
    <row r="492" spans="1:3" x14ac:dyDescent="0.25">
      <c r="A492">
        <v>491</v>
      </c>
      <c r="B492" t="s">
        <v>363</v>
      </c>
      <c r="C492" t="s">
        <v>3090</v>
      </c>
    </row>
    <row r="493" spans="1:3" x14ac:dyDescent="0.25">
      <c r="A493">
        <v>492</v>
      </c>
      <c r="B493" t="s">
        <v>364</v>
      </c>
      <c r="C493" t="s">
        <v>3091</v>
      </c>
    </row>
    <row r="494" spans="1:3" x14ac:dyDescent="0.25">
      <c r="A494">
        <v>493</v>
      </c>
      <c r="B494" t="s">
        <v>367</v>
      </c>
      <c r="C494" t="s">
        <v>3092</v>
      </c>
    </row>
    <row r="495" spans="1:3" x14ac:dyDescent="0.25">
      <c r="A495">
        <v>494</v>
      </c>
      <c r="B495" t="s">
        <v>370</v>
      </c>
      <c r="C495" t="s">
        <v>3093</v>
      </c>
    </row>
    <row r="496" spans="1:3" x14ac:dyDescent="0.25">
      <c r="A496">
        <v>495</v>
      </c>
      <c r="B496" t="s">
        <v>672</v>
      </c>
      <c r="C496" t="s">
        <v>3094</v>
      </c>
    </row>
    <row r="497" spans="1:3" x14ac:dyDescent="0.25">
      <c r="A497">
        <v>496</v>
      </c>
      <c r="B497" t="s">
        <v>674</v>
      </c>
      <c r="C497" t="s">
        <v>3095</v>
      </c>
    </row>
    <row r="498" spans="1:3" x14ac:dyDescent="0.25">
      <c r="A498">
        <v>497</v>
      </c>
      <c r="B498" t="s">
        <v>880</v>
      </c>
      <c r="C498" t="s">
        <v>3096</v>
      </c>
    </row>
    <row r="499" spans="1:3" x14ac:dyDescent="0.25">
      <c r="A499">
        <v>498</v>
      </c>
      <c r="B499" t="s">
        <v>881</v>
      </c>
      <c r="C499" t="s">
        <v>3097</v>
      </c>
    </row>
    <row r="500" spans="1:3" x14ac:dyDescent="0.25">
      <c r="A500">
        <v>499</v>
      </c>
      <c r="B500" t="s">
        <v>908</v>
      </c>
      <c r="C500" t="s">
        <v>3098</v>
      </c>
    </row>
    <row r="501" spans="1:3" x14ac:dyDescent="0.25">
      <c r="A501">
        <v>500</v>
      </c>
      <c r="B501" t="s">
        <v>909</v>
      </c>
      <c r="C501" t="s">
        <v>3099</v>
      </c>
    </row>
    <row r="502" spans="1:3" x14ac:dyDescent="0.25">
      <c r="A502">
        <v>501</v>
      </c>
      <c r="B502" t="s">
        <v>921</v>
      </c>
      <c r="C502" t="s">
        <v>3100</v>
      </c>
    </row>
    <row r="503" spans="1:3" x14ac:dyDescent="0.25">
      <c r="A503">
        <v>502</v>
      </c>
      <c r="B503" t="s">
        <v>923</v>
      </c>
      <c r="C503" t="s">
        <v>3101</v>
      </c>
    </row>
    <row r="504" spans="1:3" x14ac:dyDescent="0.25">
      <c r="A504">
        <v>503</v>
      </c>
      <c r="B504" t="s">
        <v>924</v>
      </c>
      <c r="C504" t="s">
        <v>3102</v>
      </c>
    </row>
    <row r="505" spans="1:3" x14ac:dyDescent="0.25">
      <c r="A505">
        <v>504</v>
      </c>
      <c r="B505" t="s">
        <v>925</v>
      </c>
      <c r="C505" t="s">
        <v>3103</v>
      </c>
    </row>
    <row r="506" spans="1:3" x14ac:dyDescent="0.25">
      <c r="A506">
        <v>505</v>
      </c>
      <c r="B506" t="s">
        <v>241</v>
      </c>
      <c r="C506" t="s">
        <v>3104</v>
      </c>
    </row>
    <row r="507" spans="1:3" x14ac:dyDescent="0.25">
      <c r="A507">
        <v>506</v>
      </c>
      <c r="B507" t="s">
        <v>242</v>
      </c>
      <c r="C507" t="s">
        <v>3105</v>
      </c>
    </row>
    <row r="508" spans="1:3" x14ac:dyDescent="0.25">
      <c r="A508">
        <v>507</v>
      </c>
      <c r="B508" t="s">
        <v>141</v>
      </c>
      <c r="C508" t="s">
        <v>3106</v>
      </c>
    </row>
    <row r="509" spans="1:3" x14ac:dyDescent="0.25">
      <c r="A509">
        <v>508</v>
      </c>
      <c r="B509" t="s">
        <v>142</v>
      </c>
      <c r="C509" t="s">
        <v>3107</v>
      </c>
    </row>
    <row r="510" spans="1:3" x14ac:dyDescent="0.25">
      <c r="A510">
        <v>509</v>
      </c>
      <c r="B510" t="s">
        <v>187</v>
      </c>
      <c r="C510" t="s">
        <v>3108</v>
      </c>
    </row>
    <row r="511" spans="1:3" x14ac:dyDescent="0.25">
      <c r="A511">
        <v>510</v>
      </c>
      <c r="B511" t="s">
        <v>250</v>
      </c>
      <c r="C511" t="s">
        <v>3109</v>
      </c>
    </row>
    <row r="512" spans="1:3" x14ac:dyDescent="0.25">
      <c r="A512">
        <v>511</v>
      </c>
      <c r="B512" t="s">
        <v>251</v>
      </c>
      <c r="C512" t="s">
        <v>3110</v>
      </c>
    </row>
    <row r="513" spans="1:3" x14ac:dyDescent="0.25">
      <c r="A513">
        <v>512</v>
      </c>
      <c r="B513" t="s">
        <v>253</v>
      </c>
      <c r="C513" t="s">
        <v>3111</v>
      </c>
    </row>
    <row r="514" spans="1:3" x14ac:dyDescent="0.25">
      <c r="A514">
        <v>513</v>
      </c>
      <c r="B514" t="s">
        <v>675</v>
      </c>
      <c r="C514" t="s">
        <v>3112</v>
      </c>
    </row>
    <row r="515" spans="1:3" x14ac:dyDescent="0.25">
      <c r="A515">
        <v>514</v>
      </c>
      <c r="B515" t="s">
        <v>243</v>
      </c>
      <c r="C515" t="s">
        <v>3113</v>
      </c>
    </row>
    <row r="516" spans="1:3" x14ac:dyDescent="0.25">
      <c r="A516">
        <v>515</v>
      </c>
      <c r="B516" t="s">
        <v>435</v>
      </c>
      <c r="C516" t="s">
        <v>3114</v>
      </c>
    </row>
    <row r="517" spans="1:3" x14ac:dyDescent="0.25">
      <c r="A517">
        <v>516</v>
      </c>
      <c r="B517" t="s">
        <v>511</v>
      </c>
      <c r="C517" t="s">
        <v>3115</v>
      </c>
    </row>
    <row r="518" spans="1:3" x14ac:dyDescent="0.25">
      <c r="A518">
        <v>517</v>
      </c>
      <c r="B518" t="s">
        <v>652</v>
      </c>
      <c r="C518" t="s">
        <v>3116</v>
      </c>
    </row>
    <row r="519" spans="1:3" x14ac:dyDescent="0.25">
      <c r="A519">
        <v>518</v>
      </c>
      <c r="B519" t="s">
        <v>653</v>
      </c>
      <c r="C519" t="s">
        <v>3117</v>
      </c>
    </row>
    <row r="520" spans="1:3" x14ac:dyDescent="0.25">
      <c r="A520">
        <v>519</v>
      </c>
      <c r="B520" t="s">
        <v>150</v>
      </c>
      <c r="C520" t="s">
        <v>3118</v>
      </c>
    </row>
    <row r="521" spans="1:3" x14ac:dyDescent="0.25">
      <c r="A521">
        <v>520</v>
      </c>
      <c r="B521" t="s">
        <v>532</v>
      </c>
      <c r="C521" t="s">
        <v>3119</v>
      </c>
    </row>
    <row r="522" spans="1:3" x14ac:dyDescent="0.25">
      <c r="A522">
        <v>521</v>
      </c>
      <c r="B522" t="s">
        <v>535</v>
      </c>
      <c r="C522" t="s">
        <v>3120</v>
      </c>
    </row>
    <row r="523" spans="1:3" x14ac:dyDescent="0.25">
      <c r="A523">
        <v>522</v>
      </c>
      <c r="B523" t="s">
        <v>537</v>
      </c>
      <c r="C523" t="s">
        <v>3121</v>
      </c>
    </row>
    <row r="524" spans="1:3" x14ac:dyDescent="0.25">
      <c r="A524">
        <v>523</v>
      </c>
      <c r="B524" t="s">
        <v>540</v>
      </c>
      <c r="C524" t="s">
        <v>3122</v>
      </c>
    </row>
    <row r="525" spans="1:3" x14ac:dyDescent="0.25">
      <c r="A525">
        <v>524</v>
      </c>
      <c r="B525" t="s">
        <v>541</v>
      </c>
      <c r="C525" t="s">
        <v>3123</v>
      </c>
    </row>
    <row r="526" spans="1:3" x14ac:dyDescent="0.25">
      <c r="A526">
        <v>525</v>
      </c>
      <c r="B526" t="s">
        <v>801</v>
      </c>
      <c r="C526" t="s">
        <v>3124</v>
      </c>
    </row>
    <row r="527" spans="1:3" x14ac:dyDescent="0.25">
      <c r="A527">
        <v>526</v>
      </c>
      <c r="B527" t="s">
        <v>802</v>
      </c>
      <c r="C527" t="s">
        <v>3125</v>
      </c>
    </row>
    <row r="528" spans="1:3" x14ac:dyDescent="0.25">
      <c r="A528">
        <v>527</v>
      </c>
      <c r="B528" t="s">
        <v>803</v>
      </c>
      <c r="C528" t="s">
        <v>3126</v>
      </c>
    </row>
    <row r="529" spans="1:3" x14ac:dyDescent="0.25">
      <c r="A529">
        <v>528</v>
      </c>
      <c r="B529" t="s">
        <v>804</v>
      </c>
      <c r="C529" t="s">
        <v>3127</v>
      </c>
    </row>
    <row r="530" spans="1:3" x14ac:dyDescent="0.25">
      <c r="A530">
        <v>529</v>
      </c>
      <c r="B530" t="s">
        <v>896</v>
      </c>
      <c r="C530" t="s">
        <v>3128</v>
      </c>
    </row>
    <row r="531" spans="1:3" x14ac:dyDescent="0.25">
      <c r="A531">
        <v>530</v>
      </c>
      <c r="B531" t="s">
        <v>899</v>
      </c>
      <c r="C531" t="s">
        <v>3129</v>
      </c>
    </row>
    <row r="532" spans="1:3" x14ac:dyDescent="0.25">
      <c r="A532">
        <v>531</v>
      </c>
      <c r="B532" t="s">
        <v>900</v>
      </c>
      <c r="C532" t="s">
        <v>3130</v>
      </c>
    </row>
    <row r="533" spans="1:3" x14ac:dyDescent="0.25">
      <c r="A533">
        <v>532</v>
      </c>
      <c r="B533" t="s">
        <v>490</v>
      </c>
      <c r="C533" t="s">
        <v>3131</v>
      </c>
    </row>
    <row r="534" spans="1:3" x14ac:dyDescent="0.25">
      <c r="A534">
        <v>533</v>
      </c>
      <c r="B534" t="s">
        <v>749</v>
      </c>
      <c r="C534" t="s">
        <v>3132</v>
      </c>
    </row>
    <row r="535" spans="1:3" x14ac:dyDescent="0.25">
      <c r="A535">
        <v>534</v>
      </c>
      <c r="B535" t="s">
        <v>750</v>
      </c>
      <c r="C535" t="s">
        <v>3133</v>
      </c>
    </row>
    <row r="536" spans="1:3" x14ac:dyDescent="0.25">
      <c r="A536">
        <v>535</v>
      </c>
      <c r="B536" t="s">
        <v>686</v>
      </c>
      <c r="C536" t="s">
        <v>3134</v>
      </c>
    </row>
    <row r="537" spans="1:3" x14ac:dyDescent="0.25">
      <c r="A537">
        <v>536</v>
      </c>
      <c r="B537" t="s">
        <v>1037</v>
      </c>
      <c r="C537" t="s">
        <v>3135</v>
      </c>
    </row>
    <row r="538" spans="1:3" x14ac:dyDescent="0.25">
      <c r="A538">
        <v>537</v>
      </c>
      <c r="B538" t="s">
        <v>145</v>
      </c>
      <c r="C538" t="s">
        <v>3136</v>
      </c>
    </row>
    <row r="539" spans="1:3" x14ac:dyDescent="0.25">
      <c r="A539">
        <v>538</v>
      </c>
      <c r="B539" t="s">
        <v>1038</v>
      </c>
      <c r="C539" t="s">
        <v>3137</v>
      </c>
    </row>
    <row r="540" spans="1:3" x14ac:dyDescent="0.25">
      <c r="A540">
        <v>539</v>
      </c>
      <c r="B540" t="s">
        <v>1060</v>
      </c>
      <c r="C540" t="s">
        <v>3138</v>
      </c>
    </row>
    <row r="541" spans="1:3" x14ac:dyDescent="0.25">
      <c r="A541">
        <v>540</v>
      </c>
      <c r="B541" t="s">
        <v>1068</v>
      </c>
      <c r="C541" t="s">
        <v>3139</v>
      </c>
    </row>
    <row r="542" spans="1:3" x14ac:dyDescent="0.25">
      <c r="A542">
        <v>541</v>
      </c>
      <c r="B542" t="s">
        <v>284</v>
      </c>
      <c r="C542" t="s">
        <v>3140</v>
      </c>
    </row>
    <row r="543" spans="1:3" x14ac:dyDescent="0.25">
      <c r="A543">
        <v>542</v>
      </c>
      <c r="B543" t="s">
        <v>546</v>
      </c>
      <c r="C543" t="s">
        <v>3141</v>
      </c>
    </row>
    <row r="544" spans="1:3" x14ac:dyDescent="0.25">
      <c r="A544">
        <v>543</v>
      </c>
      <c r="B544" t="s">
        <v>551</v>
      </c>
      <c r="C544" t="s">
        <v>3142</v>
      </c>
    </row>
    <row r="545" spans="1:3" x14ac:dyDescent="0.25">
      <c r="A545">
        <v>544</v>
      </c>
      <c r="B545" t="s">
        <v>552</v>
      </c>
      <c r="C545" t="s">
        <v>3143</v>
      </c>
    </row>
    <row r="546" spans="1:3" x14ac:dyDescent="0.25">
      <c r="A546">
        <v>545</v>
      </c>
      <c r="B546" t="s">
        <v>553</v>
      </c>
      <c r="C546" t="s">
        <v>3144</v>
      </c>
    </row>
    <row r="547" spans="1:3" x14ac:dyDescent="0.25">
      <c r="A547">
        <v>546</v>
      </c>
      <c r="B547" t="s">
        <v>850</v>
      </c>
      <c r="C547" t="s">
        <v>3145</v>
      </c>
    </row>
    <row r="548" spans="1:3" x14ac:dyDescent="0.25">
      <c r="A548">
        <v>547</v>
      </c>
      <c r="B548" t="s">
        <v>350</v>
      </c>
      <c r="C548" t="s">
        <v>3146</v>
      </c>
    </row>
    <row r="549" spans="1:3" x14ac:dyDescent="0.25">
      <c r="A549">
        <v>548</v>
      </c>
      <c r="B549" t="s">
        <v>208</v>
      </c>
      <c r="C549" t="s">
        <v>3147</v>
      </c>
    </row>
    <row r="550" spans="1:3" x14ac:dyDescent="0.25">
      <c r="A550">
        <v>549</v>
      </c>
      <c r="B550" t="s">
        <v>211</v>
      </c>
      <c r="C550" t="s">
        <v>3148</v>
      </c>
    </row>
    <row r="551" spans="1:3" x14ac:dyDescent="0.25">
      <c r="A551">
        <v>550</v>
      </c>
      <c r="B551" t="s">
        <v>212</v>
      </c>
      <c r="C551" t="s">
        <v>3149</v>
      </c>
    </row>
    <row r="552" spans="1:3" x14ac:dyDescent="0.25">
      <c r="A552">
        <v>551</v>
      </c>
      <c r="B552" t="s">
        <v>215</v>
      </c>
      <c r="C552" t="s">
        <v>3150</v>
      </c>
    </row>
    <row r="553" spans="1:3" x14ac:dyDescent="0.25">
      <c r="A553">
        <v>552</v>
      </c>
      <c r="B553" t="s">
        <v>447</v>
      </c>
      <c r="C553" t="s">
        <v>3151</v>
      </c>
    </row>
    <row r="554" spans="1:3" x14ac:dyDescent="0.25">
      <c r="A554">
        <v>553</v>
      </c>
      <c r="B554" t="s">
        <v>449</v>
      </c>
      <c r="C554" t="s">
        <v>3152</v>
      </c>
    </row>
    <row r="555" spans="1:3" x14ac:dyDescent="0.25">
      <c r="A555">
        <v>554</v>
      </c>
      <c r="B555" t="s">
        <v>451</v>
      </c>
      <c r="C555" t="s">
        <v>3153</v>
      </c>
    </row>
    <row r="556" spans="1:3" x14ac:dyDescent="0.25">
      <c r="A556">
        <v>555</v>
      </c>
      <c r="B556" t="s">
        <v>452</v>
      </c>
      <c r="C556" t="s">
        <v>3154</v>
      </c>
    </row>
    <row r="557" spans="1:3" x14ac:dyDescent="0.25">
      <c r="A557">
        <v>556</v>
      </c>
      <c r="B557" t="s">
        <v>453</v>
      </c>
      <c r="C557" t="s">
        <v>3155</v>
      </c>
    </row>
    <row r="558" spans="1:3" x14ac:dyDescent="0.25">
      <c r="A558">
        <v>557</v>
      </c>
      <c r="B558" t="s">
        <v>454</v>
      </c>
      <c r="C558" t="s">
        <v>3156</v>
      </c>
    </row>
    <row r="559" spans="1:3" x14ac:dyDescent="0.25">
      <c r="A559">
        <v>558</v>
      </c>
      <c r="B559" t="s">
        <v>455</v>
      </c>
      <c r="C559" t="s">
        <v>3157</v>
      </c>
    </row>
    <row r="560" spans="1:3" x14ac:dyDescent="0.25">
      <c r="A560">
        <v>559</v>
      </c>
      <c r="B560" t="s">
        <v>312</v>
      </c>
      <c r="C560" t="s">
        <v>3158</v>
      </c>
    </row>
    <row r="561" spans="1:3" x14ac:dyDescent="0.25">
      <c r="A561">
        <v>560</v>
      </c>
      <c r="B561" t="s">
        <v>314</v>
      </c>
      <c r="C561" t="s">
        <v>3159</v>
      </c>
    </row>
    <row r="562" spans="1:3" x14ac:dyDescent="0.25">
      <c r="A562">
        <v>561</v>
      </c>
      <c r="B562" t="s">
        <v>851</v>
      </c>
      <c r="C562" t="s">
        <v>3160</v>
      </c>
    </row>
    <row r="563" spans="1:3" x14ac:dyDescent="0.25">
      <c r="A563">
        <v>562</v>
      </c>
      <c r="B563" t="s">
        <v>1074</v>
      </c>
      <c r="C563" t="s">
        <v>3161</v>
      </c>
    </row>
    <row r="564" spans="1:3" x14ac:dyDescent="0.25">
      <c r="A564">
        <v>563</v>
      </c>
      <c r="B564" t="s">
        <v>1075</v>
      </c>
      <c r="C564" t="s">
        <v>3162</v>
      </c>
    </row>
    <row r="565" spans="1:3" x14ac:dyDescent="0.25">
      <c r="A565">
        <v>564</v>
      </c>
      <c r="B565" t="s">
        <v>1076</v>
      </c>
      <c r="C565" t="s">
        <v>3163</v>
      </c>
    </row>
    <row r="566" spans="1:3" x14ac:dyDescent="0.25">
      <c r="A566">
        <v>565</v>
      </c>
      <c r="B566" t="s">
        <v>1077</v>
      </c>
      <c r="C566" t="s">
        <v>3164</v>
      </c>
    </row>
    <row r="567" spans="1:3" x14ac:dyDescent="0.25">
      <c r="A567">
        <v>566</v>
      </c>
      <c r="B567" t="s">
        <v>484</v>
      </c>
      <c r="C567" t="s">
        <v>3165</v>
      </c>
    </row>
    <row r="568" spans="1:3" x14ac:dyDescent="0.25">
      <c r="A568">
        <v>567</v>
      </c>
      <c r="B568" t="s">
        <v>527</v>
      </c>
      <c r="C568" t="s">
        <v>3166</v>
      </c>
    </row>
    <row r="569" spans="1:3" x14ac:dyDescent="0.25">
      <c r="A569">
        <v>568</v>
      </c>
      <c r="B569" t="s">
        <v>456</v>
      </c>
      <c r="C569" t="s">
        <v>3167</v>
      </c>
    </row>
    <row r="570" spans="1:3" x14ac:dyDescent="0.25">
      <c r="A570">
        <v>569</v>
      </c>
      <c r="B570" t="s">
        <v>458</v>
      </c>
      <c r="C570" t="s">
        <v>3168</v>
      </c>
    </row>
    <row r="571" spans="1:3" x14ac:dyDescent="0.25">
      <c r="A571">
        <v>570</v>
      </c>
      <c r="B571" t="s">
        <v>462</v>
      </c>
      <c r="C571" t="s">
        <v>3169</v>
      </c>
    </row>
    <row r="572" spans="1:3" x14ac:dyDescent="0.25">
      <c r="A572">
        <v>571</v>
      </c>
      <c r="B572" t="s">
        <v>607</v>
      </c>
      <c r="C572" t="s">
        <v>3170</v>
      </c>
    </row>
    <row r="573" spans="1:3" x14ac:dyDescent="0.25">
      <c r="A573">
        <v>572</v>
      </c>
      <c r="B573" t="s">
        <v>608</v>
      </c>
      <c r="C573" t="s">
        <v>3171</v>
      </c>
    </row>
    <row r="574" spans="1:3" x14ac:dyDescent="0.25">
      <c r="A574">
        <v>573</v>
      </c>
      <c r="B574" t="s">
        <v>635</v>
      </c>
      <c r="C574" t="s">
        <v>3172</v>
      </c>
    </row>
    <row r="575" spans="1:3" x14ac:dyDescent="0.25">
      <c r="A575">
        <v>574</v>
      </c>
      <c r="B575" t="s">
        <v>636</v>
      </c>
      <c r="C575" t="s">
        <v>3173</v>
      </c>
    </row>
    <row r="576" spans="1:3" x14ac:dyDescent="0.25">
      <c r="A576">
        <v>575</v>
      </c>
      <c r="B576" t="s">
        <v>646</v>
      </c>
      <c r="C576" t="s">
        <v>3174</v>
      </c>
    </row>
    <row r="577" spans="1:3" x14ac:dyDescent="0.25">
      <c r="A577">
        <v>576</v>
      </c>
      <c r="B577" t="s">
        <v>689</v>
      </c>
      <c r="C577" t="s">
        <v>3175</v>
      </c>
    </row>
    <row r="578" spans="1:3" x14ac:dyDescent="0.25">
      <c r="A578">
        <v>577</v>
      </c>
      <c r="B578" t="s">
        <v>491</v>
      </c>
      <c r="C578" t="s">
        <v>3176</v>
      </c>
    </row>
    <row r="579" spans="1:3" x14ac:dyDescent="0.25">
      <c r="A579">
        <v>578</v>
      </c>
      <c r="B579" t="s">
        <v>492</v>
      </c>
      <c r="C579" t="s">
        <v>3177</v>
      </c>
    </row>
    <row r="580" spans="1:3" x14ac:dyDescent="0.25">
      <c r="A580">
        <v>579</v>
      </c>
      <c r="B580" t="s">
        <v>544</v>
      </c>
      <c r="C580" t="s">
        <v>3178</v>
      </c>
    </row>
    <row r="581" spans="1:3" x14ac:dyDescent="0.25">
      <c r="A581">
        <v>580</v>
      </c>
      <c r="B581" t="s">
        <v>640</v>
      </c>
      <c r="C581" t="s">
        <v>3179</v>
      </c>
    </row>
    <row r="582" spans="1:3" x14ac:dyDescent="0.25">
      <c r="A582">
        <v>581</v>
      </c>
      <c r="B582" t="s">
        <v>642</v>
      </c>
      <c r="C582" t="s">
        <v>3180</v>
      </c>
    </row>
    <row r="583" spans="1:3" x14ac:dyDescent="0.25">
      <c r="A583">
        <v>582</v>
      </c>
      <c r="B583" t="s">
        <v>645</v>
      </c>
      <c r="C583" t="s">
        <v>3181</v>
      </c>
    </row>
    <row r="584" spans="1:3" x14ac:dyDescent="0.25">
      <c r="A584">
        <v>583</v>
      </c>
      <c r="B584" t="s">
        <v>830</v>
      </c>
      <c r="C584" t="s">
        <v>3182</v>
      </c>
    </row>
    <row r="585" spans="1:3" x14ac:dyDescent="0.25">
      <c r="A585">
        <v>584</v>
      </c>
      <c r="B585" t="s">
        <v>831</v>
      </c>
      <c r="C585" t="s">
        <v>3183</v>
      </c>
    </row>
    <row r="586" spans="1:3" x14ac:dyDescent="0.25">
      <c r="A586">
        <v>585</v>
      </c>
      <c r="B586" t="s">
        <v>834</v>
      </c>
      <c r="C586" t="s">
        <v>3184</v>
      </c>
    </row>
    <row r="587" spans="1:3" x14ac:dyDescent="0.25">
      <c r="A587">
        <v>586</v>
      </c>
      <c r="B587" t="s">
        <v>838</v>
      </c>
      <c r="C587" t="s">
        <v>3185</v>
      </c>
    </row>
    <row r="588" spans="1:3" x14ac:dyDescent="0.25">
      <c r="A588">
        <v>587</v>
      </c>
      <c r="B588" t="s">
        <v>839</v>
      </c>
      <c r="C588" t="s">
        <v>3186</v>
      </c>
    </row>
    <row r="589" spans="1:3" x14ac:dyDescent="0.25">
      <c r="A589">
        <v>588</v>
      </c>
      <c r="B589" t="s">
        <v>664</v>
      </c>
      <c r="C589" t="s">
        <v>3187</v>
      </c>
    </row>
    <row r="590" spans="1:3" x14ac:dyDescent="0.25">
      <c r="A590">
        <v>589</v>
      </c>
      <c r="B590" t="s">
        <v>665</v>
      </c>
      <c r="C590" t="s">
        <v>3188</v>
      </c>
    </row>
    <row r="591" spans="1:3" x14ac:dyDescent="0.25">
      <c r="A591">
        <v>590</v>
      </c>
      <c r="B591" t="s">
        <v>666</v>
      </c>
      <c r="C591" t="s">
        <v>3189</v>
      </c>
    </row>
    <row r="592" spans="1:3" x14ac:dyDescent="0.25">
      <c r="A592">
        <v>591</v>
      </c>
      <c r="B592" t="s">
        <v>1007</v>
      </c>
      <c r="C592" t="s">
        <v>3190</v>
      </c>
    </row>
    <row r="593" spans="1:3" x14ac:dyDescent="0.25">
      <c r="A593">
        <v>592</v>
      </c>
      <c r="B593" t="s">
        <v>1008</v>
      </c>
      <c r="C593" t="s">
        <v>3191</v>
      </c>
    </row>
    <row r="594" spans="1:3" x14ac:dyDescent="0.25">
      <c r="A594">
        <v>593</v>
      </c>
      <c r="B594" t="s">
        <v>1035</v>
      </c>
      <c r="C594" t="s">
        <v>3192</v>
      </c>
    </row>
    <row r="595" spans="1:3" x14ac:dyDescent="0.25">
      <c r="A595">
        <v>594</v>
      </c>
      <c r="B595" t="s">
        <v>1036</v>
      </c>
      <c r="C595" t="s">
        <v>3193</v>
      </c>
    </row>
    <row r="596" spans="1:3" x14ac:dyDescent="0.25">
      <c r="A596">
        <v>595</v>
      </c>
      <c r="B596" t="s">
        <v>357</v>
      </c>
      <c r="C596" t="s">
        <v>3194</v>
      </c>
    </row>
    <row r="597" spans="1:3" x14ac:dyDescent="0.25">
      <c r="A597">
        <v>596</v>
      </c>
      <c r="B597" t="s">
        <v>358</v>
      </c>
      <c r="C597" t="s">
        <v>3195</v>
      </c>
    </row>
    <row r="598" spans="1:3" x14ac:dyDescent="0.25">
      <c r="A598">
        <v>597</v>
      </c>
      <c r="B598" t="s">
        <v>361</v>
      </c>
      <c r="C598" t="s">
        <v>3196</v>
      </c>
    </row>
    <row r="599" spans="1:3" x14ac:dyDescent="0.25">
      <c r="A599">
        <v>598</v>
      </c>
      <c r="B599" t="s">
        <v>402</v>
      </c>
      <c r="C599" t="s">
        <v>3197</v>
      </c>
    </row>
    <row r="600" spans="1:3" x14ac:dyDescent="0.25">
      <c r="A600">
        <v>599</v>
      </c>
      <c r="B600" t="s">
        <v>976</v>
      </c>
      <c r="C600" t="s">
        <v>3198</v>
      </c>
    </row>
    <row r="601" spans="1:3" x14ac:dyDescent="0.25">
      <c r="A601">
        <v>600</v>
      </c>
      <c r="B601" t="s">
        <v>554</v>
      </c>
      <c r="C601" t="s">
        <v>3199</v>
      </c>
    </row>
    <row r="602" spans="1:3" x14ac:dyDescent="0.25">
      <c r="A602">
        <v>601</v>
      </c>
      <c r="B602" t="s">
        <v>949</v>
      </c>
      <c r="C602" t="s">
        <v>3200</v>
      </c>
    </row>
    <row r="603" spans="1:3" x14ac:dyDescent="0.25">
      <c r="A603">
        <v>602</v>
      </c>
      <c r="B603" t="s">
        <v>950</v>
      </c>
      <c r="C603" t="s">
        <v>3201</v>
      </c>
    </row>
    <row r="604" spans="1:3" x14ac:dyDescent="0.25">
      <c r="A604">
        <v>603</v>
      </c>
      <c r="B604" t="s">
        <v>953</v>
      </c>
      <c r="C604" t="s">
        <v>3202</v>
      </c>
    </row>
    <row r="605" spans="1:3" x14ac:dyDescent="0.25">
      <c r="A605">
        <v>604</v>
      </c>
      <c r="B605" t="s">
        <v>955</v>
      </c>
      <c r="C605" t="s">
        <v>3203</v>
      </c>
    </row>
    <row r="606" spans="1:3" x14ac:dyDescent="0.25">
      <c r="A606">
        <v>605</v>
      </c>
      <c r="B606" t="s">
        <v>321</v>
      </c>
      <c r="C606" t="s">
        <v>3204</v>
      </c>
    </row>
    <row r="607" spans="1:3" x14ac:dyDescent="0.25">
      <c r="A607">
        <v>606</v>
      </c>
      <c r="B607" t="s">
        <v>407</v>
      </c>
      <c r="C607" t="s">
        <v>3205</v>
      </c>
    </row>
    <row r="608" spans="1:3" x14ac:dyDescent="0.25">
      <c r="A608">
        <v>607</v>
      </c>
      <c r="B608" t="s">
        <v>408</v>
      </c>
      <c r="C608" t="s">
        <v>3206</v>
      </c>
    </row>
    <row r="609" spans="1:3" x14ac:dyDescent="0.25">
      <c r="A609">
        <v>608</v>
      </c>
      <c r="B609" t="s">
        <v>835</v>
      </c>
      <c r="C609" t="s">
        <v>3207</v>
      </c>
    </row>
    <row r="610" spans="1:3" x14ac:dyDescent="0.25">
      <c r="A610">
        <v>609</v>
      </c>
      <c r="B610" t="s">
        <v>836</v>
      </c>
      <c r="C610" t="s">
        <v>3208</v>
      </c>
    </row>
    <row r="611" spans="1:3" x14ac:dyDescent="0.25">
      <c r="A611">
        <v>610</v>
      </c>
      <c r="B611" t="s">
        <v>962</v>
      </c>
      <c r="C611" t="s">
        <v>3209</v>
      </c>
    </row>
    <row r="612" spans="1:3" x14ac:dyDescent="0.25">
      <c r="A612">
        <v>611</v>
      </c>
      <c r="B612" t="s">
        <v>963</v>
      </c>
      <c r="C612" t="s">
        <v>3210</v>
      </c>
    </row>
    <row r="613" spans="1:3" x14ac:dyDescent="0.25">
      <c r="A613">
        <v>612</v>
      </c>
      <c r="B613" t="s">
        <v>214</v>
      </c>
      <c r="C613" t="s">
        <v>3211</v>
      </c>
    </row>
    <row r="614" spans="1:3" x14ac:dyDescent="0.25">
      <c r="A614">
        <v>613</v>
      </c>
      <c r="B614" t="s">
        <v>216</v>
      </c>
      <c r="C614" t="s">
        <v>3212</v>
      </c>
    </row>
    <row r="615" spans="1:3" x14ac:dyDescent="0.25">
      <c r="A615">
        <v>614</v>
      </c>
      <c r="B615" t="s">
        <v>567</v>
      </c>
      <c r="C615" t="s">
        <v>3213</v>
      </c>
    </row>
    <row r="616" spans="1:3" x14ac:dyDescent="0.25">
      <c r="A616">
        <v>615</v>
      </c>
      <c r="B616" t="s">
        <v>151</v>
      </c>
      <c r="C616" t="s">
        <v>3214</v>
      </c>
    </row>
    <row r="617" spans="1:3" x14ac:dyDescent="0.25">
      <c r="A617">
        <v>616</v>
      </c>
      <c r="B617" t="s">
        <v>448</v>
      </c>
      <c r="C617" t="s">
        <v>3215</v>
      </c>
    </row>
    <row r="618" spans="1:3" x14ac:dyDescent="0.25">
      <c r="A618">
        <v>617</v>
      </c>
      <c r="B618" t="s">
        <v>650</v>
      </c>
      <c r="C618" t="s">
        <v>3216</v>
      </c>
    </row>
    <row r="619" spans="1:3" x14ac:dyDescent="0.25">
      <c r="A619">
        <v>618</v>
      </c>
      <c r="B619" t="s">
        <v>651</v>
      </c>
      <c r="C619" t="s">
        <v>3217</v>
      </c>
    </row>
    <row r="620" spans="1:3" x14ac:dyDescent="0.25">
      <c r="A620">
        <v>619</v>
      </c>
      <c r="B620" t="s">
        <v>861</v>
      </c>
      <c r="C620" t="s">
        <v>3218</v>
      </c>
    </row>
    <row r="621" spans="1:3" x14ac:dyDescent="0.25">
      <c r="A621">
        <v>620</v>
      </c>
      <c r="B621" t="s">
        <v>878</v>
      </c>
      <c r="C621" t="s">
        <v>3219</v>
      </c>
    </row>
    <row r="622" spans="1:3" x14ac:dyDescent="0.25">
      <c r="A622">
        <v>621</v>
      </c>
      <c r="B622" t="s">
        <v>3220</v>
      </c>
      <c r="C622" t="s">
        <v>3221</v>
      </c>
    </row>
    <row r="623" spans="1:3" x14ac:dyDescent="0.25">
      <c r="A623">
        <v>622</v>
      </c>
      <c r="B623" t="s">
        <v>265</v>
      </c>
      <c r="C623" t="s">
        <v>3222</v>
      </c>
    </row>
    <row r="624" spans="1:3" x14ac:dyDescent="0.25">
      <c r="A624">
        <v>623</v>
      </c>
      <c r="B624" t="s">
        <v>266</v>
      </c>
      <c r="C624" t="s">
        <v>3223</v>
      </c>
    </row>
    <row r="625" spans="1:3" x14ac:dyDescent="0.25">
      <c r="A625">
        <v>624</v>
      </c>
      <c r="B625" t="s">
        <v>973</v>
      </c>
      <c r="C625" t="s">
        <v>3224</v>
      </c>
    </row>
    <row r="626" spans="1:3" x14ac:dyDescent="0.25">
      <c r="A626">
        <v>625</v>
      </c>
      <c r="B626" t="s">
        <v>459</v>
      </c>
      <c r="C626" t="s">
        <v>3225</v>
      </c>
    </row>
    <row r="627" spans="1:3" x14ac:dyDescent="0.25">
      <c r="A627">
        <v>626</v>
      </c>
      <c r="B627" t="s">
        <v>854</v>
      </c>
      <c r="C627" t="s">
        <v>3226</v>
      </c>
    </row>
    <row r="628" spans="1:3" x14ac:dyDescent="0.25">
      <c r="A628">
        <v>627</v>
      </c>
      <c r="B628" t="s">
        <v>855</v>
      </c>
      <c r="C628" t="s">
        <v>3227</v>
      </c>
    </row>
    <row r="629" spans="1:3" x14ac:dyDescent="0.25">
      <c r="A629">
        <v>628</v>
      </c>
      <c r="B629" t="s">
        <v>340</v>
      </c>
      <c r="C629" t="s">
        <v>3228</v>
      </c>
    </row>
    <row r="630" spans="1:3" x14ac:dyDescent="0.25">
      <c r="A630">
        <v>629</v>
      </c>
      <c r="B630" t="s">
        <v>341</v>
      </c>
      <c r="C630" t="s">
        <v>3229</v>
      </c>
    </row>
    <row r="631" spans="1:3" x14ac:dyDescent="0.25">
      <c r="A631">
        <v>630</v>
      </c>
      <c r="B631" t="s">
        <v>566</v>
      </c>
      <c r="C631" t="s">
        <v>3230</v>
      </c>
    </row>
    <row r="632" spans="1:3" x14ac:dyDescent="0.25">
      <c r="A632">
        <v>631</v>
      </c>
      <c r="B632" t="s">
        <v>159</v>
      </c>
      <c r="C632" t="s">
        <v>3231</v>
      </c>
    </row>
    <row r="633" spans="1:3" x14ac:dyDescent="0.25">
      <c r="A633">
        <v>632</v>
      </c>
      <c r="B633" t="s">
        <v>267</v>
      </c>
      <c r="C633" t="s">
        <v>3232</v>
      </c>
    </row>
    <row r="634" spans="1:3" x14ac:dyDescent="0.25">
      <c r="A634">
        <v>633</v>
      </c>
      <c r="B634" t="s">
        <v>268</v>
      </c>
      <c r="C634" t="s">
        <v>3233</v>
      </c>
    </row>
    <row r="635" spans="1:3" x14ac:dyDescent="0.25">
      <c r="A635">
        <v>634</v>
      </c>
      <c r="B635" t="s">
        <v>333</v>
      </c>
      <c r="C635" t="s">
        <v>3234</v>
      </c>
    </row>
    <row r="636" spans="1:3" x14ac:dyDescent="0.25">
      <c r="A636">
        <v>635</v>
      </c>
      <c r="B636" t="s">
        <v>335</v>
      </c>
      <c r="C636" t="s">
        <v>3235</v>
      </c>
    </row>
    <row r="637" spans="1:3" x14ac:dyDescent="0.25">
      <c r="A637">
        <v>636</v>
      </c>
      <c r="B637" t="s">
        <v>336</v>
      </c>
      <c r="C637" t="s">
        <v>3236</v>
      </c>
    </row>
    <row r="638" spans="1:3" x14ac:dyDescent="0.25">
      <c r="A638">
        <v>637</v>
      </c>
      <c r="B638" t="s">
        <v>337</v>
      </c>
      <c r="C638" t="s">
        <v>3237</v>
      </c>
    </row>
    <row r="639" spans="1:3" x14ac:dyDescent="0.25">
      <c r="A639">
        <v>638</v>
      </c>
      <c r="B639" t="s">
        <v>338</v>
      </c>
      <c r="C639" t="s">
        <v>3238</v>
      </c>
    </row>
    <row r="640" spans="1:3" x14ac:dyDescent="0.25">
      <c r="A640">
        <v>639</v>
      </c>
      <c r="B640" t="s">
        <v>339</v>
      </c>
      <c r="C640" t="s">
        <v>3239</v>
      </c>
    </row>
    <row r="641" spans="1:3" x14ac:dyDescent="0.25">
      <c r="A641">
        <v>640</v>
      </c>
      <c r="B641" t="s">
        <v>271</v>
      </c>
      <c r="C641" t="s">
        <v>3240</v>
      </c>
    </row>
    <row r="642" spans="1:3" x14ac:dyDescent="0.25">
      <c r="A642">
        <v>641</v>
      </c>
      <c r="B642" t="s">
        <v>272</v>
      </c>
      <c r="C642" t="s">
        <v>3241</v>
      </c>
    </row>
    <row r="643" spans="1:3" x14ac:dyDescent="0.25">
      <c r="A643">
        <v>642</v>
      </c>
      <c r="B643" t="s">
        <v>287</v>
      </c>
      <c r="C643" t="s">
        <v>3242</v>
      </c>
    </row>
    <row r="644" spans="1:3" x14ac:dyDescent="0.25">
      <c r="A644">
        <v>643</v>
      </c>
      <c r="B644" t="s">
        <v>288</v>
      </c>
      <c r="C644" t="s">
        <v>3243</v>
      </c>
    </row>
    <row r="645" spans="1:3" x14ac:dyDescent="0.25">
      <c r="A645">
        <v>644</v>
      </c>
      <c r="B645" t="s">
        <v>289</v>
      </c>
      <c r="C645" t="s">
        <v>3244</v>
      </c>
    </row>
    <row r="646" spans="1:3" x14ac:dyDescent="0.25">
      <c r="A646">
        <v>645</v>
      </c>
      <c r="B646" t="s">
        <v>325</v>
      </c>
      <c r="C646" t="s">
        <v>3245</v>
      </c>
    </row>
    <row r="647" spans="1:3" x14ac:dyDescent="0.25">
      <c r="A647">
        <v>646</v>
      </c>
      <c r="B647" t="s">
        <v>327</v>
      </c>
      <c r="C647" t="s">
        <v>3246</v>
      </c>
    </row>
    <row r="648" spans="1:3" x14ac:dyDescent="0.25">
      <c r="A648">
        <v>647</v>
      </c>
      <c r="B648" t="s">
        <v>290</v>
      </c>
      <c r="C648" t="s">
        <v>3247</v>
      </c>
    </row>
    <row r="649" spans="1:3" x14ac:dyDescent="0.25">
      <c r="A649">
        <v>648</v>
      </c>
      <c r="B649" t="s">
        <v>291</v>
      </c>
      <c r="C649" t="s">
        <v>3248</v>
      </c>
    </row>
    <row r="650" spans="1:3" x14ac:dyDescent="0.25">
      <c r="A650">
        <v>649</v>
      </c>
      <c r="B650" t="s">
        <v>174</v>
      </c>
      <c r="C650" t="s">
        <v>3249</v>
      </c>
    </row>
    <row r="651" spans="1:3" x14ac:dyDescent="0.25">
      <c r="A651">
        <v>650</v>
      </c>
      <c r="B651" t="s">
        <v>884</v>
      </c>
      <c r="C651" t="s">
        <v>3250</v>
      </c>
    </row>
    <row r="652" spans="1:3" x14ac:dyDescent="0.25">
      <c r="A652">
        <v>651</v>
      </c>
      <c r="B652" t="s">
        <v>885</v>
      </c>
      <c r="C652" t="s">
        <v>3251</v>
      </c>
    </row>
    <row r="653" spans="1:3" x14ac:dyDescent="0.25">
      <c r="A653">
        <v>652</v>
      </c>
      <c r="B653" t="s">
        <v>886</v>
      </c>
      <c r="C653" t="s">
        <v>3252</v>
      </c>
    </row>
    <row r="654" spans="1:3" x14ac:dyDescent="0.25">
      <c r="A654">
        <v>653</v>
      </c>
      <c r="B654" t="s">
        <v>887</v>
      </c>
      <c r="C654" t="s">
        <v>3253</v>
      </c>
    </row>
    <row r="655" spans="1:3" x14ac:dyDescent="0.25">
      <c r="A655">
        <v>654</v>
      </c>
      <c r="B655" t="s">
        <v>1030</v>
      </c>
      <c r="C655" t="s">
        <v>3254</v>
      </c>
    </row>
    <row r="656" spans="1:3" x14ac:dyDescent="0.25">
      <c r="A656">
        <v>655</v>
      </c>
      <c r="B656" t="s">
        <v>410</v>
      </c>
      <c r="C656" t="s">
        <v>3255</v>
      </c>
    </row>
    <row r="657" spans="1:3" x14ac:dyDescent="0.25">
      <c r="A657">
        <v>656</v>
      </c>
      <c r="B657" t="s">
        <v>411</v>
      </c>
      <c r="C657" t="s">
        <v>3256</v>
      </c>
    </row>
    <row r="658" spans="1:3" x14ac:dyDescent="0.25">
      <c r="A658">
        <v>657</v>
      </c>
      <c r="B658" t="s">
        <v>412</v>
      </c>
      <c r="C658" t="s">
        <v>3257</v>
      </c>
    </row>
    <row r="659" spans="1:3" x14ac:dyDescent="0.25">
      <c r="A659">
        <v>658</v>
      </c>
      <c r="B659" t="s">
        <v>413</v>
      </c>
      <c r="C659" t="s">
        <v>3258</v>
      </c>
    </row>
    <row r="660" spans="1:3" x14ac:dyDescent="0.25">
      <c r="A660">
        <v>659</v>
      </c>
      <c r="B660" t="s">
        <v>414</v>
      </c>
      <c r="C660" t="s">
        <v>3259</v>
      </c>
    </row>
    <row r="661" spans="1:3" x14ac:dyDescent="0.25">
      <c r="A661">
        <v>660</v>
      </c>
      <c r="B661" t="s">
        <v>415</v>
      </c>
      <c r="C661" t="s">
        <v>3260</v>
      </c>
    </row>
    <row r="662" spans="1:3" x14ac:dyDescent="0.25">
      <c r="A662">
        <v>661</v>
      </c>
      <c r="B662" t="s">
        <v>418</v>
      </c>
      <c r="C662" t="s">
        <v>3261</v>
      </c>
    </row>
    <row r="663" spans="1:3" x14ac:dyDescent="0.25">
      <c r="A663">
        <v>662</v>
      </c>
      <c r="B663" t="s">
        <v>574</v>
      </c>
      <c r="C663" t="s">
        <v>3262</v>
      </c>
    </row>
    <row r="664" spans="1:3" x14ac:dyDescent="0.25">
      <c r="A664">
        <v>663</v>
      </c>
      <c r="B664" t="s">
        <v>577</v>
      </c>
      <c r="C664" t="s">
        <v>3263</v>
      </c>
    </row>
    <row r="665" spans="1:3" x14ac:dyDescent="0.25">
      <c r="A665">
        <v>664</v>
      </c>
      <c r="B665" t="s">
        <v>579</v>
      </c>
      <c r="C665" t="s">
        <v>3264</v>
      </c>
    </row>
    <row r="666" spans="1:3" x14ac:dyDescent="0.25">
      <c r="A666">
        <v>665</v>
      </c>
      <c r="B666" t="s">
        <v>580</v>
      </c>
      <c r="C666" t="s">
        <v>3265</v>
      </c>
    </row>
    <row r="667" spans="1:3" x14ac:dyDescent="0.25">
      <c r="A667">
        <v>666</v>
      </c>
      <c r="B667" t="s">
        <v>793</v>
      </c>
      <c r="C667" t="s">
        <v>3266</v>
      </c>
    </row>
    <row r="668" spans="1:3" x14ac:dyDescent="0.25">
      <c r="A668">
        <v>667</v>
      </c>
      <c r="B668" t="s">
        <v>794</v>
      </c>
      <c r="C668" t="s">
        <v>3267</v>
      </c>
    </row>
    <row r="669" spans="1:3" x14ac:dyDescent="0.25">
      <c r="A669">
        <v>668</v>
      </c>
      <c r="B669" t="s">
        <v>1004</v>
      </c>
      <c r="C669" t="s">
        <v>3268</v>
      </c>
    </row>
    <row r="670" spans="1:3" x14ac:dyDescent="0.25">
      <c r="A670">
        <v>669</v>
      </c>
      <c r="B670" t="s">
        <v>1005</v>
      </c>
      <c r="C670" t="s">
        <v>3269</v>
      </c>
    </row>
    <row r="671" spans="1:3" x14ac:dyDescent="0.25">
      <c r="A671">
        <v>670</v>
      </c>
      <c r="B671" t="s">
        <v>1006</v>
      </c>
      <c r="C671" t="s">
        <v>3270</v>
      </c>
    </row>
    <row r="672" spans="1:3" x14ac:dyDescent="0.25">
      <c r="A672">
        <v>671</v>
      </c>
      <c r="B672" t="s">
        <v>894</v>
      </c>
      <c r="C672" t="s">
        <v>3271</v>
      </c>
    </row>
    <row r="673" spans="1:3" x14ac:dyDescent="0.25">
      <c r="A673">
        <v>672</v>
      </c>
      <c r="B673" t="s">
        <v>421</v>
      </c>
      <c r="C673" t="s">
        <v>3272</v>
      </c>
    </row>
    <row r="674" spans="1:3" x14ac:dyDescent="0.25">
      <c r="A674">
        <v>673</v>
      </c>
      <c r="B674" t="s">
        <v>423</v>
      </c>
      <c r="C674" t="s">
        <v>3273</v>
      </c>
    </row>
    <row r="675" spans="1:3" x14ac:dyDescent="0.25">
      <c r="A675">
        <v>674</v>
      </c>
      <c r="B675" t="s">
        <v>425</v>
      </c>
      <c r="C675" t="s">
        <v>3274</v>
      </c>
    </row>
    <row r="676" spans="1:3" x14ac:dyDescent="0.25">
      <c r="A676">
        <v>675</v>
      </c>
      <c r="B676" t="s">
        <v>427</v>
      </c>
      <c r="C676" t="s">
        <v>3275</v>
      </c>
    </row>
    <row r="677" spans="1:3" x14ac:dyDescent="0.25">
      <c r="A677">
        <v>676</v>
      </c>
      <c r="B677" t="s">
        <v>428</v>
      </c>
      <c r="C677" t="s">
        <v>3276</v>
      </c>
    </row>
    <row r="678" spans="1:3" x14ac:dyDescent="0.25">
      <c r="A678">
        <v>677</v>
      </c>
      <c r="B678" t="s">
        <v>429</v>
      </c>
      <c r="C678" t="s">
        <v>3277</v>
      </c>
    </row>
    <row r="679" spans="1:3" x14ac:dyDescent="0.25">
      <c r="A679">
        <v>678</v>
      </c>
      <c r="B679" t="s">
        <v>430</v>
      </c>
      <c r="C679" t="s">
        <v>3278</v>
      </c>
    </row>
    <row r="680" spans="1:3" x14ac:dyDescent="0.25">
      <c r="A680">
        <v>679</v>
      </c>
      <c r="B680" t="s">
        <v>545</v>
      </c>
      <c r="C680" t="s">
        <v>3279</v>
      </c>
    </row>
    <row r="681" spans="1:3" x14ac:dyDescent="0.25">
      <c r="A681">
        <v>680</v>
      </c>
      <c r="B681" t="s">
        <v>547</v>
      </c>
      <c r="C681" t="s">
        <v>3280</v>
      </c>
    </row>
    <row r="682" spans="1:3" x14ac:dyDescent="0.25">
      <c r="A682">
        <v>681</v>
      </c>
      <c r="B682" t="s">
        <v>487</v>
      </c>
      <c r="C682" t="s">
        <v>3281</v>
      </c>
    </row>
    <row r="683" spans="1:3" x14ac:dyDescent="0.25">
      <c r="A683">
        <v>682</v>
      </c>
      <c r="B683" t="s">
        <v>488</v>
      </c>
      <c r="C683" t="s">
        <v>3282</v>
      </c>
    </row>
    <row r="684" spans="1:3" x14ac:dyDescent="0.25">
      <c r="A684">
        <v>683</v>
      </c>
      <c r="B684" t="s">
        <v>489</v>
      </c>
      <c r="C684" t="s">
        <v>3283</v>
      </c>
    </row>
    <row r="685" spans="1:3" x14ac:dyDescent="0.25">
      <c r="A685">
        <v>684</v>
      </c>
      <c r="B685" t="s">
        <v>599</v>
      </c>
      <c r="C685" t="s">
        <v>3284</v>
      </c>
    </row>
    <row r="686" spans="1:3" x14ac:dyDescent="0.25">
      <c r="A686">
        <v>685</v>
      </c>
      <c r="B686" t="s">
        <v>302</v>
      </c>
      <c r="C686" t="s">
        <v>3285</v>
      </c>
    </row>
    <row r="687" spans="1:3" x14ac:dyDescent="0.25">
      <c r="A687">
        <v>686</v>
      </c>
      <c r="B687" t="s">
        <v>422</v>
      </c>
      <c r="C687" t="s">
        <v>3286</v>
      </c>
    </row>
    <row r="688" spans="1:3" x14ac:dyDescent="0.25">
      <c r="A688">
        <v>687</v>
      </c>
      <c r="B688" t="s">
        <v>512</v>
      </c>
      <c r="C688" t="s">
        <v>3287</v>
      </c>
    </row>
    <row r="689" spans="1:3" x14ac:dyDescent="0.25">
      <c r="A689">
        <v>688</v>
      </c>
      <c r="B689" t="s">
        <v>690</v>
      </c>
      <c r="C689" t="s">
        <v>3288</v>
      </c>
    </row>
    <row r="690" spans="1:3" x14ac:dyDescent="0.25">
      <c r="A690">
        <v>689</v>
      </c>
      <c r="B690" t="s">
        <v>691</v>
      </c>
      <c r="C690" t="s">
        <v>3289</v>
      </c>
    </row>
    <row r="691" spans="1:3" x14ac:dyDescent="0.25">
      <c r="A691">
        <v>690</v>
      </c>
      <c r="B691" t="s">
        <v>692</v>
      </c>
      <c r="C691" t="s">
        <v>3290</v>
      </c>
    </row>
    <row r="692" spans="1:3" x14ac:dyDescent="0.25">
      <c r="A692">
        <v>691</v>
      </c>
      <c r="B692" t="s">
        <v>696</v>
      </c>
      <c r="C692" t="s">
        <v>3291</v>
      </c>
    </row>
    <row r="693" spans="1:3" x14ac:dyDescent="0.25">
      <c r="A693">
        <v>692</v>
      </c>
      <c r="B693" t="s">
        <v>575</v>
      </c>
      <c r="C693" t="s">
        <v>3292</v>
      </c>
    </row>
    <row r="694" spans="1:3" x14ac:dyDescent="0.25">
      <c r="A694">
        <v>693</v>
      </c>
      <c r="B694" t="s">
        <v>840</v>
      </c>
      <c r="C694" t="s">
        <v>3293</v>
      </c>
    </row>
    <row r="695" spans="1:3" x14ac:dyDescent="0.25">
      <c r="A695">
        <v>694</v>
      </c>
      <c r="B695" t="s">
        <v>842</v>
      </c>
      <c r="C695" t="s">
        <v>3294</v>
      </c>
    </row>
    <row r="696" spans="1:3" x14ac:dyDescent="0.25">
      <c r="A696">
        <v>695</v>
      </c>
      <c r="B696" t="s">
        <v>844</v>
      </c>
      <c r="C696" t="s">
        <v>3295</v>
      </c>
    </row>
    <row r="697" spans="1:3" x14ac:dyDescent="0.25">
      <c r="A697">
        <v>696</v>
      </c>
      <c r="B697" t="s">
        <v>862</v>
      </c>
      <c r="C697" t="s">
        <v>3296</v>
      </c>
    </row>
    <row r="698" spans="1:3" x14ac:dyDescent="0.25">
      <c r="A698">
        <v>697</v>
      </c>
      <c r="B698" t="s">
        <v>863</v>
      </c>
      <c r="C698" t="s">
        <v>3297</v>
      </c>
    </row>
    <row r="699" spans="1:3" x14ac:dyDescent="0.25">
      <c r="A699">
        <v>698</v>
      </c>
      <c r="B699" t="s">
        <v>1095</v>
      </c>
      <c r="C699" t="s">
        <v>3298</v>
      </c>
    </row>
    <row r="700" spans="1:3" x14ac:dyDescent="0.25">
      <c r="A700">
        <v>699</v>
      </c>
      <c r="B700" t="s">
        <v>576</v>
      </c>
      <c r="C700" t="s">
        <v>3299</v>
      </c>
    </row>
    <row r="701" spans="1:3" x14ac:dyDescent="0.25">
      <c r="A701">
        <v>700</v>
      </c>
      <c r="B701" t="s">
        <v>578</v>
      </c>
      <c r="C701" t="s">
        <v>3300</v>
      </c>
    </row>
    <row r="702" spans="1:3" x14ac:dyDescent="0.25">
      <c r="A702">
        <v>701</v>
      </c>
      <c r="B702" t="s">
        <v>582</v>
      </c>
      <c r="C702" t="s">
        <v>3301</v>
      </c>
    </row>
    <row r="703" spans="1:3" x14ac:dyDescent="0.25">
      <c r="A703">
        <v>702</v>
      </c>
      <c r="B703" t="s">
        <v>1011</v>
      </c>
      <c r="C703" t="s">
        <v>3302</v>
      </c>
    </row>
    <row r="704" spans="1:3" x14ac:dyDescent="0.25">
      <c r="A704">
        <v>703</v>
      </c>
      <c r="B704" t="s">
        <v>641</v>
      </c>
      <c r="C704" t="s">
        <v>3303</v>
      </c>
    </row>
    <row r="705" spans="1:3" x14ac:dyDescent="0.25">
      <c r="A705">
        <v>704</v>
      </c>
      <c r="B705" t="s">
        <v>644</v>
      </c>
      <c r="C705" t="s">
        <v>3304</v>
      </c>
    </row>
    <row r="706" spans="1:3" x14ac:dyDescent="0.25">
      <c r="A706">
        <v>705</v>
      </c>
      <c r="B706" t="s">
        <v>504</v>
      </c>
      <c r="C706" t="s">
        <v>3305</v>
      </c>
    </row>
    <row r="707" spans="1:3" x14ac:dyDescent="0.25">
      <c r="A707">
        <v>706</v>
      </c>
      <c r="B707" t="s">
        <v>695</v>
      </c>
      <c r="C707" t="s">
        <v>3306</v>
      </c>
    </row>
    <row r="708" spans="1:3" x14ac:dyDescent="0.25">
      <c r="A708">
        <v>707</v>
      </c>
      <c r="B708" t="s">
        <v>1086</v>
      </c>
      <c r="C708" t="s">
        <v>3307</v>
      </c>
    </row>
    <row r="709" spans="1:3" x14ac:dyDescent="0.25">
      <c r="A709">
        <v>708</v>
      </c>
      <c r="B709" t="s">
        <v>213</v>
      </c>
      <c r="C709" t="s">
        <v>3308</v>
      </c>
    </row>
    <row r="710" spans="1:3" x14ac:dyDescent="0.25">
      <c r="A710">
        <v>709</v>
      </c>
      <c r="B710" t="s">
        <v>865</v>
      </c>
      <c r="C710" t="s">
        <v>3309</v>
      </c>
    </row>
    <row r="711" spans="1:3" x14ac:dyDescent="0.25">
      <c r="A711">
        <v>710</v>
      </c>
      <c r="B711" t="s">
        <v>867</v>
      </c>
      <c r="C711" t="s">
        <v>3310</v>
      </c>
    </row>
    <row r="712" spans="1:3" x14ac:dyDescent="0.25">
      <c r="A712">
        <v>711</v>
      </c>
      <c r="B712" t="s">
        <v>868</v>
      </c>
      <c r="C712" t="s">
        <v>3311</v>
      </c>
    </row>
    <row r="713" spans="1:3" x14ac:dyDescent="0.25">
      <c r="A713">
        <v>712</v>
      </c>
      <c r="B713" t="s">
        <v>217</v>
      </c>
      <c r="C713" t="s">
        <v>3312</v>
      </c>
    </row>
    <row r="714" spans="1:3" x14ac:dyDescent="0.25">
      <c r="A714">
        <v>713</v>
      </c>
      <c r="B714" t="s">
        <v>374</v>
      </c>
      <c r="C714" t="s">
        <v>3313</v>
      </c>
    </row>
    <row r="715" spans="1:3" x14ac:dyDescent="0.25">
      <c r="A715">
        <v>714</v>
      </c>
      <c r="B715" t="s">
        <v>424</v>
      </c>
      <c r="C715" t="s">
        <v>3314</v>
      </c>
    </row>
    <row r="716" spans="1:3" x14ac:dyDescent="0.25">
      <c r="A716">
        <v>715</v>
      </c>
      <c r="B716" t="s">
        <v>600</v>
      </c>
      <c r="C716" t="s">
        <v>3315</v>
      </c>
    </row>
    <row r="717" spans="1:3" x14ac:dyDescent="0.25">
      <c r="A717">
        <v>716</v>
      </c>
      <c r="B717" t="s">
        <v>1034</v>
      </c>
      <c r="C717" t="s">
        <v>3316</v>
      </c>
    </row>
    <row r="718" spans="1:3" x14ac:dyDescent="0.25">
      <c r="A718">
        <v>717</v>
      </c>
      <c r="B718" t="s">
        <v>723</v>
      </c>
      <c r="C718" t="s">
        <v>3317</v>
      </c>
    </row>
    <row r="719" spans="1:3" x14ac:dyDescent="0.25">
      <c r="A719">
        <v>718</v>
      </c>
      <c r="B719" t="s">
        <v>724</v>
      </c>
      <c r="C719" t="s">
        <v>3318</v>
      </c>
    </row>
    <row r="720" spans="1:3" x14ac:dyDescent="0.25">
      <c r="A720">
        <v>719</v>
      </c>
      <c r="B720" t="s">
        <v>725</v>
      </c>
      <c r="C720" t="s">
        <v>3319</v>
      </c>
    </row>
    <row r="721" spans="1:3" x14ac:dyDescent="0.25">
      <c r="A721">
        <v>720</v>
      </c>
      <c r="B721" t="s">
        <v>726</v>
      </c>
      <c r="C721" t="s">
        <v>3320</v>
      </c>
    </row>
    <row r="722" spans="1:3" x14ac:dyDescent="0.25">
      <c r="A722">
        <v>721</v>
      </c>
      <c r="B722" t="s">
        <v>727</v>
      </c>
      <c r="C722" t="s">
        <v>3321</v>
      </c>
    </row>
    <row r="723" spans="1:3" x14ac:dyDescent="0.25">
      <c r="A723">
        <v>722</v>
      </c>
      <c r="B723" t="s">
        <v>728</v>
      </c>
      <c r="C723" t="s">
        <v>3322</v>
      </c>
    </row>
    <row r="724" spans="1:3" x14ac:dyDescent="0.25">
      <c r="A724">
        <v>723</v>
      </c>
      <c r="B724" t="s">
        <v>729</v>
      </c>
      <c r="C724" t="s">
        <v>3323</v>
      </c>
    </row>
    <row r="725" spans="1:3" x14ac:dyDescent="0.25">
      <c r="A725">
        <v>724</v>
      </c>
      <c r="B725" t="s">
        <v>730</v>
      </c>
      <c r="C725" t="s">
        <v>3324</v>
      </c>
    </row>
    <row r="726" spans="1:3" x14ac:dyDescent="0.25">
      <c r="A726">
        <v>725</v>
      </c>
      <c r="B726" t="s">
        <v>245</v>
      </c>
      <c r="C726" t="s">
        <v>3325</v>
      </c>
    </row>
    <row r="727" spans="1:3" x14ac:dyDescent="0.25">
      <c r="A727">
        <v>726</v>
      </c>
      <c r="B727" t="s">
        <v>893</v>
      </c>
      <c r="C727" t="s">
        <v>3326</v>
      </c>
    </row>
    <row r="728" spans="1:3" x14ac:dyDescent="0.25">
      <c r="A728">
        <v>727</v>
      </c>
      <c r="B728" t="s">
        <v>895</v>
      </c>
      <c r="C728" t="s">
        <v>3327</v>
      </c>
    </row>
    <row r="729" spans="1:3" x14ac:dyDescent="0.25">
      <c r="A729">
        <v>728</v>
      </c>
      <c r="B729" t="s">
        <v>897</v>
      </c>
      <c r="C729" t="s">
        <v>3328</v>
      </c>
    </row>
    <row r="730" spans="1:3" x14ac:dyDescent="0.25">
      <c r="A730">
        <v>729</v>
      </c>
      <c r="B730" t="s">
        <v>898</v>
      </c>
      <c r="C730" t="s">
        <v>3329</v>
      </c>
    </row>
    <row r="731" spans="1:3" x14ac:dyDescent="0.25">
      <c r="A731">
        <v>730</v>
      </c>
      <c r="B731" t="s">
        <v>903</v>
      </c>
      <c r="C731" t="s">
        <v>3330</v>
      </c>
    </row>
    <row r="732" spans="1:3" x14ac:dyDescent="0.25">
      <c r="A732">
        <v>731</v>
      </c>
      <c r="B732" t="s">
        <v>951</v>
      </c>
      <c r="C732" t="s">
        <v>3331</v>
      </c>
    </row>
    <row r="733" spans="1:3" x14ac:dyDescent="0.25">
      <c r="A733">
        <v>732</v>
      </c>
      <c r="B733" t="s">
        <v>952</v>
      </c>
      <c r="C733" t="s">
        <v>3332</v>
      </c>
    </row>
    <row r="734" spans="1:3" x14ac:dyDescent="0.25">
      <c r="A734">
        <v>733</v>
      </c>
      <c r="B734" t="s">
        <v>954</v>
      </c>
      <c r="C734" t="s">
        <v>3333</v>
      </c>
    </row>
    <row r="735" spans="1:3" x14ac:dyDescent="0.25">
      <c r="A735">
        <v>734</v>
      </c>
      <c r="B735" t="s">
        <v>438</v>
      </c>
      <c r="C735" t="s">
        <v>3334</v>
      </c>
    </row>
    <row r="736" spans="1:3" x14ac:dyDescent="0.25">
      <c r="A736">
        <v>735</v>
      </c>
      <c r="B736" t="s">
        <v>439</v>
      </c>
      <c r="C736" t="s">
        <v>3335</v>
      </c>
    </row>
    <row r="737" spans="1:3" x14ac:dyDescent="0.25">
      <c r="A737">
        <v>736</v>
      </c>
      <c r="B737" t="s">
        <v>444</v>
      </c>
      <c r="C737" t="s">
        <v>3336</v>
      </c>
    </row>
    <row r="738" spans="1:3" x14ac:dyDescent="0.25">
      <c r="A738">
        <v>737</v>
      </c>
      <c r="B738" t="s">
        <v>956</v>
      </c>
      <c r="C738" t="s">
        <v>3337</v>
      </c>
    </row>
    <row r="739" spans="1:3" x14ac:dyDescent="0.25">
      <c r="A739">
        <v>738</v>
      </c>
      <c r="B739" t="s">
        <v>957</v>
      </c>
      <c r="C739" t="s">
        <v>3338</v>
      </c>
    </row>
    <row r="740" spans="1:3" x14ac:dyDescent="0.25">
      <c r="A740">
        <v>739</v>
      </c>
      <c r="B740" t="s">
        <v>958</v>
      </c>
      <c r="C740" t="s">
        <v>3339</v>
      </c>
    </row>
    <row r="741" spans="1:3" x14ac:dyDescent="0.25">
      <c r="A741">
        <v>740</v>
      </c>
      <c r="B741" t="s">
        <v>959</v>
      </c>
      <c r="C741" t="s">
        <v>3340</v>
      </c>
    </row>
    <row r="742" spans="1:3" x14ac:dyDescent="0.25">
      <c r="A742">
        <v>741</v>
      </c>
      <c r="B742" t="s">
        <v>960</v>
      </c>
      <c r="C742" t="s">
        <v>3341</v>
      </c>
    </row>
    <row r="743" spans="1:3" x14ac:dyDescent="0.25">
      <c r="A743">
        <v>742</v>
      </c>
      <c r="B743" t="s">
        <v>961</v>
      </c>
      <c r="C743" t="s">
        <v>3342</v>
      </c>
    </row>
    <row r="744" spans="1:3" x14ac:dyDescent="0.25">
      <c r="A744">
        <v>743</v>
      </c>
      <c r="B744" t="s">
        <v>965</v>
      </c>
      <c r="C744" t="s">
        <v>3343</v>
      </c>
    </row>
    <row r="745" spans="1:3" x14ac:dyDescent="0.25">
      <c r="A745">
        <v>744</v>
      </c>
      <c r="B745" t="s">
        <v>967</v>
      </c>
      <c r="C745" t="s">
        <v>3344</v>
      </c>
    </row>
    <row r="746" spans="1:3" x14ac:dyDescent="0.25">
      <c r="A746">
        <v>745</v>
      </c>
      <c r="B746" t="s">
        <v>968</v>
      </c>
      <c r="C746" t="s">
        <v>3345</v>
      </c>
    </row>
    <row r="747" spans="1:3" x14ac:dyDescent="0.25">
      <c r="A747">
        <v>746</v>
      </c>
      <c r="B747" t="s">
        <v>970</v>
      </c>
      <c r="C747" t="s">
        <v>3346</v>
      </c>
    </row>
    <row r="748" spans="1:3" x14ac:dyDescent="0.25">
      <c r="A748">
        <v>747</v>
      </c>
      <c r="B748" t="s">
        <v>562</v>
      </c>
      <c r="C748" t="s">
        <v>3347</v>
      </c>
    </row>
    <row r="749" spans="1:3" x14ac:dyDescent="0.25">
      <c r="A749">
        <v>748</v>
      </c>
      <c r="B749" t="s">
        <v>563</v>
      </c>
      <c r="C749" t="s">
        <v>3348</v>
      </c>
    </row>
    <row r="750" spans="1:3" x14ac:dyDescent="0.25">
      <c r="A750">
        <v>749</v>
      </c>
      <c r="B750" t="s">
        <v>700</v>
      </c>
      <c r="C750" t="s">
        <v>3349</v>
      </c>
    </row>
    <row r="751" spans="1:3" x14ac:dyDescent="0.25">
      <c r="A751">
        <v>750</v>
      </c>
      <c r="B751" t="s">
        <v>701</v>
      </c>
      <c r="C751" t="s">
        <v>3350</v>
      </c>
    </row>
    <row r="752" spans="1:3" x14ac:dyDescent="0.25">
      <c r="A752">
        <v>751</v>
      </c>
      <c r="B752" t="s">
        <v>465</v>
      </c>
      <c r="C752" t="s">
        <v>3351</v>
      </c>
    </row>
    <row r="753" spans="1:3" x14ac:dyDescent="0.25">
      <c r="A753">
        <v>752</v>
      </c>
      <c r="B753" t="s">
        <v>758</v>
      </c>
      <c r="C753" t="s">
        <v>3352</v>
      </c>
    </row>
    <row r="754" spans="1:3" x14ac:dyDescent="0.25">
      <c r="A754">
        <v>753</v>
      </c>
      <c r="B754" t="s">
        <v>759</v>
      </c>
      <c r="C754" t="s">
        <v>3353</v>
      </c>
    </row>
    <row r="755" spans="1:3" x14ac:dyDescent="0.25">
      <c r="A755">
        <v>754</v>
      </c>
      <c r="B755" t="s">
        <v>760</v>
      </c>
      <c r="C755" t="s">
        <v>3354</v>
      </c>
    </row>
    <row r="756" spans="1:3" x14ac:dyDescent="0.25">
      <c r="A756">
        <v>755</v>
      </c>
      <c r="B756" t="s">
        <v>761</v>
      </c>
      <c r="C756" t="s">
        <v>3355</v>
      </c>
    </row>
    <row r="757" spans="1:3" x14ac:dyDescent="0.25">
      <c r="A757">
        <v>756</v>
      </c>
      <c r="B757" t="s">
        <v>1042</v>
      </c>
      <c r="C757" t="s">
        <v>3356</v>
      </c>
    </row>
    <row r="758" spans="1:3" x14ac:dyDescent="0.25">
      <c r="A758">
        <v>757</v>
      </c>
      <c r="B758" t="s">
        <v>1045</v>
      </c>
      <c r="C758" t="s">
        <v>3357</v>
      </c>
    </row>
    <row r="759" spans="1:3" x14ac:dyDescent="0.25">
      <c r="A759">
        <v>758</v>
      </c>
      <c r="B759" t="s">
        <v>1046</v>
      </c>
      <c r="C759" t="s">
        <v>3358</v>
      </c>
    </row>
    <row r="760" spans="1:3" x14ac:dyDescent="0.25">
      <c r="A760">
        <v>759</v>
      </c>
      <c r="B760" t="s">
        <v>981</v>
      </c>
      <c r="C760" t="s">
        <v>3359</v>
      </c>
    </row>
    <row r="761" spans="1:3" x14ac:dyDescent="0.25">
      <c r="A761">
        <v>760</v>
      </c>
      <c r="B761" t="s">
        <v>982</v>
      </c>
      <c r="C761" t="s">
        <v>3360</v>
      </c>
    </row>
    <row r="762" spans="1:3" x14ac:dyDescent="0.25">
      <c r="A762">
        <v>761</v>
      </c>
      <c r="B762" t="s">
        <v>983</v>
      </c>
      <c r="C762" t="s">
        <v>3361</v>
      </c>
    </row>
    <row r="763" spans="1:3" x14ac:dyDescent="0.25">
      <c r="A763">
        <v>762</v>
      </c>
      <c r="B763" t="s">
        <v>1026</v>
      </c>
      <c r="C763" t="s">
        <v>3362</v>
      </c>
    </row>
    <row r="764" spans="1:3" x14ac:dyDescent="0.25">
      <c r="A764">
        <v>763</v>
      </c>
      <c r="B764" t="s">
        <v>1027</v>
      </c>
      <c r="C764" t="s">
        <v>3363</v>
      </c>
    </row>
    <row r="765" spans="1:3" x14ac:dyDescent="0.25">
      <c r="A765">
        <v>764</v>
      </c>
      <c r="B765" t="s">
        <v>1028</v>
      </c>
      <c r="C765" t="s">
        <v>3364</v>
      </c>
    </row>
    <row r="766" spans="1:3" x14ac:dyDescent="0.25">
      <c r="A766">
        <v>765</v>
      </c>
      <c r="B766" t="s">
        <v>313</v>
      </c>
      <c r="C766" t="s">
        <v>3365</v>
      </c>
    </row>
    <row r="767" spans="1:3" x14ac:dyDescent="0.25">
      <c r="A767">
        <v>766</v>
      </c>
      <c r="B767" t="s">
        <v>315</v>
      </c>
      <c r="C767" t="s">
        <v>3366</v>
      </c>
    </row>
    <row r="768" spans="1:3" x14ac:dyDescent="0.25">
      <c r="A768">
        <v>767</v>
      </c>
      <c r="B768" t="s">
        <v>319</v>
      </c>
      <c r="C768" t="s">
        <v>3367</v>
      </c>
    </row>
    <row r="769" spans="1:3" x14ac:dyDescent="0.25">
      <c r="A769">
        <v>768</v>
      </c>
      <c r="B769" t="s">
        <v>322</v>
      </c>
      <c r="C769" t="s">
        <v>3368</v>
      </c>
    </row>
    <row r="770" spans="1:3" x14ac:dyDescent="0.25">
      <c r="A770">
        <v>769</v>
      </c>
      <c r="B770" t="s">
        <v>323</v>
      </c>
      <c r="C770" t="s">
        <v>3369</v>
      </c>
    </row>
    <row r="771" spans="1:3" x14ac:dyDescent="0.25">
      <c r="A771">
        <v>770</v>
      </c>
      <c r="B771" t="s">
        <v>324</v>
      </c>
      <c r="C771" t="s">
        <v>3370</v>
      </c>
    </row>
    <row r="772" spans="1:3" x14ac:dyDescent="0.25">
      <c r="A772">
        <v>771</v>
      </c>
      <c r="B772" t="s">
        <v>155</v>
      </c>
      <c r="C772" t="s">
        <v>3371</v>
      </c>
    </row>
    <row r="773" spans="1:3" x14ac:dyDescent="0.25">
      <c r="A773">
        <v>772</v>
      </c>
      <c r="B773" t="s">
        <v>770</v>
      </c>
      <c r="C773" t="s">
        <v>3372</v>
      </c>
    </row>
    <row r="774" spans="1:3" x14ac:dyDescent="0.25">
      <c r="A774">
        <v>773</v>
      </c>
      <c r="B774" t="s">
        <v>1053</v>
      </c>
      <c r="C774" t="s">
        <v>3373</v>
      </c>
    </row>
    <row r="775" spans="1:3" x14ac:dyDescent="0.25">
      <c r="A775">
        <v>774</v>
      </c>
      <c r="B775" t="s">
        <v>1054</v>
      </c>
      <c r="C775" t="s">
        <v>3374</v>
      </c>
    </row>
    <row r="776" spans="1:3" x14ac:dyDescent="0.25">
      <c r="A776">
        <v>775</v>
      </c>
      <c r="B776" t="s">
        <v>162</v>
      </c>
      <c r="C776" t="s">
        <v>3375</v>
      </c>
    </row>
    <row r="777" spans="1:3" x14ac:dyDescent="0.25">
      <c r="A777">
        <v>776</v>
      </c>
      <c r="B777" t="s">
        <v>143</v>
      </c>
      <c r="C777" t="s">
        <v>3376</v>
      </c>
    </row>
    <row r="778" spans="1:3" x14ac:dyDescent="0.25">
      <c r="A778">
        <v>777</v>
      </c>
      <c r="B778" t="s">
        <v>144</v>
      </c>
      <c r="C778" t="s">
        <v>3377</v>
      </c>
    </row>
    <row r="779" spans="1:3" x14ac:dyDescent="0.25">
      <c r="A779">
        <v>778</v>
      </c>
      <c r="B779" t="s">
        <v>658</v>
      </c>
      <c r="C779" t="s">
        <v>3378</v>
      </c>
    </row>
    <row r="780" spans="1:3" x14ac:dyDescent="0.25">
      <c r="A780">
        <v>779</v>
      </c>
      <c r="B780" t="s">
        <v>964</v>
      </c>
      <c r="C780" t="s">
        <v>3379</v>
      </c>
    </row>
    <row r="781" spans="1:3" x14ac:dyDescent="0.25">
      <c r="A781">
        <v>780</v>
      </c>
      <c r="B781" t="s">
        <v>1070</v>
      </c>
      <c r="C781" t="s">
        <v>3380</v>
      </c>
    </row>
    <row r="782" spans="1:3" x14ac:dyDescent="0.25">
      <c r="A782">
        <v>781</v>
      </c>
      <c r="B782" t="s">
        <v>1071</v>
      </c>
      <c r="C782" t="s">
        <v>3381</v>
      </c>
    </row>
    <row r="783" spans="1:3" x14ac:dyDescent="0.25">
      <c r="A783">
        <v>782</v>
      </c>
      <c r="B783" t="s">
        <v>1073</v>
      </c>
      <c r="C783" t="s">
        <v>3382</v>
      </c>
    </row>
    <row r="784" spans="1:3" x14ac:dyDescent="0.25">
      <c r="A784">
        <v>783</v>
      </c>
      <c r="B784" t="s">
        <v>384</v>
      </c>
      <c r="C784" t="s">
        <v>3383</v>
      </c>
    </row>
    <row r="785" spans="1:3" x14ac:dyDescent="0.25">
      <c r="A785">
        <v>784</v>
      </c>
      <c r="B785" t="s">
        <v>385</v>
      </c>
      <c r="C785" t="s">
        <v>3384</v>
      </c>
    </row>
    <row r="786" spans="1:3" x14ac:dyDescent="0.25">
      <c r="A786">
        <v>785</v>
      </c>
      <c r="B786" t="s">
        <v>386</v>
      </c>
      <c r="C786" t="s">
        <v>3385</v>
      </c>
    </row>
    <row r="787" spans="1:3" x14ac:dyDescent="0.25">
      <c r="A787">
        <v>786</v>
      </c>
      <c r="B787" t="s">
        <v>218</v>
      </c>
      <c r="C787" t="s">
        <v>3386</v>
      </c>
    </row>
    <row r="788" spans="1:3" x14ac:dyDescent="0.25">
      <c r="A788">
        <v>787</v>
      </c>
      <c r="B788" t="s">
        <v>220</v>
      </c>
      <c r="C788" t="s">
        <v>3387</v>
      </c>
    </row>
    <row r="789" spans="1:3" x14ac:dyDescent="0.25">
      <c r="A789">
        <v>788</v>
      </c>
      <c r="B789" t="s">
        <v>248</v>
      </c>
      <c r="C789" t="s">
        <v>3388</v>
      </c>
    </row>
    <row r="790" spans="1:3" x14ac:dyDescent="0.25">
      <c r="A790">
        <v>789</v>
      </c>
      <c r="B790" t="s">
        <v>249</v>
      </c>
      <c r="C790" t="s">
        <v>3389</v>
      </c>
    </row>
    <row r="791" spans="1:3" x14ac:dyDescent="0.25">
      <c r="A791">
        <v>790</v>
      </c>
      <c r="B791" t="s">
        <v>259</v>
      </c>
      <c r="C791" t="s">
        <v>3390</v>
      </c>
    </row>
    <row r="792" spans="1:3" x14ac:dyDescent="0.25">
      <c r="A792">
        <v>791</v>
      </c>
      <c r="B792" t="s">
        <v>260</v>
      </c>
      <c r="C792" t="s">
        <v>3391</v>
      </c>
    </row>
    <row r="793" spans="1:3" x14ac:dyDescent="0.25">
      <c r="A793">
        <v>792</v>
      </c>
      <c r="B793" t="s">
        <v>522</v>
      </c>
      <c r="C793" t="s">
        <v>3392</v>
      </c>
    </row>
    <row r="794" spans="1:3" x14ac:dyDescent="0.25">
      <c r="A794">
        <v>793</v>
      </c>
      <c r="B794" t="s">
        <v>523</v>
      </c>
      <c r="C794" t="s">
        <v>3393</v>
      </c>
    </row>
    <row r="795" spans="1:3" x14ac:dyDescent="0.25">
      <c r="A795">
        <v>794</v>
      </c>
      <c r="B795" t="s">
        <v>524</v>
      </c>
      <c r="C795" t="s">
        <v>3394</v>
      </c>
    </row>
    <row r="796" spans="1:3" x14ac:dyDescent="0.25">
      <c r="A796">
        <v>795</v>
      </c>
      <c r="B796" t="s">
        <v>564</v>
      </c>
      <c r="C796" t="s">
        <v>3395</v>
      </c>
    </row>
    <row r="797" spans="1:3" x14ac:dyDescent="0.25">
      <c r="A797">
        <v>796</v>
      </c>
      <c r="B797" t="s">
        <v>565</v>
      </c>
      <c r="C797" t="s">
        <v>3396</v>
      </c>
    </row>
    <row r="798" spans="1:3" x14ac:dyDescent="0.25">
      <c r="A798">
        <v>797</v>
      </c>
      <c r="B798" t="s">
        <v>316</v>
      </c>
      <c r="C798" t="s">
        <v>3397</v>
      </c>
    </row>
    <row r="799" spans="1:3" x14ac:dyDescent="0.25">
      <c r="A799">
        <v>798</v>
      </c>
      <c r="B799" t="s">
        <v>626</v>
      </c>
      <c r="C799" t="s">
        <v>3398</v>
      </c>
    </row>
    <row r="800" spans="1:3" x14ac:dyDescent="0.25">
      <c r="A800">
        <v>799</v>
      </c>
      <c r="B800" t="s">
        <v>627</v>
      </c>
      <c r="C800" t="s">
        <v>3399</v>
      </c>
    </row>
    <row r="801" spans="1:3" x14ac:dyDescent="0.25">
      <c r="A801">
        <v>800</v>
      </c>
      <c r="B801" t="s">
        <v>628</v>
      </c>
      <c r="C801" t="s">
        <v>3400</v>
      </c>
    </row>
    <row r="802" spans="1:3" x14ac:dyDescent="0.25">
      <c r="A802">
        <v>801</v>
      </c>
      <c r="B802" t="s">
        <v>629</v>
      </c>
      <c r="C802" t="s">
        <v>3401</v>
      </c>
    </row>
    <row r="803" spans="1:3" x14ac:dyDescent="0.25">
      <c r="A803">
        <v>802</v>
      </c>
      <c r="B803" t="s">
        <v>630</v>
      </c>
      <c r="C803" t="s">
        <v>3402</v>
      </c>
    </row>
    <row r="804" spans="1:3" x14ac:dyDescent="0.25">
      <c r="A804">
        <v>803</v>
      </c>
      <c r="B804" t="s">
        <v>631</v>
      </c>
      <c r="C804" t="s">
        <v>3403</v>
      </c>
    </row>
    <row r="805" spans="1:3" x14ac:dyDescent="0.25">
      <c r="A805">
        <v>804</v>
      </c>
      <c r="B805" t="s">
        <v>632</v>
      </c>
      <c r="C805" t="s">
        <v>3404</v>
      </c>
    </row>
    <row r="806" spans="1:3" x14ac:dyDescent="0.25">
      <c r="A806">
        <v>805</v>
      </c>
      <c r="B806" t="s">
        <v>633</v>
      </c>
      <c r="C806" t="s">
        <v>3405</v>
      </c>
    </row>
    <row r="807" spans="1:3" x14ac:dyDescent="0.25">
      <c r="A807">
        <v>806</v>
      </c>
      <c r="B807" t="s">
        <v>463</v>
      </c>
      <c r="C807" t="s">
        <v>3406</v>
      </c>
    </row>
    <row r="808" spans="1:3" x14ac:dyDescent="0.25">
      <c r="A808">
        <v>807</v>
      </c>
      <c r="B808" t="s">
        <v>709</v>
      </c>
      <c r="C808" t="s">
        <v>3407</v>
      </c>
    </row>
    <row r="809" spans="1:3" x14ac:dyDescent="0.25">
      <c r="A809">
        <v>808</v>
      </c>
      <c r="B809" t="s">
        <v>713</v>
      </c>
      <c r="C809" t="s">
        <v>3408</v>
      </c>
    </row>
    <row r="810" spans="1:3" x14ac:dyDescent="0.25">
      <c r="A810">
        <v>809</v>
      </c>
      <c r="B810" t="s">
        <v>714</v>
      </c>
      <c r="C810" t="s">
        <v>3409</v>
      </c>
    </row>
    <row r="811" spans="1:3" x14ac:dyDescent="0.25">
      <c r="A811">
        <v>810</v>
      </c>
      <c r="B811" t="s">
        <v>606</v>
      </c>
      <c r="C811" t="s">
        <v>3410</v>
      </c>
    </row>
    <row r="812" spans="1:3" x14ac:dyDescent="0.25">
      <c r="A812">
        <v>811</v>
      </c>
      <c r="B812" t="s">
        <v>915</v>
      </c>
      <c r="C812" t="s">
        <v>3411</v>
      </c>
    </row>
    <row r="813" spans="1:3" x14ac:dyDescent="0.25">
      <c r="A813">
        <v>812</v>
      </c>
      <c r="B813" t="s">
        <v>922</v>
      </c>
      <c r="C813" t="s">
        <v>3412</v>
      </c>
    </row>
    <row r="814" spans="1:3" x14ac:dyDescent="0.25">
      <c r="A814">
        <v>813</v>
      </c>
      <c r="B814" t="s">
        <v>926</v>
      </c>
      <c r="C814" t="s">
        <v>3413</v>
      </c>
    </row>
    <row r="815" spans="1:3" x14ac:dyDescent="0.25">
      <c r="A815">
        <v>814</v>
      </c>
      <c r="B815" t="s">
        <v>140</v>
      </c>
      <c r="C815" t="s">
        <v>3414</v>
      </c>
    </row>
    <row r="816" spans="1:3" x14ac:dyDescent="0.25">
      <c r="A816">
        <v>815</v>
      </c>
      <c r="B816" t="s">
        <v>343</v>
      </c>
      <c r="C816" t="s">
        <v>3415</v>
      </c>
    </row>
    <row r="817" spans="1:3" x14ac:dyDescent="0.25">
      <c r="A817">
        <v>816</v>
      </c>
      <c r="B817" t="s">
        <v>345</v>
      </c>
      <c r="C817" t="s">
        <v>3416</v>
      </c>
    </row>
    <row r="818" spans="1:3" x14ac:dyDescent="0.25">
      <c r="A818">
        <v>817</v>
      </c>
      <c r="B818" t="s">
        <v>170</v>
      </c>
      <c r="C818" t="s">
        <v>3417</v>
      </c>
    </row>
    <row r="819" spans="1:3" x14ac:dyDescent="0.25">
      <c r="A819">
        <v>818</v>
      </c>
      <c r="B819" t="s">
        <v>171</v>
      </c>
      <c r="C819" t="s">
        <v>3418</v>
      </c>
    </row>
    <row r="820" spans="1:3" x14ac:dyDescent="0.25">
      <c r="A820">
        <v>819</v>
      </c>
      <c r="B820" t="s">
        <v>848</v>
      </c>
      <c r="C820" t="s">
        <v>3419</v>
      </c>
    </row>
    <row r="821" spans="1:3" x14ac:dyDescent="0.25">
      <c r="A821">
        <v>820</v>
      </c>
      <c r="B821" t="s">
        <v>849</v>
      </c>
      <c r="C821" t="s">
        <v>3420</v>
      </c>
    </row>
    <row r="822" spans="1:3" x14ac:dyDescent="0.25">
      <c r="A822">
        <v>821</v>
      </c>
      <c r="B822" t="s">
        <v>400</v>
      </c>
      <c r="C822" t="s">
        <v>3421</v>
      </c>
    </row>
    <row r="823" spans="1:3" x14ac:dyDescent="0.25">
      <c r="A823">
        <v>822</v>
      </c>
      <c r="B823" t="s">
        <v>401</v>
      </c>
      <c r="C823" t="s">
        <v>3422</v>
      </c>
    </row>
    <row r="824" spans="1:3" x14ac:dyDescent="0.25">
      <c r="A824">
        <v>823</v>
      </c>
      <c r="B824" t="s">
        <v>715</v>
      </c>
      <c r="C824" t="s">
        <v>3423</v>
      </c>
    </row>
    <row r="825" spans="1:3" x14ac:dyDescent="0.25">
      <c r="A825">
        <v>824</v>
      </c>
      <c r="B825" t="s">
        <v>716</v>
      </c>
      <c r="C825" t="s">
        <v>3424</v>
      </c>
    </row>
    <row r="826" spans="1:3" x14ac:dyDescent="0.25">
      <c r="A826">
        <v>825</v>
      </c>
      <c r="B826" t="s">
        <v>717</v>
      </c>
      <c r="C826" t="s">
        <v>3425</v>
      </c>
    </row>
    <row r="827" spans="1:3" x14ac:dyDescent="0.25">
      <c r="A827">
        <v>826</v>
      </c>
      <c r="B827" t="s">
        <v>762</v>
      </c>
      <c r="C827" t="s">
        <v>3426</v>
      </c>
    </row>
    <row r="828" spans="1:3" x14ac:dyDescent="0.25">
      <c r="A828">
        <v>827</v>
      </c>
      <c r="B828" t="s">
        <v>763</v>
      </c>
      <c r="C828" t="s">
        <v>3427</v>
      </c>
    </row>
    <row r="829" spans="1:3" x14ac:dyDescent="0.25">
      <c r="A829">
        <v>828</v>
      </c>
      <c r="B829" t="s">
        <v>677</v>
      </c>
      <c r="C829" t="s">
        <v>3428</v>
      </c>
    </row>
    <row r="830" spans="1:3" x14ac:dyDescent="0.25">
      <c r="A830">
        <v>829</v>
      </c>
      <c r="B830" t="s">
        <v>678</v>
      </c>
      <c r="C830" t="s">
        <v>3429</v>
      </c>
    </row>
    <row r="831" spans="1:3" x14ac:dyDescent="0.25">
      <c r="A831">
        <v>830</v>
      </c>
      <c r="B831" t="s">
        <v>679</v>
      </c>
      <c r="C831" t="s">
        <v>3430</v>
      </c>
    </row>
    <row r="832" spans="1:3" x14ac:dyDescent="0.25">
      <c r="A832">
        <v>831</v>
      </c>
      <c r="B832" t="s">
        <v>682</v>
      </c>
      <c r="C832" t="s">
        <v>3431</v>
      </c>
    </row>
    <row r="833" spans="1:3" x14ac:dyDescent="0.25">
      <c r="A833">
        <v>832</v>
      </c>
      <c r="B833" t="s">
        <v>731</v>
      </c>
      <c r="C833" t="s">
        <v>3432</v>
      </c>
    </row>
    <row r="834" spans="1:3" x14ac:dyDescent="0.25">
      <c r="A834">
        <v>833</v>
      </c>
      <c r="B834" t="s">
        <v>732</v>
      </c>
      <c r="C834" t="s">
        <v>3433</v>
      </c>
    </row>
    <row r="835" spans="1:3" x14ac:dyDescent="0.25">
      <c r="A835">
        <v>834</v>
      </c>
      <c r="B835" t="s">
        <v>733</v>
      </c>
      <c r="C835" t="s">
        <v>3434</v>
      </c>
    </row>
    <row r="836" spans="1:3" x14ac:dyDescent="0.25">
      <c r="A836">
        <v>835</v>
      </c>
      <c r="B836" t="s">
        <v>734</v>
      </c>
      <c r="C836" t="s">
        <v>3435</v>
      </c>
    </row>
    <row r="837" spans="1:3" x14ac:dyDescent="0.25">
      <c r="A837">
        <v>836</v>
      </c>
      <c r="B837" t="s">
        <v>735</v>
      </c>
      <c r="C837" t="s">
        <v>3436</v>
      </c>
    </row>
    <row r="838" spans="1:3" x14ac:dyDescent="0.25">
      <c r="A838">
        <v>837</v>
      </c>
      <c r="B838" t="s">
        <v>736</v>
      </c>
      <c r="C838" t="s">
        <v>3437</v>
      </c>
    </row>
    <row r="839" spans="1:3" x14ac:dyDescent="0.25">
      <c r="A839">
        <v>838</v>
      </c>
      <c r="B839" t="s">
        <v>1081</v>
      </c>
      <c r="C839" t="s">
        <v>3438</v>
      </c>
    </row>
    <row r="840" spans="1:3" x14ac:dyDescent="0.25">
      <c r="A840">
        <v>839</v>
      </c>
      <c r="B840" t="s">
        <v>225</v>
      </c>
      <c r="C840" t="s">
        <v>3439</v>
      </c>
    </row>
    <row r="841" spans="1:3" x14ac:dyDescent="0.25">
      <c r="A841">
        <v>840</v>
      </c>
      <c r="B841" t="s">
        <v>737</v>
      </c>
      <c r="C841" t="s">
        <v>3440</v>
      </c>
    </row>
    <row r="842" spans="1:3" x14ac:dyDescent="0.25">
      <c r="A842">
        <v>841</v>
      </c>
      <c r="B842" t="s">
        <v>738</v>
      </c>
      <c r="C842" t="s">
        <v>3441</v>
      </c>
    </row>
    <row r="843" spans="1:3" x14ac:dyDescent="0.25">
      <c r="A843">
        <v>842</v>
      </c>
      <c r="B843" t="s">
        <v>739</v>
      </c>
      <c r="C843" t="s">
        <v>3442</v>
      </c>
    </row>
    <row r="844" spans="1:3" x14ac:dyDescent="0.25">
      <c r="A844">
        <v>843</v>
      </c>
      <c r="B844" t="s">
        <v>740</v>
      </c>
      <c r="C844" t="s">
        <v>3443</v>
      </c>
    </row>
    <row r="845" spans="1:3" x14ac:dyDescent="0.25">
      <c r="A845">
        <v>844</v>
      </c>
      <c r="B845" t="s">
        <v>741</v>
      </c>
      <c r="C845" t="s">
        <v>3444</v>
      </c>
    </row>
    <row r="846" spans="1:3" x14ac:dyDescent="0.25">
      <c r="A846">
        <v>845</v>
      </c>
      <c r="B846" t="s">
        <v>210</v>
      </c>
      <c r="C846" t="s">
        <v>3445</v>
      </c>
    </row>
    <row r="847" spans="1:3" x14ac:dyDescent="0.25">
      <c r="A847">
        <v>846</v>
      </c>
      <c r="B847" t="s">
        <v>273</v>
      </c>
      <c r="C847" t="s">
        <v>3446</v>
      </c>
    </row>
    <row r="848" spans="1:3" x14ac:dyDescent="0.25">
      <c r="A848">
        <v>847</v>
      </c>
      <c r="B848" t="s">
        <v>247</v>
      </c>
      <c r="C848" t="s">
        <v>3447</v>
      </c>
    </row>
    <row r="849" spans="1:3" x14ac:dyDescent="0.25">
      <c r="A849">
        <v>848</v>
      </c>
      <c r="B849" t="s">
        <v>891</v>
      </c>
      <c r="C849" t="s">
        <v>3448</v>
      </c>
    </row>
    <row r="850" spans="1:3" x14ac:dyDescent="0.25">
      <c r="A850">
        <v>849</v>
      </c>
      <c r="B850" t="s">
        <v>892</v>
      </c>
      <c r="C850" t="s">
        <v>3449</v>
      </c>
    </row>
    <row r="851" spans="1:3" x14ac:dyDescent="0.25">
      <c r="A851">
        <v>850</v>
      </c>
      <c r="B851" t="s">
        <v>969</v>
      </c>
      <c r="C851" t="s">
        <v>3450</v>
      </c>
    </row>
    <row r="852" spans="1:3" x14ac:dyDescent="0.25">
      <c r="A852">
        <v>851</v>
      </c>
      <c r="B852" t="s">
        <v>676</v>
      </c>
      <c r="C852" t="s">
        <v>3451</v>
      </c>
    </row>
    <row r="853" spans="1:3" x14ac:dyDescent="0.25">
      <c r="A853">
        <v>852</v>
      </c>
      <c r="B853" t="s">
        <v>252</v>
      </c>
      <c r="C853" t="s">
        <v>3452</v>
      </c>
    </row>
    <row r="854" spans="1:3" x14ac:dyDescent="0.25">
      <c r="A854">
        <v>853</v>
      </c>
      <c r="B854" t="s">
        <v>841</v>
      </c>
      <c r="C854" t="s">
        <v>3453</v>
      </c>
    </row>
    <row r="855" spans="1:3" x14ac:dyDescent="0.25">
      <c r="A855">
        <v>854</v>
      </c>
      <c r="B855" t="s">
        <v>1080</v>
      </c>
      <c r="C855" t="s">
        <v>3454</v>
      </c>
    </row>
    <row r="856" spans="1:3" x14ac:dyDescent="0.25">
      <c r="A856">
        <v>855</v>
      </c>
      <c r="B856" t="s">
        <v>662</v>
      </c>
      <c r="C856" t="s">
        <v>3455</v>
      </c>
    </row>
    <row r="857" spans="1:3" x14ac:dyDescent="0.25">
      <c r="A857">
        <v>856</v>
      </c>
      <c r="B857" t="s">
        <v>663</v>
      </c>
      <c r="C857" t="s">
        <v>3456</v>
      </c>
    </row>
    <row r="858" spans="1:3" x14ac:dyDescent="0.25">
      <c r="A858">
        <v>857</v>
      </c>
      <c r="B858" t="s">
        <v>513</v>
      </c>
      <c r="C858" t="s">
        <v>3457</v>
      </c>
    </row>
    <row r="859" spans="1:3" x14ac:dyDescent="0.25">
      <c r="A859">
        <v>858</v>
      </c>
      <c r="B859" t="s">
        <v>514</v>
      </c>
      <c r="C859" t="s">
        <v>3458</v>
      </c>
    </row>
    <row r="860" spans="1:3" x14ac:dyDescent="0.25">
      <c r="A860">
        <v>859</v>
      </c>
      <c r="B860" t="s">
        <v>172</v>
      </c>
      <c r="C860" t="s">
        <v>3459</v>
      </c>
    </row>
    <row r="861" spans="1:3" x14ac:dyDescent="0.25">
      <c r="A861">
        <v>860</v>
      </c>
      <c r="B861" t="s">
        <v>180</v>
      </c>
      <c r="C861" t="s">
        <v>3460</v>
      </c>
    </row>
    <row r="862" spans="1:3" x14ac:dyDescent="0.25">
      <c r="A862">
        <v>861</v>
      </c>
      <c r="B862" t="s">
        <v>328</v>
      </c>
      <c r="C862" t="s">
        <v>3461</v>
      </c>
    </row>
    <row r="863" spans="1:3" x14ac:dyDescent="0.25">
      <c r="A863">
        <v>862</v>
      </c>
      <c r="B863" t="s">
        <v>348</v>
      </c>
      <c r="C863" t="s">
        <v>3462</v>
      </c>
    </row>
    <row r="864" spans="1:3" x14ac:dyDescent="0.25">
      <c r="A864">
        <v>863</v>
      </c>
      <c r="B864" t="s">
        <v>349</v>
      </c>
      <c r="C864" t="s">
        <v>3463</v>
      </c>
    </row>
    <row r="865" spans="1:3" x14ac:dyDescent="0.25">
      <c r="A865">
        <v>864</v>
      </c>
      <c r="B865" t="s">
        <v>464</v>
      </c>
      <c r="C865" t="s">
        <v>3464</v>
      </c>
    </row>
    <row r="866" spans="1:3" x14ac:dyDescent="0.25">
      <c r="A866">
        <v>865</v>
      </c>
      <c r="B866" t="s">
        <v>807</v>
      </c>
      <c r="C866" t="s">
        <v>3465</v>
      </c>
    </row>
    <row r="867" spans="1:3" x14ac:dyDescent="0.25">
      <c r="A867">
        <v>866</v>
      </c>
      <c r="B867" t="s">
        <v>808</v>
      </c>
      <c r="C867" t="s">
        <v>3466</v>
      </c>
    </row>
    <row r="868" spans="1:3" x14ac:dyDescent="0.25">
      <c r="A868">
        <v>867</v>
      </c>
      <c r="B868" t="s">
        <v>941</v>
      </c>
      <c r="C868" t="s">
        <v>3467</v>
      </c>
    </row>
    <row r="869" spans="1:3" x14ac:dyDescent="0.25">
      <c r="A869">
        <v>868</v>
      </c>
      <c r="B869" t="s">
        <v>943</v>
      </c>
      <c r="C869" t="s">
        <v>3468</v>
      </c>
    </row>
    <row r="870" spans="1:3" x14ac:dyDescent="0.25">
      <c r="A870">
        <v>869</v>
      </c>
      <c r="B870" t="s">
        <v>944</v>
      </c>
      <c r="C870" t="s">
        <v>3469</v>
      </c>
    </row>
    <row r="871" spans="1:3" x14ac:dyDescent="0.25">
      <c r="A871">
        <v>870</v>
      </c>
      <c r="B871" t="s">
        <v>947</v>
      </c>
      <c r="C871" t="s">
        <v>3470</v>
      </c>
    </row>
    <row r="872" spans="1:3" x14ac:dyDescent="0.25">
      <c r="A872">
        <v>871</v>
      </c>
      <c r="B872" t="s">
        <v>436</v>
      </c>
      <c r="C872" t="s">
        <v>3471</v>
      </c>
    </row>
    <row r="873" spans="1:3" x14ac:dyDescent="0.25">
      <c r="A873">
        <v>872</v>
      </c>
      <c r="B873" t="s">
        <v>437</v>
      </c>
      <c r="C873" t="s">
        <v>3472</v>
      </c>
    </row>
    <row r="874" spans="1:3" x14ac:dyDescent="0.25">
      <c r="A874">
        <v>873</v>
      </c>
      <c r="B874" t="s">
        <v>472</v>
      </c>
      <c r="C874" t="s">
        <v>3473</v>
      </c>
    </row>
    <row r="875" spans="1:3" x14ac:dyDescent="0.25">
      <c r="A875">
        <v>874</v>
      </c>
      <c r="B875" t="s">
        <v>1032</v>
      </c>
      <c r="C875" t="s">
        <v>3474</v>
      </c>
    </row>
    <row r="876" spans="1:3" x14ac:dyDescent="0.25">
      <c r="A876">
        <v>875</v>
      </c>
      <c r="B876" t="s">
        <v>1033</v>
      </c>
      <c r="C876" t="s">
        <v>3475</v>
      </c>
    </row>
    <row r="877" spans="1:3" x14ac:dyDescent="0.25">
      <c r="A877">
        <v>876</v>
      </c>
      <c r="B877" t="s">
        <v>228</v>
      </c>
      <c r="C877" t="s">
        <v>3476</v>
      </c>
    </row>
    <row r="878" spans="1:3" x14ac:dyDescent="0.25">
      <c r="A878">
        <v>877</v>
      </c>
      <c r="B878" t="s">
        <v>229</v>
      </c>
      <c r="C878" t="s">
        <v>3477</v>
      </c>
    </row>
    <row r="879" spans="1:3" x14ac:dyDescent="0.25">
      <c r="A879">
        <v>878</v>
      </c>
      <c r="B879" t="s">
        <v>230</v>
      </c>
      <c r="C879" t="s">
        <v>3478</v>
      </c>
    </row>
    <row r="880" spans="1:3" x14ac:dyDescent="0.25">
      <c r="A880">
        <v>879</v>
      </c>
      <c r="B880" t="s">
        <v>175</v>
      </c>
      <c r="C880" t="s">
        <v>3479</v>
      </c>
    </row>
    <row r="881" spans="1:3" x14ac:dyDescent="0.25">
      <c r="A881">
        <v>880</v>
      </c>
      <c r="B881" t="s">
        <v>518</v>
      </c>
      <c r="C881" t="s">
        <v>3480</v>
      </c>
    </row>
    <row r="882" spans="1:3" x14ac:dyDescent="0.25">
      <c r="A882">
        <v>881</v>
      </c>
      <c r="B882" t="s">
        <v>795</v>
      </c>
      <c r="C882" t="s">
        <v>3481</v>
      </c>
    </row>
    <row r="883" spans="1:3" x14ac:dyDescent="0.25">
      <c r="A883">
        <v>882</v>
      </c>
      <c r="B883" t="s">
        <v>796</v>
      </c>
      <c r="C883" t="s">
        <v>3482</v>
      </c>
    </row>
    <row r="884" spans="1:3" x14ac:dyDescent="0.25">
      <c r="A884">
        <v>883</v>
      </c>
      <c r="B884" t="s">
        <v>303</v>
      </c>
      <c r="C884" t="s">
        <v>3483</v>
      </c>
    </row>
    <row r="885" spans="1:3" x14ac:dyDescent="0.25">
      <c r="A885">
        <v>884</v>
      </c>
      <c r="B885" t="s">
        <v>654</v>
      </c>
      <c r="C885" t="s">
        <v>3484</v>
      </c>
    </row>
    <row r="886" spans="1:3" x14ac:dyDescent="0.25">
      <c r="A886">
        <v>885</v>
      </c>
      <c r="B886" t="s">
        <v>659</v>
      </c>
      <c r="C886" t="s">
        <v>3485</v>
      </c>
    </row>
    <row r="887" spans="1:3" x14ac:dyDescent="0.25">
      <c r="A887">
        <v>886</v>
      </c>
      <c r="B887" t="s">
        <v>660</v>
      </c>
      <c r="C887" t="s">
        <v>3486</v>
      </c>
    </row>
    <row r="888" spans="1:3" x14ac:dyDescent="0.25">
      <c r="A888">
        <v>887</v>
      </c>
      <c r="B888" t="s">
        <v>661</v>
      </c>
      <c r="C888" t="s">
        <v>3487</v>
      </c>
    </row>
    <row r="889" spans="1:3" x14ac:dyDescent="0.25">
      <c r="A889">
        <v>888</v>
      </c>
      <c r="B889" t="s">
        <v>586</v>
      </c>
      <c r="C889" t="s">
        <v>3488</v>
      </c>
    </row>
    <row r="890" spans="1:3" x14ac:dyDescent="0.25">
      <c r="A890">
        <v>889</v>
      </c>
      <c r="B890" t="s">
        <v>589</v>
      </c>
      <c r="C890" t="s">
        <v>3489</v>
      </c>
    </row>
    <row r="891" spans="1:3" x14ac:dyDescent="0.25">
      <c r="A891">
        <v>890</v>
      </c>
      <c r="B891" t="s">
        <v>509</v>
      </c>
      <c r="C891" t="s">
        <v>3490</v>
      </c>
    </row>
    <row r="892" spans="1:3" x14ac:dyDescent="0.25">
      <c r="A892">
        <v>891</v>
      </c>
      <c r="B892" t="s">
        <v>510</v>
      </c>
      <c r="C892" t="s">
        <v>3491</v>
      </c>
    </row>
    <row r="893" spans="1:3" x14ac:dyDescent="0.25">
      <c r="A893">
        <v>892</v>
      </c>
      <c r="B893" t="s">
        <v>559</v>
      </c>
      <c r="C893" t="s">
        <v>3492</v>
      </c>
    </row>
    <row r="894" spans="1:3" x14ac:dyDescent="0.25">
      <c r="A894">
        <v>893</v>
      </c>
      <c r="B894" t="s">
        <v>601</v>
      </c>
      <c r="C894" t="s">
        <v>3493</v>
      </c>
    </row>
    <row r="895" spans="1:3" x14ac:dyDescent="0.25">
      <c r="A895">
        <v>894</v>
      </c>
      <c r="B895" t="s">
        <v>971</v>
      </c>
      <c r="C895" t="s">
        <v>3494</v>
      </c>
    </row>
    <row r="896" spans="1:3" x14ac:dyDescent="0.25">
      <c r="A896">
        <v>895</v>
      </c>
      <c r="B896" t="s">
        <v>972</v>
      </c>
      <c r="C896" t="s">
        <v>3495</v>
      </c>
    </row>
    <row r="897" spans="1:3" x14ac:dyDescent="0.25">
      <c r="A897">
        <v>896</v>
      </c>
      <c r="B897" t="s">
        <v>1082</v>
      </c>
      <c r="C897" t="s">
        <v>3496</v>
      </c>
    </row>
    <row r="898" spans="1:3" x14ac:dyDescent="0.25">
      <c r="A898">
        <v>897</v>
      </c>
      <c r="B898" t="s">
        <v>369</v>
      </c>
      <c r="C898" t="s">
        <v>3497</v>
      </c>
    </row>
    <row r="899" spans="1:3" x14ac:dyDescent="0.25">
      <c r="A899">
        <v>898</v>
      </c>
      <c r="B899" t="s">
        <v>975</v>
      </c>
      <c r="C899" t="s">
        <v>3498</v>
      </c>
    </row>
    <row r="900" spans="1:3" x14ac:dyDescent="0.25">
      <c r="A900">
        <v>899</v>
      </c>
      <c r="B900" t="s">
        <v>602</v>
      </c>
      <c r="C900" t="s">
        <v>3499</v>
      </c>
    </row>
    <row r="901" spans="1:3" x14ac:dyDescent="0.25">
      <c r="A901">
        <v>900</v>
      </c>
      <c r="B901" t="s">
        <v>603</v>
      </c>
      <c r="C901" t="s">
        <v>3500</v>
      </c>
    </row>
    <row r="902" spans="1:3" x14ac:dyDescent="0.25">
      <c r="A902">
        <v>901</v>
      </c>
      <c r="B902" t="s">
        <v>604</v>
      </c>
      <c r="C902" t="s">
        <v>3501</v>
      </c>
    </row>
    <row r="903" spans="1:3" x14ac:dyDescent="0.25">
      <c r="A903">
        <v>902</v>
      </c>
      <c r="B903" t="s">
        <v>605</v>
      </c>
      <c r="C903" t="s">
        <v>3502</v>
      </c>
    </row>
    <row r="904" spans="1:3" x14ac:dyDescent="0.25">
      <c r="A904">
        <v>903</v>
      </c>
      <c r="B904" t="s">
        <v>694</v>
      </c>
      <c r="C904" t="s">
        <v>3503</v>
      </c>
    </row>
    <row r="905" spans="1:3" x14ac:dyDescent="0.25">
      <c r="A905">
        <v>904</v>
      </c>
      <c r="B905" t="s">
        <v>966</v>
      </c>
      <c r="C905" t="s">
        <v>3504</v>
      </c>
    </row>
    <row r="906" spans="1:3" x14ac:dyDescent="0.25">
      <c r="A906">
        <v>905</v>
      </c>
      <c r="B906" t="s">
        <v>332</v>
      </c>
      <c r="C906" t="s">
        <v>3505</v>
      </c>
    </row>
    <row r="907" spans="1:3" x14ac:dyDescent="0.25">
      <c r="A907">
        <v>906</v>
      </c>
      <c r="B907" t="s">
        <v>638</v>
      </c>
      <c r="C907" t="s">
        <v>3506</v>
      </c>
    </row>
    <row r="908" spans="1:3" x14ac:dyDescent="0.25">
      <c r="A908">
        <v>907</v>
      </c>
      <c r="B908" t="s">
        <v>639</v>
      </c>
      <c r="C908" t="s">
        <v>3507</v>
      </c>
    </row>
    <row r="909" spans="1:3" x14ac:dyDescent="0.25">
      <c r="A909">
        <v>908</v>
      </c>
      <c r="B909" t="s">
        <v>852</v>
      </c>
      <c r="C909" t="s">
        <v>3508</v>
      </c>
    </row>
    <row r="910" spans="1:3" x14ac:dyDescent="0.25">
      <c r="A910">
        <v>909</v>
      </c>
      <c r="B910" t="s">
        <v>853</v>
      </c>
      <c r="C910" t="s">
        <v>3509</v>
      </c>
    </row>
    <row r="911" spans="1:3" x14ac:dyDescent="0.25">
      <c r="A911">
        <v>910</v>
      </c>
      <c r="B911" t="s">
        <v>856</v>
      </c>
      <c r="C911" t="s">
        <v>3510</v>
      </c>
    </row>
    <row r="912" spans="1:3" x14ac:dyDescent="0.25">
      <c r="A912">
        <v>911</v>
      </c>
      <c r="B912" t="s">
        <v>857</v>
      </c>
      <c r="C912" t="s">
        <v>3511</v>
      </c>
    </row>
    <row r="913" spans="1:3" x14ac:dyDescent="0.25">
      <c r="A913">
        <v>912</v>
      </c>
      <c r="B913" t="s">
        <v>858</v>
      </c>
      <c r="C913" t="s">
        <v>3512</v>
      </c>
    </row>
    <row r="914" spans="1:3" x14ac:dyDescent="0.25">
      <c r="A914">
        <v>913</v>
      </c>
      <c r="B914" t="s">
        <v>860</v>
      </c>
      <c r="C914" t="s">
        <v>3513</v>
      </c>
    </row>
    <row r="915" spans="1:3" x14ac:dyDescent="0.25">
      <c r="A915">
        <v>914</v>
      </c>
      <c r="B915" t="s">
        <v>643</v>
      </c>
      <c r="C915" t="s">
        <v>3514</v>
      </c>
    </row>
    <row r="916" spans="1:3" x14ac:dyDescent="0.25">
      <c r="A916">
        <v>915</v>
      </c>
      <c r="B916" t="s">
        <v>647</v>
      </c>
      <c r="C916" t="s">
        <v>3515</v>
      </c>
    </row>
    <row r="917" spans="1:3" x14ac:dyDescent="0.25">
      <c r="A917">
        <v>916</v>
      </c>
      <c r="B917" t="s">
        <v>648</v>
      </c>
      <c r="C917" t="s">
        <v>3516</v>
      </c>
    </row>
    <row r="918" spans="1:3" x14ac:dyDescent="0.25">
      <c r="A918">
        <v>917</v>
      </c>
      <c r="B918" t="s">
        <v>649</v>
      </c>
      <c r="C918" t="s">
        <v>3517</v>
      </c>
    </row>
    <row r="919" spans="1:3" x14ac:dyDescent="0.25">
      <c r="A919">
        <v>918</v>
      </c>
      <c r="B919" t="s">
        <v>209</v>
      </c>
      <c r="C919" t="s">
        <v>3518</v>
      </c>
    </row>
    <row r="920" spans="1:3" x14ac:dyDescent="0.25">
      <c r="A920">
        <v>919</v>
      </c>
      <c r="B920" t="s">
        <v>238</v>
      </c>
      <c r="C920" t="s">
        <v>3519</v>
      </c>
    </row>
    <row r="921" spans="1:3" x14ac:dyDescent="0.25">
      <c r="A921">
        <v>920</v>
      </c>
      <c r="B921" t="s">
        <v>239</v>
      </c>
      <c r="C921" t="s">
        <v>3520</v>
      </c>
    </row>
    <row r="922" spans="1:3" x14ac:dyDescent="0.25">
      <c r="A922">
        <v>921</v>
      </c>
      <c r="B922" t="s">
        <v>240</v>
      </c>
      <c r="C922" t="s">
        <v>3521</v>
      </c>
    </row>
    <row r="923" spans="1:3" x14ac:dyDescent="0.25">
      <c r="A923">
        <v>922</v>
      </c>
      <c r="B923" t="s">
        <v>173</v>
      </c>
      <c r="C923" t="s">
        <v>3522</v>
      </c>
    </row>
    <row r="924" spans="1:3" x14ac:dyDescent="0.25">
      <c r="A924">
        <v>923</v>
      </c>
      <c r="B924" t="s">
        <v>684</v>
      </c>
      <c r="C924" t="s">
        <v>3523</v>
      </c>
    </row>
    <row r="925" spans="1:3" x14ac:dyDescent="0.25">
      <c r="A925">
        <v>924</v>
      </c>
      <c r="B925" t="s">
        <v>685</v>
      </c>
      <c r="C925" t="s">
        <v>3524</v>
      </c>
    </row>
    <row r="926" spans="1:3" x14ac:dyDescent="0.25">
      <c r="A926">
        <v>925</v>
      </c>
      <c r="B926" t="s">
        <v>902</v>
      </c>
      <c r="C926" t="s">
        <v>3525</v>
      </c>
    </row>
    <row r="927" spans="1:3" x14ac:dyDescent="0.25">
      <c r="A927">
        <v>926</v>
      </c>
      <c r="B927" t="s">
        <v>1018</v>
      </c>
      <c r="C927" t="s">
        <v>3526</v>
      </c>
    </row>
    <row r="928" spans="1:3" x14ac:dyDescent="0.25">
      <c r="A928">
        <v>927</v>
      </c>
      <c r="B928" t="s">
        <v>1031</v>
      </c>
      <c r="C928" t="s">
        <v>3527</v>
      </c>
    </row>
    <row r="929" spans="1:3" x14ac:dyDescent="0.25">
      <c r="A929">
        <v>928</v>
      </c>
      <c r="B929" t="s">
        <v>347</v>
      </c>
      <c r="C929" t="s">
        <v>3528</v>
      </c>
    </row>
    <row r="930" spans="1:3" x14ac:dyDescent="0.25">
      <c r="A930">
        <v>929</v>
      </c>
      <c r="B930" t="s">
        <v>722</v>
      </c>
      <c r="C930" t="s">
        <v>3529</v>
      </c>
    </row>
    <row r="931" spans="1:3" x14ac:dyDescent="0.25">
      <c r="A931">
        <v>930</v>
      </c>
      <c r="B931" t="s">
        <v>904</v>
      </c>
      <c r="C931" t="s">
        <v>3530</v>
      </c>
    </row>
    <row r="932" spans="1:3" x14ac:dyDescent="0.25">
      <c r="A932">
        <v>931</v>
      </c>
      <c r="B932" t="s">
        <v>905</v>
      </c>
      <c r="C932" t="s">
        <v>3531</v>
      </c>
    </row>
    <row r="933" spans="1:3" x14ac:dyDescent="0.25">
      <c r="A933">
        <v>932</v>
      </c>
      <c r="B933" t="s">
        <v>697</v>
      </c>
      <c r="C933" t="s">
        <v>3532</v>
      </c>
    </row>
    <row r="934" spans="1:3" x14ac:dyDescent="0.25">
      <c r="A934">
        <v>933</v>
      </c>
      <c r="B934" t="s">
        <v>698</v>
      </c>
      <c r="C934" t="s">
        <v>3533</v>
      </c>
    </row>
    <row r="935" spans="1:3" x14ac:dyDescent="0.25">
      <c r="A935">
        <v>934</v>
      </c>
      <c r="B935" t="s">
        <v>708</v>
      </c>
      <c r="C935" t="s">
        <v>3534</v>
      </c>
    </row>
    <row r="936" spans="1:3" x14ac:dyDescent="0.25">
      <c r="A936">
        <v>935</v>
      </c>
      <c r="B936" t="s">
        <v>748</v>
      </c>
      <c r="C936" t="s">
        <v>3535</v>
      </c>
    </row>
    <row r="937" spans="1:3" x14ac:dyDescent="0.25">
      <c r="A937">
        <v>936</v>
      </c>
      <c r="B937" t="s">
        <v>751</v>
      </c>
      <c r="C937" t="s">
        <v>3536</v>
      </c>
    </row>
    <row r="938" spans="1:3" x14ac:dyDescent="0.25">
      <c r="A938">
        <v>937</v>
      </c>
      <c r="B938" t="s">
        <v>687</v>
      </c>
      <c r="C938" t="s">
        <v>3537</v>
      </c>
    </row>
    <row r="939" spans="1:3" x14ac:dyDescent="0.25">
      <c r="A939">
        <v>938</v>
      </c>
      <c r="B939" t="s">
        <v>1001</v>
      </c>
      <c r="C939" t="s">
        <v>3538</v>
      </c>
    </row>
    <row r="940" spans="1:3" x14ac:dyDescent="0.25">
      <c r="A940">
        <v>939</v>
      </c>
      <c r="B940" t="s">
        <v>353</v>
      </c>
      <c r="C940" t="s">
        <v>3539</v>
      </c>
    </row>
    <row r="941" spans="1:3" x14ac:dyDescent="0.25">
      <c r="A941">
        <v>940</v>
      </c>
      <c r="B941" t="s">
        <v>354</v>
      </c>
      <c r="C941" t="s">
        <v>3540</v>
      </c>
    </row>
    <row r="942" spans="1:3" x14ac:dyDescent="0.25">
      <c r="A942">
        <v>941</v>
      </c>
      <c r="B942" t="s">
        <v>815</v>
      </c>
      <c r="C942" t="s">
        <v>3541</v>
      </c>
    </row>
    <row r="943" spans="1:3" x14ac:dyDescent="0.25">
      <c r="A943">
        <v>942</v>
      </c>
      <c r="B943" t="s">
        <v>819</v>
      </c>
      <c r="C943" t="s">
        <v>3542</v>
      </c>
    </row>
    <row r="944" spans="1:3" x14ac:dyDescent="0.25">
      <c r="A944">
        <v>943</v>
      </c>
      <c r="B944" t="s">
        <v>822</v>
      </c>
      <c r="C944" t="s">
        <v>3543</v>
      </c>
    </row>
    <row r="945" spans="1:3" x14ac:dyDescent="0.25">
      <c r="A945">
        <v>944</v>
      </c>
      <c r="B945" t="s">
        <v>825</v>
      </c>
      <c r="C945" t="s">
        <v>3544</v>
      </c>
    </row>
    <row r="946" spans="1:3" x14ac:dyDescent="0.25">
      <c r="A946">
        <v>945</v>
      </c>
      <c r="B946" t="s">
        <v>826</v>
      </c>
      <c r="C946" t="s">
        <v>3545</v>
      </c>
    </row>
    <row r="947" spans="1:3" x14ac:dyDescent="0.25">
      <c r="A947">
        <v>946</v>
      </c>
      <c r="B947" t="s">
        <v>931</v>
      </c>
      <c r="C947" t="s">
        <v>3546</v>
      </c>
    </row>
    <row r="948" spans="1:3" x14ac:dyDescent="0.25">
      <c r="A948">
        <v>947</v>
      </c>
      <c r="B948" t="s">
        <v>207</v>
      </c>
      <c r="C948" t="s">
        <v>3547</v>
      </c>
    </row>
    <row r="949" spans="1:3" x14ac:dyDescent="0.25">
      <c r="A949">
        <v>948</v>
      </c>
      <c r="B949" t="s">
        <v>888</v>
      </c>
      <c r="C949" t="s">
        <v>3548</v>
      </c>
    </row>
    <row r="950" spans="1:3" x14ac:dyDescent="0.25">
      <c r="A950">
        <v>949</v>
      </c>
      <c r="B950" t="s">
        <v>833</v>
      </c>
      <c r="C950" t="s">
        <v>3549</v>
      </c>
    </row>
    <row r="951" spans="1:3" x14ac:dyDescent="0.25">
      <c r="A951">
        <v>950</v>
      </c>
      <c r="B951" t="s">
        <v>519</v>
      </c>
      <c r="C951" t="s">
        <v>3550</v>
      </c>
    </row>
    <row r="952" spans="1:3" x14ac:dyDescent="0.25">
      <c r="A952">
        <v>951</v>
      </c>
      <c r="B952" t="s">
        <v>450</v>
      </c>
      <c r="C952" t="s">
        <v>3551</v>
      </c>
    </row>
    <row r="953" spans="1:3" x14ac:dyDescent="0.25">
      <c r="A953">
        <v>952</v>
      </c>
      <c r="B953" t="s">
        <v>161</v>
      </c>
      <c r="C953" t="s">
        <v>3552</v>
      </c>
    </row>
    <row r="954" spans="1:3" x14ac:dyDescent="0.25">
      <c r="A954">
        <v>953</v>
      </c>
      <c r="B954" t="s">
        <v>998</v>
      </c>
      <c r="C954" t="s">
        <v>3553</v>
      </c>
    </row>
    <row r="955" spans="1:3" x14ac:dyDescent="0.25">
      <c r="A955">
        <v>954</v>
      </c>
      <c r="B955" t="s">
        <v>307</v>
      </c>
      <c r="C955" t="s">
        <v>3554</v>
      </c>
    </row>
    <row r="956" spans="1:3" x14ac:dyDescent="0.25">
      <c r="A956">
        <v>955</v>
      </c>
      <c r="B956" t="s">
        <v>308</v>
      </c>
      <c r="C956" t="s">
        <v>3555</v>
      </c>
    </row>
    <row r="957" spans="1:3" x14ac:dyDescent="0.25">
      <c r="A957">
        <v>956</v>
      </c>
      <c r="B957" t="s">
        <v>311</v>
      </c>
      <c r="C957" t="s">
        <v>3556</v>
      </c>
    </row>
    <row r="958" spans="1:3" x14ac:dyDescent="0.25">
      <c r="A958">
        <v>957</v>
      </c>
      <c r="B958" t="s">
        <v>683</v>
      </c>
      <c r="C958" t="s">
        <v>3557</v>
      </c>
    </row>
    <row r="959" spans="1:3" x14ac:dyDescent="0.25">
      <c r="A959">
        <v>958</v>
      </c>
      <c r="B959" t="s">
        <v>809</v>
      </c>
      <c r="C959" t="s">
        <v>3558</v>
      </c>
    </row>
    <row r="960" spans="1:3" x14ac:dyDescent="0.25">
      <c r="A960">
        <v>959</v>
      </c>
      <c r="B960" t="s">
        <v>810</v>
      </c>
      <c r="C960" t="s">
        <v>3559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Invoice</vt:lpstr>
      <vt:lpstr>Summary</vt:lpstr>
      <vt:lpstr>Detail</vt:lpstr>
      <vt:lpstr>PKSUZ PREM OCT 2</vt:lpstr>
      <vt:lpstr>working</vt:lpstr>
      <vt:lpstr>Sheet2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Tariq</dc:creator>
  <cp:lastModifiedBy>IT User Software</cp:lastModifiedBy>
  <cp:lastPrinted>2024-07-02T05:07:44Z</cp:lastPrinted>
  <dcterms:created xsi:type="dcterms:W3CDTF">2015-06-05T18:17:20Z</dcterms:created>
  <dcterms:modified xsi:type="dcterms:W3CDTF">2024-10-31T07:39:37Z</dcterms:modified>
</cp:coreProperties>
</file>