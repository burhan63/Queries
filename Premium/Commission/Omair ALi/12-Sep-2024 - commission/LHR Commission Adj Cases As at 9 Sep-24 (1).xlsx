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Commission\Omair ALi\12-Sep-2024\"/>
    </mc:Choice>
  </mc:AlternateContent>
  <xr:revisionPtr revIDLastSave="0" documentId="13_ncr:1_{6EB2A598-B680-42D2-B94B-C4A13ACF8274}" xr6:coauthVersionLast="47" xr6:coauthVersionMax="47" xr10:uidLastSave="{00000000-0000-0000-0000-000000000000}"/>
  <bookViews>
    <workbookView xWindow="-120" yWindow="-120" windowWidth="20730" windowHeight="11040" firstSheet="1" activeTab="4" xr2:uid="{ED8AF062-A736-4DA9-8D0F-E86A71364743}"/>
  </bookViews>
  <sheets>
    <sheet name="Sheet1" sheetId="1" state="hidden" r:id="rId1"/>
    <sheet name="Sheet2" sheetId="2" r:id="rId2"/>
    <sheet name="working Commission" sheetId="3" r:id="rId3"/>
    <sheet name="Sheet4" sheetId="4" r:id="rId4"/>
    <sheet name="working Premium" sheetId="5" r:id="rId5"/>
    <sheet name="Sheet6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Sheet1!$A$1:$E$57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5" l="1"/>
  <c r="E57" i="5"/>
  <c r="G57" i="5" s="1"/>
  <c r="G56" i="5"/>
  <c r="F56" i="5"/>
  <c r="E56" i="5"/>
  <c r="F55" i="5"/>
  <c r="G55" i="5" s="1"/>
  <c r="E55" i="5"/>
  <c r="F54" i="5"/>
  <c r="E54" i="5"/>
  <c r="G54" i="5" s="1"/>
  <c r="F53" i="5"/>
  <c r="E53" i="5"/>
  <c r="G53" i="5" s="1"/>
  <c r="G52" i="5"/>
  <c r="F52" i="5"/>
  <c r="E52" i="5"/>
  <c r="F51" i="5"/>
  <c r="G51" i="5" s="1"/>
  <c r="E51" i="5"/>
  <c r="F50" i="5"/>
  <c r="E50" i="5"/>
  <c r="G50" i="5" s="1"/>
  <c r="F49" i="5"/>
  <c r="E49" i="5"/>
  <c r="G49" i="5" s="1"/>
  <c r="G48" i="5"/>
  <c r="F48" i="5"/>
  <c r="E48" i="5"/>
  <c r="F47" i="5"/>
  <c r="G47" i="5" s="1"/>
  <c r="E47" i="5"/>
  <c r="F46" i="5"/>
  <c r="E46" i="5"/>
  <c r="G46" i="5" s="1"/>
  <c r="F45" i="5"/>
  <c r="E45" i="5"/>
  <c r="G45" i="5" s="1"/>
  <c r="G44" i="5"/>
  <c r="F44" i="5"/>
  <c r="E44" i="5"/>
  <c r="F43" i="5"/>
  <c r="G43" i="5" s="1"/>
  <c r="E43" i="5"/>
  <c r="F42" i="5"/>
  <c r="E42" i="5"/>
  <c r="G42" i="5" s="1"/>
  <c r="F41" i="5"/>
  <c r="E41" i="5"/>
  <c r="G41" i="5" s="1"/>
  <c r="G40" i="5"/>
  <c r="F40" i="5"/>
  <c r="E40" i="5"/>
  <c r="F39" i="5"/>
  <c r="G39" i="5" s="1"/>
  <c r="E39" i="5"/>
  <c r="F38" i="5"/>
  <c r="E38" i="5"/>
  <c r="G38" i="5" s="1"/>
  <c r="F37" i="5"/>
  <c r="E37" i="5"/>
  <c r="G37" i="5" s="1"/>
  <c r="G36" i="5"/>
  <c r="F36" i="5"/>
  <c r="E36" i="5"/>
  <c r="F35" i="5"/>
  <c r="G35" i="5" s="1"/>
  <c r="E35" i="5"/>
  <c r="F34" i="5"/>
  <c r="E34" i="5"/>
  <c r="G34" i="5" s="1"/>
  <c r="F33" i="5"/>
  <c r="E33" i="5"/>
  <c r="G33" i="5" s="1"/>
  <c r="G32" i="5"/>
  <c r="F32" i="5"/>
  <c r="E32" i="5"/>
  <c r="F31" i="5"/>
  <c r="G31" i="5" s="1"/>
  <c r="E31" i="5"/>
  <c r="F30" i="5"/>
  <c r="E30" i="5"/>
  <c r="G30" i="5" s="1"/>
  <c r="F29" i="5"/>
  <c r="E29" i="5"/>
  <c r="G29" i="5" s="1"/>
  <c r="G28" i="5"/>
  <c r="F28" i="5"/>
  <c r="E28" i="5"/>
  <c r="F27" i="5"/>
  <c r="G27" i="5" s="1"/>
  <c r="E27" i="5"/>
  <c r="F26" i="5"/>
  <c r="E26" i="5"/>
  <c r="G26" i="5" s="1"/>
  <c r="F25" i="5"/>
  <c r="E25" i="5"/>
  <c r="G25" i="5" s="1"/>
  <c r="G24" i="5"/>
  <c r="F24" i="5"/>
  <c r="E24" i="5"/>
  <c r="F23" i="5"/>
  <c r="G23" i="5" s="1"/>
  <c r="E23" i="5"/>
  <c r="F22" i="5"/>
  <c r="E22" i="5"/>
  <c r="G22" i="5" s="1"/>
  <c r="F21" i="5"/>
  <c r="E21" i="5"/>
  <c r="G21" i="5" s="1"/>
  <c r="G20" i="5"/>
  <c r="F20" i="5"/>
  <c r="E20" i="5"/>
  <c r="F19" i="5"/>
  <c r="G19" i="5" s="1"/>
  <c r="E19" i="5"/>
  <c r="F18" i="5"/>
  <c r="E18" i="5"/>
  <c r="G18" i="5" s="1"/>
  <c r="F17" i="5"/>
  <c r="E17" i="5"/>
  <c r="G17" i="5" s="1"/>
  <c r="G16" i="5"/>
  <c r="F16" i="5"/>
  <c r="E16" i="5"/>
  <c r="F15" i="5"/>
  <c r="G15" i="5" s="1"/>
  <c r="E15" i="5"/>
  <c r="F14" i="5"/>
  <c r="E14" i="5"/>
  <c r="G14" i="5" s="1"/>
  <c r="F13" i="5"/>
  <c r="E13" i="5"/>
  <c r="G13" i="5" s="1"/>
  <c r="G12" i="5"/>
  <c r="F12" i="5"/>
  <c r="E12" i="5"/>
  <c r="F11" i="5"/>
  <c r="G11" i="5" s="1"/>
  <c r="E11" i="5"/>
  <c r="F10" i="5"/>
  <c r="E10" i="5"/>
  <c r="G10" i="5" s="1"/>
  <c r="F9" i="5"/>
  <c r="E9" i="5"/>
  <c r="G9" i="5" s="1"/>
  <c r="G8" i="5"/>
  <c r="F8" i="5"/>
  <c r="E8" i="5"/>
  <c r="F7" i="5"/>
  <c r="G7" i="5" s="1"/>
  <c r="E7" i="5"/>
  <c r="F6" i="5"/>
  <c r="E6" i="5"/>
  <c r="G6" i="5" s="1"/>
  <c r="F5" i="5"/>
  <c r="E5" i="5"/>
  <c r="G5" i="5" s="1"/>
  <c r="G4" i="5"/>
  <c r="F4" i="5"/>
  <c r="E4" i="5"/>
  <c r="F3" i="5"/>
  <c r="G3" i="5" s="1"/>
  <c r="E3" i="5"/>
  <c r="F2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1" i="6"/>
  <c r="C3" i="3"/>
  <c r="G3" i="3" s="1"/>
  <c r="H3" i="3" s="1"/>
  <c r="C4" i="3"/>
  <c r="G4" i="3" s="1"/>
  <c r="H4" i="3" s="1"/>
  <c r="C5" i="3"/>
  <c r="G5" i="3" s="1"/>
  <c r="H5" i="3" s="1"/>
  <c r="C6" i="3"/>
  <c r="G6" i="3" s="1"/>
  <c r="C7" i="3"/>
  <c r="G7" i="3" s="1"/>
  <c r="H7" i="3" s="1"/>
  <c r="C8" i="3"/>
  <c r="G8" i="3" s="1"/>
  <c r="H8" i="3" s="1"/>
  <c r="C9" i="3"/>
  <c r="G9" i="3" s="1"/>
  <c r="H9" i="3" s="1"/>
  <c r="C10" i="3"/>
  <c r="G10" i="3" s="1"/>
  <c r="H10" i="3" s="1"/>
  <c r="C11" i="3"/>
  <c r="G11" i="3" s="1"/>
  <c r="H11" i="3" s="1"/>
  <c r="C12" i="3"/>
  <c r="G12" i="3" s="1"/>
  <c r="H12" i="3" s="1"/>
  <c r="C13" i="3"/>
  <c r="G13" i="3" s="1"/>
  <c r="H13" i="3" s="1"/>
  <c r="C14" i="3"/>
  <c r="G14" i="3" s="1"/>
  <c r="H14" i="3" s="1"/>
  <c r="C15" i="3"/>
  <c r="G15" i="3" s="1"/>
  <c r="H15" i="3" s="1"/>
  <c r="C16" i="3"/>
  <c r="G16" i="3" s="1"/>
  <c r="H16" i="3" s="1"/>
  <c r="C17" i="3"/>
  <c r="G17" i="3" s="1"/>
  <c r="H17" i="3" s="1"/>
  <c r="C18" i="3"/>
  <c r="G18" i="3" s="1"/>
  <c r="H18" i="3" s="1"/>
  <c r="C19" i="3"/>
  <c r="G19" i="3" s="1"/>
  <c r="H19" i="3" s="1"/>
  <c r="C20" i="3"/>
  <c r="G20" i="3" s="1"/>
  <c r="H20" i="3" s="1"/>
  <c r="C21" i="3"/>
  <c r="G21" i="3" s="1"/>
  <c r="H21" i="3" s="1"/>
  <c r="C22" i="3"/>
  <c r="G22" i="3" s="1"/>
  <c r="H22" i="3" s="1"/>
  <c r="C23" i="3"/>
  <c r="G23" i="3" s="1"/>
  <c r="H23" i="3" s="1"/>
  <c r="C24" i="3"/>
  <c r="G24" i="3" s="1"/>
  <c r="H24" i="3" s="1"/>
  <c r="C25" i="3"/>
  <c r="G25" i="3" s="1"/>
  <c r="H25" i="3" s="1"/>
  <c r="C26" i="3"/>
  <c r="G26" i="3" s="1"/>
  <c r="H26" i="3" s="1"/>
  <c r="C27" i="3"/>
  <c r="G27" i="3" s="1"/>
  <c r="H27" i="3" s="1"/>
  <c r="C28" i="3"/>
  <c r="G28" i="3" s="1"/>
  <c r="H28" i="3" s="1"/>
  <c r="C29" i="3"/>
  <c r="G29" i="3" s="1"/>
  <c r="H29" i="3" s="1"/>
  <c r="C30" i="3"/>
  <c r="G30" i="3" s="1"/>
  <c r="H30" i="3" s="1"/>
  <c r="C31" i="3"/>
  <c r="G31" i="3" s="1"/>
  <c r="H31" i="3" s="1"/>
  <c r="C32" i="3"/>
  <c r="G32" i="3" s="1"/>
  <c r="H32" i="3" s="1"/>
  <c r="C33" i="3"/>
  <c r="G33" i="3" s="1"/>
  <c r="H33" i="3" s="1"/>
  <c r="C34" i="3"/>
  <c r="G34" i="3" s="1"/>
  <c r="H34" i="3" s="1"/>
  <c r="C35" i="3"/>
  <c r="G35" i="3" s="1"/>
  <c r="H35" i="3" s="1"/>
  <c r="C36" i="3"/>
  <c r="G36" i="3" s="1"/>
  <c r="H36" i="3" s="1"/>
  <c r="C37" i="3"/>
  <c r="G37" i="3" s="1"/>
  <c r="H37" i="3" s="1"/>
  <c r="C38" i="3"/>
  <c r="G38" i="3" s="1"/>
  <c r="H38" i="3" s="1"/>
  <c r="C39" i="3"/>
  <c r="G39" i="3" s="1"/>
  <c r="H39" i="3" s="1"/>
  <c r="C40" i="3"/>
  <c r="G40" i="3" s="1"/>
  <c r="H40" i="3" s="1"/>
  <c r="C41" i="3"/>
  <c r="G41" i="3" s="1"/>
  <c r="H41" i="3" s="1"/>
  <c r="C42" i="3"/>
  <c r="G42" i="3" s="1"/>
  <c r="H42" i="3" s="1"/>
  <c r="C43" i="3"/>
  <c r="G43" i="3" s="1"/>
  <c r="H43" i="3" s="1"/>
  <c r="C44" i="3"/>
  <c r="G44" i="3" s="1"/>
  <c r="H44" i="3" s="1"/>
  <c r="C45" i="3"/>
  <c r="G45" i="3" s="1"/>
  <c r="H45" i="3" s="1"/>
  <c r="C46" i="3"/>
  <c r="G46" i="3" s="1"/>
  <c r="H46" i="3" s="1"/>
  <c r="C47" i="3"/>
  <c r="G47" i="3" s="1"/>
  <c r="H47" i="3" s="1"/>
  <c r="C48" i="3"/>
  <c r="G48" i="3" s="1"/>
  <c r="H48" i="3" s="1"/>
  <c r="C49" i="3"/>
  <c r="G49" i="3" s="1"/>
  <c r="H49" i="3" s="1"/>
  <c r="C50" i="3"/>
  <c r="G50" i="3" s="1"/>
  <c r="H50" i="3" s="1"/>
  <c r="C51" i="3"/>
  <c r="G51" i="3" s="1"/>
  <c r="H51" i="3" s="1"/>
  <c r="C52" i="3"/>
  <c r="G52" i="3" s="1"/>
  <c r="H52" i="3" s="1"/>
  <c r="C53" i="3"/>
  <c r="G53" i="3" s="1"/>
  <c r="H53" i="3" s="1"/>
  <c r="C54" i="3"/>
  <c r="C55" i="3"/>
  <c r="G55" i="3" s="1"/>
  <c r="H55" i="3" s="1"/>
  <c r="C56" i="3"/>
  <c r="G56" i="3" s="1"/>
  <c r="H56" i="3" s="1"/>
  <c r="C57" i="3"/>
  <c r="G57" i="3" s="1"/>
  <c r="C2" i="3"/>
  <c r="G2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2" i="3"/>
  <c r="F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2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2" i="4"/>
  <c r="G54" i="3" l="1"/>
  <c r="H54" i="3" s="1"/>
  <c r="G2" i="5"/>
  <c r="H6" i="3"/>
  <c r="H57" i="3"/>
  <c r="H2" i="3"/>
  <c r="B117" i="2"/>
  <c r="B58" i="2"/>
</calcChain>
</file>

<file path=xl/sharedStrings.xml><?xml version="1.0" encoding="utf-8"?>
<sst xmlns="http://schemas.openxmlformats.org/spreadsheetml/2006/main" count="690" uniqueCount="96">
  <si>
    <t>Sr.No</t>
  </si>
  <si>
    <t>POLICY_STRING</t>
  </si>
  <si>
    <t>Agency Code</t>
  </si>
  <si>
    <t>Agency Name</t>
  </si>
  <si>
    <t>OST</t>
  </si>
  <si>
    <t>LHR/LHR/D/MO/PC COMP/P/90900/06/2024</t>
  </si>
  <si>
    <t>LHR/LHR/D/MO/PC COMP/P/91269/06/2024</t>
  </si>
  <si>
    <t>LHR/LHR/D/MO/PC COMP/P/91980/06/2024</t>
  </si>
  <si>
    <t>LHR/LHR/D/MO/PC COMP/P/91981/06/2024</t>
  </si>
  <si>
    <t>LHR/LHR/D/MO/PC COMP/P/92018/06/2024</t>
  </si>
  <si>
    <t>LHR/LHR/D/MO/PC COMP/P/92314/07/2024</t>
  </si>
  <si>
    <t>LHR/LHR/D/MO/PC COMP/P/92317/07/2024</t>
  </si>
  <si>
    <t>LHR/LHR/D/MO/PC COMP/P/92318/07/2024</t>
  </si>
  <si>
    <t>LHR/LHR/D/MO/PC COMP/P/92365/07/2024</t>
  </si>
  <si>
    <t>LHR/LHR/D/MO/PC COMP/P/92385/07/2024</t>
  </si>
  <si>
    <t>LHR/LHR/D/MO/PC COMP/P/92386/07/2024</t>
  </si>
  <si>
    <t>LHR/LHR/D/MO/PC COMP/P/92532/07/2024</t>
  </si>
  <si>
    <t>LHR/LHR/D/MO/PC COMP/P/92534/07/2024</t>
  </si>
  <si>
    <t>LHR/LHR/D/MO/PC COMP/P/93048/07/2024</t>
  </si>
  <si>
    <t>LHR/LHR/D/MO/PC COMP/P/93049/07/2024</t>
  </si>
  <si>
    <t>LHR/LHR/D/MO/PC COMP/P/93112/07/2024</t>
  </si>
  <si>
    <t>LHR/LHR/D/MO/PC COMP/P/93336/07/2024</t>
  </si>
  <si>
    <t>LHR/LHR/D/MO/PC COMP/P/93512/07/2024</t>
  </si>
  <si>
    <t>LHR/LHR/D/MO/PC TPP/P/93627/07/2024</t>
  </si>
  <si>
    <t>LHR/LHR/D/MO/PC COMP/P/93645/07/2024</t>
  </si>
  <si>
    <t>LHR/LHR/D/MO/PC COMP/P/93753/07/2024</t>
  </si>
  <si>
    <t>LHR/LHR/D/MO/PC COMP/P/93756/07/2024</t>
  </si>
  <si>
    <t>LHR/LHR/D/MO/PC COMP/P/93972/07/2024</t>
  </si>
  <si>
    <t>LHR/LHR/D/MO/PC COMP/P/93973/07/2024</t>
  </si>
  <si>
    <t>LHR/LHR/D/MO/PC COMP/P/93976/07/2024</t>
  </si>
  <si>
    <t>LHR/LHR/D/MO/PC COMP/P/93977/07/2024</t>
  </si>
  <si>
    <t>LHR/LHR/D/MO/PC COMP/P/94140/07/2024</t>
  </si>
  <si>
    <t>LHR/LHR/D/MO/PC COMP/P/94141/07/2024</t>
  </si>
  <si>
    <t>LHR/LHR/D/MO/PC COMP/P/94177/07/2024</t>
  </si>
  <si>
    <t>LHR/LHR/D/MO/PC COMP/P/94178/07/2024</t>
  </si>
  <si>
    <t>LHR/LHR/D/MO/PC COMP/P/94479/08/2024</t>
  </si>
  <si>
    <t>LHR/LHR/D/MO/PC COMP/P/94743/08/2024</t>
  </si>
  <si>
    <t>LHR/LHR/D/MO/PC TPP/P/94799/08/2024</t>
  </si>
  <si>
    <t>LHR/LHR/D/MO/PC TPP/P/94801/08/2024</t>
  </si>
  <si>
    <t>LHR/LHR/D/MO/PC COMP/P/94828/08/2024</t>
  </si>
  <si>
    <t>LHR/LHR/D/MO/PC COMP/P/94904/08/2024</t>
  </si>
  <si>
    <t>LHR/LHR/D/MO/PC COMP/P/94923/08/2024</t>
  </si>
  <si>
    <t>LHR/LHR/D/MO/PC COMP/P/94966/08/2024</t>
  </si>
  <si>
    <t>LHR/LHR/D/MO/PC COMP/P/95103/08/2024</t>
  </si>
  <si>
    <t>LHR/LHR/D/MO/PC COMP/P/95104/08/2024</t>
  </si>
  <si>
    <t>LHR/LHR/D/MO/PC COMP/P/95322/08/2024</t>
  </si>
  <si>
    <t>LHR/LHR/D/MO/PC TPP/P/95388/08/2024</t>
  </si>
  <si>
    <t>LHR/LHR/D/MO/PC TPP/P/95389/08/2024</t>
  </si>
  <si>
    <t>LHR/LHR/D/MO/PC TPP/P/95390/08/2024</t>
  </si>
  <si>
    <t>LHR/LHR/D/MO/PC COMP/P/95540/08/2024</t>
  </si>
  <si>
    <t>LHR/LHR/D/MO/PC COMP/P/95602/08/2024</t>
  </si>
  <si>
    <t>LHR/LHR/D/MO/PC COMP/P/95714/08/2024</t>
  </si>
  <si>
    <t>LHR/LHR/D/MO/PC COMP/P/95715/08/2024</t>
  </si>
  <si>
    <t>LHR/LHR/D/MO/PC COMP/P/95717/08/2024</t>
  </si>
  <si>
    <t>LHR/LHR/D/MO/PC COMP/P/95736/08/2024</t>
  </si>
  <si>
    <t>LHR/LHR/D/MO/PC COMP/P/96054/08/2024</t>
  </si>
  <si>
    <t>LHR/LHR/D/MO/PC COMP/P/96057/08/2024</t>
  </si>
  <si>
    <t>LHR/LHR/D/MO/PC TPP/P/96076/08/2024</t>
  </si>
  <si>
    <t>LHR/LHR/D/MO/PC TPP/P/96077/08/2024</t>
  </si>
  <si>
    <t>LHR/LHR/D/MO/PC TPP/P/96486/08/2024</t>
  </si>
  <si>
    <t>LHR/LHR/D/MO/PC COMP/P/96489/08/2024</t>
  </si>
  <si>
    <t>Muhammad Hamza Parvez</t>
  </si>
  <si>
    <t>Suzuki Motor House Pvt. Ltd.</t>
  </si>
  <si>
    <t>Suzuki Fort Motors</t>
  </si>
  <si>
    <t>Syed Suleman Ashraf Gillani</t>
  </si>
  <si>
    <t>Imran Sharif</t>
  </si>
  <si>
    <t>Umar Zeb</t>
  </si>
  <si>
    <t>Suzuki Sethi Motors</t>
  </si>
  <si>
    <t>Suzuki Azim Motors</t>
  </si>
  <si>
    <t>TOYOTA GARDEN MOTORS (PRIVATE) LIMITED</t>
  </si>
  <si>
    <t>MUHAMMAD ATIF LATIF</t>
  </si>
  <si>
    <t>SUZUKI RAHIM YAR KHAN MOTORS</t>
  </si>
  <si>
    <t>Zeeshan Bashir</t>
  </si>
  <si>
    <t>Muhammad Ramzan Noor</t>
  </si>
  <si>
    <t>Jawad Ahmed</t>
  </si>
  <si>
    <t>Toyota Layalpur Motors</t>
  </si>
  <si>
    <t>Syed Muhammad Raza Kazmi</t>
  </si>
  <si>
    <t>Haval Central</t>
  </si>
  <si>
    <t>Mirza Mudassar Hussain</t>
  </si>
  <si>
    <t>TOYOTA BAHAWALPUR MOTORS (PVT) LIMITED</t>
  </si>
  <si>
    <t>Tariq Shahzad</t>
  </si>
  <si>
    <t>Danish Naeem Khan</t>
  </si>
  <si>
    <t>Adeel Hussain Adil</t>
  </si>
  <si>
    <t>Muhammad Najeeb Ullah Awan</t>
  </si>
  <si>
    <t>Syed Muneeb Ul Hassan Naqvi</t>
  </si>
  <si>
    <t>Muhammad Farhan Baig</t>
  </si>
  <si>
    <t>COMM</t>
  </si>
  <si>
    <t>PREM</t>
  </si>
  <si>
    <t>POLICY NO.</t>
  </si>
  <si>
    <t>Assorted_code</t>
  </si>
  <si>
    <t>Commission</t>
  </si>
  <si>
    <t>-06-2024</t>
  </si>
  <si>
    <t>-07-2024</t>
  </si>
  <si>
    <t>-08-2024</t>
  </si>
  <si>
    <t>11Sep240220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</si>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</sst>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04040"/>
      <name val="Times New Roman"/>
      <family val="1"/>
    </font>
    <font>
      <sz val="11"/>
      <color indexed="8"/>
      <name val="Calibri"/>
      <family val="2"/>
    </font>
    <font>
      <b/>
      <sz val="10"/>
      <color rgb="FF404040"/>
      <name val="Times New Roman"/>
      <family val="1"/>
    </font>
    <font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2" fillId="0" borderId="2" xfId="0" applyFont="1" applyBorder="1" applyAlignment="1">
      <alignment vertical="top"/>
    </xf>
    <xf numFmtId="0" fontId="2" fillId="0" borderId="2" xfId="0" applyFont="1" applyBorder="1"/>
    <xf numFmtId="165" fontId="2" fillId="0" borderId="2" xfId="1" applyNumberFormat="1" applyFont="1" applyBorder="1" applyAlignment="1">
      <alignment vertical="top"/>
    </xf>
    <xf numFmtId="0" fontId="0" fillId="0" borderId="1" xfId="0" applyBorder="1"/>
    <xf numFmtId="165" fontId="0" fillId="0" borderId="1" xfId="1" applyNumberFormat="1" applyFont="1" applyBorder="1"/>
    <xf numFmtId="166" fontId="3" fillId="0" borderId="1" xfId="0" applyNumberFormat="1" applyFont="1" applyBorder="1" applyAlignment="1">
      <alignment horizontal="center" vertical="center"/>
    </xf>
    <xf numFmtId="164" fontId="2" fillId="0" borderId="0" xfId="1" applyFont="1"/>
    <xf numFmtId="164" fontId="0" fillId="0" borderId="0" xfId="1" applyFont="1"/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vertical="top"/>
    </xf>
    <xf numFmtId="164" fontId="0" fillId="0" borderId="1" xfId="1" applyFont="1" applyBorder="1" applyAlignment="1">
      <alignment horizontal="center" vertical="top"/>
    </xf>
    <xf numFmtId="165" fontId="0" fillId="0" borderId="0" xfId="1" applyNumberFormat="1" applyFont="1" applyAlignment="1">
      <alignment vertical="top"/>
    </xf>
    <xf numFmtId="16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164" fontId="0" fillId="0" borderId="1" xfId="1" applyFont="1" applyBorder="1" applyAlignment="1">
      <alignment vertical="top"/>
    </xf>
    <xf numFmtId="165" fontId="6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agency.xlsx" TargetMode="External"/><Relationship Id="rId1" Type="http://schemas.openxmlformats.org/officeDocument/2006/relationships/externalLinkPath" Target="file:///C:\Users\adil.hassan\Downloads\agenc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commission.xlsx" TargetMode="External"/><Relationship Id="rId1" Type="http://schemas.openxmlformats.org/officeDocument/2006/relationships/externalLinkPath" Target="file:///C:\Users\adil.hassan\Downloads\commiss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123.xlsx" TargetMode="External"/><Relationship Id="rId1" Type="http://schemas.openxmlformats.org/officeDocument/2006/relationships/externalLinkPath" Target="file:///C:\Users\adil.hassan\Downloads\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FUNC_ASSORTED_STRING(IA.ASSORTED_CODE)</v>
          </cell>
          <cell r="C1" t="str">
            <v>AGENCY_CODE</v>
          </cell>
        </row>
        <row r="2">
          <cell r="B2" t="str">
            <v>LHR/LHR/D/MO/PC COMP/P/95103/08/2024</v>
          </cell>
          <cell r="C2" t="str">
            <v>09000845</v>
          </cell>
        </row>
        <row r="3">
          <cell r="B3" t="str">
            <v>LHR/LHR/D/MO/PC COMP/P/95104/08/2024</v>
          </cell>
          <cell r="C3" t="str">
            <v>09000845</v>
          </cell>
        </row>
        <row r="4">
          <cell r="B4" t="str">
            <v>LHR/LHR/D/MO/PC COMP/P/95714/08/2024</v>
          </cell>
          <cell r="C4" t="str">
            <v>09000857</v>
          </cell>
        </row>
        <row r="5">
          <cell r="B5" t="str">
            <v>LHR/LHR/D/MO/PC TPP/P/95389/08/2024</v>
          </cell>
          <cell r="C5" t="str">
            <v>09000420</v>
          </cell>
        </row>
        <row r="6">
          <cell r="B6" t="str">
            <v>LHR/LHR/D/MO/PC COMP/P/96489/08/2024</v>
          </cell>
          <cell r="C6" t="str">
            <v>09000898</v>
          </cell>
        </row>
        <row r="7">
          <cell r="B7" t="str">
            <v>LHR/LHR/D/MO/PC COMP/P/95602/08/2024</v>
          </cell>
          <cell r="C7" t="str">
            <v>09000543</v>
          </cell>
        </row>
        <row r="8">
          <cell r="B8" t="str">
            <v>LHR/LHR/D/MO/PC TPP/P/96077/08/2024</v>
          </cell>
          <cell r="C8" t="str">
            <v>09000420</v>
          </cell>
        </row>
        <row r="9">
          <cell r="B9" t="str">
            <v>LHR/LHR/D/MO/PC COMP/P/95322/08/2024</v>
          </cell>
          <cell r="C9" t="str">
            <v>09000917</v>
          </cell>
        </row>
        <row r="10">
          <cell r="B10" t="str">
            <v>LHR/LHR/D/MO/PC TPP/P/95388/08/2024</v>
          </cell>
          <cell r="C10" t="str">
            <v>09000420</v>
          </cell>
        </row>
        <row r="11">
          <cell r="B11" t="str">
            <v>LHR/LHR/D/MO/PC COMP/P/95736/08/2024</v>
          </cell>
          <cell r="C11" t="str">
            <v>09000867</v>
          </cell>
        </row>
        <row r="12">
          <cell r="B12" t="str">
            <v>LHR/LHR/D/MO/PC COMP/P/95540/08/2024</v>
          </cell>
          <cell r="C12" t="str">
            <v>09000210</v>
          </cell>
        </row>
        <row r="13">
          <cell r="B13" t="str">
            <v>LHR/LHR/D/MO/PC TPP/P/96076/08/2024</v>
          </cell>
          <cell r="C13" t="str">
            <v>09000420</v>
          </cell>
        </row>
        <row r="14">
          <cell r="B14" t="str">
            <v>LHR/LHR/D/MO/PC COMP/P/94479/08/2024</v>
          </cell>
          <cell r="C14" t="str">
            <v>09000748</v>
          </cell>
        </row>
        <row r="15">
          <cell r="B15" t="str">
            <v>LHR/LHR/D/MO/PC COMP/P/92318/07/2024</v>
          </cell>
          <cell r="C15" t="str">
            <v>09000486</v>
          </cell>
        </row>
        <row r="16">
          <cell r="B16" t="str">
            <v>LHR/LHR/D/MO/PC COMP/P/93753/07/2024</v>
          </cell>
          <cell r="C16" t="str">
            <v>09000845</v>
          </cell>
        </row>
        <row r="17">
          <cell r="B17" t="str">
            <v>LHR/LHR/D/MO/PC COMP/P/93977/07/2024</v>
          </cell>
          <cell r="C17" t="str">
            <v>09000845</v>
          </cell>
        </row>
        <row r="18">
          <cell r="B18" t="str">
            <v>LHR/LHR/D/MO/PC TPP/P/94799/08/2024</v>
          </cell>
          <cell r="C18" t="str">
            <v>09000443</v>
          </cell>
        </row>
        <row r="19">
          <cell r="B19" t="str">
            <v>LHR/LHR/D/MO/PC COMP/P/93976/07/2024</v>
          </cell>
          <cell r="C19" t="str">
            <v>09000845</v>
          </cell>
        </row>
        <row r="20">
          <cell r="B20" t="str">
            <v>LHR/LHR/D/MO/PC COMP/P/90900/06/2024</v>
          </cell>
          <cell r="C20" t="str">
            <v>09000845</v>
          </cell>
        </row>
        <row r="21">
          <cell r="B21" t="str">
            <v>LHR/LHR/D/MO/PC COMP/P/93048/07/2024</v>
          </cell>
          <cell r="C21" t="str">
            <v>09000845</v>
          </cell>
        </row>
        <row r="22">
          <cell r="B22" t="str">
            <v>LHR/LHR/D/MO/PC COMP/P/94140/07/2024</v>
          </cell>
          <cell r="C22" t="str">
            <v>09000845</v>
          </cell>
        </row>
        <row r="23">
          <cell r="B23" t="str">
            <v>LHR/LHR/D/MO/PC COMP/P/92365/07/2024</v>
          </cell>
          <cell r="C23" t="str">
            <v>09000818</v>
          </cell>
        </row>
        <row r="24">
          <cell r="B24" t="str">
            <v>LHR/LHR/D/MO/PC COMP/P/91981/06/2024</v>
          </cell>
          <cell r="C24" t="str">
            <v>09000845</v>
          </cell>
        </row>
        <row r="25">
          <cell r="B25" t="str">
            <v>LHR/LHR/D/MO/PC COMP/P/94966/08/2024</v>
          </cell>
          <cell r="C25" t="str">
            <v>09000860</v>
          </cell>
        </row>
        <row r="26">
          <cell r="B26" t="str">
            <v>LHR/LHR/D/MO/PC COMP/P/93973/07/2024</v>
          </cell>
          <cell r="C26" t="str">
            <v>09000522</v>
          </cell>
        </row>
        <row r="27">
          <cell r="B27" t="str">
            <v>LHR/LHR/D/MO/PC COMP/P/93972/07/2024</v>
          </cell>
          <cell r="C27" t="str">
            <v>09000522</v>
          </cell>
        </row>
        <row r="28">
          <cell r="B28" t="str">
            <v>LHR/LHR/D/MO/PC COMP/P/92534/07/2024</v>
          </cell>
          <cell r="C28" t="str">
            <v>09000729</v>
          </cell>
        </row>
        <row r="29">
          <cell r="B29" t="str">
            <v>LHR/LHR/D/MO/PC COMP/P/92317/07/2024</v>
          </cell>
          <cell r="C29" t="str">
            <v>09000486</v>
          </cell>
        </row>
        <row r="30">
          <cell r="B30" t="str">
            <v>LHR/LHR/D/MO/PC COMP/P/91269/06/2024</v>
          </cell>
          <cell r="C30" t="str">
            <v>09000845</v>
          </cell>
        </row>
        <row r="31">
          <cell r="B31" t="str">
            <v>LHR/LHR/D/MO/PC COMP/P/94828/08/2024</v>
          </cell>
          <cell r="C31" t="str">
            <v>09000860</v>
          </cell>
        </row>
        <row r="32">
          <cell r="B32" t="str">
            <v>LHR/LHR/D/MO/PC COMP/P/92385/07/2024</v>
          </cell>
          <cell r="C32" t="str">
            <v>09000818</v>
          </cell>
        </row>
        <row r="33">
          <cell r="B33" t="str">
            <v>LHR/LHR/D/MO/PC COMP/P/94178/07/2024</v>
          </cell>
          <cell r="C33" t="str">
            <v>09000896</v>
          </cell>
        </row>
        <row r="34">
          <cell r="B34" t="str">
            <v>LHR/LHR/D/MO/PC COMP/P/92314/07/2024</v>
          </cell>
          <cell r="C34" t="str">
            <v>09000509</v>
          </cell>
        </row>
        <row r="35">
          <cell r="B35" t="str">
            <v>LHR/LHR/D/MO/PC COMP/P/93756/07/2024</v>
          </cell>
          <cell r="C35" t="str">
            <v>09000845</v>
          </cell>
        </row>
        <row r="36">
          <cell r="B36" t="str">
            <v>LHR/LHR/D/MO/PC COMP/P/91980/06/2024</v>
          </cell>
          <cell r="C36" t="str">
            <v>09000845</v>
          </cell>
        </row>
        <row r="37">
          <cell r="B37" t="str">
            <v>LHR/LHR/D/MO/PC COMP/P/92018/06/2024</v>
          </cell>
          <cell r="C37" t="str">
            <v>09000845</v>
          </cell>
        </row>
        <row r="38">
          <cell r="B38" t="str">
            <v>LHR/LHR/D/MO/PC COMP/P/93112/07/2024</v>
          </cell>
          <cell r="C38" t="str">
            <v>09000898</v>
          </cell>
        </row>
        <row r="39">
          <cell r="B39" t="str">
            <v>LHR/LHR/D/MO/PC COMP/P/94743/08/2024</v>
          </cell>
          <cell r="C39" t="str">
            <v>09000916</v>
          </cell>
        </row>
        <row r="40">
          <cell r="B40" t="str">
            <v>LHR/LHR/D/MO/PC COMP/P/94904/08/2024</v>
          </cell>
          <cell r="C40" t="str">
            <v>09000916</v>
          </cell>
        </row>
        <row r="41">
          <cell r="B41" t="str">
            <v>LHR/LHR/D/MO/PC TPP/P/93627/07/2024</v>
          </cell>
          <cell r="C41" t="str">
            <v>09000436</v>
          </cell>
        </row>
        <row r="42">
          <cell r="B42" t="str">
            <v>LHR/LHR/D/MO/PC TPP/P/94801/08/2024</v>
          </cell>
          <cell r="C42" t="str">
            <v>09000443</v>
          </cell>
        </row>
        <row r="43">
          <cell r="B43" t="str">
            <v>LHR/LHR/D/MO/PC COMP/P/93512/07/2024</v>
          </cell>
          <cell r="C43" t="str">
            <v>09000474</v>
          </cell>
        </row>
        <row r="44">
          <cell r="B44" t="str">
            <v>LHR/LHR/D/MO/PC COMP/P/94141/07/2024</v>
          </cell>
          <cell r="C44" t="str">
            <v>09000845</v>
          </cell>
        </row>
        <row r="45">
          <cell r="B45" t="str">
            <v>LHR/LHR/D/MO/PC COMP/P/95715/08/2024</v>
          </cell>
          <cell r="C45" t="str">
            <v>09000857</v>
          </cell>
        </row>
        <row r="46">
          <cell r="B46" t="str">
            <v>LHR/LHR/D/MO/PC COMP/P/94923/08/2024</v>
          </cell>
          <cell r="C46" t="str">
            <v>09000918</v>
          </cell>
        </row>
        <row r="47">
          <cell r="B47" t="str">
            <v>LHR/LHR/D/MO/PC COMP/P/94177/07/2024</v>
          </cell>
          <cell r="C47" t="str">
            <v>09000896</v>
          </cell>
        </row>
        <row r="48">
          <cell r="B48" t="str">
            <v>LHR/LHR/D/MO/PC COMP/P/93336/07/2024</v>
          </cell>
          <cell r="C48" t="str">
            <v>09000528</v>
          </cell>
        </row>
        <row r="49">
          <cell r="B49" t="str">
            <v>LHR/LHR/D/MO/PC COMP/P/96054/08/2024</v>
          </cell>
          <cell r="C49" t="str">
            <v>09000806</v>
          </cell>
        </row>
        <row r="50">
          <cell r="B50" t="str">
            <v>LHR/LHR/D/MO/PC TPP/P/96486/08/2024</v>
          </cell>
          <cell r="C50" t="str">
            <v>09000836</v>
          </cell>
        </row>
        <row r="51">
          <cell r="B51" t="str">
            <v>LHR/LHR/D/MO/PC COMP/P/96057/08/2024</v>
          </cell>
          <cell r="C51" t="str">
            <v>09000806</v>
          </cell>
        </row>
        <row r="52">
          <cell r="B52" t="str">
            <v>LHR/LHR/D/MO/PC TPP/P/95390/08/2024</v>
          </cell>
          <cell r="C52" t="str">
            <v>09000420</v>
          </cell>
        </row>
        <row r="53">
          <cell r="B53" t="str">
            <v>LHR/LHR/D/MO/PC COMP/P/95717/08/2024</v>
          </cell>
          <cell r="C53" t="str">
            <v>09000857</v>
          </cell>
        </row>
        <row r="54">
          <cell r="B54" t="str">
            <v>LHR/LHR/D/MO/PC COMP/P/92386/07/2024</v>
          </cell>
          <cell r="C54" t="str">
            <v>09000818</v>
          </cell>
        </row>
        <row r="55">
          <cell r="B55" t="str">
            <v>LHR/LHR/D/MO/PC COMP/P/93049/07/2024</v>
          </cell>
          <cell r="C55" t="str">
            <v>09000845</v>
          </cell>
        </row>
        <row r="56">
          <cell r="B56" t="str">
            <v>LHR/LHR/D/MO/PC COMP/P/93645/07/2024</v>
          </cell>
          <cell r="C56" t="str">
            <v>09000779</v>
          </cell>
        </row>
        <row r="57">
          <cell r="B57" t="str">
            <v>LHR/LHR/D/MO/PC COMP/P/92532/07/2024</v>
          </cell>
          <cell r="C57" t="str">
            <v>09000729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FUNC_ASSORTED_STRING(IA.ASSORTED_CODE)</v>
          </cell>
          <cell r="C1" t="str">
            <v>AGENCY_CODE</v>
          </cell>
          <cell r="D1" t="str">
            <v>ASSORTED_CODE</v>
          </cell>
        </row>
        <row r="2">
          <cell r="B2" t="str">
            <v>LHR/LHR/D/MO/PC COMP/P/95103/08/2024</v>
          </cell>
          <cell r="C2" t="str">
            <v>09000845</v>
          </cell>
          <cell r="D2" t="str">
            <v>040000181339</v>
          </cell>
        </row>
        <row r="3">
          <cell r="B3" t="str">
            <v>LHR/LHR/D/MO/PC COMP/P/95104/08/2024</v>
          </cell>
          <cell r="C3" t="str">
            <v>09000845</v>
          </cell>
          <cell r="D3" t="str">
            <v>040000181340</v>
          </cell>
        </row>
        <row r="4">
          <cell r="B4" t="str">
            <v>LHR/LHR/D/MO/PC COMP/P/95714/08/2024</v>
          </cell>
          <cell r="C4" t="str">
            <v>09000857</v>
          </cell>
          <cell r="D4" t="str">
            <v>040000182144</v>
          </cell>
        </row>
        <row r="5">
          <cell r="B5" t="str">
            <v>LHR/LHR/D/MO/PC TPP/P/95389/08/2024</v>
          </cell>
          <cell r="C5" t="str">
            <v>09000420</v>
          </cell>
          <cell r="D5" t="str">
            <v>040000181710</v>
          </cell>
        </row>
        <row r="6">
          <cell r="B6" t="str">
            <v>LHR/LHR/D/MO/PC COMP/P/96489/08/2024</v>
          </cell>
          <cell r="C6" t="str">
            <v>09000898</v>
          </cell>
          <cell r="D6" t="str">
            <v>040000183026</v>
          </cell>
        </row>
        <row r="7">
          <cell r="B7" t="str">
            <v>LHR/LHR/D/MO/PC COMP/P/95602/08/2024</v>
          </cell>
          <cell r="C7" t="str">
            <v>09000543</v>
          </cell>
          <cell r="D7" t="str">
            <v>040000181976</v>
          </cell>
        </row>
        <row r="8">
          <cell r="B8" t="str">
            <v>LHR/LHR/D/MO/PC TPP/P/96077/08/2024</v>
          </cell>
          <cell r="C8" t="str">
            <v>09000420</v>
          </cell>
          <cell r="D8" t="str">
            <v>040000182563</v>
          </cell>
        </row>
        <row r="9">
          <cell r="B9" t="str">
            <v>LHR/LHR/D/MO/PC COMP/P/95322/08/2024</v>
          </cell>
          <cell r="C9" t="str">
            <v>09000917</v>
          </cell>
          <cell r="D9" t="str">
            <v>040000181629</v>
          </cell>
        </row>
        <row r="10">
          <cell r="B10" t="str">
            <v>LHR/LHR/D/MO/PC TPP/P/95388/08/2024</v>
          </cell>
          <cell r="C10" t="str">
            <v>09000420</v>
          </cell>
          <cell r="D10" t="str">
            <v>040000181709</v>
          </cell>
        </row>
        <row r="11">
          <cell r="B11" t="str">
            <v>LHR/LHR/D/MO/PC COMP/P/95736/08/2024</v>
          </cell>
          <cell r="C11" t="str">
            <v>09000867</v>
          </cell>
          <cell r="D11" t="str">
            <v>040000182168</v>
          </cell>
        </row>
        <row r="12">
          <cell r="B12" t="str">
            <v>LHR/LHR/D/MO/PC COMP/P/95540/08/2024</v>
          </cell>
          <cell r="C12" t="str">
            <v>09000210</v>
          </cell>
          <cell r="D12" t="str">
            <v>040000181898</v>
          </cell>
        </row>
        <row r="13">
          <cell r="B13" t="str">
            <v>LHR/LHR/D/MO/PC TPP/P/96076/08/2024</v>
          </cell>
          <cell r="C13" t="str">
            <v>09000420</v>
          </cell>
          <cell r="D13" t="str">
            <v>040000182562</v>
          </cell>
        </row>
        <row r="14">
          <cell r="B14" t="str">
            <v>LHR/LHR/D/MO/PC COMP/P/94479/08/2024</v>
          </cell>
          <cell r="C14" t="str">
            <v>09000748</v>
          </cell>
          <cell r="D14" t="str">
            <v>040000180575</v>
          </cell>
        </row>
        <row r="15">
          <cell r="B15" t="str">
            <v>LHR/LHR/D/MO/PC COMP/P/92318/07/2024</v>
          </cell>
          <cell r="C15" t="str">
            <v>09000486</v>
          </cell>
          <cell r="D15" t="str">
            <v>040000177871</v>
          </cell>
        </row>
        <row r="16">
          <cell r="B16" t="str">
            <v>LHR/LHR/D/MO/PC COMP/P/93753/07/2024</v>
          </cell>
          <cell r="C16" t="str">
            <v>09000845</v>
          </cell>
          <cell r="D16" t="str">
            <v>040000179686</v>
          </cell>
        </row>
        <row r="17">
          <cell r="B17" t="str">
            <v>LHR/LHR/D/MO/PC COMP/P/93977/07/2024</v>
          </cell>
          <cell r="C17" t="str">
            <v>09000845</v>
          </cell>
          <cell r="D17" t="str">
            <v>040000179942</v>
          </cell>
        </row>
        <row r="18">
          <cell r="B18" t="str">
            <v>LHR/LHR/D/MO/PC TPP/P/94799/08/2024</v>
          </cell>
          <cell r="C18" t="str">
            <v>09000443</v>
          </cell>
          <cell r="D18" t="str">
            <v>040000180954</v>
          </cell>
        </row>
        <row r="19">
          <cell r="B19" t="str">
            <v>LHR/LHR/D/MO/PC COMP/P/93976/07/2024</v>
          </cell>
          <cell r="C19" t="str">
            <v>09000845</v>
          </cell>
          <cell r="D19" t="str">
            <v>040000179941</v>
          </cell>
        </row>
        <row r="20">
          <cell r="B20" t="str">
            <v>LHR/LHR/D/MO/PC COMP/P/90900/06/2024</v>
          </cell>
          <cell r="C20" t="str">
            <v>09000845</v>
          </cell>
          <cell r="D20" t="str">
            <v>040000176000</v>
          </cell>
        </row>
        <row r="21">
          <cell r="B21" t="str">
            <v>LHR/LHR/D/MO/PC COMP/P/93048/07/2024</v>
          </cell>
          <cell r="C21" t="str">
            <v>09000845</v>
          </cell>
          <cell r="D21" t="str">
            <v>040000178792</v>
          </cell>
        </row>
        <row r="22">
          <cell r="B22" t="str">
            <v>LHR/LHR/D/MO/PC COMP/P/94140/07/2024</v>
          </cell>
          <cell r="C22" t="str">
            <v>09000845</v>
          </cell>
          <cell r="D22" t="str">
            <v>040000180144</v>
          </cell>
        </row>
        <row r="23">
          <cell r="B23" t="str">
            <v>LHR/LHR/D/MO/PC COMP/P/92365/07/2024</v>
          </cell>
          <cell r="C23" t="str">
            <v>09000818</v>
          </cell>
          <cell r="D23" t="str">
            <v>040000177954</v>
          </cell>
        </row>
        <row r="24">
          <cell r="B24" t="str">
            <v>LHR/LHR/D/MO/PC COMP/P/91981/06/2024</v>
          </cell>
          <cell r="C24" t="str">
            <v>09000845</v>
          </cell>
          <cell r="D24" t="str">
            <v>040000177340</v>
          </cell>
        </row>
        <row r="25">
          <cell r="B25" t="str">
            <v>LHR/LHR/D/MO/PC COMP/P/94966/08/2024</v>
          </cell>
          <cell r="C25" t="str">
            <v>09000860</v>
          </cell>
          <cell r="D25" t="str">
            <v>040000181166</v>
          </cell>
        </row>
        <row r="26">
          <cell r="B26" t="str">
            <v>LHR/LHR/D/MO/PC COMP/P/93973/07/2024</v>
          </cell>
          <cell r="C26" t="str">
            <v>09000522</v>
          </cell>
          <cell r="D26" t="str">
            <v>040000179938</v>
          </cell>
        </row>
        <row r="27">
          <cell r="B27" t="str">
            <v>LHR/LHR/D/MO/PC COMP/P/93972/07/2024</v>
          </cell>
          <cell r="C27" t="str">
            <v>09000522</v>
          </cell>
          <cell r="D27" t="str">
            <v>040000179937</v>
          </cell>
        </row>
        <row r="28">
          <cell r="B28" t="str">
            <v>LHR/LHR/D/MO/PC COMP/P/92534/07/2024</v>
          </cell>
          <cell r="C28" t="str">
            <v>09000729</v>
          </cell>
          <cell r="D28" t="str">
            <v>040000178158</v>
          </cell>
        </row>
        <row r="29">
          <cell r="B29" t="str">
            <v>LHR/LHR/D/MO/PC COMP/P/92317/07/2024</v>
          </cell>
          <cell r="C29" t="str">
            <v>09000486</v>
          </cell>
          <cell r="D29" t="str">
            <v>040000177870</v>
          </cell>
        </row>
        <row r="30">
          <cell r="B30" t="str">
            <v>LHR/LHR/D/MO/PC COMP/P/91269/06/2024</v>
          </cell>
          <cell r="C30" t="str">
            <v>09000845</v>
          </cell>
          <cell r="D30" t="str">
            <v>040000176442</v>
          </cell>
        </row>
        <row r="31">
          <cell r="B31" t="str">
            <v>LHR/LHR/D/MO/PC COMP/P/94828/08/2024</v>
          </cell>
          <cell r="C31" t="str">
            <v>09000860</v>
          </cell>
          <cell r="D31" t="str">
            <v>040000180990</v>
          </cell>
        </row>
        <row r="32">
          <cell r="B32" t="str">
            <v>LHR/LHR/D/MO/PC COMP/P/92385/07/2024</v>
          </cell>
          <cell r="C32" t="str">
            <v>09000818</v>
          </cell>
          <cell r="D32" t="str">
            <v>040000177978</v>
          </cell>
        </row>
        <row r="33">
          <cell r="B33" t="str">
            <v>LHR/LHR/D/MO/PC COMP/P/94178/07/2024</v>
          </cell>
          <cell r="C33" t="str">
            <v>09000896</v>
          </cell>
          <cell r="D33" t="str">
            <v>040000180198</v>
          </cell>
        </row>
        <row r="34">
          <cell r="B34" t="str">
            <v>LHR/LHR/D/MO/PC COMP/P/92314/07/2024</v>
          </cell>
          <cell r="C34" t="str">
            <v>09000509</v>
          </cell>
          <cell r="D34" t="str">
            <v>040000177861</v>
          </cell>
        </row>
        <row r="35">
          <cell r="B35" t="str">
            <v>LHR/LHR/D/MO/PC COMP/P/93756/07/2024</v>
          </cell>
          <cell r="C35" t="str">
            <v>09000845</v>
          </cell>
          <cell r="D35" t="str">
            <v>040000179689</v>
          </cell>
        </row>
        <row r="36">
          <cell r="B36" t="str">
            <v>LHR/LHR/D/MO/PC COMP/P/91980/06/2024</v>
          </cell>
          <cell r="C36" t="str">
            <v>09000845</v>
          </cell>
          <cell r="D36" t="str">
            <v>040000177339</v>
          </cell>
        </row>
        <row r="37">
          <cell r="B37" t="str">
            <v>LHR/LHR/D/MO/PC COMP/P/92018/06/2024</v>
          </cell>
          <cell r="C37" t="str">
            <v>09000845</v>
          </cell>
          <cell r="D37" t="str">
            <v>040000177378</v>
          </cell>
        </row>
        <row r="38">
          <cell r="B38" t="str">
            <v>LHR/LHR/D/MO/PC COMP/P/93112/07/2024</v>
          </cell>
          <cell r="C38" t="str">
            <v>09000898</v>
          </cell>
          <cell r="D38" t="str">
            <v>040000178873</v>
          </cell>
        </row>
        <row r="39">
          <cell r="B39" t="str">
            <v>LHR/LHR/D/MO/PC COMP/P/94743/08/2024</v>
          </cell>
          <cell r="C39" t="str">
            <v>09000916</v>
          </cell>
          <cell r="D39" t="str">
            <v>040000180887</v>
          </cell>
        </row>
        <row r="40">
          <cell r="B40" t="str">
            <v>LHR/LHR/D/MO/PC COMP/P/94904/08/2024</v>
          </cell>
          <cell r="C40" t="str">
            <v>09000916</v>
          </cell>
          <cell r="D40" t="str">
            <v>040000181084</v>
          </cell>
        </row>
        <row r="41">
          <cell r="B41" t="str">
            <v>LHR/LHR/D/MO/PC TPP/P/93627/07/2024</v>
          </cell>
          <cell r="C41" t="str">
            <v>09000436</v>
          </cell>
          <cell r="D41" t="str">
            <v>040000179518</v>
          </cell>
        </row>
        <row r="42">
          <cell r="B42" t="str">
            <v>LHR/LHR/D/MO/PC TPP/P/94801/08/2024</v>
          </cell>
          <cell r="C42" t="str">
            <v>09000443</v>
          </cell>
          <cell r="D42" t="str">
            <v>040000180956</v>
          </cell>
        </row>
        <row r="43">
          <cell r="B43" t="str">
            <v>LHR/LHR/D/MO/PC COMP/P/93512/07/2024</v>
          </cell>
          <cell r="C43" t="str">
            <v>09000474</v>
          </cell>
          <cell r="D43" t="str">
            <v>040000179377</v>
          </cell>
        </row>
        <row r="44">
          <cell r="B44" t="str">
            <v>LHR/LHR/D/MO/PC COMP/P/94141/07/2024</v>
          </cell>
          <cell r="C44" t="str">
            <v>09000845</v>
          </cell>
          <cell r="D44" t="str">
            <v>040000180145</v>
          </cell>
        </row>
        <row r="45">
          <cell r="B45" t="str">
            <v>LHR/LHR/D/MO/PC COMP/P/95715/08/2024</v>
          </cell>
          <cell r="C45" t="str">
            <v>09000857</v>
          </cell>
          <cell r="D45" t="str">
            <v>040000182145</v>
          </cell>
        </row>
        <row r="46">
          <cell r="B46" t="str">
            <v>LHR/LHR/D/MO/PC COMP/P/94923/08/2024</v>
          </cell>
          <cell r="C46" t="str">
            <v>09000918</v>
          </cell>
          <cell r="D46" t="str">
            <v>040000181111</v>
          </cell>
        </row>
        <row r="47">
          <cell r="B47" t="str">
            <v>LHR/LHR/D/MO/PC COMP/P/94177/07/2024</v>
          </cell>
          <cell r="C47" t="str">
            <v>09000896</v>
          </cell>
          <cell r="D47" t="str">
            <v>040000180196</v>
          </cell>
        </row>
        <row r="48">
          <cell r="B48" t="str">
            <v>LHR/LHR/D/MO/PC COMP/P/93336/07/2024</v>
          </cell>
          <cell r="C48" t="str">
            <v>09000528</v>
          </cell>
          <cell r="D48" t="str">
            <v>040000179161</v>
          </cell>
        </row>
        <row r="49">
          <cell r="B49" t="str">
            <v>LHR/LHR/D/MO/PC COMP/P/96054/08/2024</v>
          </cell>
          <cell r="C49" t="str">
            <v>09000806</v>
          </cell>
          <cell r="D49" t="str">
            <v>040000182540</v>
          </cell>
        </row>
        <row r="50">
          <cell r="B50" t="str">
            <v>LHR/LHR/D/MO/PC TPP/P/96486/08/2024</v>
          </cell>
          <cell r="C50" t="str">
            <v>09000836</v>
          </cell>
          <cell r="D50" t="str">
            <v>040000183023</v>
          </cell>
        </row>
        <row r="51">
          <cell r="B51" t="str">
            <v>LHR/LHR/D/MO/PC COMP/P/96057/08/2024</v>
          </cell>
          <cell r="C51" t="str">
            <v>09000806</v>
          </cell>
          <cell r="D51" t="str">
            <v>040000182543</v>
          </cell>
        </row>
        <row r="52">
          <cell r="B52" t="str">
            <v>LHR/LHR/D/MO/PC TPP/P/95390/08/2024</v>
          </cell>
          <cell r="C52" t="str">
            <v>09000420</v>
          </cell>
          <cell r="D52" t="str">
            <v>040000181711</v>
          </cell>
        </row>
        <row r="53">
          <cell r="B53" t="str">
            <v>LHR/LHR/D/MO/PC COMP/P/95717/08/2024</v>
          </cell>
          <cell r="C53" t="str">
            <v>09000857</v>
          </cell>
          <cell r="D53" t="str">
            <v>040000182147</v>
          </cell>
        </row>
        <row r="54">
          <cell r="B54" t="str">
            <v>LHR/LHR/D/MO/PC COMP/P/92386/07/2024</v>
          </cell>
          <cell r="C54" t="str">
            <v>09000818</v>
          </cell>
          <cell r="D54" t="str">
            <v>040000177979</v>
          </cell>
        </row>
        <row r="55">
          <cell r="B55" t="str">
            <v>LHR/LHR/D/MO/PC COMP/P/93049/07/2024</v>
          </cell>
          <cell r="C55" t="str">
            <v>09000845</v>
          </cell>
          <cell r="D55" t="str">
            <v>040000178793</v>
          </cell>
        </row>
        <row r="56">
          <cell r="B56" t="str">
            <v>LHR/LHR/D/MO/PC COMP/P/93645/07/2024</v>
          </cell>
          <cell r="C56" t="str">
            <v>09000779</v>
          </cell>
          <cell r="D56" t="str">
            <v>040000179541</v>
          </cell>
        </row>
        <row r="57">
          <cell r="B57" t="str">
            <v>LHR/LHR/D/MO/PC COMP/P/92532/07/2024</v>
          </cell>
          <cell r="C57" t="str">
            <v>09000729</v>
          </cell>
          <cell r="D57" t="str">
            <v>040000178156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FUNC_ASSORTED_STRING(IA.ASSORTED_CODE)</v>
          </cell>
          <cell r="C1" t="str">
            <v>ASSORTED_CODE</v>
          </cell>
        </row>
        <row r="2">
          <cell r="B2" t="str">
            <v>LHR/LHR/D/MO/PC COMP/P/95103/08/2024</v>
          </cell>
          <cell r="C2" t="str">
            <v>040000181339</v>
          </cell>
        </row>
        <row r="3">
          <cell r="B3" t="str">
            <v>LHR/LHR/D/MO/PC COMP/P/95104/08/2024</v>
          </cell>
          <cell r="C3" t="str">
            <v>040000181340</v>
          </cell>
        </row>
        <row r="4">
          <cell r="B4" t="str">
            <v>LHR/LHR/D/MO/PC COMP/P/95714/08/2024</v>
          </cell>
          <cell r="C4" t="str">
            <v>040000182144</v>
          </cell>
        </row>
        <row r="5">
          <cell r="B5" t="str">
            <v>LHR/LHR/D/MO/PC TPP/P/95389/08/2024</v>
          </cell>
          <cell r="C5" t="str">
            <v>040000181710</v>
          </cell>
        </row>
        <row r="6">
          <cell r="B6" t="str">
            <v>LHR/LHR/D/MO/PC COMP/P/96489/08/2024</v>
          </cell>
          <cell r="C6" t="str">
            <v>040000183026</v>
          </cell>
        </row>
        <row r="7">
          <cell r="B7" t="str">
            <v>LHR/LHR/D/MO/PC COMP/P/95602/08/2024</v>
          </cell>
          <cell r="C7" t="str">
            <v>040000181976</v>
          </cell>
        </row>
        <row r="8">
          <cell r="B8" t="str">
            <v>LHR/LHR/D/MO/PC TPP/P/96077/08/2024</v>
          </cell>
          <cell r="C8" t="str">
            <v>040000182563</v>
          </cell>
        </row>
        <row r="9">
          <cell r="B9" t="str">
            <v>LHR/LHR/D/MO/PC COMP/P/95322/08/2024</v>
          </cell>
          <cell r="C9" t="str">
            <v>040000181629</v>
          </cell>
        </row>
        <row r="10">
          <cell r="B10" t="str">
            <v>LHR/LHR/D/MO/PC TPP/P/95388/08/2024</v>
          </cell>
          <cell r="C10" t="str">
            <v>040000181709</v>
          </cell>
        </row>
        <row r="11">
          <cell r="B11" t="str">
            <v>LHR/LHR/D/MO/PC COMP/P/95736/08/2024</v>
          </cell>
          <cell r="C11" t="str">
            <v>040000182168</v>
          </cell>
        </row>
        <row r="12">
          <cell r="B12" t="str">
            <v>LHR/LHR/D/MO/PC COMP/P/95540/08/2024</v>
          </cell>
          <cell r="C12" t="str">
            <v>040000181898</v>
          </cell>
        </row>
        <row r="13">
          <cell r="B13" t="str">
            <v>LHR/LHR/D/MO/PC TPP/P/96076/08/2024</v>
          </cell>
          <cell r="C13" t="str">
            <v>040000182562</v>
          </cell>
        </row>
        <row r="14">
          <cell r="B14" t="str">
            <v>LHR/LHR/D/MO/PC COMP/P/94479/08/2024</v>
          </cell>
          <cell r="C14" t="str">
            <v>040000180575</v>
          </cell>
        </row>
        <row r="15">
          <cell r="B15" t="str">
            <v>LHR/LHR/D/MO/PC COMP/P/92318/07/2024</v>
          </cell>
          <cell r="C15" t="str">
            <v>040000177871</v>
          </cell>
        </row>
        <row r="16">
          <cell r="B16" t="str">
            <v>LHR/LHR/D/MO/PC COMP/P/93753/07/2024</v>
          </cell>
          <cell r="C16" t="str">
            <v>040000179686</v>
          </cell>
        </row>
        <row r="17">
          <cell r="B17" t="str">
            <v>LHR/LHR/D/MO/PC COMP/P/93977/07/2024</v>
          </cell>
          <cell r="C17" t="str">
            <v>040000179942</v>
          </cell>
        </row>
        <row r="18">
          <cell r="B18" t="str">
            <v>LHR/LHR/D/MO/PC TPP/P/94799/08/2024</v>
          </cell>
          <cell r="C18" t="str">
            <v>040000180954</v>
          </cell>
        </row>
        <row r="19">
          <cell r="B19" t="str">
            <v>LHR/LHR/D/MO/PC COMP/P/93976/07/2024</v>
          </cell>
          <cell r="C19" t="str">
            <v>040000179941</v>
          </cell>
        </row>
        <row r="20">
          <cell r="B20" t="str">
            <v>LHR/LHR/D/MO/PC COMP/P/90900/06/2024</v>
          </cell>
          <cell r="C20" t="str">
            <v>040000176000</v>
          </cell>
        </row>
        <row r="21">
          <cell r="B21" t="str">
            <v>LHR/LHR/D/MO/PC COMP/P/93048/07/2024</v>
          </cell>
          <cell r="C21" t="str">
            <v>040000178792</v>
          </cell>
        </row>
        <row r="22">
          <cell r="B22" t="str">
            <v>LHR/LHR/D/MO/PC COMP/P/94140/07/2024</v>
          </cell>
          <cell r="C22" t="str">
            <v>040000180144</v>
          </cell>
        </row>
        <row r="23">
          <cell r="B23" t="str">
            <v>LHR/LHR/D/MO/PC COMP/P/92365/07/2024</v>
          </cell>
          <cell r="C23" t="str">
            <v>040000177954</v>
          </cell>
        </row>
        <row r="24">
          <cell r="B24" t="str">
            <v>LHR/LHR/D/MO/PC COMP/P/91981/06/2024</v>
          </cell>
          <cell r="C24" t="str">
            <v>040000177340</v>
          </cell>
        </row>
        <row r="25">
          <cell r="B25" t="str">
            <v>LHR/LHR/D/MO/PC COMP/P/94966/08/2024</v>
          </cell>
          <cell r="C25" t="str">
            <v>040000181166</v>
          </cell>
        </row>
        <row r="26">
          <cell r="B26" t="str">
            <v>LHR/LHR/D/MO/PC COMP/P/93973/07/2024</v>
          </cell>
          <cell r="C26" t="str">
            <v>040000179938</v>
          </cell>
        </row>
        <row r="27">
          <cell r="B27" t="str">
            <v>LHR/LHR/D/MO/PC COMP/P/93972/07/2024</v>
          </cell>
          <cell r="C27" t="str">
            <v>040000179937</v>
          </cell>
        </row>
        <row r="28">
          <cell r="B28" t="str">
            <v>LHR/LHR/D/MO/PC COMP/P/92534/07/2024</v>
          </cell>
          <cell r="C28" t="str">
            <v>040000178158</v>
          </cell>
        </row>
        <row r="29">
          <cell r="B29" t="str">
            <v>LHR/LHR/D/MO/PC COMP/P/92317/07/2024</v>
          </cell>
          <cell r="C29" t="str">
            <v>040000177870</v>
          </cell>
        </row>
        <row r="30">
          <cell r="B30" t="str">
            <v>LHR/LHR/D/MO/PC COMP/P/91269/06/2024</v>
          </cell>
          <cell r="C30" t="str">
            <v>040000176442</v>
          </cell>
        </row>
        <row r="31">
          <cell r="B31" t="str">
            <v>LHR/LHR/D/MO/PC COMP/P/94828/08/2024</v>
          </cell>
          <cell r="C31" t="str">
            <v>040000180990</v>
          </cell>
        </row>
        <row r="32">
          <cell r="B32" t="str">
            <v>LHR/LHR/D/MO/PC COMP/P/92385/07/2024</v>
          </cell>
          <cell r="C32" t="str">
            <v>040000177978</v>
          </cell>
        </row>
        <row r="33">
          <cell r="B33" t="str">
            <v>LHR/LHR/D/MO/PC COMP/P/94178/07/2024</v>
          </cell>
          <cell r="C33" t="str">
            <v>040000180198</v>
          </cell>
        </row>
        <row r="34">
          <cell r="B34" t="str">
            <v>LHR/LHR/D/MO/PC COMP/P/92314/07/2024</v>
          </cell>
          <cell r="C34" t="str">
            <v>040000177861</v>
          </cell>
        </row>
        <row r="35">
          <cell r="B35" t="str">
            <v>LHR/LHR/D/MO/PC COMP/P/93756/07/2024</v>
          </cell>
          <cell r="C35" t="str">
            <v>040000179689</v>
          </cell>
        </row>
        <row r="36">
          <cell r="B36" t="str">
            <v>LHR/LHR/D/MO/PC COMP/P/91980/06/2024</v>
          </cell>
          <cell r="C36" t="str">
            <v>040000177339</v>
          </cell>
        </row>
        <row r="37">
          <cell r="B37" t="str">
            <v>LHR/LHR/D/MO/PC COMP/P/92018/06/2024</v>
          </cell>
          <cell r="C37" t="str">
            <v>040000177378</v>
          </cell>
        </row>
        <row r="38">
          <cell r="B38" t="str">
            <v>LHR/LHR/D/MO/PC COMP/P/93112/07/2024</v>
          </cell>
          <cell r="C38" t="str">
            <v>040000178873</v>
          </cell>
        </row>
        <row r="39">
          <cell r="B39" t="str">
            <v>LHR/LHR/D/MO/PC COMP/P/94743/08/2024</v>
          </cell>
          <cell r="C39" t="str">
            <v>040000180887</v>
          </cell>
        </row>
        <row r="40">
          <cell r="B40" t="str">
            <v>LHR/LHR/D/MO/PC COMP/P/94904/08/2024</v>
          </cell>
          <cell r="C40" t="str">
            <v>040000181084</v>
          </cell>
        </row>
        <row r="41">
          <cell r="B41" t="str">
            <v>LHR/LHR/D/MO/PC TPP/P/93627/07/2024</v>
          </cell>
          <cell r="C41" t="str">
            <v>040000179518</v>
          </cell>
        </row>
        <row r="42">
          <cell r="B42" t="str">
            <v>LHR/LHR/D/MO/PC TPP/P/94801/08/2024</v>
          </cell>
          <cell r="C42" t="str">
            <v>040000180956</v>
          </cell>
        </row>
        <row r="43">
          <cell r="B43" t="str">
            <v>LHR/LHR/D/MO/PC COMP/P/93512/07/2024</v>
          </cell>
          <cell r="C43" t="str">
            <v>040000179377</v>
          </cell>
        </row>
        <row r="44">
          <cell r="B44" t="str">
            <v>LHR/LHR/D/MO/PC COMP/P/94141/07/2024</v>
          </cell>
          <cell r="C44" t="str">
            <v>040000180145</v>
          </cell>
        </row>
        <row r="45">
          <cell r="B45" t="str">
            <v>LHR/LHR/D/MO/PC COMP/P/95715/08/2024</v>
          </cell>
          <cell r="C45" t="str">
            <v>040000182145</v>
          </cell>
        </row>
        <row r="46">
          <cell r="B46" t="str">
            <v>LHR/LHR/D/MO/PC COMP/P/94923/08/2024</v>
          </cell>
          <cell r="C46" t="str">
            <v>040000181111</v>
          </cell>
        </row>
        <row r="47">
          <cell r="B47" t="str">
            <v>LHR/LHR/D/MO/PC COMP/P/94177/07/2024</v>
          </cell>
          <cell r="C47" t="str">
            <v>040000180196</v>
          </cell>
        </row>
        <row r="48">
          <cell r="B48" t="str">
            <v>LHR/LHR/D/MO/PC COMP/P/93336/07/2024</v>
          </cell>
          <cell r="C48" t="str">
            <v>040000179161</v>
          </cell>
        </row>
        <row r="49">
          <cell r="B49" t="str">
            <v>LHR/LHR/D/MO/PC COMP/P/96054/08/2024</v>
          </cell>
          <cell r="C49" t="str">
            <v>040000182540</v>
          </cell>
        </row>
        <row r="50">
          <cell r="B50" t="str">
            <v>LHR/LHR/D/MO/PC TPP/P/96486/08/2024</v>
          </cell>
          <cell r="C50" t="str">
            <v>040000183023</v>
          </cell>
        </row>
        <row r="51">
          <cell r="B51" t="str">
            <v>LHR/LHR/D/MO/PC COMP/P/96057/08/2024</v>
          </cell>
          <cell r="C51" t="str">
            <v>040000182543</v>
          </cell>
        </row>
        <row r="52">
          <cell r="B52" t="str">
            <v>LHR/LHR/D/MO/PC TPP/P/95390/08/2024</v>
          </cell>
          <cell r="C52" t="str">
            <v>040000181711</v>
          </cell>
        </row>
        <row r="53">
          <cell r="B53" t="str">
            <v>LHR/LHR/D/MO/PC COMP/P/95717/08/2024</v>
          </cell>
          <cell r="C53" t="str">
            <v>040000182147</v>
          </cell>
        </row>
        <row r="54">
          <cell r="B54" t="str">
            <v>LHR/LHR/D/MO/PC COMP/P/92386/07/2024</v>
          </cell>
          <cell r="C54" t="str">
            <v>040000177979</v>
          </cell>
        </row>
        <row r="55">
          <cell r="B55" t="str">
            <v>LHR/LHR/D/MO/PC COMP/P/93049/07/2024</v>
          </cell>
          <cell r="C55" t="str">
            <v>040000178793</v>
          </cell>
        </row>
        <row r="56">
          <cell r="B56" t="str">
            <v>LHR/LHR/D/MO/PC COMP/P/93645/07/2024</v>
          </cell>
          <cell r="C56" t="str">
            <v>040000179541</v>
          </cell>
        </row>
        <row r="57">
          <cell r="B57" t="str">
            <v>LHR/LHR/D/MO/PC COMP/P/92532/07/2024</v>
          </cell>
          <cell r="C57" t="str">
            <v>040000178156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F99E-E58A-4112-A29F-E1E93ADB41E4}">
  <dimension ref="A1:E57"/>
  <sheetViews>
    <sheetView workbookViewId="0">
      <selection sqref="A1:XFD1048576"/>
    </sheetView>
  </sheetViews>
  <sheetFormatPr defaultRowHeight="15" x14ac:dyDescent="0.25"/>
  <cols>
    <col min="1" max="1" width="5.7109375" bestFit="1" customWidth="1"/>
    <col min="2" max="2" width="37.5703125" bestFit="1" customWidth="1"/>
    <col min="3" max="3" width="11.5703125" bestFit="1" customWidth="1"/>
    <col min="4" max="4" width="39.140625" bestFit="1" customWidth="1"/>
    <col min="5" max="5" width="10.28515625" style="2" bestFit="1" customWidth="1"/>
  </cols>
  <sheetData>
    <row r="1" spans="1:5" x14ac:dyDescent="0.25">
      <c r="A1" s="3" t="s">
        <v>0</v>
      </c>
      <c r="B1" s="3" t="s">
        <v>1</v>
      </c>
      <c r="C1" s="4" t="s">
        <v>2</v>
      </c>
      <c r="D1" s="1" t="s">
        <v>3</v>
      </c>
      <c r="E1" s="5" t="s">
        <v>4</v>
      </c>
    </row>
    <row r="2" spans="1:5" x14ac:dyDescent="0.25">
      <c r="A2" s="6">
        <v>1</v>
      </c>
      <c r="B2" s="6" t="s">
        <v>5</v>
      </c>
      <c r="C2" s="8">
        <v>9000845</v>
      </c>
      <c r="D2" s="6" t="s">
        <v>61</v>
      </c>
      <c r="E2" s="7">
        <v>14046</v>
      </c>
    </row>
    <row r="3" spans="1:5" x14ac:dyDescent="0.25">
      <c r="A3" s="6">
        <v>2</v>
      </c>
      <c r="B3" s="6" t="s">
        <v>6</v>
      </c>
      <c r="C3" s="8">
        <v>9000845</v>
      </c>
      <c r="D3" s="6" t="s">
        <v>61</v>
      </c>
      <c r="E3" s="7">
        <v>68974</v>
      </c>
    </row>
    <row r="4" spans="1:5" x14ac:dyDescent="0.25">
      <c r="A4" s="6">
        <v>3</v>
      </c>
      <c r="B4" s="6" t="s">
        <v>7</v>
      </c>
      <c r="C4" s="8">
        <v>9000845</v>
      </c>
      <c r="D4" s="6" t="s">
        <v>61</v>
      </c>
      <c r="E4" s="7">
        <v>12181</v>
      </c>
    </row>
    <row r="5" spans="1:5" x14ac:dyDescent="0.25">
      <c r="A5" s="6">
        <v>4</v>
      </c>
      <c r="B5" s="6" t="s">
        <v>8</v>
      </c>
      <c r="C5" s="8">
        <v>9000845</v>
      </c>
      <c r="D5" s="6" t="s">
        <v>61</v>
      </c>
      <c r="E5" s="7">
        <v>8037</v>
      </c>
    </row>
    <row r="6" spans="1:5" x14ac:dyDescent="0.25">
      <c r="A6" s="6">
        <v>5</v>
      </c>
      <c r="B6" s="6" t="s">
        <v>9</v>
      </c>
      <c r="C6" s="8">
        <v>9000845</v>
      </c>
      <c r="D6" s="6" t="s">
        <v>61</v>
      </c>
      <c r="E6" s="7">
        <v>24500</v>
      </c>
    </row>
    <row r="7" spans="1:5" x14ac:dyDescent="0.25">
      <c r="A7" s="6">
        <v>6</v>
      </c>
      <c r="B7" s="6" t="s">
        <v>10</v>
      </c>
      <c r="C7" s="8">
        <v>9000509</v>
      </c>
      <c r="D7" s="6" t="s">
        <v>62</v>
      </c>
      <c r="E7" s="7">
        <v>8412</v>
      </c>
    </row>
    <row r="8" spans="1:5" x14ac:dyDescent="0.25">
      <c r="A8" s="6">
        <v>7</v>
      </c>
      <c r="B8" s="6" t="s">
        <v>11</v>
      </c>
      <c r="C8" s="8">
        <v>9000486</v>
      </c>
      <c r="D8" s="6" t="s">
        <v>63</v>
      </c>
      <c r="E8" s="7">
        <v>8265</v>
      </c>
    </row>
    <row r="9" spans="1:5" x14ac:dyDescent="0.25">
      <c r="A9" s="6">
        <v>8</v>
      </c>
      <c r="B9" s="6" t="s">
        <v>12</v>
      </c>
      <c r="C9" s="8">
        <v>9000486</v>
      </c>
      <c r="D9" s="6" t="s">
        <v>63</v>
      </c>
      <c r="E9" s="7">
        <v>13535</v>
      </c>
    </row>
    <row r="10" spans="1:5" x14ac:dyDescent="0.25">
      <c r="A10" s="6">
        <v>9</v>
      </c>
      <c r="B10" s="6" t="s">
        <v>13</v>
      </c>
      <c r="C10" s="8">
        <v>9000818</v>
      </c>
      <c r="D10" s="6" t="s">
        <v>64</v>
      </c>
      <c r="E10" s="7">
        <v>795</v>
      </c>
    </row>
    <row r="11" spans="1:5" x14ac:dyDescent="0.25">
      <c r="A11" s="6">
        <v>10</v>
      </c>
      <c r="B11" s="6" t="s">
        <v>14</v>
      </c>
      <c r="C11" s="8">
        <v>9000818</v>
      </c>
      <c r="D11" s="6" t="s">
        <v>64</v>
      </c>
      <c r="E11" s="7">
        <v>14179</v>
      </c>
    </row>
    <row r="12" spans="1:5" x14ac:dyDescent="0.25">
      <c r="A12" s="6">
        <v>11</v>
      </c>
      <c r="B12" s="6" t="s">
        <v>15</v>
      </c>
      <c r="C12" s="8">
        <v>9000818</v>
      </c>
      <c r="D12" s="6" t="s">
        <v>64</v>
      </c>
      <c r="E12" s="7">
        <v>10125</v>
      </c>
    </row>
    <row r="13" spans="1:5" x14ac:dyDescent="0.25">
      <c r="A13" s="6">
        <v>12</v>
      </c>
      <c r="B13" s="6" t="s">
        <v>16</v>
      </c>
      <c r="C13" s="8">
        <v>9000729</v>
      </c>
      <c r="D13" s="6" t="s">
        <v>65</v>
      </c>
      <c r="E13" s="7">
        <v>5485</v>
      </c>
    </row>
    <row r="14" spans="1:5" x14ac:dyDescent="0.25">
      <c r="A14" s="6">
        <v>13</v>
      </c>
      <c r="B14" s="6" t="s">
        <v>17</v>
      </c>
      <c r="C14" s="8">
        <v>9000729</v>
      </c>
      <c r="D14" s="6" t="s">
        <v>65</v>
      </c>
      <c r="E14" s="7">
        <v>3910</v>
      </c>
    </row>
    <row r="15" spans="1:5" x14ac:dyDescent="0.25">
      <c r="A15" s="6">
        <v>14</v>
      </c>
      <c r="B15" s="6" t="s">
        <v>18</v>
      </c>
      <c r="C15" s="8">
        <v>9000845</v>
      </c>
      <c r="D15" s="6" t="s">
        <v>61</v>
      </c>
      <c r="E15" s="7">
        <v>28430</v>
      </c>
    </row>
    <row r="16" spans="1:5" x14ac:dyDescent="0.25">
      <c r="A16" s="6">
        <v>15</v>
      </c>
      <c r="B16" s="6" t="s">
        <v>19</v>
      </c>
      <c r="C16" s="8">
        <v>9000845</v>
      </c>
      <c r="D16" s="6" t="s">
        <v>61</v>
      </c>
      <c r="E16" s="7">
        <v>22785</v>
      </c>
    </row>
    <row r="17" spans="1:5" x14ac:dyDescent="0.25">
      <c r="A17" s="6">
        <v>16</v>
      </c>
      <c r="B17" s="6" t="s">
        <v>20</v>
      </c>
      <c r="C17" s="8">
        <v>9000898</v>
      </c>
      <c r="D17" s="6" t="s">
        <v>66</v>
      </c>
      <c r="E17" s="7">
        <v>10600</v>
      </c>
    </row>
    <row r="18" spans="1:5" x14ac:dyDescent="0.25">
      <c r="A18" s="6">
        <v>17</v>
      </c>
      <c r="B18" s="6" t="s">
        <v>21</v>
      </c>
      <c r="C18" s="8">
        <v>9000528</v>
      </c>
      <c r="D18" s="6" t="s">
        <v>67</v>
      </c>
      <c r="E18" s="7">
        <v>1</v>
      </c>
    </row>
    <row r="19" spans="1:5" x14ac:dyDescent="0.25">
      <c r="A19" s="6">
        <v>18</v>
      </c>
      <c r="B19" s="6" t="s">
        <v>22</v>
      </c>
      <c r="C19" s="8">
        <v>9000474</v>
      </c>
      <c r="D19" s="6" t="s">
        <v>68</v>
      </c>
      <c r="E19" s="7">
        <v>5203</v>
      </c>
    </row>
    <row r="20" spans="1:5" x14ac:dyDescent="0.25">
      <c r="A20" s="6">
        <v>19</v>
      </c>
      <c r="B20" s="6" t="s">
        <v>23</v>
      </c>
      <c r="C20" s="8">
        <v>9000436</v>
      </c>
      <c r="D20" s="6" t="s">
        <v>69</v>
      </c>
      <c r="E20" s="7">
        <v>3</v>
      </c>
    </row>
    <row r="21" spans="1:5" x14ac:dyDescent="0.25">
      <c r="A21" s="6">
        <v>20</v>
      </c>
      <c r="B21" s="6" t="s">
        <v>24</v>
      </c>
      <c r="C21" s="8">
        <v>9000779</v>
      </c>
      <c r="D21" s="6" t="s">
        <v>70</v>
      </c>
      <c r="E21" s="7">
        <v>4860</v>
      </c>
    </row>
    <row r="22" spans="1:5" x14ac:dyDescent="0.25">
      <c r="A22" s="6">
        <v>21</v>
      </c>
      <c r="B22" s="6" t="s">
        <v>25</v>
      </c>
      <c r="C22" s="8">
        <v>9000845</v>
      </c>
      <c r="D22" s="6" t="s">
        <v>61</v>
      </c>
      <c r="E22" s="7">
        <v>21802</v>
      </c>
    </row>
    <row r="23" spans="1:5" x14ac:dyDescent="0.25">
      <c r="A23" s="6">
        <v>22</v>
      </c>
      <c r="B23" s="6" t="s">
        <v>26</v>
      </c>
      <c r="C23" s="8">
        <v>9000845</v>
      </c>
      <c r="D23" s="6" t="s">
        <v>61</v>
      </c>
      <c r="E23" s="7">
        <v>26321</v>
      </c>
    </row>
    <row r="24" spans="1:5" x14ac:dyDescent="0.25">
      <c r="A24" s="6">
        <v>23</v>
      </c>
      <c r="B24" s="6" t="s">
        <v>27</v>
      </c>
      <c r="C24" s="8">
        <v>9000522</v>
      </c>
      <c r="D24" s="6" t="s">
        <v>71</v>
      </c>
      <c r="E24" s="7">
        <v>5478</v>
      </c>
    </row>
    <row r="25" spans="1:5" x14ac:dyDescent="0.25">
      <c r="A25" s="6">
        <v>24</v>
      </c>
      <c r="B25" s="6" t="s">
        <v>28</v>
      </c>
      <c r="C25" s="8">
        <v>9000522</v>
      </c>
      <c r="D25" s="6" t="s">
        <v>71</v>
      </c>
      <c r="E25" s="7">
        <v>8903</v>
      </c>
    </row>
    <row r="26" spans="1:5" x14ac:dyDescent="0.25">
      <c r="A26" s="6">
        <v>25</v>
      </c>
      <c r="B26" s="6" t="s">
        <v>29</v>
      </c>
      <c r="C26" s="8">
        <v>9000845</v>
      </c>
      <c r="D26" s="6" t="s">
        <v>61</v>
      </c>
      <c r="E26" s="7">
        <v>20283</v>
      </c>
    </row>
    <row r="27" spans="1:5" x14ac:dyDescent="0.25">
      <c r="A27" s="6">
        <v>26</v>
      </c>
      <c r="B27" s="6" t="s">
        <v>30</v>
      </c>
      <c r="C27" s="8">
        <v>9000845</v>
      </c>
      <c r="D27" s="6" t="s">
        <v>61</v>
      </c>
      <c r="E27" s="7">
        <v>28007</v>
      </c>
    </row>
    <row r="28" spans="1:5" x14ac:dyDescent="0.25">
      <c r="A28" s="6">
        <v>27</v>
      </c>
      <c r="B28" s="6" t="s">
        <v>31</v>
      </c>
      <c r="C28" s="8">
        <v>9000845</v>
      </c>
      <c r="D28" s="6" t="s">
        <v>61</v>
      </c>
      <c r="E28" s="7">
        <v>19135</v>
      </c>
    </row>
    <row r="29" spans="1:5" x14ac:dyDescent="0.25">
      <c r="A29" s="6">
        <v>28</v>
      </c>
      <c r="B29" s="6" t="s">
        <v>32</v>
      </c>
      <c r="C29" s="8">
        <v>9000845</v>
      </c>
      <c r="D29" s="6" t="s">
        <v>61</v>
      </c>
      <c r="E29" s="7">
        <v>46065</v>
      </c>
    </row>
    <row r="30" spans="1:5" x14ac:dyDescent="0.25">
      <c r="A30" s="6">
        <v>29</v>
      </c>
      <c r="B30" s="6" t="s">
        <v>33</v>
      </c>
      <c r="C30" s="8">
        <v>9000896</v>
      </c>
      <c r="D30" s="6" t="s">
        <v>72</v>
      </c>
      <c r="E30" s="7">
        <v>20461</v>
      </c>
    </row>
    <row r="31" spans="1:5" x14ac:dyDescent="0.25">
      <c r="A31" s="6">
        <v>30</v>
      </c>
      <c r="B31" s="6" t="s">
        <v>34</v>
      </c>
      <c r="C31" s="8">
        <v>9000896</v>
      </c>
      <c r="D31" s="6" t="s">
        <v>72</v>
      </c>
      <c r="E31" s="7">
        <v>7635</v>
      </c>
    </row>
    <row r="32" spans="1:5" x14ac:dyDescent="0.25">
      <c r="A32" s="6">
        <v>31</v>
      </c>
      <c r="B32" s="6" t="s">
        <v>35</v>
      </c>
      <c r="C32" s="8">
        <v>9000748</v>
      </c>
      <c r="D32" s="6" t="s">
        <v>73</v>
      </c>
      <c r="E32" s="7">
        <v>6800</v>
      </c>
    </row>
    <row r="33" spans="1:5" x14ac:dyDescent="0.25">
      <c r="A33" s="6">
        <v>32</v>
      </c>
      <c r="B33" s="6" t="s">
        <v>36</v>
      </c>
      <c r="C33" s="8">
        <v>9000916</v>
      </c>
      <c r="D33" s="6" t="s">
        <v>74</v>
      </c>
      <c r="E33" s="7">
        <v>20630</v>
      </c>
    </row>
    <row r="34" spans="1:5" x14ac:dyDescent="0.25">
      <c r="A34" s="6">
        <v>33</v>
      </c>
      <c r="B34" s="6" t="s">
        <v>37</v>
      </c>
      <c r="C34" s="8">
        <v>9000443</v>
      </c>
      <c r="D34" s="6" t="s">
        <v>75</v>
      </c>
      <c r="E34" s="7">
        <v>8558</v>
      </c>
    </row>
    <row r="35" spans="1:5" x14ac:dyDescent="0.25">
      <c r="A35" s="6">
        <v>34</v>
      </c>
      <c r="B35" s="6" t="s">
        <v>38</v>
      </c>
      <c r="C35" s="8">
        <v>9000443</v>
      </c>
      <c r="D35" s="6" t="s">
        <v>75</v>
      </c>
      <c r="E35" s="7">
        <v>14000</v>
      </c>
    </row>
    <row r="36" spans="1:5" x14ac:dyDescent="0.25">
      <c r="A36" s="6">
        <v>35</v>
      </c>
      <c r="B36" s="6" t="s">
        <v>39</v>
      </c>
      <c r="C36" s="8">
        <v>9000860</v>
      </c>
      <c r="D36" s="6" t="s">
        <v>76</v>
      </c>
      <c r="E36" s="7">
        <v>23866</v>
      </c>
    </row>
    <row r="37" spans="1:5" x14ac:dyDescent="0.25">
      <c r="A37" s="6">
        <v>36</v>
      </c>
      <c r="B37" s="6" t="s">
        <v>40</v>
      </c>
      <c r="C37" s="8">
        <v>9000916</v>
      </c>
      <c r="D37" s="6" t="s">
        <v>74</v>
      </c>
      <c r="E37" s="7">
        <v>20633</v>
      </c>
    </row>
    <row r="38" spans="1:5" x14ac:dyDescent="0.25">
      <c r="A38" s="6">
        <v>37</v>
      </c>
      <c r="B38" s="6" t="s">
        <v>41</v>
      </c>
      <c r="C38" s="8">
        <v>9000918</v>
      </c>
      <c r="D38" s="6" t="s">
        <v>77</v>
      </c>
      <c r="E38" s="7">
        <v>41433</v>
      </c>
    </row>
    <row r="39" spans="1:5" x14ac:dyDescent="0.25">
      <c r="A39" s="6">
        <v>38</v>
      </c>
      <c r="B39" s="6" t="s">
        <v>42</v>
      </c>
      <c r="C39" s="8">
        <v>9000860</v>
      </c>
      <c r="D39" s="6" t="s">
        <v>76</v>
      </c>
      <c r="E39" s="7">
        <v>3800</v>
      </c>
    </row>
    <row r="40" spans="1:5" x14ac:dyDescent="0.25">
      <c r="A40" s="6">
        <v>39</v>
      </c>
      <c r="B40" s="6" t="s">
        <v>43</v>
      </c>
      <c r="C40" s="8">
        <v>9000845</v>
      </c>
      <c r="D40" s="6" t="s">
        <v>61</v>
      </c>
      <c r="E40" s="7">
        <v>12181</v>
      </c>
    </row>
    <row r="41" spans="1:5" x14ac:dyDescent="0.25">
      <c r="A41" s="6">
        <v>40</v>
      </c>
      <c r="B41" s="6" t="s">
        <v>44</v>
      </c>
      <c r="C41" s="8">
        <v>9000845</v>
      </c>
      <c r="D41" s="6" t="s">
        <v>61</v>
      </c>
      <c r="E41" s="7">
        <v>7400</v>
      </c>
    </row>
    <row r="42" spans="1:5" x14ac:dyDescent="0.25">
      <c r="A42" s="6">
        <v>41</v>
      </c>
      <c r="B42" s="6" t="s">
        <v>45</v>
      </c>
      <c r="C42" s="8">
        <v>9000917</v>
      </c>
      <c r="D42" s="6" t="s">
        <v>78</v>
      </c>
      <c r="E42" s="7">
        <v>10691</v>
      </c>
    </row>
    <row r="43" spans="1:5" x14ac:dyDescent="0.25">
      <c r="A43" s="6">
        <v>42</v>
      </c>
      <c r="B43" s="6" t="s">
        <v>46</v>
      </c>
      <c r="C43" s="8">
        <v>9000420</v>
      </c>
      <c r="D43" s="6" t="s">
        <v>79</v>
      </c>
      <c r="E43" s="7">
        <v>8223</v>
      </c>
    </row>
    <row r="44" spans="1:5" x14ac:dyDescent="0.25">
      <c r="A44" s="6">
        <v>43</v>
      </c>
      <c r="B44" s="6" t="s">
        <v>47</v>
      </c>
      <c r="C44" s="8">
        <v>9000420</v>
      </c>
      <c r="D44" s="6" t="s">
        <v>79</v>
      </c>
      <c r="E44" s="7">
        <v>9624</v>
      </c>
    </row>
    <row r="45" spans="1:5" x14ac:dyDescent="0.25">
      <c r="A45" s="6">
        <v>44</v>
      </c>
      <c r="B45" s="6" t="s">
        <v>48</v>
      </c>
      <c r="C45" s="8">
        <v>9000420</v>
      </c>
      <c r="D45" s="6" t="s">
        <v>79</v>
      </c>
      <c r="E45" s="7">
        <v>9624</v>
      </c>
    </row>
    <row r="46" spans="1:5" x14ac:dyDescent="0.25">
      <c r="A46" s="6">
        <v>45</v>
      </c>
      <c r="B46" s="6" t="s">
        <v>49</v>
      </c>
      <c r="C46" s="8">
        <v>9000210</v>
      </c>
      <c r="D46" s="6" t="s">
        <v>80</v>
      </c>
      <c r="E46" s="7">
        <v>1</v>
      </c>
    </row>
    <row r="47" spans="1:5" x14ac:dyDescent="0.25">
      <c r="A47" s="6">
        <v>46</v>
      </c>
      <c r="B47" s="6" t="s">
        <v>50</v>
      </c>
      <c r="C47" s="8">
        <v>9000543</v>
      </c>
      <c r="D47" s="6" t="s">
        <v>81</v>
      </c>
      <c r="E47" s="7">
        <v>24490</v>
      </c>
    </row>
    <row r="48" spans="1:5" x14ac:dyDescent="0.25">
      <c r="A48" s="6">
        <v>47</v>
      </c>
      <c r="B48" s="6" t="s">
        <v>51</v>
      </c>
      <c r="C48" s="8">
        <v>9000857</v>
      </c>
      <c r="D48" s="6" t="s">
        <v>82</v>
      </c>
      <c r="E48" s="7">
        <v>2019</v>
      </c>
    </row>
    <row r="49" spans="1:5" x14ac:dyDescent="0.25">
      <c r="A49" s="6">
        <v>48</v>
      </c>
      <c r="B49" s="6" t="s">
        <v>52</v>
      </c>
      <c r="C49" s="8">
        <v>9000857</v>
      </c>
      <c r="D49" s="6" t="s">
        <v>82</v>
      </c>
      <c r="E49" s="7">
        <v>3522</v>
      </c>
    </row>
    <row r="50" spans="1:5" x14ac:dyDescent="0.25">
      <c r="A50" s="6">
        <v>49</v>
      </c>
      <c r="B50" s="6" t="s">
        <v>53</v>
      </c>
      <c r="C50" s="8">
        <v>9000857</v>
      </c>
      <c r="D50" s="6" t="s">
        <v>82</v>
      </c>
      <c r="E50" s="7">
        <v>4105</v>
      </c>
    </row>
    <row r="51" spans="1:5" x14ac:dyDescent="0.25">
      <c r="A51" s="6">
        <v>50</v>
      </c>
      <c r="B51" s="6" t="s">
        <v>54</v>
      </c>
      <c r="C51" s="8">
        <v>9000867</v>
      </c>
      <c r="D51" s="6" t="s">
        <v>83</v>
      </c>
      <c r="E51" s="7">
        <v>7453</v>
      </c>
    </row>
    <row r="52" spans="1:5" x14ac:dyDescent="0.25">
      <c r="A52" s="6">
        <v>51</v>
      </c>
      <c r="B52" s="6" t="s">
        <v>55</v>
      </c>
      <c r="C52" s="8">
        <v>9000806</v>
      </c>
      <c r="D52" s="6" t="s">
        <v>84</v>
      </c>
      <c r="E52" s="7">
        <v>12426</v>
      </c>
    </row>
    <row r="53" spans="1:5" x14ac:dyDescent="0.25">
      <c r="A53" s="6">
        <v>52</v>
      </c>
      <c r="B53" s="6" t="s">
        <v>56</v>
      </c>
      <c r="C53" s="8">
        <v>9000806</v>
      </c>
      <c r="D53" s="6" t="s">
        <v>84</v>
      </c>
      <c r="E53" s="7">
        <v>34824</v>
      </c>
    </row>
    <row r="54" spans="1:5" x14ac:dyDescent="0.25">
      <c r="A54" s="6">
        <v>53</v>
      </c>
      <c r="B54" s="6" t="s">
        <v>57</v>
      </c>
      <c r="C54" s="8">
        <v>9000420</v>
      </c>
      <c r="D54" s="6" t="s">
        <v>79</v>
      </c>
      <c r="E54" s="7">
        <v>8223</v>
      </c>
    </row>
    <row r="55" spans="1:5" x14ac:dyDescent="0.25">
      <c r="A55" s="6">
        <v>54</v>
      </c>
      <c r="B55" s="6" t="s">
        <v>58</v>
      </c>
      <c r="C55" s="8">
        <v>9000420</v>
      </c>
      <c r="D55" s="6" t="s">
        <v>79</v>
      </c>
      <c r="E55" s="7">
        <v>8223</v>
      </c>
    </row>
    <row r="56" spans="1:5" x14ac:dyDescent="0.25">
      <c r="A56" s="6">
        <v>55</v>
      </c>
      <c r="B56" s="6" t="s">
        <v>59</v>
      </c>
      <c r="C56" s="8">
        <v>9000836</v>
      </c>
      <c r="D56" s="6" t="s">
        <v>85</v>
      </c>
      <c r="E56" s="7">
        <v>7894</v>
      </c>
    </row>
    <row r="57" spans="1:5" x14ac:dyDescent="0.25">
      <c r="A57" s="6">
        <v>56</v>
      </c>
      <c r="B57" s="6" t="s">
        <v>60</v>
      </c>
      <c r="C57" s="8">
        <v>9000898</v>
      </c>
      <c r="D57" s="6" t="s">
        <v>66</v>
      </c>
      <c r="E57" s="7">
        <v>14506</v>
      </c>
    </row>
  </sheetData>
  <autoFilter ref="A1:E57" xr:uid="{A39BF99E-E58A-4112-A29F-E1E93ADB41E4}"/>
  <conditionalFormatting sqref="B1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5C83-7D52-4574-8D51-91B73504F4BD}">
  <dimension ref="A1:D117"/>
  <sheetViews>
    <sheetView topLeftCell="A103" workbookViewId="0">
      <selection activeCell="A65" sqref="A65"/>
    </sheetView>
  </sheetViews>
  <sheetFormatPr defaultRowHeight="15" x14ac:dyDescent="0.25"/>
  <cols>
    <col min="1" max="1" width="42.7109375" customWidth="1"/>
    <col min="2" max="2" width="13.85546875" style="10" customWidth="1"/>
    <col min="3" max="3" width="12.7109375" style="13" bestFit="1" customWidth="1"/>
  </cols>
  <sheetData>
    <row r="1" spans="1:4" x14ac:dyDescent="0.25">
      <c r="A1" s="1" t="s">
        <v>1</v>
      </c>
      <c r="B1" s="9" t="s">
        <v>86</v>
      </c>
      <c r="C1" s="11" t="s">
        <v>2</v>
      </c>
    </row>
    <row r="2" spans="1:4" x14ac:dyDescent="0.25">
      <c r="A2" t="s">
        <v>5</v>
      </c>
      <c r="B2" s="10">
        <v>14046</v>
      </c>
      <c r="C2" s="12">
        <v>9000845</v>
      </c>
      <c r="D2" t="str">
        <f>VLOOKUP(A2,[1]Sheet1!$B:$C,2,0)</f>
        <v>09000845</v>
      </c>
    </row>
    <row r="3" spans="1:4" x14ac:dyDescent="0.25">
      <c r="A3" t="s">
        <v>6</v>
      </c>
      <c r="B3" s="10">
        <v>68974</v>
      </c>
      <c r="C3" s="12">
        <v>9000845</v>
      </c>
      <c r="D3" t="str">
        <f>VLOOKUP(A3,[1]Sheet1!$B:$C,2,0)</f>
        <v>09000845</v>
      </c>
    </row>
    <row r="4" spans="1:4" x14ac:dyDescent="0.25">
      <c r="A4" t="s">
        <v>7</v>
      </c>
      <c r="B4" s="10">
        <v>12181</v>
      </c>
      <c r="C4" s="12">
        <v>9000845</v>
      </c>
      <c r="D4" t="str">
        <f>VLOOKUP(A4,[1]Sheet1!$B:$C,2,0)</f>
        <v>09000845</v>
      </c>
    </row>
    <row r="5" spans="1:4" x14ac:dyDescent="0.25">
      <c r="A5" t="s">
        <v>8</v>
      </c>
      <c r="B5" s="10">
        <v>8037</v>
      </c>
      <c r="C5" s="12">
        <v>9000845</v>
      </c>
      <c r="D5" t="str">
        <f>VLOOKUP(A5,[1]Sheet1!$B:$C,2,0)</f>
        <v>09000845</v>
      </c>
    </row>
    <row r="6" spans="1:4" x14ac:dyDescent="0.25">
      <c r="A6" t="s">
        <v>9</v>
      </c>
      <c r="B6" s="10">
        <v>24500</v>
      </c>
      <c r="C6" s="12">
        <v>9000845</v>
      </c>
      <c r="D6" t="str">
        <f>VLOOKUP(A6,[1]Sheet1!$B:$C,2,0)</f>
        <v>09000845</v>
      </c>
    </row>
    <row r="7" spans="1:4" x14ac:dyDescent="0.25">
      <c r="A7" t="s">
        <v>10</v>
      </c>
      <c r="B7" s="10">
        <v>8412</v>
      </c>
      <c r="C7" s="12">
        <v>9000509</v>
      </c>
      <c r="D7" t="str">
        <f>VLOOKUP(A7,[1]Sheet1!$B:$C,2,0)</f>
        <v>09000509</v>
      </c>
    </row>
    <row r="8" spans="1:4" x14ac:dyDescent="0.25">
      <c r="A8" t="s">
        <v>11</v>
      </c>
      <c r="B8" s="10">
        <v>8265</v>
      </c>
      <c r="C8" s="12">
        <v>9000486</v>
      </c>
      <c r="D8" t="str">
        <f>VLOOKUP(A8,[1]Sheet1!$B:$C,2,0)</f>
        <v>09000486</v>
      </c>
    </row>
    <row r="9" spans="1:4" x14ac:dyDescent="0.25">
      <c r="A9" t="s">
        <v>12</v>
      </c>
      <c r="B9" s="10">
        <v>13535</v>
      </c>
      <c r="C9" s="12">
        <v>9000486</v>
      </c>
      <c r="D9" t="str">
        <f>VLOOKUP(A9,[1]Sheet1!$B:$C,2,0)</f>
        <v>09000486</v>
      </c>
    </row>
    <row r="10" spans="1:4" x14ac:dyDescent="0.25">
      <c r="A10" t="s">
        <v>13</v>
      </c>
      <c r="B10" s="10">
        <v>795</v>
      </c>
      <c r="C10" s="12">
        <v>9000818</v>
      </c>
      <c r="D10" t="str">
        <f>VLOOKUP(A10,[1]Sheet1!$B:$C,2,0)</f>
        <v>09000818</v>
      </c>
    </row>
    <row r="11" spans="1:4" x14ac:dyDescent="0.25">
      <c r="A11" t="s">
        <v>14</v>
      </c>
      <c r="B11" s="10">
        <v>14179</v>
      </c>
      <c r="C11" s="12">
        <v>9000818</v>
      </c>
      <c r="D11" t="str">
        <f>VLOOKUP(A11,[1]Sheet1!$B:$C,2,0)</f>
        <v>09000818</v>
      </c>
    </row>
    <row r="12" spans="1:4" x14ac:dyDescent="0.25">
      <c r="A12" t="s">
        <v>15</v>
      </c>
      <c r="B12" s="10">
        <v>10125</v>
      </c>
      <c r="C12" s="12">
        <v>9000818</v>
      </c>
      <c r="D12" t="str">
        <f>VLOOKUP(A12,[1]Sheet1!$B:$C,2,0)</f>
        <v>09000818</v>
      </c>
    </row>
    <row r="13" spans="1:4" x14ac:dyDescent="0.25">
      <c r="A13" t="s">
        <v>16</v>
      </c>
      <c r="B13" s="10">
        <v>5485</v>
      </c>
      <c r="C13" s="12">
        <v>9000729</v>
      </c>
      <c r="D13" t="str">
        <f>VLOOKUP(A13,[1]Sheet1!$B:$C,2,0)</f>
        <v>09000729</v>
      </c>
    </row>
    <row r="14" spans="1:4" x14ac:dyDescent="0.25">
      <c r="A14" t="s">
        <v>17</v>
      </c>
      <c r="B14" s="10">
        <v>3910</v>
      </c>
      <c r="C14" s="12">
        <v>9000729</v>
      </c>
      <c r="D14" t="str">
        <f>VLOOKUP(A14,[1]Sheet1!$B:$C,2,0)</f>
        <v>09000729</v>
      </c>
    </row>
    <row r="15" spans="1:4" x14ac:dyDescent="0.25">
      <c r="A15" t="s">
        <v>18</v>
      </c>
      <c r="B15" s="10">
        <v>28430</v>
      </c>
      <c r="C15" s="12">
        <v>9000845</v>
      </c>
      <c r="D15" t="str">
        <f>VLOOKUP(A15,[1]Sheet1!$B:$C,2,0)</f>
        <v>09000845</v>
      </c>
    </row>
    <row r="16" spans="1:4" x14ac:dyDescent="0.25">
      <c r="A16" t="s">
        <v>19</v>
      </c>
      <c r="B16" s="10">
        <v>22785</v>
      </c>
      <c r="C16" s="12">
        <v>9000845</v>
      </c>
      <c r="D16" t="str">
        <f>VLOOKUP(A16,[1]Sheet1!$B:$C,2,0)</f>
        <v>09000845</v>
      </c>
    </row>
    <row r="17" spans="1:4" x14ac:dyDescent="0.25">
      <c r="A17" t="s">
        <v>20</v>
      </c>
      <c r="B17" s="10">
        <v>10600</v>
      </c>
      <c r="C17" s="12">
        <v>9000898</v>
      </c>
      <c r="D17" t="str">
        <f>VLOOKUP(A17,[1]Sheet1!$B:$C,2,0)</f>
        <v>09000898</v>
      </c>
    </row>
    <row r="18" spans="1:4" x14ac:dyDescent="0.25">
      <c r="A18" t="s">
        <v>21</v>
      </c>
      <c r="B18" s="10">
        <v>1</v>
      </c>
      <c r="C18" s="12">
        <v>9000528</v>
      </c>
      <c r="D18" t="str">
        <f>VLOOKUP(A18,[1]Sheet1!$B:$C,2,0)</f>
        <v>09000528</v>
      </c>
    </row>
    <row r="19" spans="1:4" x14ac:dyDescent="0.25">
      <c r="A19" t="s">
        <v>22</v>
      </c>
      <c r="B19" s="10">
        <v>5203</v>
      </c>
      <c r="C19" s="12">
        <v>9000474</v>
      </c>
      <c r="D19" t="str">
        <f>VLOOKUP(A19,[1]Sheet1!$B:$C,2,0)</f>
        <v>09000474</v>
      </c>
    </row>
    <row r="20" spans="1:4" x14ac:dyDescent="0.25">
      <c r="A20" t="s">
        <v>23</v>
      </c>
      <c r="B20" s="10">
        <v>3</v>
      </c>
      <c r="C20" s="12">
        <v>9000436</v>
      </c>
      <c r="D20" t="str">
        <f>VLOOKUP(A20,[1]Sheet1!$B:$C,2,0)</f>
        <v>09000436</v>
      </c>
    </row>
    <row r="21" spans="1:4" x14ac:dyDescent="0.25">
      <c r="A21" t="s">
        <v>24</v>
      </c>
      <c r="B21" s="10">
        <v>4860</v>
      </c>
      <c r="C21" s="12">
        <v>9000779</v>
      </c>
      <c r="D21" t="str">
        <f>VLOOKUP(A21,[1]Sheet1!$B:$C,2,0)</f>
        <v>09000779</v>
      </c>
    </row>
    <row r="22" spans="1:4" x14ac:dyDescent="0.25">
      <c r="A22" t="s">
        <v>25</v>
      </c>
      <c r="B22" s="10">
        <v>21802</v>
      </c>
      <c r="C22" s="12">
        <v>9000845</v>
      </c>
      <c r="D22" t="str">
        <f>VLOOKUP(A22,[1]Sheet1!$B:$C,2,0)</f>
        <v>09000845</v>
      </c>
    </row>
    <row r="23" spans="1:4" x14ac:dyDescent="0.25">
      <c r="A23" t="s">
        <v>26</v>
      </c>
      <c r="B23" s="10">
        <v>26321</v>
      </c>
      <c r="C23" s="12">
        <v>9000845</v>
      </c>
      <c r="D23" t="str">
        <f>VLOOKUP(A23,[1]Sheet1!$B:$C,2,0)</f>
        <v>09000845</v>
      </c>
    </row>
    <row r="24" spans="1:4" x14ac:dyDescent="0.25">
      <c r="A24" t="s">
        <v>27</v>
      </c>
      <c r="B24" s="10">
        <v>5478</v>
      </c>
      <c r="C24" s="12">
        <v>9000522</v>
      </c>
      <c r="D24" t="str">
        <f>VLOOKUP(A24,[1]Sheet1!$B:$C,2,0)</f>
        <v>09000522</v>
      </c>
    </row>
    <row r="25" spans="1:4" x14ac:dyDescent="0.25">
      <c r="A25" t="s">
        <v>28</v>
      </c>
      <c r="B25" s="10">
        <v>8903</v>
      </c>
      <c r="C25" s="12">
        <v>9000522</v>
      </c>
      <c r="D25" t="str">
        <f>VLOOKUP(A25,[1]Sheet1!$B:$C,2,0)</f>
        <v>09000522</v>
      </c>
    </row>
    <row r="26" spans="1:4" x14ac:dyDescent="0.25">
      <c r="A26" t="s">
        <v>29</v>
      </c>
      <c r="B26" s="10">
        <v>20283</v>
      </c>
      <c r="C26" s="12">
        <v>9000845</v>
      </c>
      <c r="D26" t="str">
        <f>VLOOKUP(A26,[1]Sheet1!$B:$C,2,0)</f>
        <v>09000845</v>
      </c>
    </row>
    <row r="27" spans="1:4" x14ac:dyDescent="0.25">
      <c r="A27" t="s">
        <v>30</v>
      </c>
      <c r="B27" s="10">
        <v>28007</v>
      </c>
      <c r="C27" s="12">
        <v>9000845</v>
      </c>
      <c r="D27" t="str">
        <f>VLOOKUP(A27,[1]Sheet1!$B:$C,2,0)</f>
        <v>09000845</v>
      </c>
    </row>
    <row r="28" spans="1:4" x14ac:dyDescent="0.25">
      <c r="A28" t="s">
        <v>31</v>
      </c>
      <c r="B28" s="10">
        <v>19135</v>
      </c>
      <c r="C28" s="12">
        <v>9000845</v>
      </c>
      <c r="D28" t="str">
        <f>VLOOKUP(A28,[1]Sheet1!$B:$C,2,0)</f>
        <v>09000845</v>
      </c>
    </row>
    <row r="29" spans="1:4" x14ac:dyDescent="0.25">
      <c r="A29" t="s">
        <v>32</v>
      </c>
      <c r="B29" s="10">
        <v>46065</v>
      </c>
      <c r="C29" s="12">
        <v>9000845</v>
      </c>
      <c r="D29" t="str">
        <f>VLOOKUP(A29,[1]Sheet1!$B:$C,2,0)</f>
        <v>09000845</v>
      </c>
    </row>
    <row r="30" spans="1:4" x14ac:dyDescent="0.25">
      <c r="A30" t="s">
        <v>33</v>
      </c>
      <c r="B30" s="10">
        <v>20461</v>
      </c>
      <c r="C30" s="12">
        <v>9000896</v>
      </c>
      <c r="D30" t="str">
        <f>VLOOKUP(A30,[1]Sheet1!$B:$C,2,0)</f>
        <v>09000896</v>
      </c>
    </row>
    <row r="31" spans="1:4" x14ac:dyDescent="0.25">
      <c r="A31" t="s">
        <v>34</v>
      </c>
      <c r="B31" s="10">
        <v>7635</v>
      </c>
      <c r="C31" s="12">
        <v>9000896</v>
      </c>
      <c r="D31" t="str">
        <f>VLOOKUP(A31,[1]Sheet1!$B:$C,2,0)</f>
        <v>09000896</v>
      </c>
    </row>
    <row r="32" spans="1:4" x14ac:dyDescent="0.25">
      <c r="A32" t="s">
        <v>35</v>
      </c>
      <c r="B32" s="10">
        <v>6800</v>
      </c>
      <c r="C32" s="12">
        <v>9000748</v>
      </c>
      <c r="D32" t="str">
        <f>VLOOKUP(A32,[1]Sheet1!$B:$C,2,0)</f>
        <v>09000748</v>
      </c>
    </row>
    <row r="33" spans="1:4" x14ac:dyDescent="0.25">
      <c r="A33" t="s">
        <v>36</v>
      </c>
      <c r="B33" s="10">
        <v>20630</v>
      </c>
      <c r="C33" s="12">
        <v>9000916</v>
      </c>
      <c r="D33" t="str">
        <f>VLOOKUP(A33,[1]Sheet1!$B:$C,2,0)</f>
        <v>09000916</v>
      </c>
    </row>
    <row r="34" spans="1:4" x14ac:dyDescent="0.25">
      <c r="A34" t="s">
        <v>37</v>
      </c>
      <c r="B34" s="10">
        <v>8558</v>
      </c>
      <c r="C34" s="12">
        <v>9000443</v>
      </c>
      <c r="D34" t="str">
        <f>VLOOKUP(A34,[1]Sheet1!$B:$C,2,0)</f>
        <v>09000443</v>
      </c>
    </row>
    <row r="35" spans="1:4" x14ac:dyDescent="0.25">
      <c r="A35" t="s">
        <v>38</v>
      </c>
      <c r="B35" s="10">
        <v>14000</v>
      </c>
      <c r="C35" s="12">
        <v>9000443</v>
      </c>
      <c r="D35" t="str">
        <f>VLOOKUP(A35,[1]Sheet1!$B:$C,2,0)</f>
        <v>09000443</v>
      </c>
    </row>
    <row r="36" spans="1:4" x14ac:dyDescent="0.25">
      <c r="A36" t="s">
        <v>39</v>
      </c>
      <c r="B36" s="10">
        <v>23866</v>
      </c>
      <c r="C36" s="12">
        <v>9000860</v>
      </c>
      <c r="D36" t="str">
        <f>VLOOKUP(A36,[1]Sheet1!$B:$C,2,0)</f>
        <v>09000860</v>
      </c>
    </row>
    <row r="37" spans="1:4" x14ac:dyDescent="0.25">
      <c r="A37" t="s">
        <v>40</v>
      </c>
      <c r="B37" s="10">
        <v>20633</v>
      </c>
      <c r="C37" s="12">
        <v>9000916</v>
      </c>
      <c r="D37" t="str">
        <f>VLOOKUP(A37,[1]Sheet1!$B:$C,2,0)</f>
        <v>09000916</v>
      </c>
    </row>
    <row r="38" spans="1:4" x14ac:dyDescent="0.25">
      <c r="A38" t="s">
        <v>41</v>
      </c>
      <c r="B38" s="10">
        <v>41433</v>
      </c>
      <c r="C38" s="12">
        <v>9000918</v>
      </c>
      <c r="D38" t="str">
        <f>VLOOKUP(A38,[1]Sheet1!$B:$C,2,0)</f>
        <v>09000918</v>
      </c>
    </row>
    <row r="39" spans="1:4" x14ac:dyDescent="0.25">
      <c r="A39" t="s">
        <v>42</v>
      </c>
      <c r="B39" s="10">
        <v>3800</v>
      </c>
      <c r="C39" s="12">
        <v>9000860</v>
      </c>
      <c r="D39" t="str">
        <f>VLOOKUP(A39,[1]Sheet1!$B:$C,2,0)</f>
        <v>09000860</v>
      </c>
    </row>
    <row r="40" spans="1:4" x14ac:dyDescent="0.25">
      <c r="A40" t="s">
        <v>43</v>
      </c>
      <c r="B40" s="10">
        <v>12181</v>
      </c>
      <c r="C40" s="12">
        <v>9000845</v>
      </c>
      <c r="D40" t="str">
        <f>VLOOKUP(A40,[1]Sheet1!$B:$C,2,0)</f>
        <v>09000845</v>
      </c>
    </row>
    <row r="41" spans="1:4" x14ac:dyDescent="0.25">
      <c r="A41" t="s">
        <v>44</v>
      </c>
      <c r="B41" s="10">
        <v>7400</v>
      </c>
      <c r="C41" s="12">
        <v>9000845</v>
      </c>
      <c r="D41" t="str">
        <f>VLOOKUP(A41,[1]Sheet1!$B:$C,2,0)</f>
        <v>09000845</v>
      </c>
    </row>
    <row r="42" spans="1:4" x14ac:dyDescent="0.25">
      <c r="A42" t="s">
        <v>45</v>
      </c>
      <c r="B42" s="10">
        <v>10691</v>
      </c>
      <c r="C42" s="12">
        <v>9000917</v>
      </c>
      <c r="D42" t="str">
        <f>VLOOKUP(A42,[1]Sheet1!$B:$C,2,0)</f>
        <v>09000917</v>
      </c>
    </row>
    <row r="43" spans="1:4" x14ac:dyDescent="0.25">
      <c r="A43" t="s">
        <v>46</v>
      </c>
      <c r="B43" s="10">
        <v>8223</v>
      </c>
      <c r="C43" s="12">
        <v>9000420</v>
      </c>
      <c r="D43" t="str">
        <f>VLOOKUP(A43,[1]Sheet1!$B:$C,2,0)</f>
        <v>09000420</v>
      </c>
    </row>
    <row r="44" spans="1:4" x14ac:dyDescent="0.25">
      <c r="A44" t="s">
        <v>47</v>
      </c>
      <c r="B44" s="10">
        <v>9624</v>
      </c>
      <c r="C44" s="12">
        <v>9000420</v>
      </c>
      <c r="D44" t="str">
        <f>VLOOKUP(A44,[1]Sheet1!$B:$C,2,0)</f>
        <v>09000420</v>
      </c>
    </row>
    <row r="45" spans="1:4" x14ac:dyDescent="0.25">
      <c r="A45" t="s">
        <v>48</v>
      </c>
      <c r="B45" s="10">
        <v>9624</v>
      </c>
      <c r="C45" s="12">
        <v>9000420</v>
      </c>
      <c r="D45" t="str">
        <f>VLOOKUP(A45,[1]Sheet1!$B:$C,2,0)</f>
        <v>09000420</v>
      </c>
    </row>
    <row r="46" spans="1:4" x14ac:dyDescent="0.25">
      <c r="A46" t="s">
        <v>49</v>
      </c>
      <c r="B46" s="10">
        <v>1</v>
      </c>
      <c r="C46" s="12">
        <v>9000210</v>
      </c>
      <c r="D46" t="str">
        <f>VLOOKUP(A46,[1]Sheet1!$B:$C,2,0)</f>
        <v>09000210</v>
      </c>
    </row>
    <row r="47" spans="1:4" x14ac:dyDescent="0.25">
      <c r="A47" t="s">
        <v>50</v>
      </c>
      <c r="B47" s="10">
        <v>24490</v>
      </c>
      <c r="C47" s="12">
        <v>9000543</v>
      </c>
      <c r="D47" t="str">
        <f>VLOOKUP(A47,[1]Sheet1!$B:$C,2,0)</f>
        <v>09000543</v>
      </c>
    </row>
    <row r="48" spans="1:4" x14ac:dyDescent="0.25">
      <c r="A48" t="s">
        <v>51</v>
      </c>
      <c r="B48" s="10">
        <v>2019</v>
      </c>
      <c r="C48" s="12">
        <v>9000857</v>
      </c>
      <c r="D48" t="str">
        <f>VLOOKUP(A48,[1]Sheet1!$B:$C,2,0)</f>
        <v>09000857</v>
      </c>
    </row>
    <row r="49" spans="1:4" x14ac:dyDescent="0.25">
      <c r="A49" t="s">
        <v>52</v>
      </c>
      <c r="B49" s="10">
        <v>3522</v>
      </c>
      <c r="C49" s="12">
        <v>9000857</v>
      </c>
      <c r="D49" t="str">
        <f>VLOOKUP(A49,[1]Sheet1!$B:$C,2,0)</f>
        <v>09000857</v>
      </c>
    </row>
    <row r="50" spans="1:4" x14ac:dyDescent="0.25">
      <c r="A50" t="s">
        <v>53</v>
      </c>
      <c r="B50" s="10">
        <v>4105</v>
      </c>
      <c r="C50" s="12">
        <v>9000857</v>
      </c>
      <c r="D50" t="str">
        <f>VLOOKUP(A50,[1]Sheet1!$B:$C,2,0)</f>
        <v>09000857</v>
      </c>
    </row>
    <row r="51" spans="1:4" x14ac:dyDescent="0.25">
      <c r="A51" t="s">
        <v>54</v>
      </c>
      <c r="B51" s="10">
        <v>7453</v>
      </c>
      <c r="C51" s="12">
        <v>9000867</v>
      </c>
      <c r="D51" t="str">
        <f>VLOOKUP(A51,[1]Sheet1!$B:$C,2,0)</f>
        <v>09000867</v>
      </c>
    </row>
    <row r="52" spans="1:4" x14ac:dyDescent="0.25">
      <c r="A52" t="s">
        <v>55</v>
      </c>
      <c r="B52" s="10">
        <v>12426</v>
      </c>
      <c r="C52" s="12">
        <v>9000806</v>
      </c>
      <c r="D52" t="str">
        <f>VLOOKUP(A52,[1]Sheet1!$B:$C,2,0)</f>
        <v>09000806</v>
      </c>
    </row>
    <row r="53" spans="1:4" x14ac:dyDescent="0.25">
      <c r="A53" t="s">
        <v>56</v>
      </c>
      <c r="B53" s="10">
        <v>34824</v>
      </c>
      <c r="C53" s="12">
        <v>9000806</v>
      </c>
      <c r="D53" t="str">
        <f>VLOOKUP(A53,[1]Sheet1!$B:$C,2,0)</f>
        <v>09000806</v>
      </c>
    </row>
    <row r="54" spans="1:4" x14ac:dyDescent="0.25">
      <c r="A54" t="s">
        <v>57</v>
      </c>
      <c r="B54" s="10">
        <v>8223</v>
      </c>
      <c r="C54" s="12">
        <v>9000420</v>
      </c>
      <c r="D54" t="str">
        <f>VLOOKUP(A54,[1]Sheet1!$B:$C,2,0)</f>
        <v>09000420</v>
      </c>
    </row>
    <row r="55" spans="1:4" x14ac:dyDescent="0.25">
      <c r="A55" t="s">
        <v>58</v>
      </c>
      <c r="B55" s="10">
        <v>8223</v>
      </c>
      <c r="C55" s="12">
        <v>9000420</v>
      </c>
      <c r="D55" t="str">
        <f>VLOOKUP(A55,[1]Sheet1!$B:$C,2,0)</f>
        <v>09000420</v>
      </c>
    </row>
    <row r="56" spans="1:4" x14ac:dyDescent="0.25">
      <c r="A56" t="s">
        <v>59</v>
      </c>
      <c r="B56" s="10">
        <v>7894</v>
      </c>
      <c r="C56" s="12">
        <v>9000836</v>
      </c>
      <c r="D56" t="str">
        <f>VLOOKUP(A56,[1]Sheet1!$B:$C,2,0)</f>
        <v>09000836</v>
      </c>
    </row>
    <row r="57" spans="1:4" x14ac:dyDescent="0.25">
      <c r="A57" t="s">
        <v>60</v>
      </c>
      <c r="B57" s="10">
        <v>14506</v>
      </c>
      <c r="C57" s="12">
        <v>9000898</v>
      </c>
      <c r="D57" t="str">
        <f>VLOOKUP(A57,[1]Sheet1!$B:$C,2,0)</f>
        <v>09000898</v>
      </c>
    </row>
    <row r="58" spans="1:4" x14ac:dyDescent="0.25">
      <c r="B58" s="10">
        <f>SUM(B2:B57)</f>
        <v>793565</v>
      </c>
    </row>
    <row r="60" spans="1:4" x14ac:dyDescent="0.25">
      <c r="A60" s="1" t="s">
        <v>1</v>
      </c>
      <c r="B60" s="9" t="s">
        <v>87</v>
      </c>
    </row>
    <row r="61" spans="1:4" x14ac:dyDescent="0.25">
      <c r="A61" t="s">
        <v>5</v>
      </c>
      <c r="B61" s="10">
        <v>14046</v>
      </c>
    </row>
    <row r="62" spans="1:4" x14ac:dyDescent="0.25">
      <c r="A62" t="s">
        <v>6</v>
      </c>
      <c r="B62" s="10">
        <v>68974</v>
      </c>
    </row>
    <row r="63" spans="1:4" x14ac:dyDescent="0.25">
      <c r="A63" t="s">
        <v>7</v>
      </c>
      <c r="B63" s="10">
        <v>12181</v>
      </c>
    </row>
    <row r="64" spans="1:4" x14ac:dyDescent="0.25">
      <c r="A64" t="s">
        <v>8</v>
      </c>
      <c r="B64" s="10">
        <v>8037</v>
      </c>
    </row>
    <row r="65" spans="1:2" x14ac:dyDescent="0.25">
      <c r="A65" t="s">
        <v>9</v>
      </c>
      <c r="B65" s="10">
        <v>24500</v>
      </c>
    </row>
    <row r="66" spans="1:2" x14ac:dyDescent="0.25">
      <c r="A66" t="s">
        <v>10</v>
      </c>
      <c r="B66" s="10">
        <v>8412</v>
      </c>
    </row>
    <row r="67" spans="1:2" x14ac:dyDescent="0.25">
      <c r="A67" t="s">
        <v>11</v>
      </c>
      <c r="B67" s="10">
        <v>8265</v>
      </c>
    </row>
    <row r="68" spans="1:2" x14ac:dyDescent="0.25">
      <c r="A68" t="s">
        <v>12</v>
      </c>
      <c r="B68" s="10">
        <v>13535</v>
      </c>
    </row>
    <row r="69" spans="1:2" x14ac:dyDescent="0.25">
      <c r="A69" t="s">
        <v>13</v>
      </c>
      <c r="B69" s="10">
        <v>795</v>
      </c>
    </row>
    <row r="70" spans="1:2" x14ac:dyDescent="0.25">
      <c r="A70" t="s">
        <v>14</v>
      </c>
      <c r="B70" s="10">
        <v>14179</v>
      </c>
    </row>
    <row r="71" spans="1:2" x14ac:dyDescent="0.25">
      <c r="A71" t="s">
        <v>15</v>
      </c>
      <c r="B71" s="10">
        <v>10125</v>
      </c>
    </row>
    <row r="72" spans="1:2" x14ac:dyDescent="0.25">
      <c r="A72" t="s">
        <v>16</v>
      </c>
      <c r="B72" s="10">
        <v>5485</v>
      </c>
    </row>
    <row r="73" spans="1:2" x14ac:dyDescent="0.25">
      <c r="A73" t="s">
        <v>17</v>
      </c>
      <c r="B73" s="10">
        <v>3910</v>
      </c>
    </row>
    <row r="74" spans="1:2" x14ac:dyDescent="0.25">
      <c r="A74" t="s">
        <v>18</v>
      </c>
      <c r="B74" s="10">
        <v>28430</v>
      </c>
    </row>
    <row r="75" spans="1:2" x14ac:dyDescent="0.25">
      <c r="A75" t="s">
        <v>19</v>
      </c>
      <c r="B75" s="10">
        <v>22785</v>
      </c>
    </row>
    <row r="76" spans="1:2" x14ac:dyDescent="0.25">
      <c r="A76" t="s">
        <v>20</v>
      </c>
      <c r="B76" s="10">
        <v>10600</v>
      </c>
    </row>
    <row r="77" spans="1:2" x14ac:dyDescent="0.25">
      <c r="A77" t="s">
        <v>21</v>
      </c>
      <c r="B77" s="10">
        <v>1</v>
      </c>
    </row>
    <row r="78" spans="1:2" x14ac:dyDescent="0.25">
      <c r="A78" t="s">
        <v>22</v>
      </c>
      <c r="B78" s="10">
        <v>5203</v>
      </c>
    </row>
    <row r="79" spans="1:2" x14ac:dyDescent="0.25">
      <c r="A79" t="s">
        <v>23</v>
      </c>
      <c r="B79" s="10">
        <v>3</v>
      </c>
    </row>
    <row r="80" spans="1:2" x14ac:dyDescent="0.25">
      <c r="A80" t="s">
        <v>24</v>
      </c>
      <c r="B80" s="10">
        <v>4860</v>
      </c>
    </row>
    <row r="81" spans="1:2" x14ac:dyDescent="0.25">
      <c r="A81" t="s">
        <v>25</v>
      </c>
      <c r="B81" s="10">
        <v>21802</v>
      </c>
    </row>
    <row r="82" spans="1:2" x14ac:dyDescent="0.25">
      <c r="A82" t="s">
        <v>26</v>
      </c>
      <c r="B82" s="10">
        <v>26321</v>
      </c>
    </row>
    <row r="83" spans="1:2" x14ac:dyDescent="0.25">
      <c r="A83" t="s">
        <v>27</v>
      </c>
      <c r="B83" s="10">
        <v>5478</v>
      </c>
    </row>
    <row r="84" spans="1:2" x14ac:dyDescent="0.25">
      <c r="A84" t="s">
        <v>28</v>
      </c>
      <c r="B84" s="10">
        <v>8903</v>
      </c>
    </row>
    <row r="85" spans="1:2" x14ac:dyDescent="0.25">
      <c r="A85" t="s">
        <v>29</v>
      </c>
      <c r="B85" s="10">
        <v>20283</v>
      </c>
    </row>
    <row r="86" spans="1:2" x14ac:dyDescent="0.25">
      <c r="A86" t="s">
        <v>30</v>
      </c>
      <c r="B86" s="10">
        <v>28007</v>
      </c>
    </row>
    <row r="87" spans="1:2" x14ac:dyDescent="0.25">
      <c r="A87" t="s">
        <v>31</v>
      </c>
      <c r="B87" s="10">
        <v>19135</v>
      </c>
    </row>
    <row r="88" spans="1:2" x14ac:dyDescent="0.25">
      <c r="A88" t="s">
        <v>32</v>
      </c>
      <c r="B88" s="10">
        <v>46065</v>
      </c>
    </row>
    <row r="89" spans="1:2" x14ac:dyDescent="0.25">
      <c r="A89" t="s">
        <v>33</v>
      </c>
      <c r="B89" s="10">
        <v>20461</v>
      </c>
    </row>
    <row r="90" spans="1:2" x14ac:dyDescent="0.25">
      <c r="A90" t="s">
        <v>34</v>
      </c>
      <c r="B90" s="10">
        <v>7635</v>
      </c>
    </row>
    <row r="91" spans="1:2" x14ac:dyDescent="0.25">
      <c r="A91" t="s">
        <v>35</v>
      </c>
      <c r="B91" s="10">
        <v>6800</v>
      </c>
    </row>
    <row r="92" spans="1:2" x14ac:dyDescent="0.25">
      <c r="A92" t="s">
        <v>36</v>
      </c>
      <c r="B92" s="10">
        <v>20630</v>
      </c>
    </row>
    <row r="93" spans="1:2" x14ac:dyDescent="0.25">
      <c r="A93" t="s">
        <v>37</v>
      </c>
      <c r="B93" s="10">
        <v>8558</v>
      </c>
    </row>
    <row r="94" spans="1:2" x14ac:dyDescent="0.25">
      <c r="A94" t="s">
        <v>38</v>
      </c>
      <c r="B94" s="10">
        <v>14000</v>
      </c>
    </row>
    <row r="95" spans="1:2" x14ac:dyDescent="0.25">
      <c r="A95" t="s">
        <v>39</v>
      </c>
      <c r="B95" s="10">
        <v>23866</v>
      </c>
    </row>
    <row r="96" spans="1:2" x14ac:dyDescent="0.25">
      <c r="A96" t="s">
        <v>40</v>
      </c>
      <c r="B96" s="10">
        <v>20633</v>
      </c>
    </row>
    <row r="97" spans="1:2" x14ac:dyDescent="0.25">
      <c r="A97" t="s">
        <v>41</v>
      </c>
      <c r="B97" s="10">
        <v>41433</v>
      </c>
    </row>
    <row r="98" spans="1:2" x14ac:dyDescent="0.25">
      <c r="A98" t="s">
        <v>42</v>
      </c>
      <c r="B98" s="10">
        <v>3800</v>
      </c>
    </row>
    <row r="99" spans="1:2" x14ac:dyDescent="0.25">
      <c r="A99" t="s">
        <v>43</v>
      </c>
      <c r="B99" s="10">
        <v>12181</v>
      </c>
    </row>
    <row r="100" spans="1:2" x14ac:dyDescent="0.25">
      <c r="A100" t="s">
        <v>44</v>
      </c>
      <c r="B100" s="10">
        <v>7400</v>
      </c>
    </row>
    <row r="101" spans="1:2" x14ac:dyDescent="0.25">
      <c r="A101" t="s">
        <v>45</v>
      </c>
      <c r="B101" s="10">
        <v>10691</v>
      </c>
    </row>
    <row r="102" spans="1:2" x14ac:dyDescent="0.25">
      <c r="A102" t="s">
        <v>46</v>
      </c>
      <c r="B102" s="10">
        <v>8223</v>
      </c>
    </row>
    <row r="103" spans="1:2" x14ac:dyDescent="0.25">
      <c r="A103" t="s">
        <v>47</v>
      </c>
      <c r="B103" s="10">
        <v>9624</v>
      </c>
    </row>
    <row r="104" spans="1:2" x14ac:dyDescent="0.25">
      <c r="A104" t="s">
        <v>48</v>
      </c>
      <c r="B104" s="10">
        <v>9624</v>
      </c>
    </row>
    <row r="105" spans="1:2" x14ac:dyDescent="0.25">
      <c r="A105" t="s">
        <v>49</v>
      </c>
      <c r="B105" s="10">
        <v>1</v>
      </c>
    </row>
    <row r="106" spans="1:2" x14ac:dyDescent="0.25">
      <c r="A106" t="s">
        <v>50</v>
      </c>
      <c r="B106" s="10">
        <v>24490</v>
      </c>
    </row>
    <row r="107" spans="1:2" x14ac:dyDescent="0.25">
      <c r="A107" t="s">
        <v>51</v>
      </c>
      <c r="B107" s="10">
        <v>2019</v>
      </c>
    </row>
    <row r="108" spans="1:2" x14ac:dyDescent="0.25">
      <c r="A108" t="s">
        <v>52</v>
      </c>
      <c r="B108" s="10">
        <v>3522</v>
      </c>
    </row>
    <row r="109" spans="1:2" x14ac:dyDescent="0.25">
      <c r="A109" t="s">
        <v>53</v>
      </c>
      <c r="B109" s="10">
        <v>4105</v>
      </c>
    </row>
    <row r="110" spans="1:2" x14ac:dyDescent="0.25">
      <c r="A110" t="s">
        <v>54</v>
      </c>
      <c r="B110" s="10">
        <v>7453</v>
      </c>
    </row>
    <row r="111" spans="1:2" x14ac:dyDescent="0.25">
      <c r="A111" t="s">
        <v>55</v>
      </c>
      <c r="B111" s="10">
        <v>12426</v>
      </c>
    </row>
    <row r="112" spans="1:2" x14ac:dyDescent="0.25">
      <c r="A112" t="s">
        <v>56</v>
      </c>
      <c r="B112" s="10">
        <v>34824</v>
      </c>
    </row>
    <row r="113" spans="1:2" x14ac:dyDescent="0.25">
      <c r="A113" t="s">
        <v>57</v>
      </c>
      <c r="B113" s="10">
        <v>8223</v>
      </c>
    </row>
    <row r="114" spans="1:2" x14ac:dyDescent="0.25">
      <c r="A114" t="s">
        <v>58</v>
      </c>
      <c r="B114" s="10">
        <v>8223</v>
      </c>
    </row>
    <row r="115" spans="1:2" x14ac:dyDescent="0.25">
      <c r="A115" t="s">
        <v>59</v>
      </c>
      <c r="B115" s="10">
        <v>7894</v>
      </c>
    </row>
    <row r="116" spans="1:2" x14ac:dyDescent="0.25">
      <c r="A116" t="s">
        <v>60</v>
      </c>
      <c r="B116" s="10">
        <v>14506</v>
      </c>
    </row>
    <row r="117" spans="1:2" x14ac:dyDescent="0.25">
      <c r="B117" s="10">
        <f>SUM(B61:B116)</f>
        <v>793565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FDB0-0729-4740-8FDD-AAAF86BF3B77}">
  <dimension ref="A1:H57"/>
  <sheetViews>
    <sheetView topLeftCell="A2" workbookViewId="0">
      <selection activeCell="D1" sqref="D1"/>
    </sheetView>
  </sheetViews>
  <sheetFormatPr defaultRowHeight="15" x14ac:dyDescent="0.25"/>
  <cols>
    <col min="1" max="1" width="38.710937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9" bestFit="1" customWidth="1"/>
    <col min="6" max="6" width="32.7109375" customWidth="1"/>
    <col min="7" max="7" width="38.140625" customWidth="1"/>
    <col min="8" max="8" width="78.7109375" customWidth="1"/>
  </cols>
  <sheetData>
    <row r="1" spans="1:8" x14ac:dyDescent="0.25">
      <c r="A1" s="14" t="s">
        <v>88</v>
      </c>
      <c r="B1" t="s">
        <v>89</v>
      </c>
      <c r="C1" s="15" t="s">
        <v>90</v>
      </c>
      <c r="D1" s="16" t="s">
        <v>94</v>
      </c>
      <c r="E1" s="16"/>
    </row>
    <row r="2" spans="1:8" ht="161.25" customHeight="1" x14ac:dyDescent="0.25">
      <c r="A2" t="s">
        <v>5</v>
      </c>
      <c r="B2" s="17" t="str">
        <f>VLOOKUP(A2,[2]Sheet1!$B:$D,3,0)</f>
        <v>040000176000</v>
      </c>
      <c r="C2" s="18">
        <f>VLOOKUP(A2,Sheet2!A:B,2,0)</f>
        <v>14046</v>
      </c>
      <c r="D2" s="16" t="s">
        <v>94</v>
      </c>
      <c r="E2" s="19" t="str">
        <f>VLOOKUP(A2,[2]Sheet1!$B:$D,2,0)</f>
        <v>09000845</v>
      </c>
      <c r="F2" s="20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21" t="str">
        <f>"('"&amp;D1&amp;"','"&amp;B2&amp;"','"&amp;C2&amp;"',(select max(to_number(i.premium_rcv_detail_code))+1 from ins_premium_det i),'"&amp;C2&amp;"','"&amp;C2&amp;"','03', '"&amp;E2&amp;"','00');"</f>
        <v>('11Sep240220','040000176000','14046',(select max(to_number(i.premium_rcv_detail_code))+1 from ins_premium_det i),'14046','14046','03', '09000845','00');</v>
      </c>
      <c r="H2" s="22" t="str">
        <f t="shared" ref="H2:H57" si="0">F2&amp;G2</f>
        <v>insert into ins_premium_det (premium_rcv_code,assorted_code, rec_amount,premium_rcv_detail_code,remaining_amt, payrec, mode_code,paid_to_code,class_cd) values('11Sep240220','040000176000','14046',(select max(to_number(i.premium_rcv_detail_code))+1 from ins_premium_det i),'14046','14046','03', '09000845','00');</v>
      </c>
    </row>
    <row r="3" spans="1:8" ht="105" x14ac:dyDescent="0.25">
      <c r="A3" t="s">
        <v>6</v>
      </c>
      <c r="B3" s="17" t="str">
        <f>VLOOKUP(A3,[2]Sheet1!$B:$D,3,0)</f>
        <v>040000176442</v>
      </c>
      <c r="C3" s="18">
        <f>VLOOKUP(A3,Sheet2!A:B,2,0)</f>
        <v>68974</v>
      </c>
      <c r="D3" s="16" t="s">
        <v>94</v>
      </c>
      <c r="E3" s="19" t="str">
        <f>VLOOKUP(A3,[2]Sheet1!$B:$D,2,0)</f>
        <v>09000845</v>
      </c>
      <c r="F3" s="20" t="str">
        <f t="shared" ref="F3:F57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21" t="str">
        <f t="shared" ref="G3:G57" si="2">"('"&amp;D2&amp;"','"&amp;B3&amp;"','"&amp;C3&amp;"',(select max(to_number(i.premium_rcv_detail_code))+1 from ins_premium_det i),'"&amp;C3&amp;"','"&amp;C3&amp;"','03', '"&amp;E3&amp;"','00');"</f>
        <v>('11Sep240220','040000176442','68974',(select max(to_number(i.premium_rcv_detail_code))+1 from ins_premium_det i),'68974','68974','03', '09000845','00');</v>
      </c>
      <c r="H3" s="22" t="str">
        <f t="shared" si="0"/>
        <v>insert into ins_premium_det (premium_rcv_code,assorted_code, rec_amount,premium_rcv_detail_code,remaining_amt, payrec, mode_code,paid_to_code,class_cd) values('11Sep240220','040000176442','68974',(select max(to_number(i.premium_rcv_detail_code))+1 from ins_premium_det i),'68974','68974','03', '09000845','00');</v>
      </c>
    </row>
    <row r="4" spans="1:8" ht="105" x14ac:dyDescent="0.25">
      <c r="A4" t="s">
        <v>7</v>
      </c>
      <c r="B4" s="17" t="str">
        <f>VLOOKUP(A4,[2]Sheet1!$B:$D,3,0)</f>
        <v>040000177339</v>
      </c>
      <c r="C4" s="18">
        <f>VLOOKUP(A4,Sheet2!A:B,2,0)</f>
        <v>12181</v>
      </c>
      <c r="D4" s="16" t="s">
        <v>94</v>
      </c>
      <c r="E4" s="19" t="str">
        <f>VLOOKUP(A4,[2]Sheet1!$B:$D,2,0)</f>
        <v>09000845</v>
      </c>
      <c r="F4" s="20" t="str">
        <f t="shared" si="1"/>
        <v>insert into ins_premium_det (premium_rcv_code,assorted_code, rec_amount,premium_rcv_detail_code,remaining_amt, payrec, mode_code,paid_to_code,class_cd) values</v>
      </c>
      <c r="G4" s="21" t="str">
        <f t="shared" si="2"/>
        <v>('11Sep240220','040000177339','12181',(select max(to_number(i.premium_rcv_detail_code))+1 from ins_premium_det i),'12181','12181','03', '09000845','00');</v>
      </c>
      <c r="H4" s="22" t="str">
        <f t="shared" si="0"/>
        <v>insert into ins_premium_det (premium_rcv_code,assorted_code, rec_amount,premium_rcv_detail_code,remaining_amt, payrec, mode_code,paid_to_code,class_cd) values('11Sep240220','040000177339','12181',(select max(to_number(i.premium_rcv_detail_code))+1 from ins_premium_det i),'12181','12181','03', '09000845','00');</v>
      </c>
    </row>
    <row r="5" spans="1:8" ht="105" x14ac:dyDescent="0.25">
      <c r="A5" t="s">
        <v>8</v>
      </c>
      <c r="B5" s="17" t="str">
        <f>VLOOKUP(A5,[2]Sheet1!$B:$D,3,0)</f>
        <v>040000177340</v>
      </c>
      <c r="C5" s="18">
        <f>VLOOKUP(A5,Sheet2!A:B,2,0)</f>
        <v>8037</v>
      </c>
      <c r="D5" s="16" t="s">
        <v>94</v>
      </c>
      <c r="E5" s="19" t="str">
        <f>VLOOKUP(A5,[2]Sheet1!$B:$D,2,0)</f>
        <v>09000845</v>
      </c>
      <c r="F5" s="20" t="str">
        <f t="shared" si="1"/>
        <v>insert into ins_premium_det (premium_rcv_code,assorted_code, rec_amount,premium_rcv_detail_code,remaining_amt, payrec, mode_code,paid_to_code,class_cd) values</v>
      </c>
      <c r="G5" s="21" t="str">
        <f t="shared" si="2"/>
        <v>('11Sep240220','040000177340','8037',(select max(to_number(i.premium_rcv_detail_code))+1 from ins_premium_det i),'8037','8037','03', '09000845','00');</v>
      </c>
      <c r="H5" s="22" t="str">
        <f t="shared" si="0"/>
        <v>insert into ins_premium_det (premium_rcv_code,assorted_code, rec_amount,premium_rcv_detail_code,remaining_amt, payrec, mode_code,paid_to_code,class_cd) values('11Sep240220','040000177340','8037',(select max(to_number(i.premium_rcv_detail_code))+1 from ins_premium_det i),'8037','8037','03', '09000845','00');</v>
      </c>
    </row>
    <row r="6" spans="1:8" ht="105" x14ac:dyDescent="0.25">
      <c r="A6" t="s">
        <v>9</v>
      </c>
      <c r="B6" s="17" t="str">
        <f>VLOOKUP(A6,[2]Sheet1!$B:$D,3,0)</f>
        <v>040000177378</v>
      </c>
      <c r="C6" s="18">
        <f>VLOOKUP(A6,Sheet2!A:B,2,0)</f>
        <v>24500</v>
      </c>
      <c r="D6" s="16" t="s">
        <v>94</v>
      </c>
      <c r="E6" s="19" t="str">
        <f>VLOOKUP(A6,[2]Sheet1!$B:$D,2,0)</f>
        <v>09000845</v>
      </c>
      <c r="F6" s="20" t="str">
        <f t="shared" si="1"/>
        <v>insert into ins_premium_det (premium_rcv_code,assorted_code, rec_amount,premium_rcv_detail_code,remaining_amt, payrec, mode_code,paid_to_code,class_cd) values</v>
      </c>
      <c r="G6" s="21" t="str">
        <f t="shared" si="2"/>
        <v>('11Sep240220','040000177378','24500',(select max(to_number(i.premium_rcv_detail_code))+1 from ins_premium_det i),'24500','24500','03', '09000845','00');</v>
      </c>
      <c r="H6" s="22" t="str">
        <f t="shared" si="0"/>
        <v>insert into ins_premium_det (premium_rcv_code,assorted_code, rec_amount,premium_rcv_detail_code,remaining_amt, payrec, mode_code,paid_to_code,class_cd) values('11Sep240220','040000177378','24500',(select max(to_number(i.premium_rcv_detail_code))+1 from ins_premium_det i),'24500','24500','03', '09000845','00');</v>
      </c>
    </row>
    <row r="7" spans="1:8" ht="105" x14ac:dyDescent="0.25">
      <c r="A7" t="s">
        <v>10</v>
      </c>
      <c r="B7" s="17" t="str">
        <f>VLOOKUP(A7,[2]Sheet1!$B:$D,3,0)</f>
        <v>040000177861</v>
      </c>
      <c r="C7" s="18">
        <f>VLOOKUP(A7,Sheet2!A:B,2,0)</f>
        <v>8412</v>
      </c>
      <c r="D7" s="16" t="s">
        <v>94</v>
      </c>
      <c r="E7" s="19" t="str">
        <f>VLOOKUP(A7,[2]Sheet1!$B:$D,2,0)</f>
        <v>09000509</v>
      </c>
      <c r="F7" s="20" t="str">
        <f t="shared" si="1"/>
        <v>insert into ins_premium_det (premium_rcv_code,assorted_code, rec_amount,premium_rcv_detail_code,remaining_amt, payrec, mode_code,paid_to_code,class_cd) values</v>
      </c>
      <c r="G7" s="21" t="str">
        <f t="shared" si="2"/>
        <v>('11Sep240220','040000177861','8412',(select max(to_number(i.premium_rcv_detail_code))+1 from ins_premium_det i),'8412','8412','03', '09000509','00');</v>
      </c>
      <c r="H7" s="22" t="str">
        <f t="shared" si="0"/>
        <v>insert into ins_premium_det (premium_rcv_code,assorted_code, rec_amount,premium_rcv_detail_code,remaining_amt, payrec, mode_code,paid_to_code,class_cd) values('11Sep240220','040000177861','8412',(select max(to_number(i.premium_rcv_detail_code))+1 from ins_premium_det i),'8412','8412','03', '09000509','00');</v>
      </c>
    </row>
    <row r="8" spans="1:8" ht="105" x14ac:dyDescent="0.25">
      <c r="A8" t="s">
        <v>11</v>
      </c>
      <c r="B8" s="17" t="str">
        <f>VLOOKUP(A8,[2]Sheet1!$B:$D,3,0)</f>
        <v>040000177870</v>
      </c>
      <c r="C8" s="18">
        <f>VLOOKUP(A8,Sheet2!A:B,2,0)</f>
        <v>8265</v>
      </c>
      <c r="D8" s="16" t="s">
        <v>94</v>
      </c>
      <c r="E8" s="19" t="str">
        <f>VLOOKUP(A8,[2]Sheet1!$B:$D,2,0)</f>
        <v>09000486</v>
      </c>
      <c r="F8" s="20" t="str">
        <f t="shared" si="1"/>
        <v>insert into ins_premium_det (premium_rcv_code,assorted_code, rec_amount,premium_rcv_detail_code,remaining_amt, payrec, mode_code,paid_to_code,class_cd) values</v>
      </c>
      <c r="G8" s="21" t="str">
        <f t="shared" si="2"/>
        <v>('11Sep240220','040000177870','8265',(select max(to_number(i.premium_rcv_detail_code))+1 from ins_premium_det i),'8265','8265','03', '09000486','00');</v>
      </c>
      <c r="H8" s="22" t="str">
        <f t="shared" si="0"/>
        <v>insert into ins_premium_det (premium_rcv_code,assorted_code, rec_amount,premium_rcv_detail_code,remaining_amt, payrec, mode_code,paid_to_code,class_cd) values('11Sep240220','040000177870','8265',(select max(to_number(i.premium_rcv_detail_code))+1 from ins_premium_det i),'8265','8265','03', '09000486','00');</v>
      </c>
    </row>
    <row r="9" spans="1:8" ht="105" x14ac:dyDescent="0.25">
      <c r="A9" t="s">
        <v>12</v>
      </c>
      <c r="B9" s="17" t="str">
        <f>VLOOKUP(A9,[2]Sheet1!$B:$D,3,0)</f>
        <v>040000177871</v>
      </c>
      <c r="C9" s="18">
        <f>VLOOKUP(A9,Sheet2!A:B,2,0)</f>
        <v>13535</v>
      </c>
      <c r="D9" s="16" t="s">
        <v>94</v>
      </c>
      <c r="E9" s="19" t="str">
        <f>VLOOKUP(A9,[2]Sheet1!$B:$D,2,0)</f>
        <v>09000486</v>
      </c>
      <c r="F9" s="20" t="str">
        <f t="shared" si="1"/>
        <v>insert into ins_premium_det (premium_rcv_code,assorted_code, rec_amount,premium_rcv_detail_code,remaining_amt, payrec, mode_code,paid_to_code,class_cd) values</v>
      </c>
      <c r="G9" s="21" t="str">
        <f t="shared" si="2"/>
        <v>('11Sep240220','040000177871','13535',(select max(to_number(i.premium_rcv_detail_code))+1 from ins_premium_det i),'13535','13535','03', '09000486','00');</v>
      </c>
      <c r="H9" s="22" t="str">
        <f t="shared" si="0"/>
        <v>insert into ins_premium_det (premium_rcv_code,assorted_code, rec_amount,premium_rcv_detail_code,remaining_amt, payrec, mode_code,paid_to_code,class_cd) values('11Sep240220','040000177871','13535',(select max(to_number(i.premium_rcv_detail_code))+1 from ins_premium_det i),'13535','13535','03', '09000486','00');</v>
      </c>
    </row>
    <row r="10" spans="1:8" ht="105" x14ac:dyDescent="0.25">
      <c r="A10" t="s">
        <v>13</v>
      </c>
      <c r="B10" s="17" t="str">
        <f>VLOOKUP(A10,[2]Sheet1!$B:$D,3,0)</f>
        <v>040000177954</v>
      </c>
      <c r="C10" s="18">
        <f>VLOOKUP(A10,Sheet2!A:B,2,0)</f>
        <v>795</v>
      </c>
      <c r="D10" s="16" t="s">
        <v>94</v>
      </c>
      <c r="E10" s="19" t="str">
        <f>VLOOKUP(A10,[2]Sheet1!$B:$D,2,0)</f>
        <v>09000818</v>
      </c>
      <c r="F10" s="20" t="str">
        <f t="shared" si="1"/>
        <v>insert into ins_premium_det (premium_rcv_code,assorted_code, rec_amount,premium_rcv_detail_code,remaining_amt, payrec, mode_code,paid_to_code,class_cd) values</v>
      </c>
      <c r="G10" s="21" t="str">
        <f t="shared" si="2"/>
        <v>('11Sep240220','040000177954','795',(select max(to_number(i.premium_rcv_detail_code))+1 from ins_premium_det i),'795','795','03', '09000818','00');</v>
      </c>
      <c r="H10" s="22" t="str">
        <f t="shared" si="0"/>
        <v>insert into ins_premium_det (premium_rcv_code,assorted_code, rec_amount,premium_rcv_detail_code,remaining_amt, payrec, mode_code,paid_to_code,class_cd) values('11Sep240220','040000177954','795',(select max(to_number(i.premium_rcv_detail_code))+1 from ins_premium_det i),'795','795','03', '09000818','00');</v>
      </c>
    </row>
    <row r="11" spans="1:8" ht="105" x14ac:dyDescent="0.25">
      <c r="A11" t="s">
        <v>14</v>
      </c>
      <c r="B11" s="17" t="str">
        <f>VLOOKUP(A11,[2]Sheet1!$B:$D,3,0)</f>
        <v>040000177978</v>
      </c>
      <c r="C11" s="18">
        <f>VLOOKUP(A11,Sheet2!A:B,2,0)</f>
        <v>14179</v>
      </c>
      <c r="D11" s="16" t="s">
        <v>94</v>
      </c>
      <c r="E11" s="19" t="str">
        <f>VLOOKUP(A11,[2]Sheet1!$B:$D,2,0)</f>
        <v>09000818</v>
      </c>
      <c r="F11" s="20" t="str">
        <f t="shared" si="1"/>
        <v>insert into ins_premium_det (premium_rcv_code,assorted_code, rec_amount,premium_rcv_detail_code,remaining_amt, payrec, mode_code,paid_to_code,class_cd) values</v>
      </c>
      <c r="G11" s="21" t="str">
        <f t="shared" si="2"/>
        <v>('11Sep240220','040000177978','14179',(select max(to_number(i.premium_rcv_detail_code))+1 from ins_premium_det i),'14179','14179','03', '09000818','00');</v>
      </c>
      <c r="H11" s="22" t="str">
        <f t="shared" si="0"/>
        <v>insert into ins_premium_det (premium_rcv_code,assorted_code, rec_amount,premium_rcv_detail_code,remaining_amt, payrec, mode_code,paid_to_code,class_cd) values('11Sep240220','040000177978','14179',(select max(to_number(i.premium_rcv_detail_code))+1 from ins_premium_det i),'14179','14179','03', '09000818','00');</v>
      </c>
    </row>
    <row r="12" spans="1:8" ht="105" x14ac:dyDescent="0.25">
      <c r="A12" t="s">
        <v>15</v>
      </c>
      <c r="B12" s="17" t="str">
        <f>VLOOKUP(A12,[2]Sheet1!$B:$D,3,0)</f>
        <v>040000177979</v>
      </c>
      <c r="C12" s="18">
        <f>VLOOKUP(A12,Sheet2!A:B,2,0)</f>
        <v>10125</v>
      </c>
      <c r="D12" s="16" t="s">
        <v>94</v>
      </c>
      <c r="E12" s="19" t="str">
        <f>VLOOKUP(A12,[2]Sheet1!$B:$D,2,0)</f>
        <v>09000818</v>
      </c>
      <c r="F12" s="20" t="str">
        <f t="shared" si="1"/>
        <v>insert into ins_premium_det (premium_rcv_code,assorted_code, rec_amount,premium_rcv_detail_code,remaining_amt, payrec, mode_code,paid_to_code,class_cd) values</v>
      </c>
      <c r="G12" s="21" t="str">
        <f t="shared" si="2"/>
        <v>('11Sep240220','040000177979','10125',(select max(to_number(i.premium_rcv_detail_code))+1 from ins_premium_det i),'10125','10125','03', '09000818','00');</v>
      </c>
      <c r="H12" s="22" t="str">
        <f t="shared" si="0"/>
        <v>insert into ins_premium_det (premium_rcv_code,assorted_code, rec_amount,premium_rcv_detail_code,remaining_amt, payrec, mode_code,paid_to_code,class_cd) values('11Sep240220','040000177979','10125',(select max(to_number(i.premium_rcv_detail_code))+1 from ins_premium_det i),'10125','10125','03', '09000818','00');</v>
      </c>
    </row>
    <row r="13" spans="1:8" ht="105" x14ac:dyDescent="0.25">
      <c r="A13" t="s">
        <v>16</v>
      </c>
      <c r="B13" s="17" t="str">
        <f>VLOOKUP(A13,[2]Sheet1!$B:$D,3,0)</f>
        <v>040000178156</v>
      </c>
      <c r="C13" s="18">
        <f>VLOOKUP(A13,Sheet2!A:B,2,0)</f>
        <v>5485</v>
      </c>
      <c r="D13" s="16" t="s">
        <v>94</v>
      </c>
      <c r="E13" s="19" t="str">
        <f>VLOOKUP(A13,[2]Sheet1!$B:$D,2,0)</f>
        <v>09000729</v>
      </c>
      <c r="F13" s="20" t="str">
        <f t="shared" si="1"/>
        <v>insert into ins_premium_det (premium_rcv_code,assorted_code, rec_amount,premium_rcv_detail_code,remaining_amt, payrec, mode_code,paid_to_code,class_cd) values</v>
      </c>
      <c r="G13" s="21" t="str">
        <f t="shared" si="2"/>
        <v>('11Sep240220','040000178156','5485',(select max(to_number(i.premium_rcv_detail_code))+1 from ins_premium_det i),'5485','5485','03', '09000729','00');</v>
      </c>
      <c r="H13" s="22" t="str">
        <f t="shared" si="0"/>
        <v>insert into ins_premium_det (premium_rcv_code,assorted_code, rec_amount,premium_rcv_detail_code,remaining_amt, payrec, mode_code,paid_to_code,class_cd) values('11Sep240220','040000178156','5485',(select max(to_number(i.premium_rcv_detail_code))+1 from ins_premium_det i),'5485','5485','03', '09000729','00');</v>
      </c>
    </row>
    <row r="14" spans="1:8" ht="105" x14ac:dyDescent="0.25">
      <c r="A14" t="s">
        <v>17</v>
      </c>
      <c r="B14" s="17" t="str">
        <f>VLOOKUP(A14,[2]Sheet1!$B:$D,3,0)</f>
        <v>040000178158</v>
      </c>
      <c r="C14" s="18">
        <f>VLOOKUP(A14,Sheet2!A:B,2,0)</f>
        <v>3910</v>
      </c>
      <c r="D14" s="16" t="s">
        <v>94</v>
      </c>
      <c r="E14" s="19" t="str">
        <f>VLOOKUP(A14,[2]Sheet1!$B:$D,2,0)</f>
        <v>09000729</v>
      </c>
      <c r="F14" s="20" t="str">
        <f t="shared" si="1"/>
        <v>insert into ins_premium_det (premium_rcv_code,assorted_code, rec_amount,premium_rcv_detail_code,remaining_amt, payrec, mode_code,paid_to_code,class_cd) values</v>
      </c>
      <c r="G14" s="21" t="str">
        <f t="shared" si="2"/>
        <v>('11Sep240220','040000178158','3910',(select max(to_number(i.premium_rcv_detail_code))+1 from ins_premium_det i),'3910','3910','03', '09000729','00');</v>
      </c>
      <c r="H14" s="22" t="str">
        <f t="shared" si="0"/>
        <v>insert into ins_premium_det (premium_rcv_code,assorted_code, rec_amount,premium_rcv_detail_code,remaining_amt, payrec, mode_code,paid_to_code,class_cd) values('11Sep240220','040000178158','3910',(select max(to_number(i.premium_rcv_detail_code))+1 from ins_premium_det i),'3910','3910','03', '09000729','00');</v>
      </c>
    </row>
    <row r="15" spans="1:8" ht="105" x14ac:dyDescent="0.25">
      <c r="A15" t="s">
        <v>18</v>
      </c>
      <c r="B15" s="17" t="str">
        <f>VLOOKUP(A15,[2]Sheet1!$B:$D,3,0)</f>
        <v>040000178792</v>
      </c>
      <c r="C15" s="18">
        <f>VLOOKUP(A15,Sheet2!A:B,2,0)</f>
        <v>28430</v>
      </c>
      <c r="D15" s="16" t="s">
        <v>94</v>
      </c>
      <c r="E15" s="19" t="str">
        <f>VLOOKUP(A15,[2]Sheet1!$B:$D,2,0)</f>
        <v>09000845</v>
      </c>
      <c r="F15" s="20" t="str">
        <f t="shared" si="1"/>
        <v>insert into ins_premium_det (premium_rcv_code,assorted_code, rec_amount,premium_rcv_detail_code,remaining_amt, payrec, mode_code,paid_to_code,class_cd) values</v>
      </c>
      <c r="G15" s="21" t="str">
        <f t="shared" si="2"/>
        <v>('11Sep240220','040000178792','28430',(select max(to_number(i.premium_rcv_detail_code))+1 from ins_premium_det i),'28430','28430','03', '09000845','00');</v>
      </c>
      <c r="H15" s="22" t="str">
        <f t="shared" si="0"/>
        <v>insert into ins_premium_det (premium_rcv_code,assorted_code, rec_amount,premium_rcv_detail_code,remaining_amt, payrec, mode_code,paid_to_code,class_cd) values('11Sep240220','040000178792','28430',(select max(to_number(i.premium_rcv_detail_code))+1 from ins_premium_det i),'28430','28430','03', '09000845','00');</v>
      </c>
    </row>
    <row r="16" spans="1:8" ht="105" x14ac:dyDescent="0.25">
      <c r="A16" t="s">
        <v>19</v>
      </c>
      <c r="B16" s="17" t="str">
        <f>VLOOKUP(A16,[2]Sheet1!$B:$D,3,0)</f>
        <v>040000178793</v>
      </c>
      <c r="C16" s="18">
        <f>VLOOKUP(A16,Sheet2!A:B,2,0)</f>
        <v>22785</v>
      </c>
      <c r="D16" s="16" t="s">
        <v>94</v>
      </c>
      <c r="E16" s="19" t="str">
        <f>VLOOKUP(A16,[2]Sheet1!$B:$D,2,0)</f>
        <v>09000845</v>
      </c>
      <c r="F16" s="20" t="str">
        <f t="shared" si="1"/>
        <v>insert into ins_premium_det (premium_rcv_code,assorted_code, rec_amount,premium_rcv_detail_code,remaining_amt, payrec, mode_code,paid_to_code,class_cd) values</v>
      </c>
      <c r="G16" s="21" t="str">
        <f t="shared" si="2"/>
        <v>('11Sep240220','040000178793','22785',(select max(to_number(i.premium_rcv_detail_code))+1 from ins_premium_det i),'22785','22785','03', '09000845','00');</v>
      </c>
      <c r="H16" s="22" t="str">
        <f t="shared" si="0"/>
        <v>insert into ins_premium_det (premium_rcv_code,assorted_code, rec_amount,premium_rcv_detail_code,remaining_amt, payrec, mode_code,paid_to_code,class_cd) values('11Sep240220','040000178793','22785',(select max(to_number(i.premium_rcv_detail_code))+1 from ins_premium_det i),'22785','22785','03', '09000845','00');</v>
      </c>
    </row>
    <row r="17" spans="1:8" ht="105" x14ac:dyDescent="0.25">
      <c r="A17" t="s">
        <v>20</v>
      </c>
      <c r="B17" s="17" t="str">
        <f>VLOOKUP(A17,[2]Sheet1!$B:$D,3,0)</f>
        <v>040000178873</v>
      </c>
      <c r="C17" s="18">
        <f>VLOOKUP(A17,Sheet2!A:B,2,0)</f>
        <v>10600</v>
      </c>
      <c r="D17" s="16" t="s">
        <v>94</v>
      </c>
      <c r="E17" s="19" t="str">
        <f>VLOOKUP(A17,[2]Sheet1!$B:$D,2,0)</f>
        <v>09000898</v>
      </c>
      <c r="F17" s="20" t="str">
        <f t="shared" si="1"/>
        <v>insert into ins_premium_det (premium_rcv_code,assorted_code, rec_amount,premium_rcv_detail_code,remaining_amt, payrec, mode_code,paid_to_code,class_cd) values</v>
      </c>
      <c r="G17" s="21" t="str">
        <f t="shared" si="2"/>
        <v>('11Sep240220','040000178873','10600',(select max(to_number(i.premium_rcv_detail_code))+1 from ins_premium_det i),'10600','10600','03', '09000898','00');</v>
      </c>
      <c r="H17" s="22" t="str">
        <f t="shared" si="0"/>
        <v>insert into ins_premium_det (premium_rcv_code,assorted_code, rec_amount,premium_rcv_detail_code,remaining_amt, payrec, mode_code,paid_to_code,class_cd) values('11Sep240220','040000178873','10600',(select max(to_number(i.premium_rcv_detail_code))+1 from ins_premium_det i),'10600','10600','03', '09000898','00');</v>
      </c>
    </row>
    <row r="18" spans="1:8" ht="105" x14ac:dyDescent="0.25">
      <c r="A18" t="s">
        <v>21</v>
      </c>
      <c r="B18" s="17" t="str">
        <f>VLOOKUP(A18,[2]Sheet1!$B:$D,3,0)</f>
        <v>040000179161</v>
      </c>
      <c r="C18" s="18">
        <f>VLOOKUP(A18,Sheet2!A:B,2,0)</f>
        <v>1</v>
      </c>
      <c r="D18" s="16" t="s">
        <v>94</v>
      </c>
      <c r="E18" s="19" t="str">
        <f>VLOOKUP(A18,[2]Sheet1!$B:$D,2,0)</f>
        <v>09000528</v>
      </c>
      <c r="F18" s="20" t="str">
        <f t="shared" si="1"/>
        <v>insert into ins_premium_det (premium_rcv_code,assorted_code, rec_amount,premium_rcv_detail_code,remaining_amt, payrec, mode_code,paid_to_code,class_cd) values</v>
      </c>
      <c r="G18" s="21" t="str">
        <f t="shared" si="2"/>
        <v>('11Sep240220','040000179161','1',(select max(to_number(i.premium_rcv_detail_code))+1 from ins_premium_det i),'1','1','03', '09000528','00');</v>
      </c>
      <c r="H18" s="22" t="str">
        <f t="shared" si="0"/>
        <v>insert into ins_premium_det (premium_rcv_code,assorted_code, rec_amount,premium_rcv_detail_code,remaining_amt, payrec, mode_code,paid_to_code,class_cd) values('11Sep240220','040000179161','1',(select max(to_number(i.premium_rcv_detail_code))+1 from ins_premium_det i),'1','1','03', '09000528','00');</v>
      </c>
    </row>
    <row r="19" spans="1:8" ht="105" x14ac:dyDescent="0.25">
      <c r="A19" t="s">
        <v>22</v>
      </c>
      <c r="B19" s="17" t="str">
        <f>VLOOKUP(A19,[2]Sheet1!$B:$D,3,0)</f>
        <v>040000179377</v>
      </c>
      <c r="C19" s="18">
        <f>VLOOKUP(A19,Sheet2!A:B,2,0)</f>
        <v>5203</v>
      </c>
      <c r="D19" s="16" t="s">
        <v>94</v>
      </c>
      <c r="E19" s="19" t="str">
        <f>VLOOKUP(A19,[2]Sheet1!$B:$D,2,0)</f>
        <v>09000474</v>
      </c>
      <c r="F19" s="20" t="str">
        <f t="shared" si="1"/>
        <v>insert into ins_premium_det (premium_rcv_code,assorted_code, rec_amount,premium_rcv_detail_code,remaining_amt, payrec, mode_code,paid_to_code,class_cd) values</v>
      </c>
      <c r="G19" s="21" t="str">
        <f t="shared" si="2"/>
        <v>('11Sep240220','040000179377','5203',(select max(to_number(i.premium_rcv_detail_code))+1 from ins_premium_det i),'5203','5203','03', '09000474','00');</v>
      </c>
      <c r="H19" s="22" t="str">
        <f t="shared" si="0"/>
        <v>insert into ins_premium_det (premium_rcv_code,assorted_code, rec_amount,premium_rcv_detail_code,remaining_amt, payrec, mode_code,paid_to_code,class_cd) values('11Sep240220','040000179377','5203',(select max(to_number(i.premium_rcv_detail_code))+1 from ins_premium_det i),'5203','5203','03', '09000474','00');</v>
      </c>
    </row>
    <row r="20" spans="1:8" ht="105" x14ac:dyDescent="0.25">
      <c r="A20" t="s">
        <v>23</v>
      </c>
      <c r="B20" s="17" t="str">
        <f>VLOOKUP(A20,[2]Sheet1!$B:$D,3,0)</f>
        <v>040000179518</v>
      </c>
      <c r="C20" s="18">
        <f>VLOOKUP(A20,Sheet2!A:B,2,0)</f>
        <v>3</v>
      </c>
      <c r="D20" s="16" t="s">
        <v>94</v>
      </c>
      <c r="E20" s="19" t="str">
        <f>VLOOKUP(A20,[2]Sheet1!$B:$D,2,0)</f>
        <v>09000436</v>
      </c>
      <c r="F20" s="20" t="str">
        <f t="shared" si="1"/>
        <v>insert into ins_premium_det (premium_rcv_code,assorted_code, rec_amount,premium_rcv_detail_code,remaining_amt, payrec, mode_code,paid_to_code,class_cd) values</v>
      </c>
      <c r="G20" s="21" t="str">
        <f t="shared" si="2"/>
        <v>('11Sep240220','040000179518','3',(select max(to_number(i.premium_rcv_detail_code))+1 from ins_premium_det i),'3','3','03', '09000436','00');</v>
      </c>
      <c r="H20" s="22" t="str">
        <f t="shared" si="0"/>
        <v>insert into ins_premium_det (premium_rcv_code,assorted_code, rec_amount,premium_rcv_detail_code,remaining_amt, payrec, mode_code,paid_to_code,class_cd) values('11Sep240220','040000179518','3',(select max(to_number(i.premium_rcv_detail_code))+1 from ins_premium_det i),'3','3','03', '09000436','00');</v>
      </c>
    </row>
    <row r="21" spans="1:8" ht="105" x14ac:dyDescent="0.25">
      <c r="A21" t="s">
        <v>24</v>
      </c>
      <c r="B21" s="17" t="str">
        <f>VLOOKUP(A21,[2]Sheet1!$B:$D,3,0)</f>
        <v>040000179541</v>
      </c>
      <c r="C21" s="18">
        <f>VLOOKUP(A21,Sheet2!A:B,2,0)</f>
        <v>4860</v>
      </c>
      <c r="D21" s="16" t="s">
        <v>94</v>
      </c>
      <c r="E21" s="19" t="str">
        <f>VLOOKUP(A21,[2]Sheet1!$B:$D,2,0)</f>
        <v>09000779</v>
      </c>
      <c r="F21" s="20" t="str">
        <f t="shared" si="1"/>
        <v>insert into ins_premium_det (premium_rcv_code,assorted_code, rec_amount,premium_rcv_detail_code,remaining_amt, payrec, mode_code,paid_to_code,class_cd) values</v>
      </c>
      <c r="G21" s="21" t="str">
        <f t="shared" si="2"/>
        <v>('11Sep240220','040000179541','4860',(select max(to_number(i.premium_rcv_detail_code))+1 from ins_premium_det i),'4860','4860','03', '09000779','00');</v>
      </c>
      <c r="H21" s="22" t="str">
        <f t="shared" si="0"/>
        <v>insert into ins_premium_det (premium_rcv_code,assorted_code, rec_amount,premium_rcv_detail_code,remaining_amt, payrec, mode_code,paid_to_code,class_cd) values('11Sep240220','040000179541','4860',(select max(to_number(i.premium_rcv_detail_code))+1 from ins_premium_det i),'4860','4860','03', '09000779','00');</v>
      </c>
    </row>
    <row r="22" spans="1:8" ht="105" x14ac:dyDescent="0.25">
      <c r="A22" t="s">
        <v>25</v>
      </c>
      <c r="B22" s="17" t="str">
        <f>VLOOKUP(A22,[2]Sheet1!$B:$D,3,0)</f>
        <v>040000179686</v>
      </c>
      <c r="C22" s="18">
        <f>VLOOKUP(A22,Sheet2!A:B,2,0)</f>
        <v>21802</v>
      </c>
      <c r="D22" s="16" t="s">
        <v>94</v>
      </c>
      <c r="E22" s="19" t="str">
        <f>VLOOKUP(A22,[2]Sheet1!$B:$D,2,0)</f>
        <v>09000845</v>
      </c>
      <c r="F22" s="20" t="str">
        <f t="shared" si="1"/>
        <v>insert into ins_premium_det (premium_rcv_code,assorted_code, rec_amount,premium_rcv_detail_code,remaining_amt, payrec, mode_code,paid_to_code,class_cd) values</v>
      </c>
      <c r="G22" s="21" t="str">
        <f t="shared" si="2"/>
        <v>('11Sep240220','040000179686','21802',(select max(to_number(i.premium_rcv_detail_code))+1 from ins_premium_det i),'21802','21802','03', '09000845','00');</v>
      </c>
      <c r="H22" s="22" t="str">
        <f t="shared" si="0"/>
        <v>insert into ins_premium_det (premium_rcv_code,assorted_code, rec_amount,premium_rcv_detail_code,remaining_amt, payrec, mode_code,paid_to_code,class_cd) values('11Sep240220','040000179686','21802',(select max(to_number(i.premium_rcv_detail_code))+1 from ins_premium_det i),'21802','21802','03', '09000845','00');</v>
      </c>
    </row>
    <row r="23" spans="1:8" ht="105" x14ac:dyDescent="0.25">
      <c r="A23" t="s">
        <v>26</v>
      </c>
      <c r="B23" s="17" t="str">
        <f>VLOOKUP(A23,[2]Sheet1!$B:$D,3,0)</f>
        <v>040000179689</v>
      </c>
      <c r="C23" s="18">
        <f>VLOOKUP(A23,Sheet2!A:B,2,0)</f>
        <v>26321</v>
      </c>
      <c r="D23" s="16" t="s">
        <v>94</v>
      </c>
      <c r="E23" s="19" t="str">
        <f>VLOOKUP(A23,[2]Sheet1!$B:$D,2,0)</f>
        <v>09000845</v>
      </c>
      <c r="F23" s="20" t="str">
        <f t="shared" si="1"/>
        <v>insert into ins_premium_det (premium_rcv_code,assorted_code, rec_amount,premium_rcv_detail_code,remaining_amt, payrec, mode_code,paid_to_code,class_cd) values</v>
      </c>
      <c r="G23" s="21" t="str">
        <f t="shared" si="2"/>
        <v>('11Sep240220','040000179689','26321',(select max(to_number(i.premium_rcv_detail_code))+1 from ins_premium_det i),'26321','26321','03', '09000845','00');</v>
      </c>
      <c r="H23" s="22" t="str">
        <f t="shared" si="0"/>
        <v>insert into ins_premium_det (premium_rcv_code,assorted_code, rec_amount,premium_rcv_detail_code,remaining_amt, payrec, mode_code,paid_to_code,class_cd) values('11Sep240220','040000179689','26321',(select max(to_number(i.premium_rcv_detail_code))+1 from ins_premium_det i),'26321','26321','03', '09000845','00');</v>
      </c>
    </row>
    <row r="24" spans="1:8" ht="105" x14ac:dyDescent="0.25">
      <c r="A24" t="s">
        <v>27</v>
      </c>
      <c r="B24" s="17" t="str">
        <f>VLOOKUP(A24,[2]Sheet1!$B:$D,3,0)</f>
        <v>040000179937</v>
      </c>
      <c r="C24" s="18">
        <f>VLOOKUP(A24,Sheet2!A:B,2,0)</f>
        <v>5478</v>
      </c>
      <c r="D24" s="16" t="s">
        <v>94</v>
      </c>
      <c r="E24" s="19" t="str">
        <f>VLOOKUP(A24,[2]Sheet1!$B:$D,2,0)</f>
        <v>09000522</v>
      </c>
      <c r="F24" s="20" t="str">
        <f t="shared" si="1"/>
        <v>insert into ins_premium_det (premium_rcv_code,assorted_code, rec_amount,premium_rcv_detail_code,remaining_amt, payrec, mode_code,paid_to_code,class_cd) values</v>
      </c>
      <c r="G24" s="21" t="str">
        <f t="shared" si="2"/>
        <v>('11Sep240220','040000179937','5478',(select max(to_number(i.premium_rcv_detail_code))+1 from ins_premium_det i),'5478','5478','03', '09000522','00');</v>
      </c>
      <c r="H24" s="22" t="str">
        <f t="shared" si="0"/>
        <v>insert into ins_premium_det (premium_rcv_code,assorted_code, rec_amount,premium_rcv_detail_code,remaining_amt, payrec, mode_code,paid_to_code,class_cd) values('11Sep240220','040000179937','5478',(select max(to_number(i.premium_rcv_detail_code))+1 from ins_premium_det i),'5478','5478','03', '09000522','00');</v>
      </c>
    </row>
    <row r="25" spans="1:8" ht="105" x14ac:dyDescent="0.25">
      <c r="A25" t="s">
        <v>28</v>
      </c>
      <c r="B25" s="17" t="str">
        <f>VLOOKUP(A25,[2]Sheet1!$B:$D,3,0)</f>
        <v>040000179938</v>
      </c>
      <c r="C25" s="18">
        <f>VLOOKUP(A25,Sheet2!A:B,2,0)</f>
        <v>8903</v>
      </c>
      <c r="D25" s="16" t="s">
        <v>94</v>
      </c>
      <c r="E25" s="19" t="str">
        <f>VLOOKUP(A25,[2]Sheet1!$B:$D,2,0)</f>
        <v>09000522</v>
      </c>
      <c r="F25" s="20" t="str">
        <f t="shared" si="1"/>
        <v>insert into ins_premium_det (premium_rcv_code,assorted_code, rec_amount,premium_rcv_detail_code,remaining_amt, payrec, mode_code,paid_to_code,class_cd) values</v>
      </c>
      <c r="G25" s="21" t="str">
        <f t="shared" si="2"/>
        <v>('11Sep240220','040000179938','8903',(select max(to_number(i.premium_rcv_detail_code))+1 from ins_premium_det i),'8903','8903','03', '09000522','00');</v>
      </c>
      <c r="H25" s="22" t="str">
        <f t="shared" si="0"/>
        <v>insert into ins_premium_det (premium_rcv_code,assorted_code, rec_amount,premium_rcv_detail_code,remaining_amt, payrec, mode_code,paid_to_code,class_cd) values('11Sep240220','040000179938','8903',(select max(to_number(i.premium_rcv_detail_code))+1 from ins_premium_det i),'8903','8903','03', '09000522','00');</v>
      </c>
    </row>
    <row r="26" spans="1:8" ht="105" x14ac:dyDescent="0.25">
      <c r="A26" t="s">
        <v>29</v>
      </c>
      <c r="B26" s="17" t="str">
        <f>VLOOKUP(A26,[2]Sheet1!$B:$D,3,0)</f>
        <v>040000179941</v>
      </c>
      <c r="C26" s="18">
        <f>VLOOKUP(A26,Sheet2!A:B,2,0)</f>
        <v>20283</v>
      </c>
      <c r="D26" s="16" t="s">
        <v>94</v>
      </c>
      <c r="E26" s="19" t="str">
        <f>VLOOKUP(A26,[2]Sheet1!$B:$D,2,0)</f>
        <v>09000845</v>
      </c>
      <c r="F26" s="20" t="str">
        <f t="shared" si="1"/>
        <v>insert into ins_premium_det (premium_rcv_code,assorted_code, rec_amount,premium_rcv_detail_code,remaining_amt, payrec, mode_code,paid_to_code,class_cd) values</v>
      </c>
      <c r="G26" s="21" t="str">
        <f t="shared" si="2"/>
        <v>('11Sep240220','040000179941','20283',(select max(to_number(i.premium_rcv_detail_code))+1 from ins_premium_det i),'20283','20283','03', '09000845','00');</v>
      </c>
      <c r="H26" s="22" t="str">
        <f t="shared" si="0"/>
        <v>insert into ins_premium_det (premium_rcv_code,assorted_code, rec_amount,premium_rcv_detail_code,remaining_amt, payrec, mode_code,paid_to_code,class_cd) values('11Sep240220','040000179941','20283',(select max(to_number(i.premium_rcv_detail_code))+1 from ins_premium_det i),'20283','20283','03', '09000845','00');</v>
      </c>
    </row>
    <row r="27" spans="1:8" ht="105" x14ac:dyDescent="0.25">
      <c r="A27" t="s">
        <v>30</v>
      </c>
      <c r="B27" s="17" t="str">
        <f>VLOOKUP(A27,[2]Sheet1!$B:$D,3,0)</f>
        <v>040000179942</v>
      </c>
      <c r="C27" s="18">
        <f>VLOOKUP(A27,Sheet2!A:B,2,0)</f>
        <v>28007</v>
      </c>
      <c r="D27" s="16" t="s">
        <v>94</v>
      </c>
      <c r="E27" s="19" t="str">
        <f>VLOOKUP(A27,[2]Sheet1!$B:$D,2,0)</f>
        <v>09000845</v>
      </c>
      <c r="F27" s="20" t="str">
        <f t="shared" si="1"/>
        <v>insert into ins_premium_det (premium_rcv_code,assorted_code, rec_amount,premium_rcv_detail_code,remaining_amt, payrec, mode_code,paid_to_code,class_cd) values</v>
      </c>
      <c r="G27" s="21" t="str">
        <f t="shared" si="2"/>
        <v>('11Sep240220','040000179942','28007',(select max(to_number(i.premium_rcv_detail_code))+1 from ins_premium_det i),'28007','28007','03', '09000845','00');</v>
      </c>
      <c r="H27" s="22" t="str">
        <f t="shared" si="0"/>
        <v>insert into ins_premium_det (premium_rcv_code,assorted_code, rec_amount,premium_rcv_detail_code,remaining_amt, payrec, mode_code,paid_to_code,class_cd) values('11Sep240220','040000179942','28007',(select max(to_number(i.premium_rcv_detail_code))+1 from ins_premium_det i),'28007','28007','03', '09000845','00');</v>
      </c>
    </row>
    <row r="28" spans="1:8" ht="105" x14ac:dyDescent="0.25">
      <c r="A28" t="s">
        <v>31</v>
      </c>
      <c r="B28" s="17" t="str">
        <f>VLOOKUP(A28,[2]Sheet1!$B:$D,3,0)</f>
        <v>040000180144</v>
      </c>
      <c r="C28" s="18">
        <f>VLOOKUP(A28,Sheet2!A:B,2,0)</f>
        <v>19135</v>
      </c>
      <c r="D28" s="16" t="s">
        <v>94</v>
      </c>
      <c r="E28" s="19" t="str">
        <f>VLOOKUP(A28,[2]Sheet1!$B:$D,2,0)</f>
        <v>09000845</v>
      </c>
      <c r="F28" s="20" t="str">
        <f t="shared" si="1"/>
        <v>insert into ins_premium_det (premium_rcv_code,assorted_code, rec_amount,premium_rcv_detail_code,remaining_amt, payrec, mode_code,paid_to_code,class_cd) values</v>
      </c>
      <c r="G28" s="21" t="str">
        <f t="shared" si="2"/>
        <v>('11Sep240220','040000180144','19135',(select max(to_number(i.premium_rcv_detail_code))+1 from ins_premium_det i),'19135','19135','03', '09000845','00');</v>
      </c>
      <c r="H28" s="22" t="str">
        <f t="shared" si="0"/>
        <v>insert into ins_premium_det (premium_rcv_code,assorted_code, rec_amount,premium_rcv_detail_code,remaining_amt, payrec, mode_code,paid_to_code,class_cd) values('11Sep240220','040000180144','19135',(select max(to_number(i.premium_rcv_detail_code))+1 from ins_premium_det i),'19135','19135','03', '09000845','00');</v>
      </c>
    </row>
    <row r="29" spans="1:8" ht="105" x14ac:dyDescent="0.25">
      <c r="A29" t="s">
        <v>32</v>
      </c>
      <c r="B29" s="17" t="str">
        <f>VLOOKUP(A29,[2]Sheet1!$B:$D,3,0)</f>
        <v>040000180145</v>
      </c>
      <c r="C29" s="18">
        <f>VLOOKUP(A29,Sheet2!A:B,2,0)</f>
        <v>46065</v>
      </c>
      <c r="D29" s="16" t="s">
        <v>94</v>
      </c>
      <c r="E29" s="19" t="str">
        <f>VLOOKUP(A29,[2]Sheet1!$B:$D,2,0)</f>
        <v>09000845</v>
      </c>
      <c r="F29" s="20" t="str">
        <f t="shared" si="1"/>
        <v>insert into ins_premium_det (premium_rcv_code,assorted_code, rec_amount,premium_rcv_detail_code,remaining_amt, payrec, mode_code,paid_to_code,class_cd) values</v>
      </c>
      <c r="G29" s="21" t="str">
        <f t="shared" si="2"/>
        <v>('11Sep240220','040000180145','46065',(select max(to_number(i.premium_rcv_detail_code))+1 from ins_premium_det i),'46065','46065','03', '09000845','00');</v>
      </c>
      <c r="H29" s="22" t="str">
        <f t="shared" si="0"/>
        <v>insert into ins_premium_det (premium_rcv_code,assorted_code, rec_amount,premium_rcv_detail_code,remaining_amt, payrec, mode_code,paid_to_code,class_cd) values('11Sep240220','040000180145','46065',(select max(to_number(i.premium_rcv_detail_code))+1 from ins_premium_det i),'46065','46065','03', '09000845','00');</v>
      </c>
    </row>
    <row r="30" spans="1:8" ht="105" x14ac:dyDescent="0.25">
      <c r="A30" t="s">
        <v>33</v>
      </c>
      <c r="B30" s="17" t="str">
        <f>VLOOKUP(A30,[2]Sheet1!$B:$D,3,0)</f>
        <v>040000180196</v>
      </c>
      <c r="C30" s="18">
        <f>VLOOKUP(A30,Sheet2!A:B,2,0)</f>
        <v>20461</v>
      </c>
      <c r="D30" s="16" t="s">
        <v>94</v>
      </c>
      <c r="E30" s="19" t="str">
        <f>VLOOKUP(A30,[2]Sheet1!$B:$D,2,0)</f>
        <v>09000896</v>
      </c>
      <c r="F30" s="20" t="str">
        <f t="shared" si="1"/>
        <v>insert into ins_premium_det (premium_rcv_code,assorted_code, rec_amount,premium_rcv_detail_code,remaining_amt, payrec, mode_code,paid_to_code,class_cd) values</v>
      </c>
      <c r="G30" s="21" t="str">
        <f t="shared" si="2"/>
        <v>('11Sep240220','040000180196','20461',(select max(to_number(i.premium_rcv_detail_code))+1 from ins_premium_det i),'20461','20461','03', '09000896','00');</v>
      </c>
      <c r="H30" s="22" t="str">
        <f t="shared" si="0"/>
        <v>insert into ins_premium_det (premium_rcv_code,assorted_code, rec_amount,premium_rcv_detail_code,remaining_amt, payrec, mode_code,paid_to_code,class_cd) values('11Sep240220','040000180196','20461',(select max(to_number(i.premium_rcv_detail_code))+1 from ins_premium_det i),'20461','20461','03', '09000896','00');</v>
      </c>
    </row>
    <row r="31" spans="1:8" ht="105" x14ac:dyDescent="0.25">
      <c r="A31" t="s">
        <v>34</v>
      </c>
      <c r="B31" s="17" t="str">
        <f>VLOOKUP(A31,[2]Sheet1!$B:$D,3,0)</f>
        <v>040000180198</v>
      </c>
      <c r="C31" s="18">
        <f>VLOOKUP(A31,Sheet2!A:B,2,0)</f>
        <v>7635</v>
      </c>
      <c r="D31" s="16" t="s">
        <v>94</v>
      </c>
      <c r="E31" s="19" t="str">
        <f>VLOOKUP(A31,[2]Sheet1!$B:$D,2,0)</f>
        <v>09000896</v>
      </c>
      <c r="F31" s="20" t="str">
        <f t="shared" si="1"/>
        <v>insert into ins_premium_det (premium_rcv_code,assorted_code, rec_amount,premium_rcv_detail_code,remaining_amt, payrec, mode_code,paid_to_code,class_cd) values</v>
      </c>
      <c r="G31" s="21" t="str">
        <f t="shared" si="2"/>
        <v>('11Sep240220','040000180198','7635',(select max(to_number(i.premium_rcv_detail_code))+1 from ins_premium_det i),'7635','7635','03', '09000896','00');</v>
      </c>
      <c r="H31" s="22" t="str">
        <f t="shared" si="0"/>
        <v>insert into ins_premium_det (premium_rcv_code,assorted_code, rec_amount,premium_rcv_detail_code,remaining_amt, payrec, mode_code,paid_to_code,class_cd) values('11Sep240220','040000180198','7635',(select max(to_number(i.premium_rcv_detail_code))+1 from ins_premium_det i),'7635','7635','03', '09000896','00');</v>
      </c>
    </row>
    <row r="32" spans="1:8" ht="105" x14ac:dyDescent="0.25">
      <c r="A32" t="s">
        <v>35</v>
      </c>
      <c r="B32" s="17" t="str">
        <f>VLOOKUP(A32,[2]Sheet1!$B:$D,3,0)</f>
        <v>040000180575</v>
      </c>
      <c r="C32" s="18">
        <f>VLOOKUP(A32,Sheet2!A:B,2,0)</f>
        <v>6800</v>
      </c>
      <c r="D32" s="16" t="s">
        <v>94</v>
      </c>
      <c r="E32" s="19" t="str">
        <f>VLOOKUP(A32,[2]Sheet1!$B:$D,2,0)</f>
        <v>09000748</v>
      </c>
      <c r="F32" s="20" t="str">
        <f t="shared" si="1"/>
        <v>insert into ins_premium_det (premium_rcv_code,assorted_code, rec_amount,premium_rcv_detail_code,remaining_amt, payrec, mode_code,paid_to_code,class_cd) values</v>
      </c>
      <c r="G32" s="21" t="str">
        <f t="shared" si="2"/>
        <v>('11Sep240220','040000180575','6800',(select max(to_number(i.premium_rcv_detail_code))+1 from ins_premium_det i),'6800','6800','03', '09000748','00');</v>
      </c>
      <c r="H32" s="22" t="str">
        <f t="shared" si="0"/>
        <v>insert into ins_premium_det (premium_rcv_code,assorted_code, rec_amount,premium_rcv_detail_code,remaining_amt, payrec, mode_code,paid_to_code,class_cd) values('11Sep240220','040000180575','6800',(select max(to_number(i.premium_rcv_detail_code))+1 from ins_premium_det i),'6800','6800','03', '09000748','00');</v>
      </c>
    </row>
    <row r="33" spans="1:8" ht="105" x14ac:dyDescent="0.25">
      <c r="A33" t="s">
        <v>36</v>
      </c>
      <c r="B33" s="17" t="str">
        <f>VLOOKUP(A33,[2]Sheet1!$B:$D,3,0)</f>
        <v>040000180887</v>
      </c>
      <c r="C33" s="18">
        <f>VLOOKUP(A33,Sheet2!A:B,2,0)</f>
        <v>20630</v>
      </c>
      <c r="D33" s="16" t="s">
        <v>94</v>
      </c>
      <c r="E33" s="19" t="str">
        <f>VLOOKUP(A33,[2]Sheet1!$B:$D,2,0)</f>
        <v>09000916</v>
      </c>
      <c r="F33" s="20" t="str">
        <f t="shared" si="1"/>
        <v>insert into ins_premium_det (premium_rcv_code,assorted_code, rec_amount,premium_rcv_detail_code,remaining_amt, payrec, mode_code,paid_to_code,class_cd) values</v>
      </c>
      <c r="G33" s="21" t="str">
        <f t="shared" si="2"/>
        <v>('11Sep240220','040000180887','20630',(select max(to_number(i.premium_rcv_detail_code))+1 from ins_premium_det i),'20630','20630','03', '09000916','00');</v>
      </c>
      <c r="H33" s="22" t="str">
        <f t="shared" si="0"/>
        <v>insert into ins_premium_det (premium_rcv_code,assorted_code, rec_amount,premium_rcv_detail_code,remaining_amt, payrec, mode_code,paid_to_code,class_cd) values('11Sep240220','040000180887','20630',(select max(to_number(i.premium_rcv_detail_code))+1 from ins_premium_det i),'20630','20630','03', '09000916','00');</v>
      </c>
    </row>
    <row r="34" spans="1:8" ht="105" x14ac:dyDescent="0.25">
      <c r="A34" t="s">
        <v>37</v>
      </c>
      <c r="B34" s="17" t="str">
        <f>VLOOKUP(A34,[2]Sheet1!$B:$D,3,0)</f>
        <v>040000180954</v>
      </c>
      <c r="C34" s="18">
        <f>VLOOKUP(A34,Sheet2!A:B,2,0)</f>
        <v>8558</v>
      </c>
      <c r="D34" s="16" t="s">
        <v>94</v>
      </c>
      <c r="E34" s="19" t="str">
        <f>VLOOKUP(A34,[2]Sheet1!$B:$D,2,0)</f>
        <v>09000443</v>
      </c>
      <c r="F34" s="20" t="str">
        <f t="shared" si="1"/>
        <v>insert into ins_premium_det (premium_rcv_code,assorted_code, rec_amount,premium_rcv_detail_code,remaining_amt, payrec, mode_code,paid_to_code,class_cd) values</v>
      </c>
      <c r="G34" s="21" t="str">
        <f t="shared" si="2"/>
        <v>('11Sep240220','040000180954','8558',(select max(to_number(i.premium_rcv_detail_code))+1 from ins_premium_det i),'8558','8558','03', '09000443','00');</v>
      </c>
      <c r="H34" s="22" t="str">
        <f t="shared" si="0"/>
        <v>insert into ins_premium_det (premium_rcv_code,assorted_code, rec_amount,premium_rcv_detail_code,remaining_amt, payrec, mode_code,paid_to_code,class_cd) values('11Sep240220','040000180954','8558',(select max(to_number(i.premium_rcv_detail_code))+1 from ins_premium_det i),'8558','8558','03', '09000443','00');</v>
      </c>
    </row>
    <row r="35" spans="1:8" ht="105" x14ac:dyDescent="0.25">
      <c r="A35" t="s">
        <v>38</v>
      </c>
      <c r="B35" s="17" t="str">
        <f>VLOOKUP(A35,[2]Sheet1!$B:$D,3,0)</f>
        <v>040000180956</v>
      </c>
      <c r="C35" s="18">
        <f>VLOOKUP(A35,Sheet2!A:B,2,0)</f>
        <v>14000</v>
      </c>
      <c r="D35" s="16" t="s">
        <v>94</v>
      </c>
      <c r="E35" s="19" t="str">
        <f>VLOOKUP(A35,[2]Sheet1!$B:$D,2,0)</f>
        <v>09000443</v>
      </c>
      <c r="F35" s="20" t="str">
        <f t="shared" si="1"/>
        <v>insert into ins_premium_det (premium_rcv_code,assorted_code, rec_amount,premium_rcv_detail_code,remaining_amt, payrec, mode_code,paid_to_code,class_cd) values</v>
      </c>
      <c r="G35" s="21" t="str">
        <f t="shared" si="2"/>
        <v>('11Sep240220','040000180956','14000',(select max(to_number(i.premium_rcv_detail_code))+1 from ins_premium_det i),'14000','14000','03', '09000443','00');</v>
      </c>
      <c r="H35" s="22" t="str">
        <f t="shared" si="0"/>
        <v>insert into ins_premium_det (premium_rcv_code,assorted_code, rec_amount,premium_rcv_detail_code,remaining_amt, payrec, mode_code,paid_to_code,class_cd) values('11Sep240220','040000180956','14000',(select max(to_number(i.premium_rcv_detail_code))+1 from ins_premium_det i),'14000','14000','03', '09000443','00');</v>
      </c>
    </row>
    <row r="36" spans="1:8" ht="105" x14ac:dyDescent="0.25">
      <c r="A36" t="s">
        <v>39</v>
      </c>
      <c r="B36" s="17" t="str">
        <f>VLOOKUP(A36,[2]Sheet1!$B:$D,3,0)</f>
        <v>040000180990</v>
      </c>
      <c r="C36" s="18">
        <f>VLOOKUP(A36,Sheet2!A:B,2,0)</f>
        <v>23866</v>
      </c>
      <c r="D36" s="16" t="s">
        <v>94</v>
      </c>
      <c r="E36" s="19" t="str">
        <f>VLOOKUP(A36,[2]Sheet1!$B:$D,2,0)</f>
        <v>09000860</v>
      </c>
      <c r="F36" s="20" t="str">
        <f t="shared" si="1"/>
        <v>insert into ins_premium_det (premium_rcv_code,assorted_code, rec_amount,premium_rcv_detail_code,remaining_amt, payrec, mode_code,paid_to_code,class_cd) values</v>
      </c>
      <c r="G36" s="21" t="str">
        <f t="shared" si="2"/>
        <v>('11Sep240220','040000180990','23866',(select max(to_number(i.premium_rcv_detail_code))+1 from ins_premium_det i),'23866','23866','03', '09000860','00');</v>
      </c>
      <c r="H36" s="22" t="str">
        <f t="shared" si="0"/>
        <v>insert into ins_premium_det (premium_rcv_code,assorted_code, rec_amount,premium_rcv_detail_code,remaining_amt, payrec, mode_code,paid_to_code,class_cd) values('11Sep240220','040000180990','23866',(select max(to_number(i.premium_rcv_detail_code))+1 from ins_premium_det i),'23866','23866','03', '09000860','00');</v>
      </c>
    </row>
    <row r="37" spans="1:8" ht="105" x14ac:dyDescent="0.25">
      <c r="A37" t="s">
        <v>40</v>
      </c>
      <c r="B37" s="17" t="str">
        <f>VLOOKUP(A37,[2]Sheet1!$B:$D,3,0)</f>
        <v>040000181084</v>
      </c>
      <c r="C37" s="18">
        <f>VLOOKUP(A37,Sheet2!A:B,2,0)</f>
        <v>20633</v>
      </c>
      <c r="D37" s="16" t="s">
        <v>94</v>
      </c>
      <c r="E37" s="19" t="str">
        <f>VLOOKUP(A37,[2]Sheet1!$B:$D,2,0)</f>
        <v>09000916</v>
      </c>
      <c r="F37" s="20" t="str">
        <f t="shared" si="1"/>
        <v>insert into ins_premium_det (premium_rcv_code,assorted_code, rec_amount,premium_rcv_detail_code,remaining_amt, payrec, mode_code,paid_to_code,class_cd) values</v>
      </c>
      <c r="G37" s="21" t="str">
        <f t="shared" si="2"/>
        <v>('11Sep240220','040000181084','20633',(select max(to_number(i.premium_rcv_detail_code))+1 from ins_premium_det i),'20633','20633','03', '09000916','00');</v>
      </c>
      <c r="H37" s="22" t="str">
        <f t="shared" si="0"/>
        <v>insert into ins_premium_det (premium_rcv_code,assorted_code, rec_amount,premium_rcv_detail_code,remaining_amt, payrec, mode_code,paid_to_code,class_cd) values('11Sep240220','040000181084','20633',(select max(to_number(i.premium_rcv_detail_code))+1 from ins_premium_det i),'20633','20633','03', '09000916','00');</v>
      </c>
    </row>
    <row r="38" spans="1:8" ht="105" x14ac:dyDescent="0.25">
      <c r="A38" t="s">
        <v>41</v>
      </c>
      <c r="B38" s="17" t="str">
        <f>VLOOKUP(A38,[2]Sheet1!$B:$D,3,0)</f>
        <v>040000181111</v>
      </c>
      <c r="C38" s="18">
        <f>VLOOKUP(A38,Sheet2!A:B,2,0)</f>
        <v>41433</v>
      </c>
      <c r="D38" s="16" t="s">
        <v>94</v>
      </c>
      <c r="E38" s="19" t="str">
        <f>VLOOKUP(A38,[2]Sheet1!$B:$D,2,0)</f>
        <v>09000918</v>
      </c>
      <c r="F38" s="20" t="str">
        <f t="shared" si="1"/>
        <v>insert into ins_premium_det (premium_rcv_code,assorted_code, rec_amount,premium_rcv_detail_code,remaining_amt, payrec, mode_code,paid_to_code,class_cd) values</v>
      </c>
      <c r="G38" s="21" t="str">
        <f t="shared" si="2"/>
        <v>('11Sep240220','040000181111','41433',(select max(to_number(i.premium_rcv_detail_code))+1 from ins_premium_det i),'41433','41433','03', '09000918','00');</v>
      </c>
      <c r="H38" s="22" t="str">
        <f t="shared" si="0"/>
        <v>insert into ins_premium_det (premium_rcv_code,assorted_code, rec_amount,premium_rcv_detail_code,remaining_amt, payrec, mode_code,paid_to_code,class_cd) values('11Sep240220','040000181111','41433',(select max(to_number(i.premium_rcv_detail_code))+1 from ins_premium_det i),'41433','41433','03', '09000918','00');</v>
      </c>
    </row>
    <row r="39" spans="1:8" ht="105" x14ac:dyDescent="0.25">
      <c r="A39" t="s">
        <v>42</v>
      </c>
      <c r="B39" s="17" t="str">
        <f>VLOOKUP(A39,[2]Sheet1!$B:$D,3,0)</f>
        <v>040000181166</v>
      </c>
      <c r="C39" s="18">
        <f>VLOOKUP(A39,Sheet2!A:B,2,0)</f>
        <v>3800</v>
      </c>
      <c r="D39" s="16" t="s">
        <v>94</v>
      </c>
      <c r="E39" s="19" t="str">
        <f>VLOOKUP(A39,[2]Sheet1!$B:$D,2,0)</f>
        <v>09000860</v>
      </c>
      <c r="F39" s="20" t="str">
        <f t="shared" si="1"/>
        <v>insert into ins_premium_det (premium_rcv_code,assorted_code, rec_amount,premium_rcv_detail_code,remaining_amt, payrec, mode_code,paid_to_code,class_cd) values</v>
      </c>
      <c r="G39" s="21" t="str">
        <f t="shared" si="2"/>
        <v>('11Sep240220','040000181166','3800',(select max(to_number(i.premium_rcv_detail_code))+1 from ins_premium_det i),'3800','3800','03', '09000860','00');</v>
      </c>
      <c r="H39" s="22" t="str">
        <f t="shared" si="0"/>
        <v>insert into ins_premium_det (premium_rcv_code,assorted_code, rec_amount,premium_rcv_detail_code,remaining_amt, payrec, mode_code,paid_to_code,class_cd) values('11Sep240220','040000181166','3800',(select max(to_number(i.premium_rcv_detail_code))+1 from ins_premium_det i),'3800','3800','03', '09000860','00');</v>
      </c>
    </row>
    <row r="40" spans="1:8" ht="105" x14ac:dyDescent="0.25">
      <c r="A40" t="s">
        <v>43</v>
      </c>
      <c r="B40" s="17" t="str">
        <f>VLOOKUP(A40,[2]Sheet1!$B:$D,3,0)</f>
        <v>040000181339</v>
      </c>
      <c r="C40" s="18">
        <f>VLOOKUP(A40,Sheet2!A:B,2,0)</f>
        <v>12181</v>
      </c>
      <c r="D40" s="16" t="s">
        <v>94</v>
      </c>
      <c r="E40" s="19" t="str">
        <f>VLOOKUP(A40,[2]Sheet1!$B:$D,2,0)</f>
        <v>09000845</v>
      </c>
      <c r="F40" s="20" t="str">
        <f t="shared" si="1"/>
        <v>insert into ins_premium_det (premium_rcv_code,assorted_code, rec_amount,premium_rcv_detail_code,remaining_amt, payrec, mode_code,paid_to_code,class_cd) values</v>
      </c>
      <c r="G40" s="21" t="str">
        <f t="shared" si="2"/>
        <v>('11Sep240220','040000181339','12181',(select max(to_number(i.premium_rcv_detail_code))+1 from ins_premium_det i),'12181','12181','03', '09000845','00');</v>
      </c>
      <c r="H40" s="22" t="str">
        <f t="shared" si="0"/>
        <v>insert into ins_premium_det (premium_rcv_code,assorted_code, rec_amount,premium_rcv_detail_code,remaining_amt, payrec, mode_code,paid_to_code,class_cd) values('11Sep240220','040000181339','12181',(select max(to_number(i.premium_rcv_detail_code))+1 from ins_premium_det i),'12181','12181','03', '09000845','00');</v>
      </c>
    </row>
    <row r="41" spans="1:8" ht="105" x14ac:dyDescent="0.25">
      <c r="A41" t="s">
        <v>44</v>
      </c>
      <c r="B41" s="17" t="str">
        <f>VLOOKUP(A41,[2]Sheet1!$B:$D,3,0)</f>
        <v>040000181340</v>
      </c>
      <c r="C41" s="18">
        <f>VLOOKUP(A41,Sheet2!A:B,2,0)</f>
        <v>7400</v>
      </c>
      <c r="D41" s="16" t="s">
        <v>94</v>
      </c>
      <c r="E41" s="19" t="str">
        <f>VLOOKUP(A41,[2]Sheet1!$B:$D,2,0)</f>
        <v>09000845</v>
      </c>
      <c r="F41" s="20" t="str">
        <f t="shared" si="1"/>
        <v>insert into ins_premium_det (premium_rcv_code,assorted_code, rec_amount,premium_rcv_detail_code,remaining_amt, payrec, mode_code,paid_to_code,class_cd) values</v>
      </c>
      <c r="G41" s="21" t="str">
        <f t="shared" si="2"/>
        <v>('11Sep240220','040000181340','7400',(select max(to_number(i.premium_rcv_detail_code))+1 from ins_premium_det i),'7400','7400','03', '09000845','00');</v>
      </c>
      <c r="H41" s="22" t="str">
        <f t="shared" si="0"/>
        <v>insert into ins_premium_det (premium_rcv_code,assorted_code, rec_amount,premium_rcv_detail_code,remaining_amt, payrec, mode_code,paid_to_code,class_cd) values('11Sep240220','040000181340','7400',(select max(to_number(i.premium_rcv_detail_code))+1 from ins_premium_det i),'7400','7400','03', '09000845','00');</v>
      </c>
    </row>
    <row r="42" spans="1:8" ht="105" x14ac:dyDescent="0.25">
      <c r="A42" t="s">
        <v>45</v>
      </c>
      <c r="B42" s="17" t="str">
        <f>VLOOKUP(A42,[2]Sheet1!$B:$D,3,0)</f>
        <v>040000181629</v>
      </c>
      <c r="C42" s="18">
        <f>VLOOKUP(A42,Sheet2!A:B,2,0)</f>
        <v>10691</v>
      </c>
      <c r="D42" s="16" t="s">
        <v>94</v>
      </c>
      <c r="E42" s="19" t="str">
        <f>VLOOKUP(A42,[2]Sheet1!$B:$D,2,0)</f>
        <v>09000917</v>
      </c>
      <c r="F42" s="20" t="str">
        <f t="shared" si="1"/>
        <v>insert into ins_premium_det (premium_rcv_code,assorted_code, rec_amount,premium_rcv_detail_code,remaining_amt, payrec, mode_code,paid_to_code,class_cd) values</v>
      </c>
      <c r="G42" s="21" t="str">
        <f t="shared" si="2"/>
        <v>('11Sep240220','040000181629','10691',(select max(to_number(i.premium_rcv_detail_code))+1 from ins_premium_det i),'10691','10691','03', '09000917','00');</v>
      </c>
      <c r="H42" s="22" t="str">
        <f t="shared" si="0"/>
        <v>insert into ins_premium_det (premium_rcv_code,assorted_code, rec_amount,premium_rcv_detail_code,remaining_amt, payrec, mode_code,paid_to_code,class_cd) values('11Sep240220','040000181629','10691',(select max(to_number(i.premium_rcv_detail_code))+1 from ins_premium_det i),'10691','10691','03', '09000917','00');</v>
      </c>
    </row>
    <row r="43" spans="1:8" ht="105" x14ac:dyDescent="0.25">
      <c r="A43" t="s">
        <v>46</v>
      </c>
      <c r="B43" s="17" t="str">
        <f>VLOOKUP(A43,[2]Sheet1!$B:$D,3,0)</f>
        <v>040000181709</v>
      </c>
      <c r="C43" s="18">
        <f>VLOOKUP(A43,Sheet2!A:B,2,0)</f>
        <v>8223</v>
      </c>
      <c r="D43" s="16" t="s">
        <v>94</v>
      </c>
      <c r="E43" s="19" t="str">
        <f>VLOOKUP(A43,[2]Sheet1!$B:$D,2,0)</f>
        <v>09000420</v>
      </c>
      <c r="F43" s="20" t="str">
        <f t="shared" si="1"/>
        <v>insert into ins_premium_det (premium_rcv_code,assorted_code, rec_amount,premium_rcv_detail_code,remaining_amt, payrec, mode_code,paid_to_code,class_cd) values</v>
      </c>
      <c r="G43" s="21" t="str">
        <f t="shared" si="2"/>
        <v>('11Sep240220','040000181709','8223',(select max(to_number(i.premium_rcv_detail_code))+1 from ins_premium_det i),'8223','8223','03', '09000420','00');</v>
      </c>
      <c r="H43" s="22" t="str">
        <f t="shared" si="0"/>
        <v>insert into ins_premium_det (premium_rcv_code,assorted_code, rec_amount,premium_rcv_detail_code,remaining_amt, payrec, mode_code,paid_to_code,class_cd) values('11Sep240220','040000181709','8223',(select max(to_number(i.premium_rcv_detail_code))+1 from ins_premium_det i),'8223','8223','03', '09000420','00');</v>
      </c>
    </row>
    <row r="44" spans="1:8" ht="105" x14ac:dyDescent="0.25">
      <c r="A44" t="s">
        <v>47</v>
      </c>
      <c r="B44" s="17" t="str">
        <f>VLOOKUP(A44,[2]Sheet1!$B:$D,3,0)</f>
        <v>040000181710</v>
      </c>
      <c r="C44" s="18">
        <f>VLOOKUP(A44,Sheet2!A:B,2,0)</f>
        <v>9624</v>
      </c>
      <c r="D44" s="16" t="s">
        <v>94</v>
      </c>
      <c r="E44" s="19" t="str">
        <f>VLOOKUP(A44,[2]Sheet1!$B:$D,2,0)</f>
        <v>09000420</v>
      </c>
      <c r="F44" s="20" t="str">
        <f t="shared" si="1"/>
        <v>insert into ins_premium_det (premium_rcv_code,assorted_code, rec_amount,premium_rcv_detail_code,remaining_amt, payrec, mode_code,paid_to_code,class_cd) values</v>
      </c>
      <c r="G44" s="21" t="str">
        <f t="shared" si="2"/>
        <v>('11Sep240220','040000181710','9624',(select max(to_number(i.premium_rcv_detail_code))+1 from ins_premium_det i),'9624','9624','03', '09000420','00');</v>
      </c>
      <c r="H44" s="22" t="str">
        <f t="shared" si="0"/>
        <v>insert into ins_premium_det (premium_rcv_code,assorted_code, rec_amount,premium_rcv_detail_code,remaining_amt, payrec, mode_code,paid_to_code,class_cd) values('11Sep240220','040000181710','9624',(select max(to_number(i.premium_rcv_detail_code))+1 from ins_premium_det i),'9624','9624','03', '09000420','00');</v>
      </c>
    </row>
    <row r="45" spans="1:8" ht="105" x14ac:dyDescent="0.25">
      <c r="A45" t="s">
        <v>48</v>
      </c>
      <c r="B45" s="17" t="str">
        <f>VLOOKUP(A45,[2]Sheet1!$B:$D,3,0)</f>
        <v>040000181711</v>
      </c>
      <c r="C45" s="18">
        <f>VLOOKUP(A45,Sheet2!A:B,2,0)</f>
        <v>9624</v>
      </c>
      <c r="D45" s="16" t="s">
        <v>94</v>
      </c>
      <c r="E45" s="19" t="str">
        <f>VLOOKUP(A45,[2]Sheet1!$B:$D,2,0)</f>
        <v>09000420</v>
      </c>
      <c r="F45" s="20" t="str">
        <f t="shared" si="1"/>
        <v>insert into ins_premium_det (premium_rcv_code,assorted_code, rec_amount,premium_rcv_detail_code,remaining_amt, payrec, mode_code,paid_to_code,class_cd) values</v>
      </c>
      <c r="G45" s="21" t="str">
        <f t="shared" si="2"/>
        <v>('11Sep240220','040000181711','9624',(select max(to_number(i.premium_rcv_detail_code))+1 from ins_premium_det i),'9624','9624','03', '09000420','00');</v>
      </c>
      <c r="H45" s="22" t="str">
        <f t="shared" si="0"/>
        <v>insert into ins_premium_det (premium_rcv_code,assorted_code, rec_amount,premium_rcv_detail_code,remaining_amt, payrec, mode_code,paid_to_code,class_cd) values('11Sep240220','040000181711','9624',(select max(to_number(i.premium_rcv_detail_code))+1 from ins_premium_det i),'9624','9624','03', '09000420','00');</v>
      </c>
    </row>
    <row r="46" spans="1:8" ht="105" x14ac:dyDescent="0.25">
      <c r="A46" t="s">
        <v>49</v>
      </c>
      <c r="B46" s="17" t="str">
        <f>VLOOKUP(A46,[2]Sheet1!$B:$D,3,0)</f>
        <v>040000181898</v>
      </c>
      <c r="C46" s="18">
        <f>VLOOKUP(A46,Sheet2!A:B,2,0)</f>
        <v>1</v>
      </c>
      <c r="D46" s="16" t="s">
        <v>94</v>
      </c>
      <c r="E46" s="19" t="str">
        <f>VLOOKUP(A46,[2]Sheet1!$B:$D,2,0)</f>
        <v>09000210</v>
      </c>
      <c r="F46" s="20" t="str">
        <f t="shared" si="1"/>
        <v>insert into ins_premium_det (premium_rcv_code,assorted_code, rec_amount,premium_rcv_detail_code,remaining_amt, payrec, mode_code,paid_to_code,class_cd) values</v>
      </c>
      <c r="G46" s="21" t="str">
        <f t="shared" si="2"/>
        <v>('11Sep240220','040000181898','1',(select max(to_number(i.premium_rcv_detail_code))+1 from ins_premium_det i),'1','1','03', '09000210','00');</v>
      </c>
      <c r="H46" s="22" t="str">
        <f t="shared" si="0"/>
        <v>insert into ins_premium_det (premium_rcv_code,assorted_code, rec_amount,premium_rcv_detail_code,remaining_amt, payrec, mode_code,paid_to_code,class_cd) values('11Sep240220','040000181898','1',(select max(to_number(i.premium_rcv_detail_code))+1 from ins_premium_det i),'1','1','03', '09000210','00');</v>
      </c>
    </row>
    <row r="47" spans="1:8" ht="105" x14ac:dyDescent="0.25">
      <c r="A47" t="s">
        <v>50</v>
      </c>
      <c r="B47" s="17" t="str">
        <f>VLOOKUP(A47,[2]Sheet1!$B:$D,3,0)</f>
        <v>040000181976</v>
      </c>
      <c r="C47" s="18">
        <f>VLOOKUP(A47,Sheet2!A:B,2,0)</f>
        <v>24490</v>
      </c>
      <c r="D47" s="16" t="s">
        <v>94</v>
      </c>
      <c r="E47" s="19" t="str">
        <f>VLOOKUP(A47,[2]Sheet1!$B:$D,2,0)</f>
        <v>09000543</v>
      </c>
      <c r="F47" s="20" t="str">
        <f t="shared" si="1"/>
        <v>insert into ins_premium_det (premium_rcv_code,assorted_code, rec_amount,premium_rcv_detail_code,remaining_amt, payrec, mode_code,paid_to_code,class_cd) values</v>
      </c>
      <c r="G47" s="21" t="str">
        <f t="shared" si="2"/>
        <v>('11Sep240220','040000181976','24490',(select max(to_number(i.premium_rcv_detail_code))+1 from ins_premium_det i),'24490','24490','03', '09000543','00');</v>
      </c>
      <c r="H47" s="22" t="str">
        <f t="shared" si="0"/>
        <v>insert into ins_premium_det (premium_rcv_code,assorted_code, rec_amount,premium_rcv_detail_code,remaining_amt, payrec, mode_code,paid_to_code,class_cd) values('11Sep240220','040000181976','24490',(select max(to_number(i.premium_rcv_detail_code))+1 from ins_premium_det i),'24490','24490','03', '09000543','00');</v>
      </c>
    </row>
    <row r="48" spans="1:8" ht="105" x14ac:dyDescent="0.25">
      <c r="A48" t="s">
        <v>51</v>
      </c>
      <c r="B48" s="17" t="str">
        <f>VLOOKUP(A48,[2]Sheet1!$B:$D,3,0)</f>
        <v>040000182144</v>
      </c>
      <c r="C48" s="18">
        <f>VLOOKUP(A48,Sheet2!A:B,2,0)</f>
        <v>2019</v>
      </c>
      <c r="D48" s="16" t="s">
        <v>94</v>
      </c>
      <c r="E48" s="19" t="str">
        <f>VLOOKUP(A48,[2]Sheet1!$B:$D,2,0)</f>
        <v>09000857</v>
      </c>
      <c r="F48" s="20" t="str">
        <f t="shared" si="1"/>
        <v>insert into ins_premium_det (premium_rcv_code,assorted_code, rec_amount,premium_rcv_detail_code,remaining_amt, payrec, mode_code,paid_to_code,class_cd) values</v>
      </c>
      <c r="G48" s="21" t="str">
        <f t="shared" si="2"/>
        <v>('11Sep240220','040000182144','2019',(select max(to_number(i.premium_rcv_detail_code))+1 from ins_premium_det i),'2019','2019','03', '09000857','00');</v>
      </c>
      <c r="H48" s="22" t="str">
        <f t="shared" si="0"/>
        <v>insert into ins_premium_det (premium_rcv_code,assorted_code, rec_amount,premium_rcv_detail_code,remaining_amt, payrec, mode_code,paid_to_code,class_cd) values('11Sep240220','040000182144','2019',(select max(to_number(i.premium_rcv_detail_code))+1 from ins_premium_det i),'2019','2019','03', '09000857','00');</v>
      </c>
    </row>
    <row r="49" spans="1:8" ht="105" x14ac:dyDescent="0.25">
      <c r="A49" t="s">
        <v>52</v>
      </c>
      <c r="B49" s="17" t="str">
        <f>VLOOKUP(A49,[2]Sheet1!$B:$D,3,0)</f>
        <v>040000182145</v>
      </c>
      <c r="C49" s="18">
        <f>VLOOKUP(A49,Sheet2!A:B,2,0)</f>
        <v>3522</v>
      </c>
      <c r="D49" s="16" t="s">
        <v>94</v>
      </c>
      <c r="E49" s="19" t="str">
        <f>VLOOKUP(A49,[2]Sheet1!$B:$D,2,0)</f>
        <v>09000857</v>
      </c>
      <c r="F49" s="20" t="str">
        <f t="shared" si="1"/>
        <v>insert into ins_premium_det (premium_rcv_code,assorted_code, rec_amount,premium_rcv_detail_code,remaining_amt, payrec, mode_code,paid_to_code,class_cd) values</v>
      </c>
      <c r="G49" s="21" t="str">
        <f t="shared" si="2"/>
        <v>('11Sep240220','040000182145','3522',(select max(to_number(i.premium_rcv_detail_code))+1 from ins_premium_det i),'3522','3522','03', '09000857','00');</v>
      </c>
      <c r="H49" s="22" t="str">
        <f t="shared" si="0"/>
        <v>insert into ins_premium_det (premium_rcv_code,assorted_code, rec_amount,premium_rcv_detail_code,remaining_amt, payrec, mode_code,paid_to_code,class_cd) values('11Sep240220','040000182145','3522',(select max(to_number(i.premium_rcv_detail_code))+1 from ins_premium_det i),'3522','3522','03', '09000857','00');</v>
      </c>
    </row>
    <row r="50" spans="1:8" ht="105" x14ac:dyDescent="0.25">
      <c r="A50" t="s">
        <v>53</v>
      </c>
      <c r="B50" s="17" t="str">
        <f>VLOOKUP(A50,[2]Sheet1!$B:$D,3,0)</f>
        <v>040000182147</v>
      </c>
      <c r="C50" s="18">
        <f>VLOOKUP(A50,Sheet2!A:B,2,0)</f>
        <v>4105</v>
      </c>
      <c r="D50" s="16" t="s">
        <v>94</v>
      </c>
      <c r="E50" s="19" t="str">
        <f>VLOOKUP(A50,[2]Sheet1!$B:$D,2,0)</f>
        <v>09000857</v>
      </c>
      <c r="F50" s="20" t="str">
        <f t="shared" si="1"/>
        <v>insert into ins_premium_det (premium_rcv_code,assorted_code, rec_amount,premium_rcv_detail_code,remaining_amt, payrec, mode_code,paid_to_code,class_cd) values</v>
      </c>
      <c r="G50" s="21" t="str">
        <f t="shared" si="2"/>
        <v>('11Sep240220','040000182147','4105',(select max(to_number(i.premium_rcv_detail_code))+1 from ins_premium_det i),'4105','4105','03', '09000857','00');</v>
      </c>
      <c r="H50" s="22" t="str">
        <f t="shared" si="0"/>
        <v>insert into ins_premium_det (premium_rcv_code,assorted_code, rec_amount,premium_rcv_detail_code,remaining_amt, payrec, mode_code,paid_to_code,class_cd) values('11Sep240220','040000182147','4105',(select max(to_number(i.premium_rcv_detail_code))+1 from ins_premium_det i),'4105','4105','03', '09000857','00');</v>
      </c>
    </row>
    <row r="51" spans="1:8" ht="105" x14ac:dyDescent="0.25">
      <c r="A51" t="s">
        <v>54</v>
      </c>
      <c r="B51" s="17" t="str">
        <f>VLOOKUP(A51,[2]Sheet1!$B:$D,3,0)</f>
        <v>040000182168</v>
      </c>
      <c r="C51" s="18">
        <f>VLOOKUP(A51,Sheet2!A:B,2,0)</f>
        <v>7453</v>
      </c>
      <c r="D51" s="16" t="s">
        <v>94</v>
      </c>
      <c r="E51" s="19" t="str">
        <f>VLOOKUP(A51,[2]Sheet1!$B:$D,2,0)</f>
        <v>09000867</v>
      </c>
      <c r="F51" s="20" t="str">
        <f t="shared" si="1"/>
        <v>insert into ins_premium_det (premium_rcv_code,assorted_code, rec_amount,premium_rcv_detail_code,remaining_amt, payrec, mode_code,paid_to_code,class_cd) values</v>
      </c>
      <c r="G51" s="21" t="str">
        <f t="shared" si="2"/>
        <v>('11Sep240220','040000182168','7453',(select max(to_number(i.premium_rcv_detail_code))+1 from ins_premium_det i),'7453','7453','03', '09000867','00');</v>
      </c>
      <c r="H51" s="22" t="str">
        <f t="shared" si="0"/>
        <v>insert into ins_premium_det (premium_rcv_code,assorted_code, rec_amount,premium_rcv_detail_code,remaining_amt, payrec, mode_code,paid_to_code,class_cd) values('11Sep240220','040000182168','7453',(select max(to_number(i.premium_rcv_detail_code))+1 from ins_premium_det i),'7453','7453','03', '09000867','00');</v>
      </c>
    </row>
    <row r="52" spans="1:8" ht="105" x14ac:dyDescent="0.25">
      <c r="A52" t="s">
        <v>55</v>
      </c>
      <c r="B52" s="17" t="str">
        <f>VLOOKUP(A52,[2]Sheet1!$B:$D,3,0)</f>
        <v>040000182540</v>
      </c>
      <c r="C52" s="18">
        <f>VLOOKUP(A52,Sheet2!A:B,2,0)</f>
        <v>12426</v>
      </c>
      <c r="D52" s="16" t="s">
        <v>94</v>
      </c>
      <c r="E52" s="19" t="str">
        <f>VLOOKUP(A52,[2]Sheet1!$B:$D,2,0)</f>
        <v>09000806</v>
      </c>
      <c r="F52" s="20" t="str">
        <f t="shared" si="1"/>
        <v>insert into ins_premium_det (premium_rcv_code,assorted_code, rec_amount,premium_rcv_detail_code,remaining_amt, payrec, mode_code,paid_to_code,class_cd) values</v>
      </c>
      <c r="G52" s="21" t="str">
        <f t="shared" si="2"/>
        <v>('11Sep240220','040000182540','12426',(select max(to_number(i.premium_rcv_detail_code))+1 from ins_premium_det i),'12426','12426','03', '09000806','00');</v>
      </c>
      <c r="H52" s="22" t="str">
        <f t="shared" si="0"/>
        <v>insert into ins_premium_det (premium_rcv_code,assorted_code, rec_amount,premium_rcv_detail_code,remaining_amt, payrec, mode_code,paid_to_code,class_cd) values('11Sep240220','040000182540','12426',(select max(to_number(i.premium_rcv_detail_code))+1 from ins_premium_det i),'12426','12426','03', '09000806','00');</v>
      </c>
    </row>
    <row r="53" spans="1:8" ht="105" x14ac:dyDescent="0.25">
      <c r="A53" t="s">
        <v>56</v>
      </c>
      <c r="B53" s="17" t="str">
        <f>VLOOKUP(A53,[2]Sheet1!$B:$D,3,0)</f>
        <v>040000182543</v>
      </c>
      <c r="C53" s="18">
        <f>VLOOKUP(A53,Sheet2!A:B,2,0)</f>
        <v>34824</v>
      </c>
      <c r="D53" s="16" t="s">
        <v>94</v>
      </c>
      <c r="E53" s="19" t="str">
        <f>VLOOKUP(A53,[2]Sheet1!$B:$D,2,0)</f>
        <v>09000806</v>
      </c>
      <c r="F53" s="20" t="str">
        <f t="shared" si="1"/>
        <v>insert into ins_premium_det (premium_rcv_code,assorted_code, rec_amount,premium_rcv_detail_code,remaining_amt, payrec, mode_code,paid_to_code,class_cd) values</v>
      </c>
      <c r="G53" s="21" t="str">
        <f t="shared" si="2"/>
        <v>('11Sep240220','040000182543','34824',(select max(to_number(i.premium_rcv_detail_code))+1 from ins_premium_det i),'34824','34824','03', '09000806','00');</v>
      </c>
      <c r="H53" s="22" t="str">
        <f t="shared" si="0"/>
        <v>insert into ins_premium_det (premium_rcv_code,assorted_code, rec_amount,premium_rcv_detail_code,remaining_amt, payrec, mode_code,paid_to_code,class_cd) values('11Sep240220','040000182543','34824',(select max(to_number(i.premium_rcv_detail_code))+1 from ins_premium_det i),'34824','34824','03', '09000806','00');</v>
      </c>
    </row>
    <row r="54" spans="1:8" ht="105" x14ac:dyDescent="0.25">
      <c r="A54" t="s">
        <v>57</v>
      </c>
      <c r="B54" s="17" t="str">
        <f>VLOOKUP(A54,[2]Sheet1!$B:$D,3,0)</f>
        <v>040000182562</v>
      </c>
      <c r="C54" s="18">
        <f>VLOOKUP(A54,Sheet2!A:B,2,0)</f>
        <v>8223</v>
      </c>
      <c r="D54" s="16" t="s">
        <v>94</v>
      </c>
      <c r="E54" s="19" t="str">
        <f>VLOOKUP(A54,[2]Sheet1!$B:$D,2,0)</f>
        <v>09000420</v>
      </c>
      <c r="F54" s="20" t="str">
        <f t="shared" si="1"/>
        <v>insert into ins_premium_det (premium_rcv_code,assorted_code, rec_amount,premium_rcv_detail_code,remaining_amt, payrec, mode_code,paid_to_code,class_cd) values</v>
      </c>
      <c r="G54" s="21" t="str">
        <f t="shared" si="2"/>
        <v>('11Sep240220','040000182562','8223',(select max(to_number(i.premium_rcv_detail_code))+1 from ins_premium_det i),'8223','8223','03', '09000420','00');</v>
      </c>
      <c r="H54" s="22" t="str">
        <f t="shared" si="0"/>
        <v>insert into ins_premium_det (premium_rcv_code,assorted_code, rec_amount,premium_rcv_detail_code,remaining_amt, payrec, mode_code,paid_to_code,class_cd) values('11Sep240220','040000182562','8223',(select max(to_number(i.premium_rcv_detail_code))+1 from ins_premium_det i),'8223','8223','03', '09000420','00');</v>
      </c>
    </row>
    <row r="55" spans="1:8" ht="105" x14ac:dyDescent="0.25">
      <c r="A55" t="s">
        <v>58</v>
      </c>
      <c r="B55" s="17" t="str">
        <f>VLOOKUP(A55,[2]Sheet1!$B:$D,3,0)</f>
        <v>040000182563</v>
      </c>
      <c r="C55" s="18">
        <f>VLOOKUP(A55,Sheet2!A:B,2,0)</f>
        <v>8223</v>
      </c>
      <c r="D55" s="16" t="s">
        <v>94</v>
      </c>
      <c r="E55" s="19" t="str">
        <f>VLOOKUP(A55,[2]Sheet1!$B:$D,2,0)</f>
        <v>09000420</v>
      </c>
      <c r="F55" s="20" t="str">
        <f t="shared" si="1"/>
        <v>insert into ins_premium_det (premium_rcv_code,assorted_code, rec_amount,premium_rcv_detail_code,remaining_amt, payrec, mode_code,paid_to_code,class_cd) values</v>
      </c>
      <c r="G55" s="21" t="str">
        <f t="shared" si="2"/>
        <v>('11Sep240220','040000182563','8223',(select max(to_number(i.premium_rcv_detail_code))+1 from ins_premium_det i),'8223','8223','03', '09000420','00');</v>
      </c>
      <c r="H55" s="22" t="str">
        <f t="shared" si="0"/>
        <v>insert into ins_premium_det (premium_rcv_code,assorted_code, rec_amount,premium_rcv_detail_code,remaining_amt, payrec, mode_code,paid_to_code,class_cd) values('11Sep240220','040000182563','8223',(select max(to_number(i.premium_rcv_detail_code))+1 from ins_premium_det i),'8223','8223','03', '09000420','00');</v>
      </c>
    </row>
    <row r="56" spans="1:8" ht="105" x14ac:dyDescent="0.25">
      <c r="A56" t="s">
        <v>59</v>
      </c>
      <c r="B56" s="17" t="str">
        <f>VLOOKUP(A56,[2]Sheet1!$B:$D,3,0)</f>
        <v>040000183023</v>
      </c>
      <c r="C56" s="18">
        <f>VLOOKUP(A56,Sheet2!A:B,2,0)</f>
        <v>7894</v>
      </c>
      <c r="D56" s="16" t="s">
        <v>94</v>
      </c>
      <c r="E56" s="19" t="str">
        <f>VLOOKUP(A56,[2]Sheet1!$B:$D,2,0)</f>
        <v>09000836</v>
      </c>
      <c r="F56" s="20" t="str">
        <f t="shared" si="1"/>
        <v>insert into ins_premium_det (premium_rcv_code,assorted_code, rec_amount,premium_rcv_detail_code,remaining_amt, payrec, mode_code,paid_to_code,class_cd) values</v>
      </c>
      <c r="G56" s="21" t="str">
        <f t="shared" si="2"/>
        <v>('11Sep240220','040000183023','7894',(select max(to_number(i.premium_rcv_detail_code))+1 from ins_premium_det i),'7894','7894','03', '09000836','00');</v>
      </c>
      <c r="H56" s="22" t="str">
        <f t="shared" si="0"/>
        <v>insert into ins_premium_det (premium_rcv_code,assorted_code, rec_amount,premium_rcv_detail_code,remaining_amt, payrec, mode_code,paid_to_code,class_cd) values('11Sep240220','040000183023','7894',(select max(to_number(i.premium_rcv_detail_code))+1 from ins_premium_det i),'7894','7894','03', '09000836','00');</v>
      </c>
    </row>
    <row r="57" spans="1:8" ht="105" x14ac:dyDescent="0.25">
      <c r="A57" t="s">
        <v>60</v>
      </c>
      <c r="B57" s="17" t="str">
        <f>VLOOKUP(A57,[2]Sheet1!$B:$D,3,0)</f>
        <v>040000183026</v>
      </c>
      <c r="C57" s="18">
        <f>VLOOKUP(A57,Sheet2!A:B,2,0)</f>
        <v>14506</v>
      </c>
      <c r="D57" s="16" t="s">
        <v>94</v>
      </c>
      <c r="E57" s="19" t="str">
        <f>VLOOKUP(A57,[2]Sheet1!$B:$D,2,0)</f>
        <v>09000898</v>
      </c>
      <c r="F57" s="20" t="str">
        <f t="shared" si="1"/>
        <v>insert into ins_premium_det (premium_rcv_code,assorted_code, rec_amount,premium_rcv_detail_code,remaining_amt, payrec, mode_code,paid_to_code,class_cd) values</v>
      </c>
      <c r="G57" s="21" t="str">
        <f t="shared" si="2"/>
        <v>('11Sep240220','040000183026','14506',(select max(to_number(i.premium_rcv_detail_code))+1 from ins_premium_det i),'14506','14506','03', '09000898','00');</v>
      </c>
      <c r="H57" s="22" t="str">
        <f t="shared" si="0"/>
        <v>insert into ins_premium_det (premium_rcv_code,assorted_code, rec_amount,premium_rcv_detail_code,remaining_amt, payrec, mode_code,paid_to_code,class_cd) values('11Sep240220','040000183026','14506',(select max(to_number(i.premium_rcv_detail_code))+1 from ins_premium_det i),'14506','14506','03', '09000898','00');</v>
      </c>
    </row>
  </sheetData>
  <conditionalFormatting sqref="A1">
    <cfRule type="duplicateValues" dxfId="4" priority="2"/>
  </conditionalFormatting>
  <conditionalFormatting sqref="A2">
    <cfRule type="duplicateValues" dxfId="3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7B56-F64C-4313-AF2F-8E6FC6898B54}">
  <dimension ref="A2:E57"/>
  <sheetViews>
    <sheetView workbookViewId="0">
      <selection activeCell="E2" sqref="E2"/>
    </sheetView>
  </sheetViews>
  <sheetFormatPr defaultRowHeight="15" x14ac:dyDescent="0.25"/>
  <cols>
    <col min="1" max="1" width="38.7109375" bestFit="1" customWidth="1"/>
    <col min="5" max="5" width="40.5703125" bestFit="1" customWidth="1"/>
  </cols>
  <sheetData>
    <row r="2" spans="1:5" x14ac:dyDescent="0.25">
      <c r="A2" t="s">
        <v>5</v>
      </c>
      <c r="B2" t="s">
        <v>91</v>
      </c>
      <c r="D2">
        <v>90900</v>
      </c>
      <c r="E2" t="str">
        <f>"ia.assorted_string like '%"&amp;D2&amp;B2&amp;"%' or"</f>
        <v>ia.assorted_string like '%90900-06-2024%' or</v>
      </c>
    </row>
    <row r="3" spans="1:5" x14ac:dyDescent="0.25">
      <c r="A3" t="s">
        <v>6</v>
      </c>
      <c r="B3" t="s">
        <v>91</v>
      </c>
      <c r="D3">
        <v>91269</v>
      </c>
      <c r="E3" t="str">
        <f t="shared" ref="E3:E57" si="0">"ia.assorted_string like '%"&amp;D3&amp;B3&amp;"%' or"</f>
        <v>ia.assorted_string like '%91269-06-2024%' or</v>
      </c>
    </row>
    <row r="4" spans="1:5" x14ac:dyDescent="0.25">
      <c r="A4" t="s">
        <v>7</v>
      </c>
      <c r="B4" t="s">
        <v>91</v>
      </c>
      <c r="D4">
        <v>91980</v>
      </c>
      <c r="E4" t="str">
        <f t="shared" si="0"/>
        <v>ia.assorted_string like '%91980-06-2024%' or</v>
      </c>
    </row>
    <row r="5" spans="1:5" x14ac:dyDescent="0.25">
      <c r="A5" t="s">
        <v>8</v>
      </c>
      <c r="B5" t="s">
        <v>91</v>
      </c>
      <c r="D5">
        <v>91981</v>
      </c>
      <c r="E5" t="str">
        <f t="shared" si="0"/>
        <v>ia.assorted_string like '%91981-06-2024%' or</v>
      </c>
    </row>
    <row r="6" spans="1:5" x14ac:dyDescent="0.25">
      <c r="A6" t="s">
        <v>9</v>
      </c>
      <c r="B6" t="s">
        <v>91</v>
      </c>
      <c r="D6">
        <v>92018</v>
      </c>
      <c r="E6" t="str">
        <f t="shared" si="0"/>
        <v>ia.assorted_string like '%92018-06-2024%' or</v>
      </c>
    </row>
    <row r="7" spans="1:5" x14ac:dyDescent="0.25">
      <c r="A7" t="s">
        <v>10</v>
      </c>
      <c r="B7" t="s">
        <v>92</v>
      </c>
      <c r="D7">
        <v>92314</v>
      </c>
      <c r="E7" t="str">
        <f t="shared" si="0"/>
        <v>ia.assorted_string like '%92314-07-2024%' or</v>
      </c>
    </row>
    <row r="8" spans="1:5" x14ac:dyDescent="0.25">
      <c r="A8" t="s">
        <v>11</v>
      </c>
      <c r="B8" t="s">
        <v>92</v>
      </c>
      <c r="D8">
        <v>92317</v>
      </c>
      <c r="E8" t="str">
        <f t="shared" si="0"/>
        <v>ia.assorted_string like '%92317-07-2024%' or</v>
      </c>
    </row>
    <row r="9" spans="1:5" x14ac:dyDescent="0.25">
      <c r="A9" t="s">
        <v>12</v>
      </c>
      <c r="B9" t="s">
        <v>92</v>
      </c>
      <c r="D9">
        <v>92318</v>
      </c>
      <c r="E9" t="str">
        <f t="shared" si="0"/>
        <v>ia.assorted_string like '%92318-07-2024%' or</v>
      </c>
    </row>
    <row r="10" spans="1:5" x14ac:dyDescent="0.25">
      <c r="A10" t="s">
        <v>13</v>
      </c>
      <c r="B10" t="s">
        <v>92</v>
      </c>
      <c r="D10">
        <v>92365</v>
      </c>
      <c r="E10" t="str">
        <f t="shared" si="0"/>
        <v>ia.assorted_string like '%92365-07-2024%' or</v>
      </c>
    </row>
    <row r="11" spans="1:5" x14ac:dyDescent="0.25">
      <c r="A11" t="s">
        <v>14</v>
      </c>
      <c r="B11" t="s">
        <v>92</v>
      </c>
      <c r="D11">
        <v>92385</v>
      </c>
      <c r="E11" t="str">
        <f t="shared" si="0"/>
        <v>ia.assorted_string like '%92385-07-2024%' or</v>
      </c>
    </row>
    <row r="12" spans="1:5" x14ac:dyDescent="0.25">
      <c r="A12" t="s">
        <v>15</v>
      </c>
      <c r="B12" t="s">
        <v>92</v>
      </c>
      <c r="D12">
        <v>92386</v>
      </c>
      <c r="E12" t="str">
        <f t="shared" si="0"/>
        <v>ia.assorted_string like '%92386-07-2024%' or</v>
      </c>
    </row>
    <row r="13" spans="1:5" x14ac:dyDescent="0.25">
      <c r="A13" t="s">
        <v>16</v>
      </c>
      <c r="B13" t="s">
        <v>92</v>
      </c>
      <c r="D13">
        <v>92532</v>
      </c>
      <c r="E13" t="str">
        <f t="shared" si="0"/>
        <v>ia.assorted_string like '%92532-07-2024%' or</v>
      </c>
    </row>
    <row r="14" spans="1:5" x14ac:dyDescent="0.25">
      <c r="A14" t="s">
        <v>17</v>
      </c>
      <c r="B14" t="s">
        <v>92</v>
      </c>
      <c r="D14">
        <v>92534</v>
      </c>
      <c r="E14" t="str">
        <f t="shared" si="0"/>
        <v>ia.assorted_string like '%92534-07-2024%' or</v>
      </c>
    </row>
    <row r="15" spans="1:5" x14ac:dyDescent="0.25">
      <c r="A15" t="s">
        <v>18</v>
      </c>
      <c r="B15" t="s">
        <v>92</v>
      </c>
      <c r="D15">
        <v>93048</v>
      </c>
      <c r="E15" t="str">
        <f t="shared" si="0"/>
        <v>ia.assorted_string like '%93048-07-2024%' or</v>
      </c>
    </row>
    <row r="16" spans="1:5" x14ac:dyDescent="0.25">
      <c r="A16" t="s">
        <v>19</v>
      </c>
      <c r="B16" t="s">
        <v>92</v>
      </c>
      <c r="D16">
        <v>93049</v>
      </c>
      <c r="E16" t="str">
        <f t="shared" si="0"/>
        <v>ia.assorted_string like '%93049-07-2024%' or</v>
      </c>
    </row>
    <row r="17" spans="1:5" x14ac:dyDescent="0.25">
      <c r="A17" t="s">
        <v>20</v>
      </c>
      <c r="B17" t="s">
        <v>92</v>
      </c>
      <c r="D17">
        <v>93112</v>
      </c>
      <c r="E17" t="str">
        <f t="shared" si="0"/>
        <v>ia.assorted_string like '%93112-07-2024%' or</v>
      </c>
    </row>
    <row r="18" spans="1:5" x14ac:dyDescent="0.25">
      <c r="A18" t="s">
        <v>21</v>
      </c>
      <c r="B18" t="s">
        <v>92</v>
      </c>
      <c r="D18">
        <v>93336</v>
      </c>
      <c r="E18" t="str">
        <f t="shared" si="0"/>
        <v>ia.assorted_string like '%93336-07-2024%' or</v>
      </c>
    </row>
    <row r="19" spans="1:5" x14ac:dyDescent="0.25">
      <c r="A19" t="s">
        <v>22</v>
      </c>
      <c r="B19" t="s">
        <v>92</v>
      </c>
      <c r="D19">
        <v>93512</v>
      </c>
      <c r="E19" t="str">
        <f t="shared" si="0"/>
        <v>ia.assorted_string like '%93512-07-2024%' or</v>
      </c>
    </row>
    <row r="20" spans="1:5" x14ac:dyDescent="0.25">
      <c r="A20" t="s">
        <v>23</v>
      </c>
      <c r="B20" t="s">
        <v>92</v>
      </c>
      <c r="D20">
        <v>93627</v>
      </c>
      <c r="E20" t="str">
        <f t="shared" si="0"/>
        <v>ia.assorted_string like '%93627-07-2024%' or</v>
      </c>
    </row>
    <row r="21" spans="1:5" x14ac:dyDescent="0.25">
      <c r="A21" t="s">
        <v>24</v>
      </c>
      <c r="B21" t="s">
        <v>92</v>
      </c>
      <c r="D21">
        <v>93645</v>
      </c>
      <c r="E21" t="str">
        <f t="shared" si="0"/>
        <v>ia.assorted_string like '%93645-07-2024%' or</v>
      </c>
    </row>
    <row r="22" spans="1:5" x14ac:dyDescent="0.25">
      <c r="A22" t="s">
        <v>25</v>
      </c>
      <c r="B22" t="s">
        <v>92</v>
      </c>
      <c r="D22">
        <v>93753</v>
      </c>
      <c r="E22" t="str">
        <f t="shared" si="0"/>
        <v>ia.assorted_string like '%93753-07-2024%' or</v>
      </c>
    </row>
    <row r="23" spans="1:5" x14ac:dyDescent="0.25">
      <c r="A23" t="s">
        <v>26</v>
      </c>
      <c r="B23" t="s">
        <v>92</v>
      </c>
      <c r="D23">
        <v>93756</v>
      </c>
      <c r="E23" t="str">
        <f t="shared" si="0"/>
        <v>ia.assorted_string like '%93756-07-2024%' or</v>
      </c>
    </row>
    <row r="24" spans="1:5" x14ac:dyDescent="0.25">
      <c r="A24" t="s">
        <v>27</v>
      </c>
      <c r="B24" t="s">
        <v>92</v>
      </c>
      <c r="D24">
        <v>93972</v>
      </c>
      <c r="E24" t="str">
        <f t="shared" si="0"/>
        <v>ia.assorted_string like '%93972-07-2024%' or</v>
      </c>
    </row>
    <row r="25" spans="1:5" x14ac:dyDescent="0.25">
      <c r="A25" t="s">
        <v>28</v>
      </c>
      <c r="B25" t="s">
        <v>92</v>
      </c>
      <c r="D25">
        <v>93973</v>
      </c>
      <c r="E25" t="str">
        <f t="shared" si="0"/>
        <v>ia.assorted_string like '%93973-07-2024%' or</v>
      </c>
    </row>
    <row r="26" spans="1:5" x14ac:dyDescent="0.25">
      <c r="A26" t="s">
        <v>29</v>
      </c>
      <c r="B26" t="s">
        <v>92</v>
      </c>
      <c r="D26">
        <v>93976</v>
      </c>
      <c r="E26" t="str">
        <f t="shared" si="0"/>
        <v>ia.assorted_string like '%93976-07-2024%' or</v>
      </c>
    </row>
    <row r="27" spans="1:5" x14ac:dyDescent="0.25">
      <c r="A27" t="s">
        <v>30</v>
      </c>
      <c r="B27" t="s">
        <v>92</v>
      </c>
      <c r="D27">
        <v>93977</v>
      </c>
      <c r="E27" t="str">
        <f t="shared" si="0"/>
        <v>ia.assorted_string like '%93977-07-2024%' or</v>
      </c>
    </row>
    <row r="28" spans="1:5" x14ac:dyDescent="0.25">
      <c r="A28" t="s">
        <v>31</v>
      </c>
      <c r="B28" t="s">
        <v>92</v>
      </c>
      <c r="D28">
        <v>94140</v>
      </c>
      <c r="E28" t="str">
        <f t="shared" si="0"/>
        <v>ia.assorted_string like '%94140-07-2024%' or</v>
      </c>
    </row>
    <row r="29" spans="1:5" x14ac:dyDescent="0.25">
      <c r="A29" t="s">
        <v>32</v>
      </c>
      <c r="B29" t="s">
        <v>92</v>
      </c>
      <c r="D29">
        <v>94141</v>
      </c>
      <c r="E29" t="str">
        <f t="shared" si="0"/>
        <v>ia.assorted_string like '%94141-07-2024%' or</v>
      </c>
    </row>
    <row r="30" spans="1:5" x14ac:dyDescent="0.25">
      <c r="A30" t="s">
        <v>33</v>
      </c>
      <c r="B30" t="s">
        <v>92</v>
      </c>
      <c r="D30">
        <v>94177</v>
      </c>
      <c r="E30" t="str">
        <f t="shared" si="0"/>
        <v>ia.assorted_string like '%94177-07-2024%' or</v>
      </c>
    </row>
    <row r="31" spans="1:5" x14ac:dyDescent="0.25">
      <c r="A31" t="s">
        <v>34</v>
      </c>
      <c r="B31" t="s">
        <v>92</v>
      </c>
      <c r="D31">
        <v>94178</v>
      </c>
      <c r="E31" t="str">
        <f t="shared" si="0"/>
        <v>ia.assorted_string like '%94178-07-2024%' or</v>
      </c>
    </row>
    <row r="32" spans="1:5" x14ac:dyDescent="0.25">
      <c r="A32" t="s">
        <v>35</v>
      </c>
      <c r="B32" t="s">
        <v>93</v>
      </c>
      <c r="D32">
        <v>94479</v>
      </c>
      <c r="E32" t="str">
        <f t="shared" si="0"/>
        <v>ia.assorted_string like '%94479-08-2024%' or</v>
      </c>
    </row>
    <row r="33" spans="1:5" x14ac:dyDescent="0.25">
      <c r="A33" t="s">
        <v>36</v>
      </c>
      <c r="B33" t="s">
        <v>93</v>
      </c>
      <c r="D33">
        <v>94743</v>
      </c>
      <c r="E33" t="str">
        <f t="shared" si="0"/>
        <v>ia.assorted_string like '%94743-08-2024%' or</v>
      </c>
    </row>
    <row r="34" spans="1:5" x14ac:dyDescent="0.25">
      <c r="A34" t="s">
        <v>37</v>
      </c>
      <c r="B34" t="s">
        <v>93</v>
      </c>
      <c r="D34">
        <v>94799</v>
      </c>
      <c r="E34" t="str">
        <f t="shared" si="0"/>
        <v>ia.assorted_string like '%94799-08-2024%' or</v>
      </c>
    </row>
    <row r="35" spans="1:5" x14ac:dyDescent="0.25">
      <c r="A35" t="s">
        <v>38</v>
      </c>
      <c r="B35" t="s">
        <v>93</v>
      </c>
      <c r="D35">
        <v>94801</v>
      </c>
      <c r="E35" t="str">
        <f t="shared" si="0"/>
        <v>ia.assorted_string like '%94801-08-2024%' or</v>
      </c>
    </row>
    <row r="36" spans="1:5" x14ac:dyDescent="0.25">
      <c r="A36" t="s">
        <v>39</v>
      </c>
      <c r="B36" t="s">
        <v>93</v>
      </c>
      <c r="D36">
        <v>94828</v>
      </c>
      <c r="E36" t="str">
        <f t="shared" si="0"/>
        <v>ia.assorted_string like '%94828-08-2024%' or</v>
      </c>
    </row>
    <row r="37" spans="1:5" x14ac:dyDescent="0.25">
      <c r="A37" t="s">
        <v>40</v>
      </c>
      <c r="B37" t="s">
        <v>93</v>
      </c>
      <c r="D37">
        <v>94904</v>
      </c>
      <c r="E37" t="str">
        <f t="shared" si="0"/>
        <v>ia.assorted_string like '%94904-08-2024%' or</v>
      </c>
    </row>
    <row r="38" spans="1:5" x14ac:dyDescent="0.25">
      <c r="A38" t="s">
        <v>41</v>
      </c>
      <c r="B38" t="s">
        <v>93</v>
      </c>
      <c r="D38">
        <v>94923</v>
      </c>
      <c r="E38" t="str">
        <f t="shared" si="0"/>
        <v>ia.assorted_string like '%94923-08-2024%' or</v>
      </c>
    </row>
    <row r="39" spans="1:5" x14ac:dyDescent="0.25">
      <c r="A39" t="s">
        <v>42</v>
      </c>
      <c r="B39" t="s">
        <v>93</v>
      </c>
      <c r="D39">
        <v>94966</v>
      </c>
      <c r="E39" t="str">
        <f t="shared" si="0"/>
        <v>ia.assorted_string like '%94966-08-2024%' or</v>
      </c>
    </row>
    <row r="40" spans="1:5" x14ac:dyDescent="0.25">
      <c r="A40" t="s">
        <v>43</v>
      </c>
      <c r="B40" t="s">
        <v>93</v>
      </c>
      <c r="D40">
        <v>95103</v>
      </c>
      <c r="E40" t="str">
        <f t="shared" si="0"/>
        <v>ia.assorted_string like '%95103-08-2024%' or</v>
      </c>
    </row>
    <row r="41" spans="1:5" x14ac:dyDescent="0.25">
      <c r="A41" t="s">
        <v>44</v>
      </c>
      <c r="B41" t="s">
        <v>93</v>
      </c>
      <c r="D41">
        <v>95104</v>
      </c>
      <c r="E41" t="str">
        <f t="shared" si="0"/>
        <v>ia.assorted_string like '%95104-08-2024%' or</v>
      </c>
    </row>
    <row r="42" spans="1:5" x14ac:dyDescent="0.25">
      <c r="A42" t="s">
        <v>45</v>
      </c>
      <c r="B42" t="s">
        <v>93</v>
      </c>
      <c r="D42">
        <v>95322</v>
      </c>
      <c r="E42" t="str">
        <f t="shared" si="0"/>
        <v>ia.assorted_string like '%95322-08-2024%' or</v>
      </c>
    </row>
    <row r="43" spans="1:5" x14ac:dyDescent="0.25">
      <c r="A43" t="s">
        <v>46</v>
      </c>
      <c r="B43" t="s">
        <v>93</v>
      </c>
      <c r="D43">
        <v>95388</v>
      </c>
      <c r="E43" t="str">
        <f t="shared" si="0"/>
        <v>ia.assorted_string like '%95388-08-2024%' or</v>
      </c>
    </row>
    <row r="44" spans="1:5" x14ac:dyDescent="0.25">
      <c r="A44" t="s">
        <v>47</v>
      </c>
      <c r="B44" t="s">
        <v>93</v>
      </c>
      <c r="D44">
        <v>95389</v>
      </c>
      <c r="E44" t="str">
        <f t="shared" si="0"/>
        <v>ia.assorted_string like '%95389-08-2024%' or</v>
      </c>
    </row>
    <row r="45" spans="1:5" x14ac:dyDescent="0.25">
      <c r="A45" t="s">
        <v>48</v>
      </c>
      <c r="B45" t="s">
        <v>93</v>
      </c>
      <c r="D45">
        <v>95390</v>
      </c>
      <c r="E45" t="str">
        <f t="shared" si="0"/>
        <v>ia.assorted_string like '%95390-08-2024%' or</v>
      </c>
    </row>
    <row r="46" spans="1:5" x14ac:dyDescent="0.25">
      <c r="A46" t="s">
        <v>49</v>
      </c>
      <c r="B46" t="s">
        <v>93</v>
      </c>
      <c r="D46">
        <v>95540</v>
      </c>
      <c r="E46" t="str">
        <f t="shared" si="0"/>
        <v>ia.assorted_string like '%95540-08-2024%' or</v>
      </c>
    </row>
    <row r="47" spans="1:5" x14ac:dyDescent="0.25">
      <c r="A47" t="s">
        <v>50</v>
      </c>
      <c r="B47" t="s">
        <v>93</v>
      </c>
      <c r="D47">
        <v>95602</v>
      </c>
      <c r="E47" t="str">
        <f t="shared" si="0"/>
        <v>ia.assorted_string like '%95602-08-2024%' or</v>
      </c>
    </row>
    <row r="48" spans="1:5" x14ac:dyDescent="0.25">
      <c r="A48" t="s">
        <v>51</v>
      </c>
      <c r="B48" t="s">
        <v>93</v>
      </c>
      <c r="D48">
        <v>95714</v>
      </c>
      <c r="E48" t="str">
        <f t="shared" si="0"/>
        <v>ia.assorted_string like '%95714-08-2024%' or</v>
      </c>
    </row>
    <row r="49" spans="1:5" x14ac:dyDescent="0.25">
      <c r="A49" t="s">
        <v>52</v>
      </c>
      <c r="B49" t="s">
        <v>93</v>
      </c>
      <c r="D49">
        <v>95715</v>
      </c>
      <c r="E49" t="str">
        <f t="shared" si="0"/>
        <v>ia.assorted_string like '%95715-08-2024%' or</v>
      </c>
    </row>
    <row r="50" spans="1:5" x14ac:dyDescent="0.25">
      <c r="A50" t="s">
        <v>53</v>
      </c>
      <c r="B50" t="s">
        <v>93</v>
      </c>
      <c r="D50">
        <v>95717</v>
      </c>
      <c r="E50" t="str">
        <f t="shared" si="0"/>
        <v>ia.assorted_string like '%95717-08-2024%' or</v>
      </c>
    </row>
    <row r="51" spans="1:5" x14ac:dyDescent="0.25">
      <c r="A51" t="s">
        <v>54</v>
      </c>
      <c r="B51" t="s">
        <v>93</v>
      </c>
      <c r="D51">
        <v>95736</v>
      </c>
      <c r="E51" t="str">
        <f t="shared" si="0"/>
        <v>ia.assorted_string like '%95736-08-2024%' or</v>
      </c>
    </row>
    <row r="52" spans="1:5" x14ac:dyDescent="0.25">
      <c r="A52" t="s">
        <v>55</v>
      </c>
      <c r="B52" t="s">
        <v>93</v>
      </c>
      <c r="D52">
        <v>96054</v>
      </c>
      <c r="E52" t="str">
        <f t="shared" si="0"/>
        <v>ia.assorted_string like '%96054-08-2024%' or</v>
      </c>
    </row>
    <row r="53" spans="1:5" x14ac:dyDescent="0.25">
      <c r="A53" t="s">
        <v>56</v>
      </c>
      <c r="B53" t="s">
        <v>93</v>
      </c>
      <c r="D53">
        <v>96057</v>
      </c>
      <c r="E53" t="str">
        <f t="shared" si="0"/>
        <v>ia.assorted_string like '%96057-08-2024%' or</v>
      </c>
    </row>
    <row r="54" spans="1:5" x14ac:dyDescent="0.25">
      <c r="A54" t="s">
        <v>57</v>
      </c>
      <c r="B54" t="s">
        <v>93</v>
      </c>
      <c r="D54">
        <v>96076</v>
      </c>
      <c r="E54" t="str">
        <f t="shared" si="0"/>
        <v>ia.assorted_string like '%96076-08-2024%' or</v>
      </c>
    </row>
    <row r="55" spans="1:5" x14ac:dyDescent="0.25">
      <c r="A55" t="s">
        <v>58</v>
      </c>
      <c r="B55" t="s">
        <v>93</v>
      </c>
      <c r="D55">
        <v>96077</v>
      </c>
      <c r="E55" t="str">
        <f t="shared" si="0"/>
        <v>ia.assorted_string like '%96077-08-2024%' or</v>
      </c>
    </row>
    <row r="56" spans="1:5" x14ac:dyDescent="0.25">
      <c r="A56" t="s">
        <v>59</v>
      </c>
      <c r="B56" t="s">
        <v>93</v>
      </c>
      <c r="D56">
        <v>96486</v>
      </c>
      <c r="E56" t="str">
        <f t="shared" si="0"/>
        <v>ia.assorted_string like '%96486-08-2024%' or</v>
      </c>
    </row>
    <row r="57" spans="1:5" x14ac:dyDescent="0.25">
      <c r="A57" t="s">
        <v>60</v>
      </c>
      <c r="B57" t="s">
        <v>93</v>
      </c>
      <c r="D57">
        <v>96489</v>
      </c>
      <c r="E57" t="str">
        <f t="shared" si="0"/>
        <v>ia.assorted_string like '%96489-08-2024%' 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9B81-3C05-4207-A00E-5F078606BAC1}">
  <dimension ref="A1:G57"/>
  <sheetViews>
    <sheetView tabSelected="1" topLeftCell="E56" workbookViewId="0">
      <selection activeCell="G2" sqref="G2:G57"/>
    </sheetView>
  </sheetViews>
  <sheetFormatPr defaultRowHeight="15" x14ac:dyDescent="0.25"/>
  <cols>
    <col min="1" max="1" width="38.7109375" bestFit="1" customWidth="1"/>
    <col min="2" max="2" width="14.5703125" bestFit="1" customWidth="1"/>
    <col min="4" max="4" width="12" bestFit="1" customWidth="1"/>
    <col min="5" max="5" width="27.140625" customWidth="1"/>
    <col min="6" max="6" width="69.5703125" customWidth="1"/>
    <col min="7" max="7" width="87.5703125" customWidth="1"/>
  </cols>
  <sheetData>
    <row r="1" spans="1:7" x14ac:dyDescent="0.25">
      <c r="A1" s="14" t="s">
        <v>88</v>
      </c>
      <c r="B1" t="s">
        <v>89</v>
      </c>
      <c r="C1" s="15" t="s">
        <v>95</v>
      </c>
      <c r="D1" s="16" t="s">
        <v>94</v>
      </c>
    </row>
    <row r="2" spans="1:7" ht="146.25" customHeight="1" x14ac:dyDescent="0.25">
      <c r="A2" t="s">
        <v>5</v>
      </c>
      <c r="B2" s="23" t="str">
        <f>VLOOKUP(A2,[3]Sheet1!$B:$C,2,0)</f>
        <v>040000176000</v>
      </c>
      <c r="C2" s="24">
        <f>VLOOKUP(A2,Sheet2!A61:B116,2,0)</f>
        <v>14046</v>
      </c>
      <c r="D2" s="16" t="s">
        <v>94</v>
      </c>
      <c r="E2" s="20" t="str">
        <f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F2" s="21" t="str">
        <f>"('"&amp;D1&amp;"','"&amp;B2&amp;"','"&amp;C2&amp;"',(select max(to_number(i.premium_rcv_detail_code))+1 from ins_premium_det i),'"&amp;C2&amp;"','"&amp;C2&amp;"','02', '11000003','00','Request By Omair Ali 09-Sep-2024 Uploaded Premium');"</f>
        <v>('11Sep240220','040000176000','14046',(select max(to_number(i.premium_rcv_detail_code))+1 from ins_premium_det i),'14046','14046','02', '11000003','00','Request By Omair Ali 09-Sep-2024 Uploaded Premium');</v>
      </c>
      <c r="G2" s="22" t="str">
        <f>E2&amp;F2</f>
        <v>insert into ins_premium_det (premium_rcv_code,assorted_code, rec_amount,premium_rcv_detail_code,remaining_amt, payrec, mode_code,coinsurance_code,class_cd,IT_REMARKS) values('11Sep240220','040000176000','14046',(select max(to_number(i.premium_rcv_detail_code))+1 from ins_premium_det i),'14046','14046','02', '11000003','00','Request By Omair Ali 09-Sep-2024 Uploaded Premium');</v>
      </c>
    </row>
    <row r="3" spans="1:7" ht="135" x14ac:dyDescent="0.25">
      <c r="A3" t="s">
        <v>6</v>
      </c>
      <c r="B3" s="23" t="str">
        <f>VLOOKUP(A3,[3]Sheet1!$B:$C,2,0)</f>
        <v>040000176442</v>
      </c>
      <c r="C3" s="24">
        <f>VLOOKUP(A3,Sheet2!A62:B117,2,0)</f>
        <v>68974</v>
      </c>
      <c r="D3" s="16" t="s">
        <v>94</v>
      </c>
      <c r="E3" s="20" t="str">
        <f t="shared" ref="E3:E57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F3" s="21" t="str">
        <f t="shared" ref="F3:F57" si="1">"('"&amp;D2&amp;"','"&amp;B3&amp;"','"&amp;C3&amp;"',(select max(to_number(i.premium_rcv_detail_code))+1 from ins_premium_det i),'"&amp;C3&amp;"','"&amp;C3&amp;"','02', '11000003','00','Request By Omair Ali 09-Sep-2024 Uploaded Premium');"</f>
        <v>('11Sep240220','040000176442','68974',(select max(to_number(i.premium_rcv_detail_code))+1 from ins_premium_det i),'68974','68974','02', '11000003','00','Request By Omair Ali 09-Sep-2024 Uploaded Premium');</v>
      </c>
      <c r="G3" s="22" t="str">
        <f t="shared" ref="G3:G57" si="2">E3&amp;F3</f>
        <v>insert into ins_premium_det (premium_rcv_code,assorted_code, rec_amount,premium_rcv_detail_code,remaining_amt, payrec, mode_code,coinsurance_code,class_cd,IT_REMARKS) values('11Sep240220','040000176442','68974',(select max(to_number(i.premium_rcv_detail_code))+1 from ins_premium_det i),'68974','68974','02', '11000003','00','Request By Omair Ali 09-Sep-2024 Uploaded Premium');</v>
      </c>
    </row>
    <row r="4" spans="1:7" ht="135" x14ac:dyDescent="0.25">
      <c r="A4" t="s">
        <v>7</v>
      </c>
      <c r="B4" s="23" t="str">
        <f>VLOOKUP(A4,[3]Sheet1!$B:$C,2,0)</f>
        <v>040000177339</v>
      </c>
      <c r="C4" s="24">
        <f>VLOOKUP(A4,Sheet2!A63:B118,2,0)</f>
        <v>12181</v>
      </c>
      <c r="D4" s="16" t="s">
        <v>94</v>
      </c>
      <c r="E4" s="20" t="str">
        <f t="shared" si="0"/>
        <v>insert into ins_premium_det (premium_rcv_code,assorted_code, rec_amount,premium_rcv_detail_code,remaining_amt, payrec, mode_code,coinsurance_code,class_cd,IT_REMARKS) values</v>
      </c>
      <c r="F4" s="21" t="str">
        <f t="shared" si="1"/>
        <v>('11Sep240220','040000177339','12181',(select max(to_number(i.premium_rcv_detail_code))+1 from ins_premium_det i),'12181','12181','02', '11000003','00','Request By Omair Ali 09-Sep-2024 Uploaded Premium');</v>
      </c>
      <c r="G4" s="22" t="str">
        <f t="shared" si="2"/>
        <v>insert into ins_premium_det (premium_rcv_code,assorted_code, rec_amount,premium_rcv_detail_code,remaining_amt, payrec, mode_code,coinsurance_code,class_cd,IT_REMARKS) values('11Sep240220','040000177339','12181',(select max(to_number(i.premium_rcv_detail_code))+1 from ins_premium_det i),'12181','12181','02', '11000003','00','Request By Omair Ali 09-Sep-2024 Uploaded Premium');</v>
      </c>
    </row>
    <row r="5" spans="1:7" ht="135" x14ac:dyDescent="0.25">
      <c r="A5" t="s">
        <v>8</v>
      </c>
      <c r="B5" s="23" t="str">
        <f>VLOOKUP(A5,[3]Sheet1!$B:$C,2,0)</f>
        <v>040000177340</v>
      </c>
      <c r="C5" s="24">
        <f>VLOOKUP(A5,Sheet2!A64:B119,2,0)</f>
        <v>8037</v>
      </c>
      <c r="D5" s="16" t="s">
        <v>94</v>
      </c>
      <c r="E5" s="20" t="str">
        <f t="shared" si="0"/>
        <v>insert into ins_premium_det (premium_rcv_code,assorted_code, rec_amount,premium_rcv_detail_code,remaining_amt, payrec, mode_code,coinsurance_code,class_cd,IT_REMARKS) values</v>
      </c>
      <c r="F5" s="21" t="str">
        <f t="shared" si="1"/>
        <v>('11Sep240220','040000177340','8037',(select max(to_number(i.premium_rcv_detail_code))+1 from ins_premium_det i),'8037','8037','02', '11000003','00','Request By Omair Ali 09-Sep-2024 Uploaded Premium');</v>
      </c>
      <c r="G5" s="22" t="str">
        <f t="shared" si="2"/>
        <v>insert into ins_premium_det (premium_rcv_code,assorted_code, rec_amount,premium_rcv_detail_code,remaining_amt, payrec, mode_code,coinsurance_code,class_cd,IT_REMARKS) values('11Sep240220','040000177340','8037',(select max(to_number(i.premium_rcv_detail_code))+1 from ins_premium_det i),'8037','8037','02', '11000003','00','Request By Omair Ali 09-Sep-2024 Uploaded Premium');</v>
      </c>
    </row>
    <row r="6" spans="1:7" ht="135" x14ac:dyDescent="0.25">
      <c r="A6" t="s">
        <v>9</v>
      </c>
      <c r="B6" s="23" t="str">
        <f>VLOOKUP(A6,[3]Sheet1!$B:$C,2,0)</f>
        <v>040000177378</v>
      </c>
      <c r="C6" s="24">
        <f>VLOOKUP(A6,Sheet2!A65:B120,2,0)</f>
        <v>24500</v>
      </c>
      <c r="D6" s="16" t="s">
        <v>94</v>
      </c>
      <c r="E6" s="20" t="str">
        <f t="shared" si="0"/>
        <v>insert into ins_premium_det (premium_rcv_code,assorted_code, rec_amount,premium_rcv_detail_code,remaining_amt, payrec, mode_code,coinsurance_code,class_cd,IT_REMARKS) values</v>
      </c>
      <c r="F6" s="21" t="str">
        <f t="shared" si="1"/>
        <v>('11Sep240220','040000177378','24500',(select max(to_number(i.premium_rcv_detail_code))+1 from ins_premium_det i),'24500','24500','02', '11000003','00','Request By Omair Ali 09-Sep-2024 Uploaded Premium');</v>
      </c>
      <c r="G6" s="22" t="str">
        <f t="shared" si="2"/>
        <v>insert into ins_premium_det (premium_rcv_code,assorted_code, rec_amount,premium_rcv_detail_code,remaining_amt, payrec, mode_code,coinsurance_code,class_cd,IT_REMARKS) values('11Sep240220','040000177378','24500',(select max(to_number(i.premium_rcv_detail_code))+1 from ins_premium_det i),'24500','24500','02', '11000003','00','Request By Omair Ali 09-Sep-2024 Uploaded Premium');</v>
      </c>
    </row>
    <row r="7" spans="1:7" ht="135" x14ac:dyDescent="0.25">
      <c r="A7" t="s">
        <v>10</v>
      </c>
      <c r="B7" s="23" t="str">
        <f>VLOOKUP(A7,[3]Sheet1!$B:$C,2,0)</f>
        <v>040000177861</v>
      </c>
      <c r="C7" s="24">
        <f>VLOOKUP(A7,Sheet2!A66:B121,2,0)</f>
        <v>8412</v>
      </c>
      <c r="D7" s="16" t="s">
        <v>94</v>
      </c>
      <c r="E7" s="20" t="str">
        <f t="shared" si="0"/>
        <v>insert into ins_premium_det (premium_rcv_code,assorted_code, rec_amount,premium_rcv_detail_code,remaining_amt, payrec, mode_code,coinsurance_code,class_cd,IT_REMARKS) values</v>
      </c>
      <c r="F7" s="21" t="str">
        <f t="shared" si="1"/>
        <v>('11Sep240220','040000177861','8412',(select max(to_number(i.premium_rcv_detail_code))+1 from ins_premium_det i),'8412','8412','02', '11000003','00','Request By Omair Ali 09-Sep-2024 Uploaded Premium');</v>
      </c>
      <c r="G7" s="22" t="str">
        <f t="shared" si="2"/>
        <v>insert into ins_premium_det (premium_rcv_code,assorted_code, rec_amount,premium_rcv_detail_code,remaining_amt, payrec, mode_code,coinsurance_code,class_cd,IT_REMARKS) values('11Sep240220','040000177861','8412',(select max(to_number(i.premium_rcv_detail_code))+1 from ins_premium_det i),'8412','8412','02', '11000003','00','Request By Omair Ali 09-Sep-2024 Uploaded Premium');</v>
      </c>
    </row>
    <row r="8" spans="1:7" ht="135" x14ac:dyDescent="0.25">
      <c r="A8" t="s">
        <v>11</v>
      </c>
      <c r="B8" s="23" t="str">
        <f>VLOOKUP(A8,[3]Sheet1!$B:$C,2,0)</f>
        <v>040000177870</v>
      </c>
      <c r="C8" s="24">
        <f>VLOOKUP(A8,Sheet2!A67:B122,2,0)</f>
        <v>8265</v>
      </c>
      <c r="D8" s="16" t="s">
        <v>94</v>
      </c>
      <c r="E8" s="20" t="str">
        <f t="shared" si="0"/>
        <v>insert into ins_premium_det (premium_rcv_code,assorted_code, rec_amount,premium_rcv_detail_code,remaining_amt, payrec, mode_code,coinsurance_code,class_cd,IT_REMARKS) values</v>
      </c>
      <c r="F8" s="21" t="str">
        <f t="shared" si="1"/>
        <v>('11Sep240220','040000177870','8265',(select max(to_number(i.premium_rcv_detail_code))+1 from ins_premium_det i),'8265','8265','02', '11000003','00','Request By Omair Ali 09-Sep-2024 Uploaded Premium');</v>
      </c>
      <c r="G8" s="22" t="str">
        <f t="shared" si="2"/>
        <v>insert into ins_premium_det (premium_rcv_code,assorted_code, rec_amount,premium_rcv_detail_code,remaining_amt, payrec, mode_code,coinsurance_code,class_cd,IT_REMARKS) values('11Sep240220','040000177870','8265',(select max(to_number(i.premium_rcv_detail_code))+1 from ins_premium_det i),'8265','8265','02', '11000003','00','Request By Omair Ali 09-Sep-2024 Uploaded Premium');</v>
      </c>
    </row>
    <row r="9" spans="1:7" ht="135" x14ac:dyDescent="0.25">
      <c r="A9" t="s">
        <v>12</v>
      </c>
      <c r="B9" s="23" t="str">
        <f>VLOOKUP(A9,[3]Sheet1!$B:$C,2,0)</f>
        <v>040000177871</v>
      </c>
      <c r="C9" s="24">
        <f>VLOOKUP(A9,Sheet2!A68:B123,2,0)</f>
        <v>13535</v>
      </c>
      <c r="D9" s="16" t="s">
        <v>94</v>
      </c>
      <c r="E9" s="20" t="str">
        <f t="shared" si="0"/>
        <v>insert into ins_premium_det (premium_rcv_code,assorted_code, rec_amount,premium_rcv_detail_code,remaining_amt, payrec, mode_code,coinsurance_code,class_cd,IT_REMARKS) values</v>
      </c>
      <c r="F9" s="21" t="str">
        <f t="shared" si="1"/>
        <v>('11Sep240220','040000177871','13535',(select max(to_number(i.premium_rcv_detail_code))+1 from ins_premium_det i),'13535','13535','02', '11000003','00','Request By Omair Ali 09-Sep-2024 Uploaded Premium');</v>
      </c>
      <c r="G9" s="22" t="str">
        <f t="shared" si="2"/>
        <v>insert into ins_premium_det (premium_rcv_code,assorted_code, rec_amount,premium_rcv_detail_code,remaining_amt, payrec, mode_code,coinsurance_code,class_cd,IT_REMARKS) values('11Sep240220','040000177871','13535',(select max(to_number(i.premium_rcv_detail_code))+1 from ins_premium_det i),'13535','13535','02', '11000003','00','Request By Omair Ali 09-Sep-2024 Uploaded Premium');</v>
      </c>
    </row>
    <row r="10" spans="1:7" ht="135" x14ac:dyDescent="0.25">
      <c r="A10" t="s">
        <v>13</v>
      </c>
      <c r="B10" s="23" t="str">
        <f>VLOOKUP(A10,[3]Sheet1!$B:$C,2,0)</f>
        <v>040000177954</v>
      </c>
      <c r="C10" s="24">
        <f>VLOOKUP(A10,Sheet2!A69:B124,2,0)</f>
        <v>795</v>
      </c>
      <c r="D10" s="16" t="s">
        <v>94</v>
      </c>
      <c r="E10" s="20" t="str">
        <f t="shared" si="0"/>
        <v>insert into ins_premium_det (premium_rcv_code,assorted_code, rec_amount,premium_rcv_detail_code,remaining_amt, payrec, mode_code,coinsurance_code,class_cd,IT_REMARKS) values</v>
      </c>
      <c r="F10" s="21" t="str">
        <f t="shared" si="1"/>
        <v>('11Sep240220','040000177954','795',(select max(to_number(i.premium_rcv_detail_code))+1 from ins_premium_det i),'795','795','02', '11000003','00','Request By Omair Ali 09-Sep-2024 Uploaded Premium');</v>
      </c>
      <c r="G10" s="22" t="str">
        <f t="shared" si="2"/>
        <v>insert into ins_premium_det (premium_rcv_code,assorted_code, rec_amount,premium_rcv_detail_code,remaining_amt, payrec, mode_code,coinsurance_code,class_cd,IT_REMARKS) values('11Sep240220','040000177954','795',(select max(to_number(i.premium_rcv_detail_code))+1 from ins_premium_det i),'795','795','02', '11000003','00','Request By Omair Ali 09-Sep-2024 Uploaded Premium');</v>
      </c>
    </row>
    <row r="11" spans="1:7" ht="135" x14ac:dyDescent="0.25">
      <c r="A11" t="s">
        <v>14</v>
      </c>
      <c r="B11" s="23" t="str">
        <f>VLOOKUP(A11,[3]Sheet1!$B:$C,2,0)</f>
        <v>040000177978</v>
      </c>
      <c r="C11" s="24">
        <f>VLOOKUP(A11,Sheet2!A70:B125,2,0)</f>
        <v>14179</v>
      </c>
      <c r="D11" s="16" t="s">
        <v>94</v>
      </c>
      <c r="E11" s="20" t="str">
        <f t="shared" si="0"/>
        <v>insert into ins_premium_det (premium_rcv_code,assorted_code, rec_amount,premium_rcv_detail_code,remaining_amt, payrec, mode_code,coinsurance_code,class_cd,IT_REMARKS) values</v>
      </c>
      <c r="F11" s="21" t="str">
        <f t="shared" si="1"/>
        <v>('11Sep240220','040000177978','14179',(select max(to_number(i.premium_rcv_detail_code))+1 from ins_premium_det i),'14179','14179','02', '11000003','00','Request By Omair Ali 09-Sep-2024 Uploaded Premium');</v>
      </c>
      <c r="G11" s="22" t="str">
        <f t="shared" si="2"/>
        <v>insert into ins_premium_det (premium_rcv_code,assorted_code, rec_amount,premium_rcv_detail_code,remaining_amt, payrec, mode_code,coinsurance_code,class_cd,IT_REMARKS) values('11Sep240220','040000177978','14179',(select max(to_number(i.premium_rcv_detail_code))+1 from ins_premium_det i),'14179','14179','02', '11000003','00','Request By Omair Ali 09-Sep-2024 Uploaded Premium');</v>
      </c>
    </row>
    <row r="12" spans="1:7" ht="135" x14ac:dyDescent="0.25">
      <c r="A12" t="s">
        <v>15</v>
      </c>
      <c r="B12" s="23" t="str">
        <f>VLOOKUP(A12,[3]Sheet1!$B:$C,2,0)</f>
        <v>040000177979</v>
      </c>
      <c r="C12" s="24">
        <f>VLOOKUP(A12,Sheet2!A71:B126,2,0)</f>
        <v>10125</v>
      </c>
      <c r="D12" s="16" t="s">
        <v>94</v>
      </c>
      <c r="E12" s="20" t="str">
        <f t="shared" si="0"/>
        <v>insert into ins_premium_det (premium_rcv_code,assorted_code, rec_amount,premium_rcv_detail_code,remaining_amt, payrec, mode_code,coinsurance_code,class_cd,IT_REMARKS) values</v>
      </c>
      <c r="F12" s="21" t="str">
        <f t="shared" si="1"/>
        <v>('11Sep240220','040000177979','10125',(select max(to_number(i.premium_rcv_detail_code))+1 from ins_premium_det i),'10125','10125','02', '11000003','00','Request By Omair Ali 09-Sep-2024 Uploaded Premium');</v>
      </c>
      <c r="G12" s="22" t="str">
        <f t="shared" si="2"/>
        <v>insert into ins_premium_det (premium_rcv_code,assorted_code, rec_amount,premium_rcv_detail_code,remaining_amt, payrec, mode_code,coinsurance_code,class_cd,IT_REMARKS) values('11Sep240220','040000177979','10125',(select max(to_number(i.premium_rcv_detail_code))+1 from ins_premium_det i),'10125','10125','02', '11000003','00','Request By Omair Ali 09-Sep-2024 Uploaded Premium');</v>
      </c>
    </row>
    <row r="13" spans="1:7" ht="135" x14ac:dyDescent="0.25">
      <c r="A13" t="s">
        <v>16</v>
      </c>
      <c r="B13" s="23" t="str">
        <f>VLOOKUP(A13,[3]Sheet1!$B:$C,2,0)</f>
        <v>040000178156</v>
      </c>
      <c r="C13" s="24">
        <f>VLOOKUP(A13,Sheet2!A72:B127,2,0)</f>
        <v>5485</v>
      </c>
      <c r="D13" s="16" t="s">
        <v>94</v>
      </c>
      <c r="E13" s="20" t="str">
        <f t="shared" si="0"/>
        <v>insert into ins_premium_det (premium_rcv_code,assorted_code, rec_amount,premium_rcv_detail_code,remaining_amt, payrec, mode_code,coinsurance_code,class_cd,IT_REMARKS) values</v>
      </c>
      <c r="F13" s="21" t="str">
        <f t="shared" si="1"/>
        <v>('11Sep240220','040000178156','5485',(select max(to_number(i.premium_rcv_detail_code))+1 from ins_premium_det i),'5485','5485','02', '11000003','00','Request By Omair Ali 09-Sep-2024 Uploaded Premium');</v>
      </c>
      <c r="G13" s="22" t="str">
        <f t="shared" si="2"/>
        <v>insert into ins_premium_det (premium_rcv_code,assorted_code, rec_amount,premium_rcv_detail_code,remaining_amt, payrec, mode_code,coinsurance_code,class_cd,IT_REMARKS) values('11Sep240220','040000178156','5485',(select max(to_number(i.premium_rcv_detail_code))+1 from ins_premium_det i),'5485','5485','02', '11000003','00','Request By Omair Ali 09-Sep-2024 Uploaded Premium');</v>
      </c>
    </row>
    <row r="14" spans="1:7" ht="135" x14ac:dyDescent="0.25">
      <c r="A14" t="s">
        <v>17</v>
      </c>
      <c r="B14" s="23" t="str">
        <f>VLOOKUP(A14,[3]Sheet1!$B:$C,2,0)</f>
        <v>040000178158</v>
      </c>
      <c r="C14" s="24">
        <f>VLOOKUP(A14,Sheet2!A73:B128,2,0)</f>
        <v>3910</v>
      </c>
      <c r="D14" s="16" t="s">
        <v>94</v>
      </c>
      <c r="E14" s="20" t="str">
        <f t="shared" si="0"/>
        <v>insert into ins_premium_det (premium_rcv_code,assorted_code, rec_amount,premium_rcv_detail_code,remaining_amt, payrec, mode_code,coinsurance_code,class_cd,IT_REMARKS) values</v>
      </c>
      <c r="F14" s="21" t="str">
        <f t="shared" si="1"/>
        <v>('11Sep240220','040000178158','3910',(select max(to_number(i.premium_rcv_detail_code))+1 from ins_premium_det i),'3910','3910','02', '11000003','00','Request By Omair Ali 09-Sep-2024 Uploaded Premium');</v>
      </c>
      <c r="G14" s="22" t="str">
        <f t="shared" si="2"/>
        <v>insert into ins_premium_det (premium_rcv_code,assorted_code, rec_amount,premium_rcv_detail_code,remaining_amt, payrec, mode_code,coinsurance_code,class_cd,IT_REMARKS) values('11Sep240220','040000178158','3910',(select max(to_number(i.premium_rcv_detail_code))+1 from ins_premium_det i),'3910','3910','02', '11000003','00','Request By Omair Ali 09-Sep-2024 Uploaded Premium');</v>
      </c>
    </row>
    <row r="15" spans="1:7" ht="135" x14ac:dyDescent="0.25">
      <c r="A15" t="s">
        <v>18</v>
      </c>
      <c r="B15" s="23" t="str">
        <f>VLOOKUP(A15,[3]Sheet1!$B:$C,2,0)</f>
        <v>040000178792</v>
      </c>
      <c r="C15" s="24">
        <f>VLOOKUP(A15,Sheet2!A74:B129,2,0)</f>
        <v>28430</v>
      </c>
      <c r="D15" s="16" t="s">
        <v>94</v>
      </c>
      <c r="E15" s="20" t="str">
        <f t="shared" si="0"/>
        <v>insert into ins_premium_det (premium_rcv_code,assorted_code, rec_amount,premium_rcv_detail_code,remaining_amt, payrec, mode_code,coinsurance_code,class_cd,IT_REMARKS) values</v>
      </c>
      <c r="F15" s="21" t="str">
        <f t="shared" si="1"/>
        <v>('11Sep240220','040000178792','28430',(select max(to_number(i.premium_rcv_detail_code))+1 from ins_premium_det i),'28430','28430','02', '11000003','00','Request By Omair Ali 09-Sep-2024 Uploaded Premium');</v>
      </c>
      <c r="G15" s="22" t="str">
        <f t="shared" si="2"/>
        <v>insert into ins_premium_det (premium_rcv_code,assorted_code, rec_amount,premium_rcv_detail_code,remaining_amt, payrec, mode_code,coinsurance_code,class_cd,IT_REMARKS) values('11Sep240220','040000178792','28430',(select max(to_number(i.premium_rcv_detail_code))+1 from ins_premium_det i),'28430','28430','02', '11000003','00','Request By Omair Ali 09-Sep-2024 Uploaded Premium');</v>
      </c>
    </row>
    <row r="16" spans="1:7" ht="135" x14ac:dyDescent="0.25">
      <c r="A16" t="s">
        <v>19</v>
      </c>
      <c r="B16" s="23" t="str">
        <f>VLOOKUP(A16,[3]Sheet1!$B:$C,2,0)</f>
        <v>040000178793</v>
      </c>
      <c r="C16" s="24">
        <f>VLOOKUP(A16,Sheet2!A75:B130,2,0)</f>
        <v>22785</v>
      </c>
      <c r="D16" s="16" t="s">
        <v>94</v>
      </c>
      <c r="E16" s="20" t="str">
        <f t="shared" si="0"/>
        <v>insert into ins_premium_det (premium_rcv_code,assorted_code, rec_amount,premium_rcv_detail_code,remaining_amt, payrec, mode_code,coinsurance_code,class_cd,IT_REMARKS) values</v>
      </c>
      <c r="F16" s="21" t="str">
        <f t="shared" si="1"/>
        <v>('11Sep240220','040000178793','22785',(select max(to_number(i.premium_rcv_detail_code))+1 from ins_premium_det i),'22785','22785','02', '11000003','00','Request By Omair Ali 09-Sep-2024 Uploaded Premium');</v>
      </c>
      <c r="G16" s="22" t="str">
        <f t="shared" si="2"/>
        <v>insert into ins_premium_det (premium_rcv_code,assorted_code, rec_amount,premium_rcv_detail_code,remaining_amt, payrec, mode_code,coinsurance_code,class_cd,IT_REMARKS) values('11Sep240220','040000178793','22785',(select max(to_number(i.premium_rcv_detail_code))+1 from ins_premium_det i),'22785','22785','02', '11000003','00','Request By Omair Ali 09-Sep-2024 Uploaded Premium');</v>
      </c>
    </row>
    <row r="17" spans="1:7" ht="135" x14ac:dyDescent="0.25">
      <c r="A17" t="s">
        <v>20</v>
      </c>
      <c r="B17" s="23" t="str">
        <f>VLOOKUP(A17,[3]Sheet1!$B:$C,2,0)</f>
        <v>040000178873</v>
      </c>
      <c r="C17" s="24">
        <f>VLOOKUP(A17,Sheet2!A76:B131,2,0)</f>
        <v>10600</v>
      </c>
      <c r="D17" s="16" t="s">
        <v>94</v>
      </c>
      <c r="E17" s="20" t="str">
        <f t="shared" si="0"/>
        <v>insert into ins_premium_det (premium_rcv_code,assorted_code, rec_amount,premium_rcv_detail_code,remaining_amt, payrec, mode_code,coinsurance_code,class_cd,IT_REMARKS) values</v>
      </c>
      <c r="F17" s="21" t="str">
        <f t="shared" si="1"/>
        <v>('11Sep240220','040000178873','10600',(select max(to_number(i.premium_rcv_detail_code))+1 from ins_premium_det i),'10600','10600','02', '11000003','00','Request By Omair Ali 09-Sep-2024 Uploaded Premium');</v>
      </c>
      <c r="G17" s="22" t="str">
        <f t="shared" si="2"/>
        <v>insert into ins_premium_det (premium_rcv_code,assorted_code, rec_amount,premium_rcv_detail_code,remaining_amt, payrec, mode_code,coinsurance_code,class_cd,IT_REMARKS) values('11Sep240220','040000178873','10600',(select max(to_number(i.premium_rcv_detail_code))+1 from ins_premium_det i),'10600','10600','02', '11000003','00','Request By Omair Ali 09-Sep-2024 Uploaded Premium');</v>
      </c>
    </row>
    <row r="18" spans="1:7" ht="135" x14ac:dyDescent="0.25">
      <c r="A18" t="s">
        <v>21</v>
      </c>
      <c r="B18" s="23" t="str">
        <f>VLOOKUP(A18,[3]Sheet1!$B:$C,2,0)</f>
        <v>040000179161</v>
      </c>
      <c r="C18" s="24">
        <f>VLOOKUP(A18,Sheet2!A77:B132,2,0)</f>
        <v>1</v>
      </c>
      <c r="D18" s="16" t="s">
        <v>94</v>
      </c>
      <c r="E18" s="20" t="str">
        <f t="shared" si="0"/>
        <v>insert into ins_premium_det (premium_rcv_code,assorted_code, rec_amount,premium_rcv_detail_code,remaining_amt, payrec, mode_code,coinsurance_code,class_cd,IT_REMARKS) values</v>
      </c>
      <c r="F18" s="21" t="str">
        <f t="shared" si="1"/>
        <v>('11Sep240220','040000179161','1',(select max(to_number(i.premium_rcv_detail_code))+1 from ins_premium_det i),'1','1','02', '11000003','00','Request By Omair Ali 09-Sep-2024 Uploaded Premium');</v>
      </c>
      <c r="G18" s="22" t="str">
        <f t="shared" si="2"/>
        <v>insert into ins_premium_det (premium_rcv_code,assorted_code, rec_amount,premium_rcv_detail_code,remaining_amt, payrec, mode_code,coinsurance_code,class_cd,IT_REMARKS) values('11Sep240220','040000179161','1',(select max(to_number(i.premium_rcv_detail_code))+1 from ins_premium_det i),'1','1','02', '11000003','00','Request By Omair Ali 09-Sep-2024 Uploaded Premium');</v>
      </c>
    </row>
    <row r="19" spans="1:7" ht="135" x14ac:dyDescent="0.25">
      <c r="A19" t="s">
        <v>22</v>
      </c>
      <c r="B19" s="23" t="str">
        <f>VLOOKUP(A19,[3]Sheet1!$B:$C,2,0)</f>
        <v>040000179377</v>
      </c>
      <c r="C19" s="24">
        <f>VLOOKUP(A19,Sheet2!A78:B133,2,0)</f>
        <v>5203</v>
      </c>
      <c r="D19" s="16" t="s">
        <v>94</v>
      </c>
      <c r="E19" s="20" t="str">
        <f t="shared" si="0"/>
        <v>insert into ins_premium_det (premium_rcv_code,assorted_code, rec_amount,premium_rcv_detail_code,remaining_amt, payrec, mode_code,coinsurance_code,class_cd,IT_REMARKS) values</v>
      </c>
      <c r="F19" s="21" t="str">
        <f t="shared" si="1"/>
        <v>('11Sep240220','040000179377','5203',(select max(to_number(i.premium_rcv_detail_code))+1 from ins_premium_det i),'5203','5203','02', '11000003','00','Request By Omair Ali 09-Sep-2024 Uploaded Premium');</v>
      </c>
      <c r="G19" s="22" t="str">
        <f t="shared" si="2"/>
        <v>insert into ins_premium_det (premium_rcv_code,assorted_code, rec_amount,premium_rcv_detail_code,remaining_amt, payrec, mode_code,coinsurance_code,class_cd,IT_REMARKS) values('11Sep240220','040000179377','5203',(select max(to_number(i.premium_rcv_detail_code))+1 from ins_premium_det i),'5203','5203','02', '11000003','00','Request By Omair Ali 09-Sep-2024 Uploaded Premium');</v>
      </c>
    </row>
    <row r="20" spans="1:7" ht="135" x14ac:dyDescent="0.25">
      <c r="A20" t="s">
        <v>23</v>
      </c>
      <c r="B20" s="23" t="str">
        <f>VLOOKUP(A20,[3]Sheet1!$B:$C,2,0)</f>
        <v>040000179518</v>
      </c>
      <c r="C20" s="24">
        <f>VLOOKUP(A20,Sheet2!A79:B134,2,0)</f>
        <v>3</v>
      </c>
      <c r="D20" s="16" t="s">
        <v>94</v>
      </c>
      <c r="E20" s="20" t="str">
        <f t="shared" si="0"/>
        <v>insert into ins_premium_det (premium_rcv_code,assorted_code, rec_amount,premium_rcv_detail_code,remaining_amt, payrec, mode_code,coinsurance_code,class_cd,IT_REMARKS) values</v>
      </c>
      <c r="F20" s="21" t="str">
        <f t="shared" si="1"/>
        <v>('11Sep240220','040000179518','3',(select max(to_number(i.premium_rcv_detail_code))+1 from ins_premium_det i),'3','3','02', '11000003','00','Request By Omair Ali 09-Sep-2024 Uploaded Premium');</v>
      </c>
      <c r="G20" s="22" t="str">
        <f t="shared" si="2"/>
        <v>insert into ins_premium_det (premium_rcv_code,assorted_code, rec_amount,premium_rcv_detail_code,remaining_amt, payrec, mode_code,coinsurance_code,class_cd,IT_REMARKS) values('11Sep240220','040000179518','3',(select max(to_number(i.premium_rcv_detail_code))+1 from ins_premium_det i),'3','3','02', '11000003','00','Request By Omair Ali 09-Sep-2024 Uploaded Premium');</v>
      </c>
    </row>
    <row r="21" spans="1:7" ht="135" x14ac:dyDescent="0.25">
      <c r="A21" t="s">
        <v>24</v>
      </c>
      <c r="B21" s="23" t="str">
        <f>VLOOKUP(A21,[3]Sheet1!$B:$C,2,0)</f>
        <v>040000179541</v>
      </c>
      <c r="C21" s="24">
        <f>VLOOKUP(A21,Sheet2!A80:B135,2,0)</f>
        <v>4860</v>
      </c>
      <c r="D21" s="16" t="s">
        <v>94</v>
      </c>
      <c r="E21" s="20" t="str">
        <f t="shared" si="0"/>
        <v>insert into ins_premium_det (premium_rcv_code,assorted_code, rec_amount,premium_rcv_detail_code,remaining_amt, payrec, mode_code,coinsurance_code,class_cd,IT_REMARKS) values</v>
      </c>
      <c r="F21" s="21" t="str">
        <f t="shared" si="1"/>
        <v>('11Sep240220','040000179541','4860',(select max(to_number(i.premium_rcv_detail_code))+1 from ins_premium_det i),'4860','4860','02', '11000003','00','Request By Omair Ali 09-Sep-2024 Uploaded Premium');</v>
      </c>
      <c r="G21" s="22" t="str">
        <f t="shared" si="2"/>
        <v>insert into ins_premium_det (premium_rcv_code,assorted_code, rec_amount,premium_rcv_detail_code,remaining_amt, payrec, mode_code,coinsurance_code,class_cd,IT_REMARKS) values('11Sep240220','040000179541','4860',(select max(to_number(i.premium_rcv_detail_code))+1 from ins_premium_det i),'4860','4860','02', '11000003','00','Request By Omair Ali 09-Sep-2024 Uploaded Premium');</v>
      </c>
    </row>
    <row r="22" spans="1:7" ht="135" x14ac:dyDescent="0.25">
      <c r="A22" t="s">
        <v>25</v>
      </c>
      <c r="B22" s="23" t="str">
        <f>VLOOKUP(A22,[3]Sheet1!$B:$C,2,0)</f>
        <v>040000179686</v>
      </c>
      <c r="C22" s="24">
        <f>VLOOKUP(A22,Sheet2!A81:B136,2,0)</f>
        <v>21802</v>
      </c>
      <c r="D22" s="16" t="s">
        <v>94</v>
      </c>
      <c r="E22" s="20" t="str">
        <f t="shared" si="0"/>
        <v>insert into ins_premium_det (premium_rcv_code,assorted_code, rec_amount,premium_rcv_detail_code,remaining_amt, payrec, mode_code,coinsurance_code,class_cd,IT_REMARKS) values</v>
      </c>
      <c r="F22" s="21" t="str">
        <f t="shared" si="1"/>
        <v>('11Sep240220','040000179686','21802',(select max(to_number(i.premium_rcv_detail_code))+1 from ins_premium_det i),'21802','21802','02', '11000003','00','Request By Omair Ali 09-Sep-2024 Uploaded Premium');</v>
      </c>
      <c r="G22" s="22" t="str">
        <f t="shared" si="2"/>
        <v>insert into ins_premium_det (premium_rcv_code,assorted_code, rec_amount,premium_rcv_detail_code,remaining_amt, payrec, mode_code,coinsurance_code,class_cd,IT_REMARKS) values('11Sep240220','040000179686','21802',(select max(to_number(i.premium_rcv_detail_code))+1 from ins_premium_det i),'21802','21802','02', '11000003','00','Request By Omair Ali 09-Sep-2024 Uploaded Premium');</v>
      </c>
    </row>
    <row r="23" spans="1:7" ht="135" x14ac:dyDescent="0.25">
      <c r="A23" t="s">
        <v>26</v>
      </c>
      <c r="B23" s="23" t="str">
        <f>VLOOKUP(A23,[3]Sheet1!$B:$C,2,0)</f>
        <v>040000179689</v>
      </c>
      <c r="C23" s="24">
        <f>VLOOKUP(A23,Sheet2!A82:B137,2,0)</f>
        <v>26321</v>
      </c>
      <c r="D23" s="16" t="s">
        <v>94</v>
      </c>
      <c r="E23" s="20" t="str">
        <f t="shared" si="0"/>
        <v>insert into ins_premium_det (premium_rcv_code,assorted_code, rec_amount,premium_rcv_detail_code,remaining_amt, payrec, mode_code,coinsurance_code,class_cd,IT_REMARKS) values</v>
      </c>
      <c r="F23" s="21" t="str">
        <f t="shared" si="1"/>
        <v>('11Sep240220','040000179689','26321',(select max(to_number(i.premium_rcv_detail_code))+1 from ins_premium_det i),'26321','26321','02', '11000003','00','Request By Omair Ali 09-Sep-2024 Uploaded Premium');</v>
      </c>
      <c r="G23" s="22" t="str">
        <f t="shared" si="2"/>
        <v>insert into ins_premium_det (premium_rcv_code,assorted_code, rec_amount,premium_rcv_detail_code,remaining_amt, payrec, mode_code,coinsurance_code,class_cd,IT_REMARKS) values('11Sep240220','040000179689','26321',(select max(to_number(i.premium_rcv_detail_code))+1 from ins_premium_det i),'26321','26321','02', '11000003','00','Request By Omair Ali 09-Sep-2024 Uploaded Premium');</v>
      </c>
    </row>
    <row r="24" spans="1:7" ht="135" x14ac:dyDescent="0.25">
      <c r="A24" t="s">
        <v>27</v>
      </c>
      <c r="B24" s="23" t="str">
        <f>VLOOKUP(A24,[3]Sheet1!$B:$C,2,0)</f>
        <v>040000179937</v>
      </c>
      <c r="C24" s="24">
        <f>VLOOKUP(A24,Sheet2!A83:B138,2,0)</f>
        <v>5478</v>
      </c>
      <c r="D24" s="16" t="s">
        <v>94</v>
      </c>
      <c r="E24" s="20" t="str">
        <f t="shared" si="0"/>
        <v>insert into ins_premium_det (premium_rcv_code,assorted_code, rec_amount,premium_rcv_detail_code,remaining_amt, payrec, mode_code,coinsurance_code,class_cd,IT_REMARKS) values</v>
      </c>
      <c r="F24" s="21" t="str">
        <f t="shared" si="1"/>
        <v>('11Sep240220','040000179937','5478',(select max(to_number(i.premium_rcv_detail_code))+1 from ins_premium_det i),'5478','5478','02', '11000003','00','Request By Omair Ali 09-Sep-2024 Uploaded Premium');</v>
      </c>
      <c r="G24" s="22" t="str">
        <f t="shared" si="2"/>
        <v>insert into ins_premium_det (premium_rcv_code,assorted_code, rec_amount,premium_rcv_detail_code,remaining_amt, payrec, mode_code,coinsurance_code,class_cd,IT_REMARKS) values('11Sep240220','040000179937','5478',(select max(to_number(i.premium_rcv_detail_code))+1 from ins_premium_det i),'5478','5478','02', '11000003','00','Request By Omair Ali 09-Sep-2024 Uploaded Premium');</v>
      </c>
    </row>
    <row r="25" spans="1:7" ht="135" x14ac:dyDescent="0.25">
      <c r="A25" t="s">
        <v>28</v>
      </c>
      <c r="B25" s="23" t="str">
        <f>VLOOKUP(A25,[3]Sheet1!$B:$C,2,0)</f>
        <v>040000179938</v>
      </c>
      <c r="C25" s="24">
        <f>VLOOKUP(A25,Sheet2!A84:B139,2,0)</f>
        <v>8903</v>
      </c>
      <c r="D25" s="16" t="s">
        <v>94</v>
      </c>
      <c r="E25" s="20" t="str">
        <f t="shared" si="0"/>
        <v>insert into ins_premium_det (premium_rcv_code,assorted_code, rec_amount,premium_rcv_detail_code,remaining_amt, payrec, mode_code,coinsurance_code,class_cd,IT_REMARKS) values</v>
      </c>
      <c r="F25" s="21" t="str">
        <f t="shared" si="1"/>
        <v>('11Sep240220','040000179938','8903',(select max(to_number(i.premium_rcv_detail_code))+1 from ins_premium_det i),'8903','8903','02', '11000003','00','Request By Omair Ali 09-Sep-2024 Uploaded Premium');</v>
      </c>
      <c r="G25" s="22" t="str">
        <f t="shared" si="2"/>
        <v>insert into ins_premium_det (premium_rcv_code,assorted_code, rec_amount,premium_rcv_detail_code,remaining_amt, payrec, mode_code,coinsurance_code,class_cd,IT_REMARKS) values('11Sep240220','040000179938','8903',(select max(to_number(i.premium_rcv_detail_code))+1 from ins_premium_det i),'8903','8903','02', '11000003','00','Request By Omair Ali 09-Sep-2024 Uploaded Premium');</v>
      </c>
    </row>
    <row r="26" spans="1:7" ht="135" x14ac:dyDescent="0.25">
      <c r="A26" t="s">
        <v>29</v>
      </c>
      <c r="B26" s="23" t="str">
        <f>VLOOKUP(A26,[3]Sheet1!$B:$C,2,0)</f>
        <v>040000179941</v>
      </c>
      <c r="C26" s="24">
        <f>VLOOKUP(A26,Sheet2!A85:B140,2,0)</f>
        <v>20283</v>
      </c>
      <c r="D26" s="16" t="s">
        <v>94</v>
      </c>
      <c r="E26" s="20" t="str">
        <f t="shared" si="0"/>
        <v>insert into ins_premium_det (premium_rcv_code,assorted_code, rec_amount,premium_rcv_detail_code,remaining_amt, payrec, mode_code,coinsurance_code,class_cd,IT_REMARKS) values</v>
      </c>
      <c r="F26" s="21" t="str">
        <f t="shared" si="1"/>
        <v>('11Sep240220','040000179941','20283',(select max(to_number(i.premium_rcv_detail_code))+1 from ins_premium_det i),'20283','20283','02', '11000003','00','Request By Omair Ali 09-Sep-2024 Uploaded Premium');</v>
      </c>
      <c r="G26" s="22" t="str">
        <f t="shared" si="2"/>
        <v>insert into ins_premium_det (premium_rcv_code,assorted_code, rec_amount,premium_rcv_detail_code,remaining_amt, payrec, mode_code,coinsurance_code,class_cd,IT_REMARKS) values('11Sep240220','040000179941','20283',(select max(to_number(i.premium_rcv_detail_code))+1 from ins_premium_det i),'20283','20283','02', '11000003','00','Request By Omair Ali 09-Sep-2024 Uploaded Premium');</v>
      </c>
    </row>
    <row r="27" spans="1:7" ht="135" x14ac:dyDescent="0.25">
      <c r="A27" t="s">
        <v>30</v>
      </c>
      <c r="B27" s="23" t="str">
        <f>VLOOKUP(A27,[3]Sheet1!$B:$C,2,0)</f>
        <v>040000179942</v>
      </c>
      <c r="C27" s="24">
        <f>VLOOKUP(A27,Sheet2!A86:B141,2,0)</f>
        <v>28007</v>
      </c>
      <c r="D27" s="16" t="s">
        <v>94</v>
      </c>
      <c r="E27" s="20" t="str">
        <f t="shared" si="0"/>
        <v>insert into ins_premium_det (premium_rcv_code,assorted_code, rec_amount,premium_rcv_detail_code,remaining_amt, payrec, mode_code,coinsurance_code,class_cd,IT_REMARKS) values</v>
      </c>
      <c r="F27" s="21" t="str">
        <f t="shared" si="1"/>
        <v>('11Sep240220','040000179942','28007',(select max(to_number(i.premium_rcv_detail_code))+1 from ins_premium_det i),'28007','28007','02', '11000003','00','Request By Omair Ali 09-Sep-2024 Uploaded Premium');</v>
      </c>
      <c r="G27" s="22" t="str">
        <f t="shared" si="2"/>
        <v>insert into ins_premium_det (premium_rcv_code,assorted_code, rec_amount,premium_rcv_detail_code,remaining_amt, payrec, mode_code,coinsurance_code,class_cd,IT_REMARKS) values('11Sep240220','040000179942','28007',(select max(to_number(i.premium_rcv_detail_code))+1 from ins_premium_det i),'28007','28007','02', '11000003','00','Request By Omair Ali 09-Sep-2024 Uploaded Premium');</v>
      </c>
    </row>
    <row r="28" spans="1:7" ht="135" x14ac:dyDescent="0.25">
      <c r="A28" t="s">
        <v>31</v>
      </c>
      <c r="B28" s="23" t="str">
        <f>VLOOKUP(A28,[3]Sheet1!$B:$C,2,0)</f>
        <v>040000180144</v>
      </c>
      <c r="C28" s="24">
        <f>VLOOKUP(A28,Sheet2!A87:B142,2,0)</f>
        <v>19135</v>
      </c>
      <c r="D28" s="16" t="s">
        <v>94</v>
      </c>
      <c r="E28" s="20" t="str">
        <f t="shared" si="0"/>
        <v>insert into ins_premium_det (premium_rcv_code,assorted_code, rec_amount,premium_rcv_detail_code,remaining_amt, payrec, mode_code,coinsurance_code,class_cd,IT_REMARKS) values</v>
      </c>
      <c r="F28" s="21" t="str">
        <f t="shared" si="1"/>
        <v>('11Sep240220','040000180144','19135',(select max(to_number(i.premium_rcv_detail_code))+1 from ins_premium_det i),'19135','19135','02', '11000003','00','Request By Omair Ali 09-Sep-2024 Uploaded Premium');</v>
      </c>
      <c r="G28" s="22" t="str">
        <f t="shared" si="2"/>
        <v>insert into ins_premium_det (premium_rcv_code,assorted_code, rec_amount,premium_rcv_detail_code,remaining_amt, payrec, mode_code,coinsurance_code,class_cd,IT_REMARKS) values('11Sep240220','040000180144','19135',(select max(to_number(i.premium_rcv_detail_code))+1 from ins_premium_det i),'19135','19135','02', '11000003','00','Request By Omair Ali 09-Sep-2024 Uploaded Premium');</v>
      </c>
    </row>
    <row r="29" spans="1:7" ht="135" x14ac:dyDescent="0.25">
      <c r="A29" t="s">
        <v>32</v>
      </c>
      <c r="B29" s="23" t="str">
        <f>VLOOKUP(A29,[3]Sheet1!$B:$C,2,0)</f>
        <v>040000180145</v>
      </c>
      <c r="C29" s="24">
        <f>VLOOKUP(A29,Sheet2!A88:B143,2,0)</f>
        <v>46065</v>
      </c>
      <c r="D29" s="16" t="s">
        <v>94</v>
      </c>
      <c r="E29" s="20" t="str">
        <f t="shared" si="0"/>
        <v>insert into ins_premium_det (premium_rcv_code,assorted_code, rec_amount,premium_rcv_detail_code,remaining_amt, payrec, mode_code,coinsurance_code,class_cd,IT_REMARKS) values</v>
      </c>
      <c r="F29" s="21" t="str">
        <f t="shared" si="1"/>
        <v>('11Sep240220','040000180145','46065',(select max(to_number(i.premium_rcv_detail_code))+1 from ins_premium_det i),'46065','46065','02', '11000003','00','Request By Omair Ali 09-Sep-2024 Uploaded Premium');</v>
      </c>
      <c r="G29" s="22" t="str">
        <f t="shared" si="2"/>
        <v>insert into ins_premium_det (premium_rcv_code,assorted_code, rec_amount,premium_rcv_detail_code,remaining_amt, payrec, mode_code,coinsurance_code,class_cd,IT_REMARKS) values('11Sep240220','040000180145','46065',(select max(to_number(i.premium_rcv_detail_code))+1 from ins_premium_det i),'46065','46065','02', '11000003','00','Request By Omair Ali 09-Sep-2024 Uploaded Premium');</v>
      </c>
    </row>
    <row r="30" spans="1:7" ht="135" x14ac:dyDescent="0.25">
      <c r="A30" t="s">
        <v>33</v>
      </c>
      <c r="B30" s="23" t="str">
        <f>VLOOKUP(A30,[3]Sheet1!$B:$C,2,0)</f>
        <v>040000180196</v>
      </c>
      <c r="C30" s="24">
        <f>VLOOKUP(A30,Sheet2!A89:B144,2,0)</f>
        <v>20461</v>
      </c>
      <c r="D30" s="16" t="s">
        <v>94</v>
      </c>
      <c r="E30" s="20" t="str">
        <f t="shared" si="0"/>
        <v>insert into ins_premium_det (premium_rcv_code,assorted_code, rec_amount,premium_rcv_detail_code,remaining_amt, payrec, mode_code,coinsurance_code,class_cd,IT_REMARKS) values</v>
      </c>
      <c r="F30" s="21" t="str">
        <f t="shared" si="1"/>
        <v>('11Sep240220','040000180196','20461',(select max(to_number(i.premium_rcv_detail_code))+1 from ins_premium_det i),'20461','20461','02', '11000003','00','Request By Omair Ali 09-Sep-2024 Uploaded Premium');</v>
      </c>
      <c r="G30" s="22" t="str">
        <f t="shared" si="2"/>
        <v>insert into ins_premium_det (premium_rcv_code,assorted_code, rec_amount,premium_rcv_detail_code,remaining_amt, payrec, mode_code,coinsurance_code,class_cd,IT_REMARKS) values('11Sep240220','040000180196','20461',(select max(to_number(i.premium_rcv_detail_code))+1 from ins_premium_det i),'20461','20461','02', '11000003','00','Request By Omair Ali 09-Sep-2024 Uploaded Premium');</v>
      </c>
    </row>
    <row r="31" spans="1:7" ht="135" x14ac:dyDescent="0.25">
      <c r="A31" t="s">
        <v>34</v>
      </c>
      <c r="B31" s="23" t="str">
        <f>VLOOKUP(A31,[3]Sheet1!$B:$C,2,0)</f>
        <v>040000180198</v>
      </c>
      <c r="C31" s="24">
        <f>VLOOKUP(A31,Sheet2!A90:B145,2,0)</f>
        <v>7635</v>
      </c>
      <c r="D31" s="16" t="s">
        <v>94</v>
      </c>
      <c r="E31" s="20" t="str">
        <f t="shared" si="0"/>
        <v>insert into ins_premium_det (premium_rcv_code,assorted_code, rec_amount,premium_rcv_detail_code,remaining_amt, payrec, mode_code,coinsurance_code,class_cd,IT_REMARKS) values</v>
      </c>
      <c r="F31" s="21" t="str">
        <f t="shared" si="1"/>
        <v>('11Sep240220','040000180198','7635',(select max(to_number(i.premium_rcv_detail_code))+1 from ins_premium_det i),'7635','7635','02', '11000003','00','Request By Omair Ali 09-Sep-2024 Uploaded Premium');</v>
      </c>
      <c r="G31" s="22" t="str">
        <f t="shared" si="2"/>
        <v>insert into ins_premium_det (premium_rcv_code,assorted_code, rec_amount,premium_rcv_detail_code,remaining_amt, payrec, mode_code,coinsurance_code,class_cd,IT_REMARKS) values('11Sep240220','040000180198','7635',(select max(to_number(i.premium_rcv_detail_code))+1 from ins_premium_det i),'7635','7635','02', '11000003','00','Request By Omair Ali 09-Sep-2024 Uploaded Premium');</v>
      </c>
    </row>
    <row r="32" spans="1:7" ht="135" x14ac:dyDescent="0.25">
      <c r="A32" t="s">
        <v>35</v>
      </c>
      <c r="B32" s="23" t="str">
        <f>VLOOKUP(A32,[3]Sheet1!$B:$C,2,0)</f>
        <v>040000180575</v>
      </c>
      <c r="C32" s="24">
        <f>VLOOKUP(A32,Sheet2!A91:B146,2,0)</f>
        <v>6800</v>
      </c>
      <c r="D32" s="16" t="s">
        <v>94</v>
      </c>
      <c r="E32" s="20" t="str">
        <f t="shared" si="0"/>
        <v>insert into ins_premium_det (premium_rcv_code,assorted_code, rec_amount,premium_rcv_detail_code,remaining_amt, payrec, mode_code,coinsurance_code,class_cd,IT_REMARKS) values</v>
      </c>
      <c r="F32" s="21" t="str">
        <f t="shared" si="1"/>
        <v>('11Sep240220','040000180575','6800',(select max(to_number(i.premium_rcv_detail_code))+1 from ins_premium_det i),'6800','6800','02', '11000003','00','Request By Omair Ali 09-Sep-2024 Uploaded Premium');</v>
      </c>
      <c r="G32" s="22" t="str">
        <f t="shared" si="2"/>
        <v>insert into ins_premium_det (premium_rcv_code,assorted_code, rec_amount,premium_rcv_detail_code,remaining_amt, payrec, mode_code,coinsurance_code,class_cd,IT_REMARKS) values('11Sep240220','040000180575','6800',(select max(to_number(i.premium_rcv_detail_code))+1 from ins_premium_det i),'6800','6800','02', '11000003','00','Request By Omair Ali 09-Sep-2024 Uploaded Premium');</v>
      </c>
    </row>
    <row r="33" spans="1:7" ht="135" x14ac:dyDescent="0.25">
      <c r="A33" t="s">
        <v>36</v>
      </c>
      <c r="B33" s="23" t="str">
        <f>VLOOKUP(A33,[3]Sheet1!$B:$C,2,0)</f>
        <v>040000180887</v>
      </c>
      <c r="C33" s="24">
        <f>VLOOKUP(A33,Sheet2!A92:B147,2,0)</f>
        <v>20630</v>
      </c>
      <c r="D33" s="16" t="s">
        <v>94</v>
      </c>
      <c r="E33" s="20" t="str">
        <f t="shared" si="0"/>
        <v>insert into ins_premium_det (premium_rcv_code,assorted_code, rec_amount,premium_rcv_detail_code,remaining_amt, payrec, mode_code,coinsurance_code,class_cd,IT_REMARKS) values</v>
      </c>
      <c r="F33" s="21" t="str">
        <f t="shared" si="1"/>
        <v>('11Sep240220','040000180887','20630',(select max(to_number(i.premium_rcv_detail_code))+1 from ins_premium_det i),'20630','20630','02', '11000003','00','Request By Omair Ali 09-Sep-2024 Uploaded Premium');</v>
      </c>
      <c r="G33" s="22" t="str">
        <f t="shared" si="2"/>
        <v>insert into ins_premium_det (premium_rcv_code,assorted_code, rec_amount,premium_rcv_detail_code,remaining_amt, payrec, mode_code,coinsurance_code,class_cd,IT_REMARKS) values('11Sep240220','040000180887','20630',(select max(to_number(i.premium_rcv_detail_code))+1 from ins_premium_det i),'20630','20630','02', '11000003','00','Request By Omair Ali 09-Sep-2024 Uploaded Premium');</v>
      </c>
    </row>
    <row r="34" spans="1:7" ht="135" x14ac:dyDescent="0.25">
      <c r="A34" t="s">
        <v>37</v>
      </c>
      <c r="B34" s="23" t="str">
        <f>VLOOKUP(A34,[3]Sheet1!$B:$C,2,0)</f>
        <v>040000180954</v>
      </c>
      <c r="C34" s="24">
        <f>VLOOKUP(A34,Sheet2!A93:B148,2,0)</f>
        <v>8558</v>
      </c>
      <c r="D34" s="16" t="s">
        <v>94</v>
      </c>
      <c r="E34" s="20" t="str">
        <f t="shared" si="0"/>
        <v>insert into ins_premium_det (premium_rcv_code,assorted_code, rec_amount,premium_rcv_detail_code,remaining_amt, payrec, mode_code,coinsurance_code,class_cd,IT_REMARKS) values</v>
      </c>
      <c r="F34" s="21" t="str">
        <f t="shared" si="1"/>
        <v>('11Sep240220','040000180954','8558',(select max(to_number(i.premium_rcv_detail_code))+1 from ins_premium_det i),'8558','8558','02', '11000003','00','Request By Omair Ali 09-Sep-2024 Uploaded Premium');</v>
      </c>
      <c r="G34" s="22" t="str">
        <f t="shared" si="2"/>
        <v>insert into ins_premium_det (premium_rcv_code,assorted_code, rec_amount,premium_rcv_detail_code,remaining_amt, payrec, mode_code,coinsurance_code,class_cd,IT_REMARKS) values('11Sep240220','040000180954','8558',(select max(to_number(i.premium_rcv_detail_code))+1 from ins_premium_det i),'8558','8558','02', '11000003','00','Request By Omair Ali 09-Sep-2024 Uploaded Premium');</v>
      </c>
    </row>
    <row r="35" spans="1:7" ht="135" x14ac:dyDescent="0.25">
      <c r="A35" t="s">
        <v>38</v>
      </c>
      <c r="B35" s="23" t="str">
        <f>VLOOKUP(A35,[3]Sheet1!$B:$C,2,0)</f>
        <v>040000180956</v>
      </c>
      <c r="C35" s="24">
        <f>VLOOKUP(A35,Sheet2!A94:B149,2,0)</f>
        <v>14000</v>
      </c>
      <c r="D35" s="16" t="s">
        <v>94</v>
      </c>
      <c r="E35" s="20" t="str">
        <f t="shared" si="0"/>
        <v>insert into ins_premium_det (premium_rcv_code,assorted_code, rec_amount,premium_rcv_detail_code,remaining_amt, payrec, mode_code,coinsurance_code,class_cd,IT_REMARKS) values</v>
      </c>
      <c r="F35" s="21" t="str">
        <f t="shared" si="1"/>
        <v>('11Sep240220','040000180956','14000',(select max(to_number(i.premium_rcv_detail_code))+1 from ins_premium_det i),'14000','14000','02', '11000003','00','Request By Omair Ali 09-Sep-2024 Uploaded Premium');</v>
      </c>
      <c r="G35" s="22" t="str">
        <f t="shared" si="2"/>
        <v>insert into ins_premium_det (premium_rcv_code,assorted_code, rec_amount,premium_rcv_detail_code,remaining_amt, payrec, mode_code,coinsurance_code,class_cd,IT_REMARKS) values('11Sep240220','040000180956','14000',(select max(to_number(i.premium_rcv_detail_code))+1 from ins_premium_det i),'14000','14000','02', '11000003','00','Request By Omair Ali 09-Sep-2024 Uploaded Premium');</v>
      </c>
    </row>
    <row r="36" spans="1:7" ht="135" x14ac:dyDescent="0.25">
      <c r="A36" t="s">
        <v>39</v>
      </c>
      <c r="B36" s="23" t="str">
        <f>VLOOKUP(A36,[3]Sheet1!$B:$C,2,0)</f>
        <v>040000180990</v>
      </c>
      <c r="C36" s="24">
        <f>VLOOKUP(A36,Sheet2!A95:B150,2,0)</f>
        <v>23866</v>
      </c>
      <c r="D36" s="16" t="s">
        <v>94</v>
      </c>
      <c r="E36" s="20" t="str">
        <f t="shared" si="0"/>
        <v>insert into ins_premium_det (premium_rcv_code,assorted_code, rec_amount,premium_rcv_detail_code,remaining_amt, payrec, mode_code,coinsurance_code,class_cd,IT_REMARKS) values</v>
      </c>
      <c r="F36" s="21" t="str">
        <f t="shared" si="1"/>
        <v>('11Sep240220','040000180990','23866',(select max(to_number(i.premium_rcv_detail_code))+1 from ins_premium_det i),'23866','23866','02', '11000003','00','Request By Omair Ali 09-Sep-2024 Uploaded Premium');</v>
      </c>
      <c r="G36" s="22" t="str">
        <f t="shared" si="2"/>
        <v>insert into ins_premium_det (premium_rcv_code,assorted_code, rec_amount,premium_rcv_detail_code,remaining_amt, payrec, mode_code,coinsurance_code,class_cd,IT_REMARKS) values('11Sep240220','040000180990','23866',(select max(to_number(i.premium_rcv_detail_code))+1 from ins_premium_det i),'23866','23866','02', '11000003','00','Request By Omair Ali 09-Sep-2024 Uploaded Premium');</v>
      </c>
    </row>
    <row r="37" spans="1:7" ht="135" x14ac:dyDescent="0.25">
      <c r="A37" t="s">
        <v>40</v>
      </c>
      <c r="B37" s="23" t="str">
        <f>VLOOKUP(A37,[3]Sheet1!$B:$C,2,0)</f>
        <v>040000181084</v>
      </c>
      <c r="C37" s="24">
        <f>VLOOKUP(A37,Sheet2!A96:B151,2,0)</f>
        <v>20633</v>
      </c>
      <c r="D37" s="16" t="s">
        <v>94</v>
      </c>
      <c r="E37" s="20" t="str">
        <f t="shared" si="0"/>
        <v>insert into ins_premium_det (premium_rcv_code,assorted_code, rec_amount,premium_rcv_detail_code,remaining_amt, payrec, mode_code,coinsurance_code,class_cd,IT_REMARKS) values</v>
      </c>
      <c r="F37" s="21" t="str">
        <f t="shared" si="1"/>
        <v>('11Sep240220','040000181084','20633',(select max(to_number(i.premium_rcv_detail_code))+1 from ins_premium_det i),'20633','20633','02', '11000003','00','Request By Omair Ali 09-Sep-2024 Uploaded Premium');</v>
      </c>
      <c r="G37" s="22" t="str">
        <f t="shared" si="2"/>
        <v>insert into ins_premium_det (premium_rcv_code,assorted_code, rec_amount,premium_rcv_detail_code,remaining_amt, payrec, mode_code,coinsurance_code,class_cd,IT_REMARKS) values('11Sep240220','040000181084','20633',(select max(to_number(i.premium_rcv_detail_code))+1 from ins_premium_det i),'20633','20633','02', '11000003','00','Request By Omair Ali 09-Sep-2024 Uploaded Premium');</v>
      </c>
    </row>
    <row r="38" spans="1:7" ht="135" x14ac:dyDescent="0.25">
      <c r="A38" t="s">
        <v>41</v>
      </c>
      <c r="B38" s="23" t="str">
        <f>VLOOKUP(A38,[3]Sheet1!$B:$C,2,0)</f>
        <v>040000181111</v>
      </c>
      <c r="C38" s="24">
        <f>VLOOKUP(A38,Sheet2!A97:B152,2,0)</f>
        <v>41433</v>
      </c>
      <c r="D38" s="16" t="s">
        <v>94</v>
      </c>
      <c r="E38" s="20" t="str">
        <f t="shared" si="0"/>
        <v>insert into ins_premium_det (premium_rcv_code,assorted_code, rec_amount,premium_rcv_detail_code,remaining_amt, payrec, mode_code,coinsurance_code,class_cd,IT_REMARKS) values</v>
      </c>
      <c r="F38" s="21" t="str">
        <f t="shared" si="1"/>
        <v>('11Sep240220','040000181111','41433',(select max(to_number(i.premium_rcv_detail_code))+1 from ins_premium_det i),'41433','41433','02', '11000003','00','Request By Omair Ali 09-Sep-2024 Uploaded Premium');</v>
      </c>
      <c r="G38" s="22" t="str">
        <f t="shared" si="2"/>
        <v>insert into ins_premium_det (premium_rcv_code,assorted_code, rec_amount,premium_rcv_detail_code,remaining_amt, payrec, mode_code,coinsurance_code,class_cd,IT_REMARKS) values('11Sep240220','040000181111','41433',(select max(to_number(i.premium_rcv_detail_code))+1 from ins_premium_det i),'41433','41433','02', '11000003','00','Request By Omair Ali 09-Sep-2024 Uploaded Premium');</v>
      </c>
    </row>
    <row r="39" spans="1:7" ht="135" x14ac:dyDescent="0.25">
      <c r="A39" t="s">
        <v>42</v>
      </c>
      <c r="B39" s="23" t="str">
        <f>VLOOKUP(A39,[3]Sheet1!$B:$C,2,0)</f>
        <v>040000181166</v>
      </c>
      <c r="C39" s="24">
        <f>VLOOKUP(A39,Sheet2!A98:B153,2,0)</f>
        <v>3800</v>
      </c>
      <c r="D39" s="16" t="s">
        <v>94</v>
      </c>
      <c r="E39" s="20" t="str">
        <f t="shared" si="0"/>
        <v>insert into ins_premium_det (premium_rcv_code,assorted_code, rec_amount,premium_rcv_detail_code,remaining_amt, payrec, mode_code,coinsurance_code,class_cd,IT_REMARKS) values</v>
      </c>
      <c r="F39" s="21" t="str">
        <f t="shared" si="1"/>
        <v>('11Sep240220','040000181166','3800',(select max(to_number(i.premium_rcv_detail_code))+1 from ins_premium_det i),'3800','3800','02', '11000003','00','Request By Omair Ali 09-Sep-2024 Uploaded Premium');</v>
      </c>
      <c r="G39" s="22" t="str">
        <f t="shared" si="2"/>
        <v>insert into ins_premium_det (premium_rcv_code,assorted_code, rec_amount,premium_rcv_detail_code,remaining_amt, payrec, mode_code,coinsurance_code,class_cd,IT_REMARKS) values('11Sep240220','040000181166','3800',(select max(to_number(i.premium_rcv_detail_code))+1 from ins_premium_det i),'3800','3800','02', '11000003','00','Request By Omair Ali 09-Sep-2024 Uploaded Premium');</v>
      </c>
    </row>
    <row r="40" spans="1:7" ht="135" x14ac:dyDescent="0.25">
      <c r="A40" t="s">
        <v>43</v>
      </c>
      <c r="B40" s="23" t="str">
        <f>VLOOKUP(A40,[3]Sheet1!$B:$C,2,0)</f>
        <v>040000181339</v>
      </c>
      <c r="C40" s="24">
        <f>VLOOKUP(A40,Sheet2!A99:B154,2,0)</f>
        <v>12181</v>
      </c>
      <c r="D40" s="16" t="s">
        <v>94</v>
      </c>
      <c r="E40" s="20" t="str">
        <f t="shared" si="0"/>
        <v>insert into ins_premium_det (premium_rcv_code,assorted_code, rec_amount,premium_rcv_detail_code,remaining_amt, payrec, mode_code,coinsurance_code,class_cd,IT_REMARKS) values</v>
      </c>
      <c r="F40" s="21" t="str">
        <f t="shared" si="1"/>
        <v>('11Sep240220','040000181339','12181',(select max(to_number(i.premium_rcv_detail_code))+1 from ins_premium_det i),'12181','12181','02', '11000003','00','Request By Omair Ali 09-Sep-2024 Uploaded Premium');</v>
      </c>
      <c r="G40" s="22" t="str">
        <f t="shared" si="2"/>
        <v>insert into ins_premium_det (premium_rcv_code,assorted_code, rec_amount,premium_rcv_detail_code,remaining_amt, payrec, mode_code,coinsurance_code,class_cd,IT_REMARKS) values('11Sep240220','040000181339','12181',(select max(to_number(i.premium_rcv_detail_code))+1 from ins_premium_det i),'12181','12181','02', '11000003','00','Request By Omair Ali 09-Sep-2024 Uploaded Premium');</v>
      </c>
    </row>
    <row r="41" spans="1:7" ht="135" x14ac:dyDescent="0.25">
      <c r="A41" t="s">
        <v>44</v>
      </c>
      <c r="B41" s="23" t="str">
        <f>VLOOKUP(A41,[3]Sheet1!$B:$C,2,0)</f>
        <v>040000181340</v>
      </c>
      <c r="C41" s="24">
        <f>VLOOKUP(A41,Sheet2!A100:B155,2,0)</f>
        <v>7400</v>
      </c>
      <c r="D41" s="16" t="s">
        <v>94</v>
      </c>
      <c r="E41" s="20" t="str">
        <f t="shared" si="0"/>
        <v>insert into ins_premium_det (premium_rcv_code,assorted_code, rec_amount,premium_rcv_detail_code,remaining_amt, payrec, mode_code,coinsurance_code,class_cd,IT_REMARKS) values</v>
      </c>
      <c r="F41" s="21" t="str">
        <f t="shared" si="1"/>
        <v>('11Sep240220','040000181340','7400',(select max(to_number(i.premium_rcv_detail_code))+1 from ins_premium_det i),'7400','7400','02', '11000003','00','Request By Omair Ali 09-Sep-2024 Uploaded Premium');</v>
      </c>
      <c r="G41" s="22" t="str">
        <f t="shared" si="2"/>
        <v>insert into ins_premium_det (premium_rcv_code,assorted_code, rec_amount,premium_rcv_detail_code,remaining_amt, payrec, mode_code,coinsurance_code,class_cd,IT_REMARKS) values('11Sep240220','040000181340','7400',(select max(to_number(i.premium_rcv_detail_code))+1 from ins_premium_det i),'7400','7400','02', '11000003','00','Request By Omair Ali 09-Sep-2024 Uploaded Premium');</v>
      </c>
    </row>
    <row r="42" spans="1:7" ht="135" x14ac:dyDescent="0.25">
      <c r="A42" t="s">
        <v>45</v>
      </c>
      <c r="B42" s="23" t="str">
        <f>VLOOKUP(A42,[3]Sheet1!$B:$C,2,0)</f>
        <v>040000181629</v>
      </c>
      <c r="C42" s="24">
        <f>VLOOKUP(A42,Sheet2!A101:B156,2,0)</f>
        <v>10691</v>
      </c>
      <c r="D42" s="16" t="s">
        <v>94</v>
      </c>
      <c r="E42" s="20" t="str">
        <f t="shared" si="0"/>
        <v>insert into ins_premium_det (premium_rcv_code,assorted_code, rec_amount,premium_rcv_detail_code,remaining_amt, payrec, mode_code,coinsurance_code,class_cd,IT_REMARKS) values</v>
      </c>
      <c r="F42" s="21" t="str">
        <f t="shared" si="1"/>
        <v>('11Sep240220','040000181629','10691',(select max(to_number(i.premium_rcv_detail_code))+1 from ins_premium_det i),'10691','10691','02', '11000003','00','Request By Omair Ali 09-Sep-2024 Uploaded Premium');</v>
      </c>
      <c r="G42" s="22" t="str">
        <f t="shared" si="2"/>
        <v>insert into ins_premium_det (premium_rcv_code,assorted_code, rec_amount,premium_rcv_detail_code,remaining_amt, payrec, mode_code,coinsurance_code,class_cd,IT_REMARKS) values('11Sep240220','040000181629','10691',(select max(to_number(i.premium_rcv_detail_code))+1 from ins_premium_det i),'10691','10691','02', '11000003','00','Request By Omair Ali 09-Sep-2024 Uploaded Premium');</v>
      </c>
    </row>
    <row r="43" spans="1:7" ht="135" x14ac:dyDescent="0.25">
      <c r="A43" t="s">
        <v>46</v>
      </c>
      <c r="B43" s="23" t="str">
        <f>VLOOKUP(A43,[3]Sheet1!$B:$C,2,0)</f>
        <v>040000181709</v>
      </c>
      <c r="C43" s="24">
        <f>VLOOKUP(A43,Sheet2!A102:B157,2,0)</f>
        <v>8223</v>
      </c>
      <c r="D43" s="16" t="s">
        <v>94</v>
      </c>
      <c r="E43" s="20" t="str">
        <f t="shared" si="0"/>
        <v>insert into ins_premium_det (premium_rcv_code,assorted_code, rec_amount,premium_rcv_detail_code,remaining_amt, payrec, mode_code,coinsurance_code,class_cd,IT_REMARKS) values</v>
      </c>
      <c r="F43" s="21" t="str">
        <f t="shared" si="1"/>
        <v>('11Sep240220','040000181709','8223',(select max(to_number(i.premium_rcv_detail_code))+1 from ins_premium_det i),'8223','8223','02', '11000003','00','Request By Omair Ali 09-Sep-2024 Uploaded Premium');</v>
      </c>
      <c r="G43" s="22" t="str">
        <f t="shared" si="2"/>
        <v>insert into ins_premium_det (premium_rcv_code,assorted_code, rec_amount,premium_rcv_detail_code,remaining_amt, payrec, mode_code,coinsurance_code,class_cd,IT_REMARKS) values('11Sep240220','040000181709','8223',(select max(to_number(i.premium_rcv_detail_code))+1 from ins_premium_det i),'8223','8223','02', '11000003','00','Request By Omair Ali 09-Sep-2024 Uploaded Premium');</v>
      </c>
    </row>
    <row r="44" spans="1:7" ht="135" x14ac:dyDescent="0.25">
      <c r="A44" t="s">
        <v>47</v>
      </c>
      <c r="B44" s="23" t="str">
        <f>VLOOKUP(A44,[3]Sheet1!$B:$C,2,0)</f>
        <v>040000181710</v>
      </c>
      <c r="C44" s="24">
        <f>VLOOKUP(A44,Sheet2!A103:B158,2,0)</f>
        <v>9624</v>
      </c>
      <c r="D44" s="16" t="s">
        <v>94</v>
      </c>
      <c r="E44" s="20" t="str">
        <f t="shared" si="0"/>
        <v>insert into ins_premium_det (premium_rcv_code,assorted_code, rec_amount,premium_rcv_detail_code,remaining_amt, payrec, mode_code,coinsurance_code,class_cd,IT_REMARKS) values</v>
      </c>
      <c r="F44" s="21" t="str">
        <f t="shared" si="1"/>
        <v>('11Sep240220','040000181710','9624',(select max(to_number(i.premium_rcv_detail_code))+1 from ins_premium_det i),'9624','9624','02', '11000003','00','Request By Omair Ali 09-Sep-2024 Uploaded Premium');</v>
      </c>
      <c r="G44" s="22" t="str">
        <f t="shared" si="2"/>
        <v>insert into ins_premium_det (premium_rcv_code,assorted_code, rec_amount,premium_rcv_detail_code,remaining_amt, payrec, mode_code,coinsurance_code,class_cd,IT_REMARKS) values('11Sep240220','040000181710','9624',(select max(to_number(i.premium_rcv_detail_code))+1 from ins_premium_det i),'9624','9624','02', '11000003','00','Request By Omair Ali 09-Sep-2024 Uploaded Premium');</v>
      </c>
    </row>
    <row r="45" spans="1:7" ht="135" x14ac:dyDescent="0.25">
      <c r="A45" t="s">
        <v>48</v>
      </c>
      <c r="B45" s="23" t="str">
        <f>VLOOKUP(A45,[3]Sheet1!$B:$C,2,0)</f>
        <v>040000181711</v>
      </c>
      <c r="C45" s="24">
        <f>VLOOKUP(A45,Sheet2!A104:B159,2,0)</f>
        <v>9624</v>
      </c>
      <c r="D45" s="16" t="s">
        <v>94</v>
      </c>
      <c r="E45" s="20" t="str">
        <f t="shared" si="0"/>
        <v>insert into ins_premium_det (premium_rcv_code,assorted_code, rec_amount,premium_rcv_detail_code,remaining_amt, payrec, mode_code,coinsurance_code,class_cd,IT_REMARKS) values</v>
      </c>
      <c r="F45" s="21" t="str">
        <f t="shared" si="1"/>
        <v>('11Sep240220','040000181711','9624',(select max(to_number(i.premium_rcv_detail_code))+1 from ins_premium_det i),'9624','9624','02', '11000003','00','Request By Omair Ali 09-Sep-2024 Uploaded Premium');</v>
      </c>
      <c r="G45" s="22" t="str">
        <f t="shared" si="2"/>
        <v>insert into ins_premium_det (premium_rcv_code,assorted_code, rec_amount,premium_rcv_detail_code,remaining_amt, payrec, mode_code,coinsurance_code,class_cd,IT_REMARKS) values('11Sep240220','040000181711','9624',(select max(to_number(i.premium_rcv_detail_code))+1 from ins_premium_det i),'9624','9624','02', '11000003','00','Request By Omair Ali 09-Sep-2024 Uploaded Premium');</v>
      </c>
    </row>
    <row r="46" spans="1:7" ht="135" x14ac:dyDescent="0.25">
      <c r="A46" t="s">
        <v>49</v>
      </c>
      <c r="B46" s="23" t="str">
        <f>VLOOKUP(A46,[3]Sheet1!$B:$C,2,0)</f>
        <v>040000181898</v>
      </c>
      <c r="C46" s="24">
        <f>VLOOKUP(A46,Sheet2!A105:B160,2,0)</f>
        <v>1</v>
      </c>
      <c r="D46" s="16" t="s">
        <v>94</v>
      </c>
      <c r="E46" s="20" t="str">
        <f t="shared" si="0"/>
        <v>insert into ins_premium_det (premium_rcv_code,assorted_code, rec_amount,premium_rcv_detail_code,remaining_amt, payrec, mode_code,coinsurance_code,class_cd,IT_REMARKS) values</v>
      </c>
      <c r="F46" s="21" t="str">
        <f t="shared" si="1"/>
        <v>('11Sep240220','040000181898','1',(select max(to_number(i.premium_rcv_detail_code))+1 from ins_premium_det i),'1','1','02', '11000003','00','Request By Omair Ali 09-Sep-2024 Uploaded Premium');</v>
      </c>
      <c r="G46" s="22" t="str">
        <f t="shared" si="2"/>
        <v>insert into ins_premium_det (premium_rcv_code,assorted_code, rec_amount,premium_rcv_detail_code,remaining_amt, payrec, mode_code,coinsurance_code,class_cd,IT_REMARKS) values('11Sep240220','040000181898','1',(select max(to_number(i.premium_rcv_detail_code))+1 from ins_premium_det i),'1','1','02', '11000003','00','Request By Omair Ali 09-Sep-2024 Uploaded Premium');</v>
      </c>
    </row>
    <row r="47" spans="1:7" ht="135" x14ac:dyDescent="0.25">
      <c r="A47" t="s">
        <v>50</v>
      </c>
      <c r="B47" s="23" t="str">
        <f>VLOOKUP(A47,[3]Sheet1!$B:$C,2,0)</f>
        <v>040000181976</v>
      </c>
      <c r="C47" s="24">
        <f>VLOOKUP(A47,Sheet2!A106:B161,2,0)</f>
        <v>24490</v>
      </c>
      <c r="D47" s="16" t="s">
        <v>94</v>
      </c>
      <c r="E47" s="20" t="str">
        <f t="shared" si="0"/>
        <v>insert into ins_premium_det (premium_rcv_code,assorted_code, rec_amount,premium_rcv_detail_code,remaining_amt, payrec, mode_code,coinsurance_code,class_cd,IT_REMARKS) values</v>
      </c>
      <c r="F47" s="21" t="str">
        <f t="shared" si="1"/>
        <v>('11Sep240220','040000181976','24490',(select max(to_number(i.premium_rcv_detail_code))+1 from ins_premium_det i),'24490','24490','02', '11000003','00','Request By Omair Ali 09-Sep-2024 Uploaded Premium');</v>
      </c>
      <c r="G47" s="22" t="str">
        <f t="shared" si="2"/>
        <v>insert into ins_premium_det (premium_rcv_code,assorted_code, rec_amount,premium_rcv_detail_code,remaining_amt, payrec, mode_code,coinsurance_code,class_cd,IT_REMARKS) values('11Sep240220','040000181976','24490',(select max(to_number(i.premium_rcv_detail_code))+1 from ins_premium_det i),'24490','24490','02', '11000003','00','Request By Omair Ali 09-Sep-2024 Uploaded Premium');</v>
      </c>
    </row>
    <row r="48" spans="1:7" ht="135" x14ac:dyDescent="0.25">
      <c r="A48" t="s">
        <v>51</v>
      </c>
      <c r="B48" s="23" t="str">
        <f>VLOOKUP(A48,[3]Sheet1!$B:$C,2,0)</f>
        <v>040000182144</v>
      </c>
      <c r="C48" s="24">
        <f>VLOOKUP(A48,Sheet2!A107:B162,2,0)</f>
        <v>2019</v>
      </c>
      <c r="D48" s="16" t="s">
        <v>94</v>
      </c>
      <c r="E48" s="20" t="str">
        <f t="shared" si="0"/>
        <v>insert into ins_premium_det (premium_rcv_code,assorted_code, rec_amount,premium_rcv_detail_code,remaining_amt, payrec, mode_code,coinsurance_code,class_cd,IT_REMARKS) values</v>
      </c>
      <c r="F48" s="21" t="str">
        <f t="shared" si="1"/>
        <v>('11Sep240220','040000182144','2019',(select max(to_number(i.premium_rcv_detail_code))+1 from ins_premium_det i),'2019','2019','02', '11000003','00','Request By Omair Ali 09-Sep-2024 Uploaded Premium');</v>
      </c>
      <c r="G48" s="22" t="str">
        <f t="shared" si="2"/>
        <v>insert into ins_premium_det (premium_rcv_code,assorted_code, rec_amount,premium_rcv_detail_code,remaining_amt, payrec, mode_code,coinsurance_code,class_cd,IT_REMARKS) values('11Sep240220','040000182144','2019',(select max(to_number(i.premium_rcv_detail_code))+1 from ins_premium_det i),'2019','2019','02', '11000003','00','Request By Omair Ali 09-Sep-2024 Uploaded Premium');</v>
      </c>
    </row>
    <row r="49" spans="1:7" ht="135" x14ac:dyDescent="0.25">
      <c r="A49" t="s">
        <v>52</v>
      </c>
      <c r="B49" s="23" t="str">
        <f>VLOOKUP(A49,[3]Sheet1!$B:$C,2,0)</f>
        <v>040000182145</v>
      </c>
      <c r="C49" s="24">
        <f>VLOOKUP(A49,Sheet2!A108:B163,2,0)</f>
        <v>3522</v>
      </c>
      <c r="D49" s="16" t="s">
        <v>94</v>
      </c>
      <c r="E49" s="20" t="str">
        <f t="shared" si="0"/>
        <v>insert into ins_premium_det (premium_rcv_code,assorted_code, rec_amount,premium_rcv_detail_code,remaining_amt, payrec, mode_code,coinsurance_code,class_cd,IT_REMARKS) values</v>
      </c>
      <c r="F49" s="21" t="str">
        <f t="shared" si="1"/>
        <v>('11Sep240220','040000182145','3522',(select max(to_number(i.premium_rcv_detail_code))+1 from ins_premium_det i),'3522','3522','02', '11000003','00','Request By Omair Ali 09-Sep-2024 Uploaded Premium');</v>
      </c>
      <c r="G49" s="22" t="str">
        <f t="shared" si="2"/>
        <v>insert into ins_premium_det (premium_rcv_code,assorted_code, rec_amount,premium_rcv_detail_code,remaining_amt, payrec, mode_code,coinsurance_code,class_cd,IT_REMARKS) values('11Sep240220','040000182145','3522',(select max(to_number(i.premium_rcv_detail_code))+1 from ins_premium_det i),'3522','3522','02', '11000003','00','Request By Omair Ali 09-Sep-2024 Uploaded Premium');</v>
      </c>
    </row>
    <row r="50" spans="1:7" ht="135" x14ac:dyDescent="0.25">
      <c r="A50" t="s">
        <v>53</v>
      </c>
      <c r="B50" s="23" t="str">
        <f>VLOOKUP(A50,[3]Sheet1!$B:$C,2,0)</f>
        <v>040000182147</v>
      </c>
      <c r="C50" s="24">
        <f>VLOOKUP(A50,Sheet2!A109:B164,2,0)</f>
        <v>4105</v>
      </c>
      <c r="D50" s="16" t="s">
        <v>94</v>
      </c>
      <c r="E50" s="20" t="str">
        <f t="shared" si="0"/>
        <v>insert into ins_premium_det (premium_rcv_code,assorted_code, rec_amount,premium_rcv_detail_code,remaining_amt, payrec, mode_code,coinsurance_code,class_cd,IT_REMARKS) values</v>
      </c>
      <c r="F50" s="21" t="str">
        <f t="shared" si="1"/>
        <v>('11Sep240220','040000182147','4105',(select max(to_number(i.premium_rcv_detail_code))+1 from ins_premium_det i),'4105','4105','02', '11000003','00','Request By Omair Ali 09-Sep-2024 Uploaded Premium');</v>
      </c>
      <c r="G50" s="22" t="str">
        <f t="shared" si="2"/>
        <v>insert into ins_premium_det (premium_rcv_code,assorted_code, rec_amount,premium_rcv_detail_code,remaining_amt, payrec, mode_code,coinsurance_code,class_cd,IT_REMARKS) values('11Sep240220','040000182147','4105',(select max(to_number(i.premium_rcv_detail_code))+1 from ins_premium_det i),'4105','4105','02', '11000003','00','Request By Omair Ali 09-Sep-2024 Uploaded Premium');</v>
      </c>
    </row>
    <row r="51" spans="1:7" ht="135" x14ac:dyDescent="0.25">
      <c r="A51" t="s">
        <v>54</v>
      </c>
      <c r="B51" s="23" t="str">
        <f>VLOOKUP(A51,[3]Sheet1!$B:$C,2,0)</f>
        <v>040000182168</v>
      </c>
      <c r="C51" s="24">
        <f>VLOOKUP(A51,Sheet2!A110:B165,2,0)</f>
        <v>7453</v>
      </c>
      <c r="D51" s="16" t="s">
        <v>94</v>
      </c>
      <c r="E51" s="20" t="str">
        <f t="shared" si="0"/>
        <v>insert into ins_premium_det (premium_rcv_code,assorted_code, rec_amount,premium_rcv_detail_code,remaining_amt, payrec, mode_code,coinsurance_code,class_cd,IT_REMARKS) values</v>
      </c>
      <c r="F51" s="21" t="str">
        <f t="shared" si="1"/>
        <v>('11Sep240220','040000182168','7453',(select max(to_number(i.premium_rcv_detail_code))+1 from ins_premium_det i),'7453','7453','02', '11000003','00','Request By Omair Ali 09-Sep-2024 Uploaded Premium');</v>
      </c>
      <c r="G51" s="22" t="str">
        <f t="shared" si="2"/>
        <v>insert into ins_premium_det (premium_rcv_code,assorted_code, rec_amount,premium_rcv_detail_code,remaining_amt, payrec, mode_code,coinsurance_code,class_cd,IT_REMARKS) values('11Sep240220','040000182168','7453',(select max(to_number(i.premium_rcv_detail_code))+1 from ins_premium_det i),'7453','7453','02', '11000003','00','Request By Omair Ali 09-Sep-2024 Uploaded Premium');</v>
      </c>
    </row>
    <row r="52" spans="1:7" ht="135" x14ac:dyDescent="0.25">
      <c r="A52" t="s">
        <v>55</v>
      </c>
      <c r="B52" s="23" t="str">
        <f>VLOOKUP(A52,[3]Sheet1!$B:$C,2,0)</f>
        <v>040000182540</v>
      </c>
      <c r="C52" s="24">
        <f>VLOOKUP(A52,Sheet2!A111:B166,2,0)</f>
        <v>12426</v>
      </c>
      <c r="D52" s="16" t="s">
        <v>94</v>
      </c>
      <c r="E52" s="20" t="str">
        <f t="shared" si="0"/>
        <v>insert into ins_premium_det (premium_rcv_code,assorted_code, rec_amount,premium_rcv_detail_code,remaining_amt, payrec, mode_code,coinsurance_code,class_cd,IT_REMARKS) values</v>
      </c>
      <c r="F52" s="21" t="str">
        <f t="shared" si="1"/>
        <v>('11Sep240220','040000182540','12426',(select max(to_number(i.premium_rcv_detail_code))+1 from ins_premium_det i),'12426','12426','02', '11000003','00','Request By Omair Ali 09-Sep-2024 Uploaded Premium');</v>
      </c>
      <c r="G52" s="22" t="str">
        <f t="shared" si="2"/>
        <v>insert into ins_premium_det (premium_rcv_code,assorted_code, rec_amount,premium_rcv_detail_code,remaining_amt, payrec, mode_code,coinsurance_code,class_cd,IT_REMARKS) values('11Sep240220','040000182540','12426',(select max(to_number(i.premium_rcv_detail_code))+1 from ins_premium_det i),'12426','12426','02', '11000003','00','Request By Omair Ali 09-Sep-2024 Uploaded Premium');</v>
      </c>
    </row>
    <row r="53" spans="1:7" ht="135" x14ac:dyDescent="0.25">
      <c r="A53" t="s">
        <v>56</v>
      </c>
      <c r="B53" s="23" t="str">
        <f>VLOOKUP(A53,[3]Sheet1!$B:$C,2,0)</f>
        <v>040000182543</v>
      </c>
      <c r="C53" s="24">
        <f>VLOOKUP(A53,Sheet2!A112:B167,2,0)</f>
        <v>34824</v>
      </c>
      <c r="D53" s="16" t="s">
        <v>94</v>
      </c>
      <c r="E53" s="20" t="str">
        <f t="shared" si="0"/>
        <v>insert into ins_premium_det (premium_rcv_code,assorted_code, rec_amount,premium_rcv_detail_code,remaining_amt, payrec, mode_code,coinsurance_code,class_cd,IT_REMARKS) values</v>
      </c>
      <c r="F53" s="21" t="str">
        <f t="shared" si="1"/>
        <v>('11Sep240220','040000182543','34824',(select max(to_number(i.premium_rcv_detail_code))+1 from ins_premium_det i),'34824','34824','02', '11000003','00','Request By Omair Ali 09-Sep-2024 Uploaded Premium');</v>
      </c>
      <c r="G53" s="22" t="str">
        <f t="shared" si="2"/>
        <v>insert into ins_premium_det (premium_rcv_code,assorted_code, rec_amount,premium_rcv_detail_code,remaining_amt, payrec, mode_code,coinsurance_code,class_cd,IT_REMARKS) values('11Sep240220','040000182543','34824',(select max(to_number(i.premium_rcv_detail_code))+1 from ins_premium_det i),'34824','34824','02', '11000003','00','Request By Omair Ali 09-Sep-2024 Uploaded Premium');</v>
      </c>
    </row>
    <row r="54" spans="1:7" ht="135" x14ac:dyDescent="0.25">
      <c r="A54" t="s">
        <v>57</v>
      </c>
      <c r="B54" s="23" t="str">
        <f>VLOOKUP(A54,[3]Sheet1!$B:$C,2,0)</f>
        <v>040000182562</v>
      </c>
      <c r="C54" s="24">
        <f>VLOOKUP(A54,Sheet2!A113:B168,2,0)</f>
        <v>8223</v>
      </c>
      <c r="D54" s="16" t="s">
        <v>94</v>
      </c>
      <c r="E54" s="20" t="str">
        <f t="shared" si="0"/>
        <v>insert into ins_premium_det (premium_rcv_code,assorted_code, rec_amount,premium_rcv_detail_code,remaining_amt, payrec, mode_code,coinsurance_code,class_cd,IT_REMARKS) values</v>
      </c>
      <c r="F54" s="21" t="str">
        <f t="shared" si="1"/>
        <v>('11Sep240220','040000182562','8223',(select max(to_number(i.premium_rcv_detail_code))+1 from ins_premium_det i),'8223','8223','02', '11000003','00','Request By Omair Ali 09-Sep-2024 Uploaded Premium');</v>
      </c>
      <c r="G54" s="22" t="str">
        <f t="shared" si="2"/>
        <v>insert into ins_premium_det (premium_rcv_code,assorted_code, rec_amount,premium_rcv_detail_code,remaining_amt, payrec, mode_code,coinsurance_code,class_cd,IT_REMARKS) values('11Sep240220','040000182562','8223',(select max(to_number(i.premium_rcv_detail_code))+1 from ins_premium_det i),'8223','8223','02', '11000003','00','Request By Omair Ali 09-Sep-2024 Uploaded Premium');</v>
      </c>
    </row>
    <row r="55" spans="1:7" ht="135" x14ac:dyDescent="0.25">
      <c r="A55" t="s">
        <v>58</v>
      </c>
      <c r="B55" s="23" t="str">
        <f>VLOOKUP(A55,[3]Sheet1!$B:$C,2,0)</f>
        <v>040000182563</v>
      </c>
      <c r="C55" s="24">
        <f>VLOOKUP(A55,Sheet2!A114:B169,2,0)</f>
        <v>8223</v>
      </c>
      <c r="D55" s="16" t="s">
        <v>94</v>
      </c>
      <c r="E55" s="20" t="str">
        <f t="shared" si="0"/>
        <v>insert into ins_premium_det (premium_rcv_code,assorted_code, rec_amount,premium_rcv_detail_code,remaining_amt, payrec, mode_code,coinsurance_code,class_cd,IT_REMARKS) values</v>
      </c>
      <c r="F55" s="21" t="str">
        <f t="shared" si="1"/>
        <v>('11Sep240220','040000182563','8223',(select max(to_number(i.premium_rcv_detail_code))+1 from ins_premium_det i),'8223','8223','02', '11000003','00','Request By Omair Ali 09-Sep-2024 Uploaded Premium');</v>
      </c>
      <c r="G55" s="22" t="str">
        <f t="shared" si="2"/>
        <v>insert into ins_premium_det (premium_rcv_code,assorted_code, rec_amount,premium_rcv_detail_code,remaining_amt, payrec, mode_code,coinsurance_code,class_cd,IT_REMARKS) values('11Sep240220','040000182563','8223',(select max(to_number(i.premium_rcv_detail_code))+1 from ins_premium_det i),'8223','8223','02', '11000003','00','Request By Omair Ali 09-Sep-2024 Uploaded Premium');</v>
      </c>
    </row>
    <row r="56" spans="1:7" ht="135" x14ac:dyDescent="0.25">
      <c r="A56" t="s">
        <v>59</v>
      </c>
      <c r="B56" s="23" t="str">
        <f>VLOOKUP(A56,[3]Sheet1!$B:$C,2,0)</f>
        <v>040000183023</v>
      </c>
      <c r="C56" s="24">
        <f>VLOOKUP(A56,Sheet2!A115:B170,2,0)</f>
        <v>7894</v>
      </c>
      <c r="D56" s="16" t="s">
        <v>94</v>
      </c>
      <c r="E56" s="20" t="str">
        <f t="shared" si="0"/>
        <v>insert into ins_premium_det (premium_rcv_code,assorted_code, rec_amount,premium_rcv_detail_code,remaining_amt, payrec, mode_code,coinsurance_code,class_cd,IT_REMARKS) values</v>
      </c>
      <c r="F56" s="21" t="str">
        <f t="shared" si="1"/>
        <v>('11Sep240220','040000183023','7894',(select max(to_number(i.premium_rcv_detail_code))+1 from ins_premium_det i),'7894','7894','02', '11000003','00','Request By Omair Ali 09-Sep-2024 Uploaded Premium');</v>
      </c>
      <c r="G56" s="22" t="str">
        <f t="shared" si="2"/>
        <v>insert into ins_premium_det (premium_rcv_code,assorted_code, rec_amount,premium_rcv_detail_code,remaining_amt, payrec, mode_code,coinsurance_code,class_cd,IT_REMARKS) values('11Sep240220','040000183023','7894',(select max(to_number(i.premium_rcv_detail_code))+1 from ins_premium_det i),'7894','7894','02', '11000003','00','Request By Omair Ali 09-Sep-2024 Uploaded Premium');</v>
      </c>
    </row>
    <row r="57" spans="1:7" ht="135" x14ac:dyDescent="0.25">
      <c r="A57" t="s">
        <v>60</v>
      </c>
      <c r="B57" s="23" t="str">
        <f>VLOOKUP(A57,[3]Sheet1!$B:$C,2,0)</f>
        <v>040000183026</v>
      </c>
      <c r="C57" s="24">
        <f>VLOOKUP(A57,Sheet2!A116:B171,2,0)</f>
        <v>14506</v>
      </c>
      <c r="D57" s="16" t="s">
        <v>94</v>
      </c>
      <c r="E57" s="20" t="str">
        <f t="shared" si="0"/>
        <v>insert into ins_premium_det (premium_rcv_code,assorted_code, rec_amount,premium_rcv_detail_code,remaining_amt, payrec, mode_code,coinsurance_code,class_cd,IT_REMARKS) values</v>
      </c>
      <c r="F57" s="21" t="str">
        <f t="shared" si="1"/>
        <v>('11Sep240220','040000183026','14506',(select max(to_number(i.premium_rcv_detail_code))+1 from ins_premium_det i),'14506','14506','02', '11000003','00','Request By Omair Ali 09-Sep-2024 Uploaded Premium');</v>
      </c>
      <c r="G57" s="22" t="str">
        <f t="shared" si="2"/>
        <v>insert into ins_premium_det (premium_rcv_code,assorted_code, rec_amount,premium_rcv_detail_code,remaining_amt, payrec, mode_code,coinsurance_code,class_cd,IT_REMARKS) values('11Sep240220','040000183026','14506',(select max(to_number(i.premium_rcv_detail_code))+1 from ins_premium_det i),'14506','14506','02', '11000003','00','Request By Omair Ali 09-Sep-2024 Uploaded Premium');</v>
      </c>
    </row>
  </sheetData>
  <conditionalFormatting sqref="A1">
    <cfRule type="duplicateValues" dxfId="1" priority="2"/>
  </conditionalFormatting>
  <conditionalFormatting sqref="A2">
    <cfRule type="duplicateValues" dxfId="0" priority="1" stopIfTrue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C840-E96A-453B-8EE8-8A8D34A190C8}">
  <dimension ref="A1:E56"/>
  <sheetViews>
    <sheetView workbookViewId="0">
      <selection activeCell="H47" sqref="H47"/>
    </sheetView>
  </sheetViews>
  <sheetFormatPr defaultRowHeight="15" x14ac:dyDescent="0.25"/>
  <cols>
    <col min="1" max="1" width="38.7109375" bestFit="1" customWidth="1"/>
    <col min="5" max="5" width="40.5703125" bestFit="1" customWidth="1"/>
  </cols>
  <sheetData>
    <row r="1" spans="1:5" x14ac:dyDescent="0.25">
      <c r="A1" t="s">
        <v>5</v>
      </c>
      <c r="B1" t="s">
        <v>91</v>
      </c>
      <c r="D1">
        <v>90900</v>
      </c>
      <c r="E1" t="str">
        <f>"ia.assorted_string like '%"&amp;D1&amp;B1&amp;"%' or"</f>
        <v>ia.assorted_string like '%90900-06-2024%' or</v>
      </c>
    </row>
    <row r="2" spans="1:5" x14ac:dyDescent="0.25">
      <c r="A2" t="s">
        <v>6</v>
      </c>
      <c r="B2" t="s">
        <v>91</v>
      </c>
      <c r="D2">
        <v>91269</v>
      </c>
      <c r="E2" t="str">
        <f t="shared" ref="E2:E56" si="0">"ia.assorted_string like '%"&amp;D2&amp;B2&amp;"%' or"</f>
        <v>ia.assorted_string like '%91269-06-2024%' or</v>
      </c>
    </row>
    <row r="3" spans="1:5" x14ac:dyDescent="0.25">
      <c r="A3" t="s">
        <v>7</v>
      </c>
      <c r="B3" t="s">
        <v>91</v>
      </c>
      <c r="D3">
        <v>91980</v>
      </c>
      <c r="E3" t="str">
        <f t="shared" si="0"/>
        <v>ia.assorted_string like '%91980-06-2024%' or</v>
      </c>
    </row>
    <row r="4" spans="1:5" x14ac:dyDescent="0.25">
      <c r="A4" t="s">
        <v>8</v>
      </c>
      <c r="B4" t="s">
        <v>91</v>
      </c>
      <c r="D4">
        <v>91981</v>
      </c>
      <c r="E4" t="str">
        <f t="shared" si="0"/>
        <v>ia.assorted_string like '%91981-06-2024%' or</v>
      </c>
    </row>
    <row r="5" spans="1:5" x14ac:dyDescent="0.25">
      <c r="A5" t="s">
        <v>9</v>
      </c>
      <c r="B5" t="s">
        <v>91</v>
      </c>
      <c r="D5">
        <v>92018</v>
      </c>
      <c r="E5" t="str">
        <f t="shared" si="0"/>
        <v>ia.assorted_string like '%92018-06-2024%' or</v>
      </c>
    </row>
    <row r="6" spans="1:5" x14ac:dyDescent="0.25">
      <c r="A6" t="s">
        <v>10</v>
      </c>
      <c r="B6" t="s">
        <v>92</v>
      </c>
      <c r="D6">
        <v>92314</v>
      </c>
      <c r="E6" t="str">
        <f t="shared" si="0"/>
        <v>ia.assorted_string like '%92314-07-2024%' or</v>
      </c>
    </row>
    <row r="7" spans="1:5" x14ac:dyDescent="0.25">
      <c r="A7" t="s">
        <v>11</v>
      </c>
      <c r="B7" t="s">
        <v>92</v>
      </c>
      <c r="D7">
        <v>92317</v>
      </c>
      <c r="E7" t="str">
        <f t="shared" si="0"/>
        <v>ia.assorted_string like '%92317-07-2024%' or</v>
      </c>
    </row>
    <row r="8" spans="1:5" x14ac:dyDescent="0.25">
      <c r="A8" t="s">
        <v>12</v>
      </c>
      <c r="B8" t="s">
        <v>92</v>
      </c>
      <c r="D8">
        <v>92318</v>
      </c>
      <c r="E8" t="str">
        <f t="shared" si="0"/>
        <v>ia.assorted_string like '%92318-07-2024%' or</v>
      </c>
    </row>
    <row r="9" spans="1:5" x14ac:dyDescent="0.25">
      <c r="A9" t="s">
        <v>13</v>
      </c>
      <c r="B9" t="s">
        <v>92</v>
      </c>
      <c r="D9">
        <v>92365</v>
      </c>
      <c r="E9" t="str">
        <f t="shared" si="0"/>
        <v>ia.assorted_string like '%92365-07-2024%' or</v>
      </c>
    </row>
    <row r="10" spans="1:5" x14ac:dyDescent="0.25">
      <c r="A10" t="s">
        <v>14</v>
      </c>
      <c r="B10" t="s">
        <v>92</v>
      </c>
      <c r="D10">
        <v>92385</v>
      </c>
      <c r="E10" t="str">
        <f t="shared" si="0"/>
        <v>ia.assorted_string like '%92385-07-2024%' or</v>
      </c>
    </row>
    <row r="11" spans="1:5" x14ac:dyDescent="0.25">
      <c r="A11" t="s">
        <v>15</v>
      </c>
      <c r="B11" t="s">
        <v>92</v>
      </c>
      <c r="D11">
        <v>92386</v>
      </c>
      <c r="E11" t="str">
        <f t="shared" si="0"/>
        <v>ia.assorted_string like '%92386-07-2024%' or</v>
      </c>
    </row>
    <row r="12" spans="1:5" x14ac:dyDescent="0.25">
      <c r="A12" t="s">
        <v>16</v>
      </c>
      <c r="B12" t="s">
        <v>92</v>
      </c>
      <c r="D12">
        <v>92532</v>
      </c>
      <c r="E12" t="str">
        <f t="shared" si="0"/>
        <v>ia.assorted_string like '%92532-07-2024%' or</v>
      </c>
    </row>
    <row r="13" spans="1:5" x14ac:dyDescent="0.25">
      <c r="A13" t="s">
        <v>17</v>
      </c>
      <c r="B13" t="s">
        <v>92</v>
      </c>
      <c r="D13">
        <v>92534</v>
      </c>
      <c r="E13" t="str">
        <f t="shared" si="0"/>
        <v>ia.assorted_string like '%92534-07-2024%' or</v>
      </c>
    </row>
    <row r="14" spans="1:5" x14ac:dyDescent="0.25">
      <c r="A14" t="s">
        <v>18</v>
      </c>
      <c r="B14" t="s">
        <v>92</v>
      </c>
      <c r="D14">
        <v>93048</v>
      </c>
      <c r="E14" t="str">
        <f t="shared" si="0"/>
        <v>ia.assorted_string like '%93048-07-2024%' or</v>
      </c>
    </row>
    <row r="15" spans="1:5" x14ac:dyDescent="0.25">
      <c r="A15" t="s">
        <v>19</v>
      </c>
      <c r="B15" t="s">
        <v>92</v>
      </c>
      <c r="D15">
        <v>93049</v>
      </c>
      <c r="E15" t="str">
        <f t="shared" si="0"/>
        <v>ia.assorted_string like '%93049-07-2024%' or</v>
      </c>
    </row>
    <row r="16" spans="1:5" x14ac:dyDescent="0.25">
      <c r="A16" t="s">
        <v>20</v>
      </c>
      <c r="B16" t="s">
        <v>92</v>
      </c>
      <c r="D16">
        <v>93112</v>
      </c>
      <c r="E16" t="str">
        <f t="shared" si="0"/>
        <v>ia.assorted_string like '%93112-07-2024%' or</v>
      </c>
    </row>
    <row r="17" spans="1:5" x14ac:dyDescent="0.25">
      <c r="A17" t="s">
        <v>21</v>
      </c>
      <c r="B17" t="s">
        <v>92</v>
      </c>
      <c r="D17">
        <v>93336</v>
      </c>
      <c r="E17" t="str">
        <f t="shared" si="0"/>
        <v>ia.assorted_string like '%93336-07-2024%' or</v>
      </c>
    </row>
    <row r="18" spans="1:5" x14ac:dyDescent="0.25">
      <c r="A18" t="s">
        <v>22</v>
      </c>
      <c r="B18" t="s">
        <v>92</v>
      </c>
      <c r="D18">
        <v>93512</v>
      </c>
      <c r="E18" t="str">
        <f t="shared" si="0"/>
        <v>ia.assorted_string like '%93512-07-2024%' or</v>
      </c>
    </row>
    <row r="19" spans="1:5" x14ac:dyDescent="0.25">
      <c r="A19" t="s">
        <v>23</v>
      </c>
      <c r="B19" t="s">
        <v>92</v>
      </c>
      <c r="D19">
        <v>93627</v>
      </c>
      <c r="E19" t="str">
        <f t="shared" si="0"/>
        <v>ia.assorted_string like '%93627-07-2024%' or</v>
      </c>
    </row>
    <row r="20" spans="1:5" x14ac:dyDescent="0.25">
      <c r="A20" t="s">
        <v>24</v>
      </c>
      <c r="B20" t="s">
        <v>92</v>
      </c>
      <c r="D20">
        <v>93645</v>
      </c>
      <c r="E20" t="str">
        <f t="shared" si="0"/>
        <v>ia.assorted_string like '%93645-07-2024%' or</v>
      </c>
    </row>
    <row r="21" spans="1:5" x14ac:dyDescent="0.25">
      <c r="A21" t="s">
        <v>25</v>
      </c>
      <c r="B21" t="s">
        <v>92</v>
      </c>
      <c r="D21">
        <v>93753</v>
      </c>
      <c r="E21" t="str">
        <f t="shared" si="0"/>
        <v>ia.assorted_string like '%93753-07-2024%' or</v>
      </c>
    </row>
    <row r="22" spans="1:5" x14ac:dyDescent="0.25">
      <c r="A22" t="s">
        <v>26</v>
      </c>
      <c r="B22" t="s">
        <v>92</v>
      </c>
      <c r="D22">
        <v>93756</v>
      </c>
      <c r="E22" t="str">
        <f t="shared" si="0"/>
        <v>ia.assorted_string like '%93756-07-2024%' or</v>
      </c>
    </row>
    <row r="23" spans="1:5" x14ac:dyDescent="0.25">
      <c r="A23" t="s">
        <v>27</v>
      </c>
      <c r="B23" t="s">
        <v>92</v>
      </c>
      <c r="D23">
        <v>93972</v>
      </c>
      <c r="E23" t="str">
        <f t="shared" si="0"/>
        <v>ia.assorted_string like '%93972-07-2024%' or</v>
      </c>
    </row>
    <row r="24" spans="1:5" x14ac:dyDescent="0.25">
      <c r="A24" t="s">
        <v>28</v>
      </c>
      <c r="B24" t="s">
        <v>92</v>
      </c>
      <c r="D24">
        <v>93973</v>
      </c>
      <c r="E24" t="str">
        <f t="shared" si="0"/>
        <v>ia.assorted_string like '%93973-07-2024%' or</v>
      </c>
    </row>
    <row r="25" spans="1:5" x14ac:dyDescent="0.25">
      <c r="A25" t="s">
        <v>29</v>
      </c>
      <c r="B25" t="s">
        <v>92</v>
      </c>
      <c r="D25">
        <v>93976</v>
      </c>
      <c r="E25" t="str">
        <f t="shared" si="0"/>
        <v>ia.assorted_string like '%93976-07-2024%' or</v>
      </c>
    </row>
    <row r="26" spans="1:5" x14ac:dyDescent="0.25">
      <c r="A26" t="s">
        <v>30</v>
      </c>
      <c r="B26" t="s">
        <v>92</v>
      </c>
      <c r="D26">
        <v>93977</v>
      </c>
      <c r="E26" t="str">
        <f t="shared" si="0"/>
        <v>ia.assorted_string like '%93977-07-2024%' or</v>
      </c>
    </row>
    <row r="27" spans="1:5" x14ac:dyDescent="0.25">
      <c r="A27" t="s">
        <v>31</v>
      </c>
      <c r="B27" t="s">
        <v>92</v>
      </c>
      <c r="D27">
        <v>94140</v>
      </c>
      <c r="E27" t="str">
        <f t="shared" si="0"/>
        <v>ia.assorted_string like '%94140-07-2024%' or</v>
      </c>
    </row>
    <row r="28" spans="1:5" x14ac:dyDescent="0.25">
      <c r="A28" t="s">
        <v>32</v>
      </c>
      <c r="B28" t="s">
        <v>92</v>
      </c>
      <c r="D28">
        <v>94141</v>
      </c>
      <c r="E28" t="str">
        <f t="shared" si="0"/>
        <v>ia.assorted_string like '%94141-07-2024%' or</v>
      </c>
    </row>
    <row r="29" spans="1:5" x14ac:dyDescent="0.25">
      <c r="A29" t="s">
        <v>33</v>
      </c>
      <c r="B29" t="s">
        <v>92</v>
      </c>
      <c r="D29">
        <v>94177</v>
      </c>
      <c r="E29" t="str">
        <f t="shared" si="0"/>
        <v>ia.assorted_string like '%94177-07-2024%' or</v>
      </c>
    </row>
    <row r="30" spans="1:5" x14ac:dyDescent="0.25">
      <c r="A30" t="s">
        <v>34</v>
      </c>
      <c r="B30" t="s">
        <v>92</v>
      </c>
      <c r="D30">
        <v>94178</v>
      </c>
      <c r="E30" t="str">
        <f t="shared" si="0"/>
        <v>ia.assorted_string like '%94178-07-2024%' or</v>
      </c>
    </row>
    <row r="31" spans="1:5" x14ac:dyDescent="0.25">
      <c r="A31" t="s">
        <v>35</v>
      </c>
      <c r="B31" t="s">
        <v>93</v>
      </c>
      <c r="D31">
        <v>94479</v>
      </c>
      <c r="E31" t="str">
        <f t="shared" si="0"/>
        <v>ia.assorted_string like '%94479-08-2024%' or</v>
      </c>
    </row>
    <row r="32" spans="1:5" x14ac:dyDescent="0.25">
      <c r="A32" t="s">
        <v>36</v>
      </c>
      <c r="B32" t="s">
        <v>93</v>
      </c>
      <c r="D32">
        <v>94743</v>
      </c>
      <c r="E32" t="str">
        <f t="shared" si="0"/>
        <v>ia.assorted_string like '%94743-08-2024%' or</v>
      </c>
    </row>
    <row r="33" spans="1:5" x14ac:dyDescent="0.25">
      <c r="A33" t="s">
        <v>37</v>
      </c>
      <c r="B33" t="s">
        <v>93</v>
      </c>
      <c r="D33">
        <v>94799</v>
      </c>
      <c r="E33" t="str">
        <f t="shared" si="0"/>
        <v>ia.assorted_string like '%94799-08-2024%' or</v>
      </c>
    </row>
    <row r="34" spans="1:5" x14ac:dyDescent="0.25">
      <c r="A34" t="s">
        <v>38</v>
      </c>
      <c r="B34" t="s">
        <v>93</v>
      </c>
      <c r="D34">
        <v>94801</v>
      </c>
      <c r="E34" t="str">
        <f t="shared" si="0"/>
        <v>ia.assorted_string like '%94801-08-2024%' or</v>
      </c>
    </row>
    <row r="35" spans="1:5" x14ac:dyDescent="0.25">
      <c r="A35" t="s">
        <v>39</v>
      </c>
      <c r="B35" t="s">
        <v>93</v>
      </c>
      <c r="D35">
        <v>94828</v>
      </c>
      <c r="E35" t="str">
        <f t="shared" si="0"/>
        <v>ia.assorted_string like '%94828-08-2024%' or</v>
      </c>
    </row>
    <row r="36" spans="1:5" x14ac:dyDescent="0.25">
      <c r="A36" t="s">
        <v>40</v>
      </c>
      <c r="B36" t="s">
        <v>93</v>
      </c>
      <c r="D36">
        <v>94904</v>
      </c>
      <c r="E36" t="str">
        <f t="shared" si="0"/>
        <v>ia.assorted_string like '%94904-08-2024%' or</v>
      </c>
    </row>
    <row r="37" spans="1:5" x14ac:dyDescent="0.25">
      <c r="A37" t="s">
        <v>41</v>
      </c>
      <c r="B37" t="s">
        <v>93</v>
      </c>
      <c r="D37">
        <v>94923</v>
      </c>
      <c r="E37" t="str">
        <f t="shared" si="0"/>
        <v>ia.assorted_string like '%94923-08-2024%' or</v>
      </c>
    </row>
    <row r="38" spans="1:5" x14ac:dyDescent="0.25">
      <c r="A38" t="s">
        <v>42</v>
      </c>
      <c r="B38" t="s">
        <v>93</v>
      </c>
      <c r="D38">
        <v>94966</v>
      </c>
      <c r="E38" t="str">
        <f t="shared" si="0"/>
        <v>ia.assorted_string like '%94966-08-2024%' or</v>
      </c>
    </row>
    <row r="39" spans="1:5" x14ac:dyDescent="0.25">
      <c r="A39" t="s">
        <v>43</v>
      </c>
      <c r="B39" t="s">
        <v>93</v>
      </c>
      <c r="D39">
        <v>95103</v>
      </c>
      <c r="E39" t="str">
        <f t="shared" si="0"/>
        <v>ia.assorted_string like '%95103-08-2024%' or</v>
      </c>
    </row>
    <row r="40" spans="1:5" x14ac:dyDescent="0.25">
      <c r="A40" t="s">
        <v>44</v>
      </c>
      <c r="B40" t="s">
        <v>93</v>
      </c>
      <c r="D40">
        <v>95104</v>
      </c>
      <c r="E40" t="str">
        <f t="shared" si="0"/>
        <v>ia.assorted_string like '%95104-08-2024%' or</v>
      </c>
    </row>
    <row r="41" spans="1:5" x14ac:dyDescent="0.25">
      <c r="A41" t="s">
        <v>45</v>
      </c>
      <c r="B41" t="s">
        <v>93</v>
      </c>
      <c r="D41">
        <v>95322</v>
      </c>
      <c r="E41" t="str">
        <f t="shared" si="0"/>
        <v>ia.assorted_string like '%95322-08-2024%' or</v>
      </c>
    </row>
    <row r="42" spans="1:5" x14ac:dyDescent="0.25">
      <c r="A42" t="s">
        <v>46</v>
      </c>
      <c r="B42" t="s">
        <v>93</v>
      </c>
      <c r="D42">
        <v>95388</v>
      </c>
      <c r="E42" t="str">
        <f t="shared" si="0"/>
        <v>ia.assorted_string like '%95388-08-2024%' or</v>
      </c>
    </row>
    <row r="43" spans="1:5" x14ac:dyDescent="0.25">
      <c r="A43" t="s">
        <v>47</v>
      </c>
      <c r="B43" t="s">
        <v>93</v>
      </c>
      <c r="D43">
        <v>95389</v>
      </c>
      <c r="E43" t="str">
        <f t="shared" si="0"/>
        <v>ia.assorted_string like '%95389-08-2024%' or</v>
      </c>
    </row>
    <row r="44" spans="1:5" x14ac:dyDescent="0.25">
      <c r="A44" t="s">
        <v>48</v>
      </c>
      <c r="B44" t="s">
        <v>93</v>
      </c>
      <c r="D44">
        <v>95390</v>
      </c>
      <c r="E44" t="str">
        <f t="shared" si="0"/>
        <v>ia.assorted_string like '%95390-08-2024%' or</v>
      </c>
    </row>
    <row r="45" spans="1:5" x14ac:dyDescent="0.25">
      <c r="A45" t="s">
        <v>49</v>
      </c>
      <c r="B45" t="s">
        <v>93</v>
      </c>
      <c r="D45">
        <v>95540</v>
      </c>
      <c r="E45" t="str">
        <f t="shared" si="0"/>
        <v>ia.assorted_string like '%95540-08-2024%' or</v>
      </c>
    </row>
    <row r="46" spans="1:5" x14ac:dyDescent="0.25">
      <c r="A46" t="s">
        <v>50</v>
      </c>
      <c r="B46" t="s">
        <v>93</v>
      </c>
      <c r="D46">
        <v>95602</v>
      </c>
      <c r="E46" t="str">
        <f t="shared" si="0"/>
        <v>ia.assorted_string like '%95602-08-2024%' or</v>
      </c>
    </row>
    <row r="47" spans="1:5" x14ac:dyDescent="0.25">
      <c r="A47" t="s">
        <v>51</v>
      </c>
      <c r="B47" t="s">
        <v>93</v>
      </c>
      <c r="D47">
        <v>95714</v>
      </c>
      <c r="E47" t="str">
        <f t="shared" si="0"/>
        <v>ia.assorted_string like '%95714-08-2024%' or</v>
      </c>
    </row>
    <row r="48" spans="1:5" x14ac:dyDescent="0.25">
      <c r="A48" t="s">
        <v>52</v>
      </c>
      <c r="B48" t="s">
        <v>93</v>
      </c>
      <c r="D48">
        <v>95715</v>
      </c>
      <c r="E48" t="str">
        <f t="shared" si="0"/>
        <v>ia.assorted_string like '%95715-08-2024%' or</v>
      </c>
    </row>
    <row r="49" spans="1:5" x14ac:dyDescent="0.25">
      <c r="A49" t="s">
        <v>53</v>
      </c>
      <c r="B49" t="s">
        <v>93</v>
      </c>
      <c r="D49">
        <v>95717</v>
      </c>
      <c r="E49" t="str">
        <f t="shared" si="0"/>
        <v>ia.assorted_string like '%95717-08-2024%' or</v>
      </c>
    </row>
    <row r="50" spans="1:5" x14ac:dyDescent="0.25">
      <c r="A50" t="s">
        <v>54</v>
      </c>
      <c r="B50" t="s">
        <v>93</v>
      </c>
      <c r="D50">
        <v>95736</v>
      </c>
      <c r="E50" t="str">
        <f t="shared" si="0"/>
        <v>ia.assorted_string like '%95736-08-2024%' or</v>
      </c>
    </row>
    <row r="51" spans="1:5" x14ac:dyDescent="0.25">
      <c r="A51" t="s">
        <v>55</v>
      </c>
      <c r="B51" t="s">
        <v>93</v>
      </c>
      <c r="D51">
        <v>96054</v>
      </c>
      <c r="E51" t="str">
        <f t="shared" si="0"/>
        <v>ia.assorted_string like '%96054-08-2024%' or</v>
      </c>
    </row>
    <row r="52" spans="1:5" x14ac:dyDescent="0.25">
      <c r="A52" t="s">
        <v>56</v>
      </c>
      <c r="B52" t="s">
        <v>93</v>
      </c>
      <c r="D52">
        <v>96057</v>
      </c>
      <c r="E52" t="str">
        <f t="shared" si="0"/>
        <v>ia.assorted_string like '%96057-08-2024%' or</v>
      </c>
    </row>
    <row r="53" spans="1:5" x14ac:dyDescent="0.25">
      <c r="A53" t="s">
        <v>57</v>
      </c>
      <c r="B53" t="s">
        <v>93</v>
      </c>
      <c r="D53">
        <v>96076</v>
      </c>
      <c r="E53" t="str">
        <f t="shared" si="0"/>
        <v>ia.assorted_string like '%96076-08-2024%' or</v>
      </c>
    </row>
    <row r="54" spans="1:5" x14ac:dyDescent="0.25">
      <c r="A54" t="s">
        <v>58</v>
      </c>
      <c r="B54" t="s">
        <v>93</v>
      </c>
      <c r="D54">
        <v>96077</v>
      </c>
      <c r="E54" t="str">
        <f t="shared" si="0"/>
        <v>ia.assorted_string like '%96077-08-2024%' or</v>
      </c>
    </row>
    <row r="55" spans="1:5" x14ac:dyDescent="0.25">
      <c r="A55" t="s">
        <v>59</v>
      </c>
      <c r="B55" t="s">
        <v>93</v>
      </c>
      <c r="D55">
        <v>96486</v>
      </c>
      <c r="E55" t="str">
        <f t="shared" si="0"/>
        <v>ia.assorted_string like '%96486-08-2024%' or</v>
      </c>
    </row>
    <row r="56" spans="1:5" x14ac:dyDescent="0.25">
      <c r="A56" t="s">
        <v>60</v>
      </c>
      <c r="B56" t="s">
        <v>93</v>
      </c>
      <c r="D56">
        <v>96489</v>
      </c>
      <c r="E56" t="str">
        <f t="shared" si="0"/>
        <v>ia.assorted_string like '%96489-08-2024%'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working Commission</vt:lpstr>
      <vt:lpstr>Sheet4</vt:lpstr>
      <vt:lpstr>working Premium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User15</dc:creator>
  <cp:lastModifiedBy>IT User Software</cp:lastModifiedBy>
  <dcterms:created xsi:type="dcterms:W3CDTF">2024-09-11T08:17:09Z</dcterms:created>
  <dcterms:modified xsi:type="dcterms:W3CDTF">2024-09-16T06:20:57Z</dcterms:modified>
</cp:coreProperties>
</file>